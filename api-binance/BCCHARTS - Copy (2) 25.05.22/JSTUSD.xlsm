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3A42F7D-4088-489E-8EA7-0F7DA2550EE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3"/>
  <c r="C133" i="3" s="1"/>
  <c r="C136" i="3" s="1"/>
  <c r="C122" i="4"/>
  <c r="C133" i="4" s="1"/>
  <c r="C136" i="4" s="1"/>
  <c r="C118" i="4"/>
  <c r="C118" i="3"/>
  <c r="C116" i="3"/>
  <c r="R765" i="1"/>
  <c r="S766" i="1"/>
  <c r="T766" i="1" s="1"/>
  <c r="C136" i="5" l="1"/>
  <c r="C138" i="5" s="1"/>
  <c r="D136" i="3"/>
  <c r="C138" i="3" s="1"/>
  <c r="D136" i="4"/>
  <c r="C138" i="4" s="1"/>
  <c r="R764" i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R684" i="1" l="1"/>
  <c r="S685" i="1"/>
  <c r="T685" i="1" s="1"/>
  <c r="R683" i="1" l="1"/>
  <c r="S684" i="1"/>
  <c r="T684" i="1" s="1"/>
  <c r="S683" i="1" l="1"/>
  <c r="T683" i="1" s="1"/>
  <c r="R682" i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S555" i="1" l="1"/>
  <c r="T555" i="1" s="1"/>
  <c r="R554" i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S374" i="1" l="1"/>
  <c r="T374" i="1" s="1"/>
  <c r="R373" i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S354" i="1" l="1"/>
  <c r="T354" i="1" s="1"/>
  <c r="R353" i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S154" i="1" l="1"/>
  <c r="T154" i="1" s="1"/>
  <c r="R153" i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<sst xmlns="http://schemas.openxmlformats.org/spreadsheetml/2006/main" count="5220" uniqueCount="34">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</sst>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3.952E-2</c:v>
                </c:pt>
                <c:pt idx="1">
                  <c:v>3.9969999999999999E-2</c:v>
                </c:pt>
                <c:pt idx="2">
                  <c:v>3.9239999999999997E-2</c:v>
                </c:pt>
                <c:pt idx="3">
                  <c:v>3.7839999999999999E-2</c:v>
                </c:pt>
                <c:pt idx="4">
                  <c:v>3.9800000000000002E-2</c:v>
                </c:pt>
                <c:pt idx="5">
                  <c:v>3.8830000000000003E-2</c:v>
                </c:pt>
                <c:pt idx="6">
                  <c:v>4.258E-2</c:v>
                </c:pt>
                <c:pt idx="7">
                  <c:v>4.8070000000000002E-2</c:v>
                </c:pt>
                <c:pt idx="8">
                  <c:v>4.9779999999999998E-2</c:v>
                </c:pt>
                <c:pt idx="9">
                  <c:v>5.0180000000000002E-2</c:v>
                </c:pt>
                <c:pt idx="10">
                  <c:v>5.364E-2</c:v>
                </c:pt>
                <c:pt idx="11">
                  <c:v>5.1860000000000003E-2</c:v>
                </c:pt>
                <c:pt idx="12">
                  <c:v>5.0950000000000002E-2</c:v>
                </c:pt>
                <c:pt idx="13">
                  <c:v>5.0900000000000001E-2</c:v>
                </c:pt>
                <c:pt idx="14">
                  <c:v>4.9540000000000001E-2</c:v>
                </c:pt>
                <c:pt idx="15">
                  <c:v>5.0610000000000002E-2</c:v>
                </c:pt>
                <c:pt idx="16">
                  <c:v>4.8169999999999998E-2</c:v>
                </c:pt>
                <c:pt idx="17">
                  <c:v>4.7E-2</c:v>
                </c:pt>
                <c:pt idx="18">
                  <c:v>4.931E-2</c:v>
                </c:pt>
                <c:pt idx="19">
                  <c:v>4.8520000000000001E-2</c:v>
                </c:pt>
                <c:pt idx="20">
                  <c:v>5.0180000000000002E-2</c:v>
                </c:pt>
                <c:pt idx="21">
                  <c:v>5.2089999999999997E-2</c:v>
                </c:pt>
                <c:pt idx="22">
                  <c:v>5.1889999999999999E-2</c:v>
                </c:pt>
                <c:pt idx="23">
                  <c:v>5.5780000000000003E-2</c:v>
                </c:pt>
                <c:pt idx="24">
                  <c:v>5.67E-2</c:v>
                </c:pt>
                <c:pt idx="25">
                  <c:v>5.722E-2</c:v>
                </c:pt>
                <c:pt idx="26">
                  <c:v>5.5129999999999998E-2</c:v>
                </c:pt>
                <c:pt idx="27">
                  <c:v>5.3830000000000003E-2</c:v>
                </c:pt>
                <c:pt idx="28">
                  <c:v>5.5399999999999998E-2</c:v>
                </c:pt>
                <c:pt idx="29">
                  <c:v>5.4120000000000001E-2</c:v>
                </c:pt>
                <c:pt idx="30">
                  <c:v>5.5370000000000003E-2</c:v>
                </c:pt>
                <c:pt idx="31">
                  <c:v>5.9220000000000002E-2</c:v>
                </c:pt>
                <c:pt idx="32">
                  <c:v>5.8650000000000001E-2</c:v>
                </c:pt>
                <c:pt idx="33">
                  <c:v>5.8619999999999998E-2</c:v>
                </c:pt>
                <c:pt idx="34">
                  <c:v>5.7579999999999999E-2</c:v>
                </c:pt>
                <c:pt idx="35">
                  <c:v>5.9420000000000001E-2</c:v>
                </c:pt>
                <c:pt idx="36">
                  <c:v>5.6050000000000003E-2</c:v>
                </c:pt>
                <c:pt idx="37">
                  <c:v>5.57E-2</c:v>
                </c:pt>
                <c:pt idx="38">
                  <c:v>5.4629999999999998E-2</c:v>
                </c:pt>
                <c:pt idx="39">
                  <c:v>5.5599999999999997E-2</c:v>
                </c:pt>
                <c:pt idx="40">
                  <c:v>5.6529999999999997E-2</c:v>
                </c:pt>
                <c:pt idx="41">
                  <c:v>5.4739999999999997E-2</c:v>
                </c:pt>
                <c:pt idx="42">
                  <c:v>5.7700000000000001E-2</c:v>
                </c:pt>
                <c:pt idx="43">
                  <c:v>5.9499999999999997E-2</c:v>
                </c:pt>
                <c:pt idx="44">
                  <c:v>5.8810000000000001E-2</c:v>
                </c:pt>
                <c:pt idx="45">
                  <c:v>5.8439999999999999E-2</c:v>
                </c:pt>
                <c:pt idx="46">
                  <c:v>6.5030000000000004E-2</c:v>
                </c:pt>
                <c:pt idx="47">
                  <c:v>6.2850000000000003E-2</c:v>
                </c:pt>
                <c:pt idx="48">
                  <c:v>6.2700000000000006E-2</c:v>
                </c:pt>
                <c:pt idx="49">
                  <c:v>6.5089999999999995E-2</c:v>
                </c:pt>
                <c:pt idx="50">
                  <c:v>7.2609999999999994E-2</c:v>
                </c:pt>
                <c:pt idx="51">
                  <c:v>6.4810000000000006E-2</c:v>
                </c:pt>
                <c:pt idx="52">
                  <c:v>6.3829999999999998E-2</c:v>
                </c:pt>
                <c:pt idx="53">
                  <c:v>6.0409999999999998E-2</c:v>
                </c:pt>
                <c:pt idx="54">
                  <c:v>6.2509999999999996E-2</c:v>
                </c:pt>
                <c:pt idx="55">
                  <c:v>7.0879999999999999E-2</c:v>
                </c:pt>
                <c:pt idx="56">
                  <c:v>7.46E-2</c:v>
                </c:pt>
                <c:pt idx="57">
                  <c:v>7.4490000000000001E-2</c:v>
                </c:pt>
                <c:pt idx="58">
                  <c:v>7.4480000000000005E-2</c:v>
                </c:pt>
                <c:pt idx="59">
                  <c:v>7.6179999999999998E-2</c:v>
                </c:pt>
                <c:pt idx="60">
                  <c:v>7.4719999999999995E-2</c:v>
                </c:pt>
                <c:pt idx="61">
                  <c:v>7.3580000000000007E-2</c:v>
                </c:pt>
                <c:pt idx="62">
                  <c:v>7.2010000000000005E-2</c:v>
                </c:pt>
                <c:pt idx="63">
                  <c:v>7.8420000000000004E-2</c:v>
                </c:pt>
                <c:pt idx="64">
                  <c:v>7.7600000000000002E-2</c:v>
                </c:pt>
                <c:pt idx="65">
                  <c:v>8.0280000000000004E-2</c:v>
                </c:pt>
                <c:pt idx="66">
                  <c:v>7.6420000000000002E-2</c:v>
                </c:pt>
                <c:pt idx="67">
                  <c:v>7.9409999999999994E-2</c:v>
                </c:pt>
                <c:pt idx="68">
                  <c:v>7.9990000000000006E-2</c:v>
                </c:pt>
                <c:pt idx="69">
                  <c:v>7.8530000000000003E-2</c:v>
                </c:pt>
                <c:pt idx="70">
                  <c:v>7.442E-2</c:v>
                </c:pt>
                <c:pt idx="71">
                  <c:v>8.2619999999999999E-2</c:v>
                </c:pt>
                <c:pt idx="72">
                  <c:v>8.0229999999999996E-2</c:v>
                </c:pt>
                <c:pt idx="73">
                  <c:v>8.7069999999999995E-2</c:v>
                </c:pt>
                <c:pt idx="74">
                  <c:v>8.5830000000000004E-2</c:v>
                </c:pt>
                <c:pt idx="75">
                  <c:v>8.4000000000000005E-2</c:v>
                </c:pt>
                <c:pt idx="76">
                  <c:v>8.2350000000000007E-2</c:v>
                </c:pt>
                <c:pt idx="77">
                  <c:v>8.3390000000000006E-2</c:v>
                </c:pt>
                <c:pt idx="78">
                  <c:v>8.3339999999999997E-2</c:v>
                </c:pt>
                <c:pt idx="79">
                  <c:v>9.0749999999999997E-2</c:v>
                </c:pt>
                <c:pt idx="80">
                  <c:v>8.8080000000000006E-2</c:v>
                </c:pt>
                <c:pt idx="81">
                  <c:v>8.3570000000000005E-2</c:v>
                </c:pt>
                <c:pt idx="82">
                  <c:v>8.2379999999999995E-2</c:v>
                </c:pt>
                <c:pt idx="83">
                  <c:v>8.3290000000000003E-2</c:v>
                </c:pt>
                <c:pt idx="84">
                  <c:v>8.3809999999999996E-2</c:v>
                </c:pt>
                <c:pt idx="85">
                  <c:v>8.5139999999999993E-2</c:v>
                </c:pt>
                <c:pt idx="86">
                  <c:v>8.7650000000000006E-2</c:v>
                </c:pt>
                <c:pt idx="87">
                  <c:v>8.4080000000000002E-2</c:v>
                </c:pt>
                <c:pt idx="88">
                  <c:v>8.7209999999999996E-2</c:v>
                </c:pt>
                <c:pt idx="89">
                  <c:v>8.4589999999999999E-2</c:v>
                </c:pt>
                <c:pt idx="90">
                  <c:v>7.9710000000000003E-2</c:v>
                </c:pt>
                <c:pt idx="91">
                  <c:v>7.6480000000000006E-2</c:v>
                </c:pt>
                <c:pt idx="92">
                  <c:v>7.1929999999999994E-2</c:v>
                </c:pt>
                <c:pt idx="93">
                  <c:v>8.1610000000000002E-2</c:v>
                </c:pt>
                <c:pt idx="94">
                  <c:v>8.2919999999999994E-2</c:v>
                </c:pt>
                <c:pt idx="95">
                  <c:v>8.0449999999999994E-2</c:v>
                </c:pt>
                <c:pt idx="96">
                  <c:v>8.3489999999999995E-2</c:v>
                </c:pt>
                <c:pt idx="97">
                  <c:v>8.0240000000000006E-2</c:v>
                </c:pt>
                <c:pt idx="98">
                  <c:v>7.9560000000000006E-2</c:v>
                </c:pt>
                <c:pt idx="99">
                  <c:v>8.455E-2</c:v>
                </c:pt>
                <c:pt idx="100">
                  <c:v>7.7020000000000005E-2</c:v>
                </c:pt>
                <c:pt idx="101">
                  <c:v>7.4639999999999998E-2</c:v>
                </c:pt>
                <c:pt idx="102">
                  <c:v>7.732E-2</c:v>
                </c:pt>
                <c:pt idx="103">
                  <c:v>7.5920000000000001E-2</c:v>
                </c:pt>
                <c:pt idx="104">
                  <c:v>7.5689999999999993E-2</c:v>
                </c:pt>
                <c:pt idx="105">
                  <c:v>7.9229999999999995E-2</c:v>
                </c:pt>
                <c:pt idx="106">
                  <c:v>7.9500000000000001E-2</c:v>
                </c:pt>
                <c:pt idx="107">
                  <c:v>7.6179999999999998E-2</c:v>
                </c:pt>
                <c:pt idx="108">
                  <c:v>7.9619999999999996E-2</c:v>
                </c:pt>
                <c:pt idx="109">
                  <c:v>8.3680000000000004E-2</c:v>
                </c:pt>
                <c:pt idx="110">
                  <c:v>9.1429999999999997E-2</c:v>
                </c:pt>
                <c:pt idx="111">
                  <c:v>8.4900000000000003E-2</c:v>
                </c:pt>
                <c:pt idx="112">
                  <c:v>7.9500000000000001E-2</c:v>
                </c:pt>
                <c:pt idx="113">
                  <c:v>7.5410000000000005E-2</c:v>
                </c:pt>
                <c:pt idx="114">
                  <c:v>7.5240000000000001E-2</c:v>
                </c:pt>
                <c:pt idx="115">
                  <c:v>6.8239999999999995E-2</c:v>
                </c:pt>
                <c:pt idx="116">
                  <c:v>7.0349999999999996E-2</c:v>
                </c:pt>
                <c:pt idx="117">
                  <c:v>6.8330000000000002E-2</c:v>
                </c:pt>
                <c:pt idx="118">
                  <c:v>6.8890000000000007E-2</c:v>
                </c:pt>
                <c:pt idx="119">
                  <c:v>6.3750000000000001E-2</c:v>
                </c:pt>
                <c:pt idx="120">
                  <c:v>5.944E-2</c:v>
                </c:pt>
                <c:pt idx="121">
                  <c:v>5.8090000000000003E-2</c:v>
                </c:pt>
                <c:pt idx="122">
                  <c:v>6.1679999999999999E-2</c:v>
                </c:pt>
                <c:pt idx="123">
                  <c:v>6.3560000000000005E-2</c:v>
                </c:pt>
                <c:pt idx="124">
                  <c:v>6.6519999999999996E-2</c:v>
                </c:pt>
                <c:pt idx="125">
                  <c:v>6.8070000000000006E-2</c:v>
                </c:pt>
                <c:pt idx="126">
                  <c:v>7.5009999999999993E-2</c:v>
                </c:pt>
                <c:pt idx="127">
                  <c:v>7.4410000000000004E-2</c:v>
                </c:pt>
                <c:pt idx="128">
                  <c:v>6.6900000000000001E-2</c:v>
                </c:pt>
                <c:pt idx="129">
                  <c:v>7.7509999999999996E-2</c:v>
                </c:pt>
                <c:pt idx="130">
                  <c:v>8.548E-2</c:v>
                </c:pt>
                <c:pt idx="131">
                  <c:v>8.9760000000000006E-2</c:v>
                </c:pt>
                <c:pt idx="132">
                  <c:v>8.8569999999999996E-2</c:v>
                </c:pt>
                <c:pt idx="133">
                  <c:v>9.7799999999999998E-2</c:v>
                </c:pt>
                <c:pt idx="134">
                  <c:v>9.425E-2</c:v>
                </c:pt>
                <c:pt idx="135">
                  <c:v>9.2710000000000001E-2</c:v>
                </c:pt>
                <c:pt idx="136">
                  <c:v>8.2960000000000006E-2</c:v>
                </c:pt>
                <c:pt idx="137">
                  <c:v>9.0499999999999997E-2</c:v>
                </c:pt>
                <c:pt idx="138">
                  <c:v>8.2640000000000005E-2</c:v>
                </c:pt>
                <c:pt idx="139">
                  <c:v>7.8460000000000002E-2</c:v>
                </c:pt>
                <c:pt idx="140">
                  <c:v>8.3769999999999997E-2</c:v>
                </c:pt>
                <c:pt idx="141">
                  <c:v>7.9240000000000005E-2</c:v>
                </c:pt>
                <c:pt idx="142">
                  <c:v>7.46E-2</c:v>
                </c:pt>
                <c:pt idx="143">
                  <c:v>9.2600000000000002E-2</c:v>
                </c:pt>
                <c:pt idx="144">
                  <c:v>9.1380000000000003E-2</c:v>
                </c:pt>
                <c:pt idx="145">
                  <c:v>8.7300000000000003E-2</c:v>
                </c:pt>
                <c:pt idx="146">
                  <c:v>8.6169999999999997E-2</c:v>
                </c:pt>
                <c:pt idx="147">
                  <c:v>8.2799999999999999E-2</c:v>
                </c:pt>
                <c:pt idx="148">
                  <c:v>7.8469999999999998E-2</c:v>
                </c:pt>
                <c:pt idx="149">
                  <c:v>7.3419999999999999E-2</c:v>
                </c:pt>
                <c:pt idx="150">
                  <c:v>7.0620000000000002E-2</c:v>
                </c:pt>
                <c:pt idx="151">
                  <c:v>7.3770000000000002E-2</c:v>
                </c:pt>
                <c:pt idx="152">
                  <c:v>7.0809999999999998E-2</c:v>
                </c:pt>
                <c:pt idx="153">
                  <c:v>7.1819999999999995E-2</c:v>
                </c:pt>
                <c:pt idx="154">
                  <c:v>6.794E-2</c:v>
                </c:pt>
                <c:pt idx="155">
                  <c:v>7.4130000000000001E-2</c:v>
                </c:pt>
                <c:pt idx="156">
                  <c:v>6.9870000000000002E-2</c:v>
                </c:pt>
                <c:pt idx="157">
                  <c:v>7.467E-2</c:v>
                </c:pt>
                <c:pt idx="158">
                  <c:v>7.0269999999999999E-2</c:v>
                </c:pt>
                <c:pt idx="159">
                  <c:v>6.9500000000000006E-2</c:v>
                </c:pt>
                <c:pt idx="160">
                  <c:v>7.0949999999999999E-2</c:v>
                </c:pt>
                <c:pt idx="161">
                  <c:v>6.8919999999999995E-2</c:v>
                </c:pt>
                <c:pt idx="162">
                  <c:v>6.5509999999999999E-2</c:v>
                </c:pt>
                <c:pt idx="163">
                  <c:v>6.7409999999999998E-2</c:v>
                </c:pt>
                <c:pt idx="164">
                  <c:v>7.1629999999999999E-2</c:v>
                </c:pt>
                <c:pt idx="165">
                  <c:v>7.238E-2</c:v>
                </c:pt>
                <c:pt idx="166">
                  <c:v>7.1999999999999995E-2</c:v>
                </c:pt>
                <c:pt idx="167">
                  <c:v>7.0800000000000002E-2</c:v>
                </c:pt>
                <c:pt idx="168">
                  <c:v>6.6299999999999998E-2</c:v>
                </c:pt>
                <c:pt idx="169">
                  <c:v>6.6269999999999996E-2</c:v>
                </c:pt>
                <c:pt idx="170">
                  <c:v>6.2039999999999998E-2</c:v>
                </c:pt>
                <c:pt idx="171">
                  <c:v>6.2219999999999998E-2</c:v>
                </c:pt>
                <c:pt idx="172">
                  <c:v>5.9479999999999998E-2</c:v>
                </c:pt>
                <c:pt idx="173">
                  <c:v>6.1089999999999998E-2</c:v>
                </c:pt>
                <c:pt idx="174">
                  <c:v>5.8450000000000002E-2</c:v>
                </c:pt>
                <c:pt idx="175">
                  <c:v>5.6770000000000001E-2</c:v>
                </c:pt>
                <c:pt idx="176">
                  <c:v>5.3879999999999997E-2</c:v>
                </c:pt>
                <c:pt idx="177">
                  <c:v>5.076E-2</c:v>
                </c:pt>
                <c:pt idx="178">
                  <c:v>5.2609999999999997E-2</c:v>
                </c:pt>
                <c:pt idx="179">
                  <c:v>5.2760000000000001E-2</c:v>
                </c:pt>
                <c:pt idx="180">
                  <c:v>5.3179999999999998E-2</c:v>
                </c:pt>
                <c:pt idx="181">
                  <c:v>5.0349999999999999E-2</c:v>
                </c:pt>
                <c:pt idx="182">
                  <c:v>4.9059999999999999E-2</c:v>
                </c:pt>
                <c:pt idx="183">
                  <c:v>4.5199999999999997E-2</c:v>
                </c:pt>
                <c:pt idx="184">
                  <c:v>4.4519999999999997E-2</c:v>
                </c:pt>
                <c:pt idx="185">
                  <c:v>4.2869999999999998E-2</c:v>
                </c:pt>
                <c:pt idx="186">
                  <c:v>4.1750000000000002E-2</c:v>
                </c:pt>
                <c:pt idx="187">
                  <c:v>4.1669999999999999E-2</c:v>
                </c:pt>
                <c:pt idx="188">
                  <c:v>4.1669999999999999E-2</c:v>
                </c:pt>
                <c:pt idx="189">
                  <c:v>4.0910000000000002E-2</c:v>
                </c:pt>
                <c:pt idx="190">
                  <c:v>3.9730000000000001E-2</c:v>
                </c:pt>
                <c:pt idx="191">
                  <c:v>3.6859999999999997E-2</c:v>
                </c:pt>
                <c:pt idx="192">
                  <c:v>3.9690000000000003E-2</c:v>
                </c:pt>
                <c:pt idx="193">
                  <c:v>4.2070000000000003E-2</c:v>
                </c:pt>
                <c:pt idx="194">
                  <c:v>4.2349999999999999E-2</c:v>
                </c:pt>
                <c:pt idx="195">
                  <c:v>4.2419999999999999E-2</c:v>
                </c:pt>
                <c:pt idx="196">
                  <c:v>4.5030000000000001E-2</c:v>
                </c:pt>
                <c:pt idx="197">
                  <c:v>4.8550000000000003E-2</c:v>
                </c:pt>
                <c:pt idx="198">
                  <c:v>4.7370000000000002E-2</c:v>
                </c:pt>
                <c:pt idx="199">
                  <c:v>4.9110000000000001E-2</c:v>
                </c:pt>
                <c:pt idx="200">
                  <c:v>5.0729999999999997E-2</c:v>
                </c:pt>
                <c:pt idx="201">
                  <c:v>5.042E-2</c:v>
                </c:pt>
                <c:pt idx="202">
                  <c:v>5.1639999999999998E-2</c:v>
                </c:pt>
                <c:pt idx="203">
                  <c:v>4.9910000000000003E-2</c:v>
                </c:pt>
                <c:pt idx="204">
                  <c:v>5.5140000000000002E-2</c:v>
                </c:pt>
                <c:pt idx="205">
                  <c:v>5.2699999999999997E-2</c:v>
                </c:pt>
                <c:pt idx="206">
                  <c:v>5.16E-2</c:v>
                </c:pt>
                <c:pt idx="207">
                  <c:v>5.3960000000000001E-2</c:v>
                </c:pt>
                <c:pt idx="208">
                  <c:v>5.3440000000000001E-2</c:v>
                </c:pt>
                <c:pt idx="209">
                  <c:v>5.2880000000000003E-2</c:v>
                </c:pt>
                <c:pt idx="210">
                  <c:v>4.9970000000000001E-2</c:v>
                </c:pt>
                <c:pt idx="211">
                  <c:v>5.2220000000000003E-2</c:v>
                </c:pt>
                <c:pt idx="212">
                  <c:v>5.0450000000000002E-2</c:v>
                </c:pt>
                <c:pt idx="213">
                  <c:v>4.7109999999999999E-2</c:v>
                </c:pt>
                <c:pt idx="214">
                  <c:v>4.5289999999999997E-2</c:v>
                </c:pt>
                <c:pt idx="215">
                  <c:v>4.4060000000000002E-2</c:v>
                </c:pt>
                <c:pt idx="216">
                  <c:v>4.3450000000000003E-2</c:v>
                </c:pt>
                <c:pt idx="217">
                  <c:v>4.7280000000000003E-2</c:v>
                </c:pt>
                <c:pt idx="218">
                  <c:v>4.2419999999999999E-2</c:v>
                </c:pt>
                <c:pt idx="219">
                  <c:v>3.7620000000000001E-2</c:v>
                </c:pt>
                <c:pt idx="220">
                  <c:v>4.0910000000000002E-2</c:v>
                </c:pt>
                <c:pt idx="221">
                  <c:v>5.4960000000000002E-2</c:v>
                </c:pt>
                <c:pt idx="222">
                  <c:v>5.6419999999999998E-2</c:v>
                </c:pt>
                <c:pt idx="223">
                  <c:v>5.8290000000000002E-2</c:v>
                </c:pt>
                <c:pt idx="224">
                  <c:v>6.1409999999999999E-2</c:v>
                </c:pt>
                <c:pt idx="225">
                  <c:v>5.9450000000000003E-2</c:v>
                </c:pt>
                <c:pt idx="226">
                  <c:v>6.1710000000000001E-2</c:v>
                </c:pt>
                <c:pt idx="227">
                  <c:v>6.2059999999999997E-2</c:v>
                </c:pt>
                <c:pt idx="228">
                  <c:v>6.1409999999999999E-2</c:v>
                </c:pt>
                <c:pt idx="229">
                  <c:v>5.9389999999999998E-2</c:v>
                </c:pt>
                <c:pt idx="230">
                  <c:v>6.1379999999999997E-2</c:v>
                </c:pt>
                <c:pt idx="231">
                  <c:v>6.6189999999999999E-2</c:v>
                </c:pt>
                <c:pt idx="232">
                  <c:v>6.9760000000000003E-2</c:v>
                </c:pt>
                <c:pt idx="233">
                  <c:v>6.5420000000000006E-2</c:v>
                </c:pt>
                <c:pt idx="234">
                  <c:v>6.4380000000000007E-2</c:v>
                </c:pt>
                <c:pt idx="235">
                  <c:v>7.0779999999999996E-2</c:v>
                </c:pt>
                <c:pt idx="236">
                  <c:v>6.7229999999999998E-2</c:v>
                </c:pt>
                <c:pt idx="237">
                  <c:v>7.0220000000000005E-2</c:v>
                </c:pt>
                <c:pt idx="238">
                  <c:v>7.46E-2</c:v>
                </c:pt>
                <c:pt idx="239">
                  <c:v>7.0550000000000002E-2</c:v>
                </c:pt>
                <c:pt idx="240">
                  <c:v>6.769E-2</c:v>
                </c:pt>
                <c:pt idx="241">
                  <c:v>6.8260000000000001E-2</c:v>
                </c:pt>
                <c:pt idx="242">
                  <c:v>6.3380000000000006E-2</c:v>
                </c:pt>
                <c:pt idx="243">
                  <c:v>6.13E-2</c:v>
                </c:pt>
                <c:pt idx="244">
                  <c:v>6.4299999999999996E-2</c:v>
                </c:pt>
                <c:pt idx="245">
                  <c:v>7.1709999999999996E-2</c:v>
                </c:pt>
                <c:pt idx="246">
                  <c:v>7.5050000000000006E-2</c:v>
                </c:pt>
                <c:pt idx="247">
                  <c:v>6.8580000000000002E-2</c:v>
                </c:pt>
                <c:pt idx="248">
                  <c:v>6.8970000000000004E-2</c:v>
                </c:pt>
                <c:pt idx="249">
                  <c:v>5.747E-2</c:v>
                </c:pt>
                <c:pt idx="250">
                  <c:v>7.0529999999999995E-2</c:v>
                </c:pt>
                <c:pt idx="251">
                  <c:v>7.2109999999999994E-2</c:v>
                </c:pt>
                <c:pt idx="252">
                  <c:v>7.6020000000000004E-2</c:v>
                </c:pt>
                <c:pt idx="253">
                  <c:v>6.6790000000000002E-2</c:v>
                </c:pt>
                <c:pt idx="254">
                  <c:v>0.10173</c:v>
                </c:pt>
                <c:pt idx="255">
                  <c:v>9.8100000000000007E-2</c:v>
                </c:pt>
                <c:pt idx="256">
                  <c:v>0.10614</c:v>
                </c:pt>
                <c:pt idx="257">
                  <c:v>0.10761999999999999</c:v>
                </c:pt>
                <c:pt idx="258">
                  <c:v>0.11360000000000001</c:v>
                </c:pt>
                <c:pt idx="259">
                  <c:v>0.11142000000000001</c:v>
                </c:pt>
                <c:pt idx="260">
                  <c:v>0.10926</c:v>
                </c:pt>
                <c:pt idx="261">
                  <c:v>0.12798999999999999</c:v>
                </c:pt>
                <c:pt idx="262">
                  <c:v>0.11944</c:v>
                </c:pt>
                <c:pt idx="263">
                  <c:v>0.13552</c:v>
                </c:pt>
                <c:pt idx="264">
                  <c:v>0.13738</c:v>
                </c:pt>
                <c:pt idx="265">
                  <c:v>0.14238000000000001</c:v>
                </c:pt>
                <c:pt idx="266">
                  <c:v>0.14424999999999999</c:v>
                </c:pt>
                <c:pt idx="267">
                  <c:v>0.13919000000000001</c:v>
                </c:pt>
                <c:pt idx="268">
                  <c:v>0.11903</c:v>
                </c:pt>
                <c:pt idx="269">
                  <c:v>0.13186999999999999</c:v>
                </c:pt>
                <c:pt idx="270">
                  <c:v>0.12817999999999999</c:v>
                </c:pt>
                <c:pt idx="271">
                  <c:v>0.13106000000000001</c:v>
                </c:pt>
                <c:pt idx="272">
                  <c:v>0.13072</c:v>
                </c:pt>
                <c:pt idx="273">
                  <c:v>0.12207999999999999</c:v>
                </c:pt>
                <c:pt idx="274">
                  <c:v>0.12325999999999999</c:v>
                </c:pt>
                <c:pt idx="275">
                  <c:v>0.12795000000000001</c:v>
                </c:pt>
                <c:pt idx="276">
                  <c:v>0.1201</c:v>
                </c:pt>
                <c:pt idx="277">
                  <c:v>0.10199999999999999</c:v>
                </c:pt>
                <c:pt idx="278">
                  <c:v>0.10186000000000001</c:v>
                </c:pt>
                <c:pt idx="279">
                  <c:v>0.10722</c:v>
                </c:pt>
                <c:pt idx="280">
                  <c:v>0.10918</c:v>
                </c:pt>
                <c:pt idx="281">
                  <c:v>0.12906999999999999</c:v>
                </c:pt>
                <c:pt idx="282">
                  <c:v>0.13814000000000001</c:v>
                </c:pt>
                <c:pt idx="283">
                  <c:v>0.13886000000000001</c:v>
                </c:pt>
                <c:pt idx="284">
                  <c:v>0.15742999999999999</c:v>
                </c:pt>
                <c:pt idx="285">
                  <c:v>0.16400000000000001</c:v>
                </c:pt>
                <c:pt idx="286">
                  <c:v>0.16825000000000001</c:v>
                </c:pt>
                <c:pt idx="287">
                  <c:v>0.17741000000000001</c:v>
                </c:pt>
                <c:pt idx="288">
                  <c:v>0.14879000000000001</c:v>
                </c:pt>
                <c:pt idx="289">
                  <c:v>0.14949999999999999</c:v>
                </c:pt>
                <c:pt idx="290">
                  <c:v>0.14118</c:v>
                </c:pt>
                <c:pt idx="291">
                  <c:v>0.14144000000000001</c:v>
                </c:pt>
                <c:pt idx="292">
                  <c:v>0.15204999999999999</c:v>
                </c:pt>
                <c:pt idx="293">
                  <c:v>0.14213999999999999</c:v>
                </c:pt>
                <c:pt idx="294">
                  <c:v>0.14343</c:v>
                </c:pt>
                <c:pt idx="295">
                  <c:v>0.12670999999999999</c:v>
                </c:pt>
                <c:pt idx="296">
                  <c:v>0.15126000000000001</c:v>
                </c:pt>
                <c:pt idx="297">
                  <c:v>0.16733000000000001</c:v>
                </c:pt>
                <c:pt idx="298">
                  <c:v>0.16985</c:v>
                </c:pt>
                <c:pt idx="299">
                  <c:v>0.13172</c:v>
                </c:pt>
                <c:pt idx="300">
                  <c:v>0.12873000000000001</c:v>
                </c:pt>
                <c:pt idx="301">
                  <c:v>0.12384000000000001</c:v>
                </c:pt>
                <c:pt idx="302">
                  <c:v>0.13305</c:v>
                </c:pt>
                <c:pt idx="303">
                  <c:v>0.10011</c:v>
                </c:pt>
                <c:pt idx="304">
                  <c:v>9.4719999999999999E-2</c:v>
                </c:pt>
                <c:pt idx="305">
                  <c:v>9.2450000000000004E-2</c:v>
                </c:pt>
                <c:pt idx="306">
                  <c:v>9.2780000000000001E-2</c:v>
                </c:pt>
                <c:pt idx="307">
                  <c:v>8.8959999999999997E-2</c:v>
                </c:pt>
                <c:pt idx="308">
                  <c:v>7.8340000000000007E-2</c:v>
                </c:pt>
                <c:pt idx="309">
                  <c:v>8.072E-2</c:v>
                </c:pt>
                <c:pt idx="310">
                  <c:v>9.1639999999999999E-2</c:v>
                </c:pt>
                <c:pt idx="311">
                  <c:v>9.2689999999999995E-2</c:v>
                </c:pt>
                <c:pt idx="312">
                  <c:v>0.10637000000000001</c:v>
                </c:pt>
                <c:pt idx="313">
                  <c:v>9.9250000000000005E-2</c:v>
                </c:pt>
                <c:pt idx="314">
                  <c:v>9.1389999999999999E-2</c:v>
                </c:pt>
                <c:pt idx="315">
                  <c:v>8.6669999999999997E-2</c:v>
                </c:pt>
                <c:pt idx="316">
                  <c:v>9.5180000000000001E-2</c:v>
                </c:pt>
                <c:pt idx="317">
                  <c:v>7.0419999999999996E-2</c:v>
                </c:pt>
                <c:pt idx="318">
                  <c:v>6.9709999999999994E-2</c:v>
                </c:pt>
                <c:pt idx="319">
                  <c:v>7.0809999999999998E-2</c:v>
                </c:pt>
                <c:pt idx="320">
                  <c:v>6.4509999999999998E-2</c:v>
                </c:pt>
                <c:pt idx="321">
                  <c:v>5.7189999999999998E-2</c:v>
                </c:pt>
                <c:pt idx="322">
                  <c:v>5.8459999999999998E-2</c:v>
                </c:pt>
                <c:pt idx="323">
                  <c:v>5.8799999999999998E-2</c:v>
                </c:pt>
                <c:pt idx="324">
                  <c:v>6.0659999999999999E-2</c:v>
                </c:pt>
                <c:pt idx="325">
                  <c:v>5.8819999999999997E-2</c:v>
                </c:pt>
                <c:pt idx="326">
                  <c:v>5.7529999999999998E-2</c:v>
                </c:pt>
                <c:pt idx="327">
                  <c:v>5.6989999999999999E-2</c:v>
                </c:pt>
                <c:pt idx="328">
                  <c:v>5.858E-2</c:v>
                </c:pt>
                <c:pt idx="329">
                  <c:v>5.3699999999999998E-2</c:v>
                </c:pt>
                <c:pt idx="330">
                  <c:v>5.1920000000000001E-2</c:v>
                </c:pt>
                <c:pt idx="331">
                  <c:v>4.6800000000000001E-2</c:v>
                </c:pt>
                <c:pt idx="332">
                  <c:v>4.8320000000000002E-2</c:v>
                </c:pt>
                <c:pt idx="333">
                  <c:v>4.4830000000000002E-2</c:v>
                </c:pt>
                <c:pt idx="334">
                  <c:v>4.8770000000000001E-2</c:v>
                </c:pt>
                <c:pt idx="335">
                  <c:v>4.5609999999999998E-2</c:v>
                </c:pt>
                <c:pt idx="336">
                  <c:v>4.5449999999999997E-2</c:v>
                </c:pt>
                <c:pt idx="337">
                  <c:v>4.7579999999999997E-2</c:v>
                </c:pt>
                <c:pt idx="338">
                  <c:v>4.3950000000000003E-2</c:v>
                </c:pt>
                <c:pt idx="339">
                  <c:v>5.7389999999999997E-2</c:v>
                </c:pt>
                <c:pt idx="340">
                  <c:v>6.6589999999999996E-2</c:v>
                </c:pt>
                <c:pt idx="341">
                  <c:v>6.4479999999999996E-2</c:v>
                </c:pt>
                <c:pt idx="342">
                  <c:v>6.6809999999999994E-2</c:v>
                </c:pt>
                <c:pt idx="343">
                  <c:v>6.0690000000000001E-2</c:v>
                </c:pt>
                <c:pt idx="344">
                  <c:v>5.2229999999999999E-2</c:v>
                </c:pt>
                <c:pt idx="345">
                  <c:v>4.929E-2</c:v>
                </c:pt>
                <c:pt idx="346">
                  <c:v>4.5519999999999998E-2</c:v>
                </c:pt>
                <c:pt idx="347">
                  <c:v>4.9570000000000003E-2</c:v>
                </c:pt>
                <c:pt idx="348">
                  <c:v>5.4690000000000003E-2</c:v>
                </c:pt>
                <c:pt idx="349">
                  <c:v>5.2549999999999999E-2</c:v>
                </c:pt>
                <c:pt idx="350">
                  <c:v>5.2920000000000002E-2</c:v>
                </c:pt>
                <c:pt idx="351">
                  <c:v>4.4409999999999998E-2</c:v>
                </c:pt>
                <c:pt idx="352">
                  <c:v>4.505E-2</c:v>
                </c:pt>
                <c:pt idx="353">
                  <c:v>4.1230000000000003E-2</c:v>
                </c:pt>
                <c:pt idx="354">
                  <c:v>3.7289999999999997E-2</c:v>
                </c:pt>
                <c:pt idx="355">
                  <c:v>3.6360000000000003E-2</c:v>
                </c:pt>
                <c:pt idx="356">
                  <c:v>3.8859999999999999E-2</c:v>
                </c:pt>
                <c:pt idx="357">
                  <c:v>3.415E-2</c:v>
                </c:pt>
                <c:pt idx="358">
                  <c:v>3.5130000000000002E-2</c:v>
                </c:pt>
                <c:pt idx="359">
                  <c:v>3.3579999999999999E-2</c:v>
                </c:pt>
                <c:pt idx="360">
                  <c:v>3.2840000000000001E-2</c:v>
                </c:pt>
                <c:pt idx="361">
                  <c:v>3.0839999999999999E-2</c:v>
                </c:pt>
                <c:pt idx="362">
                  <c:v>3.0890000000000001E-2</c:v>
                </c:pt>
                <c:pt idx="363">
                  <c:v>3.049E-2</c:v>
                </c:pt>
                <c:pt idx="364">
                  <c:v>3.0880000000000001E-2</c:v>
                </c:pt>
                <c:pt idx="365">
                  <c:v>2.7779999999999999E-2</c:v>
                </c:pt>
                <c:pt idx="366">
                  <c:v>2.955E-2</c:v>
                </c:pt>
                <c:pt idx="367">
                  <c:v>3.0370000000000001E-2</c:v>
                </c:pt>
                <c:pt idx="368">
                  <c:v>2.9399999999999999E-2</c:v>
                </c:pt>
                <c:pt idx="369">
                  <c:v>2.8240000000000001E-2</c:v>
                </c:pt>
                <c:pt idx="370">
                  <c:v>2.7029999999999998E-2</c:v>
                </c:pt>
                <c:pt idx="371">
                  <c:v>2.5780000000000001E-2</c:v>
                </c:pt>
                <c:pt idx="372">
                  <c:v>2.8539999999999999E-2</c:v>
                </c:pt>
                <c:pt idx="373">
                  <c:v>2.8850000000000001E-2</c:v>
                </c:pt>
                <c:pt idx="374">
                  <c:v>3.0329999999999999E-2</c:v>
                </c:pt>
                <c:pt idx="375">
                  <c:v>2.8049999999999999E-2</c:v>
                </c:pt>
                <c:pt idx="376">
                  <c:v>2.8049999999999999E-2</c:v>
                </c:pt>
                <c:pt idx="377">
                  <c:v>2.845E-2</c:v>
                </c:pt>
                <c:pt idx="378">
                  <c:v>2.5930000000000002E-2</c:v>
                </c:pt>
                <c:pt idx="379">
                  <c:v>2.5270000000000001E-2</c:v>
                </c:pt>
                <c:pt idx="380">
                  <c:v>2.418E-2</c:v>
                </c:pt>
                <c:pt idx="381">
                  <c:v>2.3390000000000001E-2</c:v>
                </c:pt>
                <c:pt idx="382">
                  <c:v>2.639E-2</c:v>
                </c:pt>
                <c:pt idx="383">
                  <c:v>2.7789999999999999E-2</c:v>
                </c:pt>
                <c:pt idx="384">
                  <c:v>2.6689999999999998E-2</c:v>
                </c:pt>
                <c:pt idx="385">
                  <c:v>2.4379999999999999E-2</c:v>
                </c:pt>
                <c:pt idx="386">
                  <c:v>2.4590000000000001E-2</c:v>
                </c:pt>
                <c:pt idx="387">
                  <c:v>2.3519999999999999E-2</c:v>
                </c:pt>
                <c:pt idx="388">
                  <c:v>2.4E-2</c:v>
                </c:pt>
                <c:pt idx="389">
                  <c:v>2.4070000000000001E-2</c:v>
                </c:pt>
                <c:pt idx="390">
                  <c:v>2.3630000000000002E-2</c:v>
                </c:pt>
                <c:pt idx="391">
                  <c:v>2.2859999999999998E-2</c:v>
                </c:pt>
                <c:pt idx="392">
                  <c:v>2.2159999999999999E-2</c:v>
                </c:pt>
                <c:pt idx="393">
                  <c:v>2.2509999999999999E-2</c:v>
                </c:pt>
                <c:pt idx="394">
                  <c:v>2.3050000000000001E-2</c:v>
                </c:pt>
                <c:pt idx="395">
                  <c:v>2.47E-2</c:v>
                </c:pt>
                <c:pt idx="396">
                  <c:v>2.3269999999999999E-2</c:v>
                </c:pt>
                <c:pt idx="397">
                  <c:v>2.29E-2</c:v>
                </c:pt>
                <c:pt idx="398">
                  <c:v>2.3300000000000001E-2</c:v>
                </c:pt>
                <c:pt idx="399">
                  <c:v>2.3529999999999999E-2</c:v>
                </c:pt>
                <c:pt idx="400">
                  <c:v>2.103E-2</c:v>
                </c:pt>
                <c:pt idx="401">
                  <c:v>2.5270000000000001E-2</c:v>
                </c:pt>
                <c:pt idx="402">
                  <c:v>2.5649999999999999E-2</c:v>
                </c:pt>
                <c:pt idx="403">
                  <c:v>2.7570000000000001E-2</c:v>
                </c:pt>
                <c:pt idx="404">
                  <c:v>2.7349999999999999E-2</c:v>
                </c:pt>
                <c:pt idx="405">
                  <c:v>2.751E-2</c:v>
                </c:pt>
                <c:pt idx="406">
                  <c:v>2.6499999999999999E-2</c:v>
                </c:pt>
                <c:pt idx="407">
                  <c:v>2.6450000000000001E-2</c:v>
                </c:pt>
                <c:pt idx="408">
                  <c:v>2.6110000000000001E-2</c:v>
                </c:pt>
                <c:pt idx="409">
                  <c:v>2.5739999999999999E-2</c:v>
                </c:pt>
                <c:pt idx="410">
                  <c:v>2.5930000000000002E-2</c:v>
                </c:pt>
                <c:pt idx="411">
                  <c:v>2.5829999999999999E-2</c:v>
                </c:pt>
                <c:pt idx="412">
                  <c:v>2.5219999999999999E-2</c:v>
                </c:pt>
                <c:pt idx="413">
                  <c:v>2.5850000000000001E-2</c:v>
                </c:pt>
                <c:pt idx="414">
                  <c:v>2.6970000000000001E-2</c:v>
                </c:pt>
                <c:pt idx="415">
                  <c:v>2.5430000000000001E-2</c:v>
                </c:pt>
                <c:pt idx="416">
                  <c:v>2.836E-2</c:v>
                </c:pt>
                <c:pt idx="417">
                  <c:v>2.997E-2</c:v>
                </c:pt>
                <c:pt idx="418">
                  <c:v>2.707E-2</c:v>
                </c:pt>
                <c:pt idx="419">
                  <c:v>2.5399999999999999E-2</c:v>
                </c:pt>
                <c:pt idx="420">
                  <c:v>2.8639999999999999E-2</c:v>
                </c:pt>
                <c:pt idx="421">
                  <c:v>2.8840000000000001E-2</c:v>
                </c:pt>
                <c:pt idx="422">
                  <c:v>2.9819999999999999E-2</c:v>
                </c:pt>
                <c:pt idx="423">
                  <c:v>2.3349999999999999E-2</c:v>
                </c:pt>
                <c:pt idx="424">
                  <c:v>2.196E-2</c:v>
                </c:pt>
                <c:pt idx="425">
                  <c:v>2.1899999999999999E-2</c:v>
                </c:pt>
                <c:pt idx="426">
                  <c:v>2.1360000000000001E-2</c:v>
                </c:pt>
                <c:pt idx="427">
                  <c:v>2.1530000000000001E-2</c:v>
                </c:pt>
                <c:pt idx="428">
                  <c:v>2.5600000000000001E-2</c:v>
                </c:pt>
                <c:pt idx="429">
                  <c:v>2.5839999999999998E-2</c:v>
                </c:pt>
                <c:pt idx="430">
                  <c:v>2.4490000000000001E-2</c:v>
                </c:pt>
                <c:pt idx="431">
                  <c:v>2.3279999999999999E-2</c:v>
                </c:pt>
                <c:pt idx="432">
                  <c:v>2.5190000000000001E-2</c:v>
                </c:pt>
                <c:pt idx="433">
                  <c:v>2.291E-2</c:v>
                </c:pt>
                <c:pt idx="434">
                  <c:v>2.1520000000000001E-2</c:v>
                </c:pt>
                <c:pt idx="435">
                  <c:v>2.1950000000000001E-2</c:v>
                </c:pt>
                <c:pt idx="436">
                  <c:v>2.3060000000000001E-2</c:v>
                </c:pt>
                <c:pt idx="437">
                  <c:v>2.2839999999999999E-2</c:v>
                </c:pt>
                <c:pt idx="438">
                  <c:v>2.358E-2</c:v>
                </c:pt>
                <c:pt idx="439">
                  <c:v>1.9939999999999999E-2</c:v>
                </c:pt>
                <c:pt idx="440">
                  <c:v>2.034E-2</c:v>
                </c:pt>
                <c:pt idx="441">
                  <c:v>2.001E-2</c:v>
                </c:pt>
                <c:pt idx="442">
                  <c:v>2.051E-2</c:v>
                </c:pt>
                <c:pt idx="443">
                  <c:v>2.0219999999999998E-2</c:v>
                </c:pt>
                <c:pt idx="444">
                  <c:v>1.983E-2</c:v>
                </c:pt>
                <c:pt idx="445">
                  <c:v>2.0449999999999999E-2</c:v>
                </c:pt>
                <c:pt idx="446">
                  <c:v>1.9740000000000001E-2</c:v>
                </c:pt>
                <c:pt idx="447">
                  <c:v>1.9769999999999999E-2</c:v>
                </c:pt>
                <c:pt idx="448">
                  <c:v>1.8319999999999999E-2</c:v>
                </c:pt>
                <c:pt idx="449">
                  <c:v>1.8290000000000001E-2</c:v>
                </c:pt>
                <c:pt idx="450">
                  <c:v>1.8859999999999998E-2</c:v>
                </c:pt>
                <c:pt idx="451">
                  <c:v>1.984E-2</c:v>
                </c:pt>
                <c:pt idx="452">
                  <c:v>2.2190000000000001E-2</c:v>
                </c:pt>
                <c:pt idx="453">
                  <c:v>2.2270000000000002E-2</c:v>
                </c:pt>
                <c:pt idx="454">
                  <c:v>2.213E-2</c:v>
                </c:pt>
                <c:pt idx="455">
                  <c:v>2.4500000000000001E-2</c:v>
                </c:pt>
                <c:pt idx="456">
                  <c:v>2.5590000000000002E-2</c:v>
                </c:pt>
                <c:pt idx="457">
                  <c:v>2.622E-2</c:v>
                </c:pt>
                <c:pt idx="458">
                  <c:v>2.6179999999999998E-2</c:v>
                </c:pt>
                <c:pt idx="459">
                  <c:v>2.6589999999999999E-2</c:v>
                </c:pt>
                <c:pt idx="460">
                  <c:v>2.5770000000000001E-2</c:v>
                </c:pt>
                <c:pt idx="461">
                  <c:v>2.5600000000000001E-2</c:v>
                </c:pt>
                <c:pt idx="462">
                  <c:v>2.6030000000000001E-2</c:v>
                </c:pt>
                <c:pt idx="463">
                  <c:v>2.5600000000000001E-2</c:v>
                </c:pt>
                <c:pt idx="464">
                  <c:v>2.5430000000000001E-2</c:v>
                </c:pt>
                <c:pt idx="465">
                  <c:v>2.657E-2</c:v>
                </c:pt>
                <c:pt idx="466">
                  <c:v>2.6020000000000001E-2</c:v>
                </c:pt>
                <c:pt idx="467">
                  <c:v>2.5860000000000001E-2</c:v>
                </c:pt>
                <c:pt idx="468">
                  <c:v>2.614E-2</c:v>
                </c:pt>
                <c:pt idx="469">
                  <c:v>2.759E-2</c:v>
                </c:pt>
                <c:pt idx="470">
                  <c:v>2.819E-2</c:v>
                </c:pt>
                <c:pt idx="471">
                  <c:v>2.9020000000000001E-2</c:v>
                </c:pt>
                <c:pt idx="472">
                  <c:v>2.946E-2</c:v>
                </c:pt>
                <c:pt idx="473">
                  <c:v>2.8879999999999999E-2</c:v>
                </c:pt>
                <c:pt idx="474">
                  <c:v>2.963E-2</c:v>
                </c:pt>
                <c:pt idx="475">
                  <c:v>2.9839999999999998E-2</c:v>
                </c:pt>
                <c:pt idx="476">
                  <c:v>2.886E-2</c:v>
                </c:pt>
                <c:pt idx="477">
                  <c:v>2.7879999999999999E-2</c:v>
                </c:pt>
                <c:pt idx="478">
                  <c:v>2.9229999999999999E-2</c:v>
                </c:pt>
                <c:pt idx="479">
                  <c:v>3.288E-2</c:v>
                </c:pt>
                <c:pt idx="480">
                  <c:v>3.2739999999999998E-2</c:v>
                </c:pt>
                <c:pt idx="481">
                  <c:v>3.3369999999999997E-2</c:v>
                </c:pt>
                <c:pt idx="482">
                  <c:v>3.363E-2</c:v>
                </c:pt>
                <c:pt idx="483">
                  <c:v>3.4630000000000001E-2</c:v>
                </c:pt>
                <c:pt idx="484">
                  <c:v>3.5520000000000003E-2</c:v>
                </c:pt>
                <c:pt idx="485">
                  <c:v>3.7830000000000003E-2</c:v>
                </c:pt>
                <c:pt idx="486">
                  <c:v>3.8339999999999999E-2</c:v>
                </c:pt>
                <c:pt idx="487">
                  <c:v>3.8550000000000001E-2</c:v>
                </c:pt>
                <c:pt idx="488">
                  <c:v>3.9399999999999998E-2</c:v>
                </c:pt>
                <c:pt idx="489">
                  <c:v>3.95E-2</c:v>
                </c:pt>
                <c:pt idx="490">
                  <c:v>3.875E-2</c:v>
                </c:pt>
                <c:pt idx="491">
                  <c:v>3.6179999999999997E-2</c:v>
                </c:pt>
                <c:pt idx="492">
                  <c:v>3.7330000000000002E-2</c:v>
                </c:pt>
                <c:pt idx="493">
                  <c:v>3.8089999999999999E-2</c:v>
                </c:pt>
                <c:pt idx="494">
                  <c:v>4.1340000000000002E-2</c:v>
                </c:pt>
                <c:pt idx="495">
                  <c:v>4.3400000000000001E-2</c:v>
                </c:pt>
                <c:pt idx="496">
                  <c:v>4.3450000000000003E-2</c:v>
                </c:pt>
                <c:pt idx="497">
                  <c:v>4.3380000000000002E-2</c:v>
                </c:pt>
                <c:pt idx="498">
                  <c:v>4.1119999999999997E-2</c:v>
                </c:pt>
                <c:pt idx="499">
                  <c:v>3.7539999999999997E-2</c:v>
                </c:pt>
                <c:pt idx="500">
                  <c:v>3.9120000000000002E-2</c:v>
                </c:pt>
                <c:pt idx="501">
                  <c:v>3.8969999999999998E-2</c:v>
                </c:pt>
                <c:pt idx="502">
                  <c:v>4.1110000000000001E-2</c:v>
                </c:pt>
                <c:pt idx="503">
                  <c:v>4.2169999999999999E-2</c:v>
                </c:pt>
                <c:pt idx="504">
                  <c:v>4.3099999999999999E-2</c:v>
                </c:pt>
                <c:pt idx="505">
                  <c:v>4.1029999999999997E-2</c:v>
                </c:pt>
                <c:pt idx="506">
                  <c:v>3.9620000000000002E-2</c:v>
                </c:pt>
                <c:pt idx="507">
                  <c:v>3.9550000000000002E-2</c:v>
                </c:pt>
                <c:pt idx="508">
                  <c:v>4.0039999999999999E-2</c:v>
                </c:pt>
                <c:pt idx="509">
                  <c:v>3.7830000000000003E-2</c:v>
                </c:pt>
                <c:pt idx="510">
                  <c:v>4.9029999999999997E-2</c:v>
                </c:pt>
                <c:pt idx="511">
                  <c:v>5.638E-2</c:v>
                </c:pt>
                <c:pt idx="512">
                  <c:v>6.0679999999999998E-2</c:v>
                </c:pt>
                <c:pt idx="513">
                  <c:v>5.7669999999999999E-2</c:v>
                </c:pt>
                <c:pt idx="514">
                  <c:v>5.885E-2</c:v>
                </c:pt>
                <c:pt idx="515">
                  <c:v>5.9700000000000003E-2</c:v>
                </c:pt>
                <c:pt idx="516">
                  <c:v>5.4330000000000003E-2</c:v>
                </c:pt>
                <c:pt idx="517">
                  <c:v>5.6829999999999999E-2</c:v>
                </c:pt>
                <c:pt idx="518">
                  <c:v>5.4579999999999997E-2</c:v>
                </c:pt>
                <c:pt idx="519">
                  <c:v>5.9299999999999999E-2</c:v>
                </c:pt>
                <c:pt idx="520">
                  <c:v>5.602E-2</c:v>
                </c:pt>
                <c:pt idx="521">
                  <c:v>6.4000000000000001E-2</c:v>
                </c:pt>
                <c:pt idx="522">
                  <c:v>5.2990000000000002E-2</c:v>
                </c:pt>
                <c:pt idx="523">
                  <c:v>0.05</c:v>
                </c:pt>
                <c:pt idx="524">
                  <c:v>4.7989999999999998E-2</c:v>
                </c:pt>
                <c:pt idx="525">
                  <c:v>6.0979999999999999E-2</c:v>
                </c:pt>
                <c:pt idx="526">
                  <c:v>6.0040000000000003E-2</c:v>
                </c:pt>
                <c:pt idx="527">
                  <c:v>6.7500000000000004E-2</c:v>
                </c:pt>
                <c:pt idx="528">
                  <c:v>7.417E-2</c:v>
                </c:pt>
                <c:pt idx="529">
                  <c:v>7.374E-2</c:v>
                </c:pt>
                <c:pt idx="530">
                  <c:v>7.1040000000000006E-2</c:v>
                </c:pt>
                <c:pt idx="531">
                  <c:v>7.1660000000000001E-2</c:v>
                </c:pt>
                <c:pt idx="532">
                  <c:v>6.9550000000000001E-2</c:v>
                </c:pt>
                <c:pt idx="533">
                  <c:v>7.6660000000000006E-2</c:v>
                </c:pt>
                <c:pt idx="534">
                  <c:v>6.8949999999999997E-2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F-4C53-A57C-D963535A4BB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67.043885064212574</c:v>
                </c:pt>
                <c:pt idx="1">
                  <c:v>67.113490530488434</c:v>
                </c:pt>
                <c:pt idx="2">
                  <c:v>72.342711520169203</c:v>
                </c:pt>
                <c:pt idx="3">
                  <c:v>64.35382694681627</c:v>
                </c:pt>
                <c:pt idx="4">
                  <c:v>64.643983887176645</c:v>
                </c:pt>
                <c:pt idx="5">
                  <c:v>62.279424552517064</c:v>
                </c:pt>
                <c:pt idx="6">
                  <c:v>63.306052532405637</c:v>
                </c:pt>
                <c:pt idx="7">
                  <c:v>68.227840321483185</c:v>
                </c:pt>
                <c:pt idx="8">
                  <c:v>74.862326087730537</c:v>
                </c:pt>
                <c:pt idx="9">
                  <c:v>74.06874964683908</c:v>
                </c:pt>
                <c:pt idx="10">
                  <c:v>79.109131204125703</c:v>
                </c:pt>
                <c:pt idx="11">
                  <c:v>80.314851101228697</c:v>
                </c:pt>
                <c:pt idx="12">
                  <c:v>79.811310601606053</c:v>
                </c:pt>
                <c:pt idx="13">
                  <c:v>79.70631877088509</c:v>
                </c:pt>
                <c:pt idx="14">
                  <c:v>75.237349681964758</c:v>
                </c:pt>
                <c:pt idx="15">
                  <c:v>86.345777054071732</c:v>
                </c:pt>
                <c:pt idx="16">
                  <c:v>79.824818729879269</c:v>
                </c:pt>
                <c:pt idx="17">
                  <c:v>74.031513500392222</c:v>
                </c:pt>
                <c:pt idx="18">
                  <c:v>77.040405800454053</c:v>
                </c:pt>
                <c:pt idx="19">
                  <c:v>75.977580795594918</c:v>
                </c:pt>
                <c:pt idx="20">
                  <c:v>78.406961169627081</c:v>
                </c:pt>
                <c:pt idx="21">
                  <c:v>81.226561305454894</c:v>
                </c:pt>
                <c:pt idx="22">
                  <c:v>74.580882368013903</c:v>
                </c:pt>
                <c:pt idx="23">
                  <c:v>76.140297712738729</c:v>
                </c:pt>
                <c:pt idx="24">
                  <c:v>80.019573987917028</c:v>
                </c:pt>
                <c:pt idx="25">
                  <c:v>82.109877252374403</c:v>
                </c:pt>
                <c:pt idx="26">
                  <c:v>79.049283897374394</c:v>
                </c:pt>
                <c:pt idx="27">
                  <c:v>73.645349620153056</c:v>
                </c:pt>
                <c:pt idx="28">
                  <c:v>77.789856097117308</c:v>
                </c:pt>
                <c:pt idx="29">
                  <c:v>76.116617665099696</c:v>
                </c:pt>
                <c:pt idx="30">
                  <c:v>79.447027196074387</c:v>
                </c:pt>
                <c:pt idx="31">
                  <c:v>82.434764490250146</c:v>
                </c:pt>
                <c:pt idx="32">
                  <c:v>83.577117275023824</c:v>
                </c:pt>
                <c:pt idx="33">
                  <c:v>81.436653554468251</c:v>
                </c:pt>
                <c:pt idx="34">
                  <c:v>79.160257775876531</c:v>
                </c:pt>
                <c:pt idx="35">
                  <c:v>83.559611610770077</c:v>
                </c:pt>
                <c:pt idx="36">
                  <c:v>77.059020396064184</c:v>
                </c:pt>
                <c:pt idx="37">
                  <c:v>77.440612304580299</c:v>
                </c:pt>
                <c:pt idx="38">
                  <c:v>74.723755226918612</c:v>
                </c:pt>
                <c:pt idx="39">
                  <c:v>72.572934548641769</c:v>
                </c:pt>
                <c:pt idx="40">
                  <c:v>74.818004751016773</c:v>
                </c:pt>
                <c:pt idx="41">
                  <c:v>70.736307323728326</c:v>
                </c:pt>
                <c:pt idx="42">
                  <c:v>76.021588767839432</c:v>
                </c:pt>
                <c:pt idx="43">
                  <c:v>81.383839259796972</c:v>
                </c:pt>
                <c:pt idx="44">
                  <c:v>76.569240661602208</c:v>
                </c:pt>
                <c:pt idx="45">
                  <c:v>73.479790887983881</c:v>
                </c:pt>
                <c:pt idx="46">
                  <c:v>79.489236333735121</c:v>
                </c:pt>
                <c:pt idx="47">
                  <c:v>76.911466456601559</c:v>
                </c:pt>
                <c:pt idx="48">
                  <c:v>76.768484534268225</c:v>
                </c:pt>
                <c:pt idx="49">
                  <c:v>82.913395683198516</c:v>
                </c:pt>
                <c:pt idx="50">
                  <c:v>91.519100659021518</c:v>
                </c:pt>
                <c:pt idx="51">
                  <c:v>86.086778052090679</c:v>
                </c:pt>
                <c:pt idx="52">
                  <c:v>85.227579651827497</c:v>
                </c:pt>
                <c:pt idx="53">
                  <c:v>76.731484731711234</c:v>
                </c:pt>
                <c:pt idx="54">
                  <c:v>77.781877732465631</c:v>
                </c:pt>
                <c:pt idx="55">
                  <c:v>78.419079775532367</c:v>
                </c:pt>
                <c:pt idx="56">
                  <c:v>81.021386730715051</c:v>
                </c:pt>
                <c:pt idx="57">
                  <c:v>78.513845102779442</c:v>
                </c:pt>
                <c:pt idx="58">
                  <c:v>81.689010203354599</c:v>
                </c:pt>
                <c:pt idx="59">
                  <c:v>83.212132548149299</c:v>
                </c:pt>
                <c:pt idx="60">
                  <c:v>77.905520090247052</c:v>
                </c:pt>
                <c:pt idx="61">
                  <c:v>71.319389014346882</c:v>
                </c:pt>
                <c:pt idx="62">
                  <c:v>70.723993798654561</c:v>
                </c:pt>
                <c:pt idx="63">
                  <c:v>75.467708458802093</c:v>
                </c:pt>
                <c:pt idx="64">
                  <c:v>69.778481722319427</c:v>
                </c:pt>
                <c:pt idx="65">
                  <c:v>70.01662223676388</c:v>
                </c:pt>
                <c:pt idx="66">
                  <c:v>65.339381991705153</c:v>
                </c:pt>
                <c:pt idx="67">
                  <c:v>72.898589198741291</c:v>
                </c:pt>
                <c:pt idx="68">
                  <c:v>76.892217272486874</c:v>
                </c:pt>
                <c:pt idx="69">
                  <c:v>65.316442457672622</c:v>
                </c:pt>
                <c:pt idx="70">
                  <c:v>55.663450912072598</c:v>
                </c:pt>
                <c:pt idx="71">
                  <c:v>61.022497118028106</c:v>
                </c:pt>
                <c:pt idx="72">
                  <c:v>56.466353542389555</c:v>
                </c:pt>
                <c:pt idx="73">
                  <c:v>57.14516316775029</c:v>
                </c:pt>
                <c:pt idx="74">
                  <c:v>58.299060577594453</c:v>
                </c:pt>
                <c:pt idx="75">
                  <c:v>55.779069144768371</c:v>
                </c:pt>
                <c:pt idx="76">
                  <c:v>55.282573139835819</c:v>
                </c:pt>
                <c:pt idx="77">
                  <c:v>54.74052665710262</c:v>
                </c:pt>
                <c:pt idx="78">
                  <c:v>55.052645138475441</c:v>
                </c:pt>
                <c:pt idx="79">
                  <c:v>57.522386803069679</c:v>
                </c:pt>
                <c:pt idx="80">
                  <c:v>54.984976366328794</c:v>
                </c:pt>
                <c:pt idx="81">
                  <c:v>47.960571090058863</c:v>
                </c:pt>
                <c:pt idx="82">
                  <c:v>46.687778484386122</c:v>
                </c:pt>
                <c:pt idx="83">
                  <c:v>45.772452859214418</c:v>
                </c:pt>
                <c:pt idx="84">
                  <c:v>47.410401010732201</c:v>
                </c:pt>
                <c:pt idx="85">
                  <c:v>48.76119926421002</c:v>
                </c:pt>
                <c:pt idx="86">
                  <c:v>48.341832540015922</c:v>
                </c:pt>
                <c:pt idx="87">
                  <c:v>44.789865021194011</c:v>
                </c:pt>
                <c:pt idx="88">
                  <c:v>46.731451340426275</c:v>
                </c:pt>
                <c:pt idx="89">
                  <c:v>42.162249570621313</c:v>
                </c:pt>
                <c:pt idx="90">
                  <c:v>36.434621756276158</c:v>
                </c:pt>
                <c:pt idx="91">
                  <c:v>28.358036859276162</c:v>
                </c:pt>
                <c:pt idx="92">
                  <c:v>23.763943314938988</c:v>
                </c:pt>
                <c:pt idx="93">
                  <c:v>27.516005211984488</c:v>
                </c:pt>
                <c:pt idx="94">
                  <c:v>30.709128100590853</c:v>
                </c:pt>
                <c:pt idx="95">
                  <c:v>28.523451046124993</c:v>
                </c:pt>
                <c:pt idx="96">
                  <c:v>29.32290948755135</c:v>
                </c:pt>
                <c:pt idx="97">
                  <c:v>22.891899972144376</c:v>
                </c:pt>
                <c:pt idx="98">
                  <c:v>22.699385112934763</c:v>
                </c:pt>
                <c:pt idx="99">
                  <c:v>25.244917754792432</c:v>
                </c:pt>
                <c:pt idx="100">
                  <c:v>26.317875166812165</c:v>
                </c:pt>
                <c:pt idx="101">
                  <c:v>23.099460111819464</c:v>
                </c:pt>
                <c:pt idx="102">
                  <c:v>24.037242421647058</c:v>
                </c:pt>
                <c:pt idx="103">
                  <c:v>24.097560853727057</c:v>
                </c:pt>
                <c:pt idx="104">
                  <c:v>24.608200584557558</c:v>
                </c:pt>
                <c:pt idx="105">
                  <c:v>25.093939343005324</c:v>
                </c:pt>
                <c:pt idx="106">
                  <c:v>25.54675769420987</c:v>
                </c:pt>
                <c:pt idx="107">
                  <c:v>23.780230561473026</c:v>
                </c:pt>
                <c:pt idx="108">
                  <c:v>23.819112990147548</c:v>
                </c:pt>
                <c:pt idx="109">
                  <c:v>24.940486784566964</c:v>
                </c:pt>
                <c:pt idx="110">
                  <c:v>27.390942358980169</c:v>
                </c:pt>
                <c:pt idx="111">
                  <c:v>26.833445736184736</c:v>
                </c:pt>
                <c:pt idx="112">
                  <c:v>25.771319452329035</c:v>
                </c:pt>
                <c:pt idx="113">
                  <c:v>24.920601930226312</c:v>
                </c:pt>
                <c:pt idx="114">
                  <c:v>24.335157822899777</c:v>
                </c:pt>
                <c:pt idx="115">
                  <c:v>22.797173493874077</c:v>
                </c:pt>
                <c:pt idx="116">
                  <c:v>22.826902920632698</c:v>
                </c:pt>
                <c:pt idx="117">
                  <c:v>22.708925084016478</c:v>
                </c:pt>
                <c:pt idx="118">
                  <c:v>22.759348442964246</c:v>
                </c:pt>
                <c:pt idx="119">
                  <c:v>22.438626736641194</c:v>
                </c:pt>
                <c:pt idx="120">
                  <c:v>22.192596229622247</c:v>
                </c:pt>
                <c:pt idx="121">
                  <c:v>22.204549302065281</c:v>
                </c:pt>
                <c:pt idx="122">
                  <c:v>22.391263285475418</c:v>
                </c:pt>
                <c:pt idx="123">
                  <c:v>22.577971664616928</c:v>
                </c:pt>
                <c:pt idx="124">
                  <c:v>22.559199074652749</c:v>
                </c:pt>
                <c:pt idx="125">
                  <c:v>22.607745340910814</c:v>
                </c:pt>
                <c:pt idx="126">
                  <c:v>22.69194715392576</c:v>
                </c:pt>
                <c:pt idx="127">
                  <c:v>21.341105575064475</c:v>
                </c:pt>
                <c:pt idx="128">
                  <c:v>20.931743298440239</c:v>
                </c:pt>
                <c:pt idx="129">
                  <c:v>21.370167443916433</c:v>
                </c:pt>
                <c:pt idx="130">
                  <c:v>21.604948831824057</c:v>
                </c:pt>
                <c:pt idx="131">
                  <c:v>21.695819433689731</c:v>
                </c:pt>
                <c:pt idx="132">
                  <c:v>21.683232943698624</c:v>
                </c:pt>
                <c:pt idx="133">
                  <c:v>22.292246138646103</c:v>
                </c:pt>
                <c:pt idx="134">
                  <c:v>22.165346598858701</c:v>
                </c:pt>
                <c:pt idx="135">
                  <c:v>21.80262347159896</c:v>
                </c:pt>
                <c:pt idx="136">
                  <c:v>20.872735333418486</c:v>
                </c:pt>
                <c:pt idx="137">
                  <c:v>21.254279798056618</c:v>
                </c:pt>
                <c:pt idx="138">
                  <c:v>20.333849835608714</c:v>
                </c:pt>
                <c:pt idx="139">
                  <c:v>19.82465207742036</c:v>
                </c:pt>
                <c:pt idx="140">
                  <c:v>20.176763560765945</c:v>
                </c:pt>
                <c:pt idx="141">
                  <c:v>19.643822327971076</c:v>
                </c:pt>
                <c:pt idx="142">
                  <c:v>19.220137288403041</c:v>
                </c:pt>
                <c:pt idx="143">
                  <c:v>19.780901982500691</c:v>
                </c:pt>
                <c:pt idx="144">
                  <c:v>19.382272454176015</c:v>
                </c:pt>
                <c:pt idx="145">
                  <c:v>18.898393702077076</c:v>
                </c:pt>
                <c:pt idx="146">
                  <c:v>18.629242909189461</c:v>
                </c:pt>
                <c:pt idx="147">
                  <c:v>18.857493554299662</c:v>
                </c:pt>
                <c:pt idx="148">
                  <c:v>18.782699628205474</c:v>
                </c:pt>
                <c:pt idx="149">
                  <c:v>18.144061350346135</c:v>
                </c:pt>
                <c:pt idx="150">
                  <c:v>17.757578330163035</c:v>
                </c:pt>
                <c:pt idx="151">
                  <c:v>18.064564619998581</c:v>
                </c:pt>
                <c:pt idx="152">
                  <c:v>17.759931510517468</c:v>
                </c:pt>
                <c:pt idx="153">
                  <c:v>17.707168585525221</c:v>
                </c:pt>
                <c:pt idx="154">
                  <c:v>17.337505219475137</c:v>
                </c:pt>
                <c:pt idx="155">
                  <c:v>17.841458585282396</c:v>
                </c:pt>
                <c:pt idx="156">
                  <c:v>17.436903944485401</c:v>
                </c:pt>
                <c:pt idx="157">
                  <c:v>17.878028314885402</c:v>
                </c:pt>
                <c:pt idx="158">
                  <c:v>17.786539653294099</c:v>
                </c:pt>
                <c:pt idx="159">
                  <c:v>17.768756839294095</c:v>
                </c:pt>
                <c:pt idx="160">
                  <c:v>17.938144650382096</c:v>
                </c:pt>
                <c:pt idx="161">
                  <c:v>17.569723660549244</c:v>
                </c:pt>
                <c:pt idx="162">
                  <c:v>17.240163071358019</c:v>
                </c:pt>
                <c:pt idx="163">
                  <c:v>17.248349689817225</c:v>
                </c:pt>
                <c:pt idx="164">
                  <c:v>17.621030354690642</c:v>
                </c:pt>
                <c:pt idx="165">
                  <c:v>18.166254861343621</c:v>
                </c:pt>
                <c:pt idx="166">
                  <c:v>17.722455592915345</c:v>
                </c:pt>
                <c:pt idx="167">
                  <c:v>17.431574306351589</c:v>
                </c:pt>
                <c:pt idx="168">
                  <c:v>17.087418478115477</c:v>
                </c:pt>
                <c:pt idx="169">
                  <c:v>17.310856285184439</c:v>
                </c:pt>
                <c:pt idx="170">
                  <c:v>17.041225744590381</c:v>
                </c:pt>
                <c:pt idx="171">
                  <c:v>16.943919957862899</c:v>
                </c:pt>
                <c:pt idx="172">
                  <c:v>16.710592239800636</c:v>
                </c:pt>
                <c:pt idx="173">
                  <c:v>17.3891503275999</c:v>
                </c:pt>
                <c:pt idx="174">
                  <c:v>17.218183934317143</c:v>
                </c:pt>
                <c:pt idx="175">
                  <c:v>17.017857648526096</c:v>
                </c:pt>
                <c:pt idx="176">
                  <c:v>16.636757156481277</c:v>
                </c:pt>
                <c:pt idx="177">
                  <c:v>16.235847381873768</c:v>
                </c:pt>
                <c:pt idx="178">
                  <c:v>16.2865015166973</c:v>
                </c:pt>
                <c:pt idx="179">
                  <c:v>16.124482109424573</c:v>
                </c:pt>
                <c:pt idx="180">
                  <c:v>16.539826678962559</c:v>
                </c:pt>
                <c:pt idx="181">
                  <c:v>16.322567733288874</c:v>
                </c:pt>
                <c:pt idx="182">
                  <c:v>15.882130929494695</c:v>
                </c:pt>
                <c:pt idx="183">
                  <c:v>15.461027250880463</c:v>
                </c:pt>
                <c:pt idx="184">
                  <c:v>15.20525310350733</c:v>
                </c:pt>
                <c:pt idx="185">
                  <c:v>15.007246143276562</c:v>
                </c:pt>
                <c:pt idx="186">
                  <c:v>15.227091481541869</c:v>
                </c:pt>
                <c:pt idx="187">
                  <c:v>14.557949365140797</c:v>
                </c:pt>
                <c:pt idx="188">
                  <c:v>15.256983856504434</c:v>
                </c:pt>
                <c:pt idx="189">
                  <c:v>15.157688543075862</c:v>
                </c:pt>
                <c:pt idx="190">
                  <c:v>14.957743614083768</c:v>
                </c:pt>
                <c:pt idx="191">
                  <c:v>14.754271167461491</c:v>
                </c:pt>
                <c:pt idx="192">
                  <c:v>14.982172678892685</c:v>
                </c:pt>
                <c:pt idx="193">
                  <c:v>15.190842288500528</c:v>
                </c:pt>
                <c:pt idx="194">
                  <c:v>15.292457801840527</c:v>
                </c:pt>
                <c:pt idx="195">
                  <c:v>15.214656363809278</c:v>
                </c:pt>
                <c:pt idx="196">
                  <c:v>15.473385237145642</c:v>
                </c:pt>
                <c:pt idx="197">
                  <c:v>15.696873145133877</c:v>
                </c:pt>
                <c:pt idx="198">
                  <c:v>15.451170670774626</c:v>
                </c:pt>
                <c:pt idx="199">
                  <c:v>15.570462778159506</c:v>
                </c:pt>
                <c:pt idx="200">
                  <c:v>15.690043074680958</c:v>
                </c:pt>
                <c:pt idx="201">
                  <c:v>15.382302185064292</c:v>
                </c:pt>
                <c:pt idx="202">
                  <c:v>15.606906018995408</c:v>
                </c:pt>
                <c:pt idx="203">
                  <c:v>15.402557245456949</c:v>
                </c:pt>
                <c:pt idx="204">
                  <c:v>15.678673684587668</c:v>
                </c:pt>
                <c:pt idx="205">
                  <c:v>15.501222113037883</c:v>
                </c:pt>
                <c:pt idx="206">
                  <c:v>15.361411635117886</c:v>
                </c:pt>
                <c:pt idx="207">
                  <c:v>15.446400533656346</c:v>
                </c:pt>
                <c:pt idx="208">
                  <c:v>15.281466483461225</c:v>
                </c:pt>
                <c:pt idx="209">
                  <c:v>15.049459330461227</c:v>
                </c:pt>
                <c:pt idx="210">
                  <c:v>14.738689149341383</c:v>
                </c:pt>
                <c:pt idx="211">
                  <c:v>14.77550923465903</c:v>
                </c:pt>
                <c:pt idx="212">
                  <c:v>14.472172117990242</c:v>
                </c:pt>
                <c:pt idx="213">
                  <c:v>14.189623051444785</c:v>
                </c:pt>
                <c:pt idx="214">
                  <c:v>13.979188310287642</c:v>
                </c:pt>
                <c:pt idx="215">
                  <c:v>13.758681189006493</c:v>
                </c:pt>
                <c:pt idx="216">
                  <c:v>13.522705864924168</c:v>
                </c:pt>
                <c:pt idx="217">
                  <c:v>14.027227896514585</c:v>
                </c:pt>
                <c:pt idx="218">
                  <c:v>13.476299999002988</c:v>
                </c:pt>
                <c:pt idx="219">
                  <c:v>12.854262232002988</c:v>
                </c:pt>
                <c:pt idx="220">
                  <c:v>13.025021581381674</c:v>
                </c:pt>
                <c:pt idx="221">
                  <c:v>14.055319143825129</c:v>
                </c:pt>
                <c:pt idx="222">
                  <c:v>13.899459420552398</c:v>
                </c:pt>
                <c:pt idx="223">
                  <c:v>14.312112194988641</c:v>
                </c:pt>
                <c:pt idx="224">
                  <c:v>14.608705283259189</c:v>
                </c:pt>
                <c:pt idx="225">
                  <c:v>14.39436219488625</c:v>
                </c:pt>
                <c:pt idx="226">
                  <c:v>14.840273853898015</c:v>
                </c:pt>
                <c:pt idx="227">
                  <c:v>14.898157075492218</c:v>
                </c:pt>
                <c:pt idx="228">
                  <c:v>14.667837422215623</c:v>
                </c:pt>
                <c:pt idx="229">
                  <c:v>14.456464848288162</c:v>
                </c:pt>
                <c:pt idx="230">
                  <c:v>14.458520595556561</c:v>
                </c:pt>
                <c:pt idx="231">
                  <c:v>14.960480511079878</c:v>
                </c:pt>
                <c:pt idx="232">
                  <c:v>15.6800813198579</c:v>
                </c:pt>
                <c:pt idx="233">
                  <c:v>15.299711246641117</c:v>
                </c:pt>
                <c:pt idx="234">
                  <c:v>14.723571399338184</c:v>
                </c:pt>
                <c:pt idx="235">
                  <c:v>15.18763639423614</c:v>
                </c:pt>
                <c:pt idx="236">
                  <c:v>14.799746139132692</c:v>
                </c:pt>
                <c:pt idx="237">
                  <c:v>15.012342190318103</c:v>
                </c:pt>
                <c:pt idx="238">
                  <c:v>15.089786464804403</c:v>
                </c:pt>
                <c:pt idx="239">
                  <c:v>14.381223981685872</c:v>
                </c:pt>
                <c:pt idx="240">
                  <c:v>14.132699812597263</c:v>
                </c:pt>
                <c:pt idx="241">
                  <c:v>14.063752614384496</c:v>
                </c:pt>
                <c:pt idx="242">
                  <c:v>13.683681277151114</c:v>
                </c:pt>
                <c:pt idx="243">
                  <c:v>13.550756649199737</c:v>
                </c:pt>
                <c:pt idx="244">
                  <c:v>13.713985064844179</c:v>
                </c:pt>
                <c:pt idx="245">
                  <c:v>13.971830036033852</c:v>
                </c:pt>
                <c:pt idx="246">
                  <c:v>13.980999613629228</c:v>
                </c:pt>
                <c:pt idx="247">
                  <c:v>13.243789723252451</c:v>
                </c:pt>
                <c:pt idx="248">
                  <c:v>13.045323447136976</c:v>
                </c:pt>
                <c:pt idx="249">
                  <c:v>12.25601928205181</c:v>
                </c:pt>
                <c:pt idx="250">
                  <c:v>12.503892378372134</c:v>
                </c:pt>
                <c:pt idx="251">
                  <c:v>12.198482910843339</c:v>
                </c:pt>
                <c:pt idx="252">
                  <c:v>12.262174460516107</c:v>
                </c:pt>
                <c:pt idx="253">
                  <c:v>11.722497652357015</c:v>
                </c:pt>
                <c:pt idx="254">
                  <c:v>12.591770394663197</c:v>
                </c:pt>
                <c:pt idx="255">
                  <c:v>12.67002002865623</c:v>
                </c:pt>
                <c:pt idx="256">
                  <c:v>12.867089197884603</c:v>
                </c:pt>
                <c:pt idx="257">
                  <c:v>12.961984648005179</c:v>
                </c:pt>
                <c:pt idx="258">
                  <c:v>13.209161893265726</c:v>
                </c:pt>
                <c:pt idx="259">
                  <c:v>13.121056010623429</c:v>
                </c:pt>
                <c:pt idx="260">
                  <c:v>12.981587412455362</c:v>
                </c:pt>
                <c:pt idx="261">
                  <c:v>13.515450400498736</c:v>
                </c:pt>
                <c:pt idx="262">
                  <c:v>12.97036062992448</c:v>
                </c:pt>
                <c:pt idx="263">
                  <c:v>13.326089583951127</c:v>
                </c:pt>
                <c:pt idx="264">
                  <c:v>13.210095222517657</c:v>
                </c:pt>
                <c:pt idx="265">
                  <c:v>13.653900524700859</c:v>
                </c:pt>
                <c:pt idx="266">
                  <c:v>14.423587620458433</c:v>
                </c:pt>
                <c:pt idx="267">
                  <c:v>13.903361201157738</c:v>
                </c:pt>
                <c:pt idx="268">
                  <c:v>12.536039709178462</c:v>
                </c:pt>
                <c:pt idx="269">
                  <c:v>13.408521614632011</c:v>
                </c:pt>
                <c:pt idx="270">
                  <c:v>13.691437015865096</c:v>
                </c:pt>
                <c:pt idx="271">
                  <c:v>13.696067924692516</c:v>
                </c:pt>
                <c:pt idx="272">
                  <c:v>13.729786451235292</c:v>
                </c:pt>
                <c:pt idx="273">
                  <c:v>13.148202503071206</c:v>
                </c:pt>
                <c:pt idx="274">
                  <c:v>13.094507589182317</c:v>
                </c:pt>
                <c:pt idx="275">
                  <c:v>13.156605272965034</c:v>
                </c:pt>
                <c:pt idx="276">
                  <c:v>12.771935155366261</c:v>
                </c:pt>
                <c:pt idx="277">
                  <c:v>11.8799523371411</c:v>
                </c:pt>
                <c:pt idx="278">
                  <c:v>12.047150570524185</c:v>
                </c:pt>
                <c:pt idx="279">
                  <c:v>13.018428902905951</c:v>
                </c:pt>
                <c:pt idx="280">
                  <c:v>11.722467255205153</c:v>
                </c:pt>
                <c:pt idx="281">
                  <c:v>13.094229046069602</c:v>
                </c:pt>
                <c:pt idx="282">
                  <c:v>13.818394336407565</c:v>
                </c:pt>
                <c:pt idx="283">
                  <c:v>12.992070087910291</c:v>
                </c:pt>
                <c:pt idx="284">
                  <c:v>14.062697679064268</c:v>
                </c:pt>
                <c:pt idx="285">
                  <c:v>13.139608496842046</c:v>
                </c:pt>
                <c:pt idx="286">
                  <c:v>14.812694994329304</c:v>
                </c:pt>
                <c:pt idx="287">
                  <c:v>14.634383019384718</c:v>
                </c:pt>
                <c:pt idx="288">
                  <c:v>12.524555018949318</c:v>
                </c:pt>
                <c:pt idx="289">
                  <c:v>12.94709964821385</c:v>
                </c:pt>
                <c:pt idx="290">
                  <c:v>12.673915975122945</c:v>
                </c:pt>
                <c:pt idx="291">
                  <c:v>14.005800791337283</c:v>
                </c:pt>
                <c:pt idx="292">
                  <c:v>14.580900536361725</c:v>
                </c:pt>
                <c:pt idx="293">
                  <c:v>13.077558922873175</c:v>
                </c:pt>
                <c:pt idx="294">
                  <c:v>12.706401489033043</c:v>
                </c:pt>
                <c:pt idx="295">
                  <c:v>11.53373486851698</c:v>
                </c:pt>
                <c:pt idx="296">
                  <c:v>12.944272146779333</c:v>
                </c:pt>
                <c:pt idx="297">
                  <c:v>13.178090771166758</c:v>
                </c:pt>
                <c:pt idx="298">
                  <c:v>16.587086012884079</c:v>
                </c:pt>
                <c:pt idx="299">
                  <c:v>12.860052075182715</c:v>
                </c:pt>
                <c:pt idx="300">
                  <c:v>14.527746011412777</c:v>
                </c:pt>
                <c:pt idx="301">
                  <c:v>14.051497107881843</c:v>
                </c:pt>
                <c:pt idx="302">
                  <c:v>16.563759418991054</c:v>
                </c:pt>
                <c:pt idx="303">
                  <c:v>13.802627924599213</c:v>
                </c:pt>
                <c:pt idx="304">
                  <c:v>13.116022938842736</c:v>
                </c:pt>
                <c:pt idx="305">
                  <c:v>12.456720530342736</c:v>
                </c:pt>
                <c:pt idx="306">
                  <c:v>12.764369584553744</c:v>
                </c:pt>
                <c:pt idx="307">
                  <c:v>12.231799565723856</c:v>
                </c:pt>
                <c:pt idx="308">
                  <c:v>11.262552522939632</c:v>
                </c:pt>
                <c:pt idx="309">
                  <c:v>10.961836273821421</c:v>
                </c:pt>
                <c:pt idx="310">
                  <c:v>12.406233637188446</c:v>
                </c:pt>
                <c:pt idx="311">
                  <c:v>12.144048442613979</c:v>
                </c:pt>
                <c:pt idx="312">
                  <c:v>14.122799619612685</c:v>
                </c:pt>
                <c:pt idx="313">
                  <c:v>11.639440195618516</c:v>
                </c:pt>
                <c:pt idx="314">
                  <c:v>14.926756991011773</c:v>
                </c:pt>
                <c:pt idx="315">
                  <c:v>14.243286704125806</c:v>
                </c:pt>
                <c:pt idx="316">
                  <c:v>15.604197972335175</c:v>
                </c:pt>
                <c:pt idx="317">
                  <c:v>10.197671709658513</c:v>
                </c:pt>
                <c:pt idx="318">
                  <c:v>8.3075480123685317</c:v>
                </c:pt>
                <c:pt idx="319">
                  <c:v>7.4270580401453135</c:v>
                </c:pt>
                <c:pt idx="320">
                  <c:v>6.7348187611195067</c:v>
                </c:pt>
                <c:pt idx="321">
                  <c:v>5.2510665058615986</c:v>
                </c:pt>
                <c:pt idx="322">
                  <c:v>5.0697656057769844</c:v>
                </c:pt>
                <c:pt idx="323">
                  <c:v>4.2035821243314411</c:v>
                </c:pt>
                <c:pt idx="324">
                  <c:v>3.8633482789291422</c:v>
                </c:pt>
                <c:pt idx="325">
                  <c:v>2.3321643059291421</c:v>
                </c:pt>
                <c:pt idx="326">
                  <c:v>1.1440238879526969</c:v>
                </c:pt>
                <c:pt idx="327">
                  <c:v>0.52514395024555505</c:v>
                </c:pt>
                <c:pt idx="328">
                  <c:v>0.10526452446116805</c:v>
                </c:pt>
                <c:pt idx="329">
                  <c:v>-2.1822238967180243</c:v>
                </c:pt>
                <c:pt idx="330">
                  <c:v>-2.711164619320432</c:v>
                </c:pt>
                <c:pt idx="331">
                  <c:v>-3.4663455856976775</c:v>
                </c:pt>
                <c:pt idx="332">
                  <c:v>-3.3187959426754565</c:v>
                </c:pt>
                <c:pt idx="333">
                  <c:v>-4.323375432177806</c:v>
                </c:pt>
                <c:pt idx="334">
                  <c:v>-4.0621506249540102</c:v>
                </c:pt>
                <c:pt idx="335">
                  <c:v>-4.3985622982955537</c:v>
                </c:pt>
                <c:pt idx="336">
                  <c:v>-4.41500710373281</c:v>
                </c:pt>
                <c:pt idx="337">
                  <c:v>-3.2450216130563385</c:v>
                </c:pt>
                <c:pt idx="338">
                  <c:v>-4.2700623348696691</c:v>
                </c:pt>
                <c:pt idx="339">
                  <c:v>-3.6579698332968991</c:v>
                </c:pt>
                <c:pt idx="340">
                  <c:v>-3.7395727063377571</c:v>
                </c:pt>
                <c:pt idx="341">
                  <c:v>-4.5610209952231475</c:v>
                </c:pt>
                <c:pt idx="342">
                  <c:v>-3.0197123695346986</c:v>
                </c:pt>
                <c:pt idx="343">
                  <c:v>-4.4293091791831678</c:v>
                </c:pt>
                <c:pt idx="344">
                  <c:v>-6.3441315414536019</c:v>
                </c:pt>
                <c:pt idx="345">
                  <c:v>-6.9272986398629479</c:v>
                </c:pt>
                <c:pt idx="346">
                  <c:v>-7.326749700989442</c:v>
                </c:pt>
                <c:pt idx="347">
                  <c:v>-7.1530708589486238</c:v>
                </c:pt>
                <c:pt idx="348">
                  <c:v>-6.3833208350018884</c:v>
                </c:pt>
                <c:pt idx="349">
                  <c:v>-7.5260185274970617</c:v>
                </c:pt>
                <c:pt idx="350">
                  <c:v>-7.6367922740830494</c:v>
                </c:pt>
                <c:pt idx="351">
                  <c:v>-9.0978540771119523</c:v>
                </c:pt>
                <c:pt idx="352">
                  <c:v>-9.0889181672952564</c:v>
                </c:pt>
                <c:pt idx="353">
                  <c:v>-9.4141272083190994</c:v>
                </c:pt>
                <c:pt idx="354">
                  <c:v>-9.7030863696638043</c:v>
                </c:pt>
                <c:pt idx="355">
                  <c:v>-9.8971070876246792</c:v>
                </c:pt>
                <c:pt idx="356">
                  <c:v>-9.639045238301831</c:v>
                </c:pt>
                <c:pt idx="357">
                  <c:v>-11.977241352043768</c:v>
                </c:pt>
                <c:pt idx="358">
                  <c:v>-11.950504356860094</c:v>
                </c:pt>
                <c:pt idx="359">
                  <c:v>-11.347950736397168</c:v>
                </c:pt>
                <c:pt idx="360">
                  <c:v>-11.694069071952724</c:v>
                </c:pt>
                <c:pt idx="361">
                  <c:v>-12.453658380295579</c:v>
                </c:pt>
                <c:pt idx="362">
                  <c:v>-12.175726956301411</c:v>
                </c:pt>
                <c:pt idx="363">
                  <c:v>-11.686557188984809</c:v>
                </c:pt>
                <c:pt idx="364">
                  <c:v>-9.8944399402178185</c:v>
                </c:pt>
                <c:pt idx="365">
                  <c:v>-10.451424201177618</c:v>
                </c:pt>
                <c:pt idx="366">
                  <c:v>-10.40840249805118</c:v>
                </c:pt>
                <c:pt idx="367">
                  <c:v>-10.697213055477755</c:v>
                </c:pt>
                <c:pt idx="368">
                  <c:v>-8.9022472602086982</c:v>
                </c:pt>
                <c:pt idx="369">
                  <c:v>-9.2636423807969308</c:v>
                </c:pt>
                <c:pt idx="370">
                  <c:v>-9.2410106649554677</c:v>
                </c:pt>
                <c:pt idx="371">
                  <c:v>-9.7543805618041333</c:v>
                </c:pt>
                <c:pt idx="372">
                  <c:v>-9.0564684193284055</c:v>
                </c:pt>
                <c:pt idx="373">
                  <c:v>-9.4543998066262773</c:v>
                </c:pt>
                <c:pt idx="374">
                  <c:v>-8.8160565203921628</c:v>
                </c:pt>
                <c:pt idx="375">
                  <c:v>-9.7488020728509834</c:v>
                </c:pt>
                <c:pt idx="376">
                  <c:v>-10.347704787417355</c:v>
                </c:pt>
                <c:pt idx="377">
                  <c:v>-10.53988092786075</c:v>
                </c:pt>
                <c:pt idx="378">
                  <c:v>-9.3059506556035068</c:v>
                </c:pt>
                <c:pt idx="379">
                  <c:v>-9.3564467618815339</c:v>
                </c:pt>
                <c:pt idx="380">
                  <c:v>-9.8563526404199973</c:v>
                </c:pt>
                <c:pt idx="381">
                  <c:v>-10.079220942518761</c:v>
                </c:pt>
                <c:pt idx="382">
                  <c:v>-9.9774162828044748</c:v>
                </c:pt>
                <c:pt idx="383">
                  <c:v>-9.3999798218008408</c:v>
                </c:pt>
                <c:pt idx="384">
                  <c:v>-9.8800943669107877</c:v>
                </c:pt>
                <c:pt idx="385">
                  <c:v>-9.7081151802273986</c:v>
                </c:pt>
                <c:pt idx="386">
                  <c:v>-9.1774970986889368</c:v>
                </c:pt>
                <c:pt idx="387">
                  <c:v>-9.7750793409071193</c:v>
                </c:pt>
                <c:pt idx="388">
                  <c:v>-10.245670963187118</c:v>
                </c:pt>
                <c:pt idx="389">
                  <c:v>-10.368967753911257</c:v>
                </c:pt>
                <c:pt idx="390">
                  <c:v>-10.611585862936572</c:v>
                </c:pt>
                <c:pt idx="391">
                  <c:v>-10.865972598936573</c:v>
                </c:pt>
                <c:pt idx="392">
                  <c:v>-11.060813756003238</c:v>
                </c:pt>
                <c:pt idx="393">
                  <c:v>-11.123047713695545</c:v>
                </c:pt>
                <c:pt idx="394">
                  <c:v>-10.935289354994691</c:v>
                </c:pt>
                <c:pt idx="395">
                  <c:v>-10.803780621148537</c:v>
                </c:pt>
                <c:pt idx="396">
                  <c:v>-11.011127649302026</c:v>
                </c:pt>
                <c:pt idx="397">
                  <c:v>-10.976853222203259</c:v>
                </c:pt>
                <c:pt idx="398">
                  <c:v>-10.928116272411595</c:v>
                </c:pt>
                <c:pt idx="399">
                  <c:v>-10.866597897046516</c:v>
                </c:pt>
                <c:pt idx="400">
                  <c:v>-11.229223564323773</c:v>
                </c:pt>
                <c:pt idx="401">
                  <c:v>-10.752480629296747</c:v>
                </c:pt>
                <c:pt idx="402">
                  <c:v>-10.850210284647064</c:v>
                </c:pt>
                <c:pt idx="403">
                  <c:v>-10.032610157188241</c:v>
                </c:pt>
                <c:pt idx="404">
                  <c:v>-9.6036643994538</c:v>
                </c:pt>
                <c:pt idx="405">
                  <c:v>-9.3674463165770891</c:v>
                </c:pt>
                <c:pt idx="406">
                  <c:v>-9.3953658241387306</c:v>
                </c:pt>
                <c:pt idx="407">
                  <c:v>-9.1466228859569121</c:v>
                </c:pt>
                <c:pt idx="408">
                  <c:v>-9.3708729056893976</c:v>
                </c:pt>
                <c:pt idx="409">
                  <c:v>-9.4979033338227321</c:v>
                </c:pt>
                <c:pt idx="410">
                  <c:v>-9.3537764735500044</c:v>
                </c:pt>
                <c:pt idx="411">
                  <c:v>-9.2708985068098499</c:v>
                </c:pt>
                <c:pt idx="412">
                  <c:v>-9.3612655137663712</c:v>
                </c:pt>
                <c:pt idx="413">
                  <c:v>-9.3929666332817074</c:v>
                </c:pt>
                <c:pt idx="414">
                  <c:v>-9.1364261446798558</c:v>
                </c:pt>
                <c:pt idx="415">
                  <c:v>-9.6698940304298571</c:v>
                </c:pt>
                <c:pt idx="416">
                  <c:v>-9.202811577728923</c:v>
                </c:pt>
                <c:pt idx="417">
                  <c:v>-8.7761091055836236</c:v>
                </c:pt>
                <c:pt idx="418">
                  <c:v>-9.3749939075457274</c:v>
                </c:pt>
                <c:pt idx="419">
                  <c:v>-9.6309334118629089</c:v>
                </c:pt>
                <c:pt idx="420">
                  <c:v>-9.0883509559940556</c:v>
                </c:pt>
                <c:pt idx="421">
                  <c:v>-8.5726448901545478</c:v>
                </c:pt>
                <c:pt idx="422">
                  <c:v>-9.2539879200314719</c:v>
                </c:pt>
                <c:pt idx="423">
                  <c:v>-8.0959062812951927</c:v>
                </c:pt>
                <c:pt idx="424">
                  <c:v>-8.4665112612951923</c:v>
                </c:pt>
                <c:pt idx="425">
                  <c:v>-8.566350385295193</c:v>
                </c:pt>
                <c:pt idx="426">
                  <c:v>-8.6751622203080956</c:v>
                </c:pt>
                <c:pt idx="427">
                  <c:v>-8.7270357329330963</c:v>
                </c:pt>
                <c:pt idx="428">
                  <c:v>-8.4669373169875577</c:v>
                </c:pt>
                <c:pt idx="429">
                  <c:v>-8.4164996811254902</c:v>
                </c:pt>
                <c:pt idx="430">
                  <c:v>-8.5341538232504881</c:v>
                </c:pt>
                <c:pt idx="431">
                  <c:v>-8.8786874612504896</c:v>
                </c:pt>
                <c:pt idx="432">
                  <c:v>-8.7451789397598052</c:v>
                </c:pt>
                <c:pt idx="433">
                  <c:v>-9.6478584816548505</c:v>
                </c:pt>
                <c:pt idx="434">
                  <c:v>-9.7582285180203101</c:v>
                </c:pt>
                <c:pt idx="435">
                  <c:v>-9.8458225576822844</c:v>
                </c:pt>
                <c:pt idx="436">
                  <c:v>-9.878140170378531</c:v>
                </c:pt>
                <c:pt idx="437">
                  <c:v>-9.6037644440920982</c:v>
                </c:pt>
                <c:pt idx="438">
                  <c:v>-9.5217729223090277</c:v>
                </c:pt>
                <c:pt idx="439">
                  <c:v>-9.8884742545034321</c:v>
                </c:pt>
                <c:pt idx="440">
                  <c:v>-9.8470054509912348</c:v>
                </c:pt>
                <c:pt idx="441">
                  <c:v>-9.9481904639912369</c:v>
                </c:pt>
                <c:pt idx="442">
                  <c:v>-9.8654337733865844</c:v>
                </c:pt>
                <c:pt idx="443">
                  <c:v>-9.644216722259312</c:v>
                </c:pt>
                <c:pt idx="444">
                  <c:v>-9.831814071689692</c:v>
                </c:pt>
                <c:pt idx="445">
                  <c:v>-9.790584477791386</c:v>
                </c:pt>
                <c:pt idx="446">
                  <c:v>-9.9359554812358315</c:v>
                </c:pt>
                <c:pt idx="447">
                  <c:v>-9.6456067782478421</c:v>
                </c:pt>
                <c:pt idx="448">
                  <c:v>-10.018078438610258</c:v>
                </c:pt>
                <c:pt idx="449">
                  <c:v>-10.10597221756859</c:v>
                </c:pt>
                <c:pt idx="450">
                  <c:v>-10.05214190125176</c:v>
                </c:pt>
                <c:pt idx="451">
                  <c:v>-9.8717607950793465</c:v>
                </c:pt>
                <c:pt idx="452">
                  <c:v>-9.4691917620477675</c:v>
                </c:pt>
                <c:pt idx="453">
                  <c:v>-9.4590580460012568</c:v>
                </c:pt>
                <c:pt idx="454">
                  <c:v>-9.3679515137962905</c:v>
                </c:pt>
                <c:pt idx="455">
                  <c:v>-9.0638257367996555</c:v>
                </c:pt>
                <c:pt idx="456">
                  <c:v>-8.9659923756234452</c:v>
                </c:pt>
                <c:pt idx="457">
                  <c:v>-8.9390803822603893</c:v>
                </c:pt>
                <c:pt idx="458">
                  <c:v>-8.9070243725461058</c:v>
                </c:pt>
                <c:pt idx="459">
                  <c:v>-8.6554758799723324</c:v>
                </c:pt>
                <c:pt idx="460">
                  <c:v>-9.1497450743723299</c:v>
                </c:pt>
                <c:pt idx="461">
                  <c:v>-9.1896425693723298</c:v>
                </c:pt>
                <c:pt idx="462">
                  <c:v>-9.1229581665748629</c:v>
                </c:pt>
                <c:pt idx="463">
                  <c:v>-9.2086813065748654</c:v>
                </c:pt>
                <c:pt idx="464">
                  <c:v>-9.0679964338475916</c:v>
                </c:pt>
                <c:pt idx="465">
                  <c:v>-8.5801031470475912</c:v>
                </c:pt>
                <c:pt idx="466">
                  <c:v>-8.6830566910091314</c:v>
                </c:pt>
                <c:pt idx="467">
                  <c:v>-8.6634921077738358</c:v>
                </c:pt>
                <c:pt idx="468">
                  <c:v>-8.5778209317738376</c:v>
                </c:pt>
                <c:pt idx="469">
                  <c:v>-8.4636654363825325</c:v>
                </c:pt>
                <c:pt idx="470">
                  <c:v>-8.4442860963312523</c:v>
                </c:pt>
                <c:pt idx="471">
                  <c:v>-8.422371712298995</c:v>
                </c:pt>
                <c:pt idx="472">
                  <c:v>-8.3825519192989937</c:v>
                </c:pt>
                <c:pt idx="473">
                  <c:v>-8.4050632971269508</c:v>
                </c:pt>
                <c:pt idx="474">
                  <c:v>-8.3162712698296524</c:v>
                </c:pt>
                <c:pt idx="475">
                  <c:v>-8.1746962490296546</c:v>
                </c:pt>
                <c:pt idx="476">
                  <c:v>-8.4841278293927829</c:v>
                </c:pt>
                <c:pt idx="477">
                  <c:v>-8.7591926231251769</c:v>
                </c:pt>
                <c:pt idx="478">
                  <c:v>-8.7831739083401938</c:v>
                </c:pt>
                <c:pt idx="479">
                  <c:v>-8.3915918473401927</c:v>
                </c:pt>
                <c:pt idx="480">
                  <c:v>-8.5856887283401928</c:v>
                </c:pt>
                <c:pt idx="481">
                  <c:v>-8.5401791433401897</c:v>
                </c:pt>
                <c:pt idx="482">
                  <c:v>-8.2388842525603163</c:v>
                </c:pt>
                <c:pt idx="483">
                  <c:v>-8.2579244563211844</c:v>
                </c:pt>
                <c:pt idx="484">
                  <c:v>-7.9978992982035404</c:v>
                </c:pt>
                <c:pt idx="485">
                  <c:v>-7.6016058449426733</c:v>
                </c:pt>
                <c:pt idx="486">
                  <c:v>-7.5812555591531998</c:v>
                </c:pt>
                <c:pt idx="487">
                  <c:v>-7.234294654274219</c:v>
                </c:pt>
                <c:pt idx="488">
                  <c:v>-7.258773295880169</c:v>
                </c:pt>
                <c:pt idx="489">
                  <c:v>-6.9932707695400325</c:v>
                </c:pt>
                <c:pt idx="490">
                  <c:v>-7.078282596703378</c:v>
                </c:pt>
                <c:pt idx="491">
                  <c:v>-7.4208815012385889</c:v>
                </c:pt>
                <c:pt idx="492">
                  <c:v>-7.0953586596852283</c:v>
                </c:pt>
                <c:pt idx="493">
                  <c:v>-6.8428169697435255</c:v>
                </c:pt>
                <c:pt idx="494">
                  <c:v>-6.3923574635152844</c:v>
                </c:pt>
                <c:pt idx="495">
                  <c:v>-6.1671739439473834</c:v>
                </c:pt>
                <c:pt idx="496">
                  <c:v>-5.6449673114285579</c:v>
                </c:pt>
                <c:pt idx="497">
                  <c:v>-5.5155547833411269</c:v>
                </c:pt>
                <c:pt idx="498">
                  <c:v>-7.2264204463792732</c:v>
                </c:pt>
                <c:pt idx="499">
                  <c:v>-8.6582755048968583</c:v>
                </c:pt>
                <c:pt idx="500">
                  <c:v>-7.7649716710468546</c:v>
                </c:pt>
                <c:pt idx="501">
                  <c:v>-7.8321742254511131</c:v>
                </c:pt>
                <c:pt idx="502">
                  <c:v>-7.0193251697016557</c:v>
                </c:pt>
                <c:pt idx="503">
                  <c:v>-7.0812017776485598</c:v>
                </c:pt>
                <c:pt idx="504">
                  <c:v>-7.5652370409540364</c:v>
                </c:pt>
                <c:pt idx="505">
                  <c:v>-8.057212905471749</c:v>
                </c:pt>
                <c:pt idx="506">
                  <c:v>-8.5080950291482207</c:v>
                </c:pt>
                <c:pt idx="507">
                  <c:v>-8.583051977614387</c:v>
                </c:pt>
                <c:pt idx="508">
                  <c:v>-9.0874831671563019</c:v>
                </c:pt>
                <c:pt idx="509">
                  <c:v>-10.132348906958937</c:v>
                </c:pt>
                <c:pt idx="510">
                  <c:v>-8.9145012690760836</c:v>
                </c:pt>
                <c:pt idx="511">
                  <c:v>-8.7138127992084904</c:v>
                </c:pt>
                <c:pt idx="512">
                  <c:v>-4.0443704969155023</c:v>
                </c:pt>
                <c:pt idx="513">
                  <c:v>-5.3116171632012152</c:v>
                </c:pt>
                <c:pt idx="514">
                  <c:v>-5.6211791255476209</c:v>
                </c:pt>
                <c:pt idx="515">
                  <c:v>-4.9813548276505948</c:v>
                </c:pt>
                <c:pt idx="516">
                  <c:v>-5.1221204599743695</c:v>
                </c:pt>
                <c:pt idx="517">
                  <c:v>-4.7393781504289159</c:v>
                </c:pt>
                <c:pt idx="518">
                  <c:v>-4.9448711509622481</c:v>
                </c:pt>
                <c:pt idx="519">
                  <c:v>-4.8677977998767368</c:v>
                </c:pt>
                <c:pt idx="520">
                  <c:v>-5.3877994064034533</c:v>
                </c:pt>
                <c:pt idx="521">
                  <c:v>-5.0472754665864814</c:v>
                </c:pt>
                <c:pt idx="522">
                  <c:v>-6.2272440420423054</c:v>
                </c:pt>
                <c:pt idx="523">
                  <c:v>-6.3588038946156269</c:v>
                </c:pt>
                <c:pt idx="524">
                  <c:v>-6.982049790753762</c:v>
                </c:pt>
                <c:pt idx="525">
                  <c:v>-5.9443269032161892</c:v>
                </c:pt>
                <c:pt idx="526">
                  <c:v>-6.0466717979669307</c:v>
                </c:pt>
                <c:pt idx="527">
                  <c:v>-5.4478896814792712</c:v>
                </c:pt>
                <c:pt idx="528">
                  <c:v>-4.6749790347858182</c:v>
                </c:pt>
                <c:pt idx="529">
                  <c:v>-3.7828049981045533</c:v>
                </c:pt>
                <c:pt idx="530">
                  <c:v>-4.6015029814453188</c:v>
                </c:pt>
                <c:pt idx="531">
                  <c:v>-5.098672369871764</c:v>
                </c:pt>
                <c:pt idx="532">
                  <c:v>-3.5821502975827406</c:v>
                </c:pt>
                <c:pt idx="533">
                  <c:v>-1.3798177723775205</c:v>
                </c:pt>
                <c:pt idx="534">
                  <c:v>-1.6066074833658845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1F-4C53-A57C-D963535A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201088"/>
        <c:axId val="506200672"/>
      </c:lineChart>
      <c:dateAx>
        <c:axId val="50620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00672"/>
        <c:crosses val="autoZero"/>
        <c:auto val="1"/>
        <c:lblOffset val="100"/>
        <c:baseTimeUnit val="days"/>
      </c:dateAx>
      <c:valAx>
        <c:axId val="50620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0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DF59E8-1F02-408A-A245-16972B4A8166}">
  <sheetPr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6CAA45-913A-4CD7-8EB5-5F8FDEA15EE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0.20199</v>
      </c>
      <c r="D2" s="4">
        <f>MIN(D3:D1912)</f>
        <v>1.7430000000000001E-2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3.9980000000000002E-2</v>
      </c>
      <c r="C5">
        <v>4.0300000000000002E-2</v>
      </c>
      <c r="D5">
        <v>3.943E-2</v>
      </c>
      <c r="E5">
        <v>3.952E-2</v>
      </c>
      <c r="F5">
        <v>8776341.4000000004</v>
      </c>
      <c r="G5">
        <v>3.952E-2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-0.79310344827586321</v>
      </c>
      <c r="Q5">
        <f t="shared" ref="Q5" si="1">F5*P5</f>
        <v>-6960546.6275862176</v>
      </c>
      <c r="R5">
        <f t="shared" ref="R5" si="2">R6+Q5</f>
        <v>6704388506.421257</v>
      </c>
      <c r="S5">
        <f t="shared" ref="S5" si="3">R5/100000</f>
        <v>67043.885064212576</v>
      </c>
      <c r="T5">
        <f t="shared" ref="T5" si="4">S5/1000</f>
        <v>67.043885064212574</v>
      </c>
    </row>
    <row r="6" spans="1:20" x14ac:dyDescent="0.25">
      <c r="A6" s="5">
        <v>44587</v>
      </c>
      <c r="B6">
        <v>3.9289999999999999E-2</v>
      </c>
      <c r="C6">
        <v>4.4949999999999997E-2</v>
      </c>
      <c r="D6">
        <v>3.8809999999999997E-2</v>
      </c>
      <c r="E6">
        <v>3.9969999999999999E-2</v>
      </c>
      <c r="F6">
        <v>840508295.20000005</v>
      </c>
      <c r="G6">
        <v>3.9969999999999999E-2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-0.62214983713354999</v>
      </c>
      <c r="Q6">
        <f t="shared" ref="Q6" si="6">F6*P6</f>
        <v>-522922098.96807778</v>
      </c>
      <c r="R6">
        <f t="shared" ref="R6" si="7">R7+Q6</f>
        <v>6711349053.0488434</v>
      </c>
      <c r="S6">
        <f t="shared" ref="S6" si="8">R6/100000</f>
        <v>67113.490530488431</v>
      </c>
      <c r="T6">
        <f t="shared" ref="T6" si="9">S6/1000</f>
        <v>67.113490530488434</v>
      </c>
    </row>
    <row r="7" spans="1:20" x14ac:dyDescent="0.25">
      <c r="A7" s="5">
        <v>44586</v>
      </c>
      <c r="B7">
        <v>3.7839999999999999E-2</v>
      </c>
      <c r="C7">
        <v>3.9489999999999997E-2</v>
      </c>
      <c r="D7">
        <v>3.7449999999999997E-2</v>
      </c>
      <c r="E7">
        <v>3.9239999999999997E-2</v>
      </c>
      <c r="F7">
        <v>1058267826.6</v>
      </c>
      <c r="G7">
        <v>3.9239999999999997E-2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0.75490196078431349</v>
      </c>
      <c r="Q7">
        <f t="shared" ref="Q7" si="11">F7*P7</f>
        <v>798888457.33529389</v>
      </c>
      <c r="R7">
        <f t="shared" ref="R7" si="12">R8+Q7</f>
        <v>7234271152.016921</v>
      </c>
      <c r="S7">
        <f t="shared" ref="S7" si="13">R7/100000</f>
        <v>72342.711520169207</v>
      </c>
      <c r="T7">
        <f t="shared" ref="T7" si="14">S7/1000</f>
        <v>72.342711520169203</v>
      </c>
    </row>
    <row r="8" spans="1:20" x14ac:dyDescent="0.25">
      <c r="A8" s="5">
        <v>44585</v>
      </c>
      <c r="B8">
        <v>3.9759999999999997E-2</v>
      </c>
      <c r="C8">
        <v>4.1509999999999998E-2</v>
      </c>
      <c r="D8">
        <v>3.4849999999999999E-2</v>
      </c>
      <c r="E8">
        <v>3.7839999999999999E-2</v>
      </c>
      <c r="F8">
        <v>284183121</v>
      </c>
      <c r="G8">
        <v>3.7839999999999999E-2</v>
      </c>
      <c r="L8" t="s">
        <v>8</v>
      </c>
      <c r="M8" t="s">
        <v>7</v>
      </c>
      <c r="N8" t="s">
        <v>7</v>
      </c>
      <c r="P8">
        <f t="shared" ref="P8" si="15">IF(C8=D8,0,((E8-D8)-(C8-E8))/(C8-D8))</f>
        <v>-0.10210210210210212</v>
      </c>
      <c r="Q8">
        <f t="shared" ref="Q8" si="16">F8*P8</f>
        <v>-29015694.036036041</v>
      </c>
      <c r="R8">
        <f t="shared" ref="R8" si="17">R9+Q8</f>
        <v>6435382694.6816273</v>
      </c>
      <c r="S8">
        <f t="shared" ref="S8" si="18">R8/100000</f>
        <v>64353.826946816276</v>
      </c>
      <c r="T8">
        <f t="shared" ref="T8" si="19">S8/1000</f>
        <v>64.35382694681627</v>
      </c>
    </row>
    <row r="9" spans="1:20" x14ac:dyDescent="0.25">
      <c r="A9" s="5">
        <v>44584</v>
      </c>
      <c r="B9">
        <v>3.8940000000000002E-2</v>
      </c>
      <c r="C9">
        <v>4.0500000000000001E-2</v>
      </c>
      <c r="D9">
        <v>3.8150000000000003E-2</v>
      </c>
      <c r="E9">
        <v>3.9800000000000002E-2</v>
      </c>
      <c r="F9">
        <v>584917309.10000002</v>
      </c>
      <c r="G9">
        <v>3.9800000000000002E-2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0.40425531914893631</v>
      </c>
      <c r="Q9">
        <f t="shared" ref="Q9" si="21">F9*P9</f>
        <v>236455933.46595755</v>
      </c>
      <c r="R9">
        <f t="shared" ref="R9" si="22">R10+Q9</f>
        <v>6464398388.7176638</v>
      </c>
      <c r="S9">
        <f t="shared" ref="S9" si="23">R9/100000</f>
        <v>64643.983887176641</v>
      </c>
      <c r="T9">
        <f t="shared" ref="T9" si="24">S9/1000</f>
        <v>64.643983887176645</v>
      </c>
    </row>
    <row r="10" spans="1:20" x14ac:dyDescent="0.25">
      <c r="A10" s="5">
        <v>44583</v>
      </c>
      <c r="B10">
        <v>4.2529999999999998E-2</v>
      </c>
      <c r="C10">
        <v>4.3099999999999999E-2</v>
      </c>
      <c r="D10">
        <v>3.5920000000000001E-2</v>
      </c>
      <c r="E10">
        <v>3.8830000000000003E-2</v>
      </c>
      <c r="F10">
        <v>541999183.5</v>
      </c>
      <c r="G10">
        <v>3.8830000000000003E-2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-0.18941504178272889</v>
      </c>
      <c r="Q10">
        <f t="shared" ref="Q10" si="26">F10*P10</f>
        <v>-102662797.98885745</v>
      </c>
      <c r="R10">
        <f t="shared" ref="R10" si="27">R11+Q10</f>
        <v>6227942455.2517061</v>
      </c>
      <c r="S10">
        <f t="shared" ref="S10" si="28">R10/100000</f>
        <v>62279.424552517063</v>
      </c>
      <c r="T10">
        <f t="shared" ref="T10" si="29">S10/1000</f>
        <v>62.279424552517064</v>
      </c>
    </row>
    <row r="11" spans="1:20" x14ac:dyDescent="0.25">
      <c r="A11" s="5">
        <v>44582</v>
      </c>
      <c r="B11">
        <v>4.8039999999999999E-2</v>
      </c>
      <c r="C11">
        <v>4.8800000000000003E-2</v>
      </c>
      <c r="D11">
        <v>4.1579999999999999E-2</v>
      </c>
      <c r="E11">
        <v>4.258E-2</v>
      </c>
      <c r="F11">
        <v>680753023.70000005</v>
      </c>
      <c r="G11">
        <v>4.258E-2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-0.72299168975069239</v>
      </c>
      <c r="Q11">
        <f t="shared" ref="Q11" si="31">F11*P11</f>
        <v>-492178778.90775615</v>
      </c>
      <c r="R11">
        <f t="shared" ref="R11" si="32">R12+Q11</f>
        <v>6330605253.2405634</v>
      </c>
      <c r="S11">
        <f t="shared" ref="S11" si="33">R11/100000</f>
        <v>63306.052532405636</v>
      </c>
      <c r="T11">
        <f t="shared" ref="T11" si="34">S11/1000</f>
        <v>63.306052532405637</v>
      </c>
    </row>
    <row r="12" spans="1:20" x14ac:dyDescent="0.25">
      <c r="A12" s="5">
        <v>44581</v>
      </c>
      <c r="B12">
        <v>4.9790000000000001E-2</v>
      </c>
      <c r="C12">
        <v>5.1659999999999998E-2</v>
      </c>
      <c r="D12">
        <v>4.786E-2</v>
      </c>
      <c r="E12">
        <v>4.8070000000000002E-2</v>
      </c>
      <c r="F12">
        <v>745888932.29999995</v>
      </c>
      <c r="G12">
        <v>4.8070000000000002E-2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-0.88947368421052531</v>
      </c>
      <c r="Q12">
        <f t="shared" ref="Q12" si="36">F12*P12</f>
        <v>-663448576.62473607</v>
      </c>
      <c r="R12">
        <f t="shared" ref="R12" si="37">R13+Q12</f>
        <v>6822784032.1483192</v>
      </c>
      <c r="S12">
        <f t="shared" ref="S12" si="38">R12/100000</f>
        <v>68227.840321483192</v>
      </c>
      <c r="T12">
        <f t="shared" ref="T12" si="39">S12/1000</f>
        <v>68.227840321483185</v>
      </c>
    </row>
    <row r="13" spans="1:20" x14ac:dyDescent="0.25">
      <c r="A13" s="5">
        <v>44580</v>
      </c>
      <c r="B13">
        <v>5.0180000000000002E-2</v>
      </c>
      <c r="C13">
        <v>5.0819999999999997E-2</v>
      </c>
      <c r="D13">
        <v>4.8239999999999998E-2</v>
      </c>
      <c r="E13">
        <v>4.9779999999999998E-2</v>
      </c>
      <c r="F13">
        <v>409485443.5</v>
      </c>
      <c r="G13">
        <v>4.9779999999999998E-2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0.19379844961240336</v>
      </c>
      <c r="Q13">
        <f t="shared" ref="Q13" si="41">F13*P13</f>
        <v>79357644.089147389</v>
      </c>
      <c r="R13">
        <f t="shared" ref="R13" si="42">R14+Q13</f>
        <v>7486232608.7730551</v>
      </c>
      <c r="S13">
        <f t="shared" ref="S13" si="43">R13/100000</f>
        <v>74862.326087730544</v>
      </c>
      <c r="T13">
        <f t="shared" ref="T13" si="44">S13/1000</f>
        <v>74.862326087730537</v>
      </c>
    </row>
    <row r="14" spans="1:20" x14ac:dyDescent="0.25">
      <c r="A14" s="5">
        <v>44579</v>
      </c>
      <c r="B14">
        <v>5.3620000000000001E-2</v>
      </c>
      <c r="C14">
        <v>5.4140000000000001E-2</v>
      </c>
      <c r="D14">
        <v>4.9430000000000002E-2</v>
      </c>
      <c r="E14">
        <v>5.0180000000000002E-2</v>
      </c>
      <c r="F14">
        <v>739570004.20000005</v>
      </c>
      <c r="G14">
        <v>5.0180000000000002E-2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-0.68152866242038179</v>
      </c>
      <c r="Q14">
        <f t="shared" ref="Q14" si="46">F14*P14</f>
        <v>-504038155.72866219</v>
      </c>
      <c r="R14">
        <f t="shared" ref="R14" si="47">R15+Q14</f>
        <v>7406874964.6839075</v>
      </c>
      <c r="S14">
        <f t="shared" ref="S14" si="48">R14/100000</f>
        <v>74068.749646839075</v>
      </c>
      <c r="T14">
        <f t="shared" ref="T14" si="49">S14/1000</f>
        <v>74.06874964683908</v>
      </c>
    </row>
    <row r="15" spans="1:20" x14ac:dyDescent="0.25">
      <c r="A15" s="5">
        <v>44578</v>
      </c>
      <c r="B15">
        <v>5.1880000000000003E-2</v>
      </c>
      <c r="C15">
        <v>5.6259999999999998E-2</v>
      </c>
      <c r="D15">
        <v>5.16E-2</v>
      </c>
      <c r="E15">
        <v>5.364E-2</v>
      </c>
      <c r="F15">
        <v>968733572.5</v>
      </c>
      <c r="G15">
        <v>5.364E-2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-0.12446351931330418</v>
      </c>
      <c r="Q15">
        <f t="shared" ref="Q15" si="51">F15*P15</f>
        <v>-120571989.71029991</v>
      </c>
      <c r="R15">
        <f t="shared" ref="R15" si="52">R16+Q15</f>
        <v>7910913120.41257</v>
      </c>
      <c r="S15">
        <f t="shared" ref="S15" si="53">R15/100000</f>
        <v>79109.131204125704</v>
      </c>
      <c r="T15">
        <f t="shared" ref="T15" si="54">S15/1000</f>
        <v>79.109131204125703</v>
      </c>
    </row>
    <row r="16" spans="1:20" x14ac:dyDescent="0.25">
      <c r="A16" s="5">
        <v>44577</v>
      </c>
      <c r="B16">
        <v>5.0930000000000003E-2</v>
      </c>
      <c r="C16">
        <v>5.2429999999999997E-2</v>
      </c>
      <c r="D16">
        <v>5.0840000000000003E-2</v>
      </c>
      <c r="E16">
        <v>5.1860000000000003E-2</v>
      </c>
      <c r="F16">
        <v>177917643.19999999</v>
      </c>
      <c r="G16">
        <v>5.1860000000000003E-2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0.28301886792453307</v>
      </c>
      <c r="Q16">
        <f t="shared" ref="Q16" si="56">F16*P16</f>
        <v>50354049.962264992</v>
      </c>
      <c r="R16">
        <f t="shared" ref="R16" si="57">R17+Q16</f>
        <v>8031485110.1228695</v>
      </c>
      <c r="S16">
        <f t="shared" ref="S16" si="58">R16/100000</f>
        <v>80314.851101228691</v>
      </c>
      <c r="T16">
        <f t="shared" ref="T16" si="59">S16/1000</f>
        <v>80.314851101228697</v>
      </c>
    </row>
    <row r="17" spans="1:20" x14ac:dyDescent="0.25">
      <c r="A17" s="5">
        <v>44576</v>
      </c>
      <c r="B17">
        <v>5.092E-2</v>
      </c>
      <c r="C17">
        <v>5.1999999999999998E-2</v>
      </c>
      <c r="D17">
        <v>4.9849999999999998E-2</v>
      </c>
      <c r="E17">
        <v>5.0950000000000002E-2</v>
      </c>
      <c r="F17">
        <v>451464872.10000002</v>
      </c>
      <c r="G17">
        <v>5.0950000000000002E-2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2.3255813953492275E-2</v>
      </c>
      <c r="Q17">
        <f t="shared" ref="Q17" si="61">F17*P17</f>
        <v>10499183.072094785</v>
      </c>
      <c r="R17">
        <f t="shared" ref="R17" si="62">R18+Q17</f>
        <v>7981131060.1606045</v>
      </c>
      <c r="S17">
        <f t="shared" ref="S17" si="63">R17/100000</f>
        <v>79811.310601606048</v>
      </c>
      <c r="T17">
        <f t="shared" ref="T17" si="64">S17/1000</f>
        <v>79.811310601606053</v>
      </c>
    </row>
    <row r="18" spans="1:20" x14ac:dyDescent="0.25">
      <c r="A18" s="5">
        <v>44575</v>
      </c>
      <c r="B18">
        <v>4.956E-2</v>
      </c>
      <c r="C18">
        <v>5.1310000000000001E-2</v>
      </c>
      <c r="D18">
        <v>4.9050000000000003E-2</v>
      </c>
      <c r="E18">
        <v>5.0900000000000001E-2</v>
      </c>
      <c r="F18">
        <v>701379870.89999998</v>
      </c>
      <c r="G18">
        <v>5.0900000000000001E-2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0.63716814159291946</v>
      </c>
      <c r="Q18">
        <f t="shared" ref="Q18" si="66">F18*P18</f>
        <v>446896908.89203477</v>
      </c>
      <c r="R18">
        <f t="shared" ref="R18" si="67">R19+Q18</f>
        <v>7970631877.0885096</v>
      </c>
      <c r="S18">
        <f t="shared" ref="S18" si="68">R18/100000</f>
        <v>79706.318770885089</v>
      </c>
      <c r="T18">
        <f t="shared" ref="T18" si="69">S18/1000</f>
        <v>79.70631877088509</v>
      </c>
    </row>
    <row r="19" spans="1:20" x14ac:dyDescent="0.25">
      <c r="A19" s="5">
        <v>44574</v>
      </c>
      <c r="B19">
        <v>5.0610000000000002E-2</v>
      </c>
      <c r="C19">
        <v>5.1670000000000001E-2</v>
      </c>
      <c r="D19">
        <v>4.9520000000000002E-2</v>
      </c>
      <c r="E19">
        <v>4.9540000000000001E-2</v>
      </c>
      <c r="F19">
        <v>1131901367.3</v>
      </c>
      <c r="G19">
        <v>4.9540000000000001E-2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-0.98139534883721002</v>
      </c>
      <c r="Q19">
        <f t="shared" ref="Q19" si="71">F19*P19</f>
        <v>-1110842737.2106984</v>
      </c>
      <c r="R19">
        <f t="shared" ref="R19" si="72">R20+Q19</f>
        <v>7523734968.196475</v>
      </c>
      <c r="S19">
        <f t="shared" ref="S19" si="73">R19/100000</f>
        <v>75237.349681964755</v>
      </c>
      <c r="T19">
        <f t="shared" ref="T19" si="74">S19/1000</f>
        <v>75.237349681964758</v>
      </c>
    </row>
    <row r="20" spans="1:20" x14ac:dyDescent="0.25">
      <c r="A20" s="5">
        <v>44573</v>
      </c>
      <c r="B20">
        <v>4.8160000000000001E-2</v>
      </c>
      <c r="C20">
        <v>5.0799999999999998E-2</v>
      </c>
      <c r="D20">
        <v>4.8149999999999998E-2</v>
      </c>
      <c r="E20">
        <v>5.0610000000000002E-2</v>
      </c>
      <c r="F20">
        <v>761257249.29999995</v>
      </c>
      <c r="G20">
        <v>5.0610000000000002E-2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0.85660377358490891</v>
      </c>
      <c r="Q20">
        <f t="shared" ref="Q20" si="76">F20*P20</f>
        <v>652095832.41924775</v>
      </c>
      <c r="R20">
        <f t="shared" ref="R20" si="77">R21+Q20</f>
        <v>8634577705.4071732</v>
      </c>
      <c r="S20">
        <f t="shared" ref="S20" si="78">R20/100000</f>
        <v>86345.777054071732</v>
      </c>
      <c r="T20">
        <f t="shared" ref="T20" si="79">S20/1000</f>
        <v>86.345777054071732</v>
      </c>
    </row>
    <row r="21" spans="1:20" x14ac:dyDescent="0.25">
      <c r="A21" s="5">
        <v>44572</v>
      </c>
      <c r="B21">
        <v>4.7010000000000003E-2</v>
      </c>
      <c r="C21">
        <v>4.8379999999999999E-2</v>
      </c>
      <c r="D21">
        <v>4.6449999999999998E-2</v>
      </c>
      <c r="E21">
        <v>4.8169999999999998E-2</v>
      </c>
      <c r="F21">
        <v>740468814.10000002</v>
      </c>
      <c r="G21">
        <v>4.8169999999999998E-2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0.7823834196891174</v>
      </c>
      <c r="Q21">
        <f t="shared" ref="Q21" si="81">F21*P21</f>
        <v>579330522.94870341</v>
      </c>
      <c r="R21">
        <f t="shared" ref="R21" si="82">R22+Q21</f>
        <v>7982481872.9879255</v>
      </c>
      <c r="S21">
        <f t="shared" ref="S21" si="83">R21/100000</f>
        <v>79824.818729879262</v>
      </c>
      <c r="T21">
        <f t="shared" ref="T21" si="84">S21/1000</f>
        <v>79.824818729879269</v>
      </c>
    </row>
    <row r="22" spans="1:20" x14ac:dyDescent="0.25">
      <c r="A22" s="5">
        <v>44571</v>
      </c>
      <c r="B22">
        <v>4.9320000000000003E-2</v>
      </c>
      <c r="C22">
        <v>5.0180000000000002E-2</v>
      </c>
      <c r="D22">
        <v>4.5490000000000003E-2</v>
      </c>
      <c r="E22">
        <v>4.7E-2</v>
      </c>
      <c r="F22">
        <v>845012268.70000005</v>
      </c>
      <c r="G22">
        <v>4.7E-2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-0.35607675906183472</v>
      </c>
      <c r="Q22">
        <f t="shared" ref="Q22" si="86">F22*P22</f>
        <v>-300889230.00618428</v>
      </c>
      <c r="R22">
        <f t="shared" ref="R22" si="87">R23+Q22</f>
        <v>7403151350.0392218</v>
      </c>
      <c r="S22">
        <f t="shared" ref="S22" si="88">R22/100000</f>
        <v>74031.513500392219</v>
      </c>
      <c r="T22">
        <f t="shared" ref="T22" si="89">S22/1000</f>
        <v>74.031513500392222</v>
      </c>
    </row>
    <row r="23" spans="1:20" x14ac:dyDescent="0.25">
      <c r="A23" s="5">
        <v>44570</v>
      </c>
      <c r="B23">
        <v>4.8430000000000001E-2</v>
      </c>
      <c r="C23">
        <v>5.015E-2</v>
      </c>
      <c r="D23">
        <v>4.802E-2</v>
      </c>
      <c r="E23">
        <v>4.931E-2</v>
      </c>
      <c r="F23">
        <v>503070502.30000001</v>
      </c>
      <c r="G23">
        <v>4.931E-2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0.21126760563380237</v>
      </c>
      <c r="Q23">
        <f t="shared" ref="Q23" si="91">F23*P23</f>
        <v>106282500.48591527</v>
      </c>
      <c r="R23">
        <f t="shared" ref="R23" si="92">R24+Q23</f>
        <v>7704040580.0454063</v>
      </c>
      <c r="S23">
        <f t="shared" ref="S23" si="93">R23/100000</f>
        <v>77040.405800454057</v>
      </c>
      <c r="T23">
        <f t="shared" ref="T23" si="94">S23/1000</f>
        <v>77.040405800454053</v>
      </c>
    </row>
    <row r="24" spans="1:20" x14ac:dyDescent="0.25">
      <c r="A24" s="5">
        <v>44569</v>
      </c>
      <c r="B24">
        <v>5.0200000000000002E-2</v>
      </c>
      <c r="C24">
        <v>5.1049999999999998E-2</v>
      </c>
      <c r="D24">
        <v>4.7320000000000001E-2</v>
      </c>
      <c r="E24">
        <v>4.8520000000000001E-2</v>
      </c>
      <c r="F24">
        <v>681322465.79999995</v>
      </c>
      <c r="G24">
        <v>4.8520000000000001E-2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-0.35656836461125974</v>
      </c>
      <c r="Q24">
        <f t="shared" ref="Q24" si="96">F24*P24</f>
        <v>-242938037.40321693</v>
      </c>
      <c r="R24">
        <f t="shared" ref="R24" si="97">R25+Q24</f>
        <v>7597758079.5594912</v>
      </c>
      <c r="S24">
        <f t="shared" ref="S24" si="98">R24/100000</f>
        <v>75977.580795594913</v>
      </c>
      <c r="T24">
        <f t="shared" ref="T24" si="99">S24/1000</f>
        <v>75.977580795594918</v>
      </c>
    </row>
    <row r="25" spans="1:20" x14ac:dyDescent="0.25">
      <c r="A25" s="5">
        <v>44568</v>
      </c>
      <c r="B25">
        <v>5.2089999999999997E-2</v>
      </c>
      <c r="C25">
        <v>5.2159999999999998E-2</v>
      </c>
      <c r="D25">
        <v>4.9140000000000003E-2</v>
      </c>
      <c r="E25">
        <v>5.0180000000000002E-2</v>
      </c>
      <c r="F25">
        <v>905871533</v>
      </c>
      <c r="G25">
        <v>5.0180000000000002E-2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-0.31125827814569468</v>
      </c>
      <c r="Q25">
        <f t="shared" ref="Q25" si="101">F25*P25</f>
        <v>-281960013.58278084</v>
      </c>
      <c r="R25">
        <f t="shared" ref="R25" si="102">R26+Q25</f>
        <v>7840696116.9627085</v>
      </c>
      <c r="S25">
        <f t="shared" ref="S25" si="103">R25/100000</f>
        <v>78406.961169627088</v>
      </c>
      <c r="T25">
        <f t="shared" ref="T25" si="104">S25/1000</f>
        <v>78.406961169627081</v>
      </c>
    </row>
    <row r="26" spans="1:20" x14ac:dyDescent="0.25">
      <c r="A26" s="5">
        <v>44567</v>
      </c>
      <c r="B26">
        <v>5.1909999999999998E-2</v>
      </c>
      <c r="C26">
        <v>5.2260000000000001E-2</v>
      </c>
      <c r="D26">
        <v>5.0310000000000001E-2</v>
      </c>
      <c r="E26">
        <v>5.2089999999999997E-2</v>
      </c>
      <c r="F26">
        <v>804911424.10000002</v>
      </c>
      <c r="G26">
        <v>5.2089999999999997E-2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0.82564102564102215</v>
      </c>
      <c r="Q26">
        <f t="shared" ref="Q26" si="106">F26*P26</f>
        <v>664567893.74409974</v>
      </c>
      <c r="R26">
        <f t="shared" ref="R26" si="107">R27+Q26</f>
        <v>8122656130.5454893</v>
      </c>
      <c r="S26">
        <f t="shared" ref="S26" si="108">R26/100000</f>
        <v>81226.561305454888</v>
      </c>
      <c r="T26">
        <f t="shared" ref="T26" si="109">S26/1000</f>
        <v>81.226561305454894</v>
      </c>
    </row>
    <row r="27" spans="1:20" x14ac:dyDescent="0.25">
      <c r="A27" s="5">
        <v>44566</v>
      </c>
      <c r="B27">
        <v>5.5849999999999997E-2</v>
      </c>
      <c r="C27">
        <v>5.6599999999999998E-2</v>
      </c>
      <c r="D27">
        <v>5.0639999999999998E-2</v>
      </c>
      <c r="E27">
        <v>5.1889999999999999E-2</v>
      </c>
      <c r="F27">
        <v>268616053.60000002</v>
      </c>
      <c r="G27">
        <v>5.1889999999999999E-2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-0.58053691275167751</v>
      </c>
      <c r="Q27">
        <f t="shared" ref="Q27" si="111">F27*P27</f>
        <v>-155941534.47248316</v>
      </c>
      <c r="R27">
        <f t="shared" ref="R27" si="112">R28+Q27</f>
        <v>7458088236.8013897</v>
      </c>
      <c r="S27">
        <f t="shared" ref="S27" si="113">R27/100000</f>
        <v>74580.882368013903</v>
      </c>
      <c r="T27">
        <f t="shared" ref="T27" si="114">S27/1000</f>
        <v>74.580882368013903</v>
      </c>
    </row>
    <row r="28" spans="1:20" x14ac:dyDescent="0.25">
      <c r="A28" s="5">
        <v>44565</v>
      </c>
      <c r="B28">
        <v>5.6610000000000001E-2</v>
      </c>
      <c r="C28">
        <v>6.0479999999999999E-2</v>
      </c>
      <c r="D28">
        <v>5.5320000000000001E-2</v>
      </c>
      <c r="E28">
        <v>5.5780000000000003E-2</v>
      </c>
      <c r="F28">
        <v>472100603.30000001</v>
      </c>
      <c r="G28">
        <v>5.5780000000000003E-2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-0.82170542635658828</v>
      </c>
      <c r="Q28">
        <f t="shared" ref="Q28" si="116">F28*P28</f>
        <v>-387927627.51782906</v>
      </c>
      <c r="R28">
        <f t="shared" ref="R28" si="117">R29+Q28</f>
        <v>7614029771.2738733</v>
      </c>
      <c r="S28">
        <f t="shared" ref="S28" si="118">R28/100000</f>
        <v>76140.297712738728</v>
      </c>
      <c r="T28">
        <f t="shared" ref="T28" si="119">S28/1000</f>
        <v>76.140297712738729</v>
      </c>
    </row>
    <row r="29" spans="1:20" x14ac:dyDescent="0.25">
      <c r="A29" s="5">
        <v>44564</v>
      </c>
      <c r="B29">
        <v>5.7239999999999999E-2</v>
      </c>
      <c r="C29">
        <v>5.8540000000000002E-2</v>
      </c>
      <c r="D29">
        <v>5.5960000000000003E-2</v>
      </c>
      <c r="E29">
        <v>5.67E-2</v>
      </c>
      <c r="F29">
        <v>490271129.30000001</v>
      </c>
      <c r="G29">
        <v>5.67E-2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-0.42635658914728847</v>
      </c>
      <c r="Q29">
        <f t="shared" ref="Q29" si="121">F29*P29</f>
        <v>-209030326.44573724</v>
      </c>
      <c r="R29">
        <f t="shared" ref="R29" si="122">R30+Q29</f>
        <v>8001957398.7917023</v>
      </c>
      <c r="S29">
        <f t="shared" ref="S29" si="123">R29/100000</f>
        <v>80019.573987917029</v>
      </c>
      <c r="T29">
        <f t="shared" ref="T29" si="124">S29/1000</f>
        <v>80.019573987917028</v>
      </c>
    </row>
    <row r="30" spans="1:20" x14ac:dyDescent="0.25">
      <c r="A30" s="5">
        <v>44563</v>
      </c>
      <c r="B30">
        <v>5.5129999999999998E-2</v>
      </c>
      <c r="C30">
        <v>5.806E-2</v>
      </c>
      <c r="D30">
        <v>5.4699999999999999E-2</v>
      </c>
      <c r="E30">
        <v>5.722E-2</v>
      </c>
      <c r="F30">
        <v>612118671</v>
      </c>
      <c r="G30">
        <v>5.722E-2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</v>
      </c>
      <c r="Q30">
        <f t="shared" ref="Q30" si="126">F30*P30</f>
        <v>306059335.5</v>
      </c>
      <c r="R30">
        <f t="shared" ref="R30" si="127">R31+Q30</f>
        <v>8210987725.2374392</v>
      </c>
      <c r="S30">
        <f t="shared" ref="S30" si="128">R30/100000</f>
        <v>82109.877252374397</v>
      </c>
      <c r="T30">
        <f t="shared" ref="T30" si="129">S30/1000</f>
        <v>82.109877252374403</v>
      </c>
    </row>
    <row r="31" spans="1:20" x14ac:dyDescent="0.25">
      <c r="A31" s="5">
        <v>44562</v>
      </c>
      <c r="B31">
        <v>5.3850000000000002E-2</v>
      </c>
      <c r="C31">
        <v>5.5140000000000002E-2</v>
      </c>
      <c r="D31">
        <v>5.3830000000000003E-2</v>
      </c>
      <c r="E31">
        <v>5.5129999999999998E-2</v>
      </c>
      <c r="F31">
        <v>548771620.39999998</v>
      </c>
      <c r="G31">
        <v>5.5129999999999998E-2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0.98473282442747623</v>
      </c>
      <c r="Q31">
        <f t="shared" ref="Q31" si="131">F31*P31</f>
        <v>540393427.72213483</v>
      </c>
      <c r="R31">
        <f t="shared" ref="R31" si="132">R32+Q31</f>
        <v>7904928389.7374392</v>
      </c>
      <c r="S31">
        <f t="shared" ref="S31" si="133">R31/100000</f>
        <v>79049.283897374393</v>
      </c>
      <c r="T31">
        <f t="shared" ref="T31" si="134">S31/1000</f>
        <v>79.049283897374394</v>
      </c>
    </row>
    <row r="32" spans="1:20" x14ac:dyDescent="0.25">
      <c r="A32" s="5">
        <v>44561</v>
      </c>
      <c r="B32">
        <v>5.5390000000000002E-2</v>
      </c>
      <c r="C32">
        <v>5.6160000000000002E-2</v>
      </c>
      <c r="D32">
        <v>5.28E-2</v>
      </c>
      <c r="E32">
        <v>5.3830000000000003E-2</v>
      </c>
      <c r="F32">
        <v>1071195520.2</v>
      </c>
      <c r="G32">
        <v>5.3830000000000003E-2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-0.38690476190476036</v>
      </c>
      <c r="Q32">
        <f t="shared" ref="Q32" si="136">F32*P32</f>
        <v>-414450647.69642693</v>
      </c>
      <c r="R32">
        <f t="shared" ref="R32" si="137">R33+Q32</f>
        <v>7364534962.0153046</v>
      </c>
      <c r="S32">
        <f t="shared" ref="S32" si="138">R32/100000</f>
        <v>73645.349620153051</v>
      </c>
      <c r="T32">
        <f t="shared" ref="T32" si="139">S32/1000</f>
        <v>73.645349620153056</v>
      </c>
    </row>
    <row r="33" spans="1:20" x14ac:dyDescent="0.25">
      <c r="A33" s="5">
        <v>44560</v>
      </c>
      <c r="B33">
        <v>5.4170000000000003E-2</v>
      </c>
      <c r="C33">
        <v>5.5879999999999999E-2</v>
      </c>
      <c r="D33">
        <v>5.3609999999999998E-2</v>
      </c>
      <c r="E33">
        <v>5.5399999999999998E-2</v>
      </c>
      <c r="F33">
        <v>289942842.80000001</v>
      </c>
      <c r="G33">
        <v>5.5399999999999998E-2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0.57709251101321501</v>
      </c>
      <c r="Q33">
        <f t="shared" ref="Q33" si="141">F33*P33</f>
        <v>167323843.20176187</v>
      </c>
      <c r="R33">
        <f t="shared" ref="R33" si="142">R34+Q33</f>
        <v>7778985609.7117319</v>
      </c>
      <c r="S33">
        <f t="shared" ref="S33" si="143">R33/100000</f>
        <v>77789.856097117314</v>
      </c>
      <c r="T33">
        <f t="shared" ref="T33" si="144">S33/1000</f>
        <v>77.789856097117308</v>
      </c>
    </row>
    <row r="34" spans="1:20" x14ac:dyDescent="0.25">
      <c r="A34" s="5">
        <v>44559</v>
      </c>
      <c r="B34">
        <v>5.5370000000000003E-2</v>
      </c>
      <c r="C34">
        <v>5.7070000000000003E-2</v>
      </c>
      <c r="D34">
        <v>5.391E-2</v>
      </c>
      <c r="E34">
        <v>5.4120000000000001E-2</v>
      </c>
      <c r="F34">
        <v>384091026.19999999</v>
      </c>
      <c r="G34">
        <v>5.4120000000000001E-2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-0.86708860759493567</v>
      </c>
      <c r="Q34">
        <f t="shared" ref="Q34" si="146">F34*P34</f>
        <v>-333040953.09746796</v>
      </c>
      <c r="R34">
        <f t="shared" ref="R34" si="147">R35+Q34</f>
        <v>7611661766.5099697</v>
      </c>
      <c r="S34">
        <f t="shared" ref="S34" si="148">R34/100000</f>
        <v>76116.617665099693</v>
      </c>
      <c r="T34">
        <f t="shared" ref="T34" si="149">S34/1000</f>
        <v>76.116617665099696</v>
      </c>
    </row>
    <row r="35" spans="1:20" x14ac:dyDescent="0.25">
      <c r="A35" s="5">
        <v>44558</v>
      </c>
      <c r="B35">
        <v>5.9249999999999997E-2</v>
      </c>
      <c r="C35">
        <v>5.926E-2</v>
      </c>
      <c r="D35">
        <v>5.5050000000000002E-2</v>
      </c>
      <c r="E35">
        <v>5.5370000000000003E-2</v>
      </c>
      <c r="F35">
        <v>352335406.39999998</v>
      </c>
      <c r="G35">
        <v>5.5370000000000003E-2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-0.84798099762470258</v>
      </c>
      <c r="Q35">
        <f t="shared" ref="Q35" si="151">F35*P35</f>
        <v>-298773729.41757703</v>
      </c>
      <c r="R35">
        <f t="shared" ref="R35" si="152">R36+Q35</f>
        <v>7944702719.6074381</v>
      </c>
      <c r="S35">
        <f t="shared" ref="S35" si="153">R35/100000</f>
        <v>79447.027196074385</v>
      </c>
      <c r="T35">
        <f t="shared" ref="T35" si="154">S35/1000</f>
        <v>79.447027196074387</v>
      </c>
    </row>
    <row r="36" spans="1:20" x14ac:dyDescent="0.25">
      <c r="A36" s="5">
        <v>44557</v>
      </c>
      <c r="B36">
        <v>5.8630000000000002E-2</v>
      </c>
      <c r="C36">
        <v>6.0560000000000003E-2</v>
      </c>
      <c r="D36">
        <v>5.8130000000000001E-2</v>
      </c>
      <c r="E36">
        <v>5.9220000000000002E-2</v>
      </c>
      <c r="F36">
        <v>1110366906.8</v>
      </c>
      <c r="G36">
        <v>5.9220000000000002E-2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-0.10288065843621401</v>
      </c>
      <c r="Q36">
        <f t="shared" ref="Q36" si="156">F36*P36</f>
        <v>-114235278.47736627</v>
      </c>
      <c r="R36">
        <f t="shared" ref="R36" si="157">R37+Q36</f>
        <v>8243476449.0250149</v>
      </c>
      <c r="S36">
        <f t="shared" ref="S36" si="158">R36/100000</f>
        <v>82434.764490250149</v>
      </c>
      <c r="T36">
        <f t="shared" ref="T36" si="159">S36/1000</f>
        <v>82.434764490250146</v>
      </c>
    </row>
    <row r="37" spans="1:20" x14ac:dyDescent="0.25">
      <c r="A37" s="5">
        <v>44556</v>
      </c>
      <c r="B37">
        <v>5.8619999999999998E-2</v>
      </c>
      <c r="C37">
        <v>5.8909999999999997E-2</v>
      </c>
      <c r="D37">
        <v>5.7020000000000001E-2</v>
      </c>
      <c r="E37">
        <v>5.8650000000000001E-2</v>
      </c>
      <c r="F37">
        <v>295290250.5</v>
      </c>
      <c r="G37">
        <v>5.8650000000000001E-2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0.7248677248677281</v>
      </c>
      <c r="Q37">
        <f t="shared" ref="Q37" si="161">F37*P37</f>
        <v>214046372.05555651</v>
      </c>
      <c r="R37">
        <f t="shared" ref="R37" si="162">R38+Q37</f>
        <v>8357711727.5023813</v>
      </c>
      <c r="S37">
        <f t="shared" ref="S37" si="163">R37/100000</f>
        <v>83577.117275023818</v>
      </c>
      <c r="T37">
        <f t="shared" ref="T37" si="164">S37/1000</f>
        <v>83.577117275023824</v>
      </c>
    </row>
    <row r="38" spans="1:20" x14ac:dyDescent="0.25">
      <c r="A38" s="5">
        <v>44555</v>
      </c>
      <c r="B38">
        <v>5.7660000000000003E-2</v>
      </c>
      <c r="C38">
        <v>5.9069999999999998E-2</v>
      </c>
      <c r="D38">
        <v>5.738E-2</v>
      </c>
      <c r="E38">
        <v>5.8619999999999998E-2</v>
      </c>
      <c r="F38">
        <v>486975805.80000001</v>
      </c>
      <c r="G38">
        <v>5.8619999999999998E-2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0.46745562130177537</v>
      </c>
      <c r="Q38">
        <f t="shared" ref="Q38" si="166">F38*P38</f>
        <v>227639577.85917172</v>
      </c>
      <c r="R38">
        <f t="shared" ref="R38" si="167">R39+Q38</f>
        <v>8143665355.446825</v>
      </c>
      <c r="S38">
        <f t="shared" ref="S38" si="168">R38/100000</f>
        <v>81436.653554468256</v>
      </c>
      <c r="T38">
        <f t="shared" ref="T38" si="169">S38/1000</f>
        <v>81.436653554468251</v>
      </c>
    </row>
    <row r="39" spans="1:20" x14ac:dyDescent="0.25">
      <c r="A39" s="5">
        <v>44554</v>
      </c>
      <c r="B39">
        <v>5.9450000000000003E-2</v>
      </c>
      <c r="C39">
        <v>6.0010000000000001E-2</v>
      </c>
      <c r="D39">
        <v>5.738E-2</v>
      </c>
      <c r="E39">
        <v>5.7579999999999999E-2</v>
      </c>
      <c r="F39">
        <v>518847559.89999998</v>
      </c>
      <c r="G39">
        <v>5.7579999999999999E-2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-0.84790874524714921</v>
      </c>
      <c r="Q39">
        <f t="shared" ref="Q39" si="171">F39*P39</f>
        <v>-439935383.48935407</v>
      </c>
      <c r="R39">
        <f t="shared" ref="R39" si="172">R40+Q39</f>
        <v>7916025777.5876532</v>
      </c>
      <c r="S39">
        <f t="shared" ref="S39" si="173">R39/100000</f>
        <v>79160.257775876526</v>
      </c>
      <c r="T39">
        <f t="shared" ref="T39" si="174">S39/1000</f>
        <v>79.160257775876531</v>
      </c>
    </row>
    <row r="40" spans="1:20" x14ac:dyDescent="0.25">
      <c r="A40" s="5">
        <v>44553</v>
      </c>
      <c r="B40">
        <v>5.6059999999999999E-2</v>
      </c>
      <c r="C40">
        <v>5.9459999999999999E-2</v>
      </c>
      <c r="D40">
        <v>5.5379999999999999E-2</v>
      </c>
      <c r="E40">
        <v>5.9420000000000001E-2</v>
      </c>
      <c r="F40">
        <v>663060303.89999998</v>
      </c>
      <c r="G40">
        <v>5.9420000000000001E-2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0.98039215686274594</v>
      </c>
      <c r="Q40">
        <f t="shared" ref="Q40" si="176">F40*P40</f>
        <v>650059121.4705888</v>
      </c>
      <c r="R40">
        <f t="shared" ref="R40" si="177">R41+Q40</f>
        <v>8355961161.0770073</v>
      </c>
      <c r="S40">
        <f t="shared" ref="S40" si="178">R40/100000</f>
        <v>83559.61161077008</v>
      </c>
      <c r="T40">
        <f t="shared" ref="T40" si="179">S40/1000</f>
        <v>83.559611610770077</v>
      </c>
    </row>
    <row r="41" spans="1:20" x14ac:dyDescent="0.25">
      <c r="A41" s="5">
        <v>44552</v>
      </c>
      <c r="B41">
        <v>5.5690000000000003E-2</v>
      </c>
      <c r="C41">
        <v>5.6750000000000002E-2</v>
      </c>
      <c r="D41">
        <v>5.5509999999999997E-2</v>
      </c>
      <c r="E41">
        <v>5.6050000000000003E-2</v>
      </c>
      <c r="F41">
        <v>295733729.10000002</v>
      </c>
      <c r="G41">
        <v>5.6050000000000003E-2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-0.12903225806451035</v>
      </c>
      <c r="Q41">
        <f t="shared" ref="Q41" si="181">F41*P41</f>
        <v>-38159190.851611197</v>
      </c>
      <c r="R41">
        <f t="shared" ref="R41" si="182">R42+Q41</f>
        <v>7705902039.6064186</v>
      </c>
      <c r="S41">
        <f t="shared" ref="S41" si="183">R41/100000</f>
        <v>77059.020396064181</v>
      </c>
      <c r="T41">
        <f t="shared" ref="T41" si="184">S41/1000</f>
        <v>77.059020396064184</v>
      </c>
    </row>
    <row r="42" spans="1:20" x14ac:dyDescent="0.25">
      <c r="A42" s="5">
        <v>44551</v>
      </c>
      <c r="B42">
        <v>5.4640000000000001E-2</v>
      </c>
      <c r="C42">
        <v>5.5980000000000002E-2</v>
      </c>
      <c r="D42">
        <v>5.3969999999999997E-2</v>
      </c>
      <c r="E42">
        <v>5.57E-2</v>
      </c>
      <c r="F42">
        <v>376612601.80000001</v>
      </c>
      <c r="G42">
        <v>5.57E-2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0.72139303482586881</v>
      </c>
      <c r="Q42">
        <f t="shared" ref="Q42" si="186">F42*P42</f>
        <v>271685707.76616848</v>
      </c>
      <c r="R42">
        <f t="shared" ref="R42" si="187">R43+Q42</f>
        <v>7744061230.4580297</v>
      </c>
      <c r="S42">
        <f t="shared" ref="S42" si="188">R42/100000</f>
        <v>77440.612304580296</v>
      </c>
      <c r="T42">
        <f t="shared" ref="T42" si="189">S42/1000</f>
        <v>77.440612304580299</v>
      </c>
    </row>
    <row r="43" spans="1:20" x14ac:dyDescent="0.25">
      <c r="A43" s="5">
        <v>44550</v>
      </c>
      <c r="B43">
        <v>5.5590000000000001E-2</v>
      </c>
      <c r="C43">
        <v>5.5849999999999997E-2</v>
      </c>
      <c r="D43">
        <v>5.2310000000000002E-2</v>
      </c>
      <c r="E43">
        <v>5.4629999999999998E-2</v>
      </c>
      <c r="F43">
        <v>692173200.10000002</v>
      </c>
      <c r="G43">
        <v>5.4629999999999998E-2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0.31073446327683574</v>
      </c>
      <c r="Q43">
        <f t="shared" ref="Q43" si="191">F43*P43</f>
        <v>215082067.82768333</v>
      </c>
      <c r="R43">
        <f t="shared" ref="R43" si="192">R44+Q43</f>
        <v>7472375522.6918612</v>
      </c>
      <c r="S43">
        <f t="shared" ref="S43" si="193">R43/100000</f>
        <v>74723.755226918613</v>
      </c>
      <c r="T43">
        <f t="shared" ref="T43" si="194">S43/1000</f>
        <v>74.723755226918612</v>
      </c>
    </row>
    <row r="44" spans="1:20" x14ac:dyDescent="0.25">
      <c r="A44" s="5">
        <v>44549</v>
      </c>
      <c r="B44">
        <v>5.6520000000000001E-2</v>
      </c>
      <c r="C44">
        <v>5.7849999999999999E-2</v>
      </c>
      <c r="D44">
        <v>5.5449999999999999E-2</v>
      </c>
      <c r="E44">
        <v>5.5599999999999997E-2</v>
      </c>
      <c r="F44">
        <v>256579451.69999999</v>
      </c>
      <c r="G44">
        <v>5.5599999999999997E-2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-0.87500000000000222</v>
      </c>
      <c r="Q44">
        <f t="shared" ref="Q44" si="196">F44*P44</f>
        <v>-224507020.23750055</v>
      </c>
      <c r="R44">
        <f t="shared" ref="R44" si="197">R45+Q44</f>
        <v>7257293454.8641777</v>
      </c>
      <c r="S44">
        <f t="shared" ref="S44" si="198">R44/100000</f>
        <v>72572.934548641773</v>
      </c>
      <c r="T44">
        <f t="shared" ref="T44" si="199">S44/1000</f>
        <v>72.572934548641769</v>
      </c>
    </row>
    <row r="45" spans="1:20" x14ac:dyDescent="0.25">
      <c r="A45" s="5">
        <v>44548</v>
      </c>
      <c r="B45">
        <v>5.4710000000000002E-2</v>
      </c>
      <c r="C45">
        <v>5.7099999999999998E-2</v>
      </c>
      <c r="D45">
        <v>5.398E-2</v>
      </c>
      <c r="E45">
        <v>5.6529999999999997E-2</v>
      </c>
      <c r="F45">
        <v>643176564.29999995</v>
      </c>
      <c r="G45">
        <v>5.6529999999999997E-2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0.63461538461538369</v>
      </c>
      <c r="Q45">
        <f t="shared" ref="Q45" si="201">F45*P45</f>
        <v>408169742.72884554</v>
      </c>
      <c r="R45">
        <f t="shared" ref="R45" si="202">R46+Q45</f>
        <v>7481800475.1016779</v>
      </c>
      <c r="S45">
        <f t="shared" ref="S45" si="203">R45/100000</f>
        <v>74818.004751016779</v>
      </c>
      <c r="T45">
        <f t="shared" ref="T45" si="204">S45/1000</f>
        <v>74.818004751016773</v>
      </c>
    </row>
    <row r="46" spans="1:20" x14ac:dyDescent="0.25">
      <c r="A46" s="5">
        <v>44547</v>
      </c>
      <c r="B46">
        <v>5.7689999999999998E-2</v>
      </c>
      <c r="C46">
        <v>5.8319999999999997E-2</v>
      </c>
      <c r="D46">
        <v>5.4089999999999999E-2</v>
      </c>
      <c r="E46">
        <v>5.4739999999999997E-2</v>
      </c>
      <c r="F46">
        <v>763028686.29999995</v>
      </c>
      <c r="G46">
        <v>5.4739999999999997E-2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-0.69267139479905526</v>
      </c>
      <c r="Q46">
        <f t="shared" ref="Q46" si="206">F46*P46</f>
        <v>-528528144.41111177</v>
      </c>
      <c r="R46">
        <f t="shared" ref="R46" si="207">R47+Q46</f>
        <v>7073630732.3728323</v>
      </c>
      <c r="S46">
        <f t="shared" ref="S46" si="208">R46/100000</f>
        <v>70736.307323728324</v>
      </c>
      <c r="T46">
        <f t="shared" ref="T46" si="209">S46/1000</f>
        <v>70.736307323728326</v>
      </c>
    </row>
    <row r="47" spans="1:20" x14ac:dyDescent="0.25">
      <c r="A47" s="5">
        <v>44546</v>
      </c>
      <c r="B47">
        <v>5.9479999999999998E-2</v>
      </c>
      <c r="C47">
        <v>6.0179999999999997E-2</v>
      </c>
      <c r="D47">
        <v>5.7590000000000002E-2</v>
      </c>
      <c r="E47">
        <v>5.7700000000000001E-2</v>
      </c>
      <c r="F47">
        <v>586001214.10000002</v>
      </c>
      <c r="G47">
        <v>5.7700000000000001E-2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-0.91505791505791567</v>
      </c>
      <c r="Q47">
        <f t="shared" ref="Q47" si="211">F47*P47</f>
        <v>-536225049.19575328</v>
      </c>
      <c r="R47">
        <f t="shared" ref="R47" si="212">R48+Q47</f>
        <v>7602158876.7839441</v>
      </c>
      <c r="S47">
        <f t="shared" ref="S47" si="213">R47/100000</f>
        <v>76021.588767839436</v>
      </c>
      <c r="T47">
        <f t="shared" ref="T47" si="214">S47/1000</f>
        <v>76.021588767839432</v>
      </c>
    </row>
    <row r="48" spans="1:20" x14ac:dyDescent="0.25">
      <c r="A48" s="5">
        <v>44545</v>
      </c>
      <c r="B48">
        <v>5.8810000000000001E-2</v>
      </c>
      <c r="C48">
        <v>5.9929999999999997E-2</v>
      </c>
      <c r="D48">
        <v>5.5719999999999999E-2</v>
      </c>
      <c r="E48">
        <v>5.9499999999999997E-2</v>
      </c>
      <c r="F48">
        <v>605058510.39999998</v>
      </c>
      <c r="G48">
        <v>5.9499999999999997E-2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0.79572446555819476</v>
      </c>
      <c r="Q48">
        <f t="shared" ref="Q48" si="216">F48*P48</f>
        <v>481459859.81947738</v>
      </c>
      <c r="R48">
        <f t="shared" ref="R48" si="217">R49+Q48</f>
        <v>8138383925.9796972</v>
      </c>
      <c r="S48">
        <f t="shared" ref="S48" si="218">R48/100000</f>
        <v>81383.839259796965</v>
      </c>
      <c r="T48">
        <f t="shared" ref="T48" si="219">S48/1000</f>
        <v>81.383839259796972</v>
      </c>
    </row>
    <row r="49" spans="1:20" x14ac:dyDescent="0.25">
      <c r="A49" s="5">
        <v>44544</v>
      </c>
      <c r="B49">
        <v>5.8459999999999998E-2</v>
      </c>
      <c r="C49">
        <v>5.9549999999999999E-2</v>
      </c>
      <c r="D49">
        <v>5.6930000000000001E-2</v>
      </c>
      <c r="E49">
        <v>5.8810000000000001E-2</v>
      </c>
      <c r="F49">
        <v>710031439.20000005</v>
      </c>
      <c r="G49">
        <v>5.8810000000000001E-2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0.43511450381679517</v>
      </c>
      <c r="Q49">
        <f t="shared" ref="Q49" si="221">F49*P49</f>
        <v>308944977.36183298</v>
      </c>
      <c r="R49">
        <f t="shared" ref="R49" si="222">R50+Q49</f>
        <v>7656924066.1602201</v>
      </c>
      <c r="S49">
        <f t="shared" ref="S49" si="223">R49/100000</f>
        <v>76569.240661602205</v>
      </c>
      <c r="T49">
        <f t="shared" ref="T49" si="224">S49/1000</f>
        <v>76.569240661602208</v>
      </c>
    </row>
    <row r="50" spans="1:20" x14ac:dyDescent="0.25">
      <c r="A50" s="5">
        <v>44543</v>
      </c>
      <c r="B50">
        <v>6.4990000000000006E-2</v>
      </c>
      <c r="C50">
        <v>6.5809999999999994E-2</v>
      </c>
      <c r="D50">
        <v>5.7849999999999999E-2</v>
      </c>
      <c r="E50">
        <v>5.8439999999999999E-2</v>
      </c>
      <c r="F50">
        <v>705533713.10000002</v>
      </c>
      <c r="G50">
        <v>5.8439999999999999E-2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-0.8517587939698491</v>
      </c>
      <c r="Q50">
        <f t="shared" ref="Q50" si="226">F50*P50</f>
        <v>-600944544.57512558</v>
      </c>
      <c r="R50">
        <f t="shared" ref="R50" si="227">R51+Q50</f>
        <v>7347979088.7983875</v>
      </c>
      <c r="S50">
        <f t="shared" ref="S50" si="228">R50/100000</f>
        <v>73479.79088798388</v>
      </c>
      <c r="T50">
        <f t="shared" ref="T50" si="229">S50/1000</f>
        <v>73.479790887983881</v>
      </c>
    </row>
    <row r="51" spans="1:20" x14ac:dyDescent="0.25">
      <c r="A51" s="5">
        <v>44542</v>
      </c>
      <c r="B51">
        <v>6.4310000000000006E-2</v>
      </c>
      <c r="C51">
        <v>6.6229999999999997E-2</v>
      </c>
      <c r="D51">
        <v>6.2859999999999999E-2</v>
      </c>
      <c r="E51">
        <v>6.5030000000000004E-2</v>
      </c>
      <c r="F51">
        <v>895575720.20000005</v>
      </c>
      <c r="G51">
        <v>6.5030000000000004E-2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0.28783382789317896</v>
      </c>
      <c r="Q51">
        <f t="shared" ref="Q51" si="231">F51*P51</f>
        <v>257776987.71335661</v>
      </c>
      <c r="R51">
        <f t="shared" ref="R51" si="232">R52+Q51</f>
        <v>7948923633.3735132</v>
      </c>
      <c r="S51">
        <f t="shared" ref="S51" si="233">R51/100000</f>
        <v>79489.236333735127</v>
      </c>
      <c r="T51">
        <f t="shared" ref="T51" si="234">S51/1000</f>
        <v>79.489236333735121</v>
      </c>
    </row>
    <row r="52" spans="1:20" x14ac:dyDescent="0.25">
      <c r="A52" s="5">
        <v>44541</v>
      </c>
      <c r="B52">
        <v>6.2670000000000003E-2</v>
      </c>
      <c r="C52">
        <v>6.2990000000000004E-2</v>
      </c>
      <c r="D52">
        <v>6.1339999999999999E-2</v>
      </c>
      <c r="E52">
        <v>6.2850000000000003E-2</v>
      </c>
      <c r="F52">
        <v>17220450.5</v>
      </c>
      <c r="G52">
        <v>6.2850000000000003E-2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0.83030303030302943</v>
      </c>
      <c r="Q52">
        <f t="shared" ref="Q52" si="236">F52*P52</f>
        <v>14298192.233333318</v>
      </c>
      <c r="R52">
        <f t="shared" ref="R52" si="237">R53+Q52</f>
        <v>7691146645.6601563</v>
      </c>
      <c r="S52">
        <f t="shared" ref="S52" si="238">R52/100000</f>
        <v>76911.466456601556</v>
      </c>
      <c r="T52">
        <f t="shared" ref="T52" si="239">S52/1000</f>
        <v>76.911466456601559</v>
      </c>
    </row>
    <row r="53" spans="1:20" x14ac:dyDescent="0.25">
      <c r="A53" s="5">
        <v>44540</v>
      </c>
      <c r="B53">
        <v>6.5060000000000007E-2</v>
      </c>
      <c r="C53">
        <v>6.8820000000000006E-2</v>
      </c>
      <c r="D53">
        <v>6.2649999999999997E-2</v>
      </c>
      <c r="E53">
        <v>6.2700000000000006E-2</v>
      </c>
      <c r="F53">
        <v>624614527</v>
      </c>
      <c r="G53">
        <v>6.2700000000000006E-2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-0.98379254457049969</v>
      </c>
      <c r="Q53">
        <f t="shared" ref="Q53" si="241">F53*P53</f>
        <v>-614491114.89302909</v>
      </c>
      <c r="R53">
        <f t="shared" ref="R53" si="242">R54+Q53</f>
        <v>7676848453.4268227</v>
      </c>
      <c r="S53">
        <f t="shared" ref="S53" si="243">R53/100000</f>
        <v>76768.484534268224</v>
      </c>
      <c r="T53">
        <f t="shared" ref="T53" si="244">S53/1000</f>
        <v>76.768484534268225</v>
      </c>
    </row>
    <row r="54" spans="1:20" x14ac:dyDescent="0.25">
      <c r="A54" s="5">
        <v>44539</v>
      </c>
      <c r="B54">
        <v>7.2609999999999994E-2</v>
      </c>
      <c r="C54">
        <v>7.5149999999999995E-2</v>
      </c>
      <c r="D54">
        <v>6.4360000000000001E-2</v>
      </c>
      <c r="E54">
        <v>6.5089999999999995E-2</v>
      </c>
      <c r="F54">
        <v>995236406.10000002</v>
      </c>
      <c r="G54">
        <v>6.5089999999999995E-2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-0.86468952734013071</v>
      </c>
      <c r="Q54">
        <f t="shared" ref="Q54" si="246">F54*P54</f>
        <v>-860570497.58229935</v>
      </c>
      <c r="R54">
        <f t="shared" ref="R54" si="247">R55+Q54</f>
        <v>8291339568.3198519</v>
      </c>
      <c r="S54">
        <f t="shared" ref="S54" si="248">R54/100000</f>
        <v>82913.395683198512</v>
      </c>
      <c r="T54">
        <f t="shared" ref="T54" si="249">S54/1000</f>
        <v>82.913395683198516</v>
      </c>
    </row>
    <row r="55" spans="1:20" x14ac:dyDescent="0.25">
      <c r="A55" s="5">
        <v>44538</v>
      </c>
      <c r="B55">
        <v>6.4829999999999999E-2</v>
      </c>
      <c r="C55">
        <v>7.4639999999999998E-2</v>
      </c>
      <c r="D55">
        <v>6.4519999999999994E-2</v>
      </c>
      <c r="E55">
        <v>7.2609999999999994E-2</v>
      </c>
      <c r="F55">
        <v>907179946.89999998</v>
      </c>
      <c r="G55">
        <v>7.2609999999999994E-2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0.59881422924901118</v>
      </c>
      <c r="Q55">
        <f t="shared" ref="Q55" si="251">F55*P55</f>
        <v>543232260.69308233</v>
      </c>
      <c r="R55">
        <f t="shared" ref="R55" si="252">R56+Q55</f>
        <v>9151910065.9021511</v>
      </c>
      <c r="S55">
        <f t="shared" ref="S55" si="253">R55/100000</f>
        <v>91519.100659021511</v>
      </c>
      <c r="T55">
        <f t="shared" ref="T55" si="254">S55/1000</f>
        <v>91.519100659021518</v>
      </c>
    </row>
    <row r="56" spans="1:20" x14ac:dyDescent="0.25">
      <c r="A56" s="5">
        <v>44537</v>
      </c>
      <c r="B56">
        <v>6.386E-2</v>
      </c>
      <c r="C56">
        <v>6.6350000000000006E-2</v>
      </c>
      <c r="D56">
        <v>6.293E-2</v>
      </c>
      <c r="E56">
        <v>6.4810000000000006E-2</v>
      </c>
      <c r="F56">
        <v>864252508.5</v>
      </c>
      <c r="G56">
        <v>6.4810000000000006E-2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9.9415204678364427E-2</v>
      </c>
      <c r="Q56">
        <f t="shared" ref="Q56" si="256">F56*P56</f>
        <v>85919840.026317388</v>
      </c>
      <c r="R56">
        <f t="shared" ref="R56" si="257">R57+Q56</f>
        <v>8608677805.2090683</v>
      </c>
      <c r="S56">
        <f t="shared" ref="S56" si="258">R56/100000</f>
        <v>86086.778052090682</v>
      </c>
      <c r="T56">
        <f t="shared" ref="T56" si="259">S56/1000</f>
        <v>86.086778052090679</v>
      </c>
    </row>
    <row r="57" spans="1:20" x14ac:dyDescent="0.25">
      <c r="A57" s="5">
        <v>44536</v>
      </c>
      <c r="B57">
        <v>6.0409999999999998E-2</v>
      </c>
      <c r="C57">
        <v>6.5369999999999998E-2</v>
      </c>
      <c r="D57">
        <v>5.5910000000000001E-2</v>
      </c>
      <c r="E57">
        <v>6.3829999999999998E-2</v>
      </c>
      <c r="F57">
        <v>1259765798.5</v>
      </c>
      <c r="G57">
        <v>6.3829999999999998E-2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0.67441860465116277</v>
      </c>
      <c r="Q57">
        <f t="shared" ref="Q57" si="261">F57*P57</f>
        <v>849609492.01162791</v>
      </c>
      <c r="R57">
        <f t="shared" ref="R57" si="262">R58+Q57</f>
        <v>8522757965.1827507</v>
      </c>
      <c r="S57">
        <f t="shared" ref="S57" si="263">R57/100000</f>
        <v>85227.579651827502</v>
      </c>
      <c r="T57">
        <f t="shared" ref="T57" si="264">S57/1000</f>
        <v>85.227579651827497</v>
      </c>
    </row>
    <row r="58" spans="1:20" x14ac:dyDescent="0.25">
      <c r="A58" s="5">
        <v>44535</v>
      </c>
      <c r="B58">
        <v>6.2449999999999999E-2</v>
      </c>
      <c r="C58">
        <v>6.3210000000000002E-2</v>
      </c>
      <c r="D58">
        <v>5.8650000000000001E-2</v>
      </c>
      <c r="E58">
        <v>6.0409999999999998E-2</v>
      </c>
      <c r="F58">
        <v>460556931.10000002</v>
      </c>
      <c r="G58">
        <v>6.0409999999999998E-2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-0.22807017543859778</v>
      </c>
      <c r="Q58">
        <f t="shared" ref="Q58" si="266">F58*P58</f>
        <v>-105039300.0754392</v>
      </c>
      <c r="R58">
        <f t="shared" ref="R58" si="267">R59+Q58</f>
        <v>7673148473.1711226</v>
      </c>
      <c r="S58">
        <f t="shared" ref="S58" si="268">R58/100000</f>
        <v>76731.484731711229</v>
      </c>
      <c r="T58">
        <f t="shared" ref="T58" si="269">S58/1000</f>
        <v>76.731484731711234</v>
      </c>
    </row>
    <row r="59" spans="1:20" x14ac:dyDescent="0.25">
      <c r="A59" s="5">
        <v>44534</v>
      </c>
      <c r="B59">
        <v>7.0830000000000004E-2</v>
      </c>
      <c r="C59">
        <v>7.0849999999999996E-2</v>
      </c>
      <c r="D59">
        <v>5.6469999999999999E-2</v>
      </c>
      <c r="E59">
        <v>6.2509999999999996E-2</v>
      </c>
      <c r="F59">
        <v>398389799.10000002</v>
      </c>
      <c r="G59">
        <v>6.2509999999999996E-2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-0.15994436717663449</v>
      </c>
      <c r="Q59">
        <f t="shared" ref="Q59" si="271">F59*P59</f>
        <v>-63720204.306676053</v>
      </c>
      <c r="R59">
        <f t="shared" ref="R59" si="272">R60+Q59</f>
        <v>7778187773.246562</v>
      </c>
      <c r="S59">
        <f t="shared" ref="S59" si="273">R59/100000</f>
        <v>77781.877732465626</v>
      </c>
      <c r="T59">
        <f t="shared" ref="T59" si="274">S59/1000</f>
        <v>77.781877732465631</v>
      </c>
    </row>
    <row r="60" spans="1:20" x14ac:dyDescent="0.25">
      <c r="A60" s="5">
        <v>44533</v>
      </c>
      <c r="B60">
        <v>7.4560000000000001E-2</v>
      </c>
      <c r="C60">
        <v>7.6060000000000003E-2</v>
      </c>
      <c r="D60">
        <v>6.9709999999999994E-2</v>
      </c>
      <c r="E60">
        <v>7.0879999999999999E-2</v>
      </c>
      <c r="F60">
        <v>412086014.10000002</v>
      </c>
      <c r="G60">
        <v>7.0879999999999999E-2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-0.63149606299212513</v>
      </c>
      <c r="Q60">
        <f t="shared" ref="Q60" si="276">F60*P60</f>
        <v>-260230695.51826739</v>
      </c>
      <c r="R60">
        <f t="shared" ref="R60" si="277">R61+Q60</f>
        <v>7841907977.5532379</v>
      </c>
      <c r="S60">
        <f t="shared" ref="S60" si="278">R60/100000</f>
        <v>78419.079775532373</v>
      </c>
      <c r="T60">
        <f t="shared" ref="T60" si="279">S60/1000</f>
        <v>78.419079775532367</v>
      </c>
    </row>
    <row r="61" spans="1:20" x14ac:dyDescent="0.25">
      <c r="A61" s="5">
        <v>44532</v>
      </c>
      <c r="B61">
        <v>7.4450000000000002E-2</v>
      </c>
      <c r="C61">
        <v>7.51E-2</v>
      </c>
      <c r="D61">
        <v>7.2770000000000001E-2</v>
      </c>
      <c r="E61">
        <v>7.46E-2</v>
      </c>
      <c r="F61">
        <v>439291127.30000001</v>
      </c>
      <c r="G61">
        <v>7.46E-2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0.57081545064377626</v>
      </c>
      <c r="Q61">
        <f t="shared" ref="Q61" si="281">F61*P61</f>
        <v>250754162.793562</v>
      </c>
      <c r="R61">
        <f t="shared" ref="R61" si="282">R62+Q61</f>
        <v>8102138673.0715055</v>
      </c>
      <c r="S61">
        <f t="shared" ref="S61" si="283">R61/100000</f>
        <v>81021.38673071505</v>
      </c>
      <c r="T61">
        <f t="shared" ref="T61" si="284">S61/1000</f>
        <v>81.021386730715051</v>
      </c>
    </row>
    <row r="62" spans="1:20" x14ac:dyDescent="0.25">
      <c r="A62" s="5">
        <v>44531</v>
      </c>
      <c r="B62">
        <v>7.4569999999999997E-2</v>
      </c>
      <c r="C62">
        <v>7.6910000000000006E-2</v>
      </c>
      <c r="D62">
        <v>7.3849999999999999E-2</v>
      </c>
      <c r="E62">
        <v>7.4490000000000001E-2</v>
      </c>
      <c r="F62">
        <v>545842989.20000005</v>
      </c>
      <c r="G62">
        <v>7.4490000000000001E-2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-0.58169934640522869</v>
      </c>
      <c r="Q62">
        <f t="shared" ref="Q62" si="286">F62*P62</f>
        <v>-317516510.05751634</v>
      </c>
      <c r="R62">
        <f t="shared" ref="R62" si="287">R63+Q62</f>
        <v>7851384510.2779436</v>
      </c>
      <c r="S62">
        <f t="shared" ref="S62" si="288">R62/100000</f>
        <v>78513.845102779436</v>
      </c>
      <c r="T62">
        <f t="shared" ref="T62" si="289">S62/1000</f>
        <v>78.513845102779442</v>
      </c>
    </row>
    <row r="63" spans="1:20" x14ac:dyDescent="0.25">
      <c r="A63" s="5">
        <v>44530</v>
      </c>
      <c r="B63">
        <v>7.6240000000000002E-2</v>
      </c>
      <c r="C63">
        <v>7.6649999999999996E-2</v>
      </c>
      <c r="D63">
        <v>7.3630000000000001E-2</v>
      </c>
      <c r="E63">
        <v>7.4480000000000005E-2</v>
      </c>
      <c r="F63">
        <v>348471930.39999998</v>
      </c>
      <c r="G63">
        <v>7.4480000000000005E-2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-0.43708609271522852</v>
      </c>
      <c r="Q63">
        <f t="shared" ref="Q63" si="291">F63*P63</f>
        <v>-152312234.47946906</v>
      </c>
      <c r="R63">
        <f t="shared" ref="R63" si="292">R64+Q63</f>
        <v>8168901020.3354597</v>
      </c>
      <c r="S63">
        <f t="shared" ref="S63" si="293">R63/100000</f>
        <v>81689.010203354599</v>
      </c>
      <c r="T63">
        <f t="shared" ref="T63" si="294">S63/1000</f>
        <v>81.689010203354599</v>
      </c>
    </row>
    <row r="64" spans="1:20" x14ac:dyDescent="0.25">
      <c r="A64" s="5">
        <v>44529</v>
      </c>
      <c r="B64">
        <v>7.4700000000000003E-2</v>
      </c>
      <c r="C64">
        <v>7.6420000000000002E-2</v>
      </c>
      <c r="D64">
        <v>7.3760000000000006E-2</v>
      </c>
      <c r="E64">
        <v>7.6179999999999998E-2</v>
      </c>
      <c r="F64">
        <v>647504088.89999998</v>
      </c>
      <c r="G64">
        <v>7.6179999999999998E-2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0.81954887218044781</v>
      </c>
      <c r="Q64">
        <f t="shared" ref="Q64" si="296">F64*P64</f>
        <v>530661245.79022342</v>
      </c>
      <c r="R64">
        <f t="shared" ref="R64" si="297">R65+Q64</f>
        <v>8321213254.814929</v>
      </c>
      <c r="S64">
        <f t="shared" ref="S64" si="298">R64/100000</f>
        <v>83212.132548149297</v>
      </c>
      <c r="T64">
        <f t="shared" ref="T64" si="299">S64/1000</f>
        <v>83.212132548149299</v>
      </c>
    </row>
    <row r="65" spans="1:20" x14ac:dyDescent="0.25">
      <c r="A65" s="5">
        <v>44528</v>
      </c>
      <c r="B65">
        <v>7.3459999999999998E-2</v>
      </c>
      <c r="C65">
        <v>7.4980000000000005E-2</v>
      </c>
      <c r="D65">
        <v>7.0069999999999993E-2</v>
      </c>
      <c r="E65">
        <v>7.4719999999999995E-2</v>
      </c>
      <c r="F65">
        <v>736626505.29999995</v>
      </c>
      <c r="G65">
        <v>7.4719999999999995E-2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0.89409368635437492</v>
      </c>
      <c r="Q65">
        <f t="shared" ref="Q65" si="301">F65*P65</f>
        <v>658613107.59001744</v>
      </c>
      <c r="R65">
        <f t="shared" ref="R65" si="302">R66+Q65</f>
        <v>7790552009.0247059</v>
      </c>
      <c r="S65">
        <f t="shared" ref="S65" si="303">R65/100000</f>
        <v>77905.520090247053</v>
      </c>
      <c r="T65">
        <f t="shared" ref="T65" si="304">S65/1000</f>
        <v>77.905520090247052</v>
      </c>
    </row>
    <row r="66" spans="1:20" x14ac:dyDescent="0.25">
      <c r="A66" s="5">
        <v>44527</v>
      </c>
      <c r="B66">
        <v>7.2090000000000001E-2</v>
      </c>
      <c r="C66">
        <v>7.4959999999999999E-2</v>
      </c>
      <c r="D66">
        <v>7.1970000000000006E-2</v>
      </c>
      <c r="E66">
        <v>7.3580000000000007E-2</v>
      </c>
      <c r="F66">
        <v>774013780.39999998</v>
      </c>
      <c r="G66">
        <v>7.3580000000000007E-2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7.6923076923079786E-2</v>
      </c>
      <c r="Q66">
        <f t="shared" ref="Q66" si="306">F66*P66</f>
        <v>59539521.569232985</v>
      </c>
      <c r="R66">
        <f t="shared" ref="R66" si="307">R67+Q66</f>
        <v>7131938901.4346886</v>
      </c>
      <c r="S66">
        <f t="shared" ref="S66" si="308">R66/100000</f>
        <v>71319.389014346889</v>
      </c>
      <c r="T66">
        <f t="shared" ref="T66" si="309">S66/1000</f>
        <v>71.319389014346882</v>
      </c>
    </row>
    <row r="67" spans="1:20" x14ac:dyDescent="0.25">
      <c r="A67" s="5">
        <v>44526</v>
      </c>
      <c r="B67">
        <v>7.8439999999999996E-2</v>
      </c>
      <c r="C67">
        <v>7.9170000000000004E-2</v>
      </c>
      <c r="D67">
        <v>6.9409999999999999E-2</v>
      </c>
      <c r="E67">
        <v>7.2010000000000005E-2</v>
      </c>
      <c r="F67">
        <v>1015321383.4</v>
      </c>
      <c r="G67">
        <v>7.2010000000000005E-2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-0.4672131147540976</v>
      </c>
      <c r="Q67">
        <f t="shared" ref="Q67" si="311">F67*P67</f>
        <v>-474371466.01475334</v>
      </c>
      <c r="R67">
        <f t="shared" ref="R67" si="312">R68+Q67</f>
        <v>7072399379.8654556</v>
      </c>
      <c r="S67">
        <f t="shared" ref="S67" si="313">R67/100000</f>
        <v>70723.993798654556</v>
      </c>
      <c r="T67">
        <f t="shared" ref="T67" si="314">S67/1000</f>
        <v>70.723993798654561</v>
      </c>
    </row>
    <row r="68" spans="1:20" x14ac:dyDescent="0.25">
      <c r="A68" s="5">
        <v>44525</v>
      </c>
      <c r="B68">
        <v>7.6329999999999995E-2</v>
      </c>
      <c r="C68">
        <v>7.9030000000000003E-2</v>
      </c>
      <c r="D68">
        <v>7.5859999999999997E-2</v>
      </c>
      <c r="E68">
        <v>7.8420000000000004E-2</v>
      </c>
      <c r="F68">
        <v>924864038.70000005</v>
      </c>
      <c r="G68">
        <v>7.8420000000000004E-2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0.61514195583596321</v>
      </c>
      <c r="Q68">
        <f t="shared" ref="Q68" si="316">F68*P68</f>
        <v>568922673.64826596</v>
      </c>
      <c r="R68">
        <f t="shared" ref="R68" si="317">R69+Q68</f>
        <v>7546770845.880209</v>
      </c>
      <c r="S68">
        <f t="shared" ref="S68" si="318">R68/100000</f>
        <v>75467.708458802095</v>
      </c>
      <c r="T68">
        <f t="shared" ref="T68" si="319">S68/1000</f>
        <v>75.467708458802093</v>
      </c>
    </row>
    <row r="69" spans="1:20" x14ac:dyDescent="0.25">
      <c r="A69" s="5">
        <v>44524</v>
      </c>
      <c r="B69">
        <v>8.0250000000000002E-2</v>
      </c>
      <c r="C69">
        <v>8.0390000000000003E-2</v>
      </c>
      <c r="D69">
        <v>7.7149999999999996E-2</v>
      </c>
      <c r="E69">
        <v>7.7600000000000002E-2</v>
      </c>
      <c r="F69">
        <v>32973302</v>
      </c>
      <c r="G69">
        <v>7.7600000000000002E-2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-0.7222222222222191</v>
      </c>
      <c r="Q69">
        <f t="shared" ref="Q69" si="321">F69*P69</f>
        <v>-23814051.44444434</v>
      </c>
      <c r="R69">
        <f t="shared" ref="R69" si="322">R70+Q69</f>
        <v>6977848172.2319431</v>
      </c>
      <c r="S69">
        <f t="shared" ref="S69" si="323">R69/100000</f>
        <v>69778.481722319426</v>
      </c>
      <c r="T69">
        <f t="shared" ref="T69" si="324">S69/1000</f>
        <v>69.778481722319427</v>
      </c>
    </row>
    <row r="70" spans="1:20" x14ac:dyDescent="0.25">
      <c r="A70" s="5">
        <v>44523</v>
      </c>
      <c r="B70">
        <v>7.6380000000000003E-2</v>
      </c>
      <c r="C70">
        <v>8.0769999999999995E-2</v>
      </c>
      <c r="D70">
        <v>7.5999999999999998E-2</v>
      </c>
      <c r="E70">
        <v>8.0280000000000004E-2</v>
      </c>
      <c r="F70">
        <v>588665856.70000005</v>
      </c>
      <c r="G70">
        <v>8.0280000000000004E-2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0.79454926624738331</v>
      </c>
      <c r="Q70">
        <f t="shared" ref="Q70" si="326">F70*P70</f>
        <v>467724024.50587231</v>
      </c>
      <c r="R70">
        <f t="shared" ref="R70" si="327">R71+Q70</f>
        <v>7001662223.6763878</v>
      </c>
      <c r="S70">
        <f t="shared" ref="S70" si="328">R70/100000</f>
        <v>70016.622236763884</v>
      </c>
      <c r="T70">
        <f t="shared" ref="T70" si="329">S70/1000</f>
        <v>70.01662223676388</v>
      </c>
    </row>
    <row r="71" spans="1:20" x14ac:dyDescent="0.25">
      <c r="A71" s="5">
        <v>44522</v>
      </c>
      <c r="B71">
        <v>7.9519999999999993E-2</v>
      </c>
      <c r="C71">
        <v>7.9699999999999993E-2</v>
      </c>
      <c r="D71">
        <v>7.5829999999999995E-2</v>
      </c>
      <c r="E71">
        <v>7.6420000000000002E-2</v>
      </c>
      <c r="F71">
        <v>1087514196.7</v>
      </c>
      <c r="G71">
        <v>7.6420000000000002E-2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-0.69509043927648195</v>
      </c>
      <c r="Q71">
        <f t="shared" ref="Q71" si="331">F71*P71</f>
        <v>-755920720.7036134</v>
      </c>
      <c r="R71">
        <f t="shared" ref="R71" si="332">R72+Q71</f>
        <v>6533938199.1705151</v>
      </c>
      <c r="S71">
        <f t="shared" ref="S71" si="333">R71/100000</f>
        <v>65339.381991705151</v>
      </c>
      <c r="T71">
        <f t="shared" ref="T71" si="334">S71/1000</f>
        <v>65.339381991705153</v>
      </c>
    </row>
    <row r="72" spans="1:20" x14ac:dyDescent="0.25">
      <c r="A72" s="5">
        <v>44521</v>
      </c>
      <c r="B72">
        <v>7.9960000000000003E-2</v>
      </c>
      <c r="C72">
        <v>8.1920000000000007E-2</v>
      </c>
      <c r="D72">
        <v>7.9089999999999994E-2</v>
      </c>
      <c r="E72">
        <v>7.9409999999999994E-2</v>
      </c>
      <c r="F72">
        <v>516071573</v>
      </c>
      <c r="G72">
        <v>7.9409999999999994E-2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-0.77385159010600757</v>
      </c>
      <c r="Q72">
        <f t="shared" ref="Q72" si="336">F72*P72</f>
        <v>-399362807.37455857</v>
      </c>
      <c r="R72">
        <f t="shared" ref="R72" si="337">R73+Q72</f>
        <v>7289858919.8741283</v>
      </c>
      <c r="S72">
        <f t="shared" ref="S72" si="338">R72/100000</f>
        <v>72898.589198741291</v>
      </c>
      <c r="T72">
        <f t="shared" ref="T72" si="339">S72/1000</f>
        <v>72.898589198741291</v>
      </c>
    </row>
    <row r="73" spans="1:20" x14ac:dyDescent="0.25">
      <c r="A73" s="5">
        <v>44520</v>
      </c>
      <c r="B73">
        <v>7.8490000000000004E-2</v>
      </c>
      <c r="C73">
        <v>8.0019999999999994E-2</v>
      </c>
      <c r="D73">
        <v>7.6630000000000004E-2</v>
      </c>
      <c r="E73">
        <v>7.9990000000000006E-2</v>
      </c>
      <c r="F73">
        <v>1178434733.4000001</v>
      </c>
      <c r="G73">
        <v>7.9990000000000006E-2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0.98230088495575907</v>
      </c>
      <c r="Q73">
        <f t="shared" ref="Q73" si="341">F73*P73</f>
        <v>1157577481.4814241</v>
      </c>
      <c r="R73">
        <f t="shared" ref="R73" si="342">R74+Q73</f>
        <v>7689221727.2486868</v>
      </c>
      <c r="S73">
        <f t="shared" ref="S73" si="343">R73/100000</f>
        <v>76892.217272486872</v>
      </c>
      <c r="T73">
        <f t="shared" ref="T73" si="344">S73/1000</f>
        <v>76.892217272486874</v>
      </c>
    </row>
    <row r="74" spans="1:20" x14ac:dyDescent="0.25">
      <c r="A74" s="5">
        <v>44519</v>
      </c>
      <c r="B74">
        <v>7.4440000000000006E-2</v>
      </c>
      <c r="C74">
        <v>7.8939999999999996E-2</v>
      </c>
      <c r="D74">
        <v>7.2789999999999994E-2</v>
      </c>
      <c r="E74">
        <v>7.8530000000000003E-2</v>
      </c>
      <c r="F74">
        <v>1113806716.8</v>
      </c>
      <c r="G74">
        <v>7.8530000000000003E-2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0.86666666666666881</v>
      </c>
      <c r="Q74">
        <f t="shared" ref="Q74" si="346">F74*P74</f>
        <v>965299154.56000233</v>
      </c>
      <c r="R74">
        <f t="shared" ref="R74" si="347">R75+Q74</f>
        <v>6531644245.7672625</v>
      </c>
      <c r="S74">
        <f t="shared" ref="S74" si="348">R74/100000</f>
        <v>65316.442457672623</v>
      </c>
      <c r="T74">
        <f t="shared" ref="T74" si="349">S74/1000</f>
        <v>65.316442457672622</v>
      </c>
    </row>
    <row r="75" spans="1:20" x14ac:dyDescent="0.25">
      <c r="A75" s="5">
        <v>44518</v>
      </c>
      <c r="B75">
        <v>8.2479999999999998E-2</v>
      </c>
      <c r="C75">
        <v>8.3430000000000004E-2</v>
      </c>
      <c r="D75">
        <v>7.3539999999999994E-2</v>
      </c>
      <c r="E75">
        <v>7.442E-2</v>
      </c>
      <c r="F75">
        <v>651918413</v>
      </c>
      <c r="G75">
        <v>7.442E-2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-0.8220424671385228</v>
      </c>
      <c r="Q75">
        <f t="shared" ref="Q75" si="351">F75*P75</f>
        <v>-535904620.59555042</v>
      </c>
      <c r="R75">
        <f t="shared" ref="R75" si="352">R76+Q75</f>
        <v>5566345091.2072601</v>
      </c>
      <c r="S75">
        <f t="shared" ref="S75" si="353">R75/100000</f>
        <v>55663.4509120726</v>
      </c>
      <c r="T75">
        <f t="shared" ref="T75" si="354">S75/1000</f>
        <v>55.663450912072598</v>
      </c>
    </row>
    <row r="76" spans="1:20" x14ac:dyDescent="0.25">
      <c r="A76" s="5">
        <v>44517</v>
      </c>
      <c r="B76">
        <v>8.0180000000000001E-2</v>
      </c>
      <c r="C76">
        <v>8.2979999999999998E-2</v>
      </c>
      <c r="D76">
        <v>7.8829999999999997E-2</v>
      </c>
      <c r="E76">
        <v>8.2619999999999999E-2</v>
      </c>
      <c r="F76">
        <v>551253523</v>
      </c>
      <c r="G76">
        <v>8.2619999999999999E-2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0.82650602409638596</v>
      </c>
      <c r="Q76">
        <f t="shared" ref="Q76" si="356">F76*P76</f>
        <v>455614357.56385565</v>
      </c>
      <c r="R76">
        <f t="shared" ref="R76" si="357">R77+Q76</f>
        <v>6102249711.8028107</v>
      </c>
      <c r="S76">
        <f t="shared" ref="S76" si="358">R76/100000</f>
        <v>61022.497118028106</v>
      </c>
      <c r="T76">
        <f t="shared" ref="T76" si="359">S76/1000</f>
        <v>61.022497118028106</v>
      </c>
    </row>
    <row r="77" spans="1:20" x14ac:dyDescent="0.25">
      <c r="A77" s="5">
        <v>44516</v>
      </c>
      <c r="B77">
        <v>8.7069999999999995E-2</v>
      </c>
      <c r="C77">
        <v>8.7090000000000001E-2</v>
      </c>
      <c r="D77">
        <v>7.6139999999999999E-2</v>
      </c>
      <c r="E77">
        <v>8.0229999999999996E-2</v>
      </c>
      <c r="F77">
        <v>268338101</v>
      </c>
      <c r="G77">
        <v>8.0229999999999996E-2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-0.25296803652968114</v>
      </c>
      <c r="Q77">
        <f t="shared" ref="Q77" si="361">F77*P77</f>
        <v>-67880962.536073267</v>
      </c>
      <c r="R77">
        <f t="shared" ref="R77" si="362">R78+Q77</f>
        <v>5646635354.2389555</v>
      </c>
      <c r="S77">
        <f t="shared" ref="S77" si="363">R77/100000</f>
        <v>56466.353542389552</v>
      </c>
      <c r="T77">
        <f t="shared" ref="T77" si="364">S77/1000</f>
        <v>56.466353542389555</v>
      </c>
    </row>
    <row r="78" spans="1:20" x14ac:dyDescent="0.25">
      <c r="A78" s="5">
        <v>44515</v>
      </c>
      <c r="B78">
        <v>8.5809999999999997E-2</v>
      </c>
      <c r="C78">
        <v>9.1670000000000001E-2</v>
      </c>
      <c r="D78">
        <v>8.5510000000000003E-2</v>
      </c>
      <c r="E78">
        <v>8.7069999999999995E-2</v>
      </c>
      <c r="F78">
        <v>233816054.09999999</v>
      </c>
      <c r="G78">
        <v>8.7069999999999995E-2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-0.493506493506496</v>
      </c>
      <c r="Q78">
        <f t="shared" ref="Q78" si="366">F78*P78</f>
        <v>-115389740.98441617</v>
      </c>
      <c r="R78">
        <f t="shared" ref="R78" si="367">R79+Q78</f>
        <v>5714516316.7750292</v>
      </c>
      <c r="S78">
        <f t="shared" ref="S78" si="368">R78/100000</f>
        <v>57145.163167750288</v>
      </c>
      <c r="T78">
        <f t="shared" ref="T78" si="369">S78/1000</f>
        <v>57.14516316775029</v>
      </c>
    </row>
    <row r="79" spans="1:20" x14ac:dyDescent="0.25">
      <c r="A79" s="5">
        <v>44514</v>
      </c>
      <c r="B79">
        <v>8.4019999999999997E-2</v>
      </c>
      <c r="C79">
        <v>8.6220000000000005E-2</v>
      </c>
      <c r="D79">
        <v>8.2540000000000002E-2</v>
      </c>
      <c r="E79">
        <v>8.5830000000000004E-2</v>
      </c>
      <c r="F79">
        <v>319778223.19999999</v>
      </c>
      <c r="G79">
        <v>8.5830000000000004E-2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0.78804347826086896</v>
      </c>
      <c r="Q79">
        <f t="shared" ref="Q79" si="371">F79*P79</f>
        <v>251999143.28260848</v>
      </c>
      <c r="R79">
        <f t="shared" ref="R79" si="372">R80+Q79</f>
        <v>5829906057.7594452</v>
      </c>
      <c r="S79">
        <f t="shared" ref="S79" si="373">R79/100000</f>
        <v>58299.06057759445</v>
      </c>
      <c r="T79">
        <f t="shared" ref="T79" si="374">S79/1000</f>
        <v>58.299060577594453</v>
      </c>
    </row>
    <row r="80" spans="1:20" x14ac:dyDescent="0.25">
      <c r="A80" s="5">
        <v>44513</v>
      </c>
      <c r="B80">
        <v>8.2269999999999996E-2</v>
      </c>
      <c r="C80">
        <v>8.5089999999999999E-2</v>
      </c>
      <c r="D80">
        <v>8.1680000000000003E-2</v>
      </c>
      <c r="E80">
        <v>8.4000000000000005E-2</v>
      </c>
      <c r="F80">
        <v>137646453.40000001</v>
      </c>
      <c r="G80">
        <v>8.4000000000000005E-2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0.36070381231671855</v>
      </c>
      <c r="Q80">
        <f t="shared" ref="Q80" si="376">F80*P80</f>
        <v>49649600.493255548</v>
      </c>
      <c r="R80">
        <f t="shared" ref="R80" si="377">R81+Q80</f>
        <v>5577906914.4768372</v>
      </c>
      <c r="S80">
        <f t="shared" ref="S80" si="378">R80/100000</f>
        <v>55779.069144768371</v>
      </c>
      <c r="T80">
        <f t="shared" ref="T80" si="379">S80/1000</f>
        <v>55.779069144768371</v>
      </c>
    </row>
    <row r="81" spans="1:20" x14ac:dyDescent="0.25">
      <c r="A81" s="5">
        <v>44512</v>
      </c>
      <c r="B81">
        <v>8.3390000000000006E-2</v>
      </c>
      <c r="C81">
        <v>8.4169999999999995E-2</v>
      </c>
      <c r="D81">
        <v>7.9560000000000006E-2</v>
      </c>
      <c r="E81">
        <v>8.2350000000000007E-2</v>
      </c>
      <c r="F81">
        <v>257611782</v>
      </c>
      <c r="G81">
        <v>8.2350000000000007E-2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0.21041214750542619</v>
      </c>
      <c r="Q81">
        <f t="shared" ref="Q81" si="381">F81*P81</f>
        <v>54204648.273319699</v>
      </c>
      <c r="R81">
        <f t="shared" ref="R81" si="382">R82+Q81</f>
        <v>5528257313.9835815</v>
      </c>
      <c r="S81">
        <f t="shared" ref="S81" si="383">R81/100000</f>
        <v>55282.573139835818</v>
      </c>
      <c r="T81">
        <f t="shared" ref="T81" si="384">S81/1000</f>
        <v>55.282573139835819</v>
      </c>
    </row>
    <row r="82" spans="1:20" x14ac:dyDescent="0.25">
      <c r="A82" s="5">
        <v>44511</v>
      </c>
      <c r="B82">
        <v>8.3250000000000005E-2</v>
      </c>
      <c r="C82">
        <v>8.5059999999999997E-2</v>
      </c>
      <c r="D82">
        <v>8.2189999999999999E-2</v>
      </c>
      <c r="E82">
        <v>8.3390000000000006E-2</v>
      </c>
      <c r="F82">
        <v>190591498.19999999</v>
      </c>
      <c r="G82">
        <v>8.3390000000000006E-2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-0.16376306620208528</v>
      </c>
      <c r="Q82">
        <f t="shared" ref="Q82" si="386">F82*P82</f>
        <v>-31211848.137281217</v>
      </c>
      <c r="R82">
        <f t="shared" ref="R82" si="387">R83+Q82</f>
        <v>5474052665.7102623</v>
      </c>
      <c r="S82">
        <f t="shared" ref="S82" si="388">R82/100000</f>
        <v>54740.526657102622</v>
      </c>
      <c r="T82">
        <f t="shared" ref="T82" si="389">S82/1000</f>
        <v>54.74052665710262</v>
      </c>
    </row>
    <row r="83" spans="1:20" x14ac:dyDescent="0.25">
      <c r="A83" s="5">
        <v>44510</v>
      </c>
      <c r="B83">
        <v>9.0749999999999997E-2</v>
      </c>
      <c r="C83">
        <v>9.2719999999999997E-2</v>
      </c>
      <c r="D83">
        <v>8.0570000000000003E-2</v>
      </c>
      <c r="E83">
        <v>8.3339999999999997E-2</v>
      </c>
      <c r="F83">
        <v>453969156.19999999</v>
      </c>
      <c r="G83">
        <v>8.3339999999999997E-2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-0.54403292181070029</v>
      </c>
      <c r="Q83">
        <f t="shared" ref="Q83" si="391">F83*P83</f>
        <v>-246974166.45942417</v>
      </c>
      <c r="R83">
        <f t="shared" ref="R83" si="392">R84+Q83</f>
        <v>5505264513.8475437</v>
      </c>
      <c r="S83">
        <f t="shared" ref="S83" si="393">R83/100000</f>
        <v>55052.64513847544</v>
      </c>
      <c r="T83">
        <f t="shared" ref="T83" si="394">S83/1000</f>
        <v>55.052645138475441</v>
      </c>
    </row>
    <row r="84" spans="1:20" x14ac:dyDescent="0.25">
      <c r="A84" s="5">
        <v>44509</v>
      </c>
      <c r="B84">
        <v>8.8059999999999999E-2</v>
      </c>
      <c r="C84">
        <v>9.0999999999999998E-2</v>
      </c>
      <c r="D84">
        <v>8.5790000000000005E-2</v>
      </c>
      <c r="E84">
        <v>9.0749999999999997E-2</v>
      </c>
      <c r="F84">
        <v>280677460.19999999</v>
      </c>
      <c r="G84">
        <v>9.0749999999999997E-2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0.9040307101727445</v>
      </c>
      <c r="Q84">
        <f t="shared" ref="Q84" si="396">F84*P84</f>
        <v>253741043.67408821</v>
      </c>
      <c r="R84">
        <f t="shared" ref="R84" si="397">R85+Q84</f>
        <v>5752238680.3069677</v>
      </c>
      <c r="S84">
        <f t="shared" ref="S84" si="398">R84/100000</f>
        <v>57522.386803069676</v>
      </c>
      <c r="T84">
        <f t="shared" ref="T84" si="399">S84/1000</f>
        <v>57.522386803069679</v>
      </c>
    </row>
    <row r="85" spans="1:20" x14ac:dyDescent="0.25">
      <c r="A85" s="5">
        <v>44508</v>
      </c>
      <c r="B85">
        <v>8.3549999999999999E-2</v>
      </c>
      <c r="C85">
        <v>8.8289999999999993E-2</v>
      </c>
      <c r="D85">
        <v>8.3140000000000006E-2</v>
      </c>
      <c r="E85">
        <v>8.8080000000000006E-2</v>
      </c>
      <c r="F85">
        <v>764813682.29999995</v>
      </c>
      <c r="G85">
        <v>8.8080000000000006E-2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0.91844660194175209</v>
      </c>
      <c r="Q85">
        <f t="shared" ref="Q85" si="401">F85*P85</f>
        <v>702440527.62699366</v>
      </c>
      <c r="R85">
        <f t="shared" ref="R85" si="402">R86+Q85</f>
        <v>5498497636.6328793</v>
      </c>
      <c r="S85">
        <f t="shared" ref="S85" si="403">R85/100000</f>
        <v>54984.976366328796</v>
      </c>
      <c r="T85">
        <f t="shared" ref="T85" si="404">S85/1000</f>
        <v>54.984976366328794</v>
      </c>
    </row>
    <row r="86" spans="1:20" x14ac:dyDescent="0.25">
      <c r="A86" s="5">
        <v>44507</v>
      </c>
      <c r="B86">
        <v>8.2379999999999995E-2</v>
      </c>
      <c r="C86">
        <v>8.4290000000000004E-2</v>
      </c>
      <c r="D86">
        <v>8.2089999999999996E-2</v>
      </c>
      <c r="E86">
        <v>8.3570000000000005E-2</v>
      </c>
      <c r="F86">
        <v>368439964.80000001</v>
      </c>
      <c r="G86">
        <v>8.3570000000000005E-2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0.34545454545454912</v>
      </c>
      <c r="Q86">
        <f t="shared" ref="Q86" si="406">F86*P86</f>
        <v>127279260.56727408</v>
      </c>
      <c r="R86">
        <f t="shared" ref="R86" si="407">R87+Q86</f>
        <v>4796057109.0058861</v>
      </c>
      <c r="S86">
        <f t="shared" ref="S86" si="408">R86/100000</f>
        <v>47960.57109005886</v>
      </c>
      <c r="T86">
        <f t="shared" ref="T86" si="409">S86/1000</f>
        <v>47.960571090058863</v>
      </c>
    </row>
    <row r="87" spans="1:20" x14ac:dyDescent="0.25">
      <c r="A87" s="5">
        <v>44506</v>
      </c>
      <c r="B87">
        <v>8.3280000000000007E-2</v>
      </c>
      <c r="C87">
        <v>8.4080000000000002E-2</v>
      </c>
      <c r="D87">
        <v>8.0119999999999997E-2</v>
      </c>
      <c r="E87">
        <v>8.2379999999999995E-2</v>
      </c>
      <c r="F87">
        <v>647265977.79999995</v>
      </c>
      <c r="G87">
        <v>8.2379999999999995E-2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0.14141414141413897</v>
      </c>
      <c r="Q87">
        <f t="shared" ref="Q87" si="411">F87*P87</f>
        <v>91532562.517170131</v>
      </c>
      <c r="R87">
        <f t="shared" ref="R87" si="412">R88+Q87</f>
        <v>4668777848.438612</v>
      </c>
      <c r="S87">
        <f t="shared" ref="S87" si="413">R87/100000</f>
        <v>46687.778484386123</v>
      </c>
      <c r="T87">
        <f t="shared" ref="T87" si="414">S87/1000</f>
        <v>46.687778484386122</v>
      </c>
    </row>
    <row r="88" spans="1:20" x14ac:dyDescent="0.25">
      <c r="A88" s="5">
        <v>44505</v>
      </c>
      <c r="B88">
        <v>8.3830000000000002E-2</v>
      </c>
      <c r="C88">
        <v>8.5209999999999994E-2</v>
      </c>
      <c r="D88">
        <v>8.2680000000000003E-2</v>
      </c>
      <c r="E88">
        <v>8.3290000000000003E-2</v>
      </c>
      <c r="F88">
        <v>316336551.39999998</v>
      </c>
      <c r="G88">
        <v>8.3290000000000003E-2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-0.51778656126482081</v>
      </c>
      <c r="Q88">
        <f t="shared" ref="Q88" si="416">F88*P88</f>
        <v>-163794815.15177822</v>
      </c>
      <c r="R88">
        <f t="shared" ref="R88" si="417">R89+Q88</f>
        <v>4577245285.921442</v>
      </c>
      <c r="S88">
        <f t="shared" ref="S88" si="418">R88/100000</f>
        <v>45772.45285921442</v>
      </c>
      <c r="T88">
        <f t="shared" ref="T88" si="419">S88/1000</f>
        <v>45.772452859214418</v>
      </c>
    </row>
    <row r="89" spans="1:20" x14ac:dyDescent="0.25">
      <c r="A89" s="5">
        <v>44504</v>
      </c>
      <c r="B89">
        <v>8.5099999999999995E-2</v>
      </c>
      <c r="C89">
        <v>8.6940000000000003E-2</v>
      </c>
      <c r="D89">
        <v>8.2210000000000005E-2</v>
      </c>
      <c r="E89">
        <v>8.3809999999999996E-2</v>
      </c>
      <c r="F89">
        <v>417599721.5</v>
      </c>
      <c r="G89">
        <v>8.3809999999999996E-2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-0.32346723044397846</v>
      </c>
      <c r="Q89">
        <f t="shared" ref="Q89" si="421">F89*P89</f>
        <v>-135079825.34778172</v>
      </c>
      <c r="R89">
        <f t="shared" ref="R89" si="422">R90+Q89</f>
        <v>4741040101.0732203</v>
      </c>
      <c r="S89">
        <f t="shared" ref="S89" si="423">R89/100000</f>
        <v>47410.401010732203</v>
      </c>
      <c r="T89">
        <f t="shared" ref="T89" si="424">S89/1000</f>
        <v>47.410401010732201</v>
      </c>
    </row>
    <row r="90" spans="1:20" x14ac:dyDescent="0.25">
      <c r="A90" s="5">
        <v>44503</v>
      </c>
      <c r="B90">
        <v>8.7639999999999996E-2</v>
      </c>
      <c r="C90">
        <v>8.7779999999999997E-2</v>
      </c>
      <c r="D90">
        <v>8.201E-2</v>
      </c>
      <c r="E90">
        <v>8.5139999999999993E-2</v>
      </c>
      <c r="F90">
        <v>493825714</v>
      </c>
      <c r="G90">
        <v>8.5139999999999993E-2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8.49220103986119E-2</v>
      </c>
      <c r="Q90">
        <f t="shared" ref="Q90" si="426">F90*P90</f>
        <v>41936672.419409946</v>
      </c>
      <c r="R90">
        <f t="shared" ref="R90" si="427">R91+Q90</f>
        <v>4876119926.4210024</v>
      </c>
      <c r="S90">
        <f t="shared" ref="S90" si="428">R90/100000</f>
        <v>48761.199264210023</v>
      </c>
      <c r="T90">
        <f t="shared" ref="T90" si="429">S90/1000</f>
        <v>48.76119926421002</v>
      </c>
    </row>
    <row r="91" spans="1:20" x14ac:dyDescent="0.25">
      <c r="A91" s="5">
        <v>44502</v>
      </c>
      <c r="B91">
        <v>8.4099999999999994E-2</v>
      </c>
      <c r="C91">
        <v>8.8730000000000003E-2</v>
      </c>
      <c r="D91">
        <v>8.2890000000000005E-2</v>
      </c>
      <c r="E91">
        <v>8.7650000000000006E-2</v>
      </c>
      <c r="F91">
        <v>563681801.89999998</v>
      </c>
      <c r="G91">
        <v>8.7650000000000006E-2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0.63013698630137049</v>
      </c>
      <c r="Q91">
        <f t="shared" ref="Q91" si="431">F91*P91</f>
        <v>355196751.88219213</v>
      </c>
      <c r="R91">
        <f t="shared" ref="R91" si="432">R92+Q91</f>
        <v>4834183254.0015926</v>
      </c>
      <c r="S91">
        <f t="shared" ref="S91" si="433">R91/100000</f>
        <v>48341.832540015923</v>
      </c>
      <c r="T91">
        <f t="shared" ref="T91" si="434">S91/1000</f>
        <v>48.341832540015922</v>
      </c>
    </row>
    <row r="92" spans="1:20" x14ac:dyDescent="0.25">
      <c r="A92" s="5">
        <v>44501</v>
      </c>
      <c r="B92">
        <v>8.7209999999999996E-2</v>
      </c>
      <c r="C92">
        <v>8.7249999999999994E-2</v>
      </c>
      <c r="D92">
        <v>8.2600000000000007E-2</v>
      </c>
      <c r="E92">
        <v>8.4080000000000002E-2</v>
      </c>
      <c r="F92">
        <v>534223454.69999999</v>
      </c>
      <c r="G92">
        <v>8.4080000000000002E-2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-0.36344086021505412</v>
      </c>
      <c r="Q92">
        <f t="shared" ref="Q92" si="436">F92*P92</f>
        <v>-194158631.923226</v>
      </c>
      <c r="R92">
        <f t="shared" ref="R92" si="437">R93+Q92</f>
        <v>4478986502.119401</v>
      </c>
      <c r="S92">
        <f t="shared" ref="S92" si="438">R92/100000</f>
        <v>44789.865021194011</v>
      </c>
      <c r="T92">
        <f t="shared" ref="T92" si="439">S92/1000</f>
        <v>44.789865021194011</v>
      </c>
    </row>
    <row r="93" spans="1:20" x14ac:dyDescent="0.25">
      <c r="A93" s="5">
        <v>44500</v>
      </c>
      <c r="B93">
        <v>8.4599999999999995E-2</v>
      </c>
      <c r="C93">
        <v>8.7239999999999998E-2</v>
      </c>
      <c r="D93">
        <v>8.1189999999999998E-2</v>
      </c>
      <c r="E93">
        <v>8.7209999999999996E-2</v>
      </c>
      <c r="F93">
        <v>461497006.80000001</v>
      </c>
      <c r="G93">
        <v>8.7209999999999996E-2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0.99008264462809847</v>
      </c>
      <c r="Q93">
        <f t="shared" ref="Q93" si="441">F93*P93</f>
        <v>456920176.98049557</v>
      </c>
      <c r="R93">
        <f t="shared" ref="R93" si="442">R94+Q93</f>
        <v>4673145134.0426273</v>
      </c>
      <c r="S93">
        <f t="shared" ref="S93" si="443">R93/100000</f>
        <v>46731.451340426276</v>
      </c>
      <c r="T93">
        <f t="shared" ref="T93" si="444">S93/1000</f>
        <v>46.731451340426275</v>
      </c>
    </row>
    <row r="94" spans="1:20" x14ac:dyDescent="0.25">
      <c r="A94" s="5">
        <v>44499</v>
      </c>
      <c r="B94">
        <v>7.9710000000000003E-2</v>
      </c>
      <c r="C94">
        <v>8.48E-2</v>
      </c>
      <c r="D94">
        <v>7.8600000000000003E-2</v>
      </c>
      <c r="E94">
        <v>8.4589999999999999E-2</v>
      </c>
      <c r="F94">
        <v>614382222.29999995</v>
      </c>
      <c r="G94">
        <v>8.4589999999999999E-2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0.93225806451612836</v>
      </c>
      <c r="Q94">
        <f t="shared" ref="Q94" si="446">F94*P94</f>
        <v>572762781.43451571</v>
      </c>
      <c r="R94">
        <f t="shared" ref="R94" si="447">R95+Q94</f>
        <v>4216224957.0621319</v>
      </c>
      <c r="S94">
        <f t="shared" ref="S94" si="448">R94/100000</f>
        <v>42162.249570621316</v>
      </c>
      <c r="T94">
        <f t="shared" ref="T94" si="449">S94/1000</f>
        <v>42.162249570621313</v>
      </c>
    </row>
    <row r="95" spans="1:20" x14ac:dyDescent="0.25">
      <c r="A95" s="5">
        <v>44498</v>
      </c>
      <c r="B95">
        <v>7.6499999999999999E-2</v>
      </c>
      <c r="C95">
        <v>7.9710000000000003E-2</v>
      </c>
      <c r="D95">
        <v>7.5870000000000007E-2</v>
      </c>
      <c r="E95">
        <v>7.9710000000000003E-2</v>
      </c>
      <c r="F95">
        <v>807658489.70000005</v>
      </c>
      <c r="G95">
        <v>7.9710000000000003E-2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1</v>
      </c>
      <c r="Q95">
        <f t="shared" ref="Q95" si="451">F95*P95</f>
        <v>807658489.70000005</v>
      </c>
      <c r="R95">
        <f t="shared" ref="R95" si="452">R96+Q95</f>
        <v>3643462175.6276159</v>
      </c>
      <c r="S95">
        <f t="shared" ref="S95" si="453">R95/100000</f>
        <v>36434.621756276159</v>
      </c>
      <c r="T95">
        <f t="shared" ref="T95" si="454">S95/1000</f>
        <v>36.434621756276158</v>
      </c>
    </row>
    <row r="96" spans="1:20" x14ac:dyDescent="0.25">
      <c r="A96" s="5">
        <v>44497</v>
      </c>
      <c r="B96">
        <v>7.1790000000000007E-2</v>
      </c>
      <c r="C96">
        <v>7.6920000000000002E-2</v>
      </c>
      <c r="D96">
        <v>7.17E-2</v>
      </c>
      <c r="E96">
        <v>7.6480000000000006E-2</v>
      </c>
      <c r="F96">
        <v>552561481.60000002</v>
      </c>
      <c r="G96">
        <v>7.6480000000000006E-2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0.83141762452107437</v>
      </c>
      <c r="Q96">
        <f t="shared" ref="Q96" si="456">F96*P96</f>
        <v>459409354.43371737</v>
      </c>
      <c r="R96">
        <f t="shared" ref="R96" si="457">R97+Q96</f>
        <v>2835803685.9276161</v>
      </c>
      <c r="S96">
        <f t="shared" ref="S96" si="458">R96/100000</f>
        <v>28358.036859276162</v>
      </c>
      <c r="T96">
        <f t="shared" ref="T96" si="459">S96/1000</f>
        <v>28.358036859276162</v>
      </c>
    </row>
    <row r="97" spans="1:20" x14ac:dyDescent="0.25">
      <c r="A97" s="5">
        <v>44496</v>
      </c>
      <c r="B97">
        <v>8.1659999999999996E-2</v>
      </c>
      <c r="C97">
        <v>8.2680000000000003E-2</v>
      </c>
      <c r="D97">
        <v>7.0150000000000004E-2</v>
      </c>
      <c r="E97">
        <v>7.1929999999999994E-2</v>
      </c>
      <c r="F97">
        <v>524117453.39999998</v>
      </c>
      <c r="G97">
        <v>7.1929999999999994E-2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-0.71588188347965043</v>
      </c>
      <c r="Q97">
        <f t="shared" ref="Q97" si="461">F97*P97</f>
        <v>-375206189.70454991</v>
      </c>
      <c r="R97">
        <f t="shared" ref="R97" si="462">R98+Q97</f>
        <v>2376394331.4938989</v>
      </c>
      <c r="S97">
        <f t="shared" ref="S97" si="463">R97/100000</f>
        <v>23763.943314938988</v>
      </c>
      <c r="T97">
        <f t="shared" ref="T97" si="464">S97/1000</f>
        <v>23.763943314938988</v>
      </c>
    </row>
    <row r="98" spans="1:20" x14ac:dyDescent="0.25">
      <c r="A98" s="5">
        <v>44495</v>
      </c>
      <c r="B98">
        <v>8.2919999999999994E-2</v>
      </c>
      <c r="C98">
        <v>8.4669999999999995E-2</v>
      </c>
      <c r="D98">
        <v>8.0909999999999996E-2</v>
      </c>
      <c r="E98">
        <v>8.1610000000000002E-2</v>
      </c>
      <c r="F98">
        <v>508734833.10000002</v>
      </c>
      <c r="G98">
        <v>8.1610000000000002E-2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-0.62765957446808174</v>
      </c>
      <c r="Q98">
        <f t="shared" ref="Q98" si="466">F98*P98</f>
        <v>-319312288.86063659</v>
      </c>
      <c r="R98">
        <f t="shared" ref="R98" si="467">R99+Q98</f>
        <v>2751600521.1984487</v>
      </c>
      <c r="S98">
        <f t="shared" ref="S98" si="468">R98/100000</f>
        <v>27516.005211984488</v>
      </c>
      <c r="T98">
        <f t="shared" ref="T98" si="469">S98/1000</f>
        <v>27.516005211984488</v>
      </c>
    </row>
    <row r="99" spans="1:20" x14ac:dyDescent="0.25">
      <c r="A99" s="5">
        <v>44494</v>
      </c>
      <c r="B99">
        <v>8.0390000000000003E-2</v>
      </c>
      <c r="C99">
        <v>8.3890000000000006E-2</v>
      </c>
      <c r="D99">
        <v>7.9640000000000002E-2</v>
      </c>
      <c r="E99">
        <v>8.2919999999999994E-2</v>
      </c>
      <c r="F99">
        <v>402126730.80000001</v>
      </c>
      <c r="G99">
        <v>8.2919999999999994E-2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0.54352941176470038</v>
      </c>
      <c r="Q99">
        <f t="shared" ref="Q99" si="471">F99*P99</f>
        <v>218567705.44658601</v>
      </c>
      <c r="R99">
        <f t="shared" ref="R99" si="472">R100+Q99</f>
        <v>3070912810.0590854</v>
      </c>
      <c r="S99">
        <f t="shared" ref="S99" si="473">R99/100000</f>
        <v>30709.128100590853</v>
      </c>
      <c r="T99">
        <f t="shared" ref="T99" si="474">S99/1000</f>
        <v>30.709128100590853</v>
      </c>
    </row>
    <row r="100" spans="1:20" x14ac:dyDescent="0.25">
      <c r="A100" s="5">
        <v>44493</v>
      </c>
      <c r="B100">
        <v>8.3449999999999996E-2</v>
      </c>
      <c r="C100">
        <v>8.3669999999999994E-2</v>
      </c>
      <c r="D100">
        <v>7.8509999999999996E-2</v>
      </c>
      <c r="E100">
        <v>8.0449999999999994E-2</v>
      </c>
      <c r="F100">
        <v>322281684.19999999</v>
      </c>
      <c r="G100">
        <v>8.0449999999999994E-2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-0.24806201550387671</v>
      </c>
      <c r="Q100">
        <f t="shared" ref="Q100" si="476">F100*P100</f>
        <v>-79945844.142635897</v>
      </c>
      <c r="R100">
        <f t="shared" ref="R100" si="477">R101+Q100</f>
        <v>2852345104.6124992</v>
      </c>
      <c r="S100">
        <f t="shared" ref="S100" si="478">R100/100000</f>
        <v>28523.451046124992</v>
      </c>
      <c r="T100">
        <f t="shared" ref="T100" si="479">S100/1000</f>
        <v>28.523451046124993</v>
      </c>
    </row>
    <row r="101" spans="1:20" x14ac:dyDescent="0.25">
      <c r="A101" s="5">
        <v>44492</v>
      </c>
      <c r="B101">
        <v>8.022E-2</v>
      </c>
      <c r="C101">
        <v>8.4599999999999995E-2</v>
      </c>
      <c r="D101">
        <v>7.9439999999999997E-2</v>
      </c>
      <c r="E101">
        <v>8.3489999999999995E-2</v>
      </c>
      <c r="F101">
        <v>1128707792.5</v>
      </c>
      <c r="G101">
        <v>8.3489999999999995E-2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0.56976744186046502</v>
      </c>
      <c r="Q101">
        <f t="shared" ref="Q101" si="481">F101*P101</f>
        <v>643100951.54069757</v>
      </c>
      <c r="R101">
        <f t="shared" ref="R101" si="482">R102+Q101</f>
        <v>2932290948.7551351</v>
      </c>
      <c r="S101">
        <f t="shared" ref="S101" si="483">R101/100000</f>
        <v>29322.909487551351</v>
      </c>
      <c r="T101">
        <f t="shared" ref="T101" si="484">S101/1000</f>
        <v>29.32290948755135</v>
      </c>
    </row>
    <row r="102" spans="1:20" x14ac:dyDescent="0.25">
      <c r="A102" s="5">
        <v>44491</v>
      </c>
      <c r="B102">
        <v>7.961E-2</v>
      </c>
      <c r="C102">
        <v>8.1869999999999998E-2</v>
      </c>
      <c r="D102">
        <v>7.8530000000000003E-2</v>
      </c>
      <c r="E102">
        <v>8.0240000000000006E-2</v>
      </c>
      <c r="F102">
        <v>803749537.20000005</v>
      </c>
      <c r="G102">
        <v>8.0240000000000006E-2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2.3952095808386444E-2</v>
      </c>
      <c r="Q102">
        <f t="shared" ref="Q102" si="486">F102*P102</f>
        <v>19251485.920960665</v>
      </c>
      <c r="R102">
        <f t="shared" ref="R102" si="487">R103+Q102</f>
        <v>2289189997.2144375</v>
      </c>
      <c r="S102">
        <f t="shared" ref="S102" si="488">R102/100000</f>
        <v>22891.899972144376</v>
      </c>
      <c r="T102">
        <f t="shared" ref="T102" si="489">S102/1000</f>
        <v>22.891899972144376</v>
      </c>
    </row>
    <row r="103" spans="1:20" x14ac:dyDescent="0.25">
      <c r="A103" s="5">
        <v>44490</v>
      </c>
      <c r="B103">
        <v>8.4570000000000006E-2</v>
      </c>
      <c r="C103">
        <v>8.4620000000000001E-2</v>
      </c>
      <c r="D103">
        <v>7.9210000000000003E-2</v>
      </c>
      <c r="E103">
        <v>7.9560000000000006E-2</v>
      </c>
      <c r="F103">
        <v>292384959.5</v>
      </c>
      <c r="G103">
        <v>7.9560000000000006E-2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-0.87060998151571045</v>
      </c>
      <c r="Q103">
        <f t="shared" ref="Q103" si="491">F103*P103</f>
        <v>-254553264.18576676</v>
      </c>
      <c r="R103">
        <f t="shared" ref="R103" si="492">R104+Q103</f>
        <v>2269938511.2934766</v>
      </c>
      <c r="S103">
        <f t="shared" ref="S103" si="493">R103/100000</f>
        <v>22699.385112934764</v>
      </c>
      <c r="T103">
        <f t="shared" ref="T103" si="494">S103/1000</f>
        <v>22.699385112934763</v>
      </c>
    </row>
    <row r="104" spans="1:20" x14ac:dyDescent="0.25">
      <c r="A104" s="5">
        <v>44489</v>
      </c>
      <c r="B104">
        <v>7.7009999999999995E-2</v>
      </c>
      <c r="C104">
        <v>9.6460000000000004E-2</v>
      </c>
      <c r="D104">
        <v>7.5179999999999997E-2</v>
      </c>
      <c r="E104">
        <v>8.455E-2</v>
      </c>
      <c r="F104">
        <v>898918650.70000005</v>
      </c>
      <c r="G104">
        <v>8.455E-2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-0.11936090225563908</v>
      </c>
      <c r="Q104">
        <f t="shared" ref="Q104" si="496">F104*P104</f>
        <v>-107295741.20197368</v>
      </c>
      <c r="R104">
        <f t="shared" ref="R104" si="497">R105+Q104</f>
        <v>2524491775.4792433</v>
      </c>
      <c r="S104">
        <f t="shared" ref="S104" si="498">R104/100000</f>
        <v>25244.917754792434</v>
      </c>
      <c r="T104">
        <f t="shared" ref="T104" si="499">S104/1000</f>
        <v>25.244917754792432</v>
      </c>
    </row>
    <row r="105" spans="1:20" x14ac:dyDescent="0.25">
      <c r="A105" s="5">
        <v>44488</v>
      </c>
      <c r="B105">
        <v>7.4709999999999999E-2</v>
      </c>
      <c r="C105">
        <v>7.7410000000000007E-2</v>
      </c>
      <c r="D105">
        <v>7.467E-2</v>
      </c>
      <c r="E105">
        <v>7.7020000000000005E-2</v>
      </c>
      <c r="F105">
        <v>449921288.30000001</v>
      </c>
      <c r="G105">
        <v>7.7020000000000005E-2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0.71532846715328424</v>
      </c>
      <c r="Q105">
        <f t="shared" ref="Q105" si="501">F105*P105</f>
        <v>321841505.4992699</v>
      </c>
      <c r="R105">
        <f t="shared" ref="R105" si="502">R106+Q105</f>
        <v>2631787516.6812167</v>
      </c>
      <c r="S105">
        <f t="shared" ref="S105" si="503">R105/100000</f>
        <v>26317.875166812166</v>
      </c>
      <c r="T105">
        <f t="shared" ref="T105" si="504">S105/1000</f>
        <v>26.317875166812165</v>
      </c>
    </row>
    <row r="106" spans="1:20" x14ac:dyDescent="0.25">
      <c r="A106" s="5">
        <v>44487</v>
      </c>
      <c r="B106">
        <v>7.7410000000000007E-2</v>
      </c>
      <c r="C106">
        <v>7.7499999999999999E-2</v>
      </c>
      <c r="D106">
        <v>7.3730000000000004E-2</v>
      </c>
      <c r="E106">
        <v>7.4639999999999998E-2</v>
      </c>
      <c r="F106">
        <v>181304579.90000001</v>
      </c>
      <c r="G106">
        <v>7.4639999999999998E-2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-0.51724137931034742</v>
      </c>
      <c r="Q106">
        <f t="shared" ref="Q106" si="506">F106*P106</f>
        <v>-93778230.982759088</v>
      </c>
      <c r="R106">
        <f t="shared" ref="R106" si="507">R107+Q106</f>
        <v>2309946011.1819468</v>
      </c>
      <c r="S106">
        <f t="shared" ref="S106" si="508">R106/100000</f>
        <v>23099.460111819466</v>
      </c>
      <c r="T106">
        <f t="shared" ref="T106" si="509">S106/1000</f>
        <v>23.099460111819464</v>
      </c>
    </row>
    <row r="107" spans="1:20" x14ac:dyDescent="0.25">
      <c r="A107" s="5">
        <v>44486</v>
      </c>
      <c r="B107">
        <v>7.5990000000000002E-2</v>
      </c>
      <c r="C107">
        <v>8.004E-2</v>
      </c>
      <c r="D107">
        <v>7.4789999999999995E-2</v>
      </c>
      <c r="E107">
        <v>7.732E-2</v>
      </c>
      <c r="F107">
        <v>166669351.80000001</v>
      </c>
      <c r="G107">
        <v>7.732E-2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-3.6190476190475343E-2</v>
      </c>
      <c r="Q107">
        <f t="shared" ref="Q107" si="511">F107*P107</f>
        <v>-6031843.207999859</v>
      </c>
      <c r="R107">
        <f t="shared" ref="R107" si="512">R108+Q107</f>
        <v>2403724242.1647058</v>
      </c>
      <c r="S107">
        <f t="shared" ref="S107" si="513">R107/100000</f>
        <v>24037.242421647057</v>
      </c>
      <c r="T107">
        <f t="shared" ref="T107" si="514">S107/1000</f>
        <v>24.037242421647058</v>
      </c>
    </row>
    <row r="108" spans="1:20" x14ac:dyDescent="0.25">
      <c r="A108" s="5">
        <v>44485</v>
      </c>
      <c r="B108">
        <v>7.5689999999999993E-2</v>
      </c>
      <c r="C108">
        <v>7.7759999999999996E-2</v>
      </c>
      <c r="D108">
        <v>7.5399999999999995E-2</v>
      </c>
      <c r="E108">
        <v>7.5920000000000001E-2</v>
      </c>
      <c r="F108">
        <v>91296194.299999997</v>
      </c>
      <c r="G108">
        <v>7.5920000000000001E-2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-0.55932203389829971</v>
      </c>
      <c r="Q108">
        <f t="shared" ref="Q108" si="516">F108*P108</f>
        <v>-51063973.083050355</v>
      </c>
      <c r="R108">
        <f t="shared" ref="R108" si="517">R109+Q108</f>
        <v>2409756085.3727055</v>
      </c>
      <c r="S108">
        <f t="shared" ref="S108" si="518">R108/100000</f>
        <v>24097.560853727056</v>
      </c>
      <c r="T108">
        <f t="shared" ref="T108" si="519">S108/1000</f>
        <v>24.097560853727057</v>
      </c>
    </row>
    <row r="109" spans="1:20" x14ac:dyDescent="0.25">
      <c r="A109" s="5">
        <v>44484</v>
      </c>
      <c r="B109">
        <v>7.9269999999999993E-2</v>
      </c>
      <c r="C109">
        <v>7.9409999999999994E-2</v>
      </c>
      <c r="D109">
        <v>7.4050000000000005E-2</v>
      </c>
      <c r="E109">
        <v>7.5689999999999993E-2</v>
      </c>
      <c r="F109">
        <v>125171141.59999999</v>
      </c>
      <c r="G109">
        <v>7.5689999999999993E-2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-0.38805970149254038</v>
      </c>
      <c r="Q109">
        <f t="shared" ref="Q109" si="521">F109*P109</f>
        <v>-48573875.844776504</v>
      </c>
      <c r="R109">
        <f t="shared" ref="R109" si="522">R110+Q109</f>
        <v>2460820058.4557557</v>
      </c>
      <c r="S109">
        <f t="shared" ref="S109" si="523">R109/100000</f>
        <v>24608.200584557559</v>
      </c>
      <c r="T109">
        <f t="shared" ref="T109" si="524">S109/1000</f>
        <v>24.608200584557558</v>
      </c>
    </row>
    <row r="110" spans="1:20" x14ac:dyDescent="0.25">
      <c r="A110" s="5">
        <v>44483</v>
      </c>
      <c r="B110">
        <v>7.9549999999999996E-2</v>
      </c>
      <c r="C110">
        <v>8.1040000000000001E-2</v>
      </c>
      <c r="D110">
        <v>7.8399999999999997E-2</v>
      </c>
      <c r="E110">
        <v>7.9229999999999995E-2</v>
      </c>
      <c r="F110">
        <v>121983719.09999999</v>
      </c>
      <c r="G110">
        <v>7.9229999999999995E-2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-0.37121212121212399</v>
      </c>
      <c r="Q110">
        <f t="shared" ref="Q110" si="526">F110*P110</f>
        <v>-45281835.120454885</v>
      </c>
      <c r="R110">
        <f t="shared" ref="R110" si="527">R111+Q110</f>
        <v>2509393934.3005323</v>
      </c>
      <c r="S110">
        <f t="shared" ref="S110" si="528">R110/100000</f>
        <v>25093.939343005324</v>
      </c>
      <c r="T110">
        <f t="shared" ref="T110" si="529">S110/1000</f>
        <v>25.093939343005324</v>
      </c>
    </row>
    <row r="111" spans="1:20" x14ac:dyDescent="0.25">
      <c r="A111" s="5">
        <v>44482</v>
      </c>
      <c r="B111">
        <v>7.6280000000000001E-2</v>
      </c>
      <c r="C111">
        <v>7.9619999999999996E-2</v>
      </c>
      <c r="D111">
        <v>7.5060000000000002E-2</v>
      </c>
      <c r="E111">
        <v>7.9500000000000001E-2</v>
      </c>
      <c r="F111">
        <v>186466752.90000001</v>
      </c>
      <c r="G111">
        <v>7.9500000000000001E-2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0.94736842105263364</v>
      </c>
      <c r="Q111">
        <f t="shared" ref="Q111" si="531">F111*P111</f>
        <v>176652713.27368459</v>
      </c>
      <c r="R111">
        <f t="shared" ref="R111" si="532">R112+Q111</f>
        <v>2554675769.4209871</v>
      </c>
      <c r="S111">
        <f t="shared" ref="S111" si="533">R111/100000</f>
        <v>25546.757694209871</v>
      </c>
      <c r="T111">
        <f t="shared" ref="T111" si="534">S111/1000</f>
        <v>25.54675769420987</v>
      </c>
    </row>
    <row r="112" spans="1:20" x14ac:dyDescent="0.25">
      <c r="A112" s="5">
        <v>44481</v>
      </c>
      <c r="B112">
        <v>7.9549999999999996E-2</v>
      </c>
      <c r="C112">
        <v>7.9649999999999999E-2</v>
      </c>
      <c r="D112">
        <v>7.2859999999999994E-2</v>
      </c>
      <c r="E112">
        <v>7.6179999999999998E-2</v>
      </c>
      <c r="F112">
        <v>176007793.80000001</v>
      </c>
      <c r="G112">
        <v>7.6179999999999998E-2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-2.2091310751104161E-2</v>
      </c>
      <c r="Q112">
        <f t="shared" ref="Q112" si="536">F112*P112</f>
        <v>-3888242.8674520645</v>
      </c>
      <c r="R112">
        <f t="shared" ref="R112" si="537">R113+Q112</f>
        <v>2378023056.1473026</v>
      </c>
      <c r="S112">
        <f t="shared" ref="S112" si="538">R112/100000</f>
        <v>23780.230561473025</v>
      </c>
      <c r="T112">
        <f t="shared" ref="T112" si="539">S112/1000</f>
        <v>23.780230561473026</v>
      </c>
    </row>
    <row r="113" spans="1:20" x14ac:dyDescent="0.25">
      <c r="A113" s="5">
        <v>44480</v>
      </c>
      <c r="B113">
        <v>8.3680000000000004E-2</v>
      </c>
      <c r="C113">
        <v>8.3970000000000003E-2</v>
      </c>
      <c r="D113">
        <v>7.8200000000000006E-2</v>
      </c>
      <c r="E113">
        <v>7.9619999999999996E-2</v>
      </c>
      <c r="F113">
        <v>220830266</v>
      </c>
      <c r="G113">
        <v>7.9619999999999996E-2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-0.50779896013865122</v>
      </c>
      <c r="Q113">
        <f t="shared" ref="Q113" si="541">F113*P113</f>
        <v>-112137379.44194175</v>
      </c>
      <c r="R113">
        <f t="shared" ref="R113" si="542">R114+Q113</f>
        <v>2381911299.0147548</v>
      </c>
      <c r="S113">
        <f t="shared" ref="S113" si="543">R113/100000</f>
        <v>23819.112990147547</v>
      </c>
      <c r="T113">
        <f t="shared" ref="T113" si="544">S113/1000</f>
        <v>23.819112990147548</v>
      </c>
    </row>
    <row r="114" spans="1:20" x14ac:dyDescent="0.25">
      <c r="A114" s="5">
        <v>44479</v>
      </c>
      <c r="B114">
        <v>9.1429999999999997E-2</v>
      </c>
      <c r="C114">
        <v>9.146E-2</v>
      </c>
      <c r="D114">
        <v>8.3280000000000007E-2</v>
      </c>
      <c r="E114">
        <v>8.3680000000000004E-2</v>
      </c>
      <c r="F114">
        <v>271608761.5</v>
      </c>
      <c r="G114">
        <v>8.3680000000000004E-2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-0.90220048899755556</v>
      </c>
      <c r="Q114">
        <f t="shared" ref="Q114" si="546">F114*P114</f>
        <v>-245045557.44132045</v>
      </c>
      <c r="R114">
        <f t="shared" ref="R114" si="547">R115+Q114</f>
        <v>2494048678.4566965</v>
      </c>
      <c r="S114">
        <f t="shared" ref="S114" si="548">R114/100000</f>
        <v>24940.486784566965</v>
      </c>
      <c r="T114">
        <f t="shared" ref="T114" si="549">S114/1000</f>
        <v>24.940486784566964</v>
      </c>
    </row>
    <row r="115" spans="1:20" x14ac:dyDescent="0.25">
      <c r="A115" s="5">
        <v>44478</v>
      </c>
      <c r="B115">
        <v>8.4889999999999993E-2</v>
      </c>
      <c r="C115">
        <v>9.7000000000000003E-2</v>
      </c>
      <c r="D115">
        <v>8.3849999999999994E-2</v>
      </c>
      <c r="E115">
        <v>9.1429999999999997E-2</v>
      </c>
      <c r="F115">
        <v>364730377.60000002</v>
      </c>
      <c r="G115">
        <v>9.1429999999999997E-2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0.15285171102661571</v>
      </c>
      <c r="Q115">
        <f t="shared" ref="Q115" si="551">F115*P115</f>
        <v>55749662.279543638</v>
      </c>
      <c r="R115">
        <f t="shared" ref="R115" si="552">R116+Q115</f>
        <v>2739094235.8980169</v>
      </c>
      <c r="S115">
        <f t="shared" ref="S115" si="553">R115/100000</f>
        <v>27390.94235898017</v>
      </c>
      <c r="T115">
        <f t="shared" ref="T115" si="554">S115/1000</f>
        <v>27.390942358980169</v>
      </c>
    </row>
    <row r="116" spans="1:20" x14ac:dyDescent="0.25">
      <c r="A116" s="5">
        <v>44477</v>
      </c>
      <c r="B116">
        <v>7.9579999999999998E-2</v>
      </c>
      <c r="C116">
        <v>8.6559999999999998E-2</v>
      </c>
      <c r="D116">
        <v>7.8659999999999994E-2</v>
      </c>
      <c r="E116">
        <v>8.4900000000000003E-2</v>
      </c>
      <c r="F116">
        <v>183205188.69999999</v>
      </c>
      <c r="G116">
        <v>8.4900000000000003E-2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0.57974683544303951</v>
      </c>
      <c r="Q116">
        <f t="shared" ref="Q116" si="556">F116*P116</f>
        <v>106212628.3855699</v>
      </c>
      <c r="R116">
        <f t="shared" ref="R116" si="557">R117+Q116</f>
        <v>2683344573.6184735</v>
      </c>
      <c r="S116">
        <f t="shared" ref="S116" si="558">R116/100000</f>
        <v>26833.445736184734</v>
      </c>
      <c r="T116">
        <f t="shared" ref="T116" si="559">S116/1000</f>
        <v>26.833445736184736</v>
      </c>
    </row>
    <row r="117" spans="1:20" x14ac:dyDescent="0.25">
      <c r="A117" s="5">
        <v>44476</v>
      </c>
      <c r="B117">
        <v>7.5420000000000001E-2</v>
      </c>
      <c r="C117">
        <v>8.0269999999999994E-2</v>
      </c>
      <c r="D117">
        <v>7.3649999999999993E-2</v>
      </c>
      <c r="E117">
        <v>7.9500000000000001E-2</v>
      </c>
      <c r="F117">
        <v>110861220.40000001</v>
      </c>
      <c r="G117">
        <v>7.9500000000000001E-2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0.76737160120846137</v>
      </c>
      <c r="Q117">
        <f t="shared" ref="Q117" si="561">F117*P117</f>
        <v>85071752.210272148</v>
      </c>
      <c r="R117">
        <f t="shared" ref="R117" si="562">R118+Q117</f>
        <v>2577131945.2329035</v>
      </c>
      <c r="S117">
        <f t="shared" ref="S117" si="563">R117/100000</f>
        <v>25771.319452329033</v>
      </c>
      <c r="T117">
        <f t="shared" ref="T117" si="564">S117/1000</f>
        <v>25.771319452329035</v>
      </c>
    </row>
    <row r="118" spans="1:20" x14ac:dyDescent="0.25">
      <c r="A118" s="5">
        <v>44475</v>
      </c>
      <c r="B118">
        <v>7.5200000000000003E-2</v>
      </c>
      <c r="C118">
        <v>7.5910000000000005E-2</v>
      </c>
      <c r="D118">
        <v>7.1010000000000004E-2</v>
      </c>
      <c r="E118">
        <v>7.5410000000000005E-2</v>
      </c>
      <c r="F118">
        <v>73555798.099999994</v>
      </c>
      <c r="G118">
        <v>7.5410000000000005E-2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0.79591836734693866</v>
      </c>
      <c r="Q118">
        <f t="shared" ref="Q118" si="566">F118*P118</f>
        <v>58544410.732653052</v>
      </c>
      <c r="R118">
        <f t="shared" ref="R118" si="567">R119+Q118</f>
        <v>2492060193.0226312</v>
      </c>
      <c r="S118">
        <f t="shared" ref="S118" si="568">R118/100000</f>
        <v>24920.601930226312</v>
      </c>
      <c r="T118">
        <f t="shared" ref="T118" si="569">S118/1000</f>
        <v>24.920601930226312</v>
      </c>
    </row>
    <row r="119" spans="1:20" x14ac:dyDescent="0.25">
      <c r="A119" s="5">
        <v>44474</v>
      </c>
      <c r="B119">
        <v>6.8949999999999997E-2</v>
      </c>
      <c r="C119">
        <v>7.621E-2</v>
      </c>
      <c r="D119">
        <v>6.8040000000000003E-2</v>
      </c>
      <c r="E119">
        <v>7.5240000000000001E-2</v>
      </c>
      <c r="F119">
        <v>201690721.80000001</v>
      </c>
      <c r="G119">
        <v>7.5240000000000001E-2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0.76254589963280317</v>
      </c>
      <c r="Q119">
        <f t="shared" ref="Q119" si="571">F119*P119</f>
        <v>153798432.90257043</v>
      </c>
      <c r="R119">
        <f t="shared" ref="R119" si="572">R120+Q119</f>
        <v>2433515782.289978</v>
      </c>
      <c r="S119">
        <f t="shared" ref="S119" si="573">R119/100000</f>
        <v>24335.157822899779</v>
      </c>
      <c r="T119">
        <f t="shared" ref="T119" si="574">S119/1000</f>
        <v>24.335157822899777</v>
      </c>
    </row>
    <row r="120" spans="1:20" x14ac:dyDescent="0.25">
      <c r="A120" s="5">
        <v>44473</v>
      </c>
      <c r="B120">
        <v>7.0720000000000005E-2</v>
      </c>
      <c r="C120">
        <v>7.0879999999999999E-2</v>
      </c>
      <c r="D120">
        <v>6.6239999999999993E-2</v>
      </c>
      <c r="E120">
        <v>6.8239999999999995E-2</v>
      </c>
      <c r="F120">
        <v>21553834.399999999</v>
      </c>
      <c r="G120">
        <v>6.8239999999999995E-2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-0.13793103448275884</v>
      </c>
      <c r="Q120">
        <f t="shared" ref="Q120" si="576">F120*P120</f>
        <v>-2972942.6758620734</v>
      </c>
      <c r="R120">
        <f t="shared" ref="R120" si="577">R121+Q120</f>
        <v>2279717349.3874078</v>
      </c>
      <c r="S120">
        <f t="shared" ref="S120" si="578">R120/100000</f>
        <v>22797.173493874077</v>
      </c>
      <c r="T120">
        <f t="shared" ref="T120" si="579">S120/1000</f>
        <v>22.797173493874077</v>
      </c>
    </row>
    <row r="121" spans="1:20" x14ac:dyDescent="0.25">
      <c r="A121" s="5">
        <v>44472</v>
      </c>
      <c r="B121">
        <v>6.8330000000000002E-2</v>
      </c>
      <c r="C121">
        <v>7.1220000000000006E-2</v>
      </c>
      <c r="D121">
        <v>6.7519999999999997E-2</v>
      </c>
      <c r="E121">
        <v>7.0349999999999996E-2</v>
      </c>
      <c r="F121">
        <v>22271326.300000001</v>
      </c>
      <c r="G121">
        <v>7.0349999999999996E-2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0.52972972972972565</v>
      </c>
      <c r="Q121">
        <f t="shared" ref="Q121" si="581">F121*P121</f>
        <v>11797783.661621531</v>
      </c>
      <c r="R121">
        <f t="shared" ref="R121" si="582">R122+Q121</f>
        <v>2282690292.0632696</v>
      </c>
      <c r="S121">
        <f t="shared" ref="S121" si="583">R121/100000</f>
        <v>22826.902920632696</v>
      </c>
      <c r="T121">
        <f t="shared" ref="T121" si="584">S121/1000</f>
        <v>22.826902920632698</v>
      </c>
    </row>
    <row r="122" spans="1:20" x14ac:dyDescent="0.25">
      <c r="A122" s="5">
        <v>44471</v>
      </c>
      <c r="B122">
        <v>6.8940000000000001E-2</v>
      </c>
      <c r="C122">
        <v>7.0040000000000005E-2</v>
      </c>
      <c r="D122">
        <v>6.7360000000000003E-2</v>
      </c>
      <c r="E122">
        <v>6.8330000000000002E-2</v>
      </c>
      <c r="F122">
        <v>18261432.699999999</v>
      </c>
      <c r="G122">
        <v>6.8330000000000002E-2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-0.27611940298507615</v>
      </c>
      <c r="Q122">
        <f t="shared" ref="Q122" si="586">F122*P122</f>
        <v>-5042335.8947761469</v>
      </c>
      <c r="R122">
        <f t="shared" ref="R122" si="587">R123+Q122</f>
        <v>2270892508.401648</v>
      </c>
      <c r="S122">
        <f t="shared" ref="S122" si="588">R122/100000</f>
        <v>22708.925084016479</v>
      </c>
      <c r="T122">
        <f t="shared" ref="T122" si="589">S122/1000</f>
        <v>22.708925084016478</v>
      </c>
    </row>
    <row r="123" spans="1:20" x14ac:dyDescent="0.25">
      <c r="A123" s="5">
        <v>44470</v>
      </c>
      <c r="B123">
        <v>6.3780000000000003E-2</v>
      </c>
      <c r="C123">
        <v>6.8930000000000005E-2</v>
      </c>
      <c r="D123">
        <v>6.3420000000000004E-2</v>
      </c>
      <c r="E123">
        <v>6.8890000000000007E-2</v>
      </c>
      <c r="F123">
        <v>32544688.800000001</v>
      </c>
      <c r="G123">
        <v>6.8890000000000007E-2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0.98548094373865758</v>
      </c>
      <c r="Q123">
        <f t="shared" ref="Q123" si="591">F123*P123</f>
        <v>32072170.632304922</v>
      </c>
      <c r="R123">
        <f t="shared" ref="R123" si="592">R124+Q123</f>
        <v>2275934844.2964244</v>
      </c>
      <c r="S123">
        <f t="shared" ref="S123" si="593">R123/100000</f>
        <v>22759.348442964245</v>
      </c>
      <c r="T123">
        <f t="shared" ref="T123" si="594">S123/1000</f>
        <v>22.759348442964246</v>
      </c>
    </row>
    <row r="124" spans="1:20" x14ac:dyDescent="0.25">
      <c r="A124" s="5">
        <v>44469</v>
      </c>
      <c r="B124">
        <v>5.944E-2</v>
      </c>
      <c r="C124">
        <v>6.3960000000000003E-2</v>
      </c>
      <c r="D124">
        <v>5.9209999999999999E-2</v>
      </c>
      <c r="E124">
        <v>6.3750000000000001E-2</v>
      </c>
      <c r="F124">
        <v>26989489.800000001</v>
      </c>
      <c r="G124">
        <v>6.3750000000000001E-2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0.91157894736842038</v>
      </c>
      <c r="Q124">
        <f t="shared" ref="Q124" si="596">F124*P124</f>
        <v>24603050.701894719</v>
      </c>
      <c r="R124">
        <f t="shared" ref="R124" si="597">R125+Q124</f>
        <v>2243862673.6641192</v>
      </c>
      <c r="S124">
        <f t="shared" ref="S124" si="598">R124/100000</f>
        <v>22438.626736641192</v>
      </c>
      <c r="T124">
        <f t="shared" ref="T124" si="599">S124/1000</f>
        <v>22.438626736641194</v>
      </c>
    </row>
    <row r="125" spans="1:20" x14ac:dyDescent="0.25">
      <c r="A125" s="5">
        <v>44468</v>
      </c>
      <c r="B125">
        <v>5.8139999999999997E-2</v>
      </c>
      <c r="C125">
        <v>6.1580000000000003E-2</v>
      </c>
      <c r="D125">
        <v>5.7630000000000001E-2</v>
      </c>
      <c r="E125">
        <v>5.944E-2</v>
      </c>
      <c r="F125">
        <v>14307465.5</v>
      </c>
      <c r="G125">
        <v>5.944E-2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-8.3544303797469299E-2</v>
      </c>
      <c r="Q125">
        <f t="shared" ref="Q125" si="601">F125*P125</f>
        <v>-1195307.2443038109</v>
      </c>
      <c r="R125">
        <f t="shared" ref="R125" si="602">R126+Q125</f>
        <v>2219259622.9622245</v>
      </c>
      <c r="S125">
        <f t="shared" ref="S125" si="603">R125/100000</f>
        <v>22192.596229622246</v>
      </c>
      <c r="T125">
        <f t="shared" ref="T125" si="604">S125/1000</f>
        <v>22.192596229622247</v>
      </c>
    </row>
    <row r="126" spans="1:20" x14ac:dyDescent="0.25">
      <c r="A126" s="5">
        <v>44467</v>
      </c>
      <c r="B126">
        <v>6.1670000000000003E-2</v>
      </c>
      <c r="C126">
        <v>6.2260000000000003E-2</v>
      </c>
      <c r="D126">
        <v>5.7919999999999999E-2</v>
      </c>
      <c r="E126">
        <v>5.8090000000000003E-2</v>
      </c>
      <c r="F126">
        <v>20258467.199999999</v>
      </c>
      <c r="G126">
        <v>5.8090000000000003E-2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-0.92165898617511366</v>
      </c>
      <c r="Q126">
        <f t="shared" ref="Q126" si="606">F126*P126</f>
        <v>-18671398.341013793</v>
      </c>
      <c r="R126">
        <f t="shared" ref="R126" si="607">R127+Q126</f>
        <v>2220454930.2065282</v>
      </c>
      <c r="S126">
        <f t="shared" ref="S126" si="608">R126/100000</f>
        <v>22204.549302065283</v>
      </c>
      <c r="T126">
        <f t="shared" ref="T126" si="609">S126/1000</f>
        <v>22.204549302065281</v>
      </c>
    </row>
    <row r="127" spans="1:20" x14ac:dyDescent="0.25">
      <c r="A127" s="5">
        <v>44466</v>
      </c>
      <c r="B127">
        <v>6.3509999999999997E-2</v>
      </c>
      <c r="C127">
        <v>6.5740000000000007E-2</v>
      </c>
      <c r="D127">
        <v>6.1499999999999999E-2</v>
      </c>
      <c r="E127">
        <v>6.1679999999999999E-2</v>
      </c>
      <c r="F127">
        <v>20403183.699999999</v>
      </c>
      <c r="G127">
        <v>6.1679999999999999E-2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-0.91509433962264186</v>
      </c>
      <c r="Q127">
        <f t="shared" ref="Q127" si="611">F127*P127</f>
        <v>-18670837.91415095</v>
      </c>
      <c r="R127">
        <f t="shared" ref="R127" si="612">R128+Q127</f>
        <v>2239126328.5475421</v>
      </c>
      <c r="S127">
        <f t="shared" ref="S127" si="613">R127/100000</f>
        <v>22391.263285475419</v>
      </c>
      <c r="T127">
        <f t="shared" ref="T127" si="614">S127/1000</f>
        <v>22.391263285475418</v>
      </c>
    </row>
    <row r="128" spans="1:20" x14ac:dyDescent="0.25">
      <c r="A128" s="5">
        <v>44465</v>
      </c>
      <c r="B128">
        <v>6.6530000000000006E-2</v>
      </c>
      <c r="C128">
        <v>6.6720000000000002E-2</v>
      </c>
      <c r="D128">
        <v>6.0019999999999997E-2</v>
      </c>
      <c r="E128">
        <v>6.3560000000000005E-2</v>
      </c>
      <c r="F128">
        <v>33099040.199999999</v>
      </c>
      <c r="G128">
        <v>6.3560000000000005E-2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5.6716417910449554E-2</v>
      </c>
      <c r="Q128">
        <f t="shared" ref="Q128" si="616">F128*P128</f>
        <v>1877258.9964179697</v>
      </c>
      <c r="R128">
        <f t="shared" ref="R128" si="617">R129+Q128</f>
        <v>2257797166.4616928</v>
      </c>
      <c r="S128">
        <f t="shared" ref="S128" si="618">R128/100000</f>
        <v>22577.971664616929</v>
      </c>
      <c r="T128">
        <f t="shared" ref="T128" si="619">S128/1000</f>
        <v>22.577971664616928</v>
      </c>
    </row>
    <row r="129" spans="1:20" x14ac:dyDescent="0.25">
      <c r="A129" s="5">
        <v>44464</v>
      </c>
      <c r="B129">
        <v>6.8049999999999999E-2</v>
      </c>
      <c r="C129">
        <v>6.8640000000000007E-2</v>
      </c>
      <c r="D129">
        <v>6.5229999999999996E-2</v>
      </c>
      <c r="E129">
        <v>6.6519999999999996E-2</v>
      </c>
      <c r="F129">
        <v>19944911.800000001</v>
      </c>
      <c r="G129">
        <v>6.6519999999999996E-2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-0.24340175953079438</v>
      </c>
      <c r="Q129">
        <f t="shared" ref="Q129" si="621">F129*P129</f>
        <v>-4854626.625806503</v>
      </c>
      <c r="R129">
        <f t="shared" ref="R129" si="622">R130+Q129</f>
        <v>2255919907.4652748</v>
      </c>
      <c r="S129">
        <f t="shared" ref="S129" si="623">R129/100000</f>
        <v>22559.199074652748</v>
      </c>
      <c r="T129">
        <f t="shared" ref="T129" si="624">S129/1000</f>
        <v>22.559199074652749</v>
      </c>
    </row>
    <row r="130" spans="1:20" x14ac:dyDescent="0.25">
      <c r="A130" s="5">
        <v>44463</v>
      </c>
      <c r="B130">
        <v>7.4899999999999994E-2</v>
      </c>
      <c r="C130">
        <v>7.5200000000000003E-2</v>
      </c>
      <c r="D130">
        <v>6.3159999999999994E-2</v>
      </c>
      <c r="E130">
        <v>6.8070000000000006E-2</v>
      </c>
      <c r="F130">
        <v>45666208.5</v>
      </c>
      <c r="G130">
        <v>6.8070000000000006E-2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-0.18438538205979935</v>
      </c>
      <c r="Q130">
        <f t="shared" ref="Q130" si="626">F130*P130</f>
        <v>-8420181.301494956</v>
      </c>
      <c r="R130">
        <f t="shared" ref="R130" si="627">R131+Q130</f>
        <v>2260774534.0910811</v>
      </c>
      <c r="S130">
        <f t="shared" ref="S130" si="628">R130/100000</f>
        <v>22607.745340910813</v>
      </c>
      <c r="T130">
        <f t="shared" ref="T130" si="629">S130/1000</f>
        <v>22.607745340910814</v>
      </c>
    </row>
    <row r="131" spans="1:20" x14ac:dyDescent="0.25">
      <c r="A131" s="5">
        <v>44462</v>
      </c>
      <c r="B131">
        <v>7.4319999999999997E-2</v>
      </c>
      <c r="C131">
        <v>7.5480000000000005E-2</v>
      </c>
      <c r="D131">
        <v>7.1010000000000004E-2</v>
      </c>
      <c r="E131">
        <v>7.5009999999999993E-2</v>
      </c>
      <c r="F131">
        <v>171055576.69999999</v>
      </c>
      <c r="G131">
        <v>7.5009999999999993E-2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0.78970917225950255</v>
      </c>
      <c r="Q131">
        <f t="shared" ref="Q131" si="631">F131*P131</f>
        <v>135084157.88612884</v>
      </c>
      <c r="R131">
        <f t="shared" ref="R131" si="632">R132+Q131</f>
        <v>2269194715.3925762</v>
      </c>
      <c r="S131">
        <f t="shared" ref="S131" si="633">R131/100000</f>
        <v>22691.947153925761</v>
      </c>
      <c r="T131">
        <f t="shared" ref="T131" si="634">S131/1000</f>
        <v>22.69194715392576</v>
      </c>
    </row>
    <row r="132" spans="1:20" x14ac:dyDescent="0.25">
      <c r="A132" s="5">
        <v>44461</v>
      </c>
      <c r="B132">
        <v>6.6979999999999998E-2</v>
      </c>
      <c r="C132">
        <v>7.4759999999999993E-2</v>
      </c>
      <c r="D132">
        <v>6.5019999999999994E-2</v>
      </c>
      <c r="E132">
        <v>7.4410000000000004E-2</v>
      </c>
      <c r="F132">
        <v>44106068.299999997</v>
      </c>
      <c r="G132">
        <v>7.4410000000000004E-2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0.92813141683778455</v>
      </c>
      <c r="Q132">
        <f t="shared" ref="Q132" si="636">F132*P132</f>
        <v>40936227.662423089</v>
      </c>
      <c r="R132">
        <f t="shared" ref="R132" si="637">R133+Q132</f>
        <v>2134110557.5064473</v>
      </c>
      <c r="S132">
        <f t="shared" ref="S132" si="638">R132/100000</f>
        <v>21341.105575064474</v>
      </c>
      <c r="T132">
        <f t="shared" ref="T132" si="639">S132/1000</f>
        <v>21.341105575064475</v>
      </c>
    </row>
    <row r="133" spans="1:20" x14ac:dyDescent="0.25">
      <c r="A133" s="5">
        <v>44460</v>
      </c>
      <c r="B133">
        <v>7.2489999999999999E-2</v>
      </c>
      <c r="C133">
        <v>7.4300000000000005E-2</v>
      </c>
      <c r="D133">
        <v>6.6110000000000002E-2</v>
      </c>
      <c r="E133">
        <v>6.6900000000000001E-2</v>
      </c>
      <c r="F133">
        <v>54322144.5</v>
      </c>
      <c r="G133">
        <v>6.6900000000000001E-2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-0.80708180708180743</v>
      </c>
      <c r="Q133">
        <f t="shared" ref="Q133" si="641">F133*P133</f>
        <v>-43842414.547619067</v>
      </c>
      <c r="R133">
        <f t="shared" ref="R133" si="642">R134+Q133</f>
        <v>2093174329.8440242</v>
      </c>
      <c r="S133">
        <f t="shared" ref="S133" si="643">R133/100000</f>
        <v>20931.74329844024</v>
      </c>
      <c r="T133">
        <f t="shared" ref="T133" si="644">S133/1000</f>
        <v>20.931743298440239</v>
      </c>
    </row>
    <row r="134" spans="1:20" x14ac:dyDescent="0.25">
      <c r="A134" s="5">
        <v>44459</v>
      </c>
      <c r="B134">
        <v>8.5440000000000002E-2</v>
      </c>
      <c r="C134">
        <v>8.5519999999999999E-2</v>
      </c>
      <c r="D134">
        <v>7.621E-2</v>
      </c>
      <c r="E134">
        <v>7.7509999999999996E-2</v>
      </c>
      <c r="F134">
        <v>32575480.199999999</v>
      </c>
      <c r="G134">
        <v>7.7509999999999996E-2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-0.72073039742212763</v>
      </c>
      <c r="Q134">
        <f t="shared" ref="Q134" si="646">F134*P134</f>
        <v>-23478138.790762648</v>
      </c>
      <c r="R134">
        <f t="shared" ref="R134" si="647">R135+Q134</f>
        <v>2137016744.3916433</v>
      </c>
      <c r="S134">
        <f t="shared" ref="S134" si="648">R134/100000</f>
        <v>21370.167443916434</v>
      </c>
      <c r="T134">
        <f t="shared" ref="T134" si="649">S134/1000</f>
        <v>21.370167443916433</v>
      </c>
    </row>
    <row r="135" spans="1:20" x14ac:dyDescent="0.25">
      <c r="A135" s="5">
        <v>44458</v>
      </c>
      <c r="B135">
        <v>8.9749999999999996E-2</v>
      </c>
      <c r="C135">
        <v>8.9870000000000005E-2</v>
      </c>
      <c r="D135">
        <v>8.3839999999999998E-2</v>
      </c>
      <c r="E135">
        <v>8.548E-2</v>
      </c>
      <c r="F135">
        <v>19925444.699999999</v>
      </c>
      <c r="G135">
        <v>8.548E-2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-0.45605306799336631</v>
      </c>
      <c r="Q135">
        <f t="shared" ref="Q135" si="651">F135*P135</f>
        <v>-9087060.1865671594</v>
      </c>
      <c r="R135">
        <f t="shared" ref="R135" si="652">R136+Q135</f>
        <v>2160494883.1824059</v>
      </c>
      <c r="S135">
        <f t="shared" ref="S135" si="653">R135/100000</f>
        <v>21604.948831824058</v>
      </c>
      <c r="T135">
        <f t="shared" ref="T135" si="654">S135/1000</f>
        <v>21.604948831824057</v>
      </c>
    </row>
    <row r="136" spans="1:20" x14ac:dyDescent="0.25">
      <c r="A136" s="5">
        <v>44457</v>
      </c>
      <c r="B136">
        <v>8.8580000000000006E-2</v>
      </c>
      <c r="C136">
        <v>9.1929999999999998E-2</v>
      </c>
      <c r="D136">
        <v>8.7429999999999994E-2</v>
      </c>
      <c r="E136">
        <v>8.9760000000000006E-2</v>
      </c>
      <c r="F136">
        <v>35399503.100000001</v>
      </c>
      <c r="G136">
        <v>8.9760000000000006E-2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3.5555555555560246E-2</v>
      </c>
      <c r="Q136">
        <f t="shared" ref="Q136" si="656">F136*P136</f>
        <v>1258648.9991112773</v>
      </c>
      <c r="R136">
        <f t="shared" ref="R136" si="657">R137+Q136</f>
        <v>2169581943.3689733</v>
      </c>
      <c r="S136">
        <f t="shared" ref="S136" si="658">R136/100000</f>
        <v>21695.819433689732</v>
      </c>
      <c r="T136">
        <f t="shared" ref="T136" si="659">S136/1000</f>
        <v>21.695819433689731</v>
      </c>
    </row>
    <row r="137" spans="1:20" x14ac:dyDescent="0.25">
      <c r="A137" s="5">
        <v>44456</v>
      </c>
      <c r="B137">
        <v>9.7879999999999995E-2</v>
      </c>
      <c r="C137">
        <v>0.10100000000000001</v>
      </c>
      <c r="D137">
        <v>8.6910000000000001E-2</v>
      </c>
      <c r="E137">
        <v>8.8569999999999996E-2</v>
      </c>
      <c r="F137">
        <v>79674985.299999997</v>
      </c>
      <c r="G137">
        <v>8.8569999999999996E-2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-0.76437189496096603</v>
      </c>
      <c r="Q137">
        <f t="shared" ref="Q137" si="661">F137*P137</f>
        <v>-60901319.494748108</v>
      </c>
      <c r="R137">
        <f t="shared" ref="R137" si="662">R138+Q137</f>
        <v>2168323294.3698621</v>
      </c>
      <c r="S137">
        <f t="shared" ref="S137" si="663">R137/100000</f>
        <v>21683.232943698622</v>
      </c>
      <c r="T137">
        <f t="shared" ref="T137" si="664">S137/1000</f>
        <v>21.683232943698624</v>
      </c>
    </row>
    <row r="138" spans="1:20" x14ac:dyDescent="0.25">
      <c r="A138" s="5">
        <v>44455</v>
      </c>
      <c r="B138">
        <v>9.4329999999999997E-2</v>
      </c>
      <c r="C138">
        <v>0.10055</v>
      </c>
      <c r="D138">
        <v>9.4200000000000006E-2</v>
      </c>
      <c r="E138">
        <v>9.7799999999999998E-2</v>
      </c>
      <c r="F138">
        <v>94801420.900000006</v>
      </c>
      <c r="G138">
        <v>9.7799999999999998E-2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0.13385826771653392</v>
      </c>
      <c r="Q138">
        <f t="shared" ref="Q138" si="666">F138*P138</f>
        <v>12689953.978740014</v>
      </c>
      <c r="R138">
        <f t="shared" ref="R138" si="667">R139+Q138</f>
        <v>2229224613.8646102</v>
      </c>
      <c r="S138">
        <f t="shared" ref="S138" si="668">R138/100000</f>
        <v>22292.246138646104</v>
      </c>
      <c r="T138">
        <f t="shared" ref="T138" si="669">S138/1000</f>
        <v>22.292246138646103</v>
      </c>
    </row>
    <row r="139" spans="1:20" x14ac:dyDescent="0.25">
      <c r="A139" s="5">
        <v>44454</v>
      </c>
      <c r="B139">
        <v>9.2710000000000001E-2</v>
      </c>
      <c r="C139">
        <v>9.5380000000000006E-2</v>
      </c>
      <c r="D139">
        <v>8.8450000000000001E-2</v>
      </c>
      <c r="E139">
        <v>9.425E-2</v>
      </c>
      <c r="F139">
        <v>53825937.299999997</v>
      </c>
      <c r="G139">
        <v>9.425E-2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0.67388167388167242</v>
      </c>
      <c r="Q139">
        <f t="shared" ref="Q139" si="671">F139*P139</f>
        <v>36272312.725973941</v>
      </c>
      <c r="R139">
        <f t="shared" ref="R139" si="672">R140+Q139</f>
        <v>2216534659.88587</v>
      </c>
      <c r="S139">
        <f t="shared" ref="S139" si="673">R139/100000</f>
        <v>22165.346598858701</v>
      </c>
      <c r="T139">
        <f t="shared" ref="T139" si="674">S139/1000</f>
        <v>22.165346598858701</v>
      </c>
    </row>
    <row r="140" spans="1:20" x14ac:dyDescent="0.25">
      <c r="A140" s="5">
        <v>44453</v>
      </c>
      <c r="B140">
        <v>8.2960000000000006E-2</v>
      </c>
      <c r="C140">
        <v>9.4E-2</v>
      </c>
      <c r="D140">
        <v>8.2530000000000006E-2</v>
      </c>
      <c r="E140">
        <v>9.2710000000000001E-2</v>
      </c>
      <c r="F140">
        <v>119975443.7</v>
      </c>
      <c r="G140">
        <v>9.2710000000000001E-2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0.77506538796861379</v>
      </c>
      <c r="Q140">
        <f t="shared" ref="Q140" si="676">F140*P140</f>
        <v>92988813.818047091</v>
      </c>
      <c r="R140">
        <f t="shared" ref="R140" si="677">R141+Q140</f>
        <v>2180262347.1598959</v>
      </c>
      <c r="S140">
        <f t="shared" ref="S140" si="678">R140/100000</f>
        <v>21802.623471598959</v>
      </c>
      <c r="T140">
        <f t="shared" ref="T140" si="679">S140/1000</f>
        <v>21.80262347159896</v>
      </c>
    </row>
    <row r="141" spans="1:20" x14ac:dyDescent="0.25">
      <c r="A141" s="5">
        <v>44452</v>
      </c>
      <c r="B141">
        <v>9.0450000000000003E-2</v>
      </c>
      <c r="C141">
        <v>9.3990000000000004E-2</v>
      </c>
      <c r="D141">
        <v>7.8570000000000001E-2</v>
      </c>
      <c r="E141">
        <v>8.2960000000000006E-2</v>
      </c>
      <c r="F141">
        <v>88605657.299999997</v>
      </c>
      <c r="G141">
        <v>8.2960000000000006E-2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-0.43060959792477249</v>
      </c>
      <c r="Q141">
        <f t="shared" ref="Q141" si="681">F141*P141</f>
        <v>-38154446.463813178</v>
      </c>
      <c r="R141">
        <f t="shared" ref="R141" si="682">R142+Q141</f>
        <v>2087273533.3418486</v>
      </c>
      <c r="S141">
        <f t="shared" ref="S141" si="683">R141/100000</f>
        <v>20872.735333418485</v>
      </c>
      <c r="T141">
        <f t="shared" ref="T141" si="684">S141/1000</f>
        <v>20.872735333418486</v>
      </c>
    </row>
    <row r="142" spans="1:20" x14ac:dyDescent="0.25">
      <c r="A142" s="5">
        <v>44451</v>
      </c>
      <c r="B142">
        <v>8.2790000000000002E-2</v>
      </c>
      <c r="C142">
        <v>9.4659999999999994E-2</v>
      </c>
      <c r="D142">
        <v>7.9880000000000007E-2</v>
      </c>
      <c r="E142">
        <v>9.0499999999999997E-2</v>
      </c>
      <c r="F142">
        <v>210587536.30000001</v>
      </c>
      <c r="G142">
        <v>9.0499999999999997E-2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0.43707713125845732</v>
      </c>
      <c r="Q142">
        <f t="shared" ref="Q142" si="686">F142*P142</f>
        <v>92042996.244790256</v>
      </c>
      <c r="R142">
        <f t="shared" ref="R142" si="687">R143+Q142</f>
        <v>2125427979.8056617</v>
      </c>
      <c r="S142">
        <f t="shared" ref="S142" si="688">R142/100000</f>
        <v>21254.279798056617</v>
      </c>
      <c r="T142">
        <f t="shared" ref="T142" si="689">S142/1000</f>
        <v>21.254279798056618</v>
      </c>
    </row>
    <row r="143" spans="1:20" x14ac:dyDescent="0.25">
      <c r="A143" s="5">
        <v>44450</v>
      </c>
      <c r="B143">
        <v>7.8490000000000004E-2</v>
      </c>
      <c r="C143">
        <v>8.2879999999999995E-2</v>
      </c>
      <c r="D143">
        <v>7.7729999999999994E-2</v>
      </c>
      <c r="E143">
        <v>8.2640000000000005E-2</v>
      </c>
      <c r="F143">
        <v>56153500.100000001</v>
      </c>
      <c r="G143">
        <v>8.2640000000000005E-2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0.90679611650485825</v>
      </c>
      <c r="Q143">
        <f t="shared" ref="Q143" si="691">F143*P143</f>
        <v>50919775.818835169</v>
      </c>
      <c r="R143">
        <f t="shared" ref="R143" si="692">R144+Q143</f>
        <v>2033384983.5608714</v>
      </c>
      <c r="S143">
        <f t="shared" ref="S143" si="693">R143/100000</f>
        <v>20333.849835608715</v>
      </c>
      <c r="T143">
        <f t="shared" ref="T143" si="694">S143/1000</f>
        <v>20.333849835608714</v>
      </c>
    </row>
    <row r="144" spans="1:20" x14ac:dyDescent="0.25">
      <c r="A144" s="5">
        <v>44449</v>
      </c>
      <c r="B144">
        <v>8.3760000000000001E-2</v>
      </c>
      <c r="C144">
        <v>8.5999999999999993E-2</v>
      </c>
      <c r="D144">
        <v>7.5120000000000006E-2</v>
      </c>
      <c r="E144">
        <v>7.8460000000000002E-2</v>
      </c>
      <c r="F144">
        <v>91213641.400000006</v>
      </c>
      <c r="G144">
        <v>7.8460000000000002E-2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-0.3860294117647059</v>
      </c>
      <c r="Q144">
        <f t="shared" ref="Q144" si="696">F144*P144</f>
        <v>-35211148.33455883</v>
      </c>
      <c r="R144">
        <f t="shared" ref="R144" si="697">R145+Q144</f>
        <v>1982465207.7420361</v>
      </c>
      <c r="S144">
        <f t="shared" ref="S144" si="698">R144/100000</f>
        <v>19824.65207742036</v>
      </c>
      <c r="T144">
        <f t="shared" ref="T144" si="699">S144/1000</f>
        <v>19.82465207742036</v>
      </c>
    </row>
    <row r="145" spans="1:20" x14ac:dyDescent="0.25">
      <c r="A145" s="5">
        <v>44448</v>
      </c>
      <c r="B145">
        <v>7.9299999999999995E-2</v>
      </c>
      <c r="C145">
        <v>8.3930000000000005E-2</v>
      </c>
      <c r="D145">
        <v>7.7689999999999995E-2</v>
      </c>
      <c r="E145">
        <v>8.3769999999999997E-2</v>
      </c>
      <c r="F145">
        <v>56174886.700000003</v>
      </c>
      <c r="G145">
        <v>8.3769999999999997E-2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0.94871794871794646</v>
      </c>
      <c r="Q145">
        <f t="shared" ref="Q145" si="701">F145*P145</f>
        <v>53294123.279487059</v>
      </c>
      <c r="R145">
        <f t="shared" ref="R145" si="702">R146+Q145</f>
        <v>2017676356.0765948</v>
      </c>
      <c r="S145">
        <f t="shared" ref="S145" si="703">R145/100000</f>
        <v>20176.763560765947</v>
      </c>
      <c r="T145">
        <f t="shared" ref="T145" si="704">S145/1000</f>
        <v>20.176763560765945</v>
      </c>
    </row>
    <row r="146" spans="1:20" x14ac:dyDescent="0.25">
      <c r="A146" s="5">
        <v>44447</v>
      </c>
      <c r="B146">
        <v>7.46E-2</v>
      </c>
      <c r="C146">
        <v>8.3260000000000001E-2</v>
      </c>
      <c r="D146">
        <v>6.9370000000000001E-2</v>
      </c>
      <c r="E146">
        <v>7.9240000000000005E-2</v>
      </c>
      <c r="F146">
        <v>100598037.59999999</v>
      </c>
      <c r="G146">
        <v>7.9240000000000005E-2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0.42116630669546495</v>
      </c>
      <c r="Q146">
        <f t="shared" ref="Q146" si="706">F146*P146</f>
        <v>42368503.956803516</v>
      </c>
      <c r="R146">
        <f t="shared" ref="R146" si="707">R147+Q146</f>
        <v>1964382232.7971077</v>
      </c>
      <c r="S146">
        <f t="shared" ref="S146" si="708">R146/100000</f>
        <v>19643.822327971076</v>
      </c>
      <c r="T146">
        <f t="shared" ref="T146" si="709">S146/1000</f>
        <v>19.643822327971076</v>
      </c>
    </row>
    <row r="147" spans="1:20" x14ac:dyDescent="0.25">
      <c r="A147" s="5">
        <v>44446</v>
      </c>
      <c r="B147">
        <v>9.2619999999999994E-2</v>
      </c>
      <c r="C147">
        <v>9.6159999999999995E-2</v>
      </c>
      <c r="D147">
        <v>6.8099999999999994E-2</v>
      </c>
      <c r="E147">
        <v>7.46E-2</v>
      </c>
      <c r="F147">
        <v>104482452.3</v>
      </c>
      <c r="G147">
        <v>7.46E-2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-0.53670705630791127</v>
      </c>
      <c r="Q147">
        <f t="shared" ref="Q147" si="711">F147*P147</f>
        <v>-56076469.409764752</v>
      </c>
      <c r="R147">
        <f t="shared" ref="R147" si="712">R148+Q147</f>
        <v>1922013728.8403041</v>
      </c>
      <c r="S147">
        <f t="shared" ref="S147" si="713">R147/100000</f>
        <v>19220.137288403042</v>
      </c>
      <c r="T147">
        <f t="shared" ref="T147" si="714">S147/1000</f>
        <v>19.220137288403041</v>
      </c>
    </row>
    <row r="148" spans="1:20" x14ac:dyDescent="0.25">
      <c r="A148" s="5">
        <v>44445</v>
      </c>
      <c r="B148">
        <v>9.1389999999999999E-2</v>
      </c>
      <c r="C148">
        <v>9.3740000000000004E-2</v>
      </c>
      <c r="D148">
        <v>8.7580000000000005E-2</v>
      </c>
      <c r="E148">
        <v>9.2600000000000002E-2</v>
      </c>
      <c r="F148">
        <v>63287574.600000001</v>
      </c>
      <c r="G148">
        <v>9.2600000000000002E-2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0.62987012987012914</v>
      </c>
      <c r="Q148">
        <f t="shared" ref="Q148" si="716">F148*P148</f>
        <v>39862952.832467489</v>
      </c>
      <c r="R148">
        <f t="shared" ref="R148" si="717">R149+Q148</f>
        <v>1978090198.2500689</v>
      </c>
      <c r="S148">
        <f t="shared" ref="S148" si="718">R148/100000</f>
        <v>19780.901982500691</v>
      </c>
      <c r="T148">
        <f t="shared" ref="T148" si="719">S148/1000</f>
        <v>19.780901982500691</v>
      </c>
    </row>
    <row r="149" spans="1:20" x14ac:dyDescent="0.25">
      <c r="A149" s="5">
        <v>44444</v>
      </c>
      <c r="B149">
        <v>8.7239999999999998E-2</v>
      </c>
      <c r="C149">
        <v>9.2880000000000004E-2</v>
      </c>
      <c r="D149">
        <v>8.7220000000000006E-2</v>
      </c>
      <c r="E149">
        <v>9.1380000000000003E-2</v>
      </c>
      <c r="F149">
        <v>102960666.8</v>
      </c>
      <c r="G149">
        <v>9.1380000000000003E-2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0.46996466431095346</v>
      </c>
      <c r="Q149">
        <f t="shared" ref="Q149" si="721">F149*P149</f>
        <v>48387875.209893927</v>
      </c>
      <c r="R149">
        <f t="shared" ref="R149" si="722">R150+Q149</f>
        <v>1938227245.4176013</v>
      </c>
      <c r="S149">
        <f t="shared" ref="S149" si="723">R149/100000</f>
        <v>19382.272454176014</v>
      </c>
      <c r="T149">
        <f t="shared" ref="T149" si="724">S149/1000</f>
        <v>19.382272454176015</v>
      </c>
    </row>
    <row r="150" spans="1:20" x14ac:dyDescent="0.25">
      <c r="A150" s="5">
        <v>44443</v>
      </c>
      <c r="B150">
        <v>8.6220000000000005E-2</v>
      </c>
      <c r="C150">
        <v>8.8179999999999994E-2</v>
      </c>
      <c r="D150">
        <v>8.4709999999999994E-2</v>
      </c>
      <c r="E150">
        <v>8.7300000000000003E-2</v>
      </c>
      <c r="F150">
        <v>54617149.200000003</v>
      </c>
      <c r="G150">
        <v>8.7300000000000003E-2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0.49279538904899617</v>
      </c>
      <c r="Q150">
        <f t="shared" ref="Q150" si="726">F150*P150</f>
        <v>26915079.288761072</v>
      </c>
      <c r="R150">
        <f t="shared" ref="R150" si="727">R151+Q150</f>
        <v>1889839370.2077074</v>
      </c>
      <c r="S150">
        <f t="shared" ref="S150" si="728">R150/100000</f>
        <v>18898.393702077075</v>
      </c>
      <c r="T150">
        <f t="shared" ref="T150" si="729">S150/1000</f>
        <v>18.898393702077076</v>
      </c>
    </row>
    <row r="151" spans="1:20" x14ac:dyDescent="0.25">
      <c r="A151" s="5">
        <v>44442</v>
      </c>
      <c r="B151">
        <v>8.2750000000000004E-2</v>
      </c>
      <c r="C151">
        <v>9.0999999999999998E-2</v>
      </c>
      <c r="D151">
        <v>8.2470000000000002E-2</v>
      </c>
      <c r="E151">
        <v>8.6169999999999997E-2</v>
      </c>
      <c r="F151">
        <v>172298938.30000001</v>
      </c>
      <c r="G151">
        <v>8.6169999999999997E-2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-0.13247362250879327</v>
      </c>
      <c r="Q151">
        <f t="shared" ref="Q151" si="731">F151*P151</f>
        <v>-22825064.511020064</v>
      </c>
      <c r="R151">
        <f t="shared" ref="R151" si="732">R152+Q151</f>
        <v>1862924290.9189463</v>
      </c>
      <c r="S151">
        <f t="shared" ref="S151" si="733">R151/100000</f>
        <v>18629.242909189463</v>
      </c>
      <c r="T151">
        <f t="shared" ref="T151" si="734">S151/1000</f>
        <v>18.629242909189461</v>
      </c>
    </row>
    <row r="152" spans="1:20" x14ac:dyDescent="0.25">
      <c r="A152" s="5">
        <v>44441</v>
      </c>
      <c r="B152">
        <v>7.8570000000000001E-2</v>
      </c>
      <c r="C152">
        <v>8.7620000000000003E-2</v>
      </c>
      <c r="D152">
        <v>7.7640000000000001E-2</v>
      </c>
      <c r="E152">
        <v>8.2799999999999999E-2</v>
      </c>
      <c r="F152">
        <v>219542171.30000001</v>
      </c>
      <c r="G152">
        <v>8.2799999999999999E-2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3.4068136272544389E-2</v>
      </c>
      <c r="Q152">
        <f t="shared" ref="Q152" si="736">F152*P152</f>
        <v>7479392.6094186837</v>
      </c>
      <c r="R152">
        <f t="shared" ref="R152" si="737">R153+Q152</f>
        <v>1885749355.4299662</v>
      </c>
      <c r="S152">
        <f t="shared" ref="S152" si="738">R152/100000</f>
        <v>18857.493554299661</v>
      </c>
      <c r="T152">
        <f t="shared" ref="T152" si="739">S152/1000</f>
        <v>18.857493554299662</v>
      </c>
    </row>
    <row r="153" spans="1:20" x14ac:dyDescent="0.25">
      <c r="A153" s="5">
        <v>44440</v>
      </c>
      <c r="B153">
        <v>7.3400000000000007E-2</v>
      </c>
      <c r="C153">
        <v>8.1000000000000003E-2</v>
      </c>
      <c r="D153">
        <v>7.1900000000000006E-2</v>
      </c>
      <c r="E153">
        <v>7.8469999999999998E-2</v>
      </c>
      <c r="F153">
        <v>143851691.30000001</v>
      </c>
      <c r="G153">
        <v>7.8469999999999998E-2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0.44395604395604277</v>
      </c>
      <c r="Q153">
        <f t="shared" ref="Q153" si="741">F153*P153</f>
        <v>63863827.785933897</v>
      </c>
      <c r="R153">
        <f t="shared" ref="R153" si="742">R154+Q153</f>
        <v>1878269962.8205476</v>
      </c>
      <c r="S153">
        <f t="shared" ref="S153" si="743">R153/100000</f>
        <v>18782.699628205475</v>
      </c>
      <c r="T153">
        <f t="shared" ref="T153" si="744">S153/1000</f>
        <v>18.782699628205474</v>
      </c>
    </row>
    <row r="154" spans="1:20" x14ac:dyDescent="0.25">
      <c r="A154" s="5">
        <v>44439</v>
      </c>
      <c r="B154">
        <v>7.0629999999999998E-2</v>
      </c>
      <c r="C154">
        <v>7.3639999999999997E-2</v>
      </c>
      <c r="D154">
        <v>6.9379999999999997E-2</v>
      </c>
      <c r="E154">
        <v>7.3419999999999999E-2</v>
      </c>
      <c r="F154">
        <v>43099938.899999999</v>
      </c>
      <c r="G154">
        <v>7.3419999999999999E-2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0.89671361502347513</v>
      </c>
      <c r="Q154">
        <f t="shared" ref="Q154" si="746">F154*P154</f>
        <v>38648302.018309899</v>
      </c>
      <c r="R154">
        <f t="shared" ref="R154" si="747">R155+Q154</f>
        <v>1814406135.0346136</v>
      </c>
      <c r="S154">
        <f t="shared" ref="S154" si="748">R154/100000</f>
        <v>18144.061350346135</v>
      </c>
      <c r="T154">
        <f t="shared" ref="T154" si="749">S154/1000</f>
        <v>18.144061350346135</v>
      </c>
    </row>
    <row r="155" spans="1:20" x14ac:dyDescent="0.25">
      <c r="A155" s="5">
        <v>44438</v>
      </c>
      <c r="B155">
        <v>7.3719999999999994E-2</v>
      </c>
      <c r="C155">
        <v>7.3859999999999995E-2</v>
      </c>
      <c r="D155">
        <v>7.009E-2</v>
      </c>
      <c r="E155">
        <v>7.0620000000000002E-2</v>
      </c>
      <c r="F155">
        <v>42706210.799999997</v>
      </c>
      <c r="G155">
        <v>7.0620000000000002E-2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-0.71883289124668259</v>
      </c>
      <c r="Q155">
        <f t="shared" ref="Q155" si="751">F155*P155</f>
        <v>-30698628.9835543</v>
      </c>
      <c r="R155">
        <f t="shared" ref="R155" si="752">R156+Q155</f>
        <v>1775757833.0163038</v>
      </c>
      <c r="S155">
        <f t="shared" ref="S155" si="753">R155/100000</f>
        <v>17757.578330163036</v>
      </c>
      <c r="T155">
        <f t="shared" ref="T155" si="754">S155/1000</f>
        <v>17.757578330163035</v>
      </c>
    </row>
    <row r="156" spans="1:20" x14ac:dyDescent="0.25">
      <c r="A156" s="5">
        <v>44437</v>
      </c>
      <c r="B156">
        <v>7.0760000000000003E-2</v>
      </c>
      <c r="C156">
        <v>7.5130000000000002E-2</v>
      </c>
      <c r="D156">
        <v>7.0099999999999996E-2</v>
      </c>
      <c r="E156">
        <v>7.3770000000000002E-2</v>
      </c>
      <c r="F156">
        <v>66333529.899999999</v>
      </c>
      <c r="G156">
        <v>7.3770000000000002E-2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0.45924453280318162</v>
      </c>
      <c r="Q156">
        <f t="shared" ref="Q156" si="756">F156*P156</f>
        <v>30463310.948111378</v>
      </c>
      <c r="R156">
        <f t="shared" ref="R156" si="757">R157+Q156</f>
        <v>1806456461.9998581</v>
      </c>
      <c r="S156">
        <f t="shared" ref="S156" si="758">R156/100000</f>
        <v>18064.564619998582</v>
      </c>
      <c r="T156">
        <f t="shared" ref="T156" si="759">S156/1000</f>
        <v>18.064564619998581</v>
      </c>
    </row>
    <row r="157" spans="1:20" x14ac:dyDescent="0.25">
      <c r="A157" s="5">
        <v>44436</v>
      </c>
      <c r="B157">
        <v>7.1849999999999997E-2</v>
      </c>
      <c r="C157">
        <v>7.1870000000000003E-2</v>
      </c>
      <c r="D157">
        <v>6.9290000000000004E-2</v>
      </c>
      <c r="E157">
        <v>7.0809999999999998E-2</v>
      </c>
      <c r="F157">
        <v>29593118.800000001</v>
      </c>
      <c r="G157">
        <v>7.0809999999999998E-2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0.17829457364340634</v>
      </c>
      <c r="Q157">
        <f t="shared" ref="Q157" si="761">F157*P157</f>
        <v>5276292.499224673</v>
      </c>
      <c r="R157">
        <f t="shared" ref="R157" si="762">R158+Q157</f>
        <v>1775993151.0517468</v>
      </c>
      <c r="S157">
        <f t="shared" ref="S157" si="763">R157/100000</f>
        <v>17759.931510517468</v>
      </c>
      <c r="T157">
        <f t="shared" ref="T157" si="764">S157/1000</f>
        <v>17.759931510517468</v>
      </c>
    </row>
    <row r="158" spans="1:20" x14ac:dyDescent="0.25">
      <c r="A158" s="5">
        <v>44435</v>
      </c>
      <c r="B158">
        <v>6.8110000000000004E-2</v>
      </c>
      <c r="C158">
        <v>7.2050000000000003E-2</v>
      </c>
      <c r="D158">
        <v>6.6259999999999999E-2</v>
      </c>
      <c r="E158">
        <v>7.1819999999999995E-2</v>
      </c>
      <c r="F158">
        <v>40156677.100000001</v>
      </c>
      <c r="G158">
        <v>7.1819999999999995E-2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0.92055267702935828</v>
      </c>
      <c r="Q158">
        <f t="shared" ref="Q158" si="766">F158*P158</f>
        <v>36966336.605008528</v>
      </c>
      <c r="R158">
        <f t="shared" ref="R158" si="767">R159+Q158</f>
        <v>1770716858.5525222</v>
      </c>
      <c r="S158">
        <f t="shared" ref="S158" si="768">R158/100000</f>
        <v>17707.168585525222</v>
      </c>
      <c r="T158">
        <f t="shared" ref="T158" si="769">S158/1000</f>
        <v>17.707168585525221</v>
      </c>
    </row>
    <row r="159" spans="1:20" x14ac:dyDescent="0.25">
      <c r="A159" s="5">
        <v>44434</v>
      </c>
      <c r="B159">
        <v>7.4179999999999996E-2</v>
      </c>
      <c r="C159">
        <v>7.4789999999999995E-2</v>
      </c>
      <c r="D159">
        <v>6.6799999999999998E-2</v>
      </c>
      <c r="E159">
        <v>6.794E-2</v>
      </c>
      <c r="F159">
        <v>70518168</v>
      </c>
      <c r="G159">
        <v>6.794E-2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-0.71464330413016208</v>
      </c>
      <c r="Q159">
        <f t="shared" ref="Q159" si="771">F159*P159</f>
        <v>-50395336.580725864</v>
      </c>
      <c r="R159">
        <f t="shared" ref="R159" si="772">R160+Q159</f>
        <v>1733750521.9475136</v>
      </c>
      <c r="S159">
        <f t="shared" ref="S159" si="773">R159/100000</f>
        <v>17337.505219475137</v>
      </c>
      <c r="T159">
        <f t="shared" ref="T159" si="774">S159/1000</f>
        <v>17.337505219475137</v>
      </c>
    </row>
    <row r="160" spans="1:20" x14ac:dyDescent="0.25">
      <c r="A160" s="5">
        <v>44433</v>
      </c>
      <c r="B160">
        <v>6.9830000000000003E-2</v>
      </c>
      <c r="C160">
        <v>7.4380000000000002E-2</v>
      </c>
      <c r="D160">
        <v>6.7729999999999999E-2</v>
      </c>
      <c r="E160">
        <v>7.4130000000000001E-2</v>
      </c>
      <c r="F160">
        <v>43744526.200000003</v>
      </c>
      <c r="G160">
        <v>7.4130000000000001E-2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0.92481203007518797</v>
      </c>
      <c r="Q160">
        <f t="shared" ref="Q160" si="776">F160*P160</f>
        <v>40455464.079699248</v>
      </c>
      <c r="R160">
        <f t="shared" ref="R160" si="777">R161+Q160</f>
        <v>1784145858.5282395</v>
      </c>
      <c r="S160">
        <f t="shared" ref="S160" si="778">R160/100000</f>
        <v>17841.458585282395</v>
      </c>
      <c r="T160">
        <f t="shared" ref="T160" si="779">S160/1000</f>
        <v>17.841458585282396</v>
      </c>
    </row>
    <row r="161" spans="1:20" x14ac:dyDescent="0.25">
      <c r="A161" s="5">
        <v>44432</v>
      </c>
      <c r="B161">
        <v>7.4649999999999994E-2</v>
      </c>
      <c r="C161">
        <v>7.6289999999999997E-2</v>
      </c>
      <c r="D161">
        <v>6.8790000000000004E-2</v>
      </c>
      <c r="E161">
        <v>6.9870000000000002E-2</v>
      </c>
      <c r="F161">
        <v>61955670</v>
      </c>
      <c r="G161">
        <v>6.9870000000000002E-2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-0.71200000000000041</v>
      </c>
      <c r="Q161">
        <f t="shared" ref="Q161" si="781">F161*P161</f>
        <v>-44112437.040000029</v>
      </c>
      <c r="R161">
        <f t="shared" ref="R161" si="782">R162+Q161</f>
        <v>1743690394.4485402</v>
      </c>
      <c r="S161">
        <f t="shared" ref="S161" si="783">R161/100000</f>
        <v>17436.903944485402</v>
      </c>
      <c r="T161">
        <f t="shared" ref="T161" si="784">S161/1000</f>
        <v>17.436903944485401</v>
      </c>
    </row>
    <row r="162" spans="1:20" x14ac:dyDescent="0.25">
      <c r="A162" s="5">
        <v>44431</v>
      </c>
      <c r="B162">
        <v>7.0800000000000002E-2</v>
      </c>
      <c r="C162">
        <v>7.8210000000000002E-2</v>
      </c>
      <c r="D162">
        <v>7.016E-2</v>
      </c>
      <c r="E162">
        <v>7.467E-2</v>
      </c>
      <c r="F162">
        <v>75926157.299999997</v>
      </c>
      <c r="G162">
        <v>7.467E-2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0.1204968944099377</v>
      </c>
      <c r="Q162">
        <f t="shared" ref="Q162" si="786">F162*P162</f>
        <v>9148866.1591304205</v>
      </c>
      <c r="R162">
        <f t="shared" ref="R162" si="787">R163+Q162</f>
        <v>1787802831.4885402</v>
      </c>
      <c r="S162">
        <f t="shared" ref="S162" si="788">R162/100000</f>
        <v>17878.028314885403</v>
      </c>
      <c r="T162">
        <f t="shared" ref="T162" si="789">S162/1000</f>
        <v>17.878028314885402</v>
      </c>
    </row>
    <row r="163" spans="1:20" x14ac:dyDescent="0.25">
      <c r="A163" s="5">
        <v>44430</v>
      </c>
      <c r="B163">
        <v>6.9510000000000002E-2</v>
      </c>
      <c r="C163">
        <v>7.077E-2</v>
      </c>
      <c r="D163">
        <v>6.9209999999999994E-2</v>
      </c>
      <c r="E163">
        <v>7.0269999999999999E-2</v>
      </c>
      <c r="F163">
        <v>4953783.9000000004</v>
      </c>
      <c r="G163">
        <v>7.0269999999999999E-2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0.35897435897436081</v>
      </c>
      <c r="Q163">
        <f t="shared" ref="Q163" si="791">F163*P163</f>
        <v>1778281.4000000092</v>
      </c>
      <c r="R163">
        <f t="shared" ref="R163" si="792">R164+Q163</f>
        <v>1778653965.3294098</v>
      </c>
      <c r="S163">
        <f t="shared" ref="S163" si="793">R163/100000</f>
        <v>17786.539653294098</v>
      </c>
      <c r="T163">
        <f t="shared" ref="T163" si="794">S163/1000</f>
        <v>17.786539653294099</v>
      </c>
    </row>
    <row r="164" spans="1:20" x14ac:dyDescent="0.25">
      <c r="A164" s="5">
        <v>44429</v>
      </c>
      <c r="B164">
        <v>7.1129999999999999E-2</v>
      </c>
      <c r="C164">
        <v>7.1129999999999999E-2</v>
      </c>
      <c r="D164">
        <v>6.8629999999999997E-2</v>
      </c>
      <c r="E164">
        <v>6.9500000000000006E-2</v>
      </c>
      <c r="F164">
        <v>55719674.700000003</v>
      </c>
      <c r="G164">
        <v>6.9500000000000006E-2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-0.30399999999999289</v>
      </c>
      <c r="Q164">
        <f t="shared" ref="Q164" si="796">F164*P164</f>
        <v>-16938781.108799603</v>
      </c>
      <c r="R164">
        <f t="shared" ref="R164" si="797">R165+Q164</f>
        <v>1776875683.9294097</v>
      </c>
      <c r="S164">
        <f t="shared" ref="S164" si="798">R164/100000</f>
        <v>17768.756839294096</v>
      </c>
      <c r="T164">
        <f t="shared" ref="T164" si="799">S164/1000</f>
        <v>17.768756839294095</v>
      </c>
    </row>
    <row r="165" spans="1:20" x14ac:dyDescent="0.25">
      <c r="A165" s="5">
        <v>44428</v>
      </c>
      <c r="B165">
        <v>6.8890000000000007E-2</v>
      </c>
      <c r="C165">
        <v>7.1220000000000006E-2</v>
      </c>
      <c r="D165">
        <v>6.7750000000000005E-2</v>
      </c>
      <c r="E165">
        <v>7.0949999999999999E-2</v>
      </c>
      <c r="F165">
        <v>43632110.399999999</v>
      </c>
      <c r="G165">
        <v>7.0949999999999999E-2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0.84438040345820964</v>
      </c>
      <c r="Q165">
        <f t="shared" ref="Q165" si="801">F165*P165</f>
        <v>36842098.983285144</v>
      </c>
      <c r="R165">
        <f t="shared" ref="R165" si="802">R166+Q165</f>
        <v>1793814465.0382094</v>
      </c>
      <c r="S165">
        <f t="shared" ref="S165" si="803">R165/100000</f>
        <v>17938.144650382095</v>
      </c>
      <c r="T165">
        <f t="shared" ref="T165" si="804">S165/1000</f>
        <v>17.938144650382096</v>
      </c>
    </row>
    <row r="166" spans="1:20" x14ac:dyDescent="0.25">
      <c r="A166" s="5">
        <v>44427</v>
      </c>
      <c r="B166">
        <v>6.5490000000000007E-2</v>
      </c>
      <c r="C166">
        <v>6.9000000000000006E-2</v>
      </c>
      <c r="D166">
        <v>6.2619999999999995E-2</v>
      </c>
      <c r="E166">
        <v>6.8919999999999995E-2</v>
      </c>
      <c r="F166">
        <v>33803803.200000003</v>
      </c>
      <c r="G166">
        <v>6.8919999999999995E-2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0.97492163009404065</v>
      </c>
      <c r="Q166">
        <f t="shared" ref="Q166" si="806">F166*P166</f>
        <v>32956058.919122152</v>
      </c>
      <c r="R166">
        <f t="shared" ref="R166" si="807">R167+Q166</f>
        <v>1756972366.0549242</v>
      </c>
      <c r="S166">
        <f t="shared" ref="S166" si="808">R166/100000</f>
        <v>17569.723660549244</v>
      </c>
      <c r="T166">
        <f t="shared" ref="T166" si="809">S166/1000</f>
        <v>17.569723660549244</v>
      </c>
    </row>
    <row r="167" spans="1:20" x14ac:dyDescent="0.25">
      <c r="A167" s="5">
        <v>44426</v>
      </c>
      <c r="B167">
        <v>6.7320000000000005E-2</v>
      </c>
      <c r="C167">
        <v>6.8190000000000001E-2</v>
      </c>
      <c r="D167">
        <v>6.2920000000000004E-2</v>
      </c>
      <c r="E167">
        <v>6.5509999999999999E-2</v>
      </c>
      <c r="F167">
        <v>47937199.200000003</v>
      </c>
      <c r="G167">
        <v>6.5509999999999999E-2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-1.7077798861481364E-2</v>
      </c>
      <c r="Q167">
        <f t="shared" ref="Q167" si="811">F167*P167</f>
        <v>-818661.84592036542</v>
      </c>
      <c r="R167">
        <f t="shared" ref="R167" si="812">R168+Q167</f>
        <v>1724016307.135802</v>
      </c>
      <c r="S167">
        <f t="shared" ref="S167" si="813">R167/100000</f>
        <v>17240.16307135802</v>
      </c>
      <c r="T167">
        <f t="shared" ref="T167" si="814">S167/1000</f>
        <v>17.240163071358019</v>
      </c>
    </row>
    <row r="168" spans="1:20" x14ac:dyDescent="0.25">
      <c r="A168" s="5">
        <v>44425</v>
      </c>
      <c r="B168">
        <v>7.1529999999999996E-2</v>
      </c>
      <c r="C168">
        <v>7.3319999999999996E-2</v>
      </c>
      <c r="D168">
        <v>6.7000000000000004E-2</v>
      </c>
      <c r="E168">
        <v>6.7409999999999998E-2</v>
      </c>
      <c r="F168">
        <v>42824396.399999999</v>
      </c>
      <c r="G168">
        <v>6.7409999999999998E-2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-0.87025316455696389</v>
      </c>
      <c r="Q168">
        <f t="shared" ref="Q168" si="816">F168*P168</f>
        <v>-37268066.487341851</v>
      </c>
      <c r="R168">
        <f t="shared" ref="R168" si="817">R169+Q168</f>
        <v>1724834968.9817224</v>
      </c>
      <c r="S168">
        <f t="shared" ref="S168" si="818">R168/100000</f>
        <v>17248.349689817223</v>
      </c>
      <c r="T168">
        <f t="shared" ref="T168" si="819">S168/1000</f>
        <v>17.248349689817225</v>
      </c>
    </row>
    <row r="169" spans="1:20" x14ac:dyDescent="0.25">
      <c r="A169" s="5">
        <v>44424</v>
      </c>
      <c r="B169">
        <v>7.2389999999999996E-2</v>
      </c>
      <c r="C169">
        <v>7.9020000000000007E-2</v>
      </c>
      <c r="D169">
        <v>6.9279999999999994E-2</v>
      </c>
      <c r="E169">
        <v>7.1629999999999999E-2</v>
      </c>
      <c r="F169">
        <v>105366799.5</v>
      </c>
      <c r="G169">
        <v>7.1629999999999999E-2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-0.51745379876796682</v>
      </c>
      <c r="Q169">
        <f t="shared" ref="Q169" si="821">F169*P169</f>
        <v>-54522450.665297709</v>
      </c>
      <c r="R169">
        <f t="shared" ref="R169" si="822">R170+Q169</f>
        <v>1762103035.4690642</v>
      </c>
      <c r="S169">
        <f t="shared" ref="S169" si="823">R169/100000</f>
        <v>17621.030354690643</v>
      </c>
      <c r="T169">
        <f t="shared" ref="T169" si="824">S169/1000</f>
        <v>17.621030354690642</v>
      </c>
    </row>
    <row r="170" spans="1:20" x14ac:dyDescent="0.25">
      <c r="A170" s="5">
        <v>44423</v>
      </c>
      <c r="B170">
        <v>7.1959999999999996E-2</v>
      </c>
      <c r="C170">
        <v>7.3690000000000005E-2</v>
      </c>
      <c r="D170">
        <v>6.8879999999999997E-2</v>
      </c>
      <c r="E170">
        <v>7.238E-2</v>
      </c>
      <c r="F170">
        <v>97473720.599999994</v>
      </c>
      <c r="G170">
        <v>7.238E-2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0.45530145530145394</v>
      </c>
      <c r="Q170">
        <f t="shared" ref="Q170" si="826">F170*P170</f>
        <v>44379926.842827305</v>
      </c>
      <c r="R170">
        <f t="shared" ref="R170" si="827">R171+Q170</f>
        <v>1816625486.134362</v>
      </c>
      <c r="S170">
        <f t="shared" ref="S170" si="828">R170/100000</f>
        <v>18166.254861343619</v>
      </c>
      <c r="T170">
        <f t="shared" ref="T170" si="829">S170/1000</f>
        <v>18.166254861343621</v>
      </c>
    </row>
    <row r="171" spans="1:20" x14ac:dyDescent="0.25">
      <c r="A171" s="5">
        <v>44422</v>
      </c>
      <c r="B171">
        <v>7.0830000000000004E-2</v>
      </c>
      <c r="C171">
        <v>7.2959999999999997E-2</v>
      </c>
      <c r="D171">
        <v>6.7000000000000004E-2</v>
      </c>
      <c r="E171">
        <v>7.1999999999999995E-2</v>
      </c>
      <c r="F171">
        <v>42912189.799999997</v>
      </c>
      <c r="G171">
        <v>7.1999999999999995E-2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0.67785234899328739</v>
      </c>
      <c r="Q171">
        <f t="shared" ref="Q171" si="831">F171*P171</f>
        <v>29088128.656375784</v>
      </c>
      <c r="R171">
        <f t="shared" ref="R171" si="832">R172+Q171</f>
        <v>1772245559.2915347</v>
      </c>
      <c r="S171">
        <f t="shared" ref="S171" si="833">R171/100000</f>
        <v>17722.455592915347</v>
      </c>
      <c r="T171">
        <f t="shared" ref="T171" si="834">S171/1000</f>
        <v>17.722455592915345</v>
      </c>
    </row>
    <row r="172" spans="1:20" x14ac:dyDescent="0.25">
      <c r="A172" s="5">
        <v>44421</v>
      </c>
      <c r="B172">
        <v>6.6379999999999995E-2</v>
      </c>
      <c r="C172">
        <v>7.0999999999999994E-2</v>
      </c>
      <c r="D172">
        <v>6.5240000000000006E-2</v>
      </c>
      <c r="E172">
        <v>7.0800000000000002E-2</v>
      </c>
      <c r="F172">
        <v>36983909.899999999</v>
      </c>
      <c r="G172">
        <v>7.0800000000000002E-2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0.93055555555555824</v>
      </c>
      <c r="Q172">
        <f t="shared" ref="Q172" si="836">F172*P172</f>
        <v>34415582.823611207</v>
      </c>
      <c r="R172">
        <f t="shared" ref="R172" si="837">R173+Q172</f>
        <v>1743157430.6351588</v>
      </c>
      <c r="S172">
        <f t="shared" ref="S172" si="838">R172/100000</f>
        <v>17431.574306351587</v>
      </c>
      <c r="T172">
        <f t="shared" ref="T172" si="839">S172/1000</f>
        <v>17.431574306351589</v>
      </c>
    </row>
    <row r="173" spans="1:20" x14ac:dyDescent="0.25">
      <c r="A173" s="5">
        <v>44420</v>
      </c>
      <c r="B173">
        <v>6.6369999999999998E-2</v>
      </c>
      <c r="C173">
        <v>7.2239999999999999E-2</v>
      </c>
      <c r="D173">
        <v>6.2960000000000002E-2</v>
      </c>
      <c r="E173">
        <v>6.6299999999999998E-2</v>
      </c>
      <c r="F173">
        <v>79750109.599999994</v>
      </c>
      <c r="G173">
        <v>6.6299999999999998E-2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-0.28017241379310409</v>
      </c>
      <c r="Q173">
        <f t="shared" ref="Q173" si="841">F173*P173</f>
        <v>-22343780.706896603</v>
      </c>
      <c r="R173">
        <f t="shared" ref="R173" si="842">R174+Q173</f>
        <v>1708741847.8115475</v>
      </c>
      <c r="S173">
        <f t="shared" ref="S173" si="843">R173/100000</f>
        <v>17087.418478115476</v>
      </c>
      <c r="T173">
        <f t="shared" ref="T173" si="844">S173/1000</f>
        <v>17.087418478115477</v>
      </c>
    </row>
    <row r="174" spans="1:20" x14ac:dyDescent="0.25">
      <c r="A174" s="5">
        <v>44419</v>
      </c>
      <c r="B174">
        <v>6.2140000000000001E-2</v>
      </c>
      <c r="C174">
        <v>6.8430000000000005E-2</v>
      </c>
      <c r="D174">
        <v>6.1359999999999998E-2</v>
      </c>
      <c r="E174">
        <v>6.6269999999999996E-2</v>
      </c>
      <c r="F174">
        <v>69319560.799999997</v>
      </c>
      <c r="G174">
        <v>6.6269999999999996E-2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0.38896746817538697</v>
      </c>
      <c r="Q174">
        <f t="shared" ref="Q174" si="846">F174*P174</f>
        <v>26963054.0594058</v>
      </c>
      <c r="R174">
        <f t="shared" ref="R174" si="847">R175+Q174</f>
        <v>1731085628.5184441</v>
      </c>
      <c r="S174">
        <f t="shared" ref="S174" si="848">R174/100000</f>
        <v>17310.85628518444</v>
      </c>
      <c r="T174">
        <f t="shared" ref="T174" si="849">S174/1000</f>
        <v>17.310856285184439</v>
      </c>
    </row>
    <row r="175" spans="1:20" x14ac:dyDescent="0.25">
      <c r="A175" s="5">
        <v>44418</v>
      </c>
      <c r="B175">
        <v>6.2109999999999999E-2</v>
      </c>
      <c r="C175">
        <v>6.3769999999999993E-2</v>
      </c>
      <c r="D175">
        <v>5.944E-2</v>
      </c>
      <c r="E175">
        <v>6.2039999999999998E-2</v>
      </c>
      <c r="F175">
        <v>48429201.899999999</v>
      </c>
      <c r="G175">
        <v>6.2039999999999998E-2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0.20092378752886927</v>
      </c>
      <c r="Q175">
        <f t="shared" ref="Q175" si="851">F175*P175</f>
        <v>9730578.6727483124</v>
      </c>
      <c r="R175">
        <f t="shared" ref="R175" si="852">R176+Q175</f>
        <v>1704122574.4590383</v>
      </c>
      <c r="S175">
        <f t="shared" ref="S175" si="853">R175/100000</f>
        <v>17041.225744590382</v>
      </c>
      <c r="T175">
        <f t="shared" ref="T175" si="854">S175/1000</f>
        <v>17.041225744590381</v>
      </c>
    </row>
    <row r="176" spans="1:20" x14ac:dyDescent="0.25">
      <c r="A176" s="5">
        <v>44417</v>
      </c>
      <c r="B176">
        <v>5.9409999999999998E-2</v>
      </c>
      <c r="C176">
        <v>6.4000000000000001E-2</v>
      </c>
      <c r="D176">
        <v>5.6129999999999999E-2</v>
      </c>
      <c r="E176">
        <v>6.2219999999999998E-2</v>
      </c>
      <c r="F176">
        <v>42605316.5</v>
      </c>
      <c r="G176">
        <v>6.2219999999999998E-2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0.54764930114358235</v>
      </c>
      <c r="Q176">
        <f t="shared" ref="Q176" si="856">F176*P176</f>
        <v>23332771.806226138</v>
      </c>
      <c r="R176">
        <f t="shared" ref="R176" si="857">R177+Q176</f>
        <v>1694391995.7862899</v>
      </c>
      <c r="S176">
        <f t="shared" ref="S176" si="858">R176/100000</f>
        <v>16943.919957862898</v>
      </c>
      <c r="T176">
        <f t="shared" ref="T176" si="859">S176/1000</f>
        <v>16.943919957862899</v>
      </c>
    </row>
    <row r="177" spans="1:20" x14ac:dyDescent="0.25">
      <c r="A177" s="5">
        <v>44416</v>
      </c>
      <c r="B177">
        <v>6.1080000000000002E-2</v>
      </c>
      <c r="C177">
        <v>7.0000000000000007E-2</v>
      </c>
      <c r="D177">
        <v>5.645E-2</v>
      </c>
      <c r="E177">
        <v>5.9479999999999998E-2</v>
      </c>
      <c r="F177">
        <v>122756503.2</v>
      </c>
      <c r="G177">
        <v>5.9479999999999998E-2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-0.55276752767527726</v>
      </c>
      <c r="Q177">
        <f t="shared" ref="Q177" si="861">F177*P177</f>
        <v>-67855808.77992627</v>
      </c>
      <c r="R177">
        <f t="shared" ref="R177" si="862">R178+Q177</f>
        <v>1671059223.9800637</v>
      </c>
      <c r="S177">
        <f t="shared" ref="S177" si="863">R177/100000</f>
        <v>16710.592239800637</v>
      </c>
      <c r="T177">
        <f t="shared" ref="T177" si="864">S177/1000</f>
        <v>16.710592239800636</v>
      </c>
    </row>
    <row r="178" spans="1:20" x14ac:dyDescent="0.25">
      <c r="A178" s="5">
        <v>44415</v>
      </c>
      <c r="B178">
        <v>5.8520000000000003E-2</v>
      </c>
      <c r="C178">
        <v>6.2619999999999995E-2</v>
      </c>
      <c r="D178">
        <v>5.8270000000000002E-2</v>
      </c>
      <c r="E178">
        <v>6.1089999999999998E-2</v>
      </c>
      <c r="F178">
        <v>57651458.200000003</v>
      </c>
      <c r="G178">
        <v>6.1089999999999998E-2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0.29655172413793141</v>
      </c>
      <c r="Q178">
        <f t="shared" ref="Q178" si="866">F178*P178</f>
        <v>17096639.328275885</v>
      </c>
      <c r="R178">
        <f t="shared" ref="R178" si="867">R179+Q178</f>
        <v>1738915032.75999</v>
      </c>
      <c r="S178">
        <f t="shared" ref="S178" si="868">R178/100000</f>
        <v>17389.150327599898</v>
      </c>
      <c r="T178">
        <f t="shared" ref="T178" si="869">S178/1000</f>
        <v>17.3891503275999</v>
      </c>
    </row>
    <row r="179" spans="1:20" x14ac:dyDescent="0.25">
      <c r="A179" s="5">
        <v>44414</v>
      </c>
      <c r="B179">
        <v>5.6809999999999999E-2</v>
      </c>
      <c r="C179">
        <v>5.8770000000000003E-2</v>
      </c>
      <c r="D179">
        <v>5.6090000000000001E-2</v>
      </c>
      <c r="E179">
        <v>5.8450000000000002E-2</v>
      </c>
      <c r="F179">
        <v>26317374.800000001</v>
      </c>
      <c r="G179">
        <v>5.8450000000000002E-2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0.7611940298507458</v>
      </c>
      <c r="Q179">
        <f t="shared" ref="Q179" si="871">F179*P179</f>
        <v>20032628.579104465</v>
      </c>
      <c r="R179">
        <f t="shared" ref="R179" si="872">R180+Q179</f>
        <v>1721818393.4317141</v>
      </c>
      <c r="S179">
        <f t="shared" ref="S179" si="873">R179/100000</f>
        <v>17218.183934317141</v>
      </c>
      <c r="T179">
        <f t="shared" ref="T179" si="874">S179/1000</f>
        <v>17.218183934317143</v>
      </c>
    </row>
    <row r="180" spans="1:20" x14ac:dyDescent="0.25">
      <c r="A180" s="5">
        <v>44413</v>
      </c>
      <c r="B180">
        <v>5.389E-2</v>
      </c>
      <c r="C180">
        <v>5.706E-2</v>
      </c>
      <c r="D180">
        <v>5.3490000000000003E-2</v>
      </c>
      <c r="E180">
        <v>5.6770000000000001E-2</v>
      </c>
      <c r="F180">
        <v>45502634</v>
      </c>
      <c r="G180">
        <v>5.6770000000000001E-2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0.83753501400560293</v>
      </c>
      <c r="Q180">
        <f t="shared" ref="Q180" si="876">F180*P180</f>
        <v>38110049.204481825</v>
      </c>
      <c r="R180">
        <f t="shared" ref="R180" si="877">R181+Q180</f>
        <v>1701785764.8526096</v>
      </c>
      <c r="S180">
        <f t="shared" ref="S180" si="878">R180/100000</f>
        <v>17017.857648526096</v>
      </c>
      <c r="T180">
        <f t="shared" ref="T180" si="879">S180/1000</f>
        <v>17.017857648526096</v>
      </c>
    </row>
    <row r="181" spans="1:20" x14ac:dyDescent="0.25">
      <c r="A181" s="5">
        <v>44412</v>
      </c>
      <c r="B181">
        <v>5.076E-2</v>
      </c>
      <c r="C181">
        <v>5.5109999999999999E-2</v>
      </c>
      <c r="D181">
        <v>4.9250000000000002E-2</v>
      </c>
      <c r="E181">
        <v>5.3879999999999997E-2</v>
      </c>
      <c r="F181">
        <v>69097978.799999997</v>
      </c>
      <c r="G181">
        <v>5.3879999999999997E-2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0.58020477815699567</v>
      </c>
      <c r="Q181">
        <f t="shared" ref="Q181" si="881">F181*P181</f>
        <v>40090977.460750788</v>
      </c>
      <c r="R181">
        <f t="shared" ref="R181" si="882">R182+Q181</f>
        <v>1663675715.6481278</v>
      </c>
      <c r="S181">
        <f t="shared" ref="S181" si="883">R181/100000</f>
        <v>16636.757156481279</v>
      </c>
      <c r="T181">
        <f t="shared" ref="T181" si="884">S181/1000</f>
        <v>16.636757156481277</v>
      </c>
    </row>
    <row r="182" spans="1:20" x14ac:dyDescent="0.25">
      <c r="A182" s="5">
        <v>44411</v>
      </c>
      <c r="B182">
        <v>5.2549999999999999E-2</v>
      </c>
      <c r="C182">
        <v>5.2850000000000001E-2</v>
      </c>
      <c r="D182">
        <v>4.9110000000000001E-2</v>
      </c>
      <c r="E182">
        <v>5.076E-2</v>
      </c>
      <c r="F182">
        <v>43056014.600000001</v>
      </c>
      <c r="G182">
        <v>5.076E-2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-0.11764705882353017</v>
      </c>
      <c r="Q182">
        <f t="shared" ref="Q182" si="886">F182*P182</f>
        <v>-5065413.4823529739</v>
      </c>
      <c r="R182">
        <f t="shared" ref="R182" si="887">R183+Q182</f>
        <v>1623584738.187377</v>
      </c>
      <c r="S182">
        <f t="shared" ref="S182" si="888">R182/100000</f>
        <v>16235.847381873769</v>
      </c>
      <c r="T182">
        <f t="shared" ref="T182" si="889">S182/1000</f>
        <v>16.235847381873768</v>
      </c>
    </row>
    <row r="183" spans="1:20" x14ac:dyDescent="0.25">
      <c r="A183" s="5">
        <v>44410</v>
      </c>
      <c r="B183">
        <v>5.2749999999999998E-2</v>
      </c>
      <c r="C183">
        <v>5.3260000000000002E-2</v>
      </c>
      <c r="D183">
        <v>5.04E-2</v>
      </c>
      <c r="E183">
        <v>5.2609999999999997E-2</v>
      </c>
      <c r="F183">
        <v>29703558</v>
      </c>
      <c r="G183">
        <v>5.2609999999999997E-2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0.54545454545454242</v>
      </c>
      <c r="Q183">
        <f t="shared" ref="Q183" si="891">F183*P183</f>
        <v>16201940.727272637</v>
      </c>
      <c r="R183">
        <f t="shared" ref="R183" si="892">R184+Q183</f>
        <v>1628650151.6697299</v>
      </c>
      <c r="S183">
        <f t="shared" ref="S183" si="893">R183/100000</f>
        <v>16286.501516697299</v>
      </c>
      <c r="T183">
        <f t="shared" ref="T183" si="894">S183/1000</f>
        <v>16.2865015166973</v>
      </c>
    </row>
    <row r="184" spans="1:20" x14ac:dyDescent="0.25">
      <c r="A184" s="5">
        <v>44409</v>
      </c>
      <c r="B184">
        <v>5.3330000000000002E-2</v>
      </c>
      <c r="C184">
        <v>5.6869999999999997E-2</v>
      </c>
      <c r="D184">
        <v>5.1999999999999998E-2</v>
      </c>
      <c r="E184">
        <v>5.2760000000000001E-2</v>
      </c>
      <c r="F184">
        <v>60379941.899999999</v>
      </c>
      <c r="G184">
        <v>5.2760000000000001E-2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-0.68788501026693882</v>
      </c>
      <c r="Q184">
        <f t="shared" ref="Q184" si="896">F184*P184</f>
        <v>-41534456.953798667</v>
      </c>
      <c r="R184">
        <f t="shared" ref="R184" si="897">R185+Q184</f>
        <v>1612448210.9424572</v>
      </c>
      <c r="S184">
        <f t="shared" ref="S184" si="898">R184/100000</f>
        <v>16124.482109424573</v>
      </c>
      <c r="T184">
        <f t="shared" ref="T184" si="899">S184/1000</f>
        <v>16.124482109424573</v>
      </c>
    </row>
    <row r="185" spans="1:20" x14ac:dyDescent="0.25">
      <c r="A185" s="5">
        <v>44408</v>
      </c>
      <c r="B185">
        <v>5.0389999999999997E-2</v>
      </c>
      <c r="C185">
        <v>5.4269999999999999E-2</v>
      </c>
      <c r="D185">
        <v>4.9520000000000002E-2</v>
      </c>
      <c r="E185">
        <v>5.3179999999999998E-2</v>
      </c>
      <c r="F185">
        <v>40154863.5</v>
      </c>
      <c r="G185">
        <v>5.3179999999999998E-2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0.54105263157894679</v>
      </c>
      <c r="Q185">
        <f t="shared" ref="Q185" si="901">F185*P185</f>
        <v>21725894.567368399</v>
      </c>
      <c r="R185">
        <f t="shared" ref="R185" si="902">R186+Q185</f>
        <v>1653982667.896256</v>
      </c>
      <c r="S185">
        <f t="shared" ref="S185" si="903">R185/100000</f>
        <v>16539.82667896256</v>
      </c>
      <c r="T185">
        <f t="shared" ref="T185" si="904">S185/1000</f>
        <v>16.539826678962559</v>
      </c>
    </row>
    <row r="186" spans="1:20" x14ac:dyDescent="0.25">
      <c r="A186" s="5">
        <v>44407</v>
      </c>
      <c r="B186">
        <v>4.9059999999999999E-2</v>
      </c>
      <c r="C186">
        <v>5.0680000000000003E-2</v>
      </c>
      <c r="D186">
        <v>4.5870000000000001E-2</v>
      </c>
      <c r="E186">
        <v>5.0349999999999999E-2</v>
      </c>
      <c r="F186">
        <v>51048217.5</v>
      </c>
      <c r="G186">
        <v>5.0349999999999999E-2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0.86278586278586122</v>
      </c>
      <c r="Q186">
        <f t="shared" ref="Q186" si="906">F186*P186</f>
        <v>44043680.379417799</v>
      </c>
      <c r="R186">
        <f t="shared" ref="R186" si="907">R187+Q186</f>
        <v>1632256773.3288875</v>
      </c>
      <c r="S186">
        <f t="shared" ref="S186" si="908">R186/100000</f>
        <v>16322.567733288875</v>
      </c>
      <c r="T186">
        <f t="shared" ref="T186" si="909">S186/1000</f>
        <v>16.322567733288874</v>
      </c>
    </row>
    <row r="187" spans="1:20" x14ac:dyDescent="0.25">
      <c r="A187" s="5">
        <v>44406</v>
      </c>
      <c r="B187">
        <v>4.5150000000000003E-2</v>
      </c>
      <c r="C187">
        <v>4.9459999999999997E-2</v>
      </c>
      <c r="D187">
        <v>4.4119999999999999E-2</v>
      </c>
      <c r="E187">
        <v>4.9059999999999999E-2</v>
      </c>
      <c r="F187">
        <v>49530697</v>
      </c>
      <c r="G187">
        <v>4.9059999999999999E-2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0.85018726591760385</v>
      </c>
      <c r="Q187">
        <f t="shared" ref="Q187" si="911">F187*P187</f>
        <v>42110367.861423261</v>
      </c>
      <c r="R187">
        <f t="shared" ref="R187" si="912">R188+Q187</f>
        <v>1588213092.9494696</v>
      </c>
      <c r="S187">
        <f t="shared" ref="S187" si="913">R187/100000</f>
        <v>15882.130929494695</v>
      </c>
      <c r="T187">
        <f t="shared" ref="T187" si="914">S187/1000</f>
        <v>15.882130929494695</v>
      </c>
    </row>
    <row r="188" spans="1:20" x14ac:dyDescent="0.25">
      <c r="A188" s="5">
        <v>44405</v>
      </c>
      <c r="B188">
        <v>4.4549999999999999E-2</v>
      </c>
      <c r="C188">
        <v>4.5690000000000001E-2</v>
      </c>
      <c r="D188">
        <v>4.3679999999999997E-2</v>
      </c>
      <c r="E188">
        <v>4.5199999999999997E-2</v>
      </c>
      <c r="F188">
        <v>49913207.399999999</v>
      </c>
      <c r="G188">
        <v>4.5199999999999997E-2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0.51243781094527052</v>
      </c>
      <c r="Q188">
        <f t="shared" ref="Q188" si="916">F188*P188</f>
        <v>25577414.737313278</v>
      </c>
      <c r="R188">
        <f t="shared" ref="R188" si="917">R189+Q188</f>
        <v>1546102725.0880463</v>
      </c>
      <c r="S188">
        <f t="shared" ref="S188" si="918">R188/100000</f>
        <v>15461.027250880463</v>
      </c>
      <c r="T188">
        <f t="shared" ref="T188" si="919">S188/1000</f>
        <v>15.461027250880463</v>
      </c>
    </row>
    <row r="189" spans="1:20" x14ac:dyDescent="0.25">
      <c r="A189" s="5">
        <v>44404</v>
      </c>
      <c r="B189">
        <v>4.2720000000000001E-2</v>
      </c>
      <c r="C189">
        <v>4.4810000000000003E-2</v>
      </c>
      <c r="D189">
        <v>4.1689999999999998E-2</v>
      </c>
      <c r="E189">
        <v>4.4519999999999997E-2</v>
      </c>
      <c r="F189">
        <v>24322114.800000001</v>
      </c>
      <c r="G189">
        <v>4.4519999999999997E-2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0.81410256410256088</v>
      </c>
      <c r="Q189">
        <f t="shared" ref="Q189" si="921">F189*P189</f>
        <v>19800696.023076843</v>
      </c>
      <c r="R189">
        <f t="shared" ref="R189" si="922">R190+Q189</f>
        <v>1520525310.350733</v>
      </c>
      <c r="S189">
        <f t="shared" ref="S189" si="923">R189/100000</f>
        <v>15205.25310350733</v>
      </c>
      <c r="T189">
        <f t="shared" ref="T189" si="924">S189/1000</f>
        <v>15.20525310350733</v>
      </c>
    </row>
    <row r="190" spans="1:20" x14ac:dyDescent="0.25">
      <c r="A190" s="5">
        <v>44403</v>
      </c>
      <c r="B190">
        <v>4.1709999999999997E-2</v>
      </c>
      <c r="C190">
        <v>4.5990000000000003E-2</v>
      </c>
      <c r="D190">
        <v>4.1579999999999999E-2</v>
      </c>
      <c r="E190">
        <v>4.2869999999999998E-2</v>
      </c>
      <c r="F190">
        <v>52979122.5</v>
      </c>
      <c r="G190">
        <v>4.2869999999999998E-2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-0.41496598639455862</v>
      </c>
      <c r="Q190">
        <f t="shared" ref="Q190" si="926">F190*P190</f>
        <v>-21984533.826530654</v>
      </c>
      <c r="R190">
        <f t="shared" ref="R190" si="927">R191+Q190</f>
        <v>1500724614.3276563</v>
      </c>
      <c r="S190">
        <f t="shared" ref="S190" si="928">R190/100000</f>
        <v>15007.246143276563</v>
      </c>
      <c r="T190">
        <f t="shared" ref="T190" si="929">S190/1000</f>
        <v>15.007246143276562</v>
      </c>
    </row>
    <row r="191" spans="1:20" x14ac:dyDescent="0.25">
      <c r="A191" s="5">
        <v>44402</v>
      </c>
      <c r="B191">
        <v>4.165E-2</v>
      </c>
      <c r="C191">
        <v>4.1869999999999997E-2</v>
      </c>
      <c r="D191">
        <v>0.04</v>
      </c>
      <c r="E191">
        <v>4.1750000000000002E-2</v>
      </c>
      <c r="F191">
        <v>76766610.900000006</v>
      </c>
      <c r="G191">
        <v>4.1750000000000002E-2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0.87165775401070023</v>
      </c>
      <c r="Q191">
        <f t="shared" ref="Q191" si="931">F191*P191</f>
        <v>66914211.640107341</v>
      </c>
      <c r="R191">
        <f t="shared" ref="R191" si="932">R192+Q191</f>
        <v>1522709148.154187</v>
      </c>
      <c r="S191">
        <f t="shared" ref="S191" si="933">R191/100000</f>
        <v>15227.091481541869</v>
      </c>
      <c r="T191">
        <f t="shared" ref="T191:T197" si="934">S191/1000</f>
        <v>15.227091481541869</v>
      </c>
    </row>
    <row r="192" spans="1:20" x14ac:dyDescent="0.25">
      <c r="A192" s="5">
        <v>44401</v>
      </c>
      <c r="B192">
        <v>4.165E-2</v>
      </c>
      <c r="C192">
        <v>4.5830000000000003E-2</v>
      </c>
      <c r="D192">
        <v>4.011E-2</v>
      </c>
      <c r="E192">
        <v>4.1669999999999999E-2</v>
      </c>
      <c r="F192">
        <v>153787588.09999999</v>
      </c>
      <c r="G192">
        <v>4.1669999999999999E-2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-0.4545454545454552</v>
      </c>
      <c r="Q192">
        <f t="shared" ref="Q192" si="936">F192*P192</f>
        <v>-69903449.13636373</v>
      </c>
      <c r="R192">
        <f t="shared" ref="R192" si="937">R193+Q192</f>
        <v>1455794936.5140796</v>
      </c>
      <c r="S192">
        <f t="shared" ref="S192" si="938">R192/100000</f>
        <v>14557.949365140796</v>
      </c>
      <c r="T192">
        <f t="shared" si="934"/>
        <v>14.557949365140797</v>
      </c>
    </row>
    <row r="193" spans="1:20" x14ac:dyDescent="0.25">
      <c r="A193" s="5">
        <v>44400</v>
      </c>
      <c r="B193">
        <v>4.0829999999999998E-2</v>
      </c>
      <c r="C193">
        <v>4.2070000000000003E-2</v>
      </c>
      <c r="D193">
        <v>3.9759999999999997E-2</v>
      </c>
      <c r="E193">
        <v>4.1669999999999999E-2</v>
      </c>
      <c r="F193">
        <v>15190210.199999999</v>
      </c>
      <c r="G193">
        <v>4.1669999999999999E-2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0.65367965367965075</v>
      </c>
      <c r="Q193">
        <f t="shared" ref="Q193" si="940">F193*P193</f>
        <v>9929531.3428570982</v>
      </c>
      <c r="R193">
        <f t="shared" ref="R193" si="941">R194+Q193</f>
        <v>1525698385.6504433</v>
      </c>
      <c r="S193">
        <f t="shared" ref="S193" si="942">R193/100000</f>
        <v>15256.983856504434</v>
      </c>
      <c r="T193">
        <f t="shared" si="934"/>
        <v>15.256983856504434</v>
      </c>
    </row>
    <row r="194" spans="1:20" x14ac:dyDescent="0.25">
      <c r="A194" s="5">
        <v>44399</v>
      </c>
      <c r="B194">
        <v>3.9660000000000001E-2</v>
      </c>
      <c r="C194">
        <v>4.138E-2</v>
      </c>
      <c r="D194">
        <v>3.8850000000000003E-2</v>
      </c>
      <c r="E194">
        <v>4.0910000000000002E-2</v>
      </c>
      <c r="F194">
        <v>31815136.5</v>
      </c>
      <c r="G194">
        <v>4.0910000000000002E-2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0.62845849802371645</v>
      </c>
      <c r="Q194">
        <f t="shared" ref="Q194" si="944">F194*P194</f>
        <v>19994492.899209518</v>
      </c>
      <c r="R194">
        <f t="shared" ref="R194" si="945">R195+Q194</f>
        <v>1515768854.3075862</v>
      </c>
      <c r="S194">
        <f t="shared" ref="S194" si="946">R194/100000</f>
        <v>15157.688543075861</v>
      </c>
      <c r="T194">
        <f t="shared" si="934"/>
        <v>15.157688543075862</v>
      </c>
    </row>
    <row r="195" spans="1:20" x14ac:dyDescent="0.25">
      <c r="A195" s="5">
        <v>44398</v>
      </c>
      <c r="B195">
        <v>3.6830000000000002E-2</v>
      </c>
      <c r="C195">
        <v>4.0370000000000003E-2</v>
      </c>
      <c r="D195">
        <v>3.6240000000000001E-2</v>
      </c>
      <c r="E195">
        <v>3.9730000000000001E-2</v>
      </c>
      <c r="F195">
        <v>29485656.300000001</v>
      </c>
      <c r="G195">
        <v>3.9730000000000001E-2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0.69007263922518092</v>
      </c>
      <c r="Q195">
        <f t="shared" ref="Q195" si="948">F195*P195</f>
        <v>20347244.662227582</v>
      </c>
      <c r="R195">
        <f t="shared" ref="R195" si="949">R196+Q195</f>
        <v>1495774361.4083767</v>
      </c>
      <c r="S195">
        <f t="shared" ref="S195" si="950">R195/100000</f>
        <v>14957.743614083767</v>
      </c>
      <c r="T195">
        <f t="shared" si="934"/>
        <v>14.957743614083768</v>
      </c>
    </row>
    <row r="196" spans="1:20" x14ac:dyDescent="0.25">
      <c r="A196" s="5">
        <v>44397</v>
      </c>
      <c r="B196">
        <v>3.9719999999999998E-2</v>
      </c>
      <c r="C196">
        <v>4.027E-2</v>
      </c>
      <c r="D196">
        <v>3.5909999999999997E-2</v>
      </c>
      <c r="E196">
        <v>3.6859999999999997E-2</v>
      </c>
      <c r="F196">
        <v>40392300.399999999</v>
      </c>
      <c r="G196">
        <v>3.6859999999999997E-2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-0.56422018348623904</v>
      </c>
      <c r="Q196">
        <f t="shared" ref="Q196" si="952">F196*P196</f>
        <v>-22790151.143119287</v>
      </c>
      <c r="R196">
        <f t="shared" ref="R196" si="953">R197+Q196</f>
        <v>1475427116.7461491</v>
      </c>
      <c r="S196">
        <f t="shared" ref="S196" si="954">R196/100000</f>
        <v>14754.271167461491</v>
      </c>
      <c r="T196">
        <f t="shared" si="934"/>
        <v>14.754271167461491</v>
      </c>
    </row>
    <row r="197" spans="1:20" x14ac:dyDescent="0.25">
      <c r="A197" s="5">
        <v>44396</v>
      </c>
      <c r="B197">
        <v>4.2130000000000001E-2</v>
      </c>
      <c r="C197">
        <v>4.2320000000000003E-2</v>
      </c>
      <c r="D197">
        <v>3.9260000000000003E-2</v>
      </c>
      <c r="E197">
        <v>3.9690000000000003E-2</v>
      </c>
      <c r="F197">
        <v>29024045.699999999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-0.71895424836601318</v>
      </c>
      <c r="Q197">
        <f t="shared" ref="Q197" si="956">F197*P197</f>
        <v>-20866960.960784316</v>
      </c>
      <c r="R197">
        <f t="shared" ref="R197" si="957">R198+Q197</f>
        <v>1498217267.8892684</v>
      </c>
      <c r="S197">
        <f t="shared" ref="S197" si="958">R197/100000</f>
        <v>14982.172678892684</v>
      </c>
      <c r="T197">
        <f t="shared" si="934"/>
        <v>14.982172678892685</v>
      </c>
    </row>
    <row r="198" spans="1:20" x14ac:dyDescent="0.25">
      <c r="A198" s="5">
        <v>44395</v>
      </c>
      <c r="B198">
        <v>4.2270000000000002E-2</v>
      </c>
      <c r="C198">
        <v>4.3400000000000001E-2</v>
      </c>
      <c r="D198">
        <v>4.1399999999999999E-2</v>
      </c>
      <c r="E198">
        <v>4.2070000000000003E-2</v>
      </c>
      <c r="F198">
        <v>30792579.800000001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-0.32999999999999668</v>
      </c>
      <c r="Q198">
        <f t="shared" ref="Q198:Q261" si="960">F198*P198</f>
        <v>-10161551.333999898</v>
      </c>
      <c r="R198">
        <f t="shared" ref="R198:R261" si="961">R199+Q198</f>
        <v>1519084228.8500528</v>
      </c>
      <c r="S198">
        <f t="shared" ref="S198:S261" si="962">R198/100000</f>
        <v>15190.842288500528</v>
      </c>
      <c r="T198">
        <f t="shared" ref="T198:T261" si="963">S198/1000</f>
        <v>15.190842288500528</v>
      </c>
    </row>
    <row r="199" spans="1:20" x14ac:dyDescent="0.25">
      <c r="A199" s="5">
        <v>44394</v>
      </c>
      <c r="B199">
        <v>4.2430000000000002E-2</v>
      </c>
      <c r="C199">
        <v>4.308E-2</v>
      </c>
      <c r="D199">
        <v>4.1160000000000002E-2</v>
      </c>
      <c r="E199">
        <v>4.2349999999999999E-2</v>
      </c>
      <c r="F199">
        <v>32473643.699999999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0.23958333333333104</v>
      </c>
      <c r="Q199">
        <f t="shared" si="960"/>
        <v>7780143.8031249251</v>
      </c>
      <c r="R199">
        <f t="shared" si="961"/>
        <v>1529245780.1840527</v>
      </c>
      <c r="S199">
        <f t="shared" si="962"/>
        <v>15292.457801840526</v>
      </c>
      <c r="T199">
        <f t="shared" si="963"/>
        <v>15.292457801840527</v>
      </c>
    </row>
    <row r="200" spans="1:20" x14ac:dyDescent="0.25">
      <c r="A200" s="5">
        <v>44393</v>
      </c>
      <c r="B200">
        <v>4.4999999999999998E-2</v>
      </c>
      <c r="C200">
        <v>4.6679999999999999E-2</v>
      </c>
      <c r="D200">
        <v>4.2279999999999998E-2</v>
      </c>
      <c r="E200">
        <v>4.2419999999999999E-2</v>
      </c>
      <c r="F200">
        <v>27631238.899999999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-0.93636363636363584</v>
      </c>
      <c r="Q200">
        <f t="shared" si="960"/>
        <v>-25872887.333636347</v>
      </c>
      <c r="R200">
        <f t="shared" si="961"/>
        <v>1521465636.3809278</v>
      </c>
      <c r="S200">
        <f t="shared" si="962"/>
        <v>15214.656363809278</v>
      </c>
      <c r="T200">
        <f t="shared" si="963"/>
        <v>15.214656363809278</v>
      </c>
    </row>
    <row r="201" spans="1:20" x14ac:dyDescent="0.25">
      <c r="A201" s="5">
        <v>44392</v>
      </c>
      <c r="B201">
        <v>4.8590000000000001E-2</v>
      </c>
      <c r="C201">
        <v>4.8820000000000002E-2</v>
      </c>
      <c r="D201">
        <v>4.4569999999999999E-2</v>
      </c>
      <c r="E201">
        <v>4.5030000000000001E-2</v>
      </c>
      <c r="F201">
        <v>28523231.5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-0.78352941176470514</v>
      </c>
      <c r="Q201">
        <f t="shared" si="960"/>
        <v>-22348790.798823509</v>
      </c>
      <c r="R201">
        <f t="shared" si="961"/>
        <v>1547338523.7145641</v>
      </c>
      <c r="S201">
        <f t="shared" si="962"/>
        <v>15473.385237145641</v>
      </c>
      <c r="T201">
        <f t="shared" si="963"/>
        <v>15.473385237145642</v>
      </c>
    </row>
    <row r="202" spans="1:20" x14ac:dyDescent="0.25">
      <c r="A202" s="5">
        <v>44391</v>
      </c>
      <c r="B202">
        <v>4.7300000000000002E-2</v>
      </c>
      <c r="C202">
        <v>4.8559999999999999E-2</v>
      </c>
      <c r="D202">
        <v>4.4830000000000002E-2</v>
      </c>
      <c r="E202">
        <v>4.8550000000000003E-2</v>
      </c>
      <c r="F202">
        <v>24702701.600000001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0.99463806970509594</v>
      </c>
      <c r="Q202">
        <f t="shared" si="960"/>
        <v>24570247.435924988</v>
      </c>
      <c r="R202">
        <f t="shared" si="961"/>
        <v>1569687314.5133877</v>
      </c>
      <c r="S202">
        <f t="shared" si="962"/>
        <v>15696.873145133877</v>
      </c>
      <c r="T202">
        <f t="shared" si="963"/>
        <v>15.696873145133877</v>
      </c>
    </row>
    <row r="203" spans="1:20" x14ac:dyDescent="0.25">
      <c r="A203" s="5">
        <v>44390</v>
      </c>
      <c r="B203">
        <v>4.9090000000000002E-2</v>
      </c>
      <c r="C203">
        <v>4.9239999999999999E-2</v>
      </c>
      <c r="D203">
        <v>4.6330000000000003E-2</v>
      </c>
      <c r="E203">
        <v>4.7370000000000002E-2</v>
      </c>
      <c r="F203">
        <v>41824100.299999997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-0.28522336769759399</v>
      </c>
      <c r="Q203">
        <f t="shared" si="960"/>
        <v>-11929210.73848795</v>
      </c>
      <c r="R203">
        <f t="shared" si="961"/>
        <v>1545117067.0774627</v>
      </c>
      <c r="S203">
        <f t="shared" si="962"/>
        <v>15451.170670774627</v>
      </c>
      <c r="T203">
        <f t="shared" si="963"/>
        <v>15.451170670774626</v>
      </c>
    </row>
    <row r="204" spans="1:20" x14ac:dyDescent="0.25">
      <c r="A204" s="5">
        <v>44389</v>
      </c>
      <c r="B204">
        <v>5.0720000000000001E-2</v>
      </c>
      <c r="C204">
        <v>5.1159999999999997E-2</v>
      </c>
      <c r="D204">
        <v>4.8129999999999999E-2</v>
      </c>
      <c r="E204">
        <v>4.9110000000000001E-2</v>
      </c>
      <c r="F204">
        <v>33862457.799999997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-0.35313531353135158</v>
      </c>
      <c r="Q204">
        <f t="shared" si="960"/>
        <v>-11958029.65214516</v>
      </c>
      <c r="R204">
        <f t="shared" si="961"/>
        <v>1557046277.8159506</v>
      </c>
      <c r="S204">
        <f t="shared" si="962"/>
        <v>15570.462778159506</v>
      </c>
      <c r="T204">
        <f t="shared" si="963"/>
        <v>15.570462778159506</v>
      </c>
    </row>
    <row r="205" spans="1:20" x14ac:dyDescent="0.25">
      <c r="A205" s="5">
        <v>44388</v>
      </c>
      <c r="B205">
        <v>5.0380000000000001E-2</v>
      </c>
      <c r="C205">
        <v>5.1319999999999998E-2</v>
      </c>
      <c r="D205">
        <v>4.8919999999999998E-2</v>
      </c>
      <c r="E205">
        <v>5.0729999999999997E-2</v>
      </c>
      <c r="F205">
        <v>60539191.399999999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0.50833333333333297</v>
      </c>
      <c r="Q205">
        <f t="shared" si="960"/>
        <v>30774088.961666644</v>
      </c>
      <c r="R205">
        <f t="shared" si="961"/>
        <v>1569004307.4680958</v>
      </c>
      <c r="S205">
        <f t="shared" si="962"/>
        <v>15690.043074680958</v>
      </c>
      <c r="T205">
        <f t="shared" si="963"/>
        <v>15.690043074680958</v>
      </c>
    </row>
    <row r="206" spans="1:20" x14ac:dyDescent="0.25">
      <c r="A206" s="5">
        <v>44387</v>
      </c>
      <c r="B206">
        <v>5.16E-2</v>
      </c>
      <c r="C206">
        <v>5.3690000000000002E-2</v>
      </c>
      <c r="D206">
        <v>4.9480000000000003E-2</v>
      </c>
      <c r="E206">
        <v>5.042E-2</v>
      </c>
      <c r="F206">
        <v>40582924.5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-0.55344418052256683</v>
      </c>
      <c r="Q206">
        <f t="shared" si="960"/>
        <v>-22460383.393111702</v>
      </c>
      <c r="R206">
        <f t="shared" si="961"/>
        <v>1538230218.5064292</v>
      </c>
      <c r="S206">
        <f t="shared" si="962"/>
        <v>15382.302185064293</v>
      </c>
      <c r="T206">
        <f t="shared" si="963"/>
        <v>15.382302185064292</v>
      </c>
    </row>
    <row r="207" spans="1:20" x14ac:dyDescent="0.25">
      <c r="A207" s="5">
        <v>44386</v>
      </c>
      <c r="B207">
        <v>4.9889999999999997E-2</v>
      </c>
      <c r="C207">
        <v>5.1990000000000001E-2</v>
      </c>
      <c r="D207">
        <v>4.7440000000000003E-2</v>
      </c>
      <c r="E207">
        <v>5.1639999999999998E-2</v>
      </c>
      <c r="F207">
        <v>24150309.600000001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0.8461538461538447</v>
      </c>
      <c r="Q207">
        <f t="shared" si="960"/>
        <v>20434877.353846122</v>
      </c>
      <c r="R207">
        <f t="shared" si="961"/>
        <v>1560690601.8995409</v>
      </c>
      <c r="S207">
        <f t="shared" si="962"/>
        <v>15606.906018995409</v>
      </c>
      <c r="T207">
        <f t="shared" si="963"/>
        <v>15.606906018995408</v>
      </c>
    </row>
    <row r="208" spans="1:20" x14ac:dyDescent="0.25">
      <c r="A208" s="5">
        <v>44385</v>
      </c>
      <c r="B208">
        <v>5.5149999999999998E-2</v>
      </c>
      <c r="C208">
        <v>5.5359999999999999E-2</v>
      </c>
      <c r="D208">
        <v>4.9239999999999999E-2</v>
      </c>
      <c r="E208">
        <v>4.9910000000000003E-2</v>
      </c>
      <c r="F208">
        <v>35352146.600000001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-0.78104575163398571</v>
      </c>
      <c r="Q208">
        <f t="shared" si="960"/>
        <v>-27611643.913071852</v>
      </c>
      <c r="R208">
        <f t="shared" si="961"/>
        <v>1540255724.5456948</v>
      </c>
      <c r="S208">
        <f t="shared" si="962"/>
        <v>15402.557245456948</v>
      </c>
      <c r="T208">
        <f t="shared" si="963"/>
        <v>15.402557245456949</v>
      </c>
    </row>
    <row r="209" spans="1:20" x14ac:dyDescent="0.25">
      <c r="A209" s="5">
        <v>44384</v>
      </c>
      <c r="B209">
        <v>5.2670000000000002E-2</v>
      </c>
      <c r="C209">
        <v>5.636E-2</v>
      </c>
      <c r="D209">
        <v>5.1740000000000001E-2</v>
      </c>
      <c r="E209">
        <v>5.5140000000000002E-2</v>
      </c>
      <c r="F209">
        <v>37606709.200000003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0.47186147186147226</v>
      </c>
      <c r="Q209">
        <f t="shared" si="960"/>
        <v>17745157.154978372</v>
      </c>
      <c r="R209">
        <f t="shared" si="961"/>
        <v>1567867368.4587667</v>
      </c>
      <c r="S209">
        <f t="shared" si="962"/>
        <v>15678.673684587668</v>
      </c>
      <c r="T209">
        <f t="shared" si="963"/>
        <v>15.678673684587668</v>
      </c>
    </row>
    <row r="210" spans="1:20" x14ac:dyDescent="0.25">
      <c r="A210" s="5">
        <v>44383</v>
      </c>
      <c r="B210">
        <v>5.16E-2</v>
      </c>
      <c r="C210">
        <v>5.3350000000000002E-2</v>
      </c>
      <c r="D210">
        <v>5.0849999999999999E-2</v>
      </c>
      <c r="E210">
        <v>5.2699999999999997E-2</v>
      </c>
      <c r="F210">
        <v>29127182.899999999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0.47999999999999665</v>
      </c>
      <c r="Q210">
        <f t="shared" si="960"/>
        <v>13981047.791999903</v>
      </c>
      <c r="R210">
        <f t="shared" si="961"/>
        <v>1550122211.3037884</v>
      </c>
      <c r="S210">
        <f t="shared" si="962"/>
        <v>15501.222113037884</v>
      </c>
      <c r="T210">
        <f t="shared" si="963"/>
        <v>15.501222113037883</v>
      </c>
    </row>
    <row r="211" spans="1:20" x14ac:dyDescent="0.25">
      <c r="A211" s="5">
        <v>44382</v>
      </c>
      <c r="B211">
        <v>5.3990000000000003E-2</v>
      </c>
      <c r="C211">
        <v>5.3990000000000003E-2</v>
      </c>
      <c r="D211">
        <v>5.0349999999999999E-2</v>
      </c>
      <c r="E211">
        <v>5.16E-2</v>
      </c>
      <c r="F211">
        <v>27136806.199999999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-0.31318681318681341</v>
      </c>
      <c r="Q211">
        <f t="shared" si="960"/>
        <v>-8498889.8538461588</v>
      </c>
      <c r="R211">
        <f t="shared" si="961"/>
        <v>1536141163.5117886</v>
      </c>
      <c r="S211">
        <f t="shared" si="962"/>
        <v>15361.411635117885</v>
      </c>
      <c r="T211">
        <f t="shared" si="963"/>
        <v>15.361411635117886</v>
      </c>
    </row>
    <row r="212" spans="1:20" x14ac:dyDescent="0.25">
      <c r="A212" s="5">
        <v>44381</v>
      </c>
      <c r="B212">
        <v>5.3370000000000001E-2</v>
      </c>
      <c r="C212">
        <v>5.4620000000000002E-2</v>
      </c>
      <c r="D212">
        <v>5.1339999999999997E-2</v>
      </c>
      <c r="E212">
        <v>5.3960000000000001E-2</v>
      </c>
      <c r="F212">
        <v>27601208.399999999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0.59756097560975618</v>
      </c>
      <c r="Q212">
        <f t="shared" si="960"/>
        <v>16493405.019512197</v>
      </c>
      <c r="R212">
        <f t="shared" si="961"/>
        <v>1544640053.3656347</v>
      </c>
      <c r="S212">
        <f t="shared" si="962"/>
        <v>15446.400533656346</v>
      </c>
      <c r="T212">
        <f t="shared" si="963"/>
        <v>15.446400533656346</v>
      </c>
    </row>
    <row r="213" spans="1:20" x14ac:dyDescent="0.25">
      <c r="A213" s="5">
        <v>44380</v>
      </c>
      <c r="B213">
        <v>5.2819999999999999E-2</v>
      </c>
      <c r="C213">
        <v>5.3440000000000001E-2</v>
      </c>
      <c r="D213">
        <v>5.0540000000000002E-2</v>
      </c>
      <c r="E213">
        <v>5.3440000000000001E-2</v>
      </c>
      <c r="F213">
        <v>23200715.300000001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1</v>
      </c>
      <c r="Q213">
        <f t="shared" si="960"/>
        <v>23200715.300000001</v>
      </c>
      <c r="R213">
        <f t="shared" si="961"/>
        <v>1528146648.3461225</v>
      </c>
      <c r="S213">
        <f t="shared" si="962"/>
        <v>15281.466483461225</v>
      </c>
      <c r="T213">
        <f t="shared" si="963"/>
        <v>15.281466483461225</v>
      </c>
    </row>
    <row r="214" spans="1:20" x14ac:dyDescent="0.25">
      <c r="A214" s="5">
        <v>44379</v>
      </c>
      <c r="B214">
        <v>4.9919999999999999E-2</v>
      </c>
      <c r="C214">
        <v>5.3190000000000001E-2</v>
      </c>
      <c r="D214">
        <v>4.8099999999999997E-2</v>
      </c>
      <c r="E214">
        <v>5.2880000000000003E-2</v>
      </c>
      <c r="F214">
        <v>35387477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0.87819253438114042</v>
      </c>
      <c r="Q214">
        <f t="shared" si="960"/>
        <v>31077018.111984316</v>
      </c>
      <c r="R214">
        <f t="shared" si="961"/>
        <v>1504945933.0461226</v>
      </c>
      <c r="S214">
        <f t="shared" si="962"/>
        <v>15049.459330461226</v>
      </c>
      <c r="T214">
        <f t="shared" si="963"/>
        <v>15.049459330461227</v>
      </c>
    </row>
    <row r="215" spans="1:20" x14ac:dyDescent="0.25">
      <c r="A215" s="5">
        <v>44378</v>
      </c>
      <c r="B215">
        <v>5.2310000000000002E-2</v>
      </c>
      <c r="C215">
        <v>5.2330000000000002E-2</v>
      </c>
      <c r="D215">
        <v>4.8079999999999998E-2</v>
      </c>
      <c r="E215">
        <v>4.9970000000000001E-2</v>
      </c>
      <c r="F215">
        <v>33294758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-0.11058823529411713</v>
      </c>
      <c r="Q215">
        <f t="shared" si="960"/>
        <v>-3682008.5317646884</v>
      </c>
      <c r="R215">
        <f t="shared" si="961"/>
        <v>1473868914.9341383</v>
      </c>
      <c r="S215">
        <f t="shared" si="962"/>
        <v>14738.689149341382</v>
      </c>
      <c r="T215">
        <f t="shared" si="963"/>
        <v>14.738689149341383</v>
      </c>
    </row>
    <row r="216" spans="1:20" x14ac:dyDescent="0.25">
      <c r="A216" s="5">
        <v>44377</v>
      </c>
      <c r="B216">
        <v>5.0349999999999999E-2</v>
      </c>
      <c r="C216">
        <v>5.2990000000000002E-2</v>
      </c>
      <c r="D216">
        <v>4.6710000000000002E-2</v>
      </c>
      <c r="E216">
        <v>5.2220000000000003E-2</v>
      </c>
      <c r="F216">
        <v>40188968.200000003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0.75477707006369432</v>
      </c>
      <c r="Q216">
        <f t="shared" si="960"/>
        <v>30333711.666878987</v>
      </c>
      <c r="R216">
        <f t="shared" si="961"/>
        <v>1477550923.465903</v>
      </c>
      <c r="S216">
        <f t="shared" si="962"/>
        <v>14775.50923465903</v>
      </c>
      <c r="T216">
        <f t="shared" si="963"/>
        <v>14.77550923465903</v>
      </c>
    </row>
    <row r="217" spans="1:20" x14ac:dyDescent="0.25">
      <c r="A217" s="5">
        <v>44376</v>
      </c>
      <c r="B217">
        <v>4.7239999999999997E-2</v>
      </c>
      <c r="C217">
        <v>5.1209999999999999E-2</v>
      </c>
      <c r="D217">
        <v>4.6809999999999997E-2</v>
      </c>
      <c r="E217">
        <v>5.0450000000000002E-2</v>
      </c>
      <c r="F217">
        <v>43167218.5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0.6545454545454561</v>
      </c>
      <c r="Q217">
        <f t="shared" si="960"/>
        <v>28254906.654545523</v>
      </c>
      <c r="R217">
        <f t="shared" si="961"/>
        <v>1447217211.7990241</v>
      </c>
      <c r="S217">
        <f t="shared" si="962"/>
        <v>14472.172117990242</v>
      </c>
      <c r="T217">
        <f t="shared" si="963"/>
        <v>14.472172117990242</v>
      </c>
    </row>
    <row r="218" spans="1:20" x14ac:dyDescent="0.25">
      <c r="A218" s="5">
        <v>44375</v>
      </c>
      <c r="B218">
        <v>4.5350000000000001E-2</v>
      </c>
      <c r="C218">
        <v>4.7449999999999999E-2</v>
      </c>
      <c r="D218">
        <v>4.4650000000000002E-2</v>
      </c>
      <c r="E218">
        <v>4.7109999999999999E-2</v>
      </c>
      <c r="F218">
        <v>27793267.699999999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0.7571428571428569</v>
      </c>
      <c r="Q218">
        <f t="shared" si="960"/>
        <v>21043474.115714278</v>
      </c>
      <c r="R218">
        <f t="shared" si="961"/>
        <v>1418962305.1444786</v>
      </c>
      <c r="S218">
        <f t="shared" si="962"/>
        <v>14189.623051444785</v>
      </c>
      <c r="T218">
        <f t="shared" si="963"/>
        <v>14.189623051444785</v>
      </c>
    </row>
    <row r="219" spans="1:20" x14ac:dyDescent="0.25">
      <c r="A219" s="5">
        <v>44374</v>
      </c>
      <c r="B219">
        <v>4.41E-2</v>
      </c>
      <c r="C219">
        <v>4.5490000000000003E-2</v>
      </c>
      <c r="D219">
        <v>4.2360000000000002E-2</v>
      </c>
      <c r="E219">
        <v>4.5289999999999997E-2</v>
      </c>
      <c r="F219">
        <v>25281585.699999999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0.87220447284344682</v>
      </c>
      <c r="Q219">
        <f t="shared" si="960"/>
        <v>22050712.128114924</v>
      </c>
      <c r="R219">
        <f t="shared" si="961"/>
        <v>1397918831.0287642</v>
      </c>
      <c r="S219">
        <f t="shared" si="962"/>
        <v>13979.188310287642</v>
      </c>
      <c r="T219">
        <f t="shared" si="963"/>
        <v>13.979188310287642</v>
      </c>
    </row>
    <row r="220" spans="1:20" x14ac:dyDescent="0.25">
      <c r="A220" s="5">
        <v>44373</v>
      </c>
      <c r="B220">
        <v>4.3380000000000002E-2</v>
      </c>
      <c r="C220">
        <v>4.5379999999999997E-2</v>
      </c>
      <c r="D220">
        <v>4.1250000000000002E-2</v>
      </c>
      <c r="E220">
        <v>4.4060000000000002E-2</v>
      </c>
      <c r="F220">
        <v>65407925.399999999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0.36077481840193876</v>
      </c>
      <c r="Q220">
        <f t="shared" si="960"/>
        <v>23597532.408232559</v>
      </c>
      <c r="R220">
        <f t="shared" si="961"/>
        <v>1375868118.9006493</v>
      </c>
      <c r="S220">
        <f t="shared" si="962"/>
        <v>13758.681189006493</v>
      </c>
      <c r="T220">
        <f t="shared" si="963"/>
        <v>13.758681189006493</v>
      </c>
    </row>
    <row r="221" spans="1:20" x14ac:dyDescent="0.25">
      <c r="A221" s="5">
        <v>44372</v>
      </c>
      <c r="B221">
        <v>4.7280000000000003E-2</v>
      </c>
      <c r="C221">
        <v>4.8980000000000003E-2</v>
      </c>
      <c r="D221">
        <v>4.2509999999999999E-2</v>
      </c>
      <c r="E221">
        <v>4.3450000000000003E-2</v>
      </c>
      <c r="F221">
        <v>71116722.099999994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-0.70942812982998371</v>
      </c>
      <c r="Q221">
        <f t="shared" si="960"/>
        <v>-50452203.159041665</v>
      </c>
      <c r="R221">
        <f t="shared" si="961"/>
        <v>1352270586.4924169</v>
      </c>
      <c r="S221">
        <f t="shared" si="962"/>
        <v>13522.705864924168</v>
      </c>
      <c r="T221">
        <f t="shared" si="963"/>
        <v>13.522705864924168</v>
      </c>
    </row>
    <row r="222" spans="1:20" x14ac:dyDescent="0.25">
      <c r="A222" s="5">
        <v>44371</v>
      </c>
      <c r="B222">
        <v>4.2369999999999998E-2</v>
      </c>
      <c r="C222">
        <v>4.9239999999999999E-2</v>
      </c>
      <c r="D222">
        <v>4.1910000000000003E-2</v>
      </c>
      <c r="E222">
        <v>4.7280000000000003E-2</v>
      </c>
      <c r="F222">
        <v>118425263.59999999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0.46521145975443451</v>
      </c>
      <c r="Q222">
        <f t="shared" si="960"/>
        <v>55092789.751159698</v>
      </c>
      <c r="R222">
        <f t="shared" si="961"/>
        <v>1402722789.6514585</v>
      </c>
      <c r="S222">
        <f t="shared" si="962"/>
        <v>14027.227896514585</v>
      </c>
      <c r="T222">
        <f t="shared" si="963"/>
        <v>14.027227896514585</v>
      </c>
    </row>
    <row r="223" spans="1:20" x14ac:dyDescent="0.25">
      <c r="A223" s="5">
        <v>44370</v>
      </c>
      <c r="B223">
        <v>3.7519999999999998E-2</v>
      </c>
      <c r="C223">
        <v>4.2419999999999999E-2</v>
      </c>
      <c r="D223">
        <v>3.5959999999999999E-2</v>
      </c>
      <c r="E223">
        <v>4.2419999999999999E-2</v>
      </c>
      <c r="F223">
        <v>62203776.700000003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1</v>
      </c>
      <c r="Q223">
        <f t="shared" si="960"/>
        <v>62203776.700000003</v>
      </c>
      <c r="R223">
        <f t="shared" si="961"/>
        <v>1347629999.9002988</v>
      </c>
      <c r="S223">
        <f t="shared" si="962"/>
        <v>13476.299999002988</v>
      </c>
      <c r="T223">
        <f t="shared" si="963"/>
        <v>13.476299999002988</v>
      </c>
    </row>
    <row r="224" spans="1:20" x14ac:dyDescent="0.25">
      <c r="A224" s="5">
        <v>44369</v>
      </c>
      <c r="B224">
        <v>4.0939999999999997E-2</v>
      </c>
      <c r="C224">
        <v>4.2639999999999997E-2</v>
      </c>
      <c r="D224">
        <v>3.3820000000000003E-2</v>
      </c>
      <c r="E224">
        <v>3.7620000000000001E-2</v>
      </c>
      <c r="F224">
        <v>123450611.59999999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-0.13832199546485258</v>
      </c>
      <c r="Q224">
        <f t="shared" si="960"/>
        <v>-17075934.937868476</v>
      </c>
      <c r="R224">
        <f t="shared" si="961"/>
        <v>1285426223.2002988</v>
      </c>
      <c r="S224">
        <f t="shared" si="962"/>
        <v>12854.262232002988</v>
      </c>
      <c r="T224">
        <f t="shared" si="963"/>
        <v>12.854262232002988</v>
      </c>
    </row>
    <row r="225" spans="1:20" x14ac:dyDescent="0.25">
      <c r="A225" s="5">
        <v>44368</v>
      </c>
      <c r="B225">
        <v>5.5030000000000003E-2</v>
      </c>
      <c r="C225">
        <v>5.5399999999999998E-2</v>
      </c>
      <c r="D225">
        <v>4.0809999999999999E-2</v>
      </c>
      <c r="E225">
        <v>4.0910000000000002E-2</v>
      </c>
      <c r="F225">
        <v>104461719.5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-0.98629198080877278</v>
      </c>
      <c r="Q225">
        <f t="shared" si="960"/>
        <v>-103029756.24434541</v>
      </c>
      <c r="R225">
        <f t="shared" si="961"/>
        <v>1302502158.1381674</v>
      </c>
      <c r="S225">
        <f t="shared" si="962"/>
        <v>13025.021581381674</v>
      </c>
      <c r="T225">
        <f t="shared" si="963"/>
        <v>13.025021581381674</v>
      </c>
    </row>
    <row r="226" spans="1:20" x14ac:dyDescent="0.25">
      <c r="A226" s="5">
        <v>44367</v>
      </c>
      <c r="B226">
        <v>5.6399999999999999E-2</v>
      </c>
      <c r="C226">
        <v>5.6959999999999997E-2</v>
      </c>
      <c r="D226">
        <v>5.1459999999999999E-2</v>
      </c>
      <c r="E226">
        <v>5.4960000000000002E-2</v>
      </c>
      <c r="F226">
        <v>57148565.200000003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0.27272727272727432</v>
      </c>
      <c r="Q226">
        <f t="shared" si="960"/>
        <v>15585972.327272819</v>
      </c>
      <c r="R226">
        <f t="shared" si="961"/>
        <v>1405531914.3825128</v>
      </c>
      <c r="S226">
        <f t="shared" si="962"/>
        <v>14055.319143825129</v>
      </c>
      <c r="T226">
        <f t="shared" si="963"/>
        <v>14.055319143825129</v>
      </c>
    </row>
    <row r="227" spans="1:20" x14ac:dyDescent="0.25">
      <c r="A227" s="5">
        <v>44366</v>
      </c>
      <c r="B227">
        <v>5.8250000000000003E-2</v>
      </c>
      <c r="C227">
        <v>5.9279999999999999E-2</v>
      </c>
      <c r="D227">
        <v>5.6300000000000003E-2</v>
      </c>
      <c r="E227">
        <v>5.6419999999999998E-2</v>
      </c>
      <c r="F227">
        <v>44879754.299999997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-0.91946308724832537</v>
      </c>
      <c r="Q227">
        <f t="shared" si="960"/>
        <v>-41265277.443624303</v>
      </c>
      <c r="R227">
        <f t="shared" si="961"/>
        <v>1389945942.0552399</v>
      </c>
      <c r="S227">
        <f t="shared" si="962"/>
        <v>13899.459420552399</v>
      </c>
      <c r="T227">
        <f t="shared" si="963"/>
        <v>13.899459420552398</v>
      </c>
    </row>
    <row r="228" spans="1:20" x14ac:dyDescent="0.25">
      <c r="A228" s="5">
        <v>44365</v>
      </c>
      <c r="B228">
        <v>6.1409999999999999E-2</v>
      </c>
      <c r="C228">
        <v>6.2960000000000002E-2</v>
      </c>
      <c r="D228">
        <v>5.7119999999999997E-2</v>
      </c>
      <c r="E228">
        <v>5.8290000000000002E-2</v>
      </c>
      <c r="F228">
        <v>49488675.299999997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-0.59931506849314953</v>
      </c>
      <c r="Q228">
        <f t="shared" si="960"/>
        <v>-29659308.827054735</v>
      </c>
      <c r="R228">
        <f t="shared" si="961"/>
        <v>1431211219.4988642</v>
      </c>
      <c r="S228">
        <f t="shared" si="962"/>
        <v>14312.112194988642</v>
      </c>
      <c r="T228">
        <f t="shared" si="963"/>
        <v>14.312112194988641</v>
      </c>
    </row>
    <row r="229" spans="1:20" x14ac:dyDescent="0.25">
      <c r="A229" s="5">
        <v>44364</v>
      </c>
      <c r="B229">
        <v>5.9429999999999997E-2</v>
      </c>
      <c r="C229">
        <v>6.2059999999999997E-2</v>
      </c>
      <c r="D229">
        <v>5.9029999999999999E-2</v>
      </c>
      <c r="E229">
        <v>6.1409999999999999E-2</v>
      </c>
      <c r="F229">
        <v>37541014.899999999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0.57095709570957209</v>
      </c>
      <c r="Q229">
        <f t="shared" si="960"/>
        <v>21434308.83729377</v>
      </c>
      <c r="R229">
        <f t="shared" si="961"/>
        <v>1460870528.3259189</v>
      </c>
      <c r="S229">
        <f t="shared" si="962"/>
        <v>14608.705283259189</v>
      </c>
      <c r="T229">
        <f t="shared" si="963"/>
        <v>14.608705283259189</v>
      </c>
    </row>
    <row r="230" spans="1:20" x14ac:dyDescent="0.25">
      <c r="A230" s="5">
        <v>44363</v>
      </c>
      <c r="B230">
        <v>6.166E-2</v>
      </c>
      <c r="C230">
        <v>6.318E-2</v>
      </c>
      <c r="D230">
        <v>5.8930000000000003E-2</v>
      </c>
      <c r="E230">
        <v>5.9450000000000003E-2</v>
      </c>
      <c r="F230">
        <v>59038148</v>
      </c>
      <c r="G230">
        <v>0</v>
      </c>
      <c r="L230" t="s">
        <v>8</v>
      </c>
      <c r="M230" t="s">
        <v>7</v>
      </c>
      <c r="N230" t="s">
        <v>8</v>
      </c>
      <c r="P230">
        <f t="shared" si="959"/>
        <v>-0.75529411764705878</v>
      </c>
      <c r="Q230">
        <f t="shared" si="960"/>
        <v>-44591165.901176468</v>
      </c>
      <c r="R230">
        <f t="shared" si="961"/>
        <v>1439436219.488625</v>
      </c>
      <c r="S230">
        <f t="shared" si="962"/>
        <v>14394.362194886251</v>
      </c>
      <c r="T230">
        <f t="shared" si="963"/>
        <v>14.39436219488625</v>
      </c>
    </row>
    <row r="231" spans="1:20" x14ac:dyDescent="0.25">
      <c r="A231" s="5">
        <v>44362</v>
      </c>
      <c r="B231">
        <v>6.207E-2</v>
      </c>
      <c r="C231">
        <v>6.2939999999999996E-2</v>
      </c>
      <c r="D231">
        <v>6.087E-2</v>
      </c>
      <c r="E231">
        <v>6.1710000000000001E-2</v>
      </c>
      <c r="F231">
        <v>30722633</v>
      </c>
      <c r="G231">
        <v>0</v>
      </c>
      <c r="L231" t="s">
        <v>8</v>
      </c>
      <c r="M231" t="s">
        <v>7</v>
      </c>
      <c r="N231" t="s">
        <v>8</v>
      </c>
      <c r="P231">
        <f t="shared" si="959"/>
        <v>-0.18840579710144703</v>
      </c>
      <c r="Q231">
        <f t="shared" si="960"/>
        <v>-5788322.1594202211</v>
      </c>
      <c r="R231">
        <f t="shared" si="961"/>
        <v>1484027385.3898015</v>
      </c>
      <c r="S231">
        <f t="shared" si="962"/>
        <v>14840.273853898016</v>
      </c>
      <c r="T231">
        <f t="shared" si="963"/>
        <v>14.840273853898015</v>
      </c>
    </row>
    <row r="232" spans="1:20" x14ac:dyDescent="0.25">
      <c r="A232" s="5">
        <v>44361</v>
      </c>
      <c r="B232">
        <v>6.139E-2</v>
      </c>
      <c r="C232">
        <v>6.2590000000000007E-2</v>
      </c>
      <c r="D232">
        <v>5.9769999999999997E-2</v>
      </c>
      <c r="E232">
        <v>6.2059999999999997E-2</v>
      </c>
      <c r="F232">
        <v>36903489.899999999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0.62411347517729943</v>
      </c>
      <c r="Q232">
        <f t="shared" si="960"/>
        <v>23031965.327659369</v>
      </c>
      <c r="R232">
        <f t="shared" si="961"/>
        <v>1489815707.5492218</v>
      </c>
      <c r="S232">
        <f t="shared" si="962"/>
        <v>14898.157075492218</v>
      </c>
      <c r="T232">
        <f t="shared" si="963"/>
        <v>14.898157075492218</v>
      </c>
    </row>
    <row r="233" spans="1:20" x14ac:dyDescent="0.25">
      <c r="A233" s="5">
        <v>44360</v>
      </c>
      <c r="B233">
        <v>5.9490000000000001E-2</v>
      </c>
      <c r="C233">
        <v>6.1800000000000001E-2</v>
      </c>
      <c r="D233">
        <v>5.7939999999999998E-2</v>
      </c>
      <c r="E233">
        <v>6.1409999999999999E-2</v>
      </c>
      <c r="F233">
        <v>26490199.199999999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0.79792746113989577</v>
      </c>
      <c r="Q233">
        <f t="shared" si="960"/>
        <v>21137257.392746098</v>
      </c>
      <c r="R233">
        <f t="shared" si="961"/>
        <v>1466783742.2215624</v>
      </c>
      <c r="S233">
        <f t="shared" si="962"/>
        <v>14667.837422215624</v>
      </c>
      <c r="T233">
        <f t="shared" si="963"/>
        <v>14.667837422215623</v>
      </c>
    </row>
    <row r="234" spans="1:20" x14ac:dyDescent="0.25">
      <c r="A234" s="5">
        <v>44359</v>
      </c>
      <c r="B234">
        <v>6.1350000000000002E-2</v>
      </c>
      <c r="C234">
        <v>6.1710000000000001E-2</v>
      </c>
      <c r="D234">
        <v>5.7090000000000002E-2</v>
      </c>
      <c r="E234">
        <v>5.9389999999999998E-2</v>
      </c>
      <c r="F234">
        <v>47487761.899999999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-4.3290043290056552E-3</v>
      </c>
      <c r="Q234">
        <f t="shared" si="960"/>
        <v>-205574.7268398898</v>
      </c>
      <c r="R234">
        <f t="shared" si="961"/>
        <v>1445646484.8288162</v>
      </c>
      <c r="S234">
        <f t="shared" si="962"/>
        <v>14456.464848288162</v>
      </c>
      <c r="T234">
        <f t="shared" si="963"/>
        <v>14.456464848288162</v>
      </c>
    </row>
    <row r="235" spans="1:20" x14ac:dyDescent="0.25">
      <c r="A235" s="5">
        <v>44358</v>
      </c>
      <c r="B235">
        <v>6.6239999999999993E-2</v>
      </c>
      <c r="C235">
        <v>6.8279999999999993E-2</v>
      </c>
      <c r="D235">
        <v>6.0560000000000003E-2</v>
      </c>
      <c r="E235">
        <v>6.1379999999999997E-2</v>
      </c>
      <c r="F235">
        <v>63735699.799999997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-0.78756476683937948</v>
      </c>
      <c r="Q235">
        <f t="shared" si="960"/>
        <v>-50195991.552331686</v>
      </c>
      <c r="R235">
        <f t="shared" si="961"/>
        <v>1445852059.555656</v>
      </c>
      <c r="S235">
        <f t="shared" si="962"/>
        <v>14458.52059555656</v>
      </c>
      <c r="T235">
        <f t="shared" si="963"/>
        <v>14.458520595556561</v>
      </c>
    </row>
    <row r="236" spans="1:20" x14ac:dyDescent="0.25">
      <c r="A236" s="5">
        <v>44357</v>
      </c>
      <c r="B236">
        <v>6.9860000000000005E-2</v>
      </c>
      <c r="C236">
        <v>7.3810000000000001E-2</v>
      </c>
      <c r="D236">
        <v>6.4710000000000004E-2</v>
      </c>
      <c r="E236">
        <v>6.6189999999999999E-2</v>
      </c>
      <c r="F236">
        <v>106650934.2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-0.67472527472527566</v>
      </c>
      <c r="Q236">
        <f t="shared" si="960"/>
        <v>-71960080.877802297</v>
      </c>
      <c r="R236">
        <f t="shared" si="961"/>
        <v>1496048051.1079876</v>
      </c>
      <c r="S236">
        <f t="shared" si="962"/>
        <v>14960.480511079877</v>
      </c>
      <c r="T236">
        <f t="shared" si="963"/>
        <v>14.960480511079878</v>
      </c>
    </row>
    <row r="237" spans="1:20" x14ac:dyDescent="0.25">
      <c r="A237" s="5">
        <v>44356</v>
      </c>
      <c r="B237">
        <v>6.5339999999999995E-2</v>
      </c>
      <c r="C237">
        <v>6.9959999999999994E-2</v>
      </c>
      <c r="D237">
        <v>6.2810000000000005E-2</v>
      </c>
      <c r="E237">
        <v>6.9760000000000003E-2</v>
      </c>
      <c r="F237">
        <v>40291052.200000003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0.94405594405594628</v>
      </c>
      <c r="Q237">
        <f t="shared" si="960"/>
        <v>38037007.321678415</v>
      </c>
      <c r="R237">
        <f t="shared" si="961"/>
        <v>1568008131.98579</v>
      </c>
      <c r="S237">
        <f t="shared" si="962"/>
        <v>15680.0813198579</v>
      </c>
      <c r="T237">
        <f t="shared" si="963"/>
        <v>15.6800813198579</v>
      </c>
    </row>
    <row r="238" spans="1:20" x14ac:dyDescent="0.25">
      <c r="A238" s="5">
        <v>44355</v>
      </c>
      <c r="B238">
        <v>6.4380000000000007E-2</v>
      </c>
      <c r="C238">
        <v>6.5750000000000003E-2</v>
      </c>
      <c r="D238">
        <v>5.9610000000000003E-2</v>
      </c>
      <c r="E238">
        <v>6.5420000000000006E-2</v>
      </c>
      <c r="F238">
        <v>64552895.299999997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0.89250814332247652</v>
      </c>
      <c r="Q238">
        <f t="shared" si="960"/>
        <v>57613984.730293222</v>
      </c>
      <c r="R238">
        <f t="shared" si="961"/>
        <v>1529971124.6641116</v>
      </c>
      <c r="S238">
        <f t="shared" si="962"/>
        <v>15299.711246641116</v>
      </c>
      <c r="T238">
        <f t="shared" si="963"/>
        <v>15.299711246641117</v>
      </c>
    </row>
    <row r="239" spans="1:20" x14ac:dyDescent="0.25">
      <c r="A239" s="5">
        <v>44354</v>
      </c>
      <c r="B239">
        <v>7.077E-2</v>
      </c>
      <c r="C239">
        <v>7.1739999999999998E-2</v>
      </c>
      <c r="D239">
        <v>6.3899999999999998E-2</v>
      </c>
      <c r="E239">
        <v>6.4380000000000007E-2</v>
      </c>
      <c r="F239">
        <v>52881825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-0.87755102040816113</v>
      </c>
      <c r="Q239">
        <f t="shared" si="960"/>
        <v>-46406499.489795804</v>
      </c>
      <c r="R239">
        <f t="shared" si="961"/>
        <v>1472357139.9338183</v>
      </c>
      <c r="S239">
        <f t="shared" si="962"/>
        <v>14723.571399338183</v>
      </c>
      <c r="T239">
        <f t="shared" si="963"/>
        <v>14.723571399338184</v>
      </c>
    </row>
    <row r="240" spans="1:20" x14ac:dyDescent="0.25">
      <c r="A240" s="5">
        <v>44353</v>
      </c>
      <c r="B240">
        <v>6.7390000000000005E-2</v>
      </c>
      <c r="C240">
        <v>7.0989999999999998E-2</v>
      </c>
      <c r="D240">
        <v>6.6930000000000003E-2</v>
      </c>
      <c r="E240">
        <v>7.0779999999999996E-2</v>
      </c>
      <c r="F240">
        <v>43264682.299999997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0.89655172413792994</v>
      </c>
      <c r="Q240">
        <f t="shared" si="960"/>
        <v>38789025.510344781</v>
      </c>
      <c r="R240">
        <f t="shared" si="961"/>
        <v>1518763639.423614</v>
      </c>
      <c r="S240">
        <f t="shared" si="962"/>
        <v>15187.63639423614</v>
      </c>
      <c r="T240">
        <f t="shared" si="963"/>
        <v>15.18763639423614</v>
      </c>
    </row>
    <row r="241" spans="1:20" x14ac:dyDescent="0.25">
      <c r="A241" s="5">
        <v>44352</v>
      </c>
      <c r="B241">
        <v>7.0220000000000005E-2</v>
      </c>
      <c r="C241">
        <v>7.2319999999999995E-2</v>
      </c>
      <c r="D241">
        <v>6.5740000000000007E-2</v>
      </c>
      <c r="E241">
        <v>6.7229999999999998E-2</v>
      </c>
      <c r="F241">
        <v>38857833.799999997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-0.54711246200608088</v>
      </c>
      <c r="Q241">
        <f t="shared" si="960"/>
        <v>-21259605.118541103</v>
      </c>
      <c r="R241">
        <f t="shared" si="961"/>
        <v>1479974613.9132693</v>
      </c>
      <c r="S241">
        <f t="shared" si="962"/>
        <v>14799.746139132692</v>
      </c>
      <c r="T241">
        <f t="shared" si="963"/>
        <v>14.799746139132692</v>
      </c>
    </row>
    <row r="242" spans="1:20" x14ac:dyDescent="0.25">
      <c r="A242" s="5">
        <v>44351</v>
      </c>
      <c r="B242">
        <v>7.4700000000000003E-2</v>
      </c>
      <c r="C242">
        <v>7.5249999999999997E-2</v>
      </c>
      <c r="D242">
        <v>6.6489999999999994E-2</v>
      </c>
      <c r="E242">
        <v>7.0220000000000005E-2</v>
      </c>
      <c r="F242">
        <v>52185526.5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-0.14840182648401612</v>
      </c>
      <c r="Q242">
        <f t="shared" si="960"/>
        <v>-7744427.4486300247</v>
      </c>
      <c r="R242">
        <f t="shared" si="961"/>
        <v>1501234219.0318103</v>
      </c>
      <c r="S242">
        <f t="shared" si="962"/>
        <v>15012.342190318102</v>
      </c>
      <c r="T242">
        <f t="shared" si="963"/>
        <v>15.012342190318103</v>
      </c>
    </row>
    <row r="243" spans="1:20" x14ac:dyDescent="0.25">
      <c r="A243" s="5">
        <v>44350</v>
      </c>
      <c r="B243">
        <v>7.0599999999999996E-2</v>
      </c>
      <c r="C243">
        <v>7.4889999999999998E-2</v>
      </c>
      <c r="D243">
        <v>6.8900000000000003E-2</v>
      </c>
      <c r="E243">
        <v>7.46E-2</v>
      </c>
      <c r="F243">
        <v>78452666.799999997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0.9031719532554261</v>
      </c>
      <c r="Q243">
        <f t="shared" si="960"/>
        <v>70856248.311853111</v>
      </c>
      <c r="R243">
        <f t="shared" si="961"/>
        <v>1508978646.4804404</v>
      </c>
      <c r="S243">
        <f t="shared" si="962"/>
        <v>15089.786464804403</v>
      </c>
      <c r="T243">
        <f t="shared" si="963"/>
        <v>15.089786464804403</v>
      </c>
    </row>
    <row r="244" spans="1:20" x14ac:dyDescent="0.25">
      <c r="A244" s="5">
        <v>44349</v>
      </c>
      <c r="B244">
        <v>6.7760000000000001E-2</v>
      </c>
      <c r="C244">
        <v>7.1459999999999996E-2</v>
      </c>
      <c r="D244">
        <v>6.5930000000000002E-2</v>
      </c>
      <c r="E244">
        <v>7.0550000000000002E-2</v>
      </c>
      <c r="F244">
        <v>37044168.600000001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0.67088607594936878</v>
      </c>
      <c r="Q244">
        <f t="shared" si="960"/>
        <v>24852416.908860821</v>
      </c>
      <c r="R244">
        <f t="shared" si="961"/>
        <v>1438122398.1685872</v>
      </c>
      <c r="S244">
        <f t="shared" si="962"/>
        <v>14381.223981685873</v>
      </c>
      <c r="T244">
        <f t="shared" si="963"/>
        <v>14.381223981685872</v>
      </c>
    </row>
    <row r="245" spans="1:20" x14ac:dyDescent="0.25">
      <c r="A245" s="5">
        <v>44348</v>
      </c>
      <c r="B245">
        <v>6.8260000000000001E-2</v>
      </c>
      <c r="C245">
        <v>6.9089999999999999E-2</v>
      </c>
      <c r="D245">
        <v>6.5329999999999999E-2</v>
      </c>
      <c r="E245">
        <v>6.769E-2</v>
      </c>
      <c r="F245">
        <v>27004319.300000001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0.25531914893617091</v>
      </c>
      <c r="Q245">
        <f t="shared" si="960"/>
        <v>6894719.8212766144</v>
      </c>
      <c r="R245">
        <f t="shared" si="961"/>
        <v>1413269981.2597263</v>
      </c>
      <c r="S245">
        <f t="shared" si="962"/>
        <v>14132.699812597262</v>
      </c>
      <c r="T245">
        <f t="shared" si="963"/>
        <v>14.132699812597263</v>
      </c>
    </row>
    <row r="246" spans="1:20" x14ac:dyDescent="0.25">
      <c r="A246" s="5">
        <v>44347</v>
      </c>
      <c r="B246">
        <v>6.3250000000000001E-2</v>
      </c>
      <c r="C246">
        <v>6.8699999999999997E-2</v>
      </c>
      <c r="D246">
        <v>6.1629999999999997E-2</v>
      </c>
      <c r="E246">
        <v>6.8260000000000001E-2</v>
      </c>
      <c r="F246">
        <v>43410409.600000001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0.87553041018387667</v>
      </c>
      <c r="Q246">
        <f t="shared" si="960"/>
        <v>38007133.723338097</v>
      </c>
      <c r="R246">
        <f t="shared" si="961"/>
        <v>1406375261.4384496</v>
      </c>
      <c r="S246">
        <f t="shared" si="962"/>
        <v>14063.752614384497</v>
      </c>
      <c r="T246">
        <f t="shared" si="963"/>
        <v>14.063752614384496</v>
      </c>
    </row>
    <row r="247" spans="1:20" x14ac:dyDescent="0.25">
      <c r="A247" s="5">
        <v>44346</v>
      </c>
      <c r="B247">
        <v>6.1330000000000003E-2</v>
      </c>
      <c r="C247">
        <v>6.4899999999999999E-2</v>
      </c>
      <c r="D247">
        <v>5.8729999999999997E-2</v>
      </c>
      <c r="E247">
        <v>6.3380000000000006E-2</v>
      </c>
      <c r="F247">
        <v>26202714.199999999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0.5072933549432761</v>
      </c>
      <c r="Q247">
        <f t="shared" si="960"/>
        <v>13292462.795137821</v>
      </c>
      <c r="R247">
        <f t="shared" si="961"/>
        <v>1368368127.7151115</v>
      </c>
      <c r="S247">
        <f t="shared" si="962"/>
        <v>13683.681277151114</v>
      </c>
      <c r="T247">
        <f t="shared" si="963"/>
        <v>13.683681277151114</v>
      </c>
    </row>
    <row r="248" spans="1:20" x14ac:dyDescent="0.25">
      <c r="A248" s="5">
        <v>44345</v>
      </c>
      <c r="B248">
        <v>6.4350000000000004E-2</v>
      </c>
      <c r="C248">
        <v>6.6739999999999994E-2</v>
      </c>
      <c r="D248">
        <v>5.9089999999999997E-2</v>
      </c>
      <c r="E248">
        <v>6.13E-2</v>
      </c>
      <c r="F248">
        <v>38659361.600000001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-0.42222222222222106</v>
      </c>
      <c r="Q248">
        <f t="shared" si="960"/>
        <v>-16322841.5644444</v>
      </c>
      <c r="R248">
        <f t="shared" si="961"/>
        <v>1355075664.9199736</v>
      </c>
      <c r="S248">
        <f t="shared" si="962"/>
        <v>13550.756649199737</v>
      </c>
      <c r="T248">
        <f t="shared" si="963"/>
        <v>13.550756649199737</v>
      </c>
    </row>
    <row r="249" spans="1:20" x14ac:dyDescent="0.25">
      <c r="A249" s="5">
        <v>44344</v>
      </c>
      <c r="B249">
        <v>7.1879999999999999E-2</v>
      </c>
      <c r="C249">
        <v>7.2080000000000005E-2</v>
      </c>
      <c r="D249">
        <v>6.2010000000000003E-2</v>
      </c>
      <c r="E249">
        <v>6.4299999999999996E-2</v>
      </c>
      <c r="F249">
        <v>47295061.200000003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-0.54518371400198751</v>
      </c>
      <c r="Q249">
        <f t="shared" si="960"/>
        <v>-25784497.118967298</v>
      </c>
      <c r="R249">
        <f t="shared" si="961"/>
        <v>1371398506.4844179</v>
      </c>
      <c r="S249">
        <f t="shared" si="962"/>
        <v>13713.985064844179</v>
      </c>
      <c r="T249">
        <f t="shared" si="963"/>
        <v>13.713985064844179</v>
      </c>
    </row>
    <row r="250" spans="1:20" x14ac:dyDescent="0.25">
      <c r="A250" s="5">
        <v>44343</v>
      </c>
      <c r="B250">
        <v>7.5179999999999997E-2</v>
      </c>
      <c r="C250">
        <v>7.5249999999999997E-2</v>
      </c>
      <c r="D250">
        <v>6.8330000000000002E-2</v>
      </c>
      <c r="E250">
        <v>7.1709999999999996E-2</v>
      </c>
      <c r="F250">
        <v>39658423.100000001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-2.3121387283238072E-2</v>
      </c>
      <c r="Q250">
        <f t="shared" si="960"/>
        <v>-916957.759537615</v>
      </c>
      <c r="R250">
        <f t="shared" si="961"/>
        <v>1397183003.6033852</v>
      </c>
      <c r="S250">
        <f t="shared" si="962"/>
        <v>13971.830036033853</v>
      </c>
      <c r="T250">
        <f t="shared" si="963"/>
        <v>13.971830036033852</v>
      </c>
    </row>
    <row r="251" spans="1:20" x14ac:dyDescent="0.25">
      <c r="A251" s="5">
        <v>44342</v>
      </c>
      <c r="B251">
        <v>6.8540000000000004E-2</v>
      </c>
      <c r="C251">
        <v>7.5300000000000006E-2</v>
      </c>
      <c r="D251">
        <v>6.6860000000000003E-2</v>
      </c>
      <c r="E251">
        <v>7.5050000000000006E-2</v>
      </c>
      <c r="F251">
        <v>78363368.700000003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0.94075829383886256</v>
      </c>
      <c r="Q251">
        <f t="shared" si="960"/>
        <v>73720989.037677735</v>
      </c>
      <c r="R251">
        <f t="shared" si="961"/>
        <v>1398099961.3629229</v>
      </c>
      <c r="S251">
        <f t="shared" si="962"/>
        <v>13980.999613629228</v>
      </c>
      <c r="T251">
        <f t="shared" si="963"/>
        <v>13.980999613629228</v>
      </c>
    </row>
    <row r="252" spans="1:20" x14ac:dyDescent="0.25">
      <c r="A252" s="5">
        <v>44341</v>
      </c>
      <c r="B252">
        <v>6.905E-2</v>
      </c>
      <c r="C252">
        <v>7.1599999999999997E-2</v>
      </c>
      <c r="D252">
        <v>6.2939999999999996E-2</v>
      </c>
      <c r="E252">
        <v>6.8580000000000002E-2</v>
      </c>
      <c r="F252">
        <v>65599921.799999997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0.30254041570438928</v>
      </c>
      <c r="Q252">
        <f t="shared" si="960"/>
        <v>19846627.611547429</v>
      </c>
      <c r="R252">
        <f t="shared" si="961"/>
        <v>1324378972.3252451</v>
      </c>
      <c r="S252">
        <f t="shared" si="962"/>
        <v>13243.789723252452</v>
      </c>
      <c r="T252">
        <f t="shared" si="963"/>
        <v>13.243789723252451</v>
      </c>
    </row>
    <row r="253" spans="1:20" x14ac:dyDescent="0.25">
      <c r="A253" s="5">
        <v>44340</v>
      </c>
      <c r="B253">
        <v>5.7439999999999998E-2</v>
      </c>
      <c r="C253">
        <v>6.9110000000000005E-2</v>
      </c>
      <c r="D253">
        <v>5.5489999999999998E-2</v>
      </c>
      <c r="E253">
        <v>6.8970000000000004E-2</v>
      </c>
      <c r="F253">
        <v>80587126.900000006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0.97944199706314228</v>
      </c>
      <c r="Q253">
        <f t="shared" si="960"/>
        <v>78930416.508516878</v>
      </c>
      <c r="R253">
        <f t="shared" si="961"/>
        <v>1304532344.7136977</v>
      </c>
      <c r="S253">
        <f t="shared" si="962"/>
        <v>13045.323447136976</v>
      </c>
      <c r="T253">
        <f t="shared" si="963"/>
        <v>13.045323447136976</v>
      </c>
    </row>
    <row r="254" spans="1:20" x14ac:dyDescent="0.25">
      <c r="A254" s="5">
        <v>44339</v>
      </c>
      <c r="B254">
        <v>7.0540000000000005E-2</v>
      </c>
      <c r="C254">
        <v>7.17E-2</v>
      </c>
      <c r="D254">
        <v>4.9660000000000003E-2</v>
      </c>
      <c r="E254">
        <v>5.747E-2</v>
      </c>
      <c r="F254">
        <v>85095374.5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-0.29128856624319432</v>
      </c>
      <c r="Q254">
        <f t="shared" si="960"/>
        <v>-24787309.632032678</v>
      </c>
      <c r="R254">
        <f t="shared" si="961"/>
        <v>1225601928.2051809</v>
      </c>
      <c r="S254">
        <f t="shared" si="962"/>
        <v>12256.01928205181</v>
      </c>
      <c r="T254">
        <f t="shared" si="963"/>
        <v>12.25601928205181</v>
      </c>
    </row>
    <row r="255" spans="1:20" x14ac:dyDescent="0.25">
      <c r="A255" s="5">
        <v>44338</v>
      </c>
      <c r="B255">
        <v>7.1970000000000006E-2</v>
      </c>
      <c r="C255">
        <v>7.2309999999999999E-2</v>
      </c>
      <c r="D255">
        <v>6.4670000000000005E-2</v>
      </c>
      <c r="E255">
        <v>7.0529999999999995E-2</v>
      </c>
      <c r="F255">
        <v>57189419.899999999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0.53403141361256412</v>
      </c>
      <c r="Q255">
        <f t="shared" si="960"/>
        <v>30540946.752879504</v>
      </c>
      <c r="R255">
        <f t="shared" si="961"/>
        <v>1250389237.8372135</v>
      </c>
      <c r="S255">
        <f t="shared" si="962"/>
        <v>12503.892378372135</v>
      </c>
      <c r="T255">
        <f t="shared" si="963"/>
        <v>12.503892378372134</v>
      </c>
    </row>
    <row r="256" spans="1:20" x14ac:dyDescent="0.25">
      <c r="A256" s="5">
        <v>44337</v>
      </c>
      <c r="B256">
        <v>7.6249999999999998E-2</v>
      </c>
      <c r="C256">
        <v>8.1939999999999999E-2</v>
      </c>
      <c r="D256">
        <v>6.336E-2</v>
      </c>
      <c r="E256">
        <v>7.2109999999999994E-2</v>
      </c>
      <c r="F256">
        <v>109573054.90000001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-5.8127018299247123E-2</v>
      </c>
      <c r="Q256">
        <f t="shared" si="960"/>
        <v>-6369154.9672767101</v>
      </c>
      <c r="R256">
        <f t="shared" si="961"/>
        <v>1219848291.0843339</v>
      </c>
      <c r="S256">
        <f t="shared" si="962"/>
        <v>12198.482910843339</v>
      </c>
      <c r="T256">
        <f t="shared" si="963"/>
        <v>12.198482910843339</v>
      </c>
    </row>
    <row r="257" spans="1:20" x14ac:dyDescent="0.25">
      <c r="A257" s="5">
        <v>44336</v>
      </c>
      <c r="B257">
        <v>6.6790000000000002E-2</v>
      </c>
      <c r="C257">
        <v>7.8490000000000004E-2</v>
      </c>
      <c r="D257">
        <v>6.1769999999999999E-2</v>
      </c>
      <c r="E257">
        <v>7.6020000000000004E-2</v>
      </c>
      <c r="F257">
        <v>76599288.900000006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0.7045454545454547</v>
      </c>
      <c r="Q257">
        <f t="shared" si="960"/>
        <v>53967680.81590911</v>
      </c>
      <c r="R257">
        <f t="shared" si="961"/>
        <v>1226217446.0516107</v>
      </c>
      <c r="S257">
        <f t="shared" si="962"/>
        <v>12262.174460516108</v>
      </c>
      <c r="T257">
        <f t="shared" si="963"/>
        <v>12.262174460516107</v>
      </c>
    </row>
    <row r="258" spans="1:20" x14ac:dyDescent="0.25">
      <c r="A258" s="5">
        <v>44335</v>
      </c>
      <c r="B258">
        <v>0.10162</v>
      </c>
      <c r="C258">
        <v>0.10344</v>
      </c>
      <c r="D258">
        <v>5.5559999999999998E-2</v>
      </c>
      <c r="E258">
        <v>6.6790000000000002E-2</v>
      </c>
      <c r="F258">
        <v>163732411.09999999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-0.53091060985797822</v>
      </c>
      <c r="Q258">
        <f t="shared" si="960"/>
        <v>-86927274.230618194</v>
      </c>
      <c r="R258">
        <f t="shared" si="961"/>
        <v>1172249765.2357016</v>
      </c>
      <c r="S258">
        <f t="shared" si="962"/>
        <v>11722.497652357015</v>
      </c>
      <c r="T258">
        <f t="shared" si="963"/>
        <v>11.722497652357015</v>
      </c>
    </row>
    <row r="259" spans="1:20" x14ac:dyDescent="0.25">
      <c r="A259" s="5">
        <v>44334</v>
      </c>
      <c r="B259">
        <v>9.8150000000000001E-2</v>
      </c>
      <c r="C259">
        <v>0.10828</v>
      </c>
      <c r="D259">
        <v>9.6799999999999997E-2</v>
      </c>
      <c r="E259">
        <v>0.10173</v>
      </c>
      <c r="F259">
        <v>55450975.200000003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-0.14111498257839686</v>
      </c>
      <c r="Q259">
        <f t="shared" si="960"/>
        <v>-7824963.3993031168</v>
      </c>
      <c r="R259">
        <f t="shared" si="961"/>
        <v>1259177039.4663198</v>
      </c>
      <c r="S259">
        <f t="shared" si="962"/>
        <v>12591.770394663197</v>
      </c>
      <c r="T259">
        <f t="shared" si="963"/>
        <v>12.591770394663197</v>
      </c>
    </row>
    <row r="260" spans="1:20" x14ac:dyDescent="0.25">
      <c r="A260" s="5">
        <v>44333</v>
      </c>
      <c r="B260">
        <v>0.10602</v>
      </c>
      <c r="C260">
        <v>0.10630000000000001</v>
      </c>
      <c r="D260">
        <v>9.4740000000000005E-2</v>
      </c>
      <c r="E260">
        <v>9.8100000000000007E-2</v>
      </c>
      <c r="F260">
        <v>47068586.700000003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-0.41868512110726613</v>
      </c>
      <c r="Q260">
        <f t="shared" si="960"/>
        <v>-19706916.922837358</v>
      </c>
      <c r="R260">
        <f t="shared" si="961"/>
        <v>1267002002.865623</v>
      </c>
      <c r="S260">
        <f t="shared" si="962"/>
        <v>12670.02002865623</v>
      </c>
      <c r="T260">
        <f t="shared" si="963"/>
        <v>12.67002002865623</v>
      </c>
    </row>
    <row r="261" spans="1:20" x14ac:dyDescent="0.25">
      <c r="A261" s="5">
        <v>44332</v>
      </c>
      <c r="B261">
        <v>0.10773000000000001</v>
      </c>
      <c r="C261">
        <v>0.11602999999999999</v>
      </c>
      <c r="D261">
        <v>0.10077</v>
      </c>
      <c r="E261">
        <v>0.10614</v>
      </c>
      <c r="F261">
        <v>32037711.699999999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-0.29619921363040613</v>
      </c>
      <c r="Q261">
        <f t="shared" si="960"/>
        <v>-9489545.012057662</v>
      </c>
      <c r="R261">
        <f t="shared" si="961"/>
        <v>1286708919.7884603</v>
      </c>
      <c r="S261">
        <f t="shared" si="962"/>
        <v>12867.089197884603</v>
      </c>
      <c r="T261">
        <f t="shared" si="963"/>
        <v>12.867089197884603</v>
      </c>
    </row>
    <row r="262" spans="1:20" x14ac:dyDescent="0.25">
      <c r="A262" s="5">
        <v>44331</v>
      </c>
      <c r="B262">
        <v>0.11348</v>
      </c>
      <c r="C262">
        <v>0.11495</v>
      </c>
      <c r="D262">
        <v>0.10689</v>
      </c>
      <c r="E262">
        <v>0.10761999999999999</v>
      </c>
      <c r="F262">
        <v>30185584.800000001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-0.81885856079404595</v>
      </c>
      <c r="Q262">
        <f t="shared" ref="Q262:Q325" si="965">F262*P262</f>
        <v>-24717724.526054632</v>
      </c>
      <c r="R262">
        <f t="shared" ref="R262:R325" si="966">R263+Q262</f>
        <v>1296198464.800518</v>
      </c>
      <c r="S262">
        <f t="shared" ref="S262:S325" si="967">R262/100000</f>
        <v>12961.98464800518</v>
      </c>
      <c r="T262">
        <f t="shared" ref="T262:T325" si="968">S262/1000</f>
        <v>12.961984648005179</v>
      </c>
    </row>
    <row r="263" spans="1:20" x14ac:dyDescent="0.25">
      <c r="A263" s="5">
        <v>44330</v>
      </c>
      <c r="B263">
        <v>0.11135</v>
      </c>
      <c r="C263">
        <v>0.11609999999999999</v>
      </c>
      <c r="D263">
        <v>0.10843999999999999</v>
      </c>
      <c r="E263">
        <v>0.11360000000000001</v>
      </c>
      <c r="F263">
        <v>25371844.399999999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0.34725848563968975</v>
      </c>
      <c r="Q263">
        <f t="shared" si="965"/>
        <v>8810588.2642298415</v>
      </c>
      <c r="R263">
        <f t="shared" si="966"/>
        <v>1320916189.3265727</v>
      </c>
      <c r="S263">
        <f t="shared" si="967"/>
        <v>13209.161893265726</v>
      </c>
      <c r="T263">
        <f t="shared" si="968"/>
        <v>13.209161893265726</v>
      </c>
    </row>
    <row r="264" spans="1:20" x14ac:dyDescent="0.25">
      <c r="A264" s="5">
        <v>44329</v>
      </c>
      <c r="B264">
        <v>0.10899</v>
      </c>
      <c r="C264">
        <v>0.11570999999999999</v>
      </c>
      <c r="D264">
        <v>0.10262</v>
      </c>
      <c r="E264">
        <v>0.11142000000000001</v>
      </c>
      <c r="F264">
        <v>40479910.200000003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0.34453781512605175</v>
      </c>
      <c r="Q264">
        <f t="shared" si="965"/>
        <v>13946859.816806778</v>
      </c>
      <c r="R264">
        <f t="shared" si="966"/>
        <v>1312105601.0623429</v>
      </c>
      <c r="S264">
        <f t="shared" si="967"/>
        <v>13121.056010623428</v>
      </c>
      <c r="T264">
        <f t="shared" si="968"/>
        <v>13.121056010623429</v>
      </c>
    </row>
    <row r="265" spans="1:20" x14ac:dyDescent="0.25">
      <c r="A265" s="5">
        <v>44328</v>
      </c>
      <c r="B265">
        <v>0.12798000000000001</v>
      </c>
      <c r="C265">
        <v>0.13281000000000001</v>
      </c>
      <c r="D265">
        <v>0.10745</v>
      </c>
      <c r="E265">
        <v>0.10926</v>
      </c>
      <c r="F265">
        <v>62275829.700000003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-0.85725552050473253</v>
      </c>
      <c r="Q265">
        <f t="shared" si="965"/>
        <v>-53386298.804337583</v>
      </c>
      <c r="R265">
        <f t="shared" si="966"/>
        <v>1298158741.2455361</v>
      </c>
      <c r="S265">
        <f t="shared" si="967"/>
        <v>12981.587412455361</v>
      </c>
      <c r="T265">
        <f t="shared" si="968"/>
        <v>12.981587412455362</v>
      </c>
    </row>
    <row r="266" spans="1:20" x14ac:dyDescent="0.25">
      <c r="A266" s="5">
        <v>44327</v>
      </c>
      <c r="B266">
        <v>0.11940000000000001</v>
      </c>
      <c r="C266">
        <v>0.12848000000000001</v>
      </c>
      <c r="D266">
        <v>0.11434</v>
      </c>
      <c r="E266">
        <v>0.12798999999999999</v>
      </c>
      <c r="F266">
        <v>58568156.200000003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0.93069306930692819</v>
      </c>
      <c r="Q266">
        <f t="shared" si="965"/>
        <v>54508977.057425596</v>
      </c>
      <c r="R266">
        <f t="shared" si="966"/>
        <v>1351545040.0498736</v>
      </c>
      <c r="S266">
        <f t="shared" si="967"/>
        <v>13515.450400498736</v>
      </c>
      <c r="T266">
        <f t="shared" si="968"/>
        <v>13.515450400498736</v>
      </c>
    </row>
    <row r="267" spans="1:20" x14ac:dyDescent="0.25">
      <c r="A267" s="5">
        <v>44326</v>
      </c>
      <c r="B267">
        <v>0.13553000000000001</v>
      </c>
      <c r="C267">
        <v>0.13850000000000001</v>
      </c>
      <c r="D267">
        <v>0.11148</v>
      </c>
      <c r="E267">
        <v>0.11944</v>
      </c>
      <c r="F267">
        <v>86592759.799999997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-0.41080680977054007</v>
      </c>
      <c r="Q267">
        <f t="shared" si="965"/>
        <v>-35572895.402664669</v>
      </c>
      <c r="R267">
        <f t="shared" si="966"/>
        <v>1297036062.9924481</v>
      </c>
      <c r="S267">
        <f t="shared" si="967"/>
        <v>12970.36062992448</v>
      </c>
      <c r="T267">
        <f t="shared" si="968"/>
        <v>12.97036062992448</v>
      </c>
    </row>
    <row r="268" spans="1:20" x14ac:dyDescent="0.25">
      <c r="A268" s="5">
        <v>44325</v>
      </c>
      <c r="B268">
        <v>0.13722999999999999</v>
      </c>
      <c r="C268">
        <v>0.14030999999999999</v>
      </c>
      <c r="D268">
        <v>0.12806000000000001</v>
      </c>
      <c r="E268">
        <v>0.13552</v>
      </c>
      <c r="F268">
        <v>53218386.799999997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0.21795918367347014</v>
      </c>
      <c r="Q268">
        <f t="shared" si="965"/>
        <v>11599436.143346978</v>
      </c>
      <c r="R268">
        <f t="shared" si="966"/>
        <v>1332608958.3951128</v>
      </c>
      <c r="S268">
        <f t="shared" si="967"/>
        <v>13326.089583951127</v>
      </c>
      <c r="T268">
        <f t="shared" si="968"/>
        <v>13.326089583951127</v>
      </c>
    </row>
    <row r="269" spans="1:20" x14ac:dyDescent="0.25">
      <c r="A269" s="5">
        <v>44324</v>
      </c>
      <c r="B269">
        <v>0.14257</v>
      </c>
      <c r="C269">
        <v>0.15</v>
      </c>
      <c r="D269">
        <v>0.13619000000000001</v>
      </c>
      <c r="E269">
        <v>0.13738</v>
      </c>
      <c r="F269">
        <v>53621620.5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-0.82766111513396123</v>
      </c>
      <c r="Q269">
        <f t="shared" si="965"/>
        <v>-44380530.218320079</v>
      </c>
      <c r="R269">
        <f t="shared" si="966"/>
        <v>1321009522.2517657</v>
      </c>
      <c r="S269">
        <f t="shared" si="967"/>
        <v>13210.095222517657</v>
      </c>
      <c r="T269">
        <f t="shared" si="968"/>
        <v>13.210095222517657</v>
      </c>
    </row>
    <row r="270" spans="1:20" x14ac:dyDescent="0.25">
      <c r="A270" s="5">
        <v>44323</v>
      </c>
      <c r="B270">
        <v>0.14424000000000001</v>
      </c>
      <c r="C270">
        <v>0.16500000000000001</v>
      </c>
      <c r="D270">
        <v>0.1353</v>
      </c>
      <c r="E270">
        <v>0.14238000000000001</v>
      </c>
      <c r="F270">
        <v>147102360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-0.52323232323232305</v>
      </c>
      <c r="Q270">
        <f t="shared" si="965"/>
        <v>-76968709.575757548</v>
      </c>
      <c r="R270">
        <f t="shared" si="966"/>
        <v>1365390052.4700859</v>
      </c>
      <c r="S270">
        <f t="shared" si="967"/>
        <v>13653.900524700859</v>
      </c>
      <c r="T270">
        <f t="shared" si="968"/>
        <v>13.653900524700859</v>
      </c>
    </row>
    <row r="271" spans="1:20" x14ac:dyDescent="0.25">
      <c r="A271" s="5">
        <v>44322</v>
      </c>
      <c r="B271">
        <v>0.13918</v>
      </c>
      <c r="C271">
        <v>0.14923</v>
      </c>
      <c r="D271">
        <v>0.13206999999999999</v>
      </c>
      <c r="E271">
        <v>0.14424999999999999</v>
      </c>
      <c r="F271">
        <v>123987296.59999999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0.41958041958041847</v>
      </c>
      <c r="Q271">
        <f t="shared" si="965"/>
        <v>52022641.930069789</v>
      </c>
      <c r="R271">
        <f t="shared" si="966"/>
        <v>1442358762.0458434</v>
      </c>
      <c r="S271">
        <f t="shared" si="967"/>
        <v>14423.587620458433</v>
      </c>
      <c r="T271">
        <f t="shared" si="968"/>
        <v>14.423587620458433</v>
      </c>
    </row>
    <row r="272" spans="1:20" x14ac:dyDescent="0.25">
      <c r="A272" s="5">
        <v>44321</v>
      </c>
      <c r="B272">
        <v>0.11896</v>
      </c>
      <c r="C272">
        <v>0.14000000000000001</v>
      </c>
      <c r="D272">
        <v>0.11684</v>
      </c>
      <c r="E272">
        <v>0.13919000000000001</v>
      </c>
      <c r="F272">
        <v>147015625.59999999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0.93005181347150223</v>
      </c>
      <c r="Q272">
        <f t="shared" si="965"/>
        <v>136732149.19792742</v>
      </c>
      <c r="R272">
        <f t="shared" si="966"/>
        <v>1390336120.1157737</v>
      </c>
      <c r="S272">
        <f t="shared" si="967"/>
        <v>13903.361201157737</v>
      </c>
      <c r="T272">
        <f t="shared" si="968"/>
        <v>13.903361201157738</v>
      </c>
    </row>
    <row r="273" spans="1:20" x14ac:dyDescent="0.25">
      <c r="A273" s="5">
        <v>44320</v>
      </c>
      <c r="B273">
        <v>0.13192000000000001</v>
      </c>
      <c r="C273">
        <v>0.13211999999999999</v>
      </c>
      <c r="D273">
        <v>0.11845</v>
      </c>
      <c r="E273">
        <v>0.11903</v>
      </c>
      <c r="F273">
        <v>95338350.5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-0.91514264813460167</v>
      </c>
      <c r="Q273">
        <f t="shared" si="965"/>
        <v>-87248190.545354828</v>
      </c>
      <c r="R273">
        <f t="shared" si="966"/>
        <v>1253603970.9178462</v>
      </c>
      <c r="S273">
        <f t="shared" si="967"/>
        <v>12536.039709178462</v>
      </c>
      <c r="T273">
        <f t="shared" si="968"/>
        <v>12.536039709178462</v>
      </c>
    </row>
    <row r="274" spans="1:20" x14ac:dyDescent="0.25">
      <c r="A274" s="5">
        <v>44319</v>
      </c>
      <c r="B274">
        <v>0.12781999999999999</v>
      </c>
      <c r="C274">
        <v>0.13936999999999999</v>
      </c>
      <c r="D274">
        <v>0.12740000000000001</v>
      </c>
      <c r="E274">
        <v>0.13186999999999999</v>
      </c>
      <c r="F274">
        <v>111765589.2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-0.25313283208020365</v>
      </c>
      <c r="Q274">
        <f t="shared" si="965"/>
        <v>-28291540.123308625</v>
      </c>
      <c r="R274">
        <f t="shared" si="966"/>
        <v>1340852161.463201</v>
      </c>
      <c r="S274">
        <f t="shared" si="967"/>
        <v>13408.521614632011</v>
      </c>
      <c r="T274">
        <f t="shared" si="968"/>
        <v>13.408521614632011</v>
      </c>
    </row>
    <row r="275" spans="1:20" x14ac:dyDescent="0.25">
      <c r="A275" s="5">
        <v>44318</v>
      </c>
      <c r="B275">
        <v>0.13106999999999999</v>
      </c>
      <c r="C275">
        <v>0.1323</v>
      </c>
      <c r="D275">
        <v>0.12413</v>
      </c>
      <c r="E275">
        <v>0.12817999999999999</v>
      </c>
      <c r="F275">
        <v>54049321.600000001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-8.5679314565518232E-3</v>
      </c>
      <c r="Q275">
        <f t="shared" si="965"/>
        <v>-463090.88274192595</v>
      </c>
      <c r="R275">
        <f t="shared" si="966"/>
        <v>1369143701.5865097</v>
      </c>
      <c r="S275">
        <f t="shared" si="967"/>
        <v>13691.437015865096</v>
      </c>
      <c r="T275">
        <f t="shared" si="968"/>
        <v>13.691437015865096</v>
      </c>
    </row>
    <row r="276" spans="1:20" x14ac:dyDescent="0.25">
      <c r="A276" s="5">
        <v>44317</v>
      </c>
      <c r="B276">
        <v>0.1308</v>
      </c>
      <c r="C276">
        <v>0.1348</v>
      </c>
      <c r="D276">
        <v>0.12767000000000001</v>
      </c>
      <c r="E276">
        <v>0.13106000000000001</v>
      </c>
      <c r="F276">
        <v>68689455.5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-4.9088359046281817E-2</v>
      </c>
      <c r="Q276">
        <f t="shared" si="965"/>
        <v>-3371852.6542775971</v>
      </c>
      <c r="R276">
        <f t="shared" si="966"/>
        <v>1369606792.4692516</v>
      </c>
      <c r="S276">
        <f t="shared" si="967"/>
        <v>13696.067924692516</v>
      </c>
      <c r="T276">
        <f t="shared" si="968"/>
        <v>13.696067924692516</v>
      </c>
    </row>
    <row r="277" spans="1:20" x14ac:dyDescent="0.25">
      <c r="A277" s="5">
        <v>44316</v>
      </c>
      <c r="B277">
        <v>0.12197</v>
      </c>
      <c r="C277">
        <v>0.13147</v>
      </c>
      <c r="D277">
        <v>0.11855</v>
      </c>
      <c r="E277">
        <v>0.13072</v>
      </c>
      <c r="F277">
        <v>65797413.399999999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0.88390092879256954</v>
      </c>
      <c r="Q277">
        <f t="shared" si="965"/>
        <v>58158394.816408657</v>
      </c>
      <c r="R277">
        <f t="shared" si="966"/>
        <v>1372978645.1235292</v>
      </c>
      <c r="S277">
        <f t="shared" si="967"/>
        <v>13729.786451235292</v>
      </c>
      <c r="T277">
        <f t="shared" si="968"/>
        <v>13.729786451235292</v>
      </c>
    </row>
    <row r="278" spans="1:20" x14ac:dyDescent="0.25">
      <c r="A278" s="5">
        <v>44315</v>
      </c>
      <c r="B278">
        <v>0.12307999999999999</v>
      </c>
      <c r="C278">
        <v>0.12620000000000001</v>
      </c>
      <c r="D278">
        <v>0.11693000000000001</v>
      </c>
      <c r="E278">
        <v>0.12207999999999999</v>
      </c>
      <c r="F278">
        <v>48325422.5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0.11111111111110845</v>
      </c>
      <c r="Q278">
        <f t="shared" si="965"/>
        <v>5369491.3888887605</v>
      </c>
      <c r="R278">
        <f t="shared" si="966"/>
        <v>1314820250.3071206</v>
      </c>
      <c r="S278">
        <f t="shared" si="967"/>
        <v>13148.202503071205</v>
      </c>
      <c r="T278">
        <f t="shared" si="968"/>
        <v>13.148202503071206</v>
      </c>
    </row>
    <row r="279" spans="1:20" x14ac:dyDescent="0.25">
      <c r="A279" s="5">
        <v>44314</v>
      </c>
      <c r="B279">
        <v>0.12814</v>
      </c>
      <c r="C279">
        <v>0.13203000000000001</v>
      </c>
      <c r="D279">
        <v>0.11583</v>
      </c>
      <c r="E279">
        <v>0.12325999999999999</v>
      </c>
      <c r="F279">
        <v>75073319.200000003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-8.2716049382717358E-2</v>
      </c>
      <c r="Q279">
        <f t="shared" si="965"/>
        <v>-6209768.3782717036</v>
      </c>
      <c r="R279">
        <f t="shared" si="966"/>
        <v>1309450758.9182317</v>
      </c>
      <c r="S279">
        <f t="shared" si="967"/>
        <v>13094.507589182318</v>
      </c>
      <c r="T279">
        <f t="shared" si="968"/>
        <v>13.094507589182317</v>
      </c>
    </row>
    <row r="280" spans="1:20" x14ac:dyDescent="0.25">
      <c r="A280" s="5">
        <v>44313</v>
      </c>
      <c r="B280">
        <v>0.12010999999999999</v>
      </c>
      <c r="C280">
        <v>0.13106000000000001</v>
      </c>
      <c r="D280">
        <v>0.11799999999999999</v>
      </c>
      <c r="E280">
        <v>0.12795000000000001</v>
      </c>
      <c r="F280">
        <v>73447247.599999994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0.523736600306279</v>
      </c>
      <c r="Q280">
        <f t="shared" si="965"/>
        <v>38467011.759877503</v>
      </c>
      <c r="R280">
        <f t="shared" si="966"/>
        <v>1315660527.2965035</v>
      </c>
      <c r="S280">
        <f t="shared" si="967"/>
        <v>13156.605272965035</v>
      </c>
      <c r="T280">
        <f t="shared" si="968"/>
        <v>13.156605272965034</v>
      </c>
    </row>
    <row r="281" spans="1:20" x14ac:dyDescent="0.25">
      <c r="A281" s="5">
        <v>44312</v>
      </c>
      <c r="B281">
        <v>0.10195</v>
      </c>
      <c r="C281">
        <v>0.12053999999999999</v>
      </c>
      <c r="D281">
        <v>0.10051</v>
      </c>
      <c r="E281">
        <v>0.1201</v>
      </c>
      <c r="F281">
        <v>93297210.700000003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0.95606590114827794</v>
      </c>
      <c r="Q281">
        <f t="shared" si="965"/>
        <v>89198281.822516263</v>
      </c>
      <c r="R281">
        <f t="shared" si="966"/>
        <v>1277193515.5366261</v>
      </c>
      <c r="S281">
        <f t="shared" si="967"/>
        <v>12771.935155366262</v>
      </c>
      <c r="T281">
        <f t="shared" si="968"/>
        <v>12.771935155366261</v>
      </c>
    </row>
    <row r="282" spans="1:20" x14ac:dyDescent="0.25">
      <c r="A282" s="5">
        <v>44311</v>
      </c>
      <c r="B282">
        <v>0.10188</v>
      </c>
      <c r="C282">
        <v>0.11174000000000001</v>
      </c>
      <c r="D282">
        <v>9.5659999999999995E-2</v>
      </c>
      <c r="E282">
        <v>0.10199999999999999</v>
      </c>
      <c r="F282">
        <v>79074929.200000003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-0.21144278606965247</v>
      </c>
      <c r="Q282">
        <f t="shared" si="965"/>
        <v>-16719823.338308517</v>
      </c>
      <c r="R282">
        <f t="shared" si="966"/>
        <v>1187995233.7141099</v>
      </c>
      <c r="S282">
        <f t="shared" si="967"/>
        <v>11879.9523371411</v>
      </c>
      <c r="T282">
        <f t="shared" si="968"/>
        <v>11.8799523371411</v>
      </c>
    </row>
    <row r="283" spans="1:20" x14ac:dyDescent="0.25">
      <c r="A283" s="5">
        <v>44310</v>
      </c>
      <c r="B283">
        <v>0.10715</v>
      </c>
      <c r="C283">
        <v>0.11998</v>
      </c>
      <c r="D283">
        <v>9.8919999999999994E-2</v>
      </c>
      <c r="E283">
        <v>0.10186000000000001</v>
      </c>
      <c r="F283">
        <v>134750472.19999999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-0.72079772079771975</v>
      </c>
      <c r="Q283">
        <f t="shared" si="965"/>
        <v>-97127833.238176495</v>
      </c>
      <c r="R283">
        <f t="shared" si="966"/>
        <v>1204715057.0524185</v>
      </c>
      <c r="S283">
        <f t="shared" si="967"/>
        <v>12047.150570524185</v>
      </c>
      <c r="T283">
        <f t="shared" si="968"/>
        <v>12.047150570524185</v>
      </c>
    </row>
    <row r="284" spans="1:20" x14ac:dyDescent="0.25">
      <c r="A284" s="5">
        <v>44309</v>
      </c>
      <c r="B284">
        <v>0.10913</v>
      </c>
      <c r="C284">
        <v>0.11094999999999999</v>
      </c>
      <c r="D284">
        <v>8.3409999999999998E-2</v>
      </c>
      <c r="E284">
        <v>0.10722</v>
      </c>
      <c r="F284">
        <v>177742947.09999999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0.72912127814088612</v>
      </c>
      <c r="Q284">
        <f t="shared" si="965"/>
        <v>129596164.77007991</v>
      </c>
      <c r="R284">
        <f t="shared" si="966"/>
        <v>1301842890.2905951</v>
      </c>
      <c r="S284">
        <f t="shared" si="967"/>
        <v>13018.428902905951</v>
      </c>
      <c r="T284">
        <f t="shared" si="968"/>
        <v>13.018428902905951</v>
      </c>
    </row>
    <row r="285" spans="1:20" x14ac:dyDescent="0.25">
      <c r="A285" s="5">
        <v>44308</v>
      </c>
      <c r="B285">
        <v>0.12906999999999999</v>
      </c>
      <c r="C285">
        <v>0.13192000000000001</v>
      </c>
      <c r="D285">
        <v>0.10846</v>
      </c>
      <c r="E285">
        <v>0.10918</v>
      </c>
      <c r="F285">
        <v>146146828.40000001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-0.93861892583120221</v>
      </c>
      <c r="Q285">
        <f t="shared" si="965"/>
        <v>-137176179.08644503</v>
      </c>
      <c r="R285">
        <f t="shared" si="966"/>
        <v>1172246725.5205152</v>
      </c>
      <c r="S285">
        <f t="shared" si="967"/>
        <v>11722.467255205152</v>
      </c>
      <c r="T285">
        <f t="shared" si="968"/>
        <v>11.722467255205153</v>
      </c>
    </row>
    <row r="286" spans="1:20" x14ac:dyDescent="0.25">
      <c r="A286" s="5">
        <v>44307</v>
      </c>
      <c r="B286">
        <v>0.13815</v>
      </c>
      <c r="C286">
        <v>0.14099999999999999</v>
      </c>
      <c r="D286">
        <v>0.12875</v>
      </c>
      <c r="E286">
        <v>0.12906999999999999</v>
      </c>
      <c r="F286">
        <v>76408482.400000006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-0.94775510204081836</v>
      </c>
      <c r="Q286">
        <f t="shared" si="965"/>
        <v>-72416529.033796087</v>
      </c>
      <c r="R286">
        <f t="shared" si="966"/>
        <v>1309422904.6069603</v>
      </c>
      <c r="S286">
        <f t="shared" si="967"/>
        <v>13094.229046069602</v>
      </c>
      <c r="T286">
        <f t="shared" si="968"/>
        <v>13.094229046069602</v>
      </c>
    </row>
    <row r="287" spans="1:20" x14ac:dyDescent="0.25">
      <c r="A287" s="5">
        <v>44306</v>
      </c>
      <c r="B287">
        <v>0.1389</v>
      </c>
      <c r="C287">
        <v>0.14232</v>
      </c>
      <c r="D287">
        <v>0.12217</v>
      </c>
      <c r="E287">
        <v>0.13814000000000001</v>
      </c>
      <c r="F287">
        <v>141225051.80000001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0.58511166253101843</v>
      </c>
      <c r="Q287">
        <f t="shared" si="965"/>
        <v>82632424.849727198</v>
      </c>
      <c r="R287">
        <f t="shared" si="966"/>
        <v>1381839433.6407564</v>
      </c>
      <c r="S287">
        <f t="shared" si="967"/>
        <v>13818.394336407564</v>
      </c>
      <c r="T287">
        <f t="shared" si="968"/>
        <v>13.818394336407565</v>
      </c>
    </row>
    <row r="288" spans="1:20" x14ac:dyDescent="0.25">
      <c r="A288" s="5">
        <v>44305</v>
      </c>
      <c r="B288">
        <v>0.15747</v>
      </c>
      <c r="C288">
        <v>0.16059000000000001</v>
      </c>
      <c r="D288">
        <v>0.13694999999999999</v>
      </c>
      <c r="E288">
        <v>0.13886000000000001</v>
      </c>
      <c r="F288">
        <v>127697458.40000001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-0.8384094754653113</v>
      </c>
      <c r="Q288">
        <f t="shared" si="965"/>
        <v>-107062759.11539741</v>
      </c>
      <c r="R288">
        <f t="shared" si="966"/>
        <v>1299207008.7910292</v>
      </c>
      <c r="S288">
        <f t="shared" si="967"/>
        <v>12992.070087910291</v>
      </c>
      <c r="T288">
        <f t="shared" si="968"/>
        <v>12.992070087910291</v>
      </c>
    </row>
    <row r="289" spans="1:20" x14ac:dyDescent="0.25">
      <c r="A289" s="5">
        <v>44304</v>
      </c>
      <c r="B289">
        <v>0.1638</v>
      </c>
      <c r="C289">
        <v>0.16591</v>
      </c>
      <c r="D289">
        <v>0.12775</v>
      </c>
      <c r="E289">
        <v>0.15742999999999999</v>
      </c>
      <c r="F289">
        <v>166156052.80000001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0.55555555555555469</v>
      </c>
      <c r="Q289">
        <f t="shared" si="965"/>
        <v>92308918.22222209</v>
      </c>
      <c r="R289">
        <f t="shared" si="966"/>
        <v>1406269767.9064267</v>
      </c>
      <c r="S289">
        <f t="shared" si="967"/>
        <v>14062.697679064268</v>
      </c>
      <c r="T289">
        <f t="shared" si="968"/>
        <v>14.062697679064268</v>
      </c>
    </row>
    <row r="290" spans="1:20" x14ac:dyDescent="0.25">
      <c r="A290" s="5">
        <v>44303</v>
      </c>
      <c r="B290">
        <v>0.16833000000000001</v>
      </c>
      <c r="C290">
        <v>0.18715999999999999</v>
      </c>
      <c r="D290">
        <v>0.16242999999999999</v>
      </c>
      <c r="E290">
        <v>0.16400000000000001</v>
      </c>
      <c r="F290">
        <v>191641635.40000001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-0.87302871006874116</v>
      </c>
      <c r="Q290">
        <f t="shared" si="965"/>
        <v>-167308649.74872601</v>
      </c>
      <c r="R290">
        <f t="shared" si="966"/>
        <v>1313960849.6842046</v>
      </c>
      <c r="S290">
        <f t="shared" si="967"/>
        <v>13139.608496842045</v>
      </c>
      <c r="T290">
        <f t="shared" si="968"/>
        <v>13.139608496842046</v>
      </c>
    </row>
    <row r="291" spans="1:20" x14ac:dyDescent="0.25">
      <c r="A291" s="5">
        <v>44302</v>
      </c>
      <c r="B291">
        <v>0.17735999999999999</v>
      </c>
      <c r="C291">
        <v>0.18467</v>
      </c>
      <c r="D291">
        <v>0.14948</v>
      </c>
      <c r="E291">
        <v>0.16825000000000001</v>
      </c>
      <c r="F291">
        <v>267012697.80000001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6.6780335322535342E-2</v>
      </c>
      <c r="Q291">
        <f t="shared" si="965"/>
        <v>17831197.494458795</v>
      </c>
      <c r="R291">
        <f t="shared" si="966"/>
        <v>1481269499.4329305</v>
      </c>
      <c r="S291">
        <f t="shared" si="967"/>
        <v>14812.694994329304</v>
      </c>
      <c r="T291">
        <f t="shared" si="968"/>
        <v>14.812694994329304</v>
      </c>
    </row>
    <row r="292" spans="1:20" x14ac:dyDescent="0.25">
      <c r="A292" s="5">
        <v>44301</v>
      </c>
      <c r="B292">
        <v>0.14860000000000001</v>
      </c>
      <c r="C292">
        <v>0.18739</v>
      </c>
      <c r="D292">
        <v>0.14366000000000001</v>
      </c>
      <c r="E292">
        <v>0.17741000000000001</v>
      </c>
      <c r="F292">
        <v>388147995.19999999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0.54356277155271027</v>
      </c>
      <c r="Q292">
        <f t="shared" si="965"/>
        <v>210982800.04354006</v>
      </c>
      <c r="R292">
        <f t="shared" si="966"/>
        <v>1463438301.9384718</v>
      </c>
      <c r="S292">
        <f t="shared" si="967"/>
        <v>14634.383019384717</v>
      </c>
      <c r="T292">
        <f t="shared" si="968"/>
        <v>14.634383019384718</v>
      </c>
    </row>
    <row r="293" spans="1:20" x14ac:dyDescent="0.25">
      <c r="A293" s="5">
        <v>44300</v>
      </c>
      <c r="B293">
        <v>0.14946000000000001</v>
      </c>
      <c r="C293">
        <v>0.16131999999999999</v>
      </c>
      <c r="D293">
        <v>0.14068</v>
      </c>
      <c r="E293">
        <v>0.14879000000000001</v>
      </c>
      <c r="F293">
        <v>197314958.09999999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-0.21414728682170453</v>
      </c>
      <c r="Q293">
        <f t="shared" si="965"/>
        <v>-42254462.926453307</v>
      </c>
      <c r="R293">
        <f t="shared" si="966"/>
        <v>1252455501.8949318</v>
      </c>
      <c r="S293">
        <f t="shared" si="967"/>
        <v>12524.555018949319</v>
      </c>
      <c r="T293">
        <f t="shared" si="968"/>
        <v>12.524555018949318</v>
      </c>
    </row>
    <row r="294" spans="1:20" x14ac:dyDescent="0.25">
      <c r="A294" s="5">
        <v>44299</v>
      </c>
      <c r="B294">
        <v>0.14116000000000001</v>
      </c>
      <c r="C294">
        <v>0.1575</v>
      </c>
      <c r="D294">
        <v>0.13880000000000001</v>
      </c>
      <c r="E294">
        <v>0.14949999999999999</v>
      </c>
      <c r="F294">
        <v>189204988.40000001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0.14438502673796691</v>
      </c>
      <c r="Q294">
        <f t="shared" si="965"/>
        <v>27318367.309090719</v>
      </c>
      <c r="R294">
        <f t="shared" si="966"/>
        <v>1294709964.8213851</v>
      </c>
      <c r="S294">
        <f t="shared" si="967"/>
        <v>12947.099648213851</v>
      </c>
      <c r="T294">
        <f t="shared" si="968"/>
        <v>12.94709964821385</v>
      </c>
    </row>
    <row r="295" spans="1:20" x14ac:dyDescent="0.25">
      <c r="A295" s="5">
        <v>44298</v>
      </c>
      <c r="B295">
        <v>0.14166999999999999</v>
      </c>
      <c r="C295">
        <v>0.15326999999999999</v>
      </c>
      <c r="D295">
        <v>0.13946</v>
      </c>
      <c r="E295">
        <v>0.14118</v>
      </c>
      <c r="F295">
        <v>177370581.59999999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-0.75090514120202745</v>
      </c>
      <c r="Q295">
        <f t="shared" si="965"/>
        <v>-133188481.62143372</v>
      </c>
      <c r="R295">
        <f t="shared" si="966"/>
        <v>1267391597.5122945</v>
      </c>
      <c r="S295">
        <f t="shared" si="967"/>
        <v>12673.915975122945</v>
      </c>
      <c r="T295">
        <f t="shared" si="968"/>
        <v>12.673915975122945</v>
      </c>
    </row>
    <row r="296" spans="1:20" x14ac:dyDescent="0.25">
      <c r="A296" s="5">
        <v>44297</v>
      </c>
      <c r="B296">
        <v>0.15229000000000001</v>
      </c>
      <c r="C296">
        <v>0.15326999999999999</v>
      </c>
      <c r="D296">
        <v>0.13608999999999999</v>
      </c>
      <c r="E296">
        <v>0.14144000000000001</v>
      </c>
      <c r="F296">
        <v>152472432.40000001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-0.37718277066355982</v>
      </c>
      <c r="Q296">
        <f t="shared" si="965"/>
        <v>-57509974.502444327</v>
      </c>
      <c r="R296">
        <f t="shared" si="966"/>
        <v>1400580079.1337283</v>
      </c>
      <c r="S296">
        <f t="shared" si="967"/>
        <v>14005.800791337282</v>
      </c>
      <c r="T296">
        <f t="shared" si="968"/>
        <v>14.005800791337283</v>
      </c>
    </row>
    <row r="297" spans="1:20" x14ac:dyDescent="0.25">
      <c r="A297" s="5">
        <v>44296</v>
      </c>
      <c r="B297">
        <v>0.14213999999999999</v>
      </c>
      <c r="C297">
        <v>0.15312999999999999</v>
      </c>
      <c r="D297">
        <v>0.13741</v>
      </c>
      <c r="E297">
        <v>0.15204999999999999</v>
      </c>
      <c r="F297">
        <v>174281195.90000001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0.86259541984732846</v>
      </c>
      <c r="Q297">
        <f t="shared" si="965"/>
        <v>150334161.34885502</v>
      </c>
      <c r="R297">
        <f t="shared" si="966"/>
        <v>1458090053.6361725</v>
      </c>
      <c r="S297">
        <f t="shared" si="967"/>
        <v>14580.900536361725</v>
      </c>
      <c r="T297">
        <f t="shared" si="968"/>
        <v>14.580900536361725</v>
      </c>
    </row>
    <row r="298" spans="1:20" x14ac:dyDescent="0.25">
      <c r="A298" s="5">
        <v>44295</v>
      </c>
      <c r="B298">
        <v>0.14305999999999999</v>
      </c>
      <c r="C298">
        <v>0.14535999999999999</v>
      </c>
      <c r="D298">
        <v>0.13628999999999999</v>
      </c>
      <c r="E298">
        <v>0.14213999999999999</v>
      </c>
      <c r="F298">
        <v>127999921.09999999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0.28996692392502699</v>
      </c>
      <c r="Q298">
        <f t="shared" si="965"/>
        <v>37115743.384013154</v>
      </c>
      <c r="R298">
        <f t="shared" si="966"/>
        <v>1307755892.2873175</v>
      </c>
      <c r="S298">
        <f t="shared" si="967"/>
        <v>13077.558922873175</v>
      </c>
      <c r="T298">
        <f t="shared" si="968"/>
        <v>13.077558922873175</v>
      </c>
    </row>
    <row r="299" spans="1:20" x14ac:dyDescent="0.25">
      <c r="A299" s="5">
        <v>44294</v>
      </c>
      <c r="B299">
        <v>0.12711</v>
      </c>
      <c r="C299">
        <v>0.14545</v>
      </c>
      <c r="D299">
        <v>0.12553</v>
      </c>
      <c r="E299">
        <v>0.14343</v>
      </c>
      <c r="F299">
        <v>147100246.09999999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0.79718875502008091</v>
      </c>
      <c r="Q299">
        <f t="shared" si="965"/>
        <v>117266662.05160651</v>
      </c>
      <c r="R299">
        <f t="shared" si="966"/>
        <v>1270640148.9033043</v>
      </c>
      <c r="S299">
        <f t="shared" si="967"/>
        <v>12706.401489033044</v>
      </c>
      <c r="T299">
        <f t="shared" si="968"/>
        <v>12.706401489033043</v>
      </c>
    </row>
    <row r="300" spans="1:20" x14ac:dyDescent="0.25">
      <c r="A300" s="5">
        <v>44293</v>
      </c>
      <c r="B300">
        <v>0.15149000000000001</v>
      </c>
      <c r="C300">
        <v>0.15387000000000001</v>
      </c>
      <c r="D300">
        <v>0.11743000000000001</v>
      </c>
      <c r="E300">
        <v>0.12670999999999999</v>
      </c>
      <c r="F300">
        <v>287471915.10000002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-0.49066959385290987</v>
      </c>
      <c r="Q300">
        <f t="shared" si="965"/>
        <v>-141053727.8262352</v>
      </c>
      <c r="R300">
        <f t="shared" si="966"/>
        <v>1153373486.8516979</v>
      </c>
      <c r="S300">
        <f t="shared" si="967"/>
        <v>11533.73486851698</v>
      </c>
      <c r="T300">
        <f t="shared" si="968"/>
        <v>11.53373486851698</v>
      </c>
    </row>
    <row r="301" spans="1:20" x14ac:dyDescent="0.25">
      <c r="A301" s="5">
        <v>44292</v>
      </c>
      <c r="B301">
        <v>0.16719000000000001</v>
      </c>
      <c r="C301">
        <v>0.16908999999999999</v>
      </c>
      <c r="D301">
        <v>0.13600000000000001</v>
      </c>
      <c r="E301">
        <v>0.15126000000000001</v>
      </c>
      <c r="F301">
        <v>301052851.39999998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-7.7666968872770942E-2</v>
      </c>
      <c r="Q301">
        <f t="shared" si="965"/>
        <v>-23381862.438742734</v>
      </c>
      <c r="R301">
        <f t="shared" si="966"/>
        <v>1294427214.6779332</v>
      </c>
      <c r="S301">
        <f t="shared" si="967"/>
        <v>12944.272146779333</v>
      </c>
      <c r="T301">
        <f t="shared" si="968"/>
        <v>12.944272146779333</v>
      </c>
    </row>
    <row r="302" spans="1:20" x14ac:dyDescent="0.25">
      <c r="A302" s="5">
        <v>44291</v>
      </c>
      <c r="B302">
        <v>0.16961999999999999</v>
      </c>
      <c r="C302">
        <v>0.20199</v>
      </c>
      <c r="D302">
        <v>0.16435</v>
      </c>
      <c r="E302">
        <v>0.16733000000000001</v>
      </c>
      <c r="F302">
        <v>405033399.30000001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-0.84165781083953184</v>
      </c>
      <c r="Q302">
        <f t="shared" si="965"/>
        <v>-340899524.17173195</v>
      </c>
      <c r="R302">
        <f t="shared" si="966"/>
        <v>1317809077.1166759</v>
      </c>
      <c r="S302">
        <f t="shared" si="967"/>
        <v>13178.090771166759</v>
      </c>
      <c r="T302">
        <f t="shared" si="968"/>
        <v>13.178090771166758</v>
      </c>
    </row>
    <row r="303" spans="1:20" x14ac:dyDescent="0.25">
      <c r="A303" s="5">
        <v>44290</v>
      </c>
      <c r="B303">
        <v>0.13216</v>
      </c>
      <c r="C303">
        <v>0.17100000000000001</v>
      </c>
      <c r="D303">
        <v>0.12931000000000001</v>
      </c>
      <c r="E303">
        <v>0.16985</v>
      </c>
      <c r="F303">
        <v>394465714.30000001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0.94483089469896797</v>
      </c>
      <c r="Q303">
        <f t="shared" si="965"/>
        <v>372703393.77013648</v>
      </c>
      <c r="R303">
        <f t="shared" si="966"/>
        <v>1658708601.2884078</v>
      </c>
      <c r="S303">
        <f t="shared" si="967"/>
        <v>16587.08601288408</v>
      </c>
      <c r="T303">
        <f t="shared" si="968"/>
        <v>16.587086012884079</v>
      </c>
    </row>
    <row r="304" spans="1:20" x14ac:dyDescent="0.25">
      <c r="A304" s="5">
        <v>44289</v>
      </c>
      <c r="B304">
        <v>0.12862000000000001</v>
      </c>
      <c r="C304">
        <v>0.15489</v>
      </c>
      <c r="D304">
        <v>0.12216</v>
      </c>
      <c r="E304">
        <v>0.13172</v>
      </c>
      <c r="F304">
        <v>401055272.10000002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-0.41582645890620223</v>
      </c>
      <c r="Q304">
        <f t="shared" si="965"/>
        <v>-166769393.6230064</v>
      </c>
      <c r="R304">
        <f t="shared" si="966"/>
        <v>1286005207.5182714</v>
      </c>
      <c r="S304">
        <f t="shared" si="967"/>
        <v>12860.052075182715</v>
      </c>
      <c r="T304">
        <f t="shared" si="968"/>
        <v>12.860052075182715</v>
      </c>
    </row>
    <row r="305" spans="1:20" x14ac:dyDescent="0.25">
      <c r="A305" s="5">
        <v>44288</v>
      </c>
      <c r="B305">
        <v>0.12384000000000001</v>
      </c>
      <c r="C305">
        <v>0.13250000000000001</v>
      </c>
      <c r="D305">
        <v>0.12167</v>
      </c>
      <c r="E305">
        <v>0.12873000000000001</v>
      </c>
      <c r="F305">
        <v>156771295.59999999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0.30378578024007508</v>
      </c>
      <c r="Q305">
        <f t="shared" si="965"/>
        <v>47624890.353093445</v>
      </c>
      <c r="R305">
        <f t="shared" si="966"/>
        <v>1452774601.1412778</v>
      </c>
      <c r="S305">
        <f t="shared" si="967"/>
        <v>14527.746011412777</v>
      </c>
      <c r="T305">
        <f t="shared" si="968"/>
        <v>14.527746011412777</v>
      </c>
    </row>
    <row r="306" spans="1:20" x14ac:dyDescent="0.25">
      <c r="A306" s="5">
        <v>44287</v>
      </c>
      <c r="B306">
        <v>0.13320000000000001</v>
      </c>
      <c r="C306">
        <v>0.14199999999999999</v>
      </c>
      <c r="D306">
        <v>0.12094000000000001</v>
      </c>
      <c r="E306">
        <v>0.12384000000000001</v>
      </c>
      <c r="F306">
        <v>346711954.60000002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-0.72459639126305775</v>
      </c>
      <c r="Q306">
        <f t="shared" si="965"/>
        <v>-251226231.11092114</v>
      </c>
      <c r="R306">
        <f t="shared" si="966"/>
        <v>1405149710.7881844</v>
      </c>
      <c r="S306">
        <f t="shared" si="967"/>
        <v>14051.497107881843</v>
      </c>
      <c r="T306">
        <f t="shared" si="968"/>
        <v>14.051497107881843</v>
      </c>
    </row>
    <row r="307" spans="1:20" x14ac:dyDescent="0.25">
      <c r="A307" s="5">
        <v>44286</v>
      </c>
      <c r="B307">
        <v>0.1</v>
      </c>
      <c r="C307">
        <v>0.14990000000000001</v>
      </c>
      <c r="D307">
        <v>9.6920000000000006E-2</v>
      </c>
      <c r="E307">
        <v>0.13305</v>
      </c>
      <c r="F307">
        <v>758738312.10000002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0.36391090977727431</v>
      </c>
      <c r="Q307">
        <f t="shared" si="965"/>
        <v>276113149.43918449</v>
      </c>
      <c r="R307">
        <f t="shared" si="966"/>
        <v>1656375941.8991055</v>
      </c>
      <c r="S307">
        <f t="shared" si="967"/>
        <v>16563.759418991056</v>
      </c>
      <c r="T307">
        <f t="shared" si="968"/>
        <v>16.563759418991054</v>
      </c>
    </row>
    <row r="308" spans="1:20" x14ac:dyDescent="0.25">
      <c r="A308" s="5">
        <v>44285</v>
      </c>
      <c r="B308">
        <v>9.4570000000000001E-2</v>
      </c>
      <c r="C308">
        <v>0.1014</v>
      </c>
      <c r="D308">
        <v>9.3679999999999999E-2</v>
      </c>
      <c r="E308">
        <v>0.10011</v>
      </c>
      <c r="F308">
        <v>103124328.59999999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0.66580310880829052</v>
      </c>
      <c r="Q308">
        <f t="shared" si="965"/>
        <v>68660498.575647697</v>
      </c>
      <c r="R308">
        <f t="shared" si="966"/>
        <v>1380262792.4599211</v>
      </c>
      <c r="S308">
        <f t="shared" si="967"/>
        <v>13802.627924599212</v>
      </c>
      <c r="T308">
        <f t="shared" si="968"/>
        <v>13.802627924599213</v>
      </c>
    </row>
    <row r="309" spans="1:20" x14ac:dyDescent="0.25">
      <c r="A309" s="5">
        <v>44284</v>
      </c>
      <c r="B309">
        <v>9.2520000000000005E-2</v>
      </c>
      <c r="C309">
        <v>9.5280000000000004E-2</v>
      </c>
      <c r="D309">
        <v>9.0800000000000006E-2</v>
      </c>
      <c r="E309">
        <v>9.4719999999999999E-2</v>
      </c>
      <c r="F309">
        <v>87906987.799999997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0.74999999999999767</v>
      </c>
      <c r="Q309">
        <f t="shared" si="965"/>
        <v>65930240.849999793</v>
      </c>
      <c r="R309">
        <f t="shared" si="966"/>
        <v>1311602293.8842735</v>
      </c>
      <c r="S309">
        <f t="shared" si="967"/>
        <v>13116.022938842736</v>
      </c>
      <c r="T309">
        <f t="shared" si="968"/>
        <v>13.116022938842736</v>
      </c>
    </row>
    <row r="310" spans="1:20" x14ac:dyDescent="0.25">
      <c r="A310" s="5">
        <v>44283</v>
      </c>
      <c r="B310">
        <v>9.2780000000000001E-2</v>
      </c>
      <c r="C310">
        <v>9.7259999999999999E-2</v>
      </c>
      <c r="D310">
        <v>8.9630000000000001E-2</v>
      </c>
      <c r="E310">
        <v>9.2450000000000004E-2</v>
      </c>
      <c r="F310">
        <v>117957903.7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-0.26081258191349832</v>
      </c>
      <c r="Q310">
        <f t="shared" si="965"/>
        <v>-30764905.421100799</v>
      </c>
      <c r="R310">
        <f t="shared" si="966"/>
        <v>1245672053.0342736</v>
      </c>
      <c r="S310">
        <f t="shared" si="967"/>
        <v>12456.720530342736</v>
      </c>
      <c r="T310">
        <f t="shared" si="968"/>
        <v>12.456720530342736</v>
      </c>
    </row>
    <row r="311" spans="1:20" x14ac:dyDescent="0.25">
      <c r="A311" s="5">
        <v>44282</v>
      </c>
      <c r="B311">
        <v>8.8950000000000001E-2</v>
      </c>
      <c r="C311">
        <v>9.5210000000000003E-2</v>
      </c>
      <c r="D311">
        <v>8.6980000000000002E-2</v>
      </c>
      <c r="E311">
        <v>9.2780000000000001E-2</v>
      </c>
      <c r="F311">
        <v>130060868.09999999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0.40947752126366921</v>
      </c>
      <c r="Q311">
        <f t="shared" si="965"/>
        <v>53257001.882989027</v>
      </c>
      <c r="R311">
        <f t="shared" si="966"/>
        <v>1276436958.4553745</v>
      </c>
      <c r="S311">
        <f t="shared" si="967"/>
        <v>12764.369584553744</v>
      </c>
      <c r="T311">
        <f t="shared" si="968"/>
        <v>12.764369584553744</v>
      </c>
    </row>
    <row r="312" spans="1:20" x14ac:dyDescent="0.25">
      <c r="A312" s="5">
        <v>44281</v>
      </c>
      <c r="B312">
        <v>7.8009999999999996E-2</v>
      </c>
      <c r="C312">
        <v>9.0759999999999993E-2</v>
      </c>
      <c r="D312">
        <v>7.7829999999999996E-2</v>
      </c>
      <c r="E312">
        <v>8.8959999999999997E-2</v>
      </c>
      <c r="F312">
        <v>134323304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0.72157772621809801</v>
      </c>
      <c r="Q312">
        <f t="shared" si="965"/>
        <v>96924704.278422356</v>
      </c>
      <c r="R312">
        <f t="shared" si="966"/>
        <v>1223179956.5723855</v>
      </c>
      <c r="S312">
        <f t="shared" si="967"/>
        <v>12231.799565723855</v>
      </c>
      <c r="T312">
        <f t="shared" si="968"/>
        <v>12.231799565723856</v>
      </c>
    </row>
    <row r="313" spans="1:20" x14ac:dyDescent="0.25">
      <c r="A313" s="5">
        <v>44280</v>
      </c>
      <c r="B313">
        <v>8.0750000000000002E-2</v>
      </c>
      <c r="C313">
        <v>8.2150000000000001E-2</v>
      </c>
      <c r="D313">
        <v>7.2760000000000005E-2</v>
      </c>
      <c r="E313">
        <v>7.8340000000000007E-2</v>
      </c>
      <c r="F313">
        <v>159532518.59999999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0.18849840255591144</v>
      </c>
      <c r="Q313">
        <f t="shared" si="965"/>
        <v>30071624.911821228</v>
      </c>
      <c r="R313">
        <f t="shared" si="966"/>
        <v>1126255252.2939632</v>
      </c>
      <c r="S313">
        <f t="shared" si="967"/>
        <v>11262.552522939632</v>
      </c>
      <c r="T313">
        <f t="shared" si="968"/>
        <v>11.262552522939632</v>
      </c>
    </row>
    <row r="314" spans="1:20" x14ac:dyDescent="0.25">
      <c r="A314" s="5">
        <v>44279</v>
      </c>
      <c r="B314">
        <v>9.1730000000000006E-2</v>
      </c>
      <c r="C314">
        <v>9.5890000000000003E-2</v>
      </c>
      <c r="D314">
        <v>8.0060000000000006E-2</v>
      </c>
      <c r="E314">
        <v>8.072E-2</v>
      </c>
      <c r="F314">
        <v>157579671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-0.91661402400505443</v>
      </c>
      <c r="Q314">
        <f t="shared" si="965"/>
        <v>-144439736.33670259</v>
      </c>
      <c r="R314">
        <f t="shared" si="966"/>
        <v>1096183627.3821421</v>
      </c>
      <c r="S314">
        <f t="shared" si="967"/>
        <v>10961.83627382142</v>
      </c>
      <c r="T314">
        <f t="shared" si="968"/>
        <v>10.961836273821421</v>
      </c>
    </row>
    <row r="315" spans="1:20" x14ac:dyDescent="0.25">
      <c r="A315" s="5">
        <v>44278</v>
      </c>
      <c r="B315">
        <v>9.2700000000000005E-2</v>
      </c>
      <c r="C315">
        <v>9.7390000000000004E-2</v>
      </c>
      <c r="D315">
        <v>8.4229999999999999E-2</v>
      </c>
      <c r="E315">
        <v>9.1639999999999999E-2</v>
      </c>
      <c r="F315">
        <v>207852841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0.12613981762917889</v>
      </c>
      <c r="Q315">
        <f t="shared" si="965"/>
        <v>26218519.457446717</v>
      </c>
      <c r="R315">
        <f t="shared" si="966"/>
        <v>1240623363.7188447</v>
      </c>
      <c r="S315">
        <f t="shared" si="967"/>
        <v>12406.233637188447</v>
      </c>
      <c r="T315">
        <f t="shared" si="968"/>
        <v>12.406233637188446</v>
      </c>
    </row>
    <row r="316" spans="1:20" x14ac:dyDescent="0.25">
      <c r="A316" s="5">
        <v>44277</v>
      </c>
      <c r="B316">
        <v>0.10631</v>
      </c>
      <c r="C316">
        <v>0.10780000000000001</v>
      </c>
      <c r="D316">
        <v>9.2340000000000005E-2</v>
      </c>
      <c r="E316">
        <v>9.2689999999999995E-2</v>
      </c>
      <c r="F316">
        <v>207259439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-0.95472186287192895</v>
      </c>
      <c r="Q316">
        <f t="shared" si="965"/>
        <v>-197875117.69987091</v>
      </c>
      <c r="R316">
        <f t="shared" si="966"/>
        <v>1214404844.2613978</v>
      </c>
      <c r="S316">
        <f t="shared" si="967"/>
        <v>12144.048442613979</v>
      </c>
      <c r="T316">
        <f t="shared" si="968"/>
        <v>12.144048442613979</v>
      </c>
    </row>
    <row r="317" spans="1:20" x14ac:dyDescent="0.25">
      <c r="A317" s="5">
        <v>44276</v>
      </c>
      <c r="B317">
        <v>9.9229999999999999E-2</v>
      </c>
      <c r="C317">
        <v>0.10743</v>
      </c>
      <c r="D317">
        <v>9.3710000000000002E-2</v>
      </c>
      <c r="E317">
        <v>0.10637000000000001</v>
      </c>
      <c r="F317">
        <v>293721476.69999999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0.84548104956268344</v>
      </c>
      <c r="Q317">
        <f t="shared" si="965"/>
        <v>248335942.39941725</v>
      </c>
      <c r="R317">
        <f t="shared" si="966"/>
        <v>1412279961.9612687</v>
      </c>
      <c r="S317">
        <f t="shared" si="967"/>
        <v>14122.799619612686</v>
      </c>
      <c r="T317">
        <f t="shared" si="968"/>
        <v>14.122799619612685</v>
      </c>
    </row>
    <row r="318" spans="1:20" x14ac:dyDescent="0.25">
      <c r="A318" s="5">
        <v>44275</v>
      </c>
      <c r="B318">
        <v>9.1359999999999997E-2</v>
      </c>
      <c r="C318">
        <v>0.12071999999999999</v>
      </c>
      <c r="D318">
        <v>9.1350000000000001E-2</v>
      </c>
      <c r="E318">
        <v>9.9250000000000005E-2</v>
      </c>
      <c r="F318">
        <v>711484851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-0.46203609124957401</v>
      </c>
      <c r="Q318">
        <f t="shared" si="965"/>
        <v>-328731679.53932559</v>
      </c>
      <c r="R318">
        <f t="shared" si="966"/>
        <v>1163944019.5618515</v>
      </c>
      <c r="S318">
        <f t="shared" si="967"/>
        <v>11639.440195618516</v>
      </c>
      <c r="T318">
        <f t="shared" si="968"/>
        <v>11.639440195618516</v>
      </c>
    </row>
    <row r="319" spans="1:20" x14ac:dyDescent="0.25">
      <c r="A319" s="5">
        <v>44274</v>
      </c>
      <c r="B319">
        <v>8.6669999999999997E-2</v>
      </c>
      <c r="C319">
        <v>9.4640000000000002E-2</v>
      </c>
      <c r="D319">
        <v>8.3239999999999995E-2</v>
      </c>
      <c r="E319">
        <v>9.1389999999999999E-2</v>
      </c>
      <c r="F319">
        <v>159011454.5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0.42982456140350861</v>
      </c>
      <c r="Q319">
        <f t="shared" si="965"/>
        <v>68347028.688596472</v>
      </c>
      <c r="R319">
        <f t="shared" si="966"/>
        <v>1492675699.1011772</v>
      </c>
      <c r="S319">
        <f t="shared" si="967"/>
        <v>14926.756991011773</v>
      </c>
      <c r="T319">
        <f t="shared" si="968"/>
        <v>14.926756991011773</v>
      </c>
    </row>
    <row r="320" spans="1:20" x14ac:dyDescent="0.25">
      <c r="A320" s="5">
        <v>44273</v>
      </c>
      <c r="B320">
        <v>9.5210000000000003E-2</v>
      </c>
      <c r="C320">
        <v>9.5640000000000003E-2</v>
      </c>
      <c r="D320">
        <v>8.4750000000000006E-2</v>
      </c>
      <c r="E320">
        <v>8.6669999999999997E-2</v>
      </c>
      <c r="F320">
        <v>210217357.59999999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-0.64738292011019438</v>
      </c>
      <c r="Q320">
        <f t="shared" si="965"/>
        <v>-136091126.82093695</v>
      </c>
      <c r="R320">
        <f t="shared" si="966"/>
        <v>1424328670.4125807</v>
      </c>
      <c r="S320">
        <f t="shared" si="967"/>
        <v>14243.286704125807</v>
      </c>
      <c r="T320">
        <f t="shared" si="968"/>
        <v>14.243286704125806</v>
      </c>
    </row>
    <row r="321" spans="1:20" x14ac:dyDescent="0.25">
      <c r="A321" s="5">
        <v>44272</v>
      </c>
      <c r="B321">
        <v>7.0440000000000003E-2</v>
      </c>
      <c r="C321">
        <v>9.8419999999999994E-2</v>
      </c>
      <c r="D321">
        <v>7.0400000000000004E-2</v>
      </c>
      <c r="E321">
        <v>9.5180000000000001E-2</v>
      </c>
      <c r="F321">
        <v>703300213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0.76873661670235593</v>
      </c>
      <c r="Q321">
        <f t="shared" si="965"/>
        <v>540652626.26766634</v>
      </c>
      <c r="R321">
        <f t="shared" si="966"/>
        <v>1560419797.2335176</v>
      </c>
      <c r="S321">
        <f t="shared" si="967"/>
        <v>15604.197972335176</v>
      </c>
      <c r="T321">
        <f t="shared" si="968"/>
        <v>15.604197972335175</v>
      </c>
    </row>
    <row r="322" spans="1:20" x14ac:dyDescent="0.25">
      <c r="A322" s="5">
        <v>44271</v>
      </c>
      <c r="B322">
        <v>6.9830000000000003E-2</v>
      </c>
      <c r="C322">
        <v>7.0760000000000003E-2</v>
      </c>
      <c r="D322">
        <v>6.4070000000000002E-2</v>
      </c>
      <c r="E322">
        <v>7.0419999999999996E-2</v>
      </c>
      <c r="F322">
        <v>210398128.69999999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0.8983557548579949</v>
      </c>
      <c r="Q322">
        <f t="shared" si="965"/>
        <v>189012369.72899806</v>
      </c>
      <c r="R322">
        <f t="shared" si="966"/>
        <v>1019767170.9658513</v>
      </c>
      <c r="S322">
        <f t="shared" si="967"/>
        <v>10197.671709658513</v>
      </c>
      <c r="T322">
        <f t="shared" si="968"/>
        <v>10.197671709658513</v>
      </c>
    </row>
    <row r="323" spans="1:20" x14ac:dyDescent="0.25">
      <c r="A323" s="5">
        <v>44270</v>
      </c>
      <c r="B323">
        <v>7.0809999999999998E-2</v>
      </c>
      <c r="C323">
        <v>7.3410000000000003E-2</v>
      </c>
      <c r="D323">
        <v>6.2300000000000001E-2</v>
      </c>
      <c r="E323">
        <v>6.9709999999999994E-2</v>
      </c>
      <c r="F323">
        <v>263672334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0.33393339333933247</v>
      </c>
      <c r="Q323">
        <f t="shared" si="965"/>
        <v>88048997.222321853</v>
      </c>
      <c r="R323">
        <f t="shared" si="966"/>
        <v>830754801.23685324</v>
      </c>
      <c r="S323">
        <f t="shared" si="967"/>
        <v>8307.548012368532</v>
      </c>
      <c r="T323">
        <f t="shared" si="968"/>
        <v>8.3075480123685317</v>
      </c>
    </row>
    <row r="324" spans="1:20" x14ac:dyDescent="0.25">
      <c r="A324" s="5">
        <v>44269</v>
      </c>
      <c r="B324">
        <v>6.4530000000000004E-2</v>
      </c>
      <c r="C324">
        <v>7.4999999999999997E-2</v>
      </c>
      <c r="D324">
        <v>6.4149999999999999E-2</v>
      </c>
      <c r="E324">
        <v>7.0809999999999998E-2</v>
      </c>
      <c r="F324">
        <v>304080816.89999998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0.22764976958525349</v>
      </c>
      <c r="Q324">
        <f t="shared" si="965"/>
        <v>69223927.902580649</v>
      </c>
      <c r="R324">
        <f t="shared" si="966"/>
        <v>742705804.01453137</v>
      </c>
      <c r="S324">
        <f t="shared" si="967"/>
        <v>7427.0580401453135</v>
      </c>
      <c r="T324">
        <f t="shared" si="968"/>
        <v>7.4270580401453135</v>
      </c>
    </row>
    <row r="325" spans="1:20" x14ac:dyDescent="0.25">
      <c r="A325" s="5">
        <v>44268</v>
      </c>
      <c r="B325">
        <v>5.7189999999999998E-2</v>
      </c>
      <c r="C325">
        <v>6.7400000000000002E-2</v>
      </c>
      <c r="D325">
        <v>5.4760000000000003E-2</v>
      </c>
      <c r="E325">
        <v>6.4509999999999998E-2</v>
      </c>
      <c r="F325">
        <v>273391086.10000002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0.54272151898734111</v>
      </c>
      <c r="Q325">
        <f t="shared" si="965"/>
        <v>148375225.52579096</v>
      </c>
      <c r="R325">
        <f t="shared" si="966"/>
        <v>673481876.11195076</v>
      </c>
      <c r="S325">
        <f t="shared" si="967"/>
        <v>6734.8187611195071</v>
      </c>
      <c r="T325">
        <f t="shared" si="968"/>
        <v>6.7348187611195067</v>
      </c>
    </row>
    <row r="326" spans="1:20" x14ac:dyDescent="0.25">
      <c r="A326" s="5">
        <v>44267</v>
      </c>
      <c r="B326">
        <v>5.8459999999999998E-2</v>
      </c>
      <c r="C326">
        <v>5.9459999999999999E-2</v>
      </c>
      <c r="D326">
        <v>5.4260000000000003E-2</v>
      </c>
      <c r="E326">
        <v>5.7189999999999998E-2</v>
      </c>
      <c r="F326">
        <v>142843133.40000001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0.12692307692307583</v>
      </c>
      <c r="Q326">
        <f t="shared" ref="Q326:Q389" si="970">F326*P326</f>
        <v>18130090.008461382</v>
      </c>
      <c r="R326">
        <f t="shared" ref="R326:R389" si="971">R327+Q326</f>
        <v>525106650.58615983</v>
      </c>
      <c r="S326">
        <f t="shared" ref="S326:S389" si="972">R326/100000</f>
        <v>5251.0665058615987</v>
      </c>
      <c r="T326">
        <f t="shared" ref="T326:T389" si="973">S326/1000</f>
        <v>5.2510665058615986</v>
      </c>
    </row>
    <row r="327" spans="1:20" x14ac:dyDescent="0.25">
      <c r="A327" s="5">
        <v>44266</v>
      </c>
      <c r="B327">
        <v>5.876E-2</v>
      </c>
      <c r="C327">
        <v>5.9139999999999998E-2</v>
      </c>
      <c r="D327">
        <v>5.5100000000000003E-2</v>
      </c>
      <c r="E327">
        <v>5.8459999999999998E-2</v>
      </c>
      <c r="F327">
        <v>130573927.8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0.66336633663366296</v>
      </c>
      <c r="Q327">
        <f t="shared" si="970"/>
        <v>86618348.144554406</v>
      </c>
      <c r="R327">
        <f t="shared" si="971"/>
        <v>506976560.57769847</v>
      </c>
      <c r="S327">
        <f t="shared" si="972"/>
        <v>5069.7656057769846</v>
      </c>
      <c r="T327">
        <f t="shared" si="973"/>
        <v>5.0697656057769844</v>
      </c>
    </row>
    <row r="328" spans="1:20" x14ac:dyDescent="0.25">
      <c r="A328" s="5">
        <v>44265</v>
      </c>
      <c r="B328">
        <v>6.0699999999999997E-2</v>
      </c>
      <c r="C328">
        <v>6.071E-2</v>
      </c>
      <c r="D328">
        <v>5.5489999999999998E-2</v>
      </c>
      <c r="E328">
        <v>5.8799999999999998E-2</v>
      </c>
      <c r="F328">
        <v>126858619.5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0.26819923371647469</v>
      </c>
      <c r="Q328">
        <f t="shared" si="970"/>
        <v>34023384.540229835</v>
      </c>
      <c r="R328">
        <f t="shared" si="971"/>
        <v>420358212.43314409</v>
      </c>
      <c r="S328">
        <f t="shared" si="972"/>
        <v>4203.5821243314413</v>
      </c>
      <c r="T328">
        <f t="shared" si="973"/>
        <v>4.2035821243314411</v>
      </c>
    </row>
    <row r="329" spans="1:20" x14ac:dyDescent="0.25">
      <c r="A329" s="5">
        <v>44264</v>
      </c>
      <c r="B329">
        <v>5.8939999999999999E-2</v>
      </c>
      <c r="C329">
        <v>6.0659999999999999E-2</v>
      </c>
      <c r="D329">
        <v>5.772E-2</v>
      </c>
      <c r="E329">
        <v>6.0659999999999999E-2</v>
      </c>
      <c r="F329">
        <v>153118397.30000001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1</v>
      </c>
      <c r="Q329">
        <f t="shared" si="970"/>
        <v>153118397.30000001</v>
      </c>
      <c r="R329">
        <f t="shared" si="971"/>
        <v>386334827.89291424</v>
      </c>
      <c r="S329">
        <f t="shared" si="972"/>
        <v>3863.3482789291425</v>
      </c>
      <c r="T329">
        <f t="shared" si="973"/>
        <v>3.8633482789291422</v>
      </c>
    </row>
    <row r="330" spans="1:20" x14ac:dyDescent="0.25">
      <c r="A330" s="5">
        <v>44263</v>
      </c>
      <c r="B330">
        <v>5.7520000000000002E-2</v>
      </c>
      <c r="C330">
        <v>5.8999999999999997E-2</v>
      </c>
      <c r="D330">
        <v>5.4330000000000003E-2</v>
      </c>
      <c r="E330">
        <v>5.8819999999999997E-2</v>
      </c>
      <c r="F330">
        <v>128738184.5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0.9229122055674519</v>
      </c>
      <c r="Q330">
        <f t="shared" si="970"/>
        <v>118814041.79764456</v>
      </c>
      <c r="R330">
        <f t="shared" si="971"/>
        <v>233216430.59291422</v>
      </c>
      <c r="S330">
        <f t="shared" si="972"/>
        <v>2332.1643059291423</v>
      </c>
      <c r="T330">
        <f t="shared" si="973"/>
        <v>2.3321643059291421</v>
      </c>
    </row>
    <row r="331" spans="1:20" x14ac:dyDescent="0.25">
      <c r="A331" s="5">
        <v>44262</v>
      </c>
      <c r="B331">
        <v>5.7009999999999998E-2</v>
      </c>
      <c r="C331">
        <v>5.7919999999999999E-2</v>
      </c>
      <c r="D331">
        <v>5.5120000000000002E-2</v>
      </c>
      <c r="E331">
        <v>5.7529999999999998E-2</v>
      </c>
      <c r="F331">
        <v>85785337.900000006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0.72142857142857009</v>
      </c>
      <c r="Q331">
        <f t="shared" si="970"/>
        <v>61887993.770714171</v>
      </c>
      <c r="R331">
        <f t="shared" si="971"/>
        <v>114402388.79526968</v>
      </c>
      <c r="S331">
        <f t="shared" si="972"/>
        <v>1144.0238879526969</v>
      </c>
      <c r="T331">
        <f t="shared" si="973"/>
        <v>1.1440238879526969</v>
      </c>
    </row>
    <row r="332" spans="1:20" x14ac:dyDescent="0.25">
      <c r="A332" s="5">
        <v>44261</v>
      </c>
      <c r="B332">
        <v>5.8569999999999997E-2</v>
      </c>
      <c r="C332">
        <v>5.8749999999999997E-2</v>
      </c>
      <c r="D332">
        <v>5.3370000000000001E-2</v>
      </c>
      <c r="E332">
        <v>5.6989999999999999E-2</v>
      </c>
      <c r="F332">
        <v>121448995.2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0.34572490706319742</v>
      </c>
      <c r="Q332">
        <f t="shared" si="970"/>
        <v>41987942.578438707</v>
      </c>
      <c r="R332">
        <f t="shared" si="971"/>
        <v>52514395.024555512</v>
      </c>
      <c r="S332">
        <f t="shared" si="972"/>
        <v>525.14395024555506</v>
      </c>
      <c r="T332">
        <f t="shared" si="973"/>
        <v>0.52514395024555505</v>
      </c>
    </row>
    <row r="333" spans="1:20" x14ac:dyDescent="0.25">
      <c r="A333" s="5">
        <v>44260</v>
      </c>
      <c r="B333">
        <v>5.3699999999999998E-2</v>
      </c>
      <c r="C333">
        <v>5.8999999999999997E-2</v>
      </c>
      <c r="D333">
        <v>4.8619999999999997E-2</v>
      </c>
      <c r="E333">
        <v>5.858E-2</v>
      </c>
      <c r="F333">
        <v>248890249.59999999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0.91907514450867112</v>
      </c>
      <c r="Q333">
        <f t="shared" si="970"/>
        <v>228748842.11791921</v>
      </c>
      <c r="R333">
        <f t="shared" si="971"/>
        <v>10526452.446116805</v>
      </c>
      <c r="S333">
        <f t="shared" si="972"/>
        <v>105.26452446116805</v>
      </c>
      <c r="T333">
        <f t="shared" si="973"/>
        <v>0.10526452446116805</v>
      </c>
    </row>
    <row r="334" spans="1:20" x14ac:dyDescent="0.25">
      <c r="A334" s="5">
        <v>44259</v>
      </c>
      <c r="B334">
        <v>5.1830000000000001E-2</v>
      </c>
      <c r="C334">
        <v>5.525E-2</v>
      </c>
      <c r="D334">
        <v>5.0270000000000002E-2</v>
      </c>
      <c r="E334">
        <v>5.3699999999999998E-2</v>
      </c>
      <c r="F334">
        <v>140113021.19999999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0.37751004016064127</v>
      </c>
      <c r="Q334">
        <f t="shared" si="970"/>
        <v>52894072.260240778</v>
      </c>
      <c r="R334">
        <f t="shared" si="971"/>
        <v>-218222389.6718024</v>
      </c>
      <c r="S334">
        <f t="shared" si="972"/>
        <v>-2182.2238967180242</v>
      </c>
      <c r="T334">
        <f t="shared" si="973"/>
        <v>-2.1822238967180243</v>
      </c>
    </row>
    <row r="335" spans="1:20" x14ac:dyDescent="0.25">
      <c r="A335" s="5">
        <v>44258</v>
      </c>
      <c r="B335">
        <v>4.6800000000000001E-2</v>
      </c>
      <c r="C335">
        <v>5.296E-2</v>
      </c>
      <c r="D335">
        <v>4.6280000000000002E-2</v>
      </c>
      <c r="E335">
        <v>5.1920000000000001E-2</v>
      </c>
      <c r="F335">
        <v>109665409.90000001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0.68862275449101806</v>
      </c>
      <c r="Q335">
        <f t="shared" si="970"/>
        <v>75518096.637724563</v>
      </c>
      <c r="R335">
        <f t="shared" si="971"/>
        <v>-271116461.93204319</v>
      </c>
      <c r="S335">
        <f t="shared" si="972"/>
        <v>-2711.1646193204319</v>
      </c>
      <c r="T335">
        <f t="shared" si="973"/>
        <v>-2.711164619320432</v>
      </c>
    </row>
    <row r="336" spans="1:20" x14ac:dyDescent="0.25">
      <c r="A336" s="5">
        <v>44257</v>
      </c>
      <c r="B336">
        <v>4.8340000000000001E-2</v>
      </c>
      <c r="C336">
        <v>4.9450000000000001E-2</v>
      </c>
      <c r="D336">
        <v>4.4949999999999997E-2</v>
      </c>
      <c r="E336">
        <v>4.6800000000000001E-2</v>
      </c>
      <c r="F336">
        <v>82996674.200000003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-0.17777777777777654</v>
      </c>
      <c r="Q336">
        <f t="shared" si="970"/>
        <v>-14754964.30222212</v>
      </c>
      <c r="R336">
        <f t="shared" si="971"/>
        <v>-346634558.56976777</v>
      </c>
      <c r="S336">
        <f t="shared" si="972"/>
        <v>-3466.3455856976775</v>
      </c>
      <c r="T336">
        <f t="shared" si="973"/>
        <v>-3.4663455856976775</v>
      </c>
    </row>
    <row r="337" spans="1:20" x14ac:dyDescent="0.25">
      <c r="A337" s="5">
        <v>44256</v>
      </c>
      <c r="B337">
        <v>4.4830000000000002E-2</v>
      </c>
      <c r="C337">
        <v>4.8329999999999998E-2</v>
      </c>
      <c r="D337">
        <v>4.4069999999999998E-2</v>
      </c>
      <c r="E337">
        <v>4.8320000000000002E-2</v>
      </c>
      <c r="F337">
        <v>100931807.2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0.99530516431925065</v>
      </c>
      <c r="Q337">
        <f t="shared" si="970"/>
        <v>100457948.95023493</v>
      </c>
      <c r="R337">
        <f t="shared" si="971"/>
        <v>-331879594.26754564</v>
      </c>
      <c r="S337">
        <f t="shared" si="972"/>
        <v>-3318.7959426754564</v>
      </c>
      <c r="T337">
        <f t="shared" si="973"/>
        <v>-3.3187959426754565</v>
      </c>
    </row>
    <row r="338" spans="1:20" x14ac:dyDescent="0.25">
      <c r="A338" s="5">
        <v>44255</v>
      </c>
      <c r="B338">
        <v>4.8730000000000002E-2</v>
      </c>
      <c r="C338">
        <v>4.9059999999999999E-2</v>
      </c>
      <c r="D338">
        <v>4.2000000000000003E-2</v>
      </c>
      <c r="E338">
        <v>4.4830000000000002E-2</v>
      </c>
      <c r="F338">
        <v>131731938.5</v>
      </c>
      <c r="G338">
        <v>0</v>
      </c>
      <c r="L338" t="s">
        <v>7</v>
      </c>
      <c r="M338" t="s">
        <v>8</v>
      </c>
      <c r="N338" t="s">
        <v>8</v>
      </c>
      <c r="P338">
        <f t="shared" si="969"/>
        <v>-0.19830028328611884</v>
      </c>
      <c r="Q338">
        <f t="shared" si="970"/>
        <v>-26122480.722379584</v>
      </c>
      <c r="R338">
        <f t="shared" si="971"/>
        <v>-432337543.21778059</v>
      </c>
      <c r="S338">
        <f t="shared" si="972"/>
        <v>-4323.375432177806</v>
      </c>
      <c r="T338">
        <f t="shared" si="973"/>
        <v>-4.323375432177806</v>
      </c>
    </row>
    <row r="339" spans="1:20" x14ac:dyDescent="0.25">
      <c r="A339" s="5">
        <v>44254</v>
      </c>
      <c r="B339">
        <v>4.5560000000000003E-2</v>
      </c>
      <c r="C339">
        <v>5.0970000000000001E-2</v>
      </c>
      <c r="D339">
        <v>4.4880000000000003E-2</v>
      </c>
      <c r="E339">
        <v>4.8770000000000001E-2</v>
      </c>
      <c r="F339">
        <v>121227638.5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0.27750410509031159</v>
      </c>
      <c r="Q339">
        <f t="shared" si="970"/>
        <v>33641167.3341543</v>
      </c>
      <c r="R339">
        <f t="shared" si="971"/>
        <v>-406215062.49540102</v>
      </c>
      <c r="S339">
        <f t="shared" si="972"/>
        <v>-4062.1506249540103</v>
      </c>
      <c r="T339">
        <f t="shared" si="973"/>
        <v>-4.0621506249540102</v>
      </c>
    </row>
    <row r="340" spans="1:20" x14ac:dyDescent="0.25">
      <c r="A340" s="5">
        <v>44253</v>
      </c>
      <c r="B340">
        <v>4.5420000000000002E-2</v>
      </c>
      <c r="C340">
        <v>4.9410000000000003E-2</v>
      </c>
      <c r="D340">
        <v>4.1680000000000002E-2</v>
      </c>
      <c r="E340">
        <v>4.5609999999999998E-2</v>
      </c>
      <c r="F340">
        <v>97783343.099999994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1.6817593790425772E-2</v>
      </c>
      <c r="Q340">
        <f t="shared" si="970"/>
        <v>1644480.5437256326</v>
      </c>
      <c r="R340">
        <f t="shared" si="971"/>
        <v>-439856229.82955533</v>
      </c>
      <c r="S340">
        <f t="shared" si="972"/>
        <v>-4398.5622982955538</v>
      </c>
      <c r="T340">
        <f t="shared" si="973"/>
        <v>-4.3985622982955537</v>
      </c>
    </row>
    <row r="341" spans="1:20" x14ac:dyDescent="0.25">
      <c r="A341" s="5">
        <v>44252</v>
      </c>
      <c r="B341">
        <v>4.759E-2</v>
      </c>
      <c r="C341">
        <v>5.1639999999999998E-2</v>
      </c>
      <c r="D341">
        <v>4.4839999999999998E-2</v>
      </c>
      <c r="E341">
        <v>4.5449999999999997E-2</v>
      </c>
      <c r="F341">
        <v>142578877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-0.82058823529411784</v>
      </c>
      <c r="Q341">
        <f t="shared" si="970"/>
        <v>-116998549.06764708</v>
      </c>
      <c r="R341">
        <f t="shared" si="971"/>
        <v>-441500710.37328094</v>
      </c>
      <c r="S341">
        <f t="shared" si="972"/>
        <v>-4415.0071037328098</v>
      </c>
      <c r="T341">
        <f t="shared" si="973"/>
        <v>-4.41500710373281</v>
      </c>
    </row>
    <row r="342" spans="1:20" x14ac:dyDescent="0.25">
      <c r="A342" s="5">
        <v>44251</v>
      </c>
      <c r="B342">
        <v>4.3909999999999998E-2</v>
      </c>
      <c r="C342">
        <v>0.05</v>
      </c>
      <c r="D342">
        <v>4.1000000000000002E-2</v>
      </c>
      <c r="E342">
        <v>4.7579999999999997E-2</v>
      </c>
      <c r="F342">
        <v>221763617.69999999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0.46222222222222109</v>
      </c>
      <c r="Q342">
        <f t="shared" si="970"/>
        <v>102504072.18133308</v>
      </c>
      <c r="R342">
        <f t="shared" si="971"/>
        <v>-324502161.30563384</v>
      </c>
      <c r="S342">
        <f t="shared" si="972"/>
        <v>-3245.0216130563385</v>
      </c>
      <c r="T342">
        <f t="shared" si="973"/>
        <v>-3.2450216130563385</v>
      </c>
    </row>
    <row r="343" spans="1:20" x14ac:dyDescent="0.25">
      <c r="A343" s="5">
        <v>44250</v>
      </c>
      <c r="B343">
        <v>5.7509999999999999E-2</v>
      </c>
      <c r="C343">
        <v>5.7590000000000002E-2</v>
      </c>
      <c r="D343">
        <v>3.4160000000000003E-2</v>
      </c>
      <c r="E343">
        <v>4.3950000000000003E-2</v>
      </c>
      <c r="F343">
        <v>372502008.10000002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-0.16431924882629106</v>
      </c>
      <c r="Q343">
        <f t="shared" si="970"/>
        <v>-61209250.157276995</v>
      </c>
      <c r="R343">
        <f t="shared" si="971"/>
        <v>-427006233.48696691</v>
      </c>
      <c r="S343">
        <f t="shared" si="972"/>
        <v>-4270.062334869669</v>
      </c>
      <c r="T343">
        <f t="shared" si="973"/>
        <v>-4.2700623348696691</v>
      </c>
    </row>
    <row r="344" spans="1:20" x14ac:dyDescent="0.25">
      <c r="A344" s="5">
        <v>44249</v>
      </c>
      <c r="B344">
        <v>6.6650000000000001E-2</v>
      </c>
      <c r="C344">
        <v>6.6809999999999994E-2</v>
      </c>
      <c r="D344">
        <v>4.7230000000000001E-2</v>
      </c>
      <c r="E344">
        <v>5.7389999999999997E-2</v>
      </c>
      <c r="F344">
        <v>215916791.09999999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3.7793667007150041E-2</v>
      </c>
      <c r="Q344">
        <f t="shared" si="970"/>
        <v>8160287.3040857771</v>
      </c>
      <c r="R344">
        <f t="shared" si="971"/>
        <v>-365796983.32968992</v>
      </c>
      <c r="S344">
        <f t="shared" si="972"/>
        <v>-3657.9698332968992</v>
      </c>
      <c r="T344">
        <f t="shared" si="973"/>
        <v>-3.6579698332968991</v>
      </c>
    </row>
    <row r="345" spans="1:20" x14ac:dyDescent="0.25">
      <c r="A345" s="5">
        <v>44248</v>
      </c>
      <c r="B345">
        <v>6.4490000000000006E-2</v>
      </c>
      <c r="C345">
        <v>6.7400000000000002E-2</v>
      </c>
      <c r="D345">
        <v>6.2950000000000006E-2</v>
      </c>
      <c r="E345">
        <v>6.6589999999999996E-2</v>
      </c>
      <c r="F345">
        <v>129167663.8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0.63595505617977255</v>
      </c>
      <c r="Q345">
        <f t="shared" si="970"/>
        <v>82144828.888538972</v>
      </c>
      <c r="R345">
        <f t="shared" si="971"/>
        <v>-373957270.63377571</v>
      </c>
      <c r="S345">
        <f t="shared" si="972"/>
        <v>-3739.5727063377572</v>
      </c>
      <c r="T345">
        <f t="shared" si="973"/>
        <v>-3.7395727063377571</v>
      </c>
    </row>
    <row r="346" spans="1:20" x14ac:dyDescent="0.25">
      <c r="A346" s="5">
        <v>44247</v>
      </c>
      <c r="B346">
        <v>6.6750000000000004E-2</v>
      </c>
      <c r="C346">
        <v>8.3000000000000004E-2</v>
      </c>
      <c r="D346">
        <v>5.5910000000000001E-2</v>
      </c>
      <c r="E346">
        <v>6.4479999999999996E-2</v>
      </c>
      <c r="F346">
        <v>419638700.19999999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-0.3672942045035073</v>
      </c>
      <c r="Q346">
        <f t="shared" si="970"/>
        <v>-154130862.5688448</v>
      </c>
      <c r="R346">
        <f t="shared" si="971"/>
        <v>-456102099.52231467</v>
      </c>
      <c r="S346">
        <f t="shared" si="972"/>
        <v>-4561.0209952231471</v>
      </c>
      <c r="T346">
        <f t="shared" si="973"/>
        <v>-4.5610209952231475</v>
      </c>
    </row>
    <row r="347" spans="1:20" x14ac:dyDescent="0.25">
      <c r="A347" s="5">
        <v>44246</v>
      </c>
      <c r="B347">
        <v>6.0780000000000001E-2</v>
      </c>
      <c r="C347">
        <v>7.0000000000000007E-2</v>
      </c>
      <c r="D347">
        <v>6.0470000000000003E-2</v>
      </c>
      <c r="E347">
        <v>6.6809999999999994E-2</v>
      </c>
      <c r="F347">
        <v>426458971.30000001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0.33053515215109947</v>
      </c>
      <c r="Q347">
        <f t="shared" si="970"/>
        <v>140959680.96484685</v>
      </c>
      <c r="R347">
        <f t="shared" si="971"/>
        <v>-301971236.95346987</v>
      </c>
      <c r="S347">
        <f t="shared" si="972"/>
        <v>-3019.7123695346986</v>
      </c>
      <c r="T347">
        <f t="shared" si="973"/>
        <v>-3.0197123695346986</v>
      </c>
    </row>
    <row r="348" spans="1:20" x14ac:dyDescent="0.25">
      <c r="A348" s="5">
        <v>44245</v>
      </c>
      <c r="B348">
        <v>5.2139999999999999E-2</v>
      </c>
      <c r="C348">
        <v>6.2E-2</v>
      </c>
      <c r="D348">
        <v>5.2089999999999997E-2</v>
      </c>
      <c r="E348">
        <v>6.0690000000000001E-2</v>
      </c>
      <c r="F348">
        <v>260300269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0.73562058526740703</v>
      </c>
      <c r="Q348">
        <f t="shared" si="970"/>
        <v>191482236.22704348</v>
      </c>
      <c r="R348">
        <f t="shared" si="971"/>
        <v>-442930917.91831672</v>
      </c>
      <c r="S348">
        <f t="shared" si="972"/>
        <v>-4429.3091791831675</v>
      </c>
      <c r="T348">
        <f t="shared" si="973"/>
        <v>-4.4293091791831678</v>
      </c>
    </row>
    <row r="349" spans="1:20" x14ac:dyDescent="0.25">
      <c r="A349" s="5">
        <v>44244</v>
      </c>
      <c r="B349">
        <v>4.9399999999999999E-2</v>
      </c>
      <c r="C349">
        <v>5.3859999999999998E-2</v>
      </c>
      <c r="D349">
        <v>4.8509999999999998E-2</v>
      </c>
      <c r="E349">
        <v>5.2229999999999999E-2</v>
      </c>
      <c r="F349">
        <v>149279616.09999999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0.39065420560747688</v>
      </c>
      <c r="Q349">
        <f t="shared" si="970"/>
        <v>58316709.840934612</v>
      </c>
      <c r="R349">
        <f t="shared" si="971"/>
        <v>-634413154.14536023</v>
      </c>
      <c r="S349">
        <f t="shared" si="972"/>
        <v>-6344.131541453602</v>
      </c>
      <c r="T349">
        <f t="shared" si="973"/>
        <v>-6.3441315414536019</v>
      </c>
    </row>
    <row r="350" spans="1:20" x14ac:dyDescent="0.25">
      <c r="A350" s="5">
        <v>44243</v>
      </c>
      <c r="B350">
        <v>4.5620000000000001E-2</v>
      </c>
      <c r="C350">
        <v>5.2449999999999997E-2</v>
      </c>
      <c r="D350">
        <v>4.4069999999999998E-2</v>
      </c>
      <c r="E350">
        <v>4.929E-2</v>
      </c>
      <c r="F350">
        <v>162495140.40000001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0.24582338902148052</v>
      </c>
      <c r="Q350">
        <f t="shared" si="970"/>
        <v>39945106.112649299</v>
      </c>
      <c r="R350">
        <f t="shared" si="971"/>
        <v>-692729863.98629487</v>
      </c>
      <c r="S350">
        <f t="shared" si="972"/>
        <v>-6927.2986398629482</v>
      </c>
      <c r="T350">
        <f t="shared" si="973"/>
        <v>-6.9272986398629479</v>
      </c>
    </row>
    <row r="351" spans="1:20" x14ac:dyDescent="0.25">
      <c r="A351" s="5">
        <v>44242</v>
      </c>
      <c r="B351">
        <v>4.9570000000000003E-2</v>
      </c>
      <c r="C351">
        <v>5.1499999999999997E-2</v>
      </c>
      <c r="D351">
        <v>4.0230000000000002E-2</v>
      </c>
      <c r="E351">
        <v>4.5519999999999998E-2</v>
      </c>
      <c r="F351">
        <v>283675442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-6.1224489795918671E-2</v>
      </c>
      <c r="Q351">
        <f t="shared" si="970"/>
        <v>-17367884.204081718</v>
      </c>
      <c r="R351">
        <f t="shared" si="971"/>
        <v>-732674970.09894419</v>
      </c>
      <c r="S351">
        <f t="shared" si="972"/>
        <v>-7326.7497009894423</v>
      </c>
      <c r="T351">
        <f t="shared" si="973"/>
        <v>-7.326749700989442</v>
      </c>
    </row>
    <row r="352" spans="1:20" x14ac:dyDescent="0.25">
      <c r="A352" s="5">
        <v>44241</v>
      </c>
      <c r="B352">
        <v>5.4690000000000003E-2</v>
      </c>
      <c r="C352">
        <v>5.586E-2</v>
      </c>
      <c r="D352">
        <v>4.8349999999999997E-2</v>
      </c>
      <c r="E352">
        <v>4.9570000000000003E-2</v>
      </c>
      <c r="F352">
        <v>114020171.2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-0.67509986684420631</v>
      </c>
      <c r="Q352">
        <f t="shared" si="970"/>
        <v>-76975002.394673616</v>
      </c>
      <c r="R352">
        <f t="shared" si="971"/>
        <v>-715307085.89486241</v>
      </c>
      <c r="S352">
        <f t="shared" si="972"/>
        <v>-7153.0708589486239</v>
      </c>
      <c r="T352">
        <f t="shared" si="973"/>
        <v>-7.1530708589486238</v>
      </c>
    </row>
    <row r="353" spans="1:20" x14ac:dyDescent="0.25">
      <c r="A353" s="5">
        <v>44240</v>
      </c>
      <c r="B353">
        <v>5.2549999999999999E-2</v>
      </c>
      <c r="C353">
        <v>5.5550000000000002E-2</v>
      </c>
      <c r="D353">
        <v>4.8300000000000003E-2</v>
      </c>
      <c r="E353">
        <v>5.4690000000000003E-2</v>
      </c>
      <c r="F353">
        <v>149811180.30000001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0.76275862068965528</v>
      </c>
      <c r="Q353">
        <f t="shared" si="970"/>
        <v>114269769.24951726</v>
      </c>
      <c r="R353">
        <f t="shared" si="971"/>
        <v>-638332083.50018883</v>
      </c>
      <c r="S353">
        <f t="shared" si="972"/>
        <v>-6383.3208350018886</v>
      </c>
      <c r="T353">
        <f t="shared" si="973"/>
        <v>-6.3833208350018884</v>
      </c>
    </row>
    <row r="354" spans="1:20" x14ac:dyDescent="0.25">
      <c r="A354" s="5">
        <v>44239</v>
      </c>
      <c r="B354">
        <v>5.28E-2</v>
      </c>
      <c r="C354">
        <v>5.5469999999999998E-2</v>
      </c>
      <c r="D354">
        <v>4.9189999999999998E-2</v>
      </c>
      <c r="E354">
        <v>5.2549999999999999E-2</v>
      </c>
      <c r="F354">
        <v>158104347.40000001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7.006369426751638E-2</v>
      </c>
      <c r="Q354">
        <f t="shared" si="970"/>
        <v>11077374.658598799</v>
      </c>
      <c r="R354">
        <f t="shared" si="971"/>
        <v>-752601852.74970615</v>
      </c>
      <c r="S354">
        <f t="shared" si="972"/>
        <v>-7526.0185274970618</v>
      </c>
      <c r="T354">
        <f t="shared" si="973"/>
        <v>-7.5260185274970617</v>
      </c>
    </row>
    <row r="355" spans="1:20" x14ac:dyDescent="0.25">
      <c r="A355" s="5">
        <v>44238</v>
      </c>
      <c r="B355">
        <v>4.4499999999999998E-2</v>
      </c>
      <c r="C355">
        <v>5.3999999999999999E-2</v>
      </c>
      <c r="D355">
        <v>4.3619999999999999E-2</v>
      </c>
      <c r="E355">
        <v>5.2920000000000002E-2</v>
      </c>
      <c r="F355">
        <v>184499045.19999999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0.79190751445086749</v>
      </c>
      <c r="Q355">
        <f t="shared" si="970"/>
        <v>146106180.30289024</v>
      </c>
      <c r="R355">
        <f t="shared" si="971"/>
        <v>-763679227.40830493</v>
      </c>
      <c r="S355">
        <f t="shared" si="972"/>
        <v>-7636.7922740830491</v>
      </c>
      <c r="T355">
        <f t="shared" si="973"/>
        <v>-7.6367922740830494</v>
      </c>
    </row>
    <row r="356" spans="1:20" x14ac:dyDescent="0.25">
      <c r="A356" s="5">
        <v>44237</v>
      </c>
      <c r="B356">
        <v>4.5179999999999998E-2</v>
      </c>
      <c r="C356">
        <v>4.7480000000000001E-2</v>
      </c>
      <c r="D356">
        <v>4.1369999999999997E-2</v>
      </c>
      <c r="E356">
        <v>4.4409999999999998E-2</v>
      </c>
      <c r="F356">
        <v>181994696.59999999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-4.909983633388253E-3</v>
      </c>
      <c r="Q356">
        <f t="shared" si="970"/>
        <v>-893590.98166946066</v>
      </c>
      <c r="R356">
        <f t="shared" si="971"/>
        <v>-909785407.71119511</v>
      </c>
      <c r="S356">
        <f t="shared" si="972"/>
        <v>-9097.8540771119515</v>
      </c>
      <c r="T356">
        <f t="shared" si="973"/>
        <v>-9.0978540771119523</v>
      </c>
    </row>
    <row r="357" spans="1:20" x14ac:dyDescent="0.25">
      <c r="A357" s="5">
        <v>44236</v>
      </c>
      <c r="B357">
        <v>4.129E-2</v>
      </c>
      <c r="C357">
        <v>4.8239999999999998E-2</v>
      </c>
      <c r="D357">
        <v>4.1110000000000001E-2</v>
      </c>
      <c r="E357">
        <v>4.505E-2</v>
      </c>
      <c r="F357">
        <v>309165395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0.10518934081346437</v>
      </c>
      <c r="Q357">
        <f t="shared" si="970"/>
        <v>32520904.102384333</v>
      </c>
      <c r="R357">
        <f t="shared" si="971"/>
        <v>-908891816.72952569</v>
      </c>
      <c r="S357">
        <f t="shared" si="972"/>
        <v>-9088.9181672952564</v>
      </c>
      <c r="T357">
        <f t="shared" si="973"/>
        <v>-9.0889181672952564</v>
      </c>
    </row>
    <row r="358" spans="1:20" x14ac:dyDescent="0.25">
      <c r="A358" s="5">
        <v>44235</v>
      </c>
      <c r="B358">
        <v>3.7400000000000003E-2</v>
      </c>
      <c r="C358">
        <v>4.487E-2</v>
      </c>
      <c r="D358">
        <v>3.6659999999999998E-2</v>
      </c>
      <c r="E358">
        <v>4.1230000000000003E-2</v>
      </c>
      <c r="F358">
        <v>255091904.80000001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0.11327649208282667</v>
      </c>
      <c r="Q358">
        <f t="shared" si="970"/>
        <v>28895916.134470377</v>
      </c>
      <c r="R358">
        <f t="shared" si="971"/>
        <v>-941412720.83191001</v>
      </c>
      <c r="S358">
        <f t="shared" si="972"/>
        <v>-9414.1272083190997</v>
      </c>
      <c r="T358">
        <f t="shared" si="973"/>
        <v>-9.4141272083190994</v>
      </c>
    </row>
    <row r="359" spans="1:20" x14ac:dyDescent="0.25">
      <c r="A359" s="5">
        <v>44234</v>
      </c>
      <c r="B359">
        <v>3.637E-2</v>
      </c>
      <c r="C359">
        <v>3.909E-2</v>
      </c>
      <c r="D359">
        <v>3.5000000000000003E-2</v>
      </c>
      <c r="E359">
        <v>3.7289999999999997E-2</v>
      </c>
      <c r="F359">
        <v>161947905.40000001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0.11980440097799287</v>
      </c>
      <c r="Q359">
        <f t="shared" si="970"/>
        <v>19402071.796087656</v>
      </c>
      <c r="R359">
        <f t="shared" si="971"/>
        <v>-970308636.96638036</v>
      </c>
      <c r="S359">
        <f t="shared" si="972"/>
        <v>-9703.0863696638044</v>
      </c>
      <c r="T359">
        <f t="shared" si="973"/>
        <v>-9.7030863696638043</v>
      </c>
    </row>
    <row r="360" spans="1:20" x14ac:dyDescent="0.25">
      <c r="A360" s="5">
        <v>44233</v>
      </c>
      <c r="B360">
        <v>3.8870000000000002E-2</v>
      </c>
      <c r="C360">
        <v>3.9140000000000001E-2</v>
      </c>
      <c r="D360">
        <v>3.4369999999999998E-2</v>
      </c>
      <c r="E360">
        <v>3.6360000000000003E-2</v>
      </c>
      <c r="F360">
        <v>155817091.30000001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-0.16561844863731479</v>
      </c>
      <c r="Q360">
        <f t="shared" si="970"/>
        <v>-25806184.932284839</v>
      </c>
      <c r="R360">
        <f t="shared" si="971"/>
        <v>-989710708.76246798</v>
      </c>
      <c r="S360">
        <f t="shared" si="972"/>
        <v>-9897.1070876246795</v>
      </c>
      <c r="T360">
        <f t="shared" si="973"/>
        <v>-9.8971070876246792</v>
      </c>
    </row>
    <row r="361" spans="1:20" x14ac:dyDescent="0.25">
      <c r="A361" s="5">
        <v>44232</v>
      </c>
      <c r="B361">
        <v>3.4139999999999997E-2</v>
      </c>
      <c r="C361">
        <v>3.9379999999999998E-2</v>
      </c>
      <c r="D361">
        <v>3.4110000000000001E-2</v>
      </c>
      <c r="E361">
        <v>3.8859999999999999E-2</v>
      </c>
      <c r="F361">
        <v>291307175.39999998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0.80265654648956364</v>
      </c>
      <c r="Q361">
        <f t="shared" si="970"/>
        <v>233819611.37419355</v>
      </c>
      <c r="R361">
        <f t="shared" si="971"/>
        <v>-963904523.83018315</v>
      </c>
      <c r="S361">
        <f t="shared" si="972"/>
        <v>-9639.045238301831</v>
      </c>
      <c r="T361">
        <f t="shared" si="973"/>
        <v>-9.639045238301831</v>
      </c>
    </row>
    <row r="362" spans="1:20" x14ac:dyDescent="0.25">
      <c r="A362" s="5">
        <v>44231</v>
      </c>
      <c r="B362">
        <v>3.517E-2</v>
      </c>
      <c r="C362">
        <v>3.5900000000000001E-2</v>
      </c>
      <c r="D362">
        <v>3.2469999999999999E-2</v>
      </c>
      <c r="E362">
        <v>3.415E-2</v>
      </c>
      <c r="F362">
        <v>131011276.40000001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-2.0408163265306287E-2</v>
      </c>
      <c r="Q362">
        <f t="shared" si="970"/>
        <v>-2673699.5183673687</v>
      </c>
      <c r="R362">
        <f t="shared" si="971"/>
        <v>-1197724135.2043767</v>
      </c>
      <c r="S362">
        <f t="shared" si="972"/>
        <v>-11977.241352043768</v>
      </c>
      <c r="T362">
        <f t="shared" si="973"/>
        <v>-11.977241352043768</v>
      </c>
    </row>
    <row r="363" spans="1:20" x14ac:dyDescent="0.25">
      <c r="A363" s="5">
        <v>44230</v>
      </c>
      <c r="B363">
        <v>3.3529999999999997E-2</v>
      </c>
      <c r="C363">
        <v>3.8309999999999997E-2</v>
      </c>
      <c r="D363">
        <v>3.3320000000000002E-2</v>
      </c>
      <c r="E363">
        <v>3.5130000000000002E-2</v>
      </c>
      <c r="F363">
        <v>219470260.30000001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-0.27454909819639234</v>
      </c>
      <c r="Q363">
        <f t="shared" si="970"/>
        <v>-60255362.046292491</v>
      </c>
      <c r="R363">
        <f t="shared" si="971"/>
        <v>-1195050435.6860094</v>
      </c>
      <c r="S363">
        <f t="shared" si="972"/>
        <v>-11950.504356860094</v>
      </c>
      <c r="T363">
        <f t="shared" si="973"/>
        <v>-11.950504356860094</v>
      </c>
    </row>
    <row r="364" spans="1:20" x14ac:dyDescent="0.25">
      <c r="A364" s="5">
        <v>44229</v>
      </c>
      <c r="B364">
        <v>3.2840000000000001E-2</v>
      </c>
      <c r="C364">
        <v>3.4000000000000002E-2</v>
      </c>
      <c r="D364">
        <v>3.211E-2</v>
      </c>
      <c r="E364">
        <v>3.3579999999999999E-2</v>
      </c>
      <c r="F364">
        <v>62301300.399999999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0.55555555555555225</v>
      </c>
      <c r="Q364">
        <f t="shared" si="970"/>
        <v>34611833.555555351</v>
      </c>
      <c r="R364">
        <f t="shared" si="971"/>
        <v>-1134795073.6397169</v>
      </c>
      <c r="S364">
        <f t="shared" si="972"/>
        <v>-11347.950736397168</v>
      </c>
      <c r="T364">
        <f t="shared" si="973"/>
        <v>-11.347950736397168</v>
      </c>
    </row>
    <row r="365" spans="1:20" x14ac:dyDescent="0.25">
      <c r="A365" s="5">
        <v>44228</v>
      </c>
      <c r="B365">
        <v>3.0870000000000002E-2</v>
      </c>
      <c r="C365">
        <v>3.3000000000000002E-2</v>
      </c>
      <c r="D365">
        <v>3.0200000000000001E-2</v>
      </c>
      <c r="E365">
        <v>3.2840000000000001E-2</v>
      </c>
      <c r="F365">
        <v>85760083.200000003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0.88571428571428545</v>
      </c>
      <c r="Q365">
        <f t="shared" si="970"/>
        <v>75958930.834285691</v>
      </c>
      <c r="R365">
        <f t="shared" si="971"/>
        <v>-1169406907.1952722</v>
      </c>
      <c r="S365">
        <f t="shared" si="972"/>
        <v>-11694.069071952723</v>
      </c>
      <c r="T365">
        <f t="shared" si="973"/>
        <v>-11.694069071952724</v>
      </c>
    </row>
    <row r="366" spans="1:20" x14ac:dyDescent="0.25">
      <c r="A366" s="5">
        <v>44227</v>
      </c>
      <c r="B366">
        <v>3.092E-2</v>
      </c>
      <c r="C366">
        <v>3.313E-2</v>
      </c>
      <c r="D366">
        <v>2.9700000000000001E-2</v>
      </c>
      <c r="E366">
        <v>3.0839999999999999E-2</v>
      </c>
      <c r="F366">
        <v>82896068.200000003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-0.33527696793002976</v>
      </c>
      <c r="Q366">
        <f t="shared" si="970"/>
        <v>-27793142.399416961</v>
      </c>
      <c r="R366">
        <f t="shared" si="971"/>
        <v>-1245365838.0295579</v>
      </c>
      <c r="S366">
        <f t="shared" si="972"/>
        <v>-12453.658380295579</v>
      </c>
      <c r="T366">
        <f t="shared" si="973"/>
        <v>-12.453658380295579</v>
      </c>
    </row>
    <row r="367" spans="1:20" x14ac:dyDescent="0.25">
      <c r="A367" s="5">
        <v>44226</v>
      </c>
      <c r="B367">
        <v>3.0550000000000001E-2</v>
      </c>
      <c r="C367">
        <v>3.2759999999999997E-2</v>
      </c>
      <c r="D367">
        <v>3.0169999999999999E-2</v>
      </c>
      <c r="E367">
        <v>3.0890000000000001E-2</v>
      </c>
      <c r="F367">
        <v>110169538.90000001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-0.44401544401544224</v>
      </c>
      <c r="Q367">
        <f t="shared" si="970"/>
        <v>-48916976.731660038</v>
      </c>
      <c r="R367">
        <f t="shared" si="971"/>
        <v>-1217572695.630141</v>
      </c>
      <c r="S367">
        <f t="shared" si="972"/>
        <v>-12175.726956301411</v>
      </c>
      <c r="T367">
        <f t="shared" si="973"/>
        <v>-12.175726956301411</v>
      </c>
    </row>
    <row r="368" spans="1:20" x14ac:dyDescent="0.25">
      <c r="A368" s="5">
        <v>44225</v>
      </c>
      <c r="B368">
        <v>3.0880000000000001E-2</v>
      </c>
      <c r="C368">
        <v>3.7719999999999997E-2</v>
      </c>
      <c r="D368">
        <v>2.9479999999999999E-2</v>
      </c>
      <c r="E368">
        <v>3.049E-2</v>
      </c>
      <c r="F368">
        <v>237412317.19999999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-0.75485436893203861</v>
      </c>
      <c r="Q368">
        <f t="shared" si="970"/>
        <v>-179211724.87669897</v>
      </c>
      <c r="R368">
        <f t="shared" si="971"/>
        <v>-1168655718.8984809</v>
      </c>
      <c r="S368">
        <f t="shared" si="972"/>
        <v>-11686.557188984809</v>
      </c>
      <c r="T368">
        <f t="shared" si="973"/>
        <v>-11.686557188984809</v>
      </c>
    </row>
    <row r="369" spans="1:20" x14ac:dyDescent="0.25">
      <c r="A369" s="5">
        <v>44224</v>
      </c>
      <c r="B369">
        <v>2.7820000000000001E-2</v>
      </c>
      <c r="C369">
        <v>3.1739999999999997E-2</v>
      </c>
      <c r="D369">
        <v>2.776E-2</v>
      </c>
      <c r="E369">
        <v>3.0880000000000001E-2</v>
      </c>
      <c r="F369">
        <v>98088378.700000003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0.56783919597990118</v>
      </c>
      <c r="Q369">
        <f t="shared" si="970"/>
        <v>55698426.095980063</v>
      </c>
      <c r="R369">
        <f t="shared" si="971"/>
        <v>-989443994.0217818</v>
      </c>
      <c r="S369">
        <f t="shared" si="972"/>
        <v>-9894.4399402178187</v>
      </c>
      <c r="T369">
        <f t="shared" si="973"/>
        <v>-9.8944399402178185</v>
      </c>
    </row>
    <row r="370" spans="1:20" x14ac:dyDescent="0.25">
      <c r="A370" s="5">
        <v>44223</v>
      </c>
      <c r="B370">
        <v>2.955E-2</v>
      </c>
      <c r="C370">
        <v>2.9600000000000001E-2</v>
      </c>
      <c r="D370">
        <v>2.6120000000000001E-2</v>
      </c>
      <c r="E370">
        <v>2.7779999999999999E-2</v>
      </c>
      <c r="F370">
        <v>93572204.299999997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-4.5977011494253983E-2</v>
      </c>
      <c r="Q370">
        <f t="shared" si="970"/>
        <v>-4302170.3126437822</v>
      </c>
      <c r="R370">
        <f t="shared" si="971"/>
        <v>-1045142420.1177619</v>
      </c>
      <c r="S370">
        <f t="shared" si="972"/>
        <v>-10451.424201177619</v>
      </c>
      <c r="T370">
        <f t="shared" si="973"/>
        <v>-10.451424201177618</v>
      </c>
    </row>
    <row r="371" spans="1:20" x14ac:dyDescent="0.25">
      <c r="A371" s="5">
        <v>44222</v>
      </c>
      <c r="B371">
        <v>3.0429999999999999E-2</v>
      </c>
      <c r="C371">
        <v>3.0609999999999998E-2</v>
      </c>
      <c r="D371">
        <v>2.775E-2</v>
      </c>
      <c r="E371">
        <v>2.955E-2</v>
      </c>
      <c r="F371">
        <v>111621377.59999999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0.25874125874125931</v>
      </c>
      <c r="Q371">
        <f t="shared" si="970"/>
        <v>28881055.742657404</v>
      </c>
      <c r="R371">
        <f t="shared" si="971"/>
        <v>-1040840249.8051181</v>
      </c>
      <c r="S371">
        <f t="shared" si="972"/>
        <v>-10408.40249805118</v>
      </c>
      <c r="T371">
        <f t="shared" si="973"/>
        <v>-10.40840249805118</v>
      </c>
    </row>
    <row r="372" spans="1:20" x14ac:dyDescent="0.25">
      <c r="A372" s="5">
        <v>44221</v>
      </c>
      <c r="B372">
        <v>2.9389999999999999E-2</v>
      </c>
      <c r="C372">
        <v>3.5439999999999999E-2</v>
      </c>
      <c r="D372">
        <v>2.8750000000000001E-2</v>
      </c>
      <c r="E372">
        <v>3.0370000000000001E-2</v>
      </c>
      <c r="F372">
        <v>348067280.30000001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-0.51569506726457393</v>
      </c>
      <c r="Q372">
        <f t="shared" si="970"/>
        <v>-179496579.5269058</v>
      </c>
      <c r="R372">
        <f t="shared" si="971"/>
        <v>-1069721305.5477755</v>
      </c>
      <c r="S372">
        <f t="shared" si="972"/>
        <v>-10697.213055477756</v>
      </c>
      <c r="T372">
        <f t="shared" si="973"/>
        <v>-10.697213055477755</v>
      </c>
    </row>
    <row r="373" spans="1:20" x14ac:dyDescent="0.25">
      <c r="A373" s="5">
        <v>44220</v>
      </c>
      <c r="B373">
        <v>2.8240000000000001E-2</v>
      </c>
      <c r="C373">
        <v>3.0300000000000001E-2</v>
      </c>
      <c r="D373">
        <v>2.775E-2</v>
      </c>
      <c r="E373">
        <v>2.9399999999999999E-2</v>
      </c>
      <c r="F373">
        <v>122874341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0.29411764705882243</v>
      </c>
      <c r="Q373">
        <f t="shared" si="970"/>
        <v>36139512.058823392</v>
      </c>
      <c r="R373">
        <f t="shared" si="971"/>
        <v>-890224726.02086973</v>
      </c>
      <c r="S373">
        <f t="shared" si="972"/>
        <v>-8902.2472602086982</v>
      </c>
      <c r="T373">
        <f t="shared" si="973"/>
        <v>-8.9022472602086982</v>
      </c>
    </row>
    <row r="374" spans="1:20" x14ac:dyDescent="0.25">
      <c r="A374" s="5">
        <v>44219</v>
      </c>
      <c r="B374">
        <v>2.6950000000000002E-2</v>
      </c>
      <c r="C374">
        <v>2.9899999999999999E-2</v>
      </c>
      <c r="D374">
        <v>2.6620000000000001E-2</v>
      </c>
      <c r="E374">
        <v>2.8240000000000001E-2</v>
      </c>
      <c r="F374">
        <v>185580069.90000001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-1.2195121951219022E-2</v>
      </c>
      <c r="Q374">
        <f t="shared" si="970"/>
        <v>-2263171.5841462505</v>
      </c>
      <c r="R374">
        <f t="shared" si="971"/>
        <v>-926364238.07969308</v>
      </c>
      <c r="S374">
        <f t="shared" si="972"/>
        <v>-9263.6423807969313</v>
      </c>
      <c r="T374">
        <f t="shared" si="973"/>
        <v>-9.2636423807969308</v>
      </c>
    </row>
    <row r="375" spans="1:20" x14ac:dyDescent="0.25">
      <c r="A375" s="5">
        <v>44218</v>
      </c>
      <c r="B375">
        <v>2.589E-2</v>
      </c>
      <c r="C375">
        <v>2.7480000000000001E-2</v>
      </c>
      <c r="D375">
        <v>2.4109999999999999E-2</v>
      </c>
      <c r="E375">
        <v>2.7029999999999998E-2</v>
      </c>
      <c r="F375">
        <v>70042775.400000006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0.73293768545993931</v>
      </c>
      <c r="Q375">
        <f t="shared" si="970"/>
        <v>51336989.684866376</v>
      </c>
      <c r="R375">
        <f t="shared" si="971"/>
        <v>-924101066.49554682</v>
      </c>
      <c r="S375">
        <f t="shared" si="972"/>
        <v>-9241.0106649554673</v>
      </c>
      <c r="T375">
        <f t="shared" si="973"/>
        <v>-9.2410106649554677</v>
      </c>
    </row>
    <row r="376" spans="1:20" x14ac:dyDescent="0.25">
      <c r="A376" s="5">
        <v>44217</v>
      </c>
      <c r="B376">
        <v>2.853E-2</v>
      </c>
      <c r="C376">
        <v>2.8660000000000001E-2</v>
      </c>
      <c r="D376">
        <v>2.5569999999999999E-2</v>
      </c>
      <c r="E376">
        <v>2.5780000000000001E-2</v>
      </c>
      <c r="F376">
        <v>80769607.5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-0.86407766990291157</v>
      </c>
      <c r="Q376">
        <f t="shared" si="970"/>
        <v>-69791214.247572735</v>
      </c>
      <c r="R376">
        <f t="shared" si="971"/>
        <v>-975438056.18041325</v>
      </c>
      <c r="S376">
        <f t="shared" si="972"/>
        <v>-9754.3805618041333</v>
      </c>
      <c r="T376">
        <f t="shared" si="973"/>
        <v>-9.7543805618041333</v>
      </c>
    </row>
    <row r="377" spans="1:20" x14ac:dyDescent="0.25">
      <c r="A377" s="5">
        <v>44216</v>
      </c>
      <c r="B377">
        <v>2.8809999999999999E-2</v>
      </c>
      <c r="C377">
        <v>2.9319999999999999E-2</v>
      </c>
      <c r="D377">
        <v>2.6499999999999999E-2</v>
      </c>
      <c r="E377">
        <v>2.8539999999999999E-2</v>
      </c>
      <c r="F377">
        <v>89060834.299999997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0.44680851063829818</v>
      </c>
      <c r="Q377">
        <f t="shared" si="970"/>
        <v>39793138.72978726</v>
      </c>
      <c r="R377">
        <f t="shared" si="971"/>
        <v>-905646841.93284047</v>
      </c>
      <c r="S377">
        <f t="shared" si="972"/>
        <v>-9056.4684193284047</v>
      </c>
      <c r="T377">
        <f t="shared" si="973"/>
        <v>-9.0564684193284055</v>
      </c>
    </row>
    <row r="378" spans="1:20" x14ac:dyDescent="0.25">
      <c r="A378" s="5">
        <v>44215</v>
      </c>
      <c r="B378">
        <v>3.0349999999999999E-2</v>
      </c>
      <c r="C378">
        <v>3.15E-2</v>
      </c>
      <c r="D378">
        <v>2.8510000000000001E-2</v>
      </c>
      <c r="E378">
        <v>2.8850000000000001E-2</v>
      </c>
      <c r="F378">
        <v>82625386.400000006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-0.77257525083612033</v>
      </c>
      <c r="Q378">
        <f t="shared" si="970"/>
        <v>-63834328.623411372</v>
      </c>
      <c r="R378">
        <f t="shared" si="971"/>
        <v>-945439980.6626277</v>
      </c>
      <c r="S378">
        <f t="shared" si="972"/>
        <v>-9454.3998066262775</v>
      </c>
      <c r="T378">
        <f t="shared" si="973"/>
        <v>-9.4543998066262773</v>
      </c>
    </row>
    <row r="379" spans="1:20" x14ac:dyDescent="0.25">
      <c r="A379" s="5">
        <v>44214</v>
      </c>
      <c r="B379">
        <v>2.8119999999999999E-2</v>
      </c>
      <c r="C379">
        <v>3.1040000000000002E-2</v>
      </c>
      <c r="D379">
        <v>2.7640000000000001E-2</v>
      </c>
      <c r="E379">
        <v>3.0329999999999999E-2</v>
      </c>
      <c r="F379">
        <v>160168428.19999999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0.5823529411764693</v>
      </c>
      <c r="Q379">
        <f t="shared" si="970"/>
        <v>93274555.245882139</v>
      </c>
      <c r="R379">
        <f t="shared" si="971"/>
        <v>-881605652.03921628</v>
      </c>
      <c r="S379">
        <f t="shared" si="972"/>
        <v>-8816.0565203921633</v>
      </c>
      <c r="T379">
        <f t="shared" si="973"/>
        <v>-8.8160565203921628</v>
      </c>
    </row>
    <row r="380" spans="1:20" x14ac:dyDescent="0.25">
      <c r="A380" s="5">
        <v>44213</v>
      </c>
      <c r="B380">
        <v>2.8070000000000001E-2</v>
      </c>
      <c r="C380">
        <v>2.8320000000000001E-2</v>
      </c>
      <c r="D380">
        <v>2.606E-2</v>
      </c>
      <c r="E380">
        <v>2.8049999999999999E-2</v>
      </c>
      <c r="F380">
        <v>78693031.099999994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0.7610619469026525</v>
      </c>
      <c r="Q380">
        <f t="shared" si="970"/>
        <v>59890271.45663698</v>
      </c>
      <c r="R380">
        <f t="shared" si="971"/>
        <v>-974880207.28509843</v>
      </c>
      <c r="S380">
        <f t="shared" si="972"/>
        <v>-9748.8020728509837</v>
      </c>
      <c r="T380">
        <f t="shared" si="973"/>
        <v>-9.7488020728509834</v>
      </c>
    </row>
    <row r="381" spans="1:20" x14ac:dyDescent="0.25">
      <c r="A381" s="5">
        <v>44212</v>
      </c>
      <c r="B381">
        <v>2.8379999999999999E-2</v>
      </c>
      <c r="C381">
        <v>2.8920000000000001E-2</v>
      </c>
      <c r="D381">
        <v>2.6800000000000001E-2</v>
      </c>
      <c r="E381">
        <v>2.8049999999999999E-2</v>
      </c>
      <c r="F381">
        <v>107214057.3</v>
      </c>
      <c r="G381">
        <v>0</v>
      </c>
      <c r="L381" t="s">
        <v>7</v>
      </c>
      <c r="M381" t="s">
        <v>7</v>
      </c>
      <c r="N381" t="s">
        <v>8</v>
      </c>
      <c r="P381">
        <f t="shared" si="969"/>
        <v>0.1792452830188655</v>
      </c>
      <c r="Q381">
        <f t="shared" si="970"/>
        <v>19217614.044339363</v>
      </c>
      <c r="R381">
        <f t="shared" si="971"/>
        <v>-1034770478.7417355</v>
      </c>
      <c r="S381">
        <f t="shared" si="972"/>
        <v>-10347.704787417355</v>
      </c>
      <c r="T381">
        <f t="shared" si="973"/>
        <v>-10.347704787417355</v>
      </c>
    </row>
    <row r="382" spans="1:20" x14ac:dyDescent="0.25">
      <c r="A382" s="5">
        <v>44211</v>
      </c>
      <c r="B382">
        <v>2.5989999999999999E-2</v>
      </c>
      <c r="C382">
        <v>3.4200000000000001E-2</v>
      </c>
      <c r="D382">
        <v>2.5569999999999999E-2</v>
      </c>
      <c r="E382">
        <v>2.845E-2</v>
      </c>
      <c r="F382">
        <v>371038963.39999998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-0.33256083429895716</v>
      </c>
      <c r="Q382">
        <f t="shared" si="970"/>
        <v>-123393027.22572422</v>
      </c>
      <c r="R382">
        <f t="shared" si="971"/>
        <v>-1053988092.7860749</v>
      </c>
      <c r="S382">
        <f t="shared" si="972"/>
        <v>-10539.88092786075</v>
      </c>
      <c r="T382">
        <f t="shared" si="973"/>
        <v>-10.53988092786075</v>
      </c>
    </row>
    <row r="383" spans="1:20" x14ac:dyDescent="0.25">
      <c r="A383" s="5">
        <v>44210</v>
      </c>
      <c r="B383">
        <v>2.53E-2</v>
      </c>
      <c r="C383">
        <v>2.6960000000000001E-2</v>
      </c>
      <c r="D383">
        <v>2.4729999999999999E-2</v>
      </c>
      <c r="E383">
        <v>2.5930000000000002E-2</v>
      </c>
      <c r="F383">
        <v>66239010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7.6233183856503711E-2</v>
      </c>
      <c r="Q383">
        <f t="shared" si="970"/>
        <v>5049610.6278027883</v>
      </c>
      <c r="R383">
        <f t="shared" si="971"/>
        <v>-930595065.56035066</v>
      </c>
      <c r="S383">
        <f t="shared" si="972"/>
        <v>-9305.9506556035067</v>
      </c>
      <c r="T383">
        <f t="shared" si="973"/>
        <v>-9.3059506556035068</v>
      </c>
    </row>
    <row r="384" spans="1:20" x14ac:dyDescent="0.25">
      <c r="A384" s="5">
        <v>44209</v>
      </c>
      <c r="B384">
        <v>2.4209999999999999E-2</v>
      </c>
      <c r="C384">
        <v>2.53E-2</v>
      </c>
      <c r="D384">
        <v>2.3220000000000001E-2</v>
      </c>
      <c r="E384">
        <v>2.5270000000000001E-2</v>
      </c>
      <c r="F384">
        <v>51475456.799999997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0.97115384615384726</v>
      </c>
      <c r="Q384">
        <f t="shared" si="970"/>
        <v>49990587.853846207</v>
      </c>
      <c r="R384">
        <f t="shared" si="971"/>
        <v>-935644676.18815339</v>
      </c>
      <c r="S384">
        <f t="shared" si="972"/>
        <v>-9356.4467618815343</v>
      </c>
      <c r="T384">
        <f t="shared" si="973"/>
        <v>-9.3564467618815339</v>
      </c>
    </row>
    <row r="385" spans="1:20" x14ac:dyDescent="0.25">
      <c r="A385" s="5">
        <v>44208</v>
      </c>
      <c r="B385">
        <v>2.333E-2</v>
      </c>
      <c r="C385">
        <v>2.4969999999999999E-2</v>
      </c>
      <c r="D385">
        <v>2.2540000000000001E-2</v>
      </c>
      <c r="E385">
        <v>2.418E-2</v>
      </c>
      <c r="F385">
        <v>63714114.600000001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0.34979423868312787</v>
      </c>
      <c r="Q385">
        <f t="shared" si="970"/>
        <v>22286830.209876563</v>
      </c>
      <c r="R385">
        <f t="shared" si="971"/>
        <v>-985635264.04199958</v>
      </c>
      <c r="S385">
        <f t="shared" si="972"/>
        <v>-9856.3526404199965</v>
      </c>
      <c r="T385">
        <f t="shared" si="973"/>
        <v>-9.8563526404199973</v>
      </c>
    </row>
    <row r="386" spans="1:20" x14ac:dyDescent="0.25">
      <c r="A386" s="5">
        <v>44207</v>
      </c>
      <c r="B386">
        <v>2.6360000000000001E-2</v>
      </c>
      <c r="C386">
        <v>2.64E-2</v>
      </c>
      <c r="D386">
        <v>2.1010000000000001E-2</v>
      </c>
      <c r="E386">
        <v>2.3390000000000001E-2</v>
      </c>
      <c r="F386">
        <v>87099542.200000003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-0.11688311688311664</v>
      </c>
      <c r="Q386">
        <f t="shared" si="970"/>
        <v>-10180465.971428551</v>
      </c>
      <c r="R386">
        <f t="shared" si="971"/>
        <v>-1007922094.2518761</v>
      </c>
      <c r="S386">
        <f t="shared" si="972"/>
        <v>-10079.220942518761</v>
      </c>
      <c r="T386">
        <f t="shared" si="973"/>
        <v>-10.079220942518761</v>
      </c>
    </row>
    <row r="387" spans="1:20" x14ac:dyDescent="0.25">
      <c r="A387" s="5">
        <v>44206</v>
      </c>
      <c r="B387">
        <v>2.7830000000000001E-2</v>
      </c>
      <c r="C387">
        <v>3.0499999999999999E-2</v>
      </c>
      <c r="D387">
        <v>2.5000000000000001E-2</v>
      </c>
      <c r="E387">
        <v>2.639E-2</v>
      </c>
      <c r="F387">
        <v>116761049.09999999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-0.49454545454545479</v>
      </c>
      <c r="Q387">
        <f t="shared" si="970"/>
        <v>-57743646.100363664</v>
      </c>
      <c r="R387">
        <f t="shared" si="971"/>
        <v>-997741628.2804476</v>
      </c>
      <c r="S387">
        <f t="shared" si="972"/>
        <v>-9977.4162828044755</v>
      </c>
      <c r="T387">
        <f t="shared" si="973"/>
        <v>-9.9774162828044748</v>
      </c>
    </row>
    <row r="388" spans="1:20" x14ac:dyDescent="0.25">
      <c r="A388" s="5">
        <v>44205</v>
      </c>
      <c r="B388">
        <v>2.665E-2</v>
      </c>
      <c r="C388">
        <v>2.903E-2</v>
      </c>
      <c r="D388">
        <v>2.521E-2</v>
      </c>
      <c r="E388">
        <v>2.7789999999999999E-2</v>
      </c>
      <c r="F388">
        <v>136868474.80000001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0.35078534031413539</v>
      </c>
      <c r="Q388">
        <f t="shared" si="970"/>
        <v>48011454.510994665</v>
      </c>
      <c r="R388">
        <f t="shared" si="971"/>
        <v>-939997982.18008399</v>
      </c>
      <c r="S388">
        <f t="shared" si="972"/>
        <v>-9399.97982180084</v>
      </c>
      <c r="T388">
        <f t="shared" si="973"/>
        <v>-9.3999798218008408</v>
      </c>
    </row>
    <row r="389" spans="1:20" x14ac:dyDescent="0.25">
      <c r="A389" s="5">
        <v>44204</v>
      </c>
      <c r="B389">
        <v>2.4379999999999999E-2</v>
      </c>
      <c r="C389">
        <v>3.0120000000000001E-2</v>
      </c>
      <c r="D389">
        <v>2.3740000000000001E-2</v>
      </c>
      <c r="E389">
        <v>2.6689999999999998E-2</v>
      </c>
      <c r="F389">
        <v>228589002.30000001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-7.5235109717869078E-2</v>
      </c>
      <c r="Q389">
        <f t="shared" si="970"/>
        <v>-17197918.668338727</v>
      </c>
      <c r="R389">
        <f t="shared" si="971"/>
        <v>-988009436.69107866</v>
      </c>
      <c r="S389">
        <f t="shared" si="972"/>
        <v>-9880.0943669107874</v>
      </c>
      <c r="T389">
        <f t="shared" si="973"/>
        <v>-9.8800943669107877</v>
      </c>
    </row>
    <row r="390" spans="1:20" x14ac:dyDescent="0.25">
      <c r="A390" s="5">
        <v>44203</v>
      </c>
      <c r="B390">
        <v>2.4590000000000001E-2</v>
      </c>
      <c r="C390">
        <v>2.647E-2</v>
      </c>
      <c r="D390">
        <v>2.3609999999999999E-2</v>
      </c>
      <c r="E390">
        <v>2.4379999999999999E-2</v>
      </c>
      <c r="F390">
        <v>114967251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-0.4615384615384619</v>
      </c>
      <c r="Q390">
        <f t="shared" ref="Q390:Q453" si="975">F390*P390</f>
        <v>-53061808.153846197</v>
      </c>
      <c r="R390">
        <f t="shared" ref="R390:R453" si="976">R391+Q390</f>
        <v>-970811518.02273989</v>
      </c>
      <c r="S390">
        <f t="shared" ref="S390:S453" si="977">R390/100000</f>
        <v>-9708.115180227398</v>
      </c>
      <c r="T390">
        <f t="shared" ref="T390:T453" si="978">S390/1000</f>
        <v>-9.7081151802273986</v>
      </c>
    </row>
    <row r="391" spans="1:20" x14ac:dyDescent="0.25">
      <c r="A391" s="5">
        <v>44202</v>
      </c>
      <c r="B391">
        <v>2.3560000000000001E-2</v>
      </c>
      <c r="C391">
        <v>2.4680000000000001E-2</v>
      </c>
      <c r="D391">
        <v>2.3029999999999998E-2</v>
      </c>
      <c r="E391">
        <v>2.4590000000000001E-2</v>
      </c>
      <c r="F391">
        <v>67075557.799999997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0.89090909090909132</v>
      </c>
      <c r="Q391">
        <f t="shared" si="975"/>
        <v>59758224.221818209</v>
      </c>
      <c r="R391">
        <f t="shared" si="976"/>
        <v>-917749709.86889374</v>
      </c>
      <c r="S391">
        <f t="shared" si="977"/>
        <v>-9177.4970986889366</v>
      </c>
      <c r="T391">
        <f t="shared" si="978"/>
        <v>-9.1774970986889368</v>
      </c>
    </row>
    <row r="392" spans="1:20" x14ac:dyDescent="0.25">
      <c r="A392" s="5">
        <v>44201</v>
      </c>
      <c r="B392">
        <v>2.4029999999999999E-2</v>
      </c>
      <c r="C392">
        <v>2.4060000000000002E-2</v>
      </c>
      <c r="D392">
        <v>2.181E-2</v>
      </c>
      <c r="E392">
        <v>2.3519999999999999E-2</v>
      </c>
      <c r="F392">
        <v>90498388.900000006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0.51999999999999835</v>
      </c>
      <c r="Q392">
        <f t="shared" si="975"/>
        <v>47059162.227999851</v>
      </c>
      <c r="R392">
        <f t="shared" si="976"/>
        <v>-977507934.09071195</v>
      </c>
      <c r="S392">
        <f t="shared" si="977"/>
        <v>-9775.0793409071193</v>
      </c>
      <c r="T392">
        <f t="shared" si="978"/>
        <v>-9.7750793409071193</v>
      </c>
    </row>
    <row r="393" spans="1:20" x14ac:dyDescent="0.25">
      <c r="A393" s="5">
        <v>44200</v>
      </c>
      <c r="B393">
        <v>2.4060000000000002E-2</v>
      </c>
      <c r="C393">
        <v>2.5950000000000001E-2</v>
      </c>
      <c r="D393">
        <v>2.1600000000000001E-2</v>
      </c>
      <c r="E393">
        <v>2.4E-2</v>
      </c>
      <c r="F393">
        <v>119186897.7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0.10344827586206874</v>
      </c>
      <c r="Q393">
        <f t="shared" si="975"/>
        <v>12329679.072413767</v>
      </c>
      <c r="R393">
        <f t="shared" si="976"/>
        <v>-1024567096.3187118</v>
      </c>
      <c r="S393">
        <f t="shared" si="977"/>
        <v>-10245.670963187118</v>
      </c>
      <c r="T393">
        <f t="shared" si="978"/>
        <v>-10.245670963187118</v>
      </c>
    </row>
    <row r="394" spans="1:20" x14ac:dyDescent="0.25">
      <c r="A394" s="5">
        <v>44199</v>
      </c>
      <c r="B394">
        <v>2.3630000000000002E-2</v>
      </c>
      <c r="C394">
        <v>2.4490000000000001E-2</v>
      </c>
      <c r="D394">
        <v>2.291E-2</v>
      </c>
      <c r="E394">
        <v>2.4070000000000001E-2</v>
      </c>
      <c r="F394">
        <v>51802244.899999999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0.46835443037974706</v>
      </c>
      <c r="Q394">
        <f t="shared" si="975"/>
        <v>24261810.902531657</v>
      </c>
      <c r="R394">
        <f t="shared" si="976"/>
        <v>-1036896775.3911256</v>
      </c>
      <c r="S394">
        <f t="shared" si="977"/>
        <v>-10368.967753911256</v>
      </c>
      <c r="T394">
        <f t="shared" si="978"/>
        <v>-10.368967753911257</v>
      </c>
    </row>
    <row r="395" spans="1:20" x14ac:dyDescent="0.25">
      <c r="A395" s="5">
        <v>44198</v>
      </c>
      <c r="B395">
        <v>2.2849999999999999E-2</v>
      </c>
      <c r="C395">
        <v>2.4140000000000002E-2</v>
      </c>
      <c r="D395">
        <v>2.2440000000000002E-2</v>
      </c>
      <c r="E395">
        <v>2.3630000000000002E-2</v>
      </c>
      <c r="F395">
        <v>63596684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0.4</v>
      </c>
      <c r="Q395">
        <f t="shared" si="975"/>
        <v>25438673.600000001</v>
      </c>
      <c r="R395">
        <f t="shared" si="976"/>
        <v>-1061158586.2936572</v>
      </c>
      <c r="S395">
        <f t="shared" si="977"/>
        <v>-10611.585862936572</v>
      </c>
      <c r="T395">
        <f t="shared" si="978"/>
        <v>-10.611585862936572</v>
      </c>
    </row>
    <row r="396" spans="1:20" x14ac:dyDescent="0.25">
      <c r="A396" s="5">
        <v>44197</v>
      </c>
      <c r="B396">
        <v>2.2190000000000001E-2</v>
      </c>
      <c r="C396">
        <v>2.2970000000000001E-2</v>
      </c>
      <c r="D396">
        <v>2.2069999999999999E-2</v>
      </c>
      <c r="E396">
        <v>2.2859999999999998E-2</v>
      </c>
      <c r="F396">
        <v>25787800.199999999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0.75555555555555054</v>
      </c>
      <c r="Q396">
        <f t="shared" si="975"/>
        <v>19484115.706666537</v>
      </c>
      <c r="R396">
        <f t="shared" si="976"/>
        <v>-1086597259.8936572</v>
      </c>
      <c r="S396">
        <f t="shared" si="977"/>
        <v>-10865.972598936572</v>
      </c>
      <c r="T396">
        <f t="shared" si="978"/>
        <v>-10.865972598936573</v>
      </c>
    </row>
    <row r="397" spans="1:20" x14ac:dyDescent="0.25">
      <c r="A397" s="5">
        <v>44196</v>
      </c>
      <c r="B397">
        <v>2.2530000000000001E-2</v>
      </c>
      <c r="C397">
        <v>2.2579999999999999E-2</v>
      </c>
      <c r="D397">
        <v>2.154E-2</v>
      </c>
      <c r="E397">
        <v>2.2159999999999999E-2</v>
      </c>
      <c r="F397">
        <v>32361658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0.19230769230769129</v>
      </c>
      <c r="Q397">
        <f t="shared" si="975"/>
        <v>6223395.7692307364</v>
      </c>
      <c r="R397">
        <f t="shared" si="976"/>
        <v>-1106081375.6003237</v>
      </c>
      <c r="S397">
        <f t="shared" si="977"/>
        <v>-11060.813756003237</v>
      </c>
      <c r="T397">
        <f t="shared" si="978"/>
        <v>-11.060813756003238</v>
      </c>
    </row>
    <row r="398" spans="1:20" x14ac:dyDescent="0.25">
      <c r="A398" s="5">
        <v>44195</v>
      </c>
      <c r="B398">
        <v>2.3060000000000001E-2</v>
      </c>
      <c r="C398">
        <v>2.4289999999999999E-2</v>
      </c>
      <c r="D398">
        <v>2.1950000000000001E-2</v>
      </c>
      <c r="E398">
        <v>2.2509999999999999E-2</v>
      </c>
      <c r="F398">
        <v>36012668.799999997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-0.52136752136752273</v>
      </c>
      <c r="Q398">
        <f t="shared" si="975"/>
        <v>-18775835.870085519</v>
      </c>
      <c r="R398">
        <f t="shared" si="976"/>
        <v>-1112304771.3695545</v>
      </c>
      <c r="S398">
        <f t="shared" si="977"/>
        <v>-11123.047713695545</v>
      </c>
      <c r="T398">
        <f t="shared" si="978"/>
        <v>-11.123047713695545</v>
      </c>
    </row>
    <row r="399" spans="1:20" x14ac:dyDescent="0.25">
      <c r="A399" s="5">
        <v>44194</v>
      </c>
      <c r="B399">
        <v>2.4709999999999999E-2</v>
      </c>
      <c r="C399">
        <v>2.495E-2</v>
      </c>
      <c r="D399">
        <v>2.196E-2</v>
      </c>
      <c r="E399">
        <v>2.3050000000000001E-2</v>
      </c>
      <c r="F399">
        <v>48544582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-0.27090301003344425</v>
      </c>
      <c r="Q399">
        <f t="shared" si="975"/>
        <v>-13150873.384615356</v>
      </c>
      <c r="R399">
        <f t="shared" si="976"/>
        <v>-1093528935.499469</v>
      </c>
      <c r="S399">
        <f t="shared" si="977"/>
        <v>-10935.289354994691</v>
      </c>
      <c r="T399">
        <f t="shared" si="978"/>
        <v>-10.935289354994691</v>
      </c>
    </row>
    <row r="400" spans="1:20" x14ac:dyDescent="0.25">
      <c r="A400" s="5">
        <v>44193</v>
      </c>
      <c r="B400">
        <v>2.3259999999999999E-2</v>
      </c>
      <c r="C400">
        <v>2.5239999999999999E-2</v>
      </c>
      <c r="D400">
        <v>2.3089999999999999E-2</v>
      </c>
      <c r="E400">
        <v>2.47E-2</v>
      </c>
      <c r="F400">
        <v>41663187.899999999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0.49767441860465206</v>
      </c>
      <c r="Q400">
        <f t="shared" si="975"/>
        <v>20734702.815348875</v>
      </c>
      <c r="R400">
        <f t="shared" si="976"/>
        <v>-1080378062.1148536</v>
      </c>
      <c r="S400">
        <f t="shared" si="977"/>
        <v>-10803.780621148537</v>
      </c>
      <c r="T400">
        <f t="shared" si="978"/>
        <v>-10.803780621148537</v>
      </c>
    </row>
    <row r="401" spans="1:20" x14ac:dyDescent="0.25">
      <c r="A401" s="5">
        <v>44192</v>
      </c>
      <c r="B401">
        <v>2.2929999999999999E-2</v>
      </c>
      <c r="C401">
        <v>2.496E-2</v>
      </c>
      <c r="D401">
        <v>2.172E-2</v>
      </c>
      <c r="E401">
        <v>2.3269999999999999E-2</v>
      </c>
      <c r="F401">
        <v>79320817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-4.3209876543210263E-2</v>
      </c>
      <c r="Q401">
        <f t="shared" si="975"/>
        <v>-3427442.7098765736</v>
      </c>
      <c r="R401">
        <f t="shared" si="976"/>
        <v>-1101112764.9302025</v>
      </c>
      <c r="S401">
        <f t="shared" si="977"/>
        <v>-11011.127649302025</v>
      </c>
      <c r="T401">
        <f t="shared" si="978"/>
        <v>-11.011127649302026</v>
      </c>
    </row>
    <row r="402" spans="1:20" x14ac:dyDescent="0.25">
      <c r="A402" s="5">
        <v>44191</v>
      </c>
      <c r="B402">
        <v>2.333E-2</v>
      </c>
      <c r="C402">
        <v>2.3480000000000001E-2</v>
      </c>
      <c r="D402">
        <v>2.2519999999999998E-2</v>
      </c>
      <c r="E402">
        <v>2.29E-2</v>
      </c>
      <c r="F402">
        <v>23393735.899999999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-0.20833333333333154</v>
      </c>
      <c r="Q402">
        <f t="shared" si="975"/>
        <v>-4873694.9791666241</v>
      </c>
      <c r="R402">
        <f t="shared" si="976"/>
        <v>-1097685322.2203259</v>
      </c>
      <c r="S402">
        <f t="shared" si="977"/>
        <v>-10976.853222203259</v>
      </c>
      <c r="T402">
        <f t="shared" si="978"/>
        <v>-10.976853222203259</v>
      </c>
    </row>
    <row r="403" spans="1:20" x14ac:dyDescent="0.25">
      <c r="A403" s="5">
        <v>44190</v>
      </c>
      <c r="B403">
        <v>2.358E-2</v>
      </c>
      <c r="C403">
        <v>2.443E-2</v>
      </c>
      <c r="D403">
        <v>2.2540000000000001E-2</v>
      </c>
      <c r="E403">
        <v>2.3300000000000001E-2</v>
      </c>
      <c r="F403">
        <v>31424251.199999999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-0.1957671957671952</v>
      </c>
      <c r="Q403">
        <f t="shared" si="975"/>
        <v>-6151837.5365079185</v>
      </c>
      <c r="R403">
        <f t="shared" si="976"/>
        <v>-1092811627.2411594</v>
      </c>
      <c r="S403">
        <f t="shared" si="977"/>
        <v>-10928.116272411595</v>
      </c>
      <c r="T403">
        <f t="shared" si="978"/>
        <v>-10.928116272411595</v>
      </c>
    </row>
    <row r="404" spans="1:20" x14ac:dyDescent="0.25">
      <c r="A404" s="5">
        <v>44189</v>
      </c>
      <c r="B404">
        <v>2.0990000000000002E-2</v>
      </c>
      <c r="C404">
        <v>2.3630000000000002E-2</v>
      </c>
      <c r="D404">
        <v>2.0420000000000001E-2</v>
      </c>
      <c r="E404">
        <v>2.3529999999999999E-2</v>
      </c>
      <c r="F404">
        <v>38672039.600000001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0.93769470404984245</v>
      </c>
      <c r="Q404">
        <f t="shared" si="975"/>
        <v>36262566.727725789</v>
      </c>
      <c r="R404">
        <f t="shared" si="976"/>
        <v>-1086659789.7046516</v>
      </c>
      <c r="S404">
        <f t="shared" si="977"/>
        <v>-10866.597897046517</v>
      </c>
      <c r="T404">
        <f t="shared" si="978"/>
        <v>-10.866597897046516</v>
      </c>
    </row>
    <row r="405" spans="1:20" x14ac:dyDescent="0.25">
      <c r="A405" s="5">
        <v>44188</v>
      </c>
      <c r="B405">
        <v>2.5270000000000001E-2</v>
      </c>
      <c r="C405">
        <v>2.5499999999999998E-2</v>
      </c>
      <c r="D405">
        <v>2.0320000000000001E-2</v>
      </c>
      <c r="E405">
        <v>2.103E-2</v>
      </c>
      <c r="F405">
        <v>65678946.899999999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-0.72586872586872619</v>
      </c>
      <c r="Q405">
        <f t="shared" si="975"/>
        <v>-47674293.50270272</v>
      </c>
      <c r="R405">
        <f t="shared" si="976"/>
        <v>-1122922356.4323773</v>
      </c>
      <c r="S405">
        <f t="shared" si="977"/>
        <v>-11229.223564323773</v>
      </c>
      <c r="T405">
        <f t="shared" si="978"/>
        <v>-11.229223564323773</v>
      </c>
    </row>
    <row r="406" spans="1:20" x14ac:dyDescent="0.25">
      <c r="A406" s="5">
        <v>44187</v>
      </c>
      <c r="B406">
        <v>2.563E-2</v>
      </c>
      <c r="C406">
        <v>2.5860000000000001E-2</v>
      </c>
      <c r="D406">
        <v>2.4289999999999999E-2</v>
      </c>
      <c r="E406">
        <v>2.5270000000000001E-2</v>
      </c>
      <c r="F406">
        <v>39342451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0.24840764331210252</v>
      </c>
      <c r="Q406">
        <f t="shared" si="975"/>
        <v>9772965.5350318719</v>
      </c>
      <c r="R406">
        <f t="shared" si="976"/>
        <v>-1075248062.9296746</v>
      </c>
      <c r="S406">
        <f t="shared" si="977"/>
        <v>-10752.480629296746</v>
      </c>
      <c r="T406">
        <f t="shared" si="978"/>
        <v>-10.752480629296747</v>
      </c>
    </row>
    <row r="407" spans="1:20" x14ac:dyDescent="0.25">
      <c r="A407" s="5">
        <v>44186</v>
      </c>
      <c r="B407">
        <v>2.7609999999999999E-2</v>
      </c>
      <c r="C407">
        <v>2.955E-2</v>
      </c>
      <c r="D407">
        <v>2.53E-2</v>
      </c>
      <c r="E407">
        <v>2.5649999999999999E-2</v>
      </c>
      <c r="F407">
        <v>97881705.400000006</v>
      </c>
      <c r="G407">
        <v>0</v>
      </c>
      <c r="L407" t="s">
        <v>8</v>
      </c>
      <c r="M407" t="s">
        <v>8</v>
      </c>
      <c r="N407" t="s">
        <v>7</v>
      </c>
      <c r="P407">
        <f t="shared" si="974"/>
        <v>-0.83529411764705896</v>
      </c>
      <c r="Q407">
        <f t="shared" si="975"/>
        <v>-81760012.745882377</v>
      </c>
      <c r="R407">
        <f t="shared" si="976"/>
        <v>-1085021028.4647064</v>
      </c>
      <c r="S407">
        <f t="shared" si="977"/>
        <v>-10850.210284647064</v>
      </c>
      <c r="T407">
        <f t="shared" si="978"/>
        <v>-10.850210284647064</v>
      </c>
    </row>
    <row r="408" spans="1:20" x14ac:dyDescent="0.25">
      <c r="A408" s="5">
        <v>44185</v>
      </c>
      <c r="B408">
        <v>2.7359999999999999E-2</v>
      </c>
      <c r="C408">
        <v>2.9409999999999999E-2</v>
      </c>
      <c r="D408">
        <v>2.7E-2</v>
      </c>
      <c r="E408">
        <v>2.7570000000000001E-2</v>
      </c>
      <c r="F408">
        <v>81398368.200000003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-0.52697095435684538</v>
      </c>
      <c r="Q408">
        <f t="shared" si="975"/>
        <v>-42894575.773443893</v>
      </c>
      <c r="R408">
        <f t="shared" si="976"/>
        <v>-1003261015.718824</v>
      </c>
      <c r="S408">
        <f t="shared" si="977"/>
        <v>-10032.610157188241</v>
      </c>
      <c r="T408">
        <f t="shared" si="978"/>
        <v>-10.032610157188241</v>
      </c>
    </row>
    <row r="409" spans="1:20" x14ac:dyDescent="0.25">
      <c r="A409" s="5">
        <v>44184</v>
      </c>
      <c r="B409">
        <v>2.7490000000000001E-2</v>
      </c>
      <c r="C409">
        <v>2.8500000000000001E-2</v>
      </c>
      <c r="D409">
        <v>2.7040000000000002E-2</v>
      </c>
      <c r="E409">
        <v>2.7349999999999999E-2</v>
      </c>
      <c r="F409">
        <v>41056952.5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-0.57534246575342751</v>
      </c>
      <c r="Q409">
        <f t="shared" si="975"/>
        <v>-23621808.28767135</v>
      </c>
      <c r="R409">
        <f t="shared" si="976"/>
        <v>-960366439.94538009</v>
      </c>
      <c r="S409">
        <f t="shared" si="977"/>
        <v>-9603.6643994538008</v>
      </c>
      <c r="T409">
        <f t="shared" si="978"/>
        <v>-9.6036643994538</v>
      </c>
    </row>
    <row r="410" spans="1:20" x14ac:dyDescent="0.25">
      <c r="A410" s="5">
        <v>44183</v>
      </c>
      <c r="B410">
        <v>2.649E-2</v>
      </c>
      <c r="C410">
        <v>2.8879999999999999E-2</v>
      </c>
      <c r="D410">
        <v>2.596E-2</v>
      </c>
      <c r="E410">
        <v>2.751E-2</v>
      </c>
      <c r="F410">
        <v>45291645.600000001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6.1643835616438242E-2</v>
      </c>
      <c r="Q410">
        <f t="shared" si="975"/>
        <v>2791950.7561643785</v>
      </c>
      <c r="R410">
        <f t="shared" si="976"/>
        <v>-936744631.65770876</v>
      </c>
      <c r="S410">
        <f t="shared" si="977"/>
        <v>-9367.4463165770885</v>
      </c>
      <c r="T410">
        <f t="shared" si="978"/>
        <v>-9.3674463165770891</v>
      </c>
    </row>
    <row r="411" spans="1:20" x14ac:dyDescent="0.25">
      <c r="A411" s="5">
        <v>44182</v>
      </c>
      <c r="B411">
        <v>2.6450000000000001E-2</v>
      </c>
      <c r="C411">
        <v>2.8080000000000001E-2</v>
      </c>
      <c r="D411">
        <v>2.588E-2</v>
      </c>
      <c r="E411">
        <v>2.6499999999999999E-2</v>
      </c>
      <c r="F411">
        <v>57003590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-0.4363636363636374</v>
      </c>
      <c r="Q411">
        <f t="shared" si="975"/>
        <v>-24874293.818181876</v>
      </c>
      <c r="R411">
        <f t="shared" si="976"/>
        <v>-939536582.4138732</v>
      </c>
      <c r="S411">
        <f t="shared" si="977"/>
        <v>-9395.3658241387311</v>
      </c>
      <c r="T411">
        <f t="shared" si="978"/>
        <v>-9.3953658241387306</v>
      </c>
    </row>
    <row r="412" spans="1:20" x14ac:dyDescent="0.25">
      <c r="A412" s="5">
        <v>44181</v>
      </c>
      <c r="B412">
        <v>2.615E-2</v>
      </c>
      <c r="C412">
        <v>2.6689999999999998E-2</v>
      </c>
      <c r="D412">
        <v>2.512E-2</v>
      </c>
      <c r="E412">
        <v>2.6450000000000001E-2</v>
      </c>
      <c r="F412">
        <v>32300232.199999999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0.69426751592357017</v>
      </c>
      <c r="Q412">
        <f t="shared" si="975"/>
        <v>22425001.973248512</v>
      </c>
      <c r="R412">
        <f t="shared" si="976"/>
        <v>-914662288.59569132</v>
      </c>
      <c r="S412">
        <f t="shared" si="977"/>
        <v>-9146.6228859569128</v>
      </c>
      <c r="T412">
        <f t="shared" si="978"/>
        <v>-9.1466228859569121</v>
      </c>
    </row>
    <row r="413" spans="1:20" x14ac:dyDescent="0.25">
      <c r="A413" s="5">
        <v>44180</v>
      </c>
      <c r="B413">
        <v>2.5700000000000001E-2</v>
      </c>
      <c r="C413">
        <v>2.6249999999999999E-2</v>
      </c>
      <c r="D413">
        <v>2.5499999999999998E-2</v>
      </c>
      <c r="E413">
        <v>2.6110000000000001E-2</v>
      </c>
      <c r="F413">
        <v>20270813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0.62666666666667292</v>
      </c>
      <c r="Q413">
        <f t="shared" si="975"/>
        <v>12703042.813333461</v>
      </c>
      <c r="R413">
        <f t="shared" si="976"/>
        <v>-937087290.56893981</v>
      </c>
      <c r="S413">
        <f t="shared" si="977"/>
        <v>-9370.8729056893972</v>
      </c>
      <c r="T413">
        <f t="shared" si="978"/>
        <v>-9.3708729056893976</v>
      </c>
    </row>
    <row r="414" spans="1:20" x14ac:dyDescent="0.25">
      <c r="A414" s="5">
        <v>44179</v>
      </c>
      <c r="B414">
        <v>2.596E-2</v>
      </c>
      <c r="C414">
        <v>2.6849999999999999E-2</v>
      </c>
      <c r="D414">
        <v>2.5420000000000002E-2</v>
      </c>
      <c r="E414">
        <v>2.5739999999999999E-2</v>
      </c>
      <c r="F414">
        <v>26088786.100000001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-0.55244755244755528</v>
      </c>
      <c r="Q414">
        <f t="shared" si="975"/>
        <v>-14412686.027272802</v>
      </c>
      <c r="R414">
        <f t="shared" si="976"/>
        <v>-949790333.38227332</v>
      </c>
      <c r="S414">
        <f t="shared" si="977"/>
        <v>-9497.9033338227327</v>
      </c>
      <c r="T414">
        <f t="shared" si="978"/>
        <v>-9.4979033338227321</v>
      </c>
    </row>
    <row r="415" spans="1:20" x14ac:dyDescent="0.25">
      <c r="A415" s="5">
        <v>44178</v>
      </c>
      <c r="B415">
        <v>2.5839999999999998E-2</v>
      </c>
      <c r="C415">
        <v>2.6679999999999999E-2</v>
      </c>
      <c r="D415">
        <v>2.5409999999999999E-2</v>
      </c>
      <c r="E415">
        <v>2.5930000000000002E-2</v>
      </c>
      <c r="F415">
        <v>45763051.200000003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-0.18110236220471973</v>
      </c>
      <c r="Q415">
        <f t="shared" si="975"/>
        <v>-8287796.6740155341</v>
      </c>
      <c r="R415">
        <f t="shared" si="976"/>
        <v>-935377647.3550005</v>
      </c>
      <c r="S415">
        <f t="shared" si="977"/>
        <v>-9353.7764735500041</v>
      </c>
      <c r="T415">
        <f t="shared" si="978"/>
        <v>-9.3537764735500044</v>
      </c>
    </row>
    <row r="416" spans="1:20" x14ac:dyDescent="0.25">
      <c r="A416" s="5">
        <v>44177</v>
      </c>
      <c r="B416">
        <v>2.5229999999999999E-2</v>
      </c>
      <c r="C416">
        <v>2.605E-2</v>
      </c>
      <c r="D416">
        <v>2.513E-2</v>
      </c>
      <c r="E416">
        <v>2.5829999999999999E-2</v>
      </c>
      <c r="F416">
        <v>17320343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0.52173913043477982</v>
      </c>
      <c r="Q416">
        <f t="shared" si="975"/>
        <v>9036700.6956521254</v>
      </c>
      <c r="R416">
        <f t="shared" si="976"/>
        <v>-927089850.68098497</v>
      </c>
      <c r="S416">
        <f t="shared" si="977"/>
        <v>-9270.89850680985</v>
      </c>
      <c r="T416">
        <f t="shared" si="978"/>
        <v>-9.2708985068098499</v>
      </c>
    </row>
    <row r="417" spans="1:20" x14ac:dyDescent="0.25">
      <c r="A417" s="5">
        <v>44176</v>
      </c>
      <c r="B417">
        <v>2.5850000000000001E-2</v>
      </c>
      <c r="C417">
        <v>2.5950000000000001E-2</v>
      </c>
      <c r="D417">
        <v>2.4320000000000001E-2</v>
      </c>
      <c r="E417">
        <v>2.5219999999999999E-2</v>
      </c>
      <c r="F417">
        <v>30395779.300000001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0.10429447852760527</v>
      </c>
      <c r="Q417">
        <f t="shared" si="975"/>
        <v>3170111.9515336789</v>
      </c>
      <c r="R417">
        <f t="shared" si="976"/>
        <v>-936126551.3766371</v>
      </c>
      <c r="S417">
        <f t="shared" si="977"/>
        <v>-9361.2655137663714</v>
      </c>
      <c r="T417">
        <f t="shared" si="978"/>
        <v>-9.3612655137663712</v>
      </c>
    </row>
    <row r="418" spans="1:20" x14ac:dyDescent="0.25">
      <c r="A418" s="5">
        <v>44175</v>
      </c>
      <c r="B418">
        <v>2.6980000000000001E-2</v>
      </c>
      <c r="C418">
        <v>2.7660000000000001E-2</v>
      </c>
      <c r="D418">
        <v>2.5499999999999998E-2</v>
      </c>
      <c r="E418">
        <v>2.5850000000000001E-2</v>
      </c>
      <c r="F418">
        <v>37953935.299999997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-0.67592592592592338</v>
      </c>
      <c r="Q418">
        <f t="shared" si="975"/>
        <v>-25654048.860185087</v>
      </c>
      <c r="R418">
        <f t="shared" si="976"/>
        <v>-939296663.32817078</v>
      </c>
      <c r="S418">
        <f t="shared" si="977"/>
        <v>-9392.9666332817069</v>
      </c>
      <c r="T418">
        <f t="shared" si="978"/>
        <v>-9.3929666332817074</v>
      </c>
    </row>
    <row r="419" spans="1:20" x14ac:dyDescent="0.25">
      <c r="A419" s="5">
        <v>44174</v>
      </c>
      <c r="B419">
        <v>2.5430000000000001E-2</v>
      </c>
      <c r="C419">
        <v>2.7230000000000001E-2</v>
      </c>
      <c r="D419">
        <v>2.4029999999999999E-2</v>
      </c>
      <c r="E419">
        <v>2.6970000000000001E-2</v>
      </c>
      <c r="F419">
        <v>63697658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0.83750000000000024</v>
      </c>
      <c r="Q419">
        <f t="shared" si="975"/>
        <v>53346788.575000018</v>
      </c>
      <c r="R419">
        <f t="shared" si="976"/>
        <v>-913642614.46798563</v>
      </c>
      <c r="S419">
        <f t="shared" si="977"/>
        <v>-9136.4261446798555</v>
      </c>
      <c r="T419">
        <f t="shared" si="978"/>
        <v>-9.1364261446798558</v>
      </c>
    </row>
    <row r="420" spans="1:20" x14ac:dyDescent="0.25">
      <c r="A420" s="5">
        <v>44173</v>
      </c>
      <c r="B420">
        <v>2.8389999999999999E-2</v>
      </c>
      <c r="C420">
        <v>2.8389999999999999E-2</v>
      </c>
      <c r="D420">
        <v>2.5180000000000001E-2</v>
      </c>
      <c r="E420">
        <v>2.5430000000000001E-2</v>
      </c>
      <c r="F420">
        <v>55326002.700000003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-0.84423676012461035</v>
      </c>
      <c r="Q420">
        <f t="shared" si="975"/>
        <v>-46708245.270093448</v>
      </c>
      <c r="R420">
        <f t="shared" si="976"/>
        <v>-966989403.04298568</v>
      </c>
      <c r="S420">
        <f t="shared" si="977"/>
        <v>-9669.8940304298576</v>
      </c>
      <c r="T420">
        <f t="shared" si="978"/>
        <v>-9.6698940304298571</v>
      </c>
    </row>
    <row r="421" spans="1:20" x14ac:dyDescent="0.25">
      <c r="A421" s="5">
        <v>44172</v>
      </c>
      <c r="B421">
        <v>3.0020000000000002E-2</v>
      </c>
      <c r="C421">
        <v>3.0120000000000001E-2</v>
      </c>
      <c r="D421">
        <v>2.7779999999999999E-2</v>
      </c>
      <c r="E421">
        <v>2.836E-2</v>
      </c>
      <c r="F421">
        <v>84617269.900000006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-0.50427350427350415</v>
      </c>
      <c r="Q421">
        <f t="shared" si="975"/>
        <v>-42670247.214529909</v>
      </c>
      <c r="R421">
        <f t="shared" si="976"/>
        <v>-920281157.77289224</v>
      </c>
      <c r="S421">
        <f t="shared" si="977"/>
        <v>-9202.8115777289222</v>
      </c>
      <c r="T421">
        <f t="shared" si="978"/>
        <v>-9.202811577728923</v>
      </c>
    </row>
    <row r="422" spans="1:20" x14ac:dyDescent="0.25">
      <c r="A422" s="5">
        <v>44171</v>
      </c>
      <c r="B422">
        <v>2.7040000000000002E-2</v>
      </c>
      <c r="C422">
        <v>3.1480000000000001E-2</v>
      </c>
      <c r="D422">
        <v>2.673E-2</v>
      </c>
      <c r="E422">
        <v>2.997E-2</v>
      </c>
      <c r="F422">
        <v>164433688.40000001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0.36421052631578921</v>
      </c>
      <c r="Q422">
        <f t="shared" si="975"/>
        <v>59888480.196210481</v>
      </c>
      <c r="R422">
        <f t="shared" si="976"/>
        <v>-877610910.55836236</v>
      </c>
      <c r="S422">
        <f t="shared" si="977"/>
        <v>-8776.1091055836241</v>
      </c>
      <c r="T422">
        <f t="shared" si="978"/>
        <v>-8.7761091055836236</v>
      </c>
    </row>
    <row r="423" spans="1:20" x14ac:dyDescent="0.25">
      <c r="A423" s="5">
        <v>44170</v>
      </c>
      <c r="B423">
        <v>2.5350000000000001E-2</v>
      </c>
      <c r="C423">
        <v>2.7380000000000002E-2</v>
      </c>
      <c r="D423">
        <v>2.511E-2</v>
      </c>
      <c r="E423">
        <v>2.707E-2</v>
      </c>
      <c r="F423">
        <v>35211071.200000003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0.72687224669603434</v>
      </c>
      <c r="Q423">
        <f t="shared" si="975"/>
        <v>25593950.431718033</v>
      </c>
      <c r="R423">
        <f t="shared" si="976"/>
        <v>-937499390.75457287</v>
      </c>
      <c r="S423">
        <f t="shared" si="977"/>
        <v>-9374.9939075457278</v>
      </c>
      <c r="T423">
        <f t="shared" si="978"/>
        <v>-9.3749939075457274</v>
      </c>
    </row>
    <row r="424" spans="1:20" x14ac:dyDescent="0.25">
      <c r="A424" s="5">
        <v>44169</v>
      </c>
      <c r="B424">
        <v>2.8639999999999999E-2</v>
      </c>
      <c r="C424">
        <v>2.8670000000000001E-2</v>
      </c>
      <c r="D424">
        <v>2.5010000000000001E-2</v>
      </c>
      <c r="E424">
        <v>2.5399999999999999E-2</v>
      </c>
      <c r="F424">
        <v>68953187.099999994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-0.78688524590164044</v>
      </c>
      <c r="Q424">
        <f t="shared" si="975"/>
        <v>-54258245.586885318</v>
      </c>
      <c r="R424">
        <f t="shared" si="976"/>
        <v>-963093341.18629086</v>
      </c>
      <c r="S424">
        <f t="shared" si="977"/>
        <v>-9630.9334118629085</v>
      </c>
      <c r="T424">
        <f t="shared" si="978"/>
        <v>-9.6309334118629089</v>
      </c>
    </row>
    <row r="425" spans="1:20" x14ac:dyDescent="0.25">
      <c r="A425" s="5">
        <v>44168</v>
      </c>
      <c r="B425">
        <v>2.8840000000000001E-2</v>
      </c>
      <c r="C425">
        <v>3.2000000000000001E-2</v>
      </c>
      <c r="D425">
        <v>2.7140000000000001E-2</v>
      </c>
      <c r="E425">
        <v>2.8639999999999999E-2</v>
      </c>
      <c r="F425">
        <v>134749004.30000001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-0.38271604938271692</v>
      </c>
      <c r="Q425">
        <f t="shared" si="975"/>
        <v>-51570606.583950736</v>
      </c>
      <c r="R425">
        <f t="shared" si="976"/>
        <v>-908835095.59940553</v>
      </c>
      <c r="S425">
        <f t="shared" si="977"/>
        <v>-9088.3509559940558</v>
      </c>
      <c r="T425">
        <f t="shared" si="978"/>
        <v>-9.0883509559940556</v>
      </c>
    </row>
    <row r="426" spans="1:20" x14ac:dyDescent="0.25">
      <c r="A426" s="5">
        <v>44167</v>
      </c>
      <c r="B426">
        <v>2.9819999999999999E-2</v>
      </c>
      <c r="C426">
        <v>2.9899999999999999E-2</v>
      </c>
      <c r="D426">
        <v>2.5999999999999999E-2</v>
      </c>
      <c r="E426">
        <v>2.8840000000000001E-2</v>
      </c>
      <c r="F426">
        <v>149283023.40000001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0.45641025641025729</v>
      </c>
      <c r="Q426">
        <f t="shared" si="975"/>
        <v>68134302.987692446</v>
      </c>
      <c r="R426">
        <f t="shared" si="976"/>
        <v>-857264489.01545477</v>
      </c>
      <c r="S426">
        <f t="shared" si="977"/>
        <v>-8572.6448901545482</v>
      </c>
      <c r="T426">
        <f t="shared" si="978"/>
        <v>-8.5726448901545478</v>
      </c>
    </row>
    <row r="427" spans="1:20" x14ac:dyDescent="0.25">
      <c r="A427" s="5">
        <v>44166</v>
      </c>
      <c r="B427">
        <v>2.3349999999999999E-2</v>
      </c>
      <c r="C427">
        <v>3.9E-2</v>
      </c>
      <c r="D427">
        <v>2.315E-2</v>
      </c>
      <c r="E427">
        <v>2.9819999999999999E-2</v>
      </c>
      <c r="F427">
        <v>731298564.70000005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-0.15835962145110422</v>
      </c>
      <c r="Q427">
        <f t="shared" si="975"/>
        <v>-115808163.87362786</v>
      </c>
      <c r="R427">
        <f t="shared" si="976"/>
        <v>-925398792.00314724</v>
      </c>
      <c r="S427">
        <f t="shared" si="977"/>
        <v>-9253.9879200314717</v>
      </c>
      <c r="T427">
        <f t="shared" si="978"/>
        <v>-9.2539879200314719</v>
      </c>
    </row>
    <row r="428" spans="1:20" x14ac:dyDescent="0.25">
      <c r="A428" s="5">
        <v>44165</v>
      </c>
      <c r="B428">
        <v>2.198E-2</v>
      </c>
      <c r="C428">
        <v>2.3439999999999999E-2</v>
      </c>
      <c r="D428">
        <v>2.146E-2</v>
      </c>
      <c r="E428">
        <v>2.3349999999999999E-2</v>
      </c>
      <c r="F428">
        <v>40766547.799999997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0.90909090909090928</v>
      </c>
      <c r="Q428">
        <f t="shared" si="975"/>
        <v>37060498.000000007</v>
      </c>
      <c r="R428">
        <f t="shared" si="976"/>
        <v>-809590628.12951934</v>
      </c>
      <c r="S428">
        <f t="shared" si="977"/>
        <v>-8095.9062812951934</v>
      </c>
      <c r="T428">
        <f t="shared" si="978"/>
        <v>-8.0959062812951927</v>
      </c>
    </row>
    <row r="429" spans="1:20" x14ac:dyDescent="0.25">
      <c r="A429" s="5">
        <v>44164</v>
      </c>
      <c r="B429">
        <v>2.1899999999999999E-2</v>
      </c>
      <c r="C429">
        <v>2.222E-2</v>
      </c>
      <c r="D429">
        <v>2.128E-2</v>
      </c>
      <c r="E429">
        <v>2.196E-2</v>
      </c>
      <c r="F429">
        <v>22344946.800000001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0.44680851063829818</v>
      </c>
      <c r="Q429">
        <f t="shared" si="975"/>
        <v>9983912.4000000078</v>
      </c>
      <c r="R429">
        <f t="shared" si="976"/>
        <v>-846651126.12951934</v>
      </c>
      <c r="S429">
        <f t="shared" si="977"/>
        <v>-8466.5112612951925</v>
      </c>
      <c r="T429">
        <f t="shared" si="978"/>
        <v>-8.4665112612951923</v>
      </c>
    </row>
    <row r="430" spans="1:20" x14ac:dyDescent="0.25">
      <c r="A430" s="5">
        <v>44163</v>
      </c>
      <c r="B430">
        <v>2.1340000000000001E-2</v>
      </c>
      <c r="C430">
        <v>2.2440000000000002E-2</v>
      </c>
      <c r="D430">
        <v>2.0889999999999999E-2</v>
      </c>
      <c r="E430">
        <v>2.1899999999999999E-2</v>
      </c>
      <c r="F430">
        <v>35884754.100000001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0.30322580645161118</v>
      </c>
      <c r="Q430">
        <f t="shared" si="975"/>
        <v>10881183.501290262</v>
      </c>
      <c r="R430">
        <f t="shared" si="976"/>
        <v>-856635038.52951932</v>
      </c>
      <c r="S430">
        <f t="shared" si="977"/>
        <v>-8566.3503852951926</v>
      </c>
      <c r="T430">
        <f t="shared" si="978"/>
        <v>-8.566350385295193</v>
      </c>
    </row>
    <row r="431" spans="1:20" x14ac:dyDescent="0.25">
      <c r="A431" s="5">
        <v>44162</v>
      </c>
      <c r="B431">
        <v>2.1530000000000001E-2</v>
      </c>
      <c r="C431">
        <v>2.2200000000000001E-2</v>
      </c>
      <c r="D431">
        <v>2.0279999999999999E-2</v>
      </c>
      <c r="E431">
        <v>2.1360000000000001E-2</v>
      </c>
      <c r="F431">
        <v>41498810.100000001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0.12500000000000022</v>
      </c>
      <c r="Q431">
        <f t="shared" si="975"/>
        <v>5187351.2625000095</v>
      </c>
      <c r="R431">
        <f t="shared" si="976"/>
        <v>-867516222.03080952</v>
      </c>
      <c r="S431">
        <f t="shared" si="977"/>
        <v>-8675.1622203080951</v>
      </c>
      <c r="T431">
        <f t="shared" si="978"/>
        <v>-8.6751622203080956</v>
      </c>
    </row>
    <row r="432" spans="1:20" x14ac:dyDescent="0.25">
      <c r="A432" s="5">
        <v>44161</v>
      </c>
      <c r="B432">
        <v>2.5600000000000001E-2</v>
      </c>
      <c r="C432">
        <v>2.6079999999999999E-2</v>
      </c>
      <c r="D432">
        <v>1.9470000000000001E-2</v>
      </c>
      <c r="E432">
        <v>2.1530000000000001E-2</v>
      </c>
      <c r="F432">
        <v>69046206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-0.37670196671709533</v>
      </c>
      <c r="Q432">
        <f t="shared" si="975"/>
        <v>-26009841.594553709</v>
      </c>
      <c r="R432">
        <f t="shared" si="976"/>
        <v>-872703573.29330957</v>
      </c>
      <c r="S432">
        <f t="shared" si="977"/>
        <v>-8727.0357329330964</v>
      </c>
      <c r="T432">
        <f t="shared" si="978"/>
        <v>-8.7270357329330963</v>
      </c>
    </row>
    <row r="433" spans="1:20" x14ac:dyDescent="0.25">
      <c r="A433" s="5">
        <v>44160</v>
      </c>
      <c r="B433">
        <v>2.5850000000000001E-2</v>
      </c>
      <c r="C433">
        <v>2.7150000000000001E-2</v>
      </c>
      <c r="D433">
        <v>2.4250000000000001E-2</v>
      </c>
      <c r="E433">
        <v>2.5600000000000001E-2</v>
      </c>
      <c r="F433">
        <v>73134572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-6.8965517241378893E-2</v>
      </c>
      <c r="Q433">
        <f t="shared" si="975"/>
        <v>-5043763.5862068664</v>
      </c>
      <c r="R433">
        <f t="shared" si="976"/>
        <v>-846693731.69875586</v>
      </c>
      <c r="S433">
        <f t="shared" si="977"/>
        <v>-8466.937316987558</v>
      </c>
      <c r="T433">
        <f t="shared" si="978"/>
        <v>-8.4669373169875577</v>
      </c>
    </row>
    <row r="434" spans="1:20" x14ac:dyDescent="0.25">
      <c r="A434" s="5">
        <v>44159</v>
      </c>
      <c r="B434">
        <v>2.4510000000000001E-2</v>
      </c>
      <c r="C434">
        <v>2.75E-2</v>
      </c>
      <c r="D434">
        <v>2.366E-2</v>
      </c>
      <c r="E434">
        <v>2.5839999999999998E-2</v>
      </c>
      <c r="F434">
        <v>86883058.799999997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0.13541666666666569</v>
      </c>
      <c r="Q434">
        <f t="shared" si="975"/>
        <v>11765414.212499915</v>
      </c>
      <c r="R434">
        <f t="shared" si="976"/>
        <v>-841649968.11254895</v>
      </c>
      <c r="S434">
        <f t="shared" si="977"/>
        <v>-8416.4996811254896</v>
      </c>
      <c r="T434">
        <f t="shared" si="978"/>
        <v>-8.4164996811254902</v>
      </c>
    </row>
    <row r="435" spans="1:20" x14ac:dyDescent="0.25">
      <c r="A435" s="5">
        <v>44158</v>
      </c>
      <c r="B435">
        <v>2.333E-2</v>
      </c>
      <c r="C435">
        <v>2.4889999999999999E-2</v>
      </c>
      <c r="D435">
        <v>2.2890000000000001E-2</v>
      </c>
      <c r="E435">
        <v>2.4490000000000001E-2</v>
      </c>
      <c r="F435">
        <v>57422273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0.60000000000000209</v>
      </c>
      <c r="Q435">
        <f t="shared" si="975"/>
        <v>34453363.800000116</v>
      </c>
      <c r="R435">
        <f t="shared" si="976"/>
        <v>-853415382.3250488</v>
      </c>
      <c r="S435">
        <f t="shared" si="977"/>
        <v>-8534.1538232504881</v>
      </c>
      <c r="T435">
        <f t="shared" si="978"/>
        <v>-8.5341538232504881</v>
      </c>
    </row>
    <row r="436" spans="1:20" x14ac:dyDescent="0.25">
      <c r="A436" s="5">
        <v>44157</v>
      </c>
      <c r="B436">
        <v>2.5190000000000001E-2</v>
      </c>
      <c r="C436">
        <v>2.529E-2</v>
      </c>
      <c r="D436">
        <v>2.2069999999999999E-2</v>
      </c>
      <c r="E436">
        <v>2.3279999999999999E-2</v>
      </c>
      <c r="F436">
        <v>53737179.899999999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-0.24844720496894471</v>
      </c>
      <c r="Q436">
        <f t="shared" si="975"/>
        <v>-13350852.149068356</v>
      </c>
      <c r="R436">
        <f t="shared" si="976"/>
        <v>-887868746.12504888</v>
      </c>
      <c r="S436">
        <f t="shared" si="977"/>
        <v>-8878.6874612504889</v>
      </c>
      <c r="T436">
        <f t="shared" si="978"/>
        <v>-8.8786874612504896</v>
      </c>
    </row>
    <row r="437" spans="1:20" x14ac:dyDescent="0.25">
      <c r="A437" s="5">
        <v>44156</v>
      </c>
      <c r="B437">
        <v>2.291E-2</v>
      </c>
      <c r="C437">
        <v>2.5499999999999998E-2</v>
      </c>
      <c r="D437">
        <v>2.2069999999999999E-2</v>
      </c>
      <c r="E437">
        <v>2.5190000000000001E-2</v>
      </c>
      <c r="F437">
        <v>110184727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0.81924198250728986</v>
      </c>
      <c r="Q437">
        <f t="shared" si="975"/>
        <v>90267954.189504504</v>
      </c>
      <c r="R437">
        <f t="shared" si="976"/>
        <v>-874517893.97598052</v>
      </c>
      <c r="S437">
        <f t="shared" si="977"/>
        <v>-8745.1789397598059</v>
      </c>
      <c r="T437">
        <f t="shared" si="978"/>
        <v>-8.7451789397598052</v>
      </c>
    </row>
    <row r="438" spans="1:20" x14ac:dyDescent="0.25">
      <c r="A438" s="5">
        <v>44155</v>
      </c>
      <c r="B438">
        <v>2.1489999999999999E-2</v>
      </c>
      <c r="C438">
        <v>2.3980000000000001E-2</v>
      </c>
      <c r="D438">
        <v>2.1489999999999999E-2</v>
      </c>
      <c r="E438">
        <v>2.291E-2</v>
      </c>
      <c r="F438">
        <v>78520397.299999997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0.14056224899598363</v>
      </c>
      <c r="Q438">
        <f t="shared" si="975"/>
        <v>11037003.636546161</v>
      </c>
      <c r="R438">
        <f t="shared" si="976"/>
        <v>-964785848.16548502</v>
      </c>
      <c r="S438">
        <f t="shared" si="977"/>
        <v>-9647.85848165485</v>
      </c>
      <c r="T438">
        <f t="shared" si="978"/>
        <v>-9.6478584816548505</v>
      </c>
    </row>
    <row r="439" spans="1:20" x14ac:dyDescent="0.25">
      <c r="A439" s="5">
        <v>44154</v>
      </c>
      <c r="B439">
        <v>2.1930000000000002E-2</v>
      </c>
      <c r="C439">
        <v>2.2069999999999999E-2</v>
      </c>
      <c r="D439">
        <v>2.0650000000000002E-2</v>
      </c>
      <c r="E439">
        <v>2.1520000000000001E-2</v>
      </c>
      <c r="F439">
        <v>38869855.100000001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0.22535211267605731</v>
      </c>
      <c r="Q439">
        <f t="shared" si="975"/>
        <v>8759403.9661972206</v>
      </c>
      <c r="R439">
        <f t="shared" si="976"/>
        <v>-975822851.80203116</v>
      </c>
      <c r="S439">
        <f t="shared" si="977"/>
        <v>-9758.2285180203107</v>
      </c>
      <c r="T439">
        <f t="shared" si="978"/>
        <v>-9.7582285180203101</v>
      </c>
    </row>
    <row r="440" spans="1:20" x14ac:dyDescent="0.25">
      <c r="A440" s="5">
        <v>44153</v>
      </c>
      <c r="B440">
        <v>2.3050000000000001E-2</v>
      </c>
      <c r="C440">
        <v>2.333E-2</v>
      </c>
      <c r="D440">
        <v>2.0400000000000001E-2</v>
      </c>
      <c r="E440">
        <v>2.1950000000000001E-2</v>
      </c>
      <c r="F440">
        <v>55700356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5.8020477815699689E-2</v>
      </c>
      <c r="Q440">
        <f t="shared" si="975"/>
        <v>3231761.269624575</v>
      </c>
      <c r="R440">
        <f t="shared" si="976"/>
        <v>-984582255.76822841</v>
      </c>
      <c r="S440">
        <f t="shared" si="977"/>
        <v>-9845.8225576822842</v>
      </c>
      <c r="T440">
        <f t="shared" si="978"/>
        <v>-9.8458225576822844</v>
      </c>
    </row>
    <row r="441" spans="1:20" x14ac:dyDescent="0.25">
      <c r="A441" s="5">
        <v>44152</v>
      </c>
      <c r="B441">
        <v>2.2800000000000001E-2</v>
      </c>
      <c r="C441">
        <v>2.4420000000000001E-2</v>
      </c>
      <c r="D441">
        <v>2.2429999999999999E-2</v>
      </c>
      <c r="E441">
        <v>2.3060000000000001E-2</v>
      </c>
      <c r="F441">
        <v>74795574.700000003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-0.36683417085426995</v>
      </c>
      <c r="Q441">
        <f t="shared" si="975"/>
        <v>-27437572.62864311</v>
      </c>
      <c r="R441">
        <f t="shared" si="976"/>
        <v>-987814017.037853</v>
      </c>
      <c r="S441">
        <f t="shared" si="977"/>
        <v>-9878.1401703785305</v>
      </c>
      <c r="T441">
        <f t="shared" si="978"/>
        <v>-9.878140170378531</v>
      </c>
    </row>
    <row r="442" spans="1:20" x14ac:dyDescent="0.25">
      <c r="A442" s="5">
        <v>44151</v>
      </c>
      <c r="B442">
        <v>2.358E-2</v>
      </c>
      <c r="C442">
        <v>2.3869999999999999E-2</v>
      </c>
      <c r="D442">
        <v>2.198E-2</v>
      </c>
      <c r="E442">
        <v>2.2839999999999999E-2</v>
      </c>
      <c r="F442">
        <v>91155280.099999994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-8.9947089947089984E-2</v>
      </c>
      <c r="Q442">
        <f t="shared" si="975"/>
        <v>-8199152.1783068813</v>
      </c>
      <c r="R442">
        <f t="shared" si="976"/>
        <v>-960376444.40920985</v>
      </c>
      <c r="S442">
        <f t="shared" si="977"/>
        <v>-9603.7644440920976</v>
      </c>
      <c r="T442">
        <f t="shared" si="978"/>
        <v>-9.6037644440920982</v>
      </c>
    </row>
    <row r="443" spans="1:20" x14ac:dyDescent="0.25">
      <c r="A443" s="5">
        <v>44150</v>
      </c>
      <c r="B443">
        <v>1.992E-2</v>
      </c>
      <c r="C443">
        <v>2.6179999999999998E-2</v>
      </c>
      <c r="D443">
        <v>1.975E-2</v>
      </c>
      <c r="E443">
        <v>2.358E-2</v>
      </c>
      <c r="F443">
        <v>191698338.69999999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0.19129082426127564</v>
      </c>
      <c r="Q443">
        <f t="shared" si="975"/>
        <v>36670133.219440192</v>
      </c>
      <c r="R443">
        <f t="shared" si="976"/>
        <v>-952177292.23090291</v>
      </c>
      <c r="S443">
        <f t="shared" si="977"/>
        <v>-9521.7729223090282</v>
      </c>
      <c r="T443">
        <f t="shared" si="978"/>
        <v>-9.5217729223090277</v>
      </c>
    </row>
    <row r="444" spans="1:20" x14ac:dyDescent="0.25">
      <c r="A444" s="5">
        <v>44149</v>
      </c>
      <c r="B444">
        <v>2.0379999999999999E-2</v>
      </c>
      <c r="C444">
        <v>2.043E-2</v>
      </c>
      <c r="D444">
        <v>1.9609999999999999E-2</v>
      </c>
      <c r="E444">
        <v>1.9939999999999999E-2</v>
      </c>
      <c r="F444">
        <v>21252761.800000001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-0.1951219512195124</v>
      </c>
      <c r="Q444">
        <f t="shared" si="975"/>
        <v>-4146880.3512195167</v>
      </c>
      <c r="R444">
        <f t="shared" si="976"/>
        <v>-988847425.45034313</v>
      </c>
      <c r="S444">
        <f t="shared" si="977"/>
        <v>-9888.4742545034314</v>
      </c>
      <c r="T444">
        <f t="shared" si="978"/>
        <v>-9.8884742545034321</v>
      </c>
    </row>
    <row r="445" spans="1:20" x14ac:dyDescent="0.25">
      <c r="A445" s="5">
        <v>44148</v>
      </c>
      <c r="B445">
        <v>1.9990000000000001E-2</v>
      </c>
      <c r="C445">
        <v>2.0879999999999999E-2</v>
      </c>
      <c r="D445">
        <v>1.942E-2</v>
      </c>
      <c r="E445">
        <v>2.034E-2</v>
      </c>
      <c r="F445">
        <v>38876347.100000001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0.2602739726027411</v>
      </c>
      <c r="Q445">
        <f t="shared" si="975"/>
        <v>10118501.300000053</v>
      </c>
      <c r="R445">
        <f t="shared" si="976"/>
        <v>-984700545.0991236</v>
      </c>
      <c r="S445">
        <f t="shared" si="977"/>
        <v>-9847.0054509912352</v>
      </c>
      <c r="T445">
        <f t="shared" si="978"/>
        <v>-9.8470054509912348</v>
      </c>
    </row>
    <row r="446" spans="1:20" x14ac:dyDescent="0.25">
      <c r="A446" s="5">
        <v>44147</v>
      </c>
      <c r="B446">
        <v>2.053E-2</v>
      </c>
      <c r="C446">
        <v>2.06E-2</v>
      </c>
      <c r="D446">
        <v>1.9740000000000001E-2</v>
      </c>
      <c r="E446">
        <v>2.001E-2</v>
      </c>
      <c r="F446">
        <v>22240860.600000001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-0.37209302325581506</v>
      </c>
      <c r="Q446">
        <f t="shared" si="975"/>
        <v>-8275669.0604651412</v>
      </c>
      <c r="R446">
        <f t="shared" si="976"/>
        <v>-994819046.39912367</v>
      </c>
      <c r="S446">
        <f t="shared" si="977"/>
        <v>-9948.1904639912373</v>
      </c>
      <c r="T446">
        <f t="shared" si="978"/>
        <v>-9.9481904639912369</v>
      </c>
    </row>
    <row r="447" spans="1:20" x14ac:dyDescent="0.25">
      <c r="A447" s="5">
        <v>44146</v>
      </c>
      <c r="B447">
        <v>2.018E-2</v>
      </c>
      <c r="C447">
        <v>2.1250000000000002E-2</v>
      </c>
      <c r="D447">
        <v>2.0150000000000001E-2</v>
      </c>
      <c r="E447">
        <v>2.051E-2</v>
      </c>
      <c r="F447">
        <v>64036514.799999997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-0.34545454545454707</v>
      </c>
      <c r="Q447">
        <f t="shared" si="975"/>
        <v>-22121705.112727374</v>
      </c>
      <c r="R447">
        <f t="shared" si="976"/>
        <v>-986543377.33865857</v>
      </c>
      <c r="S447">
        <f t="shared" si="977"/>
        <v>-9865.433773386585</v>
      </c>
      <c r="T447">
        <f t="shared" si="978"/>
        <v>-9.8654337733865844</v>
      </c>
    </row>
    <row r="448" spans="1:20" x14ac:dyDescent="0.25">
      <c r="A448" s="5">
        <v>44145</v>
      </c>
      <c r="B448">
        <v>1.9820000000000001E-2</v>
      </c>
      <c r="C448">
        <v>2.0389999999999998E-2</v>
      </c>
      <c r="D448">
        <v>1.9599999999999999E-2</v>
      </c>
      <c r="E448">
        <v>2.0219999999999998E-2</v>
      </c>
      <c r="F448">
        <v>32933756.899999999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0.56962025316455644</v>
      </c>
      <c r="Q448">
        <f t="shared" si="975"/>
        <v>18759734.943037957</v>
      </c>
      <c r="R448">
        <f t="shared" si="976"/>
        <v>-964421672.22593117</v>
      </c>
      <c r="S448">
        <f t="shared" si="977"/>
        <v>-9644.2167222593125</v>
      </c>
      <c r="T448">
        <f t="shared" si="978"/>
        <v>-9.644216722259312</v>
      </c>
    </row>
    <row r="449" spans="1:20" x14ac:dyDescent="0.25">
      <c r="A449" s="5">
        <v>44144</v>
      </c>
      <c r="B449">
        <v>2.0459999999999999E-2</v>
      </c>
      <c r="C449">
        <v>2.0539999999999999E-2</v>
      </c>
      <c r="D449">
        <v>1.9359999999999999E-2</v>
      </c>
      <c r="E449">
        <v>1.983E-2</v>
      </c>
      <c r="F449">
        <v>20271217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-0.20338983050847209</v>
      </c>
      <c r="Q449">
        <f t="shared" si="975"/>
        <v>-4122959.389830458</v>
      </c>
      <c r="R449">
        <f t="shared" si="976"/>
        <v>-983181407.16896915</v>
      </c>
      <c r="S449">
        <f t="shared" si="977"/>
        <v>-9831.8140716896924</v>
      </c>
      <c r="T449">
        <f t="shared" si="978"/>
        <v>-9.831814071689692</v>
      </c>
    </row>
    <row r="450" spans="1:20" x14ac:dyDescent="0.25">
      <c r="A450" s="5">
        <v>44143</v>
      </c>
      <c r="B450">
        <v>1.967E-2</v>
      </c>
      <c r="C450">
        <v>2.0650000000000002E-2</v>
      </c>
      <c r="D450">
        <v>1.9300000000000001E-2</v>
      </c>
      <c r="E450">
        <v>2.0449999999999999E-2</v>
      </c>
      <c r="F450">
        <v>20657984.699999999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0.7037037037037005</v>
      </c>
      <c r="Q450">
        <f t="shared" si="975"/>
        <v>14537100.344444377</v>
      </c>
      <c r="R450">
        <f t="shared" si="976"/>
        <v>-979058447.77913868</v>
      </c>
      <c r="S450">
        <f t="shared" si="977"/>
        <v>-9790.5844777913862</v>
      </c>
      <c r="T450">
        <f t="shared" si="978"/>
        <v>-9.790584477791386</v>
      </c>
    </row>
    <row r="451" spans="1:20" x14ac:dyDescent="0.25">
      <c r="A451" s="5">
        <v>44142</v>
      </c>
      <c r="B451">
        <v>1.9789999999999999E-2</v>
      </c>
      <c r="C451">
        <v>2.2210000000000001E-2</v>
      </c>
      <c r="D451">
        <v>1.8880000000000001E-2</v>
      </c>
      <c r="E451">
        <v>1.9740000000000001E-2</v>
      </c>
      <c r="F451">
        <v>60053489.5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-0.48348348348348363</v>
      </c>
      <c r="Q451">
        <f t="shared" si="975"/>
        <v>-29034870.298798807</v>
      </c>
      <c r="R451">
        <f t="shared" si="976"/>
        <v>-993595548.12358308</v>
      </c>
      <c r="S451">
        <f t="shared" si="977"/>
        <v>-9935.955481235831</v>
      </c>
      <c r="T451">
        <f t="shared" si="978"/>
        <v>-9.9359554812358315</v>
      </c>
    </row>
    <row r="452" spans="1:20" x14ac:dyDescent="0.25">
      <c r="A452" s="5">
        <v>44141</v>
      </c>
      <c r="B452">
        <v>1.8360000000000001E-2</v>
      </c>
      <c r="C452">
        <v>1.9779999999999999E-2</v>
      </c>
      <c r="D452">
        <v>1.8290000000000001E-2</v>
      </c>
      <c r="E452">
        <v>1.9769999999999999E-2</v>
      </c>
      <c r="F452">
        <v>37753930.200000003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0.98657718120805427</v>
      </c>
      <c r="Q452">
        <f t="shared" si="975"/>
        <v>37247166.036241636</v>
      </c>
      <c r="R452">
        <f t="shared" si="976"/>
        <v>-964560677.82478428</v>
      </c>
      <c r="S452">
        <f t="shared" si="977"/>
        <v>-9645.6067782478422</v>
      </c>
      <c r="T452">
        <f t="shared" si="978"/>
        <v>-9.6456067782478421</v>
      </c>
    </row>
    <row r="453" spans="1:20" x14ac:dyDescent="0.25">
      <c r="A453" s="5">
        <v>44140</v>
      </c>
      <c r="B453">
        <v>1.8290000000000001E-2</v>
      </c>
      <c r="C453">
        <v>1.8870000000000001E-2</v>
      </c>
      <c r="D453">
        <v>1.7430000000000001E-2</v>
      </c>
      <c r="E453">
        <v>1.8319999999999999E-2</v>
      </c>
      <c r="F453">
        <v>37225600.5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0.23611111111110866</v>
      </c>
      <c r="Q453">
        <f t="shared" si="975"/>
        <v>8789377.8958332427</v>
      </c>
      <c r="R453">
        <f t="shared" si="976"/>
        <v>-1001807843.8610259</v>
      </c>
      <c r="S453">
        <f t="shared" si="977"/>
        <v>-10018.078438610259</v>
      </c>
      <c r="T453">
        <f t="shared" si="978"/>
        <v>-10.018078438610258</v>
      </c>
    </row>
    <row r="454" spans="1:20" x14ac:dyDescent="0.25">
      <c r="A454" s="5">
        <v>44139</v>
      </c>
      <c r="B454">
        <v>1.8890000000000001E-2</v>
      </c>
      <c r="C454">
        <v>1.89E-2</v>
      </c>
      <c r="D454">
        <v>1.789E-2</v>
      </c>
      <c r="E454">
        <v>1.8290000000000001E-2</v>
      </c>
      <c r="F454">
        <v>25889818.800000001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-0.20792079207920622</v>
      </c>
      <c r="Q454">
        <f t="shared" ref="Q454:Q517" si="980">F454*P454</f>
        <v>-5383031.6316831242</v>
      </c>
      <c r="R454">
        <f t="shared" ref="R454:R517" si="981">R455+Q454</f>
        <v>-1010597221.7568592</v>
      </c>
      <c r="S454">
        <f t="shared" ref="S454:S517" si="982">R454/100000</f>
        <v>-10105.972217568591</v>
      </c>
      <c r="T454">
        <f t="shared" ref="T454:T517" si="983">S454/1000</f>
        <v>-10.10597221756859</v>
      </c>
    </row>
    <row r="455" spans="1:20" x14ac:dyDescent="0.25">
      <c r="A455" s="5">
        <v>44138</v>
      </c>
      <c r="B455">
        <v>1.985E-2</v>
      </c>
      <c r="C455">
        <v>2.026E-2</v>
      </c>
      <c r="D455">
        <v>1.823E-2</v>
      </c>
      <c r="E455">
        <v>1.8859999999999998E-2</v>
      </c>
      <c r="F455">
        <v>47555018.899999999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-0.37931034482758774</v>
      </c>
      <c r="Q455">
        <f t="shared" si="980"/>
        <v>-18038110.617241453</v>
      </c>
      <c r="R455">
        <f t="shared" si="981"/>
        <v>-1005214190.1251761</v>
      </c>
      <c r="S455">
        <f t="shared" si="982"/>
        <v>-10052.14190125176</v>
      </c>
      <c r="T455">
        <f t="shared" si="983"/>
        <v>-10.05214190125176</v>
      </c>
    </row>
    <row r="456" spans="1:20" x14ac:dyDescent="0.25">
      <c r="A456" s="5">
        <v>44137</v>
      </c>
      <c r="B456">
        <v>2.2159999999999999E-2</v>
      </c>
      <c r="C456">
        <v>2.317E-2</v>
      </c>
      <c r="D456">
        <v>1.9369999999999998E-2</v>
      </c>
      <c r="E456">
        <v>1.984E-2</v>
      </c>
      <c r="F456">
        <v>53488193.200000003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-0.75263157894736765</v>
      </c>
      <c r="Q456">
        <f t="shared" si="980"/>
        <v>-40256903.303157859</v>
      </c>
      <c r="R456">
        <f t="shared" si="981"/>
        <v>-987176079.50793457</v>
      </c>
      <c r="S456">
        <f t="shared" si="982"/>
        <v>-9871.7607950793463</v>
      </c>
      <c r="T456">
        <f t="shared" si="983"/>
        <v>-9.8717607950793465</v>
      </c>
    </row>
    <row r="457" spans="1:20" x14ac:dyDescent="0.25">
      <c r="A457" s="5">
        <v>44136</v>
      </c>
      <c r="B457">
        <v>2.2239999999999999E-2</v>
      </c>
      <c r="C457">
        <v>2.265E-2</v>
      </c>
      <c r="D457">
        <v>2.179E-2</v>
      </c>
      <c r="E457">
        <v>2.2190000000000001E-2</v>
      </c>
      <c r="F457">
        <v>14524993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-6.9767441860462298E-2</v>
      </c>
      <c r="Q457">
        <f t="shared" si="980"/>
        <v>-1013371.6046511219</v>
      </c>
      <c r="R457">
        <f t="shared" si="981"/>
        <v>-946919176.20477676</v>
      </c>
      <c r="S457">
        <f t="shared" si="982"/>
        <v>-9469.191762047767</v>
      </c>
      <c r="T457">
        <f t="shared" si="983"/>
        <v>-9.4691917620477675</v>
      </c>
    </row>
    <row r="458" spans="1:20" x14ac:dyDescent="0.25">
      <c r="A458" s="5">
        <v>44135</v>
      </c>
      <c r="B458">
        <v>2.2089999999999999E-2</v>
      </c>
      <c r="C458">
        <v>2.3349999999999999E-2</v>
      </c>
      <c r="D458">
        <v>2.1739999999999999E-2</v>
      </c>
      <c r="E458">
        <v>2.2270000000000002E-2</v>
      </c>
      <c r="F458">
        <v>26669366.699999999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-0.34161490683229495</v>
      </c>
      <c r="Q458">
        <f t="shared" si="980"/>
        <v>-9110653.2204968091</v>
      </c>
      <c r="R458">
        <f t="shared" si="981"/>
        <v>-945905804.60012567</v>
      </c>
      <c r="S458">
        <f t="shared" si="982"/>
        <v>-9459.058046001257</v>
      </c>
      <c r="T458">
        <f t="shared" si="983"/>
        <v>-9.4590580460012568</v>
      </c>
    </row>
    <row r="459" spans="1:20" x14ac:dyDescent="0.25">
      <c r="A459" s="5">
        <v>44134</v>
      </c>
      <c r="B459">
        <v>2.4469999999999999E-2</v>
      </c>
      <c r="C459">
        <v>2.46E-2</v>
      </c>
      <c r="D459">
        <v>2.163E-2</v>
      </c>
      <c r="E459">
        <v>2.213E-2</v>
      </c>
      <c r="F459">
        <v>45850434.399999999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-0.66329966329966306</v>
      </c>
      <c r="Q459">
        <f t="shared" si="980"/>
        <v>-30412577.699663289</v>
      </c>
      <c r="R459">
        <f t="shared" si="981"/>
        <v>-936795151.3796289</v>
      </c>
      <c r="S459">
        <f t="shared" si="982"/>
        <v>-9367.9515137962899</v>
      </c>
      <c r="T459">
        <f t="shared" si="983"/>
        <v>-9.3679515137962905</v>
      </c>
    </row>
    <row r="460" spans="1:20" x14ac:dyDescent="0.25">
      <c r="A460" s="5">
        <v>44133</v>
      </c>
      <c r="B460">
        <v>2.5600000000000001E-2</v>
      </c>
      <c r="C460">
        <v>2.5829999999999999E-2</v>
      </c>
      <c r="D460">
        <v>2.3560000000000001E-2</v>
      </c>
      <c r="E460">
        <v>2.4500000000000001E-2</v>
      </c>
      <c r="F460">
        <v>56944033.299999997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-0.17180616740088034</v>
      </c>
      <c r="Q460">
        <f t="shared" si="980"/>
        <v>-9783336.1176211033</v>
      </c>
      <c r="R460">
        <f t="shared" si="981"/>
        <v>-906382573.67996562</v>
      </c>
      <c r="S460">
        <f t="shared" si="982"/>
        <v>-9063.8257367996557</v>
      </c>
      <c r="T460">
        <f t="shared" si="983"/>
        <v>-9.0638257367996555</v>
      </c>
    </row>
    <row r="461" spans="1:20" x14ac:dyDescent="0.25">
      <c r="A461" s="5">
        <v>44132</v>
      </c>
      <c r="B461">
        <v>2.6239999999999999E-2</v>
      </c>
      <c r="C461">
        <v>2.6460000000000001E-2</v>
      </c>
      <c r="D461">
        <v>2.4889999999999999E-2</v>
      </c>
      <c r="E461">
        <v>2.5590000000000002E-2</v>
      </c>
      <c r="F461">
        <v>24854017.399999999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-0.10828025477706772</v>
      </c>
      <c r="Q461">
        <f t="shared" si="980"/>
        <v>-2691199.3363056742</v>
      </c>
      <c r="R461">
        <f t="shared" si="981"/>
        <v>-896599237.56234455</v>
      </c>
      <c r="S461">
        <f t="shared" si="982"/>
        <v>-8965.9923756234457</v>
      </c>
      <c r="T461">
        <f t="shared" si="983"/>
        <v>-8.9659923756234452</v>
      </c>
    </row>
    <row r="462" spans="1:20" x14ac:dyDescent="0.25">
      <c r="A462" s="5">
        <v>44131</v>
      </c>
      <c r="B462">
        <v>2.6159999999999999E-2</v>
      </c>
      <c r="C462">
        <v>2.6599999999999999E-2</v>
      </c>
      <c r="D462">
        <v>2.5899999999999999E-2</v>
      </c>
      <c r="E462">
        <v>2.622E-2</v>
      </c>
      <c r="F462">
        <v>37398678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-8.5714285714282315E-2</v>
      </c>
      <c r="Q462">
        <f t="shared" si="980"/>
        <v>-3205600.9714284441</v>
      </c>
      <c r="R462">
        <f t="shared" si="981"/>
        <v>-893908038.22603893</v>
      </c>
      <c r="S462">
        <f t="shared" si="982"/>
        <v>-8939.0803822603884</v>
      </c>
      <c r="T462">
        <f t="shared" si="983"/>
        <v>-8.9390803822603893</v>
      </c>
    </row>
    <row r="463" spans="1:20" x14ac:dyDescent="0.25">
      <c r="A463" s="5">
        <v>44130</v>
      </c>
      <c r="B463">
        <v>2.6599999999999999E-2</v>
      </c>
      <c r="C463">
        <v>2.708E-2</v>
      </c>
      <c r="D463">
        <v>2.5860000000000001E-2</v>
      </c>
      <c r="E463">
        <v>2.6179999999999998E-2</v>
      </c>
      <c r="F463">
        <v>52911924.299999997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-0.47540983606557757</v>
      </c>
      <c r="Q463">
        <f t="shared" si="980"/>
        <v>-25154849.257377248</v>
      </c>
      <c r="R463">
        <f t="shared" si="981"/>
        <v>-890702437.25461054</v>
      </c>
      <c r="S463">
        <f t="shared" si="982"/>
        <v>-8907.024372546106</v>
      </c>
      <c r="T463">
        <f t="shared" si="983"/>
        <v>-8.9070243725461058</v>
      </c>
    </row>
    <row r="464" spans="1:20" x14ac:dyDescent="0.25">
      <c r="A464" s="5">
        <v>44129</v>
      </c>
      <c r="B464">
        <v>2.5760000000000002E-2</v>
      </c>
      <c r="C464">
        <v>2.6700000000000002E-2</v>
      </c>
      <c r="D464">
        <v>2.5600000000000001E-2</v>
      </c>
      <c r="E464">
        <v>2.6589999999999999E-2</v>
      </c>
      <c r="F464">
        <v>61783649.299999997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0.7999999999999956</v>
      </c>
      <c r="Q464">
        <f t="shared" si="980"/>
        <v>49426919.439999729</v>
      </c>
      <c r="R464">
        <f t="shared" si="981"/>
        <v>-865547587.99723327</v>
      </c>
      <c r="S464">
        <f t="shared" si="982"/>
        <v>-8655.4758799723331</v>
      </c>
      <c r="T464">
        <f t="shared" si="983"/>
        <v>-8.6554758799723324</v>
      </c>
    </row>
    <row r="465" spans="1:20" x14ac:dyDescent="0.25">
      <c r="A465" s="5">
        <v>44128</v>
      </c>
      <c r="B465">
        <v>2.5600000000000001E-2</v>
      </c>
      <c r="C465">
        <v>2.6089999999999999E-2</v>
      </c>
      <c r="D465">
        <v>2.5350000000000001E-2</v>
      </c>
      <c r="E465">
        <v>2.5770000000000001E-2</v>
      </c>
      <c r="F465">
        <v>29524146.300000001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0.13513513513513944</v>
      </c>
      <c r="Q465">
        <f t="shared" si="980"/>
        <v>3989749.5000001271</v>
      </c>
      <c r="R465">
        <f t="shared" si="981"/>
        <v>-914974507.43723297</v>
      </c>
      <c r="S465">
        <f t="shared" si="982"/>
        <v>-9149.7450743723293</v>
      </c>
      <c r="T465">
        <f t="shared" si="983"/>
        <v>-9.1497450743723299</v>
      </c>
    </row>
    <row r="466" spans="1:20" x14ac:dyDescent="0.25">
      <c r="A466" s="5">
        <v>44127</v>
      </c>
      <c r="B466">
        <v>2.6030000000000001E-2</v>
      </c>
      <c r="C466">
        <v>2.613E-2</v>
      </c>
      <c r="D466">
        <v>2.5340000000000001E-2</v>
      </c>
      <c r="E466">
        <v>2.5600000000000001E-2</v>
      </c>
      <c r="F466">
        <v>19511362.300000001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-0.34177215189873383</v>
      </c>
      <c r="Q466">
        <f t="shared" si="980"/>
        <v>-6668440.2797468286</v>
      </c>
      <c r="R466">
        <f t="shared" si="981"/>
        <v>-918964256.93723309</v>
      </c>
      <c r="S466">
        <f t="shared" si="982"/>
        <v>-9189.6425693723304</v>
      </c>
      <c r="T466">
        <f t="shared" si="983"/>
        <v>-9.1896425693723298</v>
      </c>
    </row>
    <row r="467" spans="1:20" x14ac:dyDescent="0.25">
      <c r="A467" s="5">
        <v>44126</v>
      </c>
      <c r="B467">
        <v>2.563E-2</v>
      </c>
      <c r="C467">
        <v>2.6249999999999999E-2</v>
      </c>
      <c r="D467">
        <v>2.5590000000000002E-2</v>
      </c>
      <c r="E467">
        <v>2.6030000000000001E-2</v>
      </c>
      <c r="F467">
        <v>25716942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0.33333333333333681</v>
      </c>
      <c r="Q467">
        <f t="shared" si="980"/>
        <v>8572314.0000000894</v>
      </c>
      <c r="R467">
        <f t="shared" si="981"/>
        <v>-912295816.65748632</v>
      </c>
      <c r="S467">
        <f t="shared" si="982"/>
        <v>-9122.9581665748628</v>
      </c>
      <c r="T467">
        <f t="shared" si="983"/>
        <v>-9.1229581665748629</v>
      </c>
    </row>
    <row r="468" spans="1:20" x14ac:dyDescent="0.25">
      <c r="A468" s="5">
        <v>44125</v>
      </c>
      <c r="B468">
        <v>2.5420000000000002E-2</v>
      </c>
      <c r="C468">
        <v>2.6349999999999998E-2</v>
      </c>
      <c r="D468">
        <v>2.5250000000000002E-2</v>
      </c>
      <c r="E468">
        <v>2.5600000000000001E-2</v>
      </c>
      <c r="F468">
        <v>38688340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-0.36363636363636248</v>
      </c>
      <c r="Q468">
        <f t="shared" si="980"/>
        <v>-14068487.272727229</v>
      </c>
      <c r="R468">
        <f t="shared" si="981"/>
        <v>-920868130.65748644</v>
      </c>
      <c r="S468">
        <f t="shared" si="982"/>
        <v>-9208.6813065748647</v>
      </c>
      <c r="T468">
        <f t="shared" si="983"/>
        <v>-9.2086813065748654</v>
      </c>
    </row>
    <row r="469" spans="1:20" x14ac:dyDescent="0.25">
      <c r="A469" s="5">
        <v>44124</v>
      </c>
      <c r="B469">
        <v>2.657E-2</v>
      </c>
      <c r="C469">
        <v>2.801E-2</v>
      </c>
      <c r="D469">
        <v>2.5010000000000001E-2</v>
      </c>
      <c r="E469">
        <v>2.5430000000000001E-2</v>
      </c>
      <c r="F469">
        <v>67762956.5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-0.71999999999999975</v>
      </c>
      <c r="Q469">
        <f t="shared" si="980"/>
        <v>-48789328.679999985</v>
      </c>
      <c r="R469">
        <f t="shared" si="981"/>
        <v>-906799643.38475919</v>
      </c>
      <c r="S469">
        <f t="shared" si="982"/>
        <v>-9067.9964338475911</v>
      </c>
      <c r="T469">
        <f t="shared" si="983"/>
        <v>-9.0679964338475916</v>
      </c>
    </row>
    <row r="470" spans="1:20" x14ac:dyDescent="0.25">
      <c r="A470" s="5">
        <v>44123</v>
      </c>
      <c r="B470">
        <v>2.6040000000000001E-2</v>
      </c>
      <c r="C470">
        <v>2.69E-2</v>
      </c>
      <c r="D470">
        <v>2.5860000000000001E-2</v>
      </c>
      <c r="E470">
        <v>2.657E-2</v>
      </c>
      <c r="F470">
        <v>28176759.399999999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0.36538461538461409</v>
      </c>
      <c r="Q470">
        <f t="shared" si="980"/>
        <v>10295354.39615381</v>
      </c>
      <c r="R470">
        <f t="shared" si="981"/>
        <v>-858010314.70475924</v>
      </c>
      <c r="S470">
        <f t="shared" si="982"/>
        <v>-8580.1031470475918</v>
      </c>
      <c r="T470">
        <f t="shared" si="983"/>
        <v>-8.5801031470475912</v>
      </c>
    </row>
    <row r="471" spans="1:20" x14ac:dyDescent="0.25">
      <c r="A471" s="5">
        <v>44122</v>
      </c>
      <c r="B471">
        <v>2.5860000000000001E-2</v>
      </c>
      <c r="C471">
        <v>2.63E-2</v>
      </c>
      <c r="D471">
        <v>2.579E-2</v>
      </c>
      <c r="E471">
        <v>2.6020000000000001E-2</v>
      </c>
      <c r="F471">
        <v>19955874.899999999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-9.8039215686270512E-2</v>
      </c>
      <c r="Q471">
        <f t="shared" si="980"/>
        <v>-1956458.3235293319</v>
      </c>
      <c r="R471">
        <f t="shared" si="981"/>
        <v>-868305669.10091305</v>
      </c>
      <c r="S471">
        <f t="shared" si="982"/>
        <v>-8683.0566910091311</v>
      </c>
      <c r="T471">
        <f t="shared" si="983"/>
        <v>-8.6830566910091314</v>
      </c>
    </row>
    <row r="472" spans="1:20" x14ac:dyDescent="0.25">
      <c r="A472" s="5">
        <v>44121</v>
      </c>
      <c r="B472">
        <v>2.615E-2</v>
      </c>
      <c r="C472">
        <v>2.622E-2</v>
      </c>
      <c r="D472">
        <v>2.5739999999999999E-2</v>
      </c>
      <c r="E472">
        <v>2.5860000000000001E-2</v>
      </c>
      <c r="F472">
        <v>17134235.199999999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-0.49999999999999278</v>
      </c>
      <c r="Q472">
        <f t="shared" si="980"/>
        <v>-8567117.5999998767</v>
      </c>
      <c r="R472">
        <f t="shared" si="981"/>
        <v>-866349210.77738369</v>
      </c>
      <c r="S472">
        <f t="shared" si="982"/>
        <v>-8663.4921077738363</v>
      </c>
      <c r="T472">
        <f t="shared" si="983"/>
        <v>-8.6634921077738358</v>
      </c>
    </row>
    <row r="473" spans="1:20" x14ac:dyDescent="0.25">
      <c r="A473" s="5">
        <v>44120</v>
      </c>
      <c r="B473">
        <v>2.7619999999999999E-2</v>
      </c>
      <c r="C473">
        <v>2.7619999999999999E-2</v>
      </c>
      <c r="D473">
        <v>2.5780000000000001E-2</v>
      </c>
      <c r="E473">
        <v>2.614E-2</v>
      </c>
      <c r="F473">
        <v>18754117.100000001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-0.60869565217391342</v>
      </c>
      <c r="Q473">
        <f t="shared" si="980"/>
        <v>-11415549.539130442</v>
      </c>
      <c r="R473">
        <f t="shared" si="981"/>
        <v>-857782093.17738378</v>
      </c>
      <c r="S473">
        <f t="shared" si="982"/>
        <v>-8577.8209317738383</v>
      </c>
      <c r="T473">
        <f t="shared" si="983"/>
        <v>-8.5778209317738376</v>
      </c>
    </row>
    <row r="474" spans="1:20" x14ac:dyDescent="0.25">
      <c r="A474" s="5">
        <v>44119</v>
      </c>
      <c r="B474">
        <v>2.819E-2</v>
      </c>
      <c r="C474">
        <v>2.826E-2</v>
      </c>
      <c r="D474">
        <v>2.7089999999999999E-2</v>
      </c>
      <c r="E474">
        <v>2.759E-2</v>
      </c>
      <c r="F474">
        <v>13337545.800000001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-0.1452991452991452</v>
      </c>
      <c r="Q474">
        <f t="shared" si="980"/>
        <v>-1937934.0051282039</v>
      </c>
      <c r="R474">
        <f t="shared" si="981"/>
        <v>-846366543.63825333</v>
      </c>
      <c r="S474">
        <f t="shared" si="982"/>
        <v>-8463.6654363825328</v>
      </c>
      <c r="T474">
        <f t="shared" si="983"/>
        <v>-8.4636654363825325</v>
      </c>
    </row>
    <row r="475" spans="1:20" x14ac:dyDescent="0.25">
      <c r="A475" s="5">
        <v>44118</v>
      </c>
      <c r="B475">
        <v>2.9020000000000001E-2</v>
      </c>
      <c r="C475">
        <v>2.904E-2</v>
      </c>
      <c r="D475">
        <v>2.7490000000000001E-2</v>
      </c>
      <c r="E475">
        <v>2.819E-2</v>
      </c>
      <c r="F475">
        <v>22644863.5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-9.6774193548387677E-2</v>
      </c>
      <c r="Q475">
        <f t="shared" si="980"/>
        <v>-2191438.4032258196</v>
      </c>
      <c r="R475">
        <f t="shared" si="981"/>
        <v>-844428609.63312519</v>
      </c>
      <c r="S475">
        <f t="shared" si="982"/>
        <v>-8444.2860963312523</v>
      </c>
      <c r="T475">
        <f t="shared" si="983"/>
        <v>-8.4442860963312523</v>
      </c>
    </row>
    <row r="476" spans="1:20" x14ac:dyDescent="0.25">
      <c r="A476" s="5">
        <v>44117</v>
      </c>
      <c r="B476">
        <v>2.9489999999999999E-2</v>
      </c>
      <c r="C476">
        <v>2.989E-2</v>
      </c>
      <c r="D476">
        <v>2.844E-2</v>
      </c>
      <c r="E476">
        <v>2.9020000000000001E-2</v>
      </c>
      <c r="F476">
        <v>19909896.5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-0.19999999999999904</v>
      </c>
      <c r="Q476">
        <f t="shared" si="980"/>
        <v>-3981979.2999999807</v>
      </c>
      <c r="R476">
        <f t="shared" si="981"/>
        <v>-842237171.22989941</v>
      </c>
      <c r="S476">
        <f t="shared" si="982"/>
        <v>-8422.3717122989947</v>
      </c>
      <c r="T476">
        <f t="shared" si="983"/>
        <v>-8.422371712298995</v>
      </c>
    </row>
    <row r="477" spans="1:20" x14ac:dyDescent="0.25">
      <c r="A477" s="5">
        <v>44116</v>
      </c>
      <c r="B477">
        <v>2.8899999999999999E-2</v>
      </c>
      <c r="C477">
        <v>3.032E-2</v>
      </c>
      <c r="D477">
        <v>2.8459999999999999E-2</v>
      </c>
      <c r="E477">
        <v>2.946E-2</v>
      </c>
      <c r="F477">
        <v>29907973.399999999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7.5268817204301716E-2</v>
      </c>
      <c r="Q477">
        <f t="shared" si="980"/>
        <v>2251137.7827957179</v>
      </c>
      <c r="R477">
        <f t="shared" si="981"/>
        <v>-838255191.92989945</v>
      </c>
      <c r="S477">
        <f t="shared" si="982"/>
        <v>-8382.5519192989941</v>
      </c>
      <c r="T477">
        <f t="shared" si="983"/>
        <v>-8.3825519192989937</v>
      </c>
    </row>
    <row r="478" spans="1:20" x14ac:dyDescent="0.25">
      <c r="A478" s="5">
        <v>44115</v>
      </c>
      <c r="B478">
        <v>2.962E-2</v>
      </c>
      <c r="C478">
        <v>2.9760000000000002E-2</v>
      </c>
      <c r="D478">
        <v>2.8649999999999998E-2</v>
      </c>
      <c r="E478">
        <v>2.8879999999999999E-2</v>
      </c>
      <c r="F478">
        <v>15162946.199999999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-0.58558558558558493</v>
      </c>
      <c r="Q478">
        <f t="shared" si="980"/>
        <v>-8879202.7297297195</v>
      </c>
      <c r="R478">
        <f t="shared" si="981"/>
        <v>-840506329.71269512</v>
      </c>
      <c r="S478">
        <f t="shared" si="982"/>
        <v>-8405.0632971269515</v>
      </c>
      <c r="T478">
        <f t="shared" si="983"/>
        <v>-8.4050632971269508</v>
      </c>
    </row>
    <row r="479" spans="1:20" x14ac:dyDescent="0.25">
      <c r="A479" s="5">
        <v>44114</v>
      </c>
      <c r="B479">
        <v>2.9829999999999999E-2</v>
      </c>
      <c r="C479">
        <v>3.0460000000000001E-2</v>
      </c>
      <c r="D479">
        <v>2.9309999999999999E-2</v>
      </c>
      <c r="E479">
        <v>2.963E-2</v>
      </c>
      <c r="F479">
        <v>31923779.199999999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-0.4434782608695646</v>
      </c>
      <c r="Q479">
        <f t="shared" si="980"/>
        <v>-14157502.07999998</v>
      </c>
      <c r="R479">
        <f t="shared" si="981"/>
        <v>-831627126.98296535</v>
      </c>
      <c r="S479">
        <f t="shared" si="982"/>
        <v>-8316.2712698296527</v>
      </c>
      <c r="T479">
        <f t="shared" si="983"/>
        <v>-8.3162712698296524</v>
      </c>
    </row>
    <row r="480" spans="1:20" x14ac:dyDescent="0.25">
      <c r="A480" s="5">
        <v>44113</v>
      </c>
      <c r="B480">
        <v>2.887E-2</v>
      </c>
      <c r="C480">
        <v>2.9960000000000001E-2</v>
      </c>
      <c r="D480">
        <v>2.8170000000000001E-2</v>
      </c>
      <c r="E480">
        <v>2.9839999999999998E-2</v>
      </c>
      <c r="F480">
        <v>35734356.700000003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0.86592178770949491</v>
      </c>
      <c r="Q480">
        <f t="shared" si="980"/>
        <v>30943158.03631277</v>
      </c>
      <c r="R480">
        <f t="shared" si="981"/>
        <v>-817469624.90296543</v>
      </c>
      <c r="S480">
        <f t="shared" si="982"/>
        <v>-8174.6962490296546</v>
      </c>
      <c r="T480">
        <f t="shared" si="983"/>
        <v>-8.1746962490296546</v>
      </c>
    </row>
    <row r="481" spans="1:20" x14ac:dyDescent="0.25">
      <c r="A481" s="5">
        <v>44112</v>
      </c>
      <c r="B481">
        <v>2.7830000000000001E-2</v>
      </c>
      <c r="C481">
        <v>2.92E-2</v>
      </c>
      <c r="D481">
        <v>2.707E-2</v>
      </c>
      <c r="E481">
        <v>2.886E-2</v>
      </c>
      <c r="F481">
        <v>40406069.700000003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0.68075117370892013</v>
      </c>
      <c r="Q481">
        <f t="shared" si="980"/>
        <v>27506479.373239435</v>
      </c>
      <c r="R481">
        <f t="shared" si="981"/>
        <v>-848412782.93927824</v>
      </c>
      <c r="S481">
        <f t="shared" si="982"/>
        <v>-8484.1278293927826</v>
      </c>
      <c r="T481">
        <f t="shared" si="983"/>
        <v>-8.4841278293927829</v>
      </c>
    </row>
    <row r="482" spans="1:20" x14ac:dyDescent="0.25">
      <c r="A482" s="5">
        <v>44111</v>
      </c>
      <c r="B482">
        <v>2.9229999999999999E-2</v>
      </c>
      <c r="C482">
        <v>2.9260000000000001E-2</v>
      </c>
      <c r="D482">
        <v>2.6329999999999999E-2</v>
      </c>
      <c r="E482">
        <v>2.7879999999999999E-2</v>
      </c>
      <c r="F482">
        <v>41332450.399999999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5.802047781569844E-2</v>
      </c>
      <c r="Q482">
        <f t="shared" si="980"/>
        <v>2398128.5215016562</v>
      </c>
      <c r="R482">
        <f t="shared" si="981"/>
        <v>-875919262.31251764</v>
      </c>
      <c r="S482">
        <f t="shared" si="982"/>
        <v>-8759.1926231251764</v>
      </c>
      <c r="T482">
        <f t="shared" si="983"/>
        <v>-8.7591926231251769</v>
      </c>
    </row>
    <row r="483" spans="1:20" x14ac:dyDescent="0.25">
      <c r="A483" s="5">
        <v>44110</v>
      </c>
      <c r="B483">
        <v>3.2890000000000003E-2</v>
      </c>
      <c r="C483">
        <v>3.3000000000000002E-2</v>
      </c>
      <c r="D483">
        <v>2.9229999999999999E-2</v>
      </c>
      <c r="E483">
        <v>2.9229999999999999E-2</v>
      </c>
      <c r="F483">
        <v>39158206.100000001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-1</v>
      </c>
      <c r="Q483">
        <f t="shared" si="980"/>
        <v>-39158206.100000001</v>
      </c>
      <c r="R483">
        <f t="shared" si="981"/>
        <v>-878317390.8340193</v>
      </c>
      <c r="S483">
        <f t="shared" si="982"/>
        <v>-8783.1739083401935</v>
      </c>
      <c r="T483">
        <f t="shared" si="983"/>
        <v>-8.7831739083401938</v>
      </c>
    </row>
    <row r="484" spans="1:20" x14ac:dyDescent="0.25">
      <c r="A484" s="5">
        <v>44109</v>
      </c>
      <c r="B484">
        <v>3.2719999999999999E-2</v>
      </c>
      <c r="C484">
        <v>3.3090000000000001E-2</v>
      </c>
      <c r="D484">
        <v>3.1899999999999998E-2</v>
      </c>
      <c r="E484">
        <v>3.288E-2</v>
      </c>
      <c r="F484">
        <v>29996790.699999999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0.64705882352940969</v>
      </c>
      <c r="Q484">
        <f t="shared" si="980"/>
        <v>19409688.099999938</v>
      </c>
      <c r="R484">
        <f t="shared" si="981"/>
        <v>-839159184.73401928</v>
      </c>
      <c r="S484">
        <f t="shared" si="982"/>
        <v>-8391.5918473401925</v>
      </c>
      <c r="T484">
        <f t="shared" si="983"/>
        <v>-8.3915918473401927</v>
      </c>
    </row>
    <row r="485" spans="1:20" x14ac:dyDescent="0.25">
      <c r="A485" s="5">
        <v>44108</v>
      </c>
      <c r="B485">
        <v>3.3340000000000002E-2</v>
      </c>
      <c r="C485">
        <v>3.372E-2</v>
      </c>
      <c r="D485">
        <v>3.1960000000000002E-2</v>
      </c>
      <c r="E485">
        <v>3.2739999999999998E-2</v>
      </c>
      <c r="F485">
        <v>40048434.799999997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-0.11363636363636705</v>
      </c>
      <c r="Q485">
        <f t="shared" si="980"/>
        <v>-4550958.500000136</v>
      </c>
      <c r="R485">
        <f t="shared" si="981"/>
        <v>-858568872.83401918</v>
      </c>
      <c r="S485">
        <f t="shared" si="982"/>
        <v>-8585.688728340192</v>
      </c>
      <c r="T485">
        <f t="shared" si="983"/>
        <v>-8.5856887283401928</v>
      </c>
    </row>
    <row r="486" spans="1:20" x14ac:dyDescent="0.25">
      <c r="A486" s="5">
        <v>44107</v>
      </c>
      <c r="B486">
        <v>3.372E-2</v>
      </c>
      <c r="C486">
        <v>3.492E-2</v>
      </c>
      <c r="D486">
        <v>3.3329999999999999E-2</v>
      </c>
      <c r="E486">
        <v>3.3369999999999997E-2</v>
      </c>
      <c r="F486">
        <v>31725753.399999999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-0.94968553459119709</v>
      </c>
      <c r="Q486">
        <f t="shared" si="980"/>
        <v>-30129489.077987488</v>
      </c>
      <c r="R486">
        <f t="shared" si="981"/>
        <v>-854017914.33401906</v>
      </c>
      <c r="S486">
        <f t="shared" si="982"/>
        <v>-8540.1791433401904</v>
      </c>
      <c r="T486">
        <f t="shared" si="983"/>
        <v>-8.5401791433401897</v>
      </c>
    </row>
    <row r="487" spans="1:20" x14ac:dyDescent="0.25">
      <c r="A487" s="5">
        <v>44106</v>
      </c>
      <c r="B487">
        <v>3.4590000000000003E-2</v>
      </c>
      <c r="C487">
        <v>3.492E-2</v>
      </c>
      <c r="D487">
        <v>3.2160000000000001E-2</v>
      </c>
      <c r="E487">
        <v>3.363E-2</v>
      </c>
      <c r="F487">
        <v>29194979.100000001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6.5217391304347713E-2</v>
      </c>
      <c r="Q487">
        <f t="shared" si="980"/>
        <v>1904020.3760869533</v>
      </c>
      <c r="R487">
        <f t="shared" si="981"/>
        <v>-823888425.25603163</v>
      </c>
      <c r="S487">
        <f t="shared" si="982"/>
        <v>-8238.8842525603159</v>
      </c>
      <c r="T487">
        <f t="shared" si="983"/>
        <v>-8.2388842525603163</v>
      </c>
    </row>
    <row r="488" spans="1:20" x14ac:dyDescent="0.25">
      <c r="A488" s="5">
        <v>44105</v>
      </c>
      <c r="B488">
        <v>3.5549999999999998E-2</v>
      </c>
      <c r="C488">
        <v>3.6179999999999997E-2</v>
      </c>
      <c r="D488">
        <v>3.4139999999999997E-2</v>
      </c>
      <c r="E488">
        <v>3.4630000000000001E-2</v>
      </c>
      <c r="F488">
        <v>50042577.600000001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-0.51960784313725072</v>
      </c>
      <c r="Q488">
        <f t="shared" si="980"/>
        <v>-26002515.811764497</v>
      </c>
      <c r="R488">
        <f t="shared" si="981"/>
        <v>-825792445.63211858</v>
      </c>
      <c r="S488">
        <f t="shared" si="982"/>
        <v>-8257.9244563211851</v>
      </c>
      <c r="T488">
        <f t="shared" si="983"/>
        <v>-8.2579244563211844</v>
      </c>
    </row>
    <row r="489" spans="1:20" x14ac:dyDescent="0.25">
      <c r="A489" s="5">
        <v>44104</v>
      </c>
      <c r="B489">
        <v>3.78E-2</v>
      </c>
      <c r="C489">
        <v>3.7830000000000003E-2</v>
      </c>
      <c r="D489">
        <v>3.5069999999999997E-2</v>
      </c>
      <c r="E489">
        <v>3.5520000000000003E-2</v>
      </c>
      <c r="F489">
        <v>58804835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-0.6739130434782572</v>
      </c>
      <c r="Q489">
        <f t="shared" si="980"/>
        <v>-39629345.326086737</v>
      </c>
      <c r="R489">
        <f t="shared" si="981"/>
        <v>-799789929.8203541</v>
      </c>
      <c r="S489">
        <f t="shared" si="982"/>
        <v>-7997.8992982035406</v>
      </c>
      <c r="T489">
        <f t="shared" si="983"/>
        <v>-7.9978992982035404</v>
      </c>
    </row>
    <row r="490" spans="1:20" x14ac:dyDescent="0.25">
      <c r="A490" s="5">
        <v>44103</v>
      </c>
      <c r="B490">
        <v>3.8269999999999998E-2</v>
      </c>
      <c r="C490">
        <v>3.9230000000000001E-2</v>
      </c>
      <c r="D490">
        <v>3.6569999999999998E-2</v>
      </c>
      <c r="E490">
        <v>3.7830000000000003E-2</v>
      </c>
      <c r="F490">
        <v>38665543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-5.2631578947366225E-2</v>
      </c>
      <c r="Q490">
        <f t="shared" si="980"/>
        <v>-2035028.5789472836</v>
      </c>
      <c r="R490">
        <f t="shared" si="981"/>
        <v>-760160584.49426734</v>
      </c>
      <c r="S490">
        <f t="shared" si="982"/>
        <v>-7601.6058449426737</v>
      </c>
      <c r="T490">
        <f t="shared" si="983"/>
        <v>-7.6016058449426733</v>
      </c>
    </row>
    <row r="491" spans="1:20" x14ac:dyDescent="0.25">
      <c r="A491" s="5">
        <v>44102</v>
      </c>
      <c r="B491">
        <v>3.8580000000000003E-2</v>
      </c>
      <c r="C491">
        <v>3.9820000000000001E-2</v>
      </c>
      <c r="D491">
        <v>3.8249999999999999E-2</v>
      </c>
      <c r="E491">
        <v>3.8339999999999999E-2</v>
      </c>
      <c r="F491">
        <v>39189109.399999999</v>
      </c>
      <c r="G491">
        <v>0</v>
      </c>
      <c r="L491" t="s">
        <v>8</v>
      </c>
      <c r="M491" t="s">
        <v>7</v>
      </c>
      <c r="N491" t="s">
        <v>8</v>
      </c>
      <c r="P491">
        <f t="shared" si="979"/>
        <v>-0.88535031847133794</v>
      </c>
      <c r="Q491">
        <f t="shared" si="980"/>
        <v>-34696090.487898104</v>
      </c>
      <c r="R491">
        <f t="shared" si="981"/>
        <v>-758125555.91532004</v>
      </c>
      <c r="S491">
        <f t="shared" si="982"/>
        <v>-7581.2555591532</v>
      </c>
      <c r="T491">
        <f t="shared" si="983"/>
        <v>-7.5812555591531998</v>
      </c>
    </row>
    <row r="492" spans="1:20" x14ac:dyDescent="0.25">
      <c r="A492" s="5">
        <v>44101</v>
      </c>
      <c r="B492">
        <v>3.9370000000000002E-2</v>
      </c>
      <c r="C492">
        <v>3.9829999999999997E-2</v>
      </c>
      <c r="D492">
        <v>3.7139999999999999E-2</v>
      </c>
      <c r="E492">
        <v>3.8550000000000001E-2</v>
      </c>
      <c r="F492">
        <v>50651958.399999999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4.832713754647034E-2</v>
      </c>
      <c r="Q492">
        <f t="shared" si="980"/>
        <v>2447864.1605948936</v>
      </c>
      <c r="R492">
        <f t="shared" si="981"/>
        <v>-723429465.42742193</v>
      </c>
      <c r="S492">
        <f t="shared" si="982"/>
        <v>-7234.2946542742193</v>
      </c>
      <c r="T492">
        <f t="shared" si="983"/>
        <v>-7.234294654274219</v>
      </c>
    </row>
    <row r="493" spans="1:20" x14ac:dyDescent="0.25">
      <c r="A493" s="5">
        <v>44100</v>
      </c>
      <c r="B493">
        <v>3.959E-2</v>
      </c>
      <c r="C493">
        <v>4.1689999999999998E-2</v>
      </c>
      <c r="D493">
        <v>3.875E-2</v>
      </c>
      <c r="E493">
        <v>3.9399999999999998E-2</v>
      </c>
      <c r="F493">
        <v>47596184.600000001</v>
      </c>
      <c r="G493">
        <v>0</v>
      </c>
      <c r="L493" t="s">
        <v>8</v>
      </c>
      <c r="M493" t="s">
        <v>7</v>
      </c>
      <c r="N493" t="s">
        <v>8</v>
      </c>
      <c r="P493">
        <f t="shared" si="979"/>
        <v>-0.55782312925170185</v>
      </c>
      <c r="Q493">
        <f t="shared" si="980"/>
        <v>-26550252.634013664</v>
      </c>
      <c r="R493">
        <f t="shared" si="981"/>
        <v>-725877329.58801687</v>
      </c>
      <c r="S493">
        <f t="shared" si="982"/>
        <v>-7258.7732958801689</v>
      </c>
      <c r="T493">
        <f t="shared" si="983"/>
        <v>-7.258773295880169</v>
      </c>
    </row>
    <row r="494" spans="1:20" x14ac:dyDescent="0.25">
      <c r="A494" s="5">
        <v>44099</v>
      </c>
      <c r="B494">
        <v>3.8780000000000002E-2</v>
      </c>
      <c r="C494">
        <v>4.0410000000000001E-2</v>
      </c>
      <c r="D494">
        <v>3.7900000000000003E-2</v>
      </c>
      <c r="E494">
        <v>3.95E-2</v>
      </c>
      <c r="F494">
        <v>30924592.199999999</v>
      </c>
      <c r="G494">
        <v>0</v>
      </c>
      <c r="L494" t="s">
        <v>8</v>
      </c>
      <c r="M494" t="s">
        <v>7</v>
      </c>
      <c r="N494" t="s">
        <v>8</v>
      </c>
      <c r="P494">
        <f t="shared" si="979"/>
        <v>0.27490039840637315</v>
      </c>
      <c r="Q494">
        <f t="shared" si="980"/>
        <v>8501182.7163346186</v>
      </c>
      <c r="R494">
        <f t="shared" si="981"/>
        <v>-699327076.95400321</v>
      </c>
      <c r="S494">
        <f t="shared" si="982"/>
        <v>-6993.2707695400322</v>
      </c>
      <c r="T494">
        <f t="shared" si="983"/>
        <v>-6.9932707695400325</v>
      </c>
    </row>
    <row r="495" spans="1:20" x14ac:dyDescent="0.25">
      <c r="A495" s="5">
        <v>44098</v>
      </c>
      <c r="B495">
        <v>3.619E-2</v>
      </c>
      <c r="C495">
        <v>3.8760000000000003E-2</v>
      </c>
      <c r="D495">
        <v>3.5920000000000001E-2</v>
      </c>
      <c r="E495">
        <v>3.875E-2</v>
      </c>
      <c r="F495">
        <v>34502868.399999999</v>
      </c>
      <c r="G495">
        <v>0</v>
      </c>
      <c r="L495" t="s">
        <v>8</v>
      </c>
      <c r="M495" t="s">
        <v>7</v>
      </c>
      <c r="N495" t="s">
        <v>8</v>
      </c>
      <c r="P495">
        <f t="shared" si="979"/>
        <v>0.99295774647887114</v>
      </c>
      <c r="Q495">
        <f t="shared" si="980"/>
        <v>34259890.453521051</v>
      </c>
      <c r="R495">
        <f t="shared" si="981"/>
        <v>-707828259.6703378</v>
      </c>
      <c r="S495">
        <f t="shared" si="982"/>
        <v>-7078.2825967033777</v>
      </c>
      <c r="T495">
        <f t="shared" si="983"/>
        <v>-7.078282596703378</v>
      </c>
    </row>
    <row r="496" spans="1:20" x14ac:dyDescent="0.25">
      <c r="A496" s="5">
        <v>44097</v>
      </c>
      <c r="B496">
        <v>3.7339999999999998E-2</v>
      </c>
      <c r="C496">
        <v>3.8289999999999998E-2</v>
      </c>
      <c r="D496">
        <v>3.576E-2</v>
      </c>
      <c r="E496">
        <v>3.6179999999999997E-2</v>
      </c>
      <c r="F496">
        <v>48732117.700000003</v>
      </c>
      <c r="G496">
        <v>0</v>
      </c>
      <c r="L496" t="s">
        <v>7</v>
      </c>
      <c r="M496" t="s">
        <v>7</v>
      </c>
      <c r="N496" t="s">
        <v>8</v>
      </c>
      <c r="P496">
        <f t="shared" si="979"/>
        <v>-0.66798418972332241</v>
      </c>
      <c r="Q496">
        <f t="shared" si="980"/>
        <v>-32552284.155336078</v>
      </c>
      <c r="R496">
        <f t="shared" si="981"/>
        <v>-742088150.12385881</v>
      </c>
      <c r="S496">
        <f t="shared" si="982"/>
        <v>-7420.8815012385885</v>
      </c>
      <c r="T496">
        <f t="shared" si="983"/>
        <v>-7.4208815012385889</v>
      </c>
    </row>
    <row r="497" spans="1:20" x14ac:dyDescent="0.25">
      <c r="A497" s="5">
        <v>44096</v>
      </c>
      <c r="B497">
        <v>3.8019999999999998E-2</v>
      </c>
      <c r="C497">
        <v>3.8850000000000003E-2</v>
      </c>
      <c r="D497">
        <v>3.662E-2</v>
      </c>
      <c r="E497">
        <v>3.7330000000000002E-2</v>
      </c>
      <c r="F497">
        <v>69526909.700000003</v>
      </c>
      <c r="G497">
        <v>0</v>
      </c>
      <c r="L497" t="s">
        <v>7</v>
      </c>
      <c r="M497" t="s">
        <v>7</v>
      </c>
      <c r="N497" t="s">
        <v>8</v>
      </c>
      <c r="P497">
        <f t="shared" si="979"/>
        <v>-0.36322869955156822</v>
      </c>
      <c r="Q497">
        <f t="shared" si="980"/>
        <v>-25254168.994170316</v>
      </c>
      <c r="R497">
        <f t="shared" si="981"/>
        <v>-709535865.96852279</v>
      </c>
      <c r="S497">
        <f t="shared" si="982"/>
        <v>-7095.3586596852283</v>
      </c>
      <c r="T497">
        <f t="shared" si="983"/>
        <v>-7.0953586596852283</v>
      </c>
    </row>
    <row r="498" spans="1:20" x14ac:dyDescent="0.25">
      <c r="A498" s="5">
        <v>44095</v>
      </c>
      <c r="B498">
        <v>4.1360000000000001E-2</v>
      </c>
      <c r="C498">
        <v>4.1980000000000003E-2</v>
      </c>
      <c r="D498">
        <v>3.6810000000000002E-2</v>
      </c>
      <c r="E498">
        <v>3.8089999999999999E-2</v>
      </c>
      <c r="F498">
        <v>89228952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-0.50483558994197442</v>
      </c>
      <c r="Q498">
        <f t="shared" si="980"/>
        <v>-45045950.622824118</v>
      </c>
      <c r="R498">
        <f t="shared" si="981"/>
        <v>-684281696.97435248</v>
      </c>
      <c r="S498">
        <f t="shared" si="982"/>
        <v>-6842.8169697435251</v>
      </c>
      <c r="T498">
        <f t="shared" si="983"/>
        <v>-6.8428169697435255</v>
      </c>
    </row>
    <row r="499" spans="1:20" x14ac:dyDescent="0.25">
      <c r="A499" s="5">
        <v>44094</v>
      </c>
      <c r="B499">
        <v>4.3409999999999997E-2</v>
      </c>
      <c r="C499">
        <v>4.3540000000000002E-2</v>
      </c>
      <c r="D499">
        <v>4.0300000000000002E-2</v>
      </c>
      <c r="E499">
        <v>4.1340000000000002E-2</v>
      </c>
      <c r="F499">
        <v>62896086.5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-0.35802469135802512</v>
      </c>
      <c r="Q499">
        <f t="shared" si="980"/>
        <v>-22518351.956790149</v>
      </c>
      <c r="R499">
        <f t="shared" si="981"/>
        <v>-639235746.35152841</v>
      </c>
      <c r="S499">
        <f t="shared" si="982"/>
        <v>-6392.3574635152845</v>
      </c>
      <c r="T499">
        <f t="shared" si="983"/>
        <v>-6.3923574635152844</v>
      </c>
    </row>
    <row r="500" spans="1:20" x14ac:dyDescent="0.25">
      <c r="A500" s="5">
        <v>44093</v>
      </c>
      <c r="B500">
        <v>4.3389999999999998E-2</v>
      </c>
      <c r="C500">
        <v>4.539E-2</v>
      </c>
      <c r="D500">
        <v>4.2999999999999997E-2</v>
      </c>
      <c r="E500">
        <v>4.3400000000000001E-2</v>
      </c>
      <c r="F500">
        <v>78495210.799999997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-0.66527196652719334</v>
      </c>
      <c r="Q500">
        <f t="shared" si="980"/>
        <v>-52220663.251882583</v>
      </c>
      <c r="R500">
        <f t="shared" si="981"/>
        <v>-616717394.39473832</v>
      </c>
      <c r="S500">
        <f t="shared" si="982"/>
        <v>-6167.1739439473831</v>
      </c>
      <c r="T500">
        <f t="shared" si="983"/>
        <v>-6.1671739439473834</v>
      </c>
    </row>
    <row r="501" spans="1:20" x14ac:dyDescent="0.25">
      <c r="A501" s="5">
        <v>44092</v>
      </c>
      <c r="B501">
        <v>4.3380000000000002E-2</v>
      </c>
      <c r="C501">
        <v>4.548E-2</v>
      </c>
      <c r="D501">
        <v>4.1820000000000003E-2</v>
      </c>
      <c r="E501">
        <v>4.3450000000000003E-2</v>
      </c>
      <c r="F501">
        <v>118412463.2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-0.10928961748633824</v>
      </c>
      <c r="Q501">
        <f t="shared" si="980"/>
        <v>-12941252.808743104</v>
      </c>
      <c r="R501">
        <f t="shared" si="981"/>
        <v>-564496731.14285576</v>
      </c>
      <c r="S501">
        <f t="shared" si="982"/>
        <v>-5644.9673114285579</v>
      </c>
      <c r="T501">
        <f t="shared" si="983"/>
        <v>-5.6449673114285579</v>
      </c>
    </row>
    <row r="502" spans="1:20" x14ac:dyDescent="0.25">
      <c r="A502" s="5">
        <v>44091</v>
      </c>
      <c r="B502">
        <v>4.1110000000000001E-2</v>
      </c>
      <c r="C502">
        <v>4.3790000000000003E-2</v>
      </c>
      <c r="D502">
        <v>4.0120000000000003E-2</v>
      </c>
      <c r="E502">
        <v>4.3380000000000002E-2</v>
      </c>
      <c r="F502">
        <v>220311473.09999999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0.7765667574931876</v>
      </c>
      <c r="Q502">
        <f t="shared" si="980"/>
        <v>171086566.30381462</v>
      </c>
      <c r="R502">
        <f t="shared" si="981"/>
        <v>-551555478.33411264</v>
      </c>
      <c r="S502">
        <f t="shared" si="982"/>
        <v>-5515.5547833411265</v>
      </c>
      <c r="T502">
        <f t="shared" si="983"/>
        <v>-5.5155547833411269</v>
      </c>
    </row>
    <row r="503" spans="1:20" x14ac:dyDescent="0.25">
      <c r="A503" s="5">
        <v>44090</v>
      </c>
      <c r="B503">
        <v>3.755E-2</v>
      </c>
      <c r="C503">
        <v>4.4940000000000001E-2</v>
      </c>
      <c r="D503">
        <v>3.3000000000000002E-2</v>
      </c>
      <c r="E503">
        <v>4.1119999999999997E-2</v>
      </c>
      <c r="F503">
        <v>397589520.89999998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0.36013400335008305</v>
      </c>
      <c r="Q503">
        <f t="shared" si="980"/>
        <v>143185505.85175851</v>
      </c>
      <c r="R503">
        <f t="shared" si="981"/>
        <v>-722642044.63792729</v>
      </c>
      <c r="S503">
        <f t="shared" si="982"/>
        <v>-7226.420446379273</v>
      </c>
      <c r="T503">
        <f t="shared" si="983"/>
        <v>-7.2264204463792732</v>
      </c>
    </row>
    <row r="504" spans="1:20" x14ac:dyDescent="0.25">
      <c r="A504" s="5">
        <v>44089</v>
      </c>
      <c r="B504">
        <v>3.9120000000000002E-2</v>
      </c>
      <c r="C504">
        <v>3.968E-2</v>
      </c>
      <c r="D504">
        <v>3.7280000000000001E-2</v>
      </c>
      <c r="E504">
        <v>3.7539999999999997E-2</v>
      </c>
      <c r="F504">
        <v>114038787.3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-0.78333333333333632</v>
      </c>
      <c r="Q504">
        <f t="shared" si="980"/>
        <v>-89330383.385000333</v>
      </c>
      <c r="R504">
        <f t="shared" si="981"/>
        <v>-865827550.48968577</v>
      </c>
      <c r="S504">
        <f t="shared" si="982"/>
        <v>-8658.2755048968575</v>
      </c>
      <c r="T504">
        <f t="shared" si="983"/>
        <v>-8.6582755048968583</v>
      </c>
    </row>
    <row r="505" spans="1:20" x14ac:dyDescent="0.25">
      <c r="A505" s="5">
        <v>44088</v>
      </c>
      <c r="B505">
        <v>3.8949999999999999E-2</v>
      </c>
      <c r="C505">
        <v>4.0239999999999998E-2</v>
      </c>
      <c r="D505">
        <v>3.789E-2</v>
      </c>
      <c r="E505">
        <v>3.9120000000000002E-2</v>
      </c>
      <c r="F505">
        <v>143569093.5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4.6808510638300438E-2</v>
      </c>
      <c r="Q505">
        <f t="shared" si="980"/>
        <v>6720255.4404258998</v>
      </c>
      <c r="R505">
        <f t="shared" si="981"/>
        <v>-776497167.10468543</v>
      </c>
      <c r="S505">
        <f t="shared" si="982"/>
        <v>-7764.9716710468547</v>
      </c>
      <c r="T505">
        <f t="shared" si="983"/>
        <v>-7.7649716710468546</v>
      </c>
    </row>
    <row r="506" spans="1:20" x14ac:dyDescent="0.25">
      <c r="A506" s="5">
        <v>44087</v>
      </c>
      <c r="B506">
        <v>4.1140000000000003E-2</v>
      </c>
      <c r="C506">
        <v>4.1950000000000001E-2</v>
      </c>
      <c r="D506">
        <v>3.7359999999999997E-2</v>
      </c>
      <c r="E506">
        <v>3.8969999999999998E-2</v>
      </c>
      <c r="F506">
        <v>272334099.69999999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-0.29847494553376952</v>
      </c>
      <c r="Q506">
        <f t="shared" si="980"/>
        <v>-81284905.574945658</v>
      </c>
      <c r="R506">
        <f t="shared" si="981"/>
        <v>-783217422.5451113</v>
      </c>
      <c r="S506">
        <f t="shared" si="982"/>
        <v>-7832.1742254511128</v>
      </c>
      <c r="T506">
        <f t="shared" si="983"/>
        <v>-7.8321742254511131</v>
      </c>
    </row>
    <row r="507" spans="1:20" x14ac:dyDescent="0.25">
      <c r="A507" s="5">
        <v>44086</v>
      </c>
      <c r="B507">
        <v>4.215E-2</v>
      </c>
      <c r="C507">
        <v>4.2180000000000002E-2</v>
      </c>
      <c r="D507">
        <v>3.9919999999999997E-2</v>
      </c>
      <c r="E507">
        <v>4.1110000000000001E-2</v>
      </c>
      <c r="F507">
        <v>116534278.3</v>
      </c>
      <c r="G507">
        <v>0</v>
      </c>
      <c r="L507" t="s">
        <v>7</v>
      </c>
      <c r="M507" t="s">
        <v>8</v>
      </c>
      <c r="N507" t="s">
        <v>8</v>
      </c>
      <c r="P507">
        <f t="shared" si="979"/>
        <v>5.3097345132744153E-2</v>
      </c>
      <c r="Q507">
        <f t="shared" si="980"/>
        <v>6187660.7946903575</v>
      </c>
      <c r="R507">
        <f t="shared" si="981"/>
        <v>-701932516.97016561</v>
      </c>
      <c r="S507">
        <f t="shared" si="982"/>
        <v>-7019.3251697016558</v>
      </c>
      <c r="T507">
        <f t="shared" si="983"/>
        <v>-7.0193251697016557</v>
      </c>
    </row>
    <row r="508" spans="1:20" x14ac:dyDescent="0.25">
      <c r="A508" s="5">
        <v>44085</v>
      </c>
      <c r="B508">
        <v>4.3099999999999999E-2</v>
      </c>
      <c r="C508">
        <v>4.3299999999999998E-2</v>
      </c>
      <c r="D508">
        <v>3.9829999999999997E-2</v>
      </c>
      <c r="E508">
        <v>4.2169999999999999E-2</v>
      </c>
      <c r="F508">
        <v>138810112.69999999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0.34870317002881912</v>
      </c>
      <c r="Q508">
        <f t="shared" si="980"/>
        <v>48403526.330547638</v>
      </c>
      <c r="R508">
        <f t="shared" si="981"/>
        <v>-708120177.76485598</v>
      </c>
      <c r="S508">
        <f t="shared" si="982"/>
        <v>-7081.20177764856</v>
      </c>
      <c r="T508">
        <f t="shared" si="983"/>
        <v>-7.0812017776485598</v>
      </c>
    </row>
    <row r="509" spans="1:20" x14ac:dyDescent="0.25">
      <c r="A509" s="5">
        <v>44084</v>
      </c>
      <c r="B509">
        <v>4.1029999999999997E-2</v>
      </c>
      <c r="C509">
        <v>4.4319999999999998E-2</v>
      </c>
      <c r="D509">
        <v>4.0649999999999999E-2</v>
      </c>
      <c r="E509">
        <v>4.3099999999999999E-2</v>
      </c>
      <c r="F509">
        <v>146792798.59999999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0.33514986376021855</v>
      </c>
      <c r="Q509">
        <f t="shared" si="980"/>
        <v>49197586.4517712</v>
      </c>
      <c r="R509">
        <f t="shared" si="981"/>
        <v>-756523704.09540367</v>
      </c>
      <c r="S509">
        <f t="shared" si="982"/>
        <v>-7565.2370409540363</v>
      </c>
      <c r="T509">
        <f t="shared" si="983"/>
        <v>-7.5652370409540364</v>
      </c>
    </row>
    <row r="510" spans="1:20" x14ac:dyDescent="0.25">
      <c r="A510" s="5">
        <v>44083</v>
      </c>
      <c r="B510">
        <v>3.959E-2</v>
      </c>
      <c r="C510">
        <v>4.2119999999999998E-2</v>
      </c>
      <c r="D510">
        <v>3.8039999999999997E-2</v>
      </c>
      <c r="E510">
        <v>4.1029999999999997E-2</v>
      </c>
      <c r="F510">
        <v>96821003.400000006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0.4656862745098036</v>
      </c>
      <c r="Q510">
        <f t="shared" si="980"/>
        <v>45088212.367647029</v>
      </c>
      <c r="R510">
        <f t="shared" si="981"/>
        <v>-805721290.54717493</v>
      </c>
      <c r="S510">
        <f t="shared" si="982"/>
        <v>-8057.2129054717489</v>
      </c>
      <c r="T510">
        <f t="shared" si="983"/>
        <v>-8.057212905471749</v>
      </c>
    </row>
    <row r="511" spans="1:20" x14ac:dyDescent="0.25">
      <c r="A511" s="5">
        <v>44082</v>
      </c>
      <c r="B511">
        <v>3.9489999999999997E-2</v>
      </c>
      <c r="C511">
        <v>4.2049999999999997E-2</v>
      </c>
      <c r="D511">
        <v>3.6729999999999999E-2</v>
      </c>
      <c r="E511">
        <v>3.9620000000000002E-2</v>
      </c>
      <c r="F511">
        <v>86689340.400000006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8.6466165413535551E-2</v>
      </c>
      <c r="Q511">
        <f t="shared" si="980"/>
        <v>7495694.846616691</v>
      </c>
      <c r="R511">
        <f t="shared" si="981"/>
        <v>-850809502.91482198</v>
      </c>
      <c r="S511">
        <f t="shared" si="982"/>
        <v>-8508.0950291482204</v>
      </c>
      <c r="T511">
        <f t="shared" si="983"/>
        <v>-8.5080950291482207</v>
      </c>
    </row>
    <row r="512" spans="1:20" x14ac:dyDescent="0.25">
      <c r="A512" s="5">
        <v>44081</v>
      </c>
      <c r="B512">
        <v>4.0079999999999998E-2</v>
      </c>
      <c r="C512">
        <v>4.1000000000000002E-2</v>
      </c>
      <c r="D512">
        <v>3.4320000000000003E-2</v>
      </c>
      <c r="E512">
        <v>3.9550000000000002E-2</v>
      </c>
      <c r="F512">
        <v>89142866.299999997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0.56586826347305386</v>
      </c>
      <c r="Q512">
        <f t="shared" si="980"/>
        <v>50443118.95419161</v>
      </c>
      <c r="R512">
        <f t="shared" si="981"/>
        <v>-858305197.76143873</v>
      </c>
      <c r="S512">
        <f t="shared" si="982"/>
        <v>-8583.0519776143865</v>
      </c>
      <c r="T512">
        <f t="shared" si="983"/>
        <v>-8.583051977614387</v>
      </c>
    </row>
    <row r="513" spans="1:20" x14ac:dyDescent="0.25">
      <c r="A513" s="5">
        <v>44080</v>
      </c>
      <c r="B513">
        <v>3.789E-2</v>
      </c>
      <c r="C513">
        <v>4.1889999999999997E-2</v>
      </c>
      <c r="D513">
        <v>3.125E-2</v>
      </c>
      <c r="E513">
        <v>4.0039999999999999E-2</v>
      </c>
      <c r="F513">
        <v>160192672.5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0.65225563909774475</v>
      </c>
      <c r="Q513">
        <f t="shared" si="980"/>
        <v>104486573.98026322</v>
      </c>
      <c r="R513">
        <f t="shared" si="981"/>
        <v>-908748316.71563029</v>
      </c>
      <c r="S513">
        <f t="shared" si="982"/>
        <v>-9087.4831671563024</v>
      </c>
      <c r="T513">
        <f t="shared" si="983"/>
        <v>-9.0874831671563019</v>
      </c>
    </row>
    <row r="514" spans="1:20" x14ac:dyDescent="0.25">
      <c r="A514" s="5">
        <v>44079</v>
      </c>
      <c r="B514">
        <v>4.9079999999999999E-2</v>
      </c>
      <c r="C514">
        <v>5.0189999999999999E-2</v>
      </c>
      <c r="D514">
        <v>3.6020000000000003E-2</v>
      </c>
      <c r="E514">
        <v>3.7830000000000003E-2</v>
      </c>
      <c r="F514">
        <v>163572521.59999999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-0.74453069865913901</v>
      </c>
      <c r="Q514">
        <f t="shared" si="980"/>
        <v>-121784763.78828511</v>
      </c>
      <c r="R514">
        <f t="shared" si="981"/>
        <v>-1013234890.6958935</v>
      </c>
      <c r="S514">
        <f t="shared" si="982"/>
        <v>-10132.348906958936</v>
      </c>
      <c r="T514">
        <f t="shared" si="983"/>
        <v>-10.132348906958937</v>
      </c>
    </row>
    <row r="515" spans="1:20" x14ac:dyDescent="0.25">
      <c r="A515" s="5">
        <v>44078</v>
      </c>
      <c r="B515">
        <v>5.6230000000000002E-2</v>
      </c>
      <c r="C515">
        <v>5.6329999999999998E-2</v>
      </c>
      <c r="D515">
        <v>4.2659999999999997E-2</v>
      </c>
      <c r="E515">
        <v>4.9029999999999997E-2</v>
      </c>
      <c r="F515">
        <v>294990471.30000001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-6.8032187271397232E-2</v>
      </c>
      <c r="Q515">
        <f t="shared" si="980"/>
        <v>-20068846.986759331</v>
      </c>
      <c r="R515">
        <f t="shared" si="981"/>
        <v>-891450126.90760839</v>
      </c>
      <c r="S515">
        <f t="shared" si="982"/>
        <v>-8914.5012690760832</v>
      </c>
      <c r="T515">
        <f t="shared" si="983"/>
        <v>-8.9145012690760836</v>
      </c>
    </row>
    <row r="516" spans="1:20" x14ac:dyDescent="0.25">
      <c r="A516" s="5">
        <v>44077</v>
      </c>
      <c r="B516">
        <v>6.071E-2</v>
      </c>
      <c r="C516">
        <v>7.2730000000000003E-2</v>
      </c>
      <c r="D516">
        <v>5.5050000000000002E-2</v>
      </c>
      <c r="E516">
        <v>5.638E-2</v>
      </c>
      <c r="F516">
        <v>549638747.70000005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-0.8495475113122174</v>
      </c>
      <c r="Q516">
        <f t="shared" si="980"/>
        <v>-466944230.22929877</v>
      </c>
      <c r="R516">
        <f t="shared" si="981"/>
        <v>-871381279.92084908</v>
      </c>
      <c r="S516">
        <f t="shared" si="982"/>
        <v>-8713.8127992084901</v>
      </c>
      <c r="T516">
        <f t="shared" si="983"/>
        <v>-8.7138127992084904</v>
      </c>
    </row>
    <row r="517" spans="1:20" x14ac:dyDescent="0.25">
      <c r="A517" s="5">
        <v>44076</v>
      </c>
      <c r="B517">
        <v>5.7549999999999997E-2</v>
      </c>
      <c r="C517">
        <v>6.3E-2</v>
      </c>
      <c r="D517">
        <v>5.4879999999999998E-2</v>
      </c>
      <c r="E517">
        <v>6.0679999999999998E-2</v>
      </c>
      <c r="F517">
        <v>295690888.80000001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0.4285714285714281</v>
      </c>
      <c r="Q517">
        <f t="shared" si="980"/>
        <v>126724666.6285713</v>
      </c>
      <c r="R517">
        <f t="shared" si="981"/>
        <v>-404437049.69155025</v>
      </c>
      <c r="S517">
        <f t="shared" si="982"/>
        <v>-4044.3704969155024</v>
      </c>
      <c r="T517">
        <f t="shared" si="983"/>
        <v>-4.0443704969155023</v>
      </c>
    </row>
    <row r="518" spans="1:20" x14ac:dyDescent="0.25">
      <c r="A518" s="5">
        <v>44075</v>
      </c>
      <c r="B518">
        <v>5.8999999999999997E-2</v>
      </c>
      <c r="C518">
        <v>5.9409999999999998E-2</v>
      </c>
      <c r="D518">
        <v>5.4820000000000001E-2</v>
      </c>
      <c r="E518">
        <v>5.7669999999999999E-2</v>
      </c>
      <c r="F518">
        <v>128008054.7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4">IF(C518=D518,0,((E518-D518)-(C518-E518))/(C518-D518))</f>
        <v>0.24183006535947726</v>
      </c>
      <c r="Q518">
        <f t="shared" ref="Q518:Q581" si="985">F518*P518</f>
        <v>30956196.234640542</v>
      </c>
      <c r="R518">
        <f t="shared" ref="R518:R581" si="986">R519+Q518</f>
        <v>-531161716.32012159</v>
      </c>
      <c r="S518">
        <f t="shared" ref="S518:S581" si="987">R518/100000</f>
        <v>-5311.6171632012156</v>
      </c>
      <c r="T518">
        <f t="shared" ref="T518:T581" si="988">S518/1000</f>
        <v>-5.3116171632012152</v>
      </c>
    </row>
    <row r="519" spans="1:20" x14ac:dyDescent="0.25">
      <c r="A519" s="5">
        <v>44074</v>
      </c>
      <c r="B519">
        <v>5.9580000000000001E-2</v>
      </c>
      <c r="C519">
        <v>6.2120000000000002E-2</v>
      </c>
      <c r="D519">
        <v>5.7750000000000003E-2</v>
      </c>
      <c r="E519">
        <v>5.885E-2</v>
      </c>
      <c r="F519">
        <v>128849409.3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-0.49656750572082514</v>
      </c>
      <c r="Q519">
        <f t="shared" si="985"/>
        <v>-63982429.789702691</v>
      </c>
      <c r="R519">
        <f t="shared" si="986"/>
        <v>-562117912.55476213</v>
      </c>
      <c r="S519">
        <f t="shared" si="987"/>
        <v>-5621.179125547621</v>
      </c>
      <c r="T519">
        <f t="shared" si="988"/>
        <v>-5.6211791255476209</v>
      </c>
    </row>
    <row r="520" spans="1:20" x14ac:dyDescent="0.25">
      <c r="A520" s="5">
        <v>44073</v>
      </c>
      <c r="B520">
        <v>5.4330000000000003E-2</v>
      </c>
      <c r="C520">
        <v>6.4649999999999999E-2</v>
      </c>
      <c r="D520">
        <v>5.3839999999999999E-2</v>
      </c>
      <c r="E520">
        <v>5.9700000000000003E-2</v>
      </c>
      <c r="F520">
        <v>167217196.19999999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8.418131359852063E-2</v>
      </c>
      <c r="Q520">
        <f t="shared" si="985"/>
        <v>14076563.232377551</v>
      </c>
      <c r="R520">
        <f t="shared" si="986"/>
        <v>-498135482.76505941</v>
      </c>
      <c r="S520">
        <f t="shared" si="987"/>
        <v>-4981.3548276505944</v>
      </c>
      <c r="T520">
        <f t="shared" si="988"/>
        <v>-4.9813548276505948</v>
      </c>
    </row>
    <row r="521" spans="1:20" x14ac:dyDescent="0.25">
      <c r="A521" s="5">
        <v>44072</v>
      </c>
      <c r="B521">
        <v>5.6840000000000002E-2</v>
      </c>
      <c r="C521">
        <v>5.8000000000000003E-2</v>
      </c>
      <c r="D521">
        <v>5.3710000000000001E-2</v>
      </c>
      <c r="E521">
        <v>5.4330000000000003E-2</v>
      </c>
      <c r="F521">
        <v>53834901.899999999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-0.71095571095570997</v>
      </c>
      <c r="Q521">
        <f t="shared" si="985"/>
        <v>-38274230.954545401</v>
      </c>
      <c r="R521">
        <f t="shared" si="986"/>
        <v>-512212045.99743694</v>
      </c>
      <c r="S521">
        <f t="shared" si="987"/>
        <v>-5122.1204599743696</v>
      </c>
      <c r="T521">
        <f t="shared" si="988"/>
        <v>-5.1221204599743695</v>
      </c>
    </row>
    <row r="522" spans="1:20" x14ac:dyDescent="0.25">
      <c r="A522" s="5">
        <v>44071</v>
      </c>
      <c r="B522">
        <v>5.4629999999999998E-2</v>
      </c>
      <c r="C522">
        <v>5.8500000000000003E-2</v>
      </c>
      <c r="D522">
        <v>5.3400000000000003E-2</v>
      </c>
      <c r="E522">
        <v>5.6829999999999999E-2</v>
      </c>
      <c r="F522">
        <v>59546267.200000003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0.34509803921568444</v>
      </c>
      <c r="Q522">
        <f t="shared" si="985"/>
        <v>20549300.053333227</v>
      </c>
      <c r="R522">
        <f t="shared" si="986"/>
        <v>-473937815.04289156</v>
      </c>
      <c r="S522">
        <f t="shared" si="987"/>
        <v>-4739.3781504289154</v>
      </c>
      <c r="T522">
        <f t="shared" si="988"/>
        <v>-4.7393781504289159</v>
      </c>
    </row>
    <row r="523" spans="1:20" x14ac:dyDescent="0.25">
      <c r="A523" s="5">
        <v>44070</v>
      </c>
      <c r="B523">
        <v>5.926E-2</v>
      </c>
      <c r="C523">
        <v>5.9299999999999999E-2</v>
      </c>
      <c r="D523">
        <v>5.0880000000000002E-2</v>
      </c>
      <c r="E523">
        <v>5.4579999999999997E-2</v>
      </c>
      <c r="F523">
        <v>63623295.700000003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-0.1211401425178156</v>
      </c>
      <c r="Q523">
        <f t="shared" si="985"/>
        <v>-7707335.108551125</v>
      </c>
      <c r="R523">
        <f t="shared" si="986"/>
        <v>-494487115.09622478</v>
      </c>
      <c r="S523">
        <f t="shared" si="987"/>
        <v>-4944.8711509622481</v>
      </c>
      <c r="T523">
        <f t="shared" si="988"/>
        <v>-4.9448711509622481</v>
      </c>
    </row>
    <row r="524" spans="1:20" x14ac:dyDescent="0.25">
      <c r="A524" s="5">
        <v>44069</v>
      </c>
      <c r="B524">
        <v>5.6059999999999999E-2</v>
      </c>
      <c r="C524">
        <v>6.0600000000000001E-2</v>
      </c>
      <c r="D524">
        <v>5.4050000000000001E-2</v>
      </c>
      <c r="E524">
        <v>5.9299999999999999E-2</v>
      </c>
      <c r="F524">
        <v>86228114.5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0.60305343511450304</v>
      </c>
      <c r="Q524">
        <f t="shared" si="985"/>
        <v>52000160.652671687</v>
      </c>
      <c r="R524">
        <f t="shared" si="986"/>
        <v>-486779779.98767364</v>
      </c>
      <c r="S524">
        <f t="shared" si="987"/>
        <v>-4867.7977998767365</v>
      </c>
      <c r="T524">
        <f t="shared" si="988"/>
        <v>-4.8677977998767368</v>
      </c>
    </row>
    <row r="525" spans="1:20" x14ac:dyDescent="0.25">
      <c r="A525" s="5">
        <v>44068</v>
      </c>
      <c r="B525">
        <v>6.4079999999999998E-2</v>
      </c>
      <c r="C525">
        <v>6.4079999999999998E-2</v>
      </c>
      <c r="D525">
        <v>5.2060000000000002E-2</v>
      </c>
      <c r="E525">
        <v>5.602E-2</v>
      </c>
      <c r="F525">
        <v>99831652.599999994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-0.34109816971713819</v>
      </c>
      <c r="Q525">
        <f t="shared" si="985"/>
        <v>-34052393.981697179</v>
      </c>
      <c r="R525">
        <f t="shared" si="986"/>
        <v>-538779940.64034534</v>
      </c>
      <c r="S525">
        <f t="shared" si="987"/>
        <v>-5387.7994064034538</v>
      </c>
      <c r="T525">
        <f t="shared" si="988"/>
        <v>-5.3877994064034533</v>
      </c>
    </row>
    <row r="526" spans="1:20" x14ac:dyDescent="0.25">
      <c r="A526" s="5">
        <v>44067</v>
      </c>
      <c r="B526">
        <v>5.2940000000000001E-2</v>
      </c>
      <c r="C526">
        <v>6.4100000000000004E-2</v>
      </c>
      <c r="D526">
        <v>5.1310000000000001E-2</v>
      </c>
      <c r="E526">
        <v>6.4000000000000001E-2</v>
      </c>
      <c r="F526">
        <v>119871311.2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0.98436278342454997</v>
      </c>
      <c r="Q526">
        <f t="shared" si="985"/>
        <v>117996857.54558243</v>
      </c>
      <c r="R526">
        <f t="shared" si="986"/>
        <v>-504727546.65864813</v>
      </c>
      <c r="S526">
        <f t="shared" si="987"/>
        <v>-5047.2754665864813</v>
      </c>
      <c r="T526">
        <f t="shared" si="988"/>
        <v>-5.0472754665864814</v>
      </c>
    </row>
    <row r="527" spans="1:20" x14ac:dyDescent="0.25">
      <c r="A527" s="5">
        <v>44066</v>
      </c>
      <c r="B527">
        <v>4.9959999999999997E-2</v>
      </c>
      <c r="C527">
        <v>5.7570000000000003E-2</v>
      </c>
      <c r="D527">
        <v>4.7E-2</v>
      </c>
      <c r="E527">
        <v>5.2990000000000002E-2</v>
      </c>
      <c r="F527">
        <v>98623237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0.13339640491958382</v>
      </c>
      <c r="Q527">
        <f t="shared" si="985"/>
        <v>13155985.257332081</v>
      </c>
      <c r="R527">
        <f t="shared" si="986"/>
        <v>-622724404.20423055</v>
      </c>
      <c r="S527">
        <f t="shared" si="987"/>
        <v>-6227.2440420423054</v>
      </c>
      <c r="T527">
        <f t="shared" si="988"/>
        <v>-6.2272440420423054</v>
      </c>
    </row>
    <row r="528" spans="1:20" x14ac:dyDescent="0.25">
      <c r="A528" s="5">
        <v>44065</v>
      </c>
      <c r="B528">
        <v>4.8000000000000001E-2</v>
      </c>
      <c r="C528">
        <v>5.16E-2</v>
      </c>
      <c r="D528">
        <v>4.3130000000000002E-2</v>
      </c>
      <c r="E528">
        <v>0.05</v>
      </c>
      <c r="F528">
        <v>100168742.7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0.62219598583235003</v>
      </c>
      <c r="Q528">
        <f t="shared" si="985"/>
        <v>62324589.613813519</v>
      </c>
      <c r="R528">
        <f t="shared" si="986"/>
        <v>-635880389.46156263</v>
      </c>
      <c r="S528">
        <f t="shared" si="987"/>
        <v>-6358.8038946156266</v>
      </c>
      <c r="T528">
        <f t="shared" si="988"/>
        <v>-6.3588038946156269</v>
      </c>
    </row>
    <row r="529" spans="1:20" x14ac:dyDescent="0.25">
      <c r="A529" s="5">
        <v>44064</v>
      </c>
      <c r="B529">
        <v>6.1100000000000002E-2</v>
      </c>
      <c r="C529">
        <v>6.386E-2</v>
      </c>
      <c r="D529">
        <v>4.6559999999999997E-2</v>
      </c>
      <c r="E529">
        <v>4.7989999999999998E-2</v>
      </c>
      <c r="F529">
        <v>124325526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-0.83468208092485541</v>
      </c>
      <c r="Q529">
        <f t="shared" si="985"/>
        <v>-103772288.75375721</v>
      </c>
      <c r="R529">
        <f t="shared" si="986"/>
        <v>-698204979.07537615</v>
      </c>
      <c r="S529">
        <f t="shared" si="987"/>
        <v>-6982.049790753762</v>
      </c>
      <c r="T529">
        <f t="shared" si="988"/>
        <v>-6.982049790753762</v>
      </c>
    </row>
    <row r="530" spans="1:20" x14ac:dyDescent="0.25">
      <c r="A530" s="5">
        <v>44063</v>
      </c>
      <c r="B530">
        <v>6.0019999999999997E-2</v>
      </c>
      <c r="C530">
        <v>6.232E-2</v>
      </c>
      <c r="D530">
        <v>5.8950000000000002E-2</v>
      </c>
      <c r="E530">
        <v>6.0979999999999999E-2</v>
      </c>
      <c r="F530">
        <v>49985839.899999999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0.20474777448071116</v>
      </c>
      <c r="Q530">
        <f t="shared" si="985"/>
        <v>10234489.475074133</v>
      </c>
      <c r="R530">
        <f t="shared" si="986"/>
        <v>-594432690.32161891</v>
      </c>
      <c r="S530">
        <f t="shared" si="987"/>
        <v>-5944.3269032161888</v>
      </c>
      <c r="T530">
        <f t="shared" si="988"/>
        <v>-5.9443269032161892</v>
      </c>
    </row>
    <row r="531" spans="1:20" x14ac:dyDescent="0.25">
      <c r="A531" s="5">
        <v>44062</v>
      </c>
      <c r="B531">
        <v>6.7489999999999994E-2</v>
      </c>
      <c r="C531">
        <v>6.794E-2</v>
      </c>
      <c r="D531">
        <v>5.781E-2</v>
      </c>
      <c r="E531">
        <v>6.0040000000000003E-2</v>
      </c>
      <c r="F531">
        <v>106978180.59999999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-0.55972359328726495</v>
      </c>
      <c r="Q531">
        <f t="shared" si="985"/>
        <v>-59878211.648765974</v>
      </c>
      <c r="R531">
        <f t="shared" si="986"/>
        <v>-604667179.79669309</v>
      </c>
      <c r="S531">
        <f t="shared" si="987"/>
        <v>-6046.6717979669311</v>
      </c>
      <c r="T531">
        <f t="shared" si="988"/>
        <v>-6.0466717979669307</v>
      </c>
    </row>
    <row r="532" spans="1:20" x14ac:dyDescent="0.25">
      <c r="A532" s="5">
        <v>44061</v>
      </c>
      <c r="B532">
        <v>7.4359999999999996E-2</v>
      </c>
      <c r="C532">
        <v>7.4829999999999994E-2</v>
      </c>
      <c r="D532">
        <v>6.6119999999999998E-2</v>
      </c>
      <c r="E532">
        <v>6.7500000000000004E-2</v>
      </c>
      <c r="F532">
        <v>113143726.59999999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-0.68312284730195016</v>
      </c>
      <c r="Q532">
        <f t="shared" si="985"/>
        <v>-77291064.669345394</v>
      </c>
      <c r="R532">
        <f t="shared" si="986"/>
        <v>-544788968.14792717</v>
      </c>
      <c r="S532">
        <f t="shared" si="987"/>
        <v>-5447.8896814792715</v>
      </c>
      <c r="T532">
        <f t="shared" si="988"/>
        <v>-5.4478896814792712</v>
      </c>
    </row>
    <row r="533" spans="1:20" x14ac:dyDescent="0.25">
      <c r="A533" s="5">
        <v>44060</v>
      </c>
      <c r="B533">
        <v>7.3410000000000003E-2</v>
      </c>
      <c r="C533">
        <v>0.08</v>
      </c>
      <c r="D533">
        <v>7.1779999999999997E-2</v>
      </c>
      <c r="E533">
        <v>7.417E-2</v>
      </c>
      <c r="F533">
        <v>213188098.30000001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-0.41849148418491444</v>
      </c>
      <c r="Q533">
        <f t="shared" si="985"/>
        <v>-89217403.668126434</v>
      </c>
      <c r="R533">
        <f t="shared" si="986"/>
        <v>-467497903.47858179</v>
      </c>
      <c r="S533">
        <f t="shared" si="987"/>
        <v>-4674.9790347858179</v>
      </c>
      <c r="T533">
        <f t="shared" si="988"/>
        <v>-4.6749790347858182</v>
      </c>
    </row>
    <row r="534" spans="1:20" x14ac:dyDescent="0.25">
      <c r="A534" s="5">
        <v>44059</v>
      </c>
      <c r="B534">
        <v>7.0949999999999999E-2</v>
      </c>
      <c r="C534">
        <v>7.5289999999999996E-2</v>
      </c>
      <c r="D534">
        <v>6.9010000000000002E-2</v>
      </c>
      <c r="E534">
        <v>7.374E-2</v>
      </c>
      <c r="F534">
        <v>161679979.09999999</v>
      </c>
      <c r="G534">
        <v>0</v>
      </c>
      <c r="L534" t="s">
        <v>8</v>
      </c>
      <c r="M534" t="s">
        <v>7</v>
      </c>
      <c r="N534" t="s">
        <v>7</v>
      </c>
      <c r="P534">
        <f t="shared" si="984"/>
        <v>0.50636942675159324</v>
      </c>
      <c r="Q534">
        <f t="shared" si="985"/>
        <v>81869798.334076568</v>
      </c>
      <c r="R534">
        <f t="shared" si="986"/>
        <v>-378280499.81045532</v>
      </c>
      <c r="S534">
        <f t="shared" si="987"/>
        <v>-3782.8049981045533</v>
      </c>
      <c r="T534">
        <f t="shared" si="988"/>
        <v>-3.7828049981045533</v>
      </c>
    </row>
    <row r="535" spans="1:20" x14ac:dyDescent="0.25">
      <c r="A535" s="5">
        <v>44058</v>
      </c>
      <c r="B535">
        <v>7.1669999999999998E-2</v>
      </c>
      <c r="C535">
        <v>7.2499999999999995E-2</v>
      </c>
      <c r="D535">
        <v>6.7809999999999995E-2</v>
      </c>
      <c r="E535">
        <v>7.1040000000000006E-2</v>
      </c>
      <c r="F535">
        <v>131735843.59999999</v>
      </c>
      <c r="G535">
        <v>0</v>
      </c>
      <c r="L535" t="s">
        <v>7</v>
      </c>
      <c r="M535" t="s">
        <v>7</v>
      </c>
      <c r="N535" t="s">
        <v>7</v>
      </c>
      <c r="P535">
        <f t="shared" si="984"/>
        <v>0.3773987206823074</v>
      </c>
      <c r="Q535">
        <f t="shared" si="985"/>
        <v>49716938.842644528</v>
      </c>
      <c r="R535">
        <f t="shared" si="986"/>
        <v>-460150298.14453191</v>
      </c>
      <c r="S535">
        <f t="shared" si="987"/>
        <v>-4601.5029814453192</v>
      </c>
      <c r="T535">
        <f t="shared" si="988"/>
        <v>-4.6015029814453188</v>
      </c>
    </row>
    <row r="536" spans="1:20" x14ac:dyDescent="0.25">
      <c r="A536" s="5">
        <v>44057</v>
      </c>
      <c r="B536">
        <v>6.9800000000000001E-2</v>
      </c>
      <c r="C536">
        <v>8.6999999999999994E-2</v>
      </c>
      <c r="D536">
        <v>6.8870000000000001E-2</v>
      </c>
      <c r="E536">
        <v>7.1660000000000001E-2</v>
      </c>
      <c r="F536">
        <v>219080041.19999999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-0.69222283507997773</v>
      </c>
      <c r="Q536">
        <f t="shared" si="985"/>
        <v>-151652207.22890231</v>
      </c>
      <c r="R536">
        <f t="shared" si="986"/>
        <v>-509867236.98717642</v>
      </c>
      <c r="S536">
        <f t="shared" si="987"/>
        <v>-5098.6723698717642</v>
      </c>
      <c r="T536">
        <f t="shared" si="988"/>
        <v>-5.098672369871764</v>
      </c>
    </row>
    <row r="537" spans="1:20" x14ac:dyDescent="0.25">
      <c r="A537" s="5">
        <v>44056</v>
      </c>
      <c r="B537">
        <v>7.6670000000000002E-2</v>
      </c>
      <c r="C537">
        <v>7.9000000000000001E-2</v>
      </c>
      <c r="D537">
        <v>6.8279999999999993E-2</v>
      </c>
      <c r="E537">
        <v>6.9550000000000001E-2</v>
      </c>
      <c r="F537">
        <v>288618639</v>
      </c>
      <c r="G537">
        <v>0</v>
      </c>
      <c r="L537" t="s">
        <v>8</v>
      </c>
      <c r="M537" t="s">
        <v>7</v>
      </c>
      <c r="N537" t="s">
        <v>7</v>
      </c>
      <c r="P537">
        <f t="shared" si="984"/>
        <v>-0.7630597014925361</v>
      </c>
      <c r="Q537">
        <f t="shared" si="985"/>
        <v>-220233252.52052203</v>
      </c>
      <c r="R537">
        <f t="shared" si="986"/>
        <v>-358215029.75827408</v>
      </c>
      <c r="S537">
        <f t="shared" si="987"/>
        <v>-3582.1502975827407</v>
      </c>
      <c r="T537">
        <f t="shared" si="988"/>
        <v>-3.5821502975827406</v>
      </c>
    </row>
    <row r="538" spans="1:20" x14ac:dyDescent="0.25">
      <c r="A538" s="5">
        <v>44055</v>
      </c>
      <c r="B538">
        <v>6.9159999999999999E-2</v>
      </c>
      <c r="C538">
        <v>8.498E-2</v>
      </c>
      <c r="D538">
        <v>6.7799999999999999E-2</v>
      </c>
      <c r="E538">
        <v>7.6660000000000006E-2</v>
      </c>
      <c r="F538">
        <v>721527265.70000005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3.1431897555297593E-2</v>
      </c>
      <c r="Q538">
        <f t="shared" si="985"/>
        <v>22678971.098836388</v>
      </c>
      <c r="R538">
        <f t="shared" si="986"/>
        <v>-137981777.23775205</v>
      </c>
      <c r="S538">
        <f t="shared" si="987"/>
        <v>-1379.8177723775204</v>
      </c>
      <c r="T538">
        <f t="shared" si="988"/>
        <v>-1.3798177723775205</v>
      </c>
    </row>
    <row r="539" spans="1:20" x14ac:dyDescent="0.25">
      <c r="A539" s="5">
        <v>44054</v>
      </c>
      <c r="B539">
        <v>7.3669999999999999E-2</v>
      </c>
      <c r="C539">
        <v>9.6000000000000002E-2</v>
      </c>
      <c r="D539">
        <v>6.3640000000000002E-2</v>
      </c>
      <c r="E539">
        <v>6.8949999999999997E-2</v>
      </c>
      <c r="F539">
        <v>239143597.80000001</v>
      </c>
      <c r="G539">
        <v>0</v>
      </c>
      <c r="P539">
        <f t="shared" si="984"/>
        <v>-0.67181705809641556</v>
      </c>
      <c r="Q539">
        <f t="shared" si="985"/>
        <v>-160660748.33658844</v>
      </c>
      <c r="R539">
        <f t="shared" si="986"/>
        <v>-160660748.33658844</v>
      </c>
      <c r="S539">
        <f t="shared" si="987"/>
        <v>-1606.6074833658845</v>
      </c>
      <c r="T539">
        <f t="shared" si="988"/>
        <v>-1.6066074833658845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F750" sqref="IF75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$A$749</v>
      </c>
      <c r="D111" s="1" t="str">
        <f>ADDRESS(C121-1,D121,1,1)</f>
        <v>$IF$749</v>
      </c>
      <c r="E111"/>
    </row>
    <row r="112" spans="1:5" x14ac:dyDescent="0.25">
      <c r="A112" s="7">
        <v>12164.144957890772</v>
      </c>
      <c r="C112" s="1" t="str">
        <f>ADDRESS(C121,1,1,1)</f>
        <v>$A$750</v>
      </c>
      <c r="D112" s="1" t="str">
        <f>ADDRESS(C121,D121-1,1,1)</f>
        <v>$IE$750</v>
      </c>
      <c r="E112"/>
    </row>
    <row r="113" spans="1:5" x14ac:dyDescent="0.25">
      <c r="A113" s="7">
        <v>11925.63231165762</v>
      </c>
      <c r="C113" s="1" t="str">
        <f>ADDRESS(C121+1,1,1,1)</f>
        <v>$A$751</v>
      </c>
      <c r="D113" s="1" t="str">
        <f>ADDRESS(C121-1,D121+1,1,1)</f>
        <v>$IG$749</v>
      </c>
    </row>
    <row r="114" spans="1:5" x14ac:dyDescent="0.25">
      <c r="A114" s="7">
        <v>11691.796383978059</v>
      </c>
      <c r="C114" s="1" t="str">
        <f>ADDRESS(C121,D121,1,1)</f>
        <v>$IF$750</v>
      </c>
      <c r="D114" s="1" t="str">
        <f>ADDRESS(C121+1,D121+1,1,1)</f>
        <v>$IG$751</v>
      </c>
    </row>
    <row r="115" spans="1:5" x14ac:dyDescent="0.25">
      <c r="A115" s="7">
        <v>11462.545474488292</v>
      </c>
      <c r="C115" s="1" t="str">
        <f>ADDRESS(C121+1,D121,1,1)</f>
        <v>$IF$751</v>
      </c>
    </row>
    <row r="116" spans="1:5" x14ac:dyDescent="0.25">
      <c r="A116" s="7">
        <v>11237.789680870874</v>
      </c>
      <c r="C116" s="1">
        <f>C117-1</f>
        <v>749</v>
      </c>
    </row>
    <row r="117" spans="1:5" x14ac:dyDescent="0.25">
      <c r="A117" s="7">
        <v>11017.440863598895</v>
      </c>
      <c r="C117" s="1">
        <f>C121</f>
        <v>750</v>
      </c>
      <c r="D117" s="1">
        <f>D121</f>
        <v>240</v>
      </c>
    </row>
    <row r="118" spans="1:5" x14ac:dyDescent="0.25">
      <c r="A118" s="7">
        <v>10801.412611371465</v>
      </c>
      <c r="C118" s="1">
        <f>C117+1</f>
        <v>751</v>
      </c>
      <c r="D118" s="1">
        <f>D117+1</f>
        <v>241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750</v>
      </c>
      <c r="D121" s="19">
        <v>240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R750</v>
      </c>
      <c r="D123" s="1" t="str">
        <f>"C"&amp;D121</f>
        <v>C240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3.9643501169044582E-2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117" x14ac:dyDescent="0.25">
      <c r="A657" s="7">
        <v>0.25002761412179503</v>
      </c>
      <c r="B657"/>
      <c r="C657"/>
      <c r="D657"/>
      <c r="E657"/>
      <c r="F657" s="27" t="s">
        <v>7</v>
      </c>
    </row>
    <row r="658" spans="1:117" x14ac:dyDescent="0.25">
      <c r="A658" s="7">
        <v>0.24512511188411276</v>
      </c>
      <c r="B658"/>
      <c r="C658"/>
      <c r="D658"/>
      <c r="E658"/>
      <c r="F658" s="27" t="s">
        <v>7</v>
      </c>
    </row>
    <row r="659" spans="1:117" x14ac:dyDescent="0.25">
      <c r="A659" s="7">
        <v>0.24031873714128701</v>
      </c>
      <c r="B659"/>
      <c r="C659"/>
      <c r="D659"/>
      <c r="E659"/>
      <c r="F659" s="27" t="s">
        <v>7</v>
      </c>
    </row>
    <row r="660" spans="1:117" x14ac:dyDescent="0.25">
      <c r="A660" s="7">
        <v>0.23560660504047748</v>
      </c>
      <c r="B660"/>
      <c r="C660"/>
      <c r="D660"/>
      <c r="E660"/>
      <c r="F660" s="27" t="s">
        <v>7</v>
      </c>
    </row>
    <row r="661" spans="1:117" x14ac:dyDescent="0.25">
      <c r="A661" s="7">
        <v>0.23098686768674265</v>
      </c>
      <c r="B661"/>
      <c r="C661"/>
      <c r="D661"/>
      <c r="E661"/>
      <c r="F661" s="27" t="s">
        <v>7</v>
      </c>
    </row>
    <row r="662" spans="1:117" x14ac:dyDescent="0.25">
      <c r="A662" s="7">
        <v>0.22645771341837515</v>
      </c>
      <c r="B662"/>
      <c r="C662"/>
      <c r="D662"/>
      <c r="E662"/>
      <c r="F662" s="27" t="s">
        <v>7</v>
      </c>
    </row>
    <row r="663" spans="1:117" x14ac:dyDescent="0.25">
      <c r="A663" s="7">
        <v>0.22201736609644623</v>
      </c>
      <c r="B663"/>
      <c r="C663"/>
      <c r="D663"/>
      <c r="E663"/>
      <c r="F663" s="27" t="s">
        <v>7</v>
      </c>
    </row>
    <row r="664" spans="1:117" x14ac:dyDescent="0.25">
      <c r="A664" s="7">
        <v>0.21766408440828061</v>
      </c>
      <c r="B664"/>
      <c r="C664"/>
      <c r="D664"/>
      <c r="E664"/>
      <c r="F664" s="27" t="s">
        <v>7</v>
      </c>
    </row>
    <row r="665" spans="1:117" x14ac:dyDescent="0.25">
      <c r="A665" s="7">
        <v>0.21339616118458882</v>
      </c>
      <c r="B665"/>
      <c r="C665"/>
      <c r="D665"/>
      <c r="E665"/>
      <c r="F665" s="27" t="s">
        <v>7</v>
      </c>
    </row>
    <row r="666" spans="1:117" x14ac:dyDescent="0.25">
      <c r="A666" s="7">
        <v>0.20921192272998904</v>
      </c>
      <c r="B666"/>
      <c r="C666"/>
      <c r="D666"/>
      <c r="E666"/>
      <c r="F666" s="27" t="s">
        <v>7</v>
      </c>
    </row>
    <row r="667" spans="1:117" x14ac:dyDescent="0.25">
      <c r="A667" s="7">
        <v>0.20510972816665593</v>
      </c>
      <c r="B667"/>
      <c r="C667"/>
      <c r="D667"/>
      <c r="E667"/>
      <c r="F667" s="27" t="s">
        <v>7</v>
      </c>
    </row>
    <row r="668" spans="1:117" x14ac:dyDescent="0.25">
      <c r="A668" s="7">
        <v>0.20108796879083912</v>
      </c>
      <c r="B668"/>
      <c r="C668"/>
      <c r="D668"/>
      <c r="E668"/>
      <c r="F668" s="27" t="s">
        <v>7</v>
      </c>
      <c r="DG668" s="27" t="s">
        <v>8</v>
      </c>
    </row>
    <row r="669" spans="1:117" x14ac:dyDescent="0.25">
      <c r="A669" s="7">
        <v>0.19714506744199917</v>
      </c>
      <c r="B669"/>
      <c r="C669"/>
      <c r="D669"/>
      <c r="E669"/>
      <c r="F669" s="27" t="s">
        <v>7</v>
      </c>
      <c r="DG669" s="27" t="s">
        <v>8</v>
      </c>
      <c r="DH669" s="27" t="s">
        <v>7</v>
      </c>
    </row>
    <row r="670" spans="1:117" x14ac:dyDescent="0.25">
      <c r="A670" s="7">
        <v>0.19327947788431293</v>
      </c>
      <c r="B670"/>
      <c r="C670"/>
      <c r="D670"/>
      <c r="E670"/>
      <c r="F670" s="27" t="s">
        <v>7</v>
      </c>
      <c r="DG670" s="27" t="s">
        <v>8</v>
      </c>
      <c r="DH670" s="27" t="s">
        <v>7</v>
      </c>
    </row>
    <row r="671" spans="1:117" x14ac:dyDescent="0.25">
      <c r="A671" s="7">
        <v>0.18948968420030682</v>
      </c>
      <c r="B671"/>
      <c r="C671"/>
      <c r="D671"/>
      <c r="E671"/>
      <c r="F671" s="27" t="s">
        <v>7</v>
      </c>
      <c r="DG671" s="27" t="s">
        <v>8</v>
      </c>
      <c r="DH671" s="27" t="s">
        <v>7</v>
      </c>
    </row>
    <row r="672" spans="1:117" x14ac:dyDescent="0.25">
      <c r="A672" s="7">
        <v>0.18577420019637925</v>
      </c>
      <c r="B672"/>
      <c r="C672"/>
      <c r="D672"/>
      <c r="E672"/>
      <c r="F672" s="27" t="s">
        <v>7</v>
      </c>
      <c r="DG672" s="27" t="s">
        <v>8</v>
      </c>
      <c r="DH672" s="27" t="s">
        <v>7</v>
      </c>
      <c r="DK672" s="27" t="s">
        <v>8</v>
      </c>
      <c r="DM672" s="27" t="s">
        <v>8</v>
      </c>
    </row>
    <row r="673" spans="1:132" x14ac:dyDescent="0.25">
      <c r="A673" s="7">
        <v>0.18213156881997963</v>
      </c>
      <c r="B673"/>
      <c r="C673"/>
      <c r="D673"/>
      <c r="E673"/>
      <c r="F673" s="27" t="s">
        <v>7</v>
      </c>
      <c r="DG673" s="27" t="s">
        <v>8</v>
      </c>
      <c r="DH673" s="27" t="s">
        <v>7</v>
      </c>
      <c r="DK673" s="27" t="s">
        <v>8</v>
      </c>
      <c r="DL673" s="27" t="s">
        <v>7</v>
      </c>
      <c r="DM673" s="27" t="s">
        <v>8</v>
      </c>
      <c r="DN673" s="27" t="s">
        <v>7</v>
      </c>
    </row>
    <row r="674" spans="1:132" x14ac:dyDescent="0.25">
      <c r="A674" s="7">
        <v>0.17856036158821534</v>
      </c>
      <c r="B674"/>
      <c r="C674"/>
      <c r="D674"/>
      <c r="E674"/>
      <c r="F674" s="27" t="s">
        <v>7</v>
      </c>
      <c r="DG674" s="27" t="s">
        <v>8</v>
      </c>
      <c r="DH674" s="27" t="s">
        <v>7</v>
      </c>
      <c r="DK674" s="27" t="s">
        <v>8</v>
      </c>
      <c r="DL674" s="27" t="s">
        <v>7</v>
      </c>
      <c r="DM674" s="27" t="s">
        <v>8</v>
      </c>
      <c r="DN674" s="27" t="s">
        <v>7</v>
      </c>
    </row>
    <row r="675" spans="1:132" x14ac:dyDescent="0.25">
      <c r="A675" s="7">
        <v>0.17505917802766208</v>
      </c>
      <c r="B675"/>
      <c r="C675"/>
      <c r="D675"/>
      <c r="E675"/>
      <c r="F675" s="27" t="s">
        <v>7</v>
      </c>
      <c r="DG675" s="27" t="s">
        <v>8</v>
      </c>
      <c r="DH675" s="27" t="s">
        <v>7</v>
      </c>
      <c r="DK675" s="27" t="s">
        <v>8</v>
      </c>
      <c r="DL675" s="27" t="s">
        <v>7</v>
      </c>
      <c r="DM675" s="27" t="s">
        <v>8</v>
      </c>
      <c r="DN675" s="27" t="s">
        <v>7</v>
      </c>
    </row>
    <row r="676" spans="1:132" x14ac:dyDescent="0.25">
      <c r="A676" s="7">
        <v>0.17162664512515888</v>
      </c>
      <c r="B676"/>
      <c r="C676"/>
      <c r="D676"/>
      <c r="E676"/>
      <c r="F676" s="27" t="s">
        <v>7</v>
      </c>
      <c r="DG676" s="27" t="s">
        <v>8</v>
      </c>
      <c r="DH676" s="27" t="s">
        <v>7</v>
      </c>
      <c r="DK676" s="27" t="s">
        <v>8</v>
      </c>
      <c r="DL676" s="27" t="s">
        <v>7</v>
      </c>
      <c r="DM676" s="27" t="s">
        <v>8</v>
      </c>
      <c r="DN676" s="27" t="s">
        <v>7</v>
      </c>
    </row>
    <row r="677" spans="1:132" x14ac:dyDescent="0.25">
      <c r="A677" s="7">
        <v>0.16826141678937145</v>
      </c>
      <c r="B677"/>
      <c r="C677"/>
      <c r="D677"/>
      <c r="E677"/>
      <c r="F677" s="27" t="s">
        <v>7</v>
      </c>
      <c r="DG677" s="27" t="s">
        <v>8</v>
      </c>
      <c r="DH677" s="27" t="s">
        <v>7</v>
      </c>
      <c r="DK677" s="27" t="s">
        <v>8</v>
      </c>
      <c r="DL677" s="27" t="s">
        <v>7</v>
      </c>
      <c r="DM677" s="27" t="s">
        <v>8</v>
      </c>
      <c r="DN677" s="27" t="s">
        <v>7</v>
      </c>
    </row>
    <row r="678" spans="1:132" x14ac:dyDescent="0.25">
      <c r="A678" s="7">
        <v>0.16496217332291319</v>
      </c>
      <c r="B678"/>
      <c r="C678"/>
      <c r="D678"/>
      <c r="E678"/>
      <c r="F678" s="27" t="s">
        <v>7</v>
      </c>
      <c r="DG678" s="27" t="s">
        <v>8</v>
      </c>
      <c r="DH678" s="27" t="s">
        <v>7</v>
      </c>
      <c r="DK678" s="27" t="s">
        <v>8</v>
      </c>
      <c r="DL678" s="27" t="s">
        <v>7</v>
      </c>
      <c r="DM678" s="27" t="s">
        <v>8</v>
      </c>
      <c r="DN678" s="27" t="s">
        <v>7</v>
      </c>
      <c r="EA678" s="27" t="s">
        <v>8</v>
      </c>
    </row>
    <row r="679" spans="1:132" x14ac:dyDescent="0.25">
      <c r="A679" s="7">
        <v>0.16172762090481685</v>
      </c>
      <c r="B679"/>
      <c r="C679"/>
      <c r="D679"/>
      <c r="E679"/>
      <c r="F679" s="27" t="s">
        <v>7</v>
      </c>
      <c r="DG679" s="27" t="s">
        <v>8</v>
      </c>
      <c r="DH679" s="27" t="s">
        <v>7</v>
      </c>
      <c r="DK679" s="27" t="s">
        <v>8</v>
      </c>
      <c r="DL679" s="27" t="s">
        <v>7</v>
      </c>
      <c r="DM679" s="27" t="s">
        <v>8</v>
      </c>
      <c r="DN679" s="27" t="s">
        <v>7</v>
      </c>
      <c r="EA679" s="27" t="s">
        <v>8</v>
      </c>
      <c r="EB679" s="27" t="s">
        <v>7</v>
      </c>
    </row>
    <row r="680" spans="1:132" x14ac:dyDescent="0.25">
      <c r="A680" s="7">
        <v>0.15855649108315376</v>
      </c>
      <c r="B680"/>
      <c r="C680"/>
      <c r="D680"/>
      <c r="E680"/>
      <c r="F680" s="27" t="s">
        <v>7</v>
      </c>
      <c r="DG680" s="27" t="s">
        <v>8</v>
      </c>
      <c r="DH680" s="27" t="s">
        <v>7</v>
      </c>
      <c r="DK680" s="27" t="s">
        <v>8</v>
      </c>
      <c r="DL680" s="27" t="s">
        <v>7</v>
      </c>
      <c r="DM680" s="27" t="s">
        <v>8</v>
      </c>
      <c r="DN680" s="27" t="s">
        <v>7</v>
      </c>
      <c r="DO680" s="27" t="s">
        <v>8</v>
      </c>
      <c r="EA680" s="27" t="s">
        <v>8</v>
      </c>
      <c r="EB680" s="27" t="s">
        <v>7</v>
      </c>
    </row>
    <row r="681" spans="1:132" x14ac:dyDescent="0.25">
      <c r="A681" s="7">
        <v>0.15544754027760171</v>
      </c>
      <c r="B681"/>
      <c r="C681"/>
      <c r="D681"/>
      <c r="E681"/>
      <c r="F681" s="27" t="s">
        <v>7</v>
      </c>
      <c r="DG681" s="27" t="s">
        <v>8</v>
      </c>
      <c r="DH681" s="27" t="s">
        <v>7</v>
      </c>
      <c r="DK681" s="27" t="s">
        <v>8</v>
      </c>
      <c r="DL681" s="27" t="s">
        <v>7</v>
      </c>
      <c r="DM681" s="27" t="s">
        <v>8</v>
      </c>
      <c r="DN681" s="27" t="s">
        <v>7</v>
      </c>
      <c r="DO681" s="27" t="s">
        <v>8</v>
      </c>
      <c r="DP681" s="27" t="s">
        <v>7</v>
      </c>
      <c r="EA681" s="27" t="s">
        <v>8</v>
      </c>
      <c r="EB681" s="27" t="s">
        <v>7</v>
      </c>
    </row>
    <row r="682" spans="1:132" x14ac:dyDescent="0.25">
      <c r="A682" s="7">
        <v>0.15239954929176638</v>
      </c>
      <c r="B682"/>
      <c r="C682"/>
      <c r="D682"/>
      <c r="E682"/>
      <c r="F682" s="27" t="s">
        <v>7</v>
      </c>
      <c r="DG682" s="27" t="s">
        <v>8</v>
      </c>
      <c r="DH682" s="27" t="s">
        <v>7</v>
      </c>
      <c r="DI682" s="27" t="s">
        <v>8</v>
      </c>
      <c r="DK682" s="27" t="s">
        <v>8</v>
      </c>
      <c r="DL682" s="27" t="s">
        <v>7</v>
      </c>
      <c r="DN682" s="27" t="s">
        <v>7</v>
      </c>
      <c r="DO682" s="27" t="s">
        <v>8</v>
      </c>
      <c r="DP682" s="27" t="s">
        <v>7</v>
      </c>
      <c r="EA682" s="27" t="s">
        <v>8</v>
      </c>
      <c r="EB682" s="27" t="s">
        <v>7</v>
      </c>
    </row>
    <row r="683" spans="1:132" x14ac:dyDescent="0.25">
      <c r="A683" s="7">
        <v>0.14941132283506509</v>
      </c>
      <c r="B683"/>
      <c r="C683"/>
      <c r="D683"/>
      <c r="E683"/>
      <c r="F683" s="27" t="s">
        <v>7</v>
      </c>
      <c r="DE683" s="27" t="s">
        <v>8</v>
      </c>
      <c r="DG683" s="27" t="s">
        <v>8</v>
      </c>
      <c r="DH683" s="27" t="s">
        <v>7</v>
      </c>
      <c r="DI683" s="27" t="s">
        <v>8</v>
      </c>
      <c r="DJ683" s="27" t="s">
        <v>7</v>
      </c>
      <c r="DK683" s="27" t="s">
        <v>8</v>
      </c>
      <c r="DN683" s="27" t="s">
        <v>7</v>
      </c>
      <c r="DO683" s="27" t="s">
        <v>8</v>
      </c>
      <c r="DP683" s="27" t="s">
        <v>7</v>
      </c>
      <c r="EA683" s="27" t="s">
        <v>8</v>
      </c>
      <c r="EB683" s="27" t="s">
        <v>7</v>
      </c>
    </row>
    <row r="684" spans="1:132" x14ac:dyDescent="0.25">
      <c r="A684" s="7">
        <v>0.14648168905398537</v>
      </c>
      <c r="B684"/>
      <c r="C684"/>
      <c r="D684"/>
      <c r="E684"/>
      <c r="F684" s="27" t="s">
        <v>7</v>
      </c>
      <c r="DE684" s="27" t="s">
        <v>8</v>
      </c>
      <c r="DF684" s="27" t="s">
        <v>7</v>
      </c>
      <c r="DG684" s="27" t="s">
        <v>8</v>
      </c>
      <c r="DH684" s="27" t="s">
        <v>7</v>
      </c>
      <c r="DI684" s="27" t="s">
        <v>8</v>
      </c>
      <c r="DJ684" s="27" t="s">
        <v>7</v>
      </c>
      <c r="DK684" s="27" t="s">
        <v>8</v>
      </c>
      <c r="DN684" s="27" t="s">
        <v>7</v>
      </c>
      <c r="DO684" s="27" t="s">
        <v>8</v>
      </c>
      <c r="DP684" s="27" t="s">
        <v>7</v>
      </c>
      <c r="EA684" s="27" t="s">
        <v>8</v>
      </c>
      <c r="EB684" s="27" t="s">
        <v>7</v>
      </c>
    </row>
    <row r="685" spans="1:132" x14ac:dyDescent="0.25">
      <c r="A685" s="7">
        <v>0.14360949907253467</v>
      </c>
      <c r="B685"/>
      <c r="C685"/>
      <c r="D685"/>
      <c r="E685"/>
      <c r="F685" s="27" t="s">
        <v>7</v>
      </c>
      <c r="DE685" s="27" t="s">
        <v>8</v>
      </c>
      <c r="DF685" s="27" t="s">
        <v>7</v>
      </c>
      <c r="DG685" s="27" t="s">
        <v>8</v>
      </c>
      <c r="DH685" s="27" t="s">
        <v>7</v>
      </c>
      <c r="DI685" s="27" t="s">
        <v>8</v>
      </c>
      <c r="DJ685" s="27" t="s">
        <v>7</v>
      </c>
      <c r="DK685" s="27" t="s">
        <v>8</v>
      </c>
      <c r="DN685" s="27" t="s">
        <v>7</v>
      </c>
      <c r="DO685" s="27" t="s">
        <v>8</v>
      </c>
      <c r="DP685" s="27" t="s">
        <v>7</v>
      </c>
      <c r="EA685" s="27" t="s">
        <v>8</v>
      </c>
      <c r="EB685" s="27" t="s">
        <v>7</v>
      </c>
    </row>
    <row r="686" spans="1:132" x14ac:dyDescent="0.25">
      <c r="A686" s="7">
        <v>0.14079362654170066</v>
      </c>
      <c r="B686"/>
      <c r="C686"/>
      <c r="D686"/>
      <c r="E686"/>
      <c r="F686" s="27" t="s">
        <v>7</v>
      </c>
      <c r="DE686" s="27" t="s">
        <v>8</v>
      </c>
      <c r="DF686" s="27" t="s">
        <v>7</v>
      </c>
      <c r="DG686" s="27" t="s">
        <v>8</v>
      </c>
      <c r="DH686" s="27" t="s">
        <v>7</v>
      </c>
      <c r="DI686" s="27" t="s">
        <v>8</v>
      </c>
      <c r="DJ686" s="27" t="s">
        <v>7</v>
      </c>
      <c r="DK686" s="27" t="s">
        <v>8</v>
      </c>
      <c r="DN686" s="27" t="s">
        <v>7</v>
      </c>
      <c r="DO686" s="27" t="s">
        <v>8</v>
      </c>
      <c r="DP686" s="27" t="s">
        <v>7</v>
      </c>
      <c r="DQ686" s="27" t="s">
        <v>8</v>
      </c>
      <c r="EA686" s="27" t="s">
        <v>8</v>
      </c>
      <c r="EB686" s="27" t="s">
        <v>7</v>
      </c>
    </row>
    <row r="687" spans="1:132" x14ac:dyDescent="0.25">
      <c r="A687" s="7">
        <v>0.13803296719774574</v>
      </c>
      <c r="B687"/>
      <c r="C687"/>
      <c r="D687"/>
      <c r="E687"/>
      <c r="F687" s="27" t="s">
        <v>7</v>
      </c>
      <c r="DE687" s="27" t="s">
        <v>8</v>
      </c>
      <c r="DF687" s="27" t="s">
        <v>7</v>
      </c>
      <c r="DG687" s="27" t="s">
        <v>8</v>
      </c>
      <c r="DH687" s="27" t="s">
        <v>7</v>
      </c>
      <c r="DI687" s="27" t="s">
        <v>8</v>
      </c>
      <c r="DJ687" s="27" t="s">
        <v>7</v>
      </c>
      <c r="DN687" s="27" t="s">
        <v>7</v>
      </c>
      <c r="DO687" s="27" t="s">
        <v>8</v>
      </c>
      <c r="DP687" s="27" t="s">
        <v>7</v>
      </c>
      <c r="DQ687" s="27" t="s">
        <v>8</v>
      </c>
      <c r="DR687" s="27" t="s">
        <v>7</v>
      </c>
      <c r="DY687" s="27" t="s">
        <v>8</v>
      </c>
      <c r="EA687" s="27" t="s">
        <v>8</v>
      </c>
      <c r="EB687" s="27" t="s">
        <v>7</v>
      </c>
    </row>
    <row r="688" spans="1:132" x14ac:dyDescent="0.25">
      <c r="A688" s="7">
        <v>0.1353264384291625</v>
      </c>
      <c r="B688"/>
      <c r="C688"/>
      <c r="D688"/>
      <c r="E688"/>
      <c r="F688" s="27" t="s">
        <v>7</v>
      </c>
      <c r="DE688" s="27" t="s">
        <v>8</v>
      </c>
      <c r="DF688" s="27" t="s">
        <v>7</v>
      </c>
      <c r="DG688" s="27" t="s">
        <v>8</v>
      </c>
      <c r="DH688" s="27" t="s">
        <v>7</v>
      </c>
      <c r="DI688" s="27" t="s">
        <v>8</v>
      </c>
      <c r="DN688" s="27" t="s">
        <v>7</v>
      </c>
      <c r="DO688" s="27" t="s">
        <v>8</v>
      </c>
      <c r="DP688" s="27" t="s">
        <v>7</v>
      </c>
      <c r="DQ688" s="27" t="s">
        <v>8</v>
      </c>
      <c r="DR688" s="27" t="s">
        <v>7</v>
      </c>
      <c r="DY688" s="27" t="s">
        <v>8</v>
      </c>
      <c r="DZ688" s="27" t="s">
        <v>7</v>
      </c>
      <c r="EA688" s="27" t="s">
        <v>8</v>
      </c>
      <c r="EB688" s="27" t="s">
        <v>7</v>
      </c>
    </row>
    <row r="689" spans="1:186" x14ac:dyDescent="0.25">
      <c r="A689" s="7">
        <v>0.13267297885212009</v>
      </c>
      <c r="B689"/>
      <c r="C689"/>
      <c r="D689"/>
      <c r="E689"/>
      <c r="F689" s="27" t="s">
        <v>7</v>
      </c>
      <c r="DE689" s="27" t="s">
        <v>8</v>
      </c>
      <c r="DF689" s="27" t="s">
        <v>7</v>
      </c>
      <c r="DG689" s="27" t="s">
        <v>8</v>
      </c>
      <c r="DH689" s="27" t="s">
        <v>7</v>
      </c>
      <c r="DI689" s="27" t="s">
        <v>8</v>
      </c>
      <c r="DN689" s="27" t="s">
        <v>7</v>
      </c>
      <c r="DO689" s="27" t="s">
        <v>8</v>
      </c>
      <c r="DP689" s="27" t="s">
        <v>7</v>
      </c>
      <c r="DQ689" s="27" t="s">
        <v>8</v>
      </c>
      <c r="DR689" s="27" t="s">
        <v>7</v>
      </c>
      <c r="DW689" s="27" t="s">
        <v>8</v>
      </c>
      <c r="DY689" s="27" t="s">
        <v>8</v>
      </c>
      <c r="DZ689" s="27" t="s">
        <v>7</v>
      </c>
      <c r="EA689" s="27" t="s">
        <v>8</v>
      </c>
      <c r="EB689" s="27" t="s">
        <v>7</v>
      </c>
      <c r="EC689" s="27" t="s">
        <v>8</v>
      </c>
    </row>
    <row r="690" spans="1:186" x14ac:dyDescent="0.25">
      <c r="A690" s="7">
        <v>0.13007154789423539</v>
      </c>
      <c r="B690"/>
      <c r="C690"/>
      <c r="D690"/>
      <c r="E690"/>
      <c r="F690" s="27" t="s">
        <v>7</v>
      </c>
      <c r="DE690" s="27" t="s">
        <v>8</v>
      </c>
      <c r="DF690" s="27" t="s">
        <v>7</v>
      </c>
      <c r="DG690" s="27" t="s">
        <v>8</v>
      </c>
      <c r="DH690" s="27" t="s">
        <v>7</v>
      </c>
      <c r="DI690" s="27" t="s">
        <v>8</v>
      </c>
      <c r="DN690" s="27" t="s">
        <v>7</v>
      </c>
      <c r="DP690" s="27" t="s">
        <v>7</v>
      </c>
      <c r="DQ690" s="27" t="s">
        <v>8</v>
      </c>
      <c r="DR690" s="27" t="s">
        <v>7</v>
      </c>
      <c r="DU690" s="27" t="s">
        <v>8</v>
      </c>
      <c r="DW690" s="27" t="s">
        <v>8</v>
      </c>
      <c r="DX690" s="27" t="s">
        <v>7</v>
      </c>
      <c r="DY690" s="27" t="s">
        <v>8</v>
      </c>
      <c r="DZ690" s="27" t="s">
        <v>7</v>
      </c>
      <c r="EA690" s="27" t="s">
        <v>8</v>
      </c>
      <c r="EB690" s="27" t="s">
        <v>7</v>
      </c>
      <c r="EC690" s="27" t="s">
        <v>8</v>
      </c>
      <c r="ED690" s="27" t="s">
        <v>7</v>
      </c>
    </row>
    <row r="691" spans="1:186" x14ac:dyDescent="0.25">
      <c r="A691" s="7">
        <v>0.12752112538650529</v>
      </c>
      <c r="B691"/>
      <c r="C691"/>
      <c r="D691"/>
      <c r="E691"/>
      <c r="F691" s="27" t="s">
        <v>7</v>
      </c>
      <c r="DE691" s="27" t="s">
        <v>8</v>
      </c>
      <c r="DF691" s="27" t="s">
        <v>7</v>
      </c>
      <c r="DG691" s="27" t="s">
        <v>8</v>
      </c>
      <c r="DH691" s="27" t="s">
        <v>7</v>
      </c>
      <c r="DI691" s="27" t="s">
        <v>8</v>
      </c>
      <c r="DP691" s="27" t="s">
        <v>7</v>
      </c>
      <c r="DQ691" s="27" t="s">
        <v>8</v>
      </c>
      <c r="DR691" s="27" t="s">
        <v>7</v>
      </c>
      <c r="DU691" s="27" t="s">
        <v>8</v>
      </c>
      <c r="DV691" s="27" t="s">
        <v>7</v>
      </c>
      <c r="DW691" s="27" t="s">
        <v>8</v>
      </c>
      <c r="DX691" s="27" t="s">
        <v>7</v>
      </c>
      <c r="DY691" s="27" t="s">
        <v>8</v>
      </c>
      <c r="DZ691" s="27" t="s">
        <v>7</v>
      </c>
      <c r="EA691" s="27" t="s">
        <v>8</v>
      </c>
      <c r="EB691" s="27" t="s">
        <v>7</v>
      </c>
      <c r="EC691" s="27" t="s">
        <v>8</v>
      </c>
      <c r="ED691" s="27" t="s">
        <v>7</v>
      </c>
    </row>
    <row r="692" spans="1:186" x14ac:dyDescent="0.25">
      <c r="A692" s="7">
        <v>0.12502071116324048</v>
      </c>
      <c r="B692"/>
      <c r="C692"/>
      <c r="D692"/>
      <c r="E692"/>
      <c r="F692" s="27" t="s">
        <v>7</v>
      </c>
      <c r="DE692" s="27" t="s">
        <v>8</v>
      </c>
      <c r="DF692" s="27" t="s">
        <v>7</v>
      </c>
      <c r="DG692" s="27" t="s">
        <v>8</v>
      </c>
      <c r="DH692" s="27" t="s">
        <v>7</v>
      </c>
      <c r="DI692" s="27" t="s">
        <v>8</v>
      </c>
      <c r="DP692" s="27" t="s">
        <v>7</v>
      </c>
      <c r="DQ692" s="27" t="s">
        <v>8</v>
      </c>
      <c r="DR692" s="27" t="s">
        <v>7</v>
      </c>
      <c r="DU692" s="27" t="s">
        <v>8</v>
      </c>
      <c r="DV692" s="27" t="s">
        <v>7</v>
      </c>
      <c r="DW692" s="27" t="s">
        <v>8</v>
      </c>
      <c r="DX692" s="27" t="s">
        <v>7</v>
      </c>
      <c r="DZ692" s="27" t="s">
        <v>7</v>
      </c>
      <c r="EA692" s="27" t="s">
        <v>8</v>
      </c>
      <c r="EB692" s="27" t="s">
        <v>7</v>
      </c>
      <c r="EC692" s="27" t="s">
        <v>8</v>
      </c>
      <c r="ED692" s="27" t="s">
        <v>7</v>
      </c>
    </row>
    <row r="693" spans="1:186" x14ac:dyDescent="0.25">
      <c r="A693" s="7">
        <v>0.1225693246698436</v>
      </c>
      <c r="B693"/>
      <c r="C693"/>
      <c r="D693"/>
      <c r="E693"/>
      <c r="F693" s="27" t="s">
        <v>7</v>
      </c>
      <c r="DE693" s="27" t="s">
        <v>8</v>
      </c>
      <c r="DF693" s="27" t="s">
        <v>7</v>
      </c>
      <c r="DH693" s="27" t="s">
        <v>7</v>
      </c>
      <c r="DI693" s="27" t="s">
        <v>8</v>
      </c>
      <c r="DP693" s="27" t="s">
        <v>7</v>
      </c>
      <c r="DR693" s="27" t="s">
        <v>7</v>
      </c>
      <c r="DU693" s="27" t="s">
        <v>8</v>
      </c>
      <c r="DV693" s="27" t="s">
        <v>7</v>
      </c>
      <c r="DW693" s="27" t="s">
        <v>8</v>
      </c>
      <c r="DZ693" s="27" t="s">
        <v>7</v>
      </c>
      <c r="EA693" s="27" t="s">
        <v>8</v>
      </c>
      <c r="EB693" s="27" t="s">
        <v>7</v>
      </c>
      <c r="EC693" s="27" t="s">
        <v>8</v>
      </c>
      <c r="ED693" s="27" t="s">
        <v>7</v>
      </c>
    </row>
    <row r="694" spans="1:186" x14ac:dyDescent="0.25">
      <c r="A694" s="7">
        <v>0.12016600457827803</v>
      </c>
      <c r="B694"/>
      <c r="C694"/>
      <c r="D694"/>
      <c r="E694"/>
      <c r="F694" s="27" t="s">
        <v>7</v>
      </c>
      <c r="DA694" s="27" t="s">
        <v>8</v>
      </c>
      <c r="DE694" s="27" t="s">
        <v>8</v>
      </c>
      <c r="DH694" s="27" t="s">
        <v>7</v>
      </c>
      <c r="DI694" s="27" t="s">
        <v>8</v>
      </c>
      <c r="DR694" s="27" t="s">
        <v>7</v>
      </c>
      <c r="DU694" s="27" t="s">
        <v>8</v>
      </c>
      <c r="DV694" s="27" t="s">
        <v>7</v>
      </c>
      <c r="DW694" s="27" t="s">
        <v>8</v>
      </c>
      <c r="DZ694" s="27" t="s">
        <v>7</v>
      </c>
      <c r="EA694" s="27" t="s">
        <v>8</v>
      </c>
      <c r="EB694" s="27" t="s">
        <v>7</v>
      </c>
      <c r="EC694" s="27" t="s">
        <v>8</v>
      </c>
      <c r="ED694" s="27" t="s">
        <v>7</v>
      </c>
    </row>
    <row r="695" spans="1:186" x14ac:dyDescent="0.25">
      <c r="A695" s="7">
        <v>0.1178098084100765</v>
      </c>
      <c r="B695"/>
      <c r="C695"/>
      <c r="D695"/>
      <c r="E695"/>
      <c r="F695" s="27" t="s">
        <v>7</v>
      </c>
      <c r="DA695" s="27" t="s">
        <v>8</v>
      </c>
      <c r="DB695" s="27" t="s">
        <v>7</v>
      </c>
      <c r="DE695" s="27" t="s">
        <v>8</v>
      </c>
      <c r="DH695" s="27" t="s">
        <v>7</v>
      </c>
      <c r="DR695" s="27" t="s">
        <v>7</v>
      </c>
      <c r="DS695" s="27" t="s">
        <v>8</v>
      </c>
      <c r="DU695" s="27" t="s">
        <v>8</v>
      </c>
      <c r="DV695" s="27" t="s">
        <v>7</v>
      </c>
      <c r="DZ695" s="27" t="s">
        <v>7</v>
      </c>
      <c r="EB695" s="27" t="s">
        <v>7</v>
      </c>
      <c r="EC695" s="27" t="s">
        <v>8</v>
      </c>
      <c r="ED695" s="27" t="s">
        <v>7</v>
      </c>
    </row>
    <row r="696" spans="1:186" x14ac:dyDescent="0.25">
      <c r="A696" s="7">
        <v>0.11549981216674166</v>
      </c>
      <c r="B696"/>
      <c r="C696"/>
      <c r="D696"/>
      <c r="E696"/>
      <c r="F696" s="27" t="s">
        <v>7</v>
      </c>
      <c r="DA696" s="27" t="s">
        <v>8</v>
      </c>
      <c r="DB696" s="27" t="s">
        <v>7</v>
      </c>
      <c r="DE696" s="27" t="s">
        <v>8</v>
      </c>
      <c r="DR696" s="27" t="s">
        <v>7</v>
      </c>
      <c r="DS696" s="27" t="s">
        <v>8</v>
      </c>
      <c r="DT696" s="27" t="s">
        <v>7</v>
      </c>
      <c r="DU696" s="27" t="s">
        <v>8</v>
      </c>
      <c r="EB696" s="27" t="s">
        <v>7</v>
      </c>
      <c r="EC696" s="27" t="s">
        <v>8</v>
      </c>
      <c r="ED696" s="27" t="s">
        <v>7</v>
      </c>
      <c r="EE696" s="27" t="s">
        <v>8</v>
      </c>
    </row>
    <row r="697" spans="1:186" x14ac:dyDescent="0.25">
      <c r="A697" s="7">
        <v>0.11323510996739378</v>
      </c>
      <c r="B697"/>
      <c r="C697"/>
      <c r="D697"/>
      <c r="E697"/>
      <c r="F697" s="27" t="s">
        <v>7</v>
      </c>
      <c r="DA697" s="27" t="s">
        <v>8</v>
      </c>
      <c r="DB697" s="27" t="s">
        <v>7</v>
      </c>
      <c r="DE697" s="27" t="s">
        <v>8</v>
      </c>
      <c r="DR697" s="27" t="s">
        <v>7</v>
      </c>
      <c r="DS697" s="27" t="s">
        <v>8</v>
      </c>
      <c r="DT697" s="27" t="s">
        <v>7</v>
      </c>
      <c r="DU697" s="27" t="s">
        <v>8</v>
      </c>
      <c r="EB697" s="27" t="s">
        <v>7</v>
      </c>
      <c r="ED697" s="27" t="s">
        <v>7</v>
      </c>
      <c r="EE697" s="27" t="s">
        <v>8</v>
      </c>
      <c r="EF697" s="27" t="s">
        <v>7</v>
      </c>
    </row>
    <row r="698" spans="1:186" x14ac:dyDescent="0.25">
      <c r="A698" s="7">
        <v>0.11101481369352331</v>
      </c>
      <c r="B698"/>
      <c r="C698"/>
      <c r="D698"/>
      <c r="E698"/>
      <c r="F698" s="27" t="s">
        <v>7</v>
      </c>
      <c r="DA698" s="27" t="s">
        <v>8</v>
      </c>
      <c r="DB698" s="27" t="s">
        <v>7</v>
      </c>
      <c r="DE698" s="27" t="s">
        <v>8</v>
      </c>
      <c r="DR698" s="27" t="s">
        <v>7</v>
      </c>
      <c r="DS698" s="27" t="s">
        <v>8</v>
      </c>
      <c r="DT698" s="27" t="s">
        <v>7</v>
      </c>
      <c r="DU698" s="27" t="s">
        <v>8</v>
      </c>
      <c r="ED698" s="27" t="s">
        <v>7</v>
      </c>
      <c r="EE698" s="27" t="s">
        <v>8</v>
      </c>
      <c r="EF698" s="27" t="s">
        <v>7</v>
      </c>
    </row>
    <row r="699" spans="1:186" x14ac:dyDescent="0.25">
      <c r="A699" s="7">
        <v>0.10883805264070913</v>
      </c>
      <c r="B699"/>
      <c r="C699"/>
      <c r="D699"/>
      <c r="E699"/>
      <c r="F699" s="27" t="s">
        <v>7</v>
      </c>
      <c r="DA699" s="27" t="s">
        <v>8</v>
      </c>
      <c r="DB699" s="27" t="s">
        <v>7</v>
      </c>
      <c r="DE699" s="27" t="s">
        <v>8</v>
      </c>
      <c r="DR699" s="27" t="s">
        <v>7</v>
      </c>
      <c r="DS699" s="27" t="s">
        <v>8</v>
      </c>
      <c r="DT699" s="27" t="s">
        <v>7</v>
      </c>
      <c r="DU699" s="27" t="s">
        <v>8</v>
      </c>
      <c r="ED699" s="27" t="s">
        <v>7</v>
      </c>
      <c r="EE699" s="27" t="s">
        <v>8</v>
      </c>
      <c r="EF699" s="27" t="s">
        <v>7</v>
      </c>
    </row>
    <row r="700" spans="1:186" x14ac:dyDescent="0.25">
      <c r="A700" s="7">
        <v>0.10670397317716582</v>
      </c>
      <c r="B700"/>
      <c r="C700"/>
      <c r="D700"/>
      <c r="E700"/>
      <c r="F700" s="27" t="s">
        <v>7</v>
      </c>
      <c r="DA700" s="27" t="s">
        <v>8</v>
      </c>
      <c r="DB700" s="27" t="s">
        <v>7</v>
      </c>
      <c r="DE700" s="27" t="s">
        <v>8</v>
      </c>
      <c r="DR700" s="27" t="s">
        <v>7</v>
      </c>
      <c r="DS700" s="27" t="s">
        <v>8</v>
      </c>
      <c r="DT700" s="27" t="s">
        <v>7</v>
      </c>
      <c r="DU700" s="27" t="s">
        <v>8</v>
      </c>
      <c r="ED700" s="27" t="s">
        <v>7</v>
      </c>
      <c r="EE700" s="27" t="s">
        <v>8</v>
      </c>
      <c r="EF700" s="27" t="s">
        <v>7</v>
      </c>
      <c r="EG700" s="27" t="s">
        <v>8</v>
      </c>
    </row>
    <row r="701" spans="1:186" x14ac:dyDescent="0.25">
      <c r="A701" s="7">
        <v>0.1046117384089861</v>
      </c>
      <c r="B701"/>
      <c r="C701"/>
      <c r="D701"/>
      <c r="E701"/>
      <c r="F701" s="27" t="s">
        <v>7</v>
      </c>
      <c r="DA701" s="27" t="s">
        <v>8</v>
      </c>
      <c r="DB701" s="27" t="s">
        <v>7</v>
      </c>
      <c r="DE701" s="27" t="s">
        <v>8</v>
      </c>
      <c r="DR701" s="27" t="s">
        <v>7</v>
      </c>
      <c r="DS701" s="27" t="s">
        <v>8</v>
      </c>
      <c r="DT701" s="27" t="s">
        <v>7</v>
      </c>
      <c r="DU701" s="27" t="s">
        <v>8</v>
      </c>
      <c r="ED701" s="27" t="s">
        <v>7</v>
      </c>
      <c r="EF701" s="27" t="s">
        <v>7</v>
      </c>
      <c r="EG701" s="27" t="s">
        <v>8</v>
      </c>
      <c r="EH701" s="27" t="s">
        <v>7</v>
      </c>
    </row>
    <row r="702" spans="1:186" x14ac:dyDescent="0.25">
      <c r="A702" s="7">
        <v>0.10256052785194716</v>
      </c>
      <c r="B702"/>
      <c r="C702"/>
      <c r="D702"/>
      <c r="E702"/>
      <c r="F702" s="27" t="s">
        <v>7</v>
      </c>
      <c r="DA702" s="27" t="s">
        <v>8</v>
      </c>
      <c r="DB702" s="27" t="s">
        <v>7</v>
      </c>
      <c r="DE702" s="27" t="s">
        <v>8</v>
      </c>
      <c r="DR702" s="27" t="s">
        <v>7</v>
      </c>
      <c r="DS702" s="27" t="s">
        <v>8</v>
      </c>
      <c r="DT702" s="27" t="s">
        <v>7</v>
      </c>
      <c r="DU702" s="27" t="s">
        <v>8</v>
      </c>
      <c r="EF702" s="27" t="s">
        <v>7</v>
      </c>
      <c r="EG702" s="27" t="s">
        <v>8</v>
      </c>
      <c r="EH702" s="27" t="s">
        <v>7</v>
      </c>
    </row>
    <row r="703" spans="1:186" x14ac:dyDescent="0.25">
      <c r="A703" s="7">
        <v>0.10054953710975212</v>
      </c>
      <c r="B703"/>
      <c r="C703"/>
      <c r="D703"/>
      <c r="E703"/>
      <c r="F703" s="27" t="s">
        <v>7</v>
      </c>
      <c r="DA703" s="27" t="s">
        <v>8</v>
      </c>
      <c r="DB703" s="27" t="s">
        <v>7</v>
      </c>
      <c r="DE703" s="27" t="s">
        <v>8</v>
      </c>
      <c r="DR703" s="27" t="s">
        <v>7</v>
      </c>
      <c r="DS703" s="27" t="s">
        <v>8</v>
      </c>
      <c r="DT703" s="27" t="s">
        <v>7</v>
      </c>
      <c r="DU703" s="27" t="s">
        <v>8</v>
      </c>
      <c r="EF703" s="27" t="s">
        <v>7</v>
      </c>
      <c r="EG703" s="27" t="s">
        <v>8</v>
      </c>
      <c r="EH703" s="27" t="s">
        <v>7</v>
      </c>
      <c r="GC703" s="27" t="s">
        <v>8</v>
      </c>
    </row>
    <row r="704" spans="1:186" x14ac:dyDescent="0.25">
      <c r="A704" s="7">
        <v>9.8577977558580512E-2</v>
      </c>
      <c r="B704"/>
      <c r="C704"/>
      <c r="D704"/>
      <c r="E704"/>
      <c r="F704" s="27" t="s">
        <v>7</v>
      </c>
      <c r="DA704" s="27" t="s">
        <v>8</v>
      </c>
      <c r="DB704" s="27" t="s">
        <v>7</v>
      </c>
      <c r="DE704" s="27" t="s">
        <v>8</v>
      </c>
      <c r="DR704" s="27" t="s">
        <v>7</v>
      </c>
      <c r="DS704" s="27" t="s">
        <v>8</v>
      </c>
      <c r="DT704" s="27" t="s">
        <v>7</v>
      </c>
      <c r="DU704" s="27" t="s">
        <v>8</v>
      </c>
      <c r="EF704" s="27" t="s">
        <v>7</v>
      </c>
      <c r="EG704" s="27" t="s">
        <v>8</v>
      </c>
      <c r="EH704" s="27" t="s">
        <v>7</v>
      </c>
      <c r="GC704" s="27" t="s">
        <v>8</v>
      </c>
      <c r="GD704" s="27" t="s">
        <v>7</v>
      </c>
    </row>
    <row r="705" spans="1:224" x14ac:dyDescent="0.25">
      <c r="A705" s="7">
        <v>9.6645076037824032E-2</v>
      </c>
      <c r="B705"/>
      <c r="C705"/>
      <c r="D705"/>
      <c r="E705"/>
      <c r="F705" s="27" t="s">
        <v>7</v>
      </c>
      <c r="CY705" s="27" t="s">
        <v>8</v>
      </c>
      <c r="DA705" s="27" t="s">
        <v>8</v>
      </c>
      <c r="DB705" s="27" t="s">
        <v>7</v>
      </c>
      <c r="DC705" s="27" t="s">
        <v>8</v>
      </c>
      <c r="DE705" s="27" t="s">
        <v>8</v>
      </c>
      <c r="DR705" s="27" t="s">
        <v>7</v>
      </c>
      <c r="DS705" s="27" t="s">
        <v>8</v>
      </c>
      <c r="DT705" s="27" t="s">
        <v>7</v>
      </c>
      <c r="EF705" s="27" t="s">
        <v>7</v>
      </c>
      <c r="EG705" s="27" t="s">
        <v>8</v>
      </c>
      <c r="EH705" s="27" t="s">
        <v>7</v>
      </c>
      <c r="GC705" s="27" t="s">
        <v>8</v>
      </c>
      <c r="GD705" s="27" t="s">
        <v>7</v>
      </c>
      <c r="GO705" s="27" t="s">
        <v>8</v>
      </c>
    </row>
    <row r="706" spans="1:224" x14ac:dyDescent="0.25">
      <c r="A706" s="7">
        <v>9.4750074546886304E-2</v>
      </c>
      <c r="B706"/>
      <c r="C706"/>
      <c r="D706"/>
      <c r="E706"/>
      <c r="F706" s="27" t="s">
        <v>7</v>
      </c>
      <c r="CY706" s="27" t="s">
        <v>8</v>
      </c>
      <c r="CZ706" s="27" t="s">
        <v>7</v>
      </c>
      <c r="DA706" s="27" t="s">
        <v>8</v>
      </c>
      <c r="DB706" s="27" t="s">
        <v>7</v>
      </c>
      <c r="DC706" s="27" t="s">
        <v>8</v>
      </c>
      <c r="DD706" s="27" t="s">
        <v>7</v>
      </c>
      <c r="DE706" s="27" t="s">
        <v>8</v>
      </c>
      <c r="DR706" s="27" t="s">
        <v>7</v>
      </c>
      <c r="DS706" s="27" t="s">
        <v>8</v>
      </c>
      <c r="EF706" s="27" t="s">
        <v>7</v>
      </c>
      <c r="EH706" s="27" t="s">
        <v>7</v>
      </c>
      <c r="FW706" s="27" t="s">
        <v>8</v>
      </c>
      <c r="GC706" s="27" t="s">
        <v>8</v>
      </c>
      <c r="GD706" s="27" t="s">
        <v>7</v>
      </c>
      <c r="GO706" s="27" t="s">
        <v>8</v>
      </c>
      <c r="GP706" s="27" t="s">
        <v>7</v>
      </c>
      <c r="GU706" s="27" t="s">
        <v>8</v>
      </c>
    </row>
    <row r="707" spans="1:224" x14ac:dyDescent="0.25">
      <c r="A707" s="7">
        <v>9.2892229947927743E-2</v>
      </c>
      <c r="B707"/>
      <c r="C707"/>
      <c r="D707"/>
      <c r="E707"/>
      <c r="F707" s="27" t="s">
        <v>7</v>
      </c>
      <c r="CY707" s="27" t="s">
        <v>8</v>
      </c>
      <c r="CZ707" s="27" t="s">
        <v>7</v>
      </c>
      <c r="DA707" s="27" t="s">
        <v>8</v>
      </c>
      <c r="DB707" s="27" t="s">
        <v>7</v>
      </c>
      <c r="DC707" s="27" t="s">
        <v>8</v>
      </c>
      <c r="DD707" s="27" t="s">
        <v>7</v>
      </c>
      <c r="DE707" s="27" t="s">
        <v>8</v>
      </c>
      <c r="DR707" s="27" t="s">
        <v>7</v>
      </c>
      <c r="DS707" s="27" t="s">
        <v>8</v>
      </c>
      <c r="EH707" s="27" t="s">
        <v>7</v>
      </c>
      <c r="FW707" s="27" t="s">
        <v>8</v>
      </c>
      <c r="FX707" s="27" t="s">
        <v>7</v>
      </c>
      <c r="GA707" s="27" t="s">
        <v>8</v>
      </c>
      <c r="GC707" s="27" t="s">
        <v>8</v>
      </c>
      <c r="GD707" s="27" t="s">
        <v>7</v>
      </c>
      <c r="GO707" s="27" t="s">
        <v>8</v>
      </c>
      <c r="GP707" s="27" t="s">
        <v>7</v>
      </c>
      <c r="GU707" s="27" t="s">
        <v>8</v>
      </c>
      <c r="GV707" s="27" t="s">
        <v>7</v>
      </c>
    </row>
    <row r="708" spans="1:224" x14ac:dyDescent="0.25">
      <c r="A708" s="7">
        <v>9.1070813674438963E-2</v>
      </c>
      <c r="B708"/>
      <c r="C708"/>
      <c r="D708"/>
      <c r="E708"/>
      <c r="F708" s="27" t="s">
        <v>7</v>
      </c>
      <c r="CY708" s="27" t="s">
        <v>8</v>
      </c>
      <c r="CZ708" s="27" t="s">
        <v>7</v>
      </c>
      <c r="DA708" s="27" t="s">
        <v>8</v>
      </c>
      <c r="DB708" s="27" t="s">
        <v>7</v>
      </c>
      <c r="DC708" s="27" t="s">
        <v>8</v>
      </c>
      <c r="DD708" s="27" t="s">
        <v>7</v>
      </c>
      <c r="DR708" s="27" t="s">
        <v>7</v>
      </c>
      <c r="DS708" s="27" t="s">
        <v>8</v>
      </c>
      <c r="EH708" s="27" t="s">
        <v>7</v>
      </c>
      <c r="FW708" s="27" t="s">
        <v>8</v>
      </c>
      <c r="FX708" s="27" t="s">
        <v>7</v>
      </c>
      <c r="GA708" s="27" t="s">
        <v>8</v>
      </c>
      <c r="GB708" s="27" t="s">
        <v>7</v>
      </c>
      <c r="GC708" s="27" t="s">
        <v>8</v>
      </c>
      <c r="GD708" s="27" t="s">
        <v>7</v>
      </c>
      <c r="GO708" s="27" t="s">
        <v>8</v>
      </c>
      <c r="GP708" s="27" t="s">
        <v>7</v>
      </c>
      <c r="GU708" s="27" t="s">
        <v>8</v>
      </c>
      <c r="GV708" s="27" t="s">
        <v>7</v>
      </c>
      <c r="HC708" s="27" t="s">
        <v>8</v>
      </c>
      <c r="HE708" s="27" t="s">
        <v>8</v>
      </c>
    </row>
    <row r="709" spans="1:224" x14ac:dyDescent="0.25">
      <c r="A709" s="7">
        <v>8.9285111445528392E-2</v>
      </c>
      <c r="B709"/>
      <c r="C709"/>
      <c r="D709"/>
      <c r="E709"/>
      <c r="F709" s="27" t="s">
        <v>7</v>
      </c>
      <c r="CY709" s="27" t="s">
        <v>8</v>
      </c>
      <c r="CZ709" s="27" t="s">
        <v>7</v>
      </c>
      <c r="DA709" s="27" t="s">
        <v>8</v>
      </c>
      <c r="DB709" s="27" t="s">
        <v>7</v>
      </c>
      <c r="DC709" s="27" t="s">
        <v>8</v>
      </c>
      <c r="DR709" s="27" t="s">
        <v>7</v>
      </c>
      <c r="DS709" s="27" t="s">
        <v>8</v>
      </c>
      <c r="EH709" s="27" t="s">
        <v>7</v>
      </c>
      <c r="FW709" s="27" t="s">
        <v>8</v>
      </c>
      <c r="FX709" s="27" t="s">
        <v>7</v>
      </c>
      <c r="GA709" s="27" t="s">
        <v>8</v>
      </c>
      <c r="GB709" s="27" t="s">
        <v>7</v>
      </c>
      <c r="GC709" s="27" t="s">
        <v>8</v>
      </c>
      <c r="GD709" s="27" t="s">
        <v>7</v>
      </c>
      <c r="GO709" s="27" t="s">
        <v>8</v>
      </c>
      <c r="GP709" s="27" t="s">
        <v>7</v>
      </c>
      <c r="GU709" s="27" t="s">
        <v>8</v>
      </c>
      <c r="GV709" s="27" t="s">
        <v>7</v>
      </c>
      <c r="HC709" s="27" t="s">
        <v>8</v>
      </c>
      <c r="HD709" s="27" t="s">
        <v>7</v>
      </c>
      <c r="HE709" s="27" t="s">
        <v>8</v>
      </c>
      <c r="HF709" s="27" t="s">
        <v>7</v>
      </c>
    </row>
    <row r="710" spans="1:224" x14ac:dyDescent="0.25">
      <c r="A710" s="7">
        <v>8.7534422985812155E-2</v>
      </c>
      <c r="B710"/>
      <c r="C710"/>
      <c r="D710"/>
      <c r="E710"/>
      <c r="F710" s="27" t="s">
        <v>7</v>
      </c>
      <c r="CY710" s="27" t="s">
        <v>8</v>
      </c>
      <c r="CZ710" s="27" t="s">
        <v>7</v>
      </c>
      <c r="DA710" s="27" t="s">
        <v>8</v>
      </c>
      <c r="DB710" s="27" t="s">
        <v>7</v>
      </c>
      <c r="DC710" s="27" t="s">
        <v>8</v>
      </c>
      <c r="DR710" s="27" t="s">
        <v>7</v>
      </c>
      <c r="DS710" s="27" t="s">
        <v>8</v>
      </c>
      <c r="EH710" s="27" t="s">
        <v>7</v>
      </c>
      <c r="FW710" s="27" t="s">
        <v>8</v>
      </c>
      <c r="FX710" s="27" t="s">
        <v>7</v>
      </c>
      <c r="GA710" s="27" t="s">
        <v>8</v>
      </c>
      <c r="GB710" s="27" t="s">
        <v>7</v>
      </c>
      <c r="GC710" s="27" t="s">
        <v>8</v>
      </c>
      <c r="GD710" s="27" t="s">
        <v>7</v>
      </c>
      <c r="GO710" s="27" t="s">
        <v>8</v>
      </c>
      <c r="GP710" s="27" t="s">
        <v>7</v>
      </c>
      <c r="GU710" s="27" t="s">
        <v>8</v>
      </c>
      <c r="GV710" s="27" t="s">
        <v>7</v>
      </c>
      <c r="HA710" s="27" t="s">
        <v>8</v>
      </c>
      <c r="HC710" s="27" t="s">
        <v>8</v>
      </c>
      <c r="HD710" s="27" t="s">
        <v>7</v>
      </c>
      <c r="HE710" s="27" t="s">
        <v>8</v>
      </c>
      <c r="HF710" s="27" t="s">
        <v>7</v>
      </c>
    </row>
    <row r="711" spans="1:224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CY711" s="27" t="s">
        <v>8</v>
      </c>
      <c r="CZ711" s="27" t="s">
        <v>7</v>
      </c>
      <c r="DA711" s="27" t="s">
        <v>8</v>
      </c>
      <c r="DB711" s="27" t="s">
        <v>7</v>
      </c>
      <c r="DC711" s="27" t="s">
        <v>8</v>
      </c>
      <c r="DR711" s="27" t="s">
        <v>7</v>
      </c>
      <c r="DS711" s="27" t="s">
        <v>8</v>
      </c>
      <c r="EH711" s="27" t="s">
        <v>7</v>
      </c>
      <c r="FW711" s="27" t="s">
        <v>8</v>
      </c>
      <c r="FX711" s="27" t="s">
        <v>7</v>
      </c>
      <c r="FY711" s="27" t="s">
        <v>8</v>
      </c>
      <c r="GA711" s="27" t="s">
        <v>8</v>
      </c>
      <c r="GB711" s="27" t="s">
        <v>7</v>
      </c>
      <c r="GC711" s="27" t="s">
        <v>8</v>
      </c>
      <c r="GD711" s="27" t="s">
        <v>7</v>
      </c>
      <c r="GO711" s="27" t="s">
        <v>8</v>
      </c>
      <c r="GP711" s="27" t="s">
        <v>7</v>
      </c>
      <c r="GU711" s="27" t="s">
        <v>8</v>
      </c>
      <c r="GV711" s="27" t="s">
        <v>7</v>
      </c>
      <c r="HA711" s="27" t="s">
        <v>8</v>
      </c>
      <c r="HB711" s="27" t="s">
        <v>7</v>
      </c>
      <c r="HC711" s="27" t="s">
        <v>8</v>
      </c>
      <c r="HD711" s="27" t="s">
        <v>7</v>
      </c>
      <c r="HE711" s="27" t="s">
        <v>8</v>
      </c>
      <c r="HF711" s="27" t="s">
        <v>7</v>
      </c>
    </row>
    <row r="712" spans="1:224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H712" s="27" t="s">
        <v>7</v>
      </c>
      <c r="CY712" s="27" t="s">
        <v>8</v>
      </c>
      <c r="CZ712" s="27" t="s">
        <v>7</v>
      </c>
      <c r="DB712" s="27" t="s">
        <v>7</v>
      </c>
      <c r="DC712" s="27" t="s">
        <v>8</v>
      </c>
      <c r="DR712" s="27" t="s">
        <v>7</v>
      </c>
      <c r="EH712" s="27" t="s">
        <v>7</v>
      </c>
      <c r="FW712" s="27" t="s">
        <v>8</v>
      </c>
      <c r="FX712" s="27" t="s">
        <v>7</v>
      </c>
      <c r="FY712" s="27" t="s">
        <v>8</v>
      </c>
      <c r="FZ712" s="27" t="s">
        <v>7</v>
      </c>
      <c r="GA712" s="27" t="s">
        <v>8</v>
      </c>
      <c r="GB712" s="27" t="s">
        <v>7</v>
      </c>
      <c r="GC712" s="27" t="s">
        <v>8</v>
      </c>
      <c r="GD712" s="27" t="s">
        <v>7</v>
      </c>
      <c r="GO712" s="27" t="s">
        <v>8</v>
      </c>
      <c r="GP712" s="27" t="s">
        <v>7</v>
      </c>
      <c r="GU712" s="27" t="s">
        <v>8</v>
      </c>
      <c r="GV712" s="27" t="s">
        <v>7</v>
      </c>
      <c r="GW712" s="27" t="s">
        <v>8</v>
      </c>
      <c r="GY712" s="27" t="s">
        <v>8</v>
      </c>
      <c r="HA712" s="27" t="s">
        <v>8</v>
      </c>
      <c r="HB712" s="27" t="s">
        <v>7</v>
      </c>
      <c r="HC712" s="27" t="s">
        <v>8</v>
      </c>
      <c r="HD712" s="27" t="s">
        <v>7</v>
      </c>
      <c r="HE712" s="27" t="s">
        <v>8</v>
      </c>
      <c r="HF712" s="27" t="s">
        <v>7</v>
      </c>
    </row>
    <row r="713" spans="1:224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H713" s="27" t="s">
        <v>7</v>
      </c>
      <c r="CK713" s="27" t="s">
        <v>8</v>
      </c>
      <c r="CY713" s="27" t="s">
        <v>8</v>
      </c>
      <c r="DB713" s="27" t="s">
        <v>7</v>
      </c>
      <c r="DC713" s="27" t="s">
        <v>8</v>
      </c>
      <c r="EH713" s="27" t="s">
        <v>7</v>
      </c>
      <c r="FW713" s="27" t="s">
        <v>8</v>
      </c>
      <c r="FX713" s="27" t="s">
        <v>7</v>
      </c>
      <c r="FY713" s="27" t="s">
        <v>8</v>
      </c>
      <c r="FZ713" s="27" t="s">
        <v>7</v>
      </c>
      <c r="GA713" s="27" t="s">
        <v>8</v>
      </c>
      <c r="GB713" s="27" t="s">
        <v>7</v>
      </c>
      <c r="GC713" s="27" t="s">
        <v>8</v>
      </c>
      <c r="GD713" s="27" t="s">
        <v>7</v>
      </c>
      <c r="GO713" s="27" t="s">
        <v>8</v>
      </c>
      <c r="GP713" s="27" t="s">
        <v>7</v>
      </c>
      <c r="GU713" s="27" t="s">
        <v>8</v>
      </c>
      <c r="GV713" s="27" t="s">
        <v>7</v>
      </c>
      <c r="GW713" s="27" t="s">
        <v>8</v>
      </c>
      <c r="GX713" s="27" t="s">
        <v>7</v>
      </c>
      <c r="GY713" s="27" t="s">
        <v>8</v>
      </c>
      <c r="GZ713" s="27" t="s">
        <v>7</v>
      </c>
      <c r="HA713" s="27" t="s">
        <v>8</v>
      </c>
      <c r="HB713" s="27" t="s">
        <v>7</v>
      </c>
      <c r="HC713" s="27" t="s">
        <v>8</v>
      </c>
      <c r="HD713" s="27" t="s">
        <v>7</v>
      </c>
      <c r="HE713" s="27" t="s">
        <v>8</v>
      </c>
      <c r="HF713" s="27" t="s">
        <v>7</v>
      </c>
      <c r="HG713" s="27" t="s">
        <v>8</v>
      </c>
    </row>
    <row r="714" spans="1:224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H714" s="27" t="s">
        <v>7</v>
      </c>
      <c r="CK714" s="27" t="s">
        <v>8</v>
      </c>
      <c r="CL714" s="27" t="s">
        <v>7</v>
      </c>
      <c r="CY714" s="27" t="s">
        <v>8</v>
      </c>
      <c r="DB714" s="27" t="s">
        <v>7</v>
      </c>
      <c r="DC714" s="27" t="s">
        <v>8</v>
      </c>
      <c r="EH714" s="27" t="s">
        <v>7</v>
      </c>
      <c r="EI714" s="27" t="s">
        <v>8</v>
      </c>
      <c r="FW714" s="27" t="s">
        <v>8</v>
      </c>
      <c r="FX714" s="27" t="s">
        <v>7</v>
      </c>
      <c r="FY714" s="27" t="s">
        <v>8</v>
      </c>
      <c r="FZ714" s="27" t="s">
        <v>7</v>
      </c>
      <c r="GA714" s="27" t="s">
        <v>8</v>
      </c>
      <c r="GB714" s="27" t="s">
        <v>7</v>
      </c>
      <c r="GC714" s="27" t="s">
        <v>8</v>
      </c>
      <c r="GD714" s="27" t="s">
        <v>7</v>
      </c>
      <c r="GO714" s="27" t="s">
        <v>8</v>
      </c>
      <c r="GP714" s="27" t="s">
        <v>7</v>
      </c>
      <c r="GQ714" s="27" t="s">
        <v>8</v>
      </c>
      <c r="GU714" s="27" t="s">
        <v>8</v>
      </c>
      <c r="GV714" s="27" t="s">
        <v>7</v>
      </c>
      <c r="GW714" s="27" t="s">
        <v>8</v>
      </c>
      <c r="GX714" s="27" t="s">
        <v>7</v>
      </c>
      <c r="GY714" s="27" t="s">
        <v>8</v>
      </c>
      <c r="GZ714" s="27" t="s">
        <v>7</v>
      </c>
      <c r="HA714" s="27" t="s">
        <v>8</v>
      </c>
      <c r="HB714" s="27" t="s">
        <v>7</v>
      </c>
      <c r="HD714" s="27" t="s">
        <v>7</v>
      </c>
      <c r="HF714" s="27" t="s">
        <v>7</v>
      </c>
      <c r="HG714" s="27" t="s">
        <v>8</v>
      </c>
      <c r="HH714" s="27" t="s">
        <v>7</v>
      </c>
      <c r="HI714" s="27" t="s">
        <v>8</v>
      </c>
    </row>
    <row r="715" spans="1:224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H715" s="27" t="s">
        <v>7</v>
      </c>
      <c r="I715" s="27" t="s">
        <v>8</v>
      </c>
      <c r="CK715" s="27" t="s">
        <v>8</v>
      </c>
      <c r="CL715" s="27" t="s">
        <v>7</v>
      </c>
      <c r="CY715" s="27" t="s">
        <v>8</v>
      </c>
      <c r="DB715" s="27" t="s">
        <v>7</v>
      </c>
      <c r="DC715" s="27" t="s">
        <v>8</v>
      </c>
      <c r="EH715" s="27" t="s">
        <v>7</v>
      </c>
      <c r="EI715" s="27" t="s">
        <v>8</v>
      </c>
      <c r="EJ715" s="27" t="s">
        <v>7</v>
      </c>
      <c r="FW715" s="27" t="s">
        <v>8</v>
      </c>
      <c r="FX715" s="27" t="s">
        <v>7</v>
      </c>
      <c r="FY715" s="27" t="s">
        <v>8</v>
      </c>
      <c r="FZ715" s="27" t="s">
        <v>7</v>
      </c>
      <c r="GB715" s="27" t="s">
        <v>7</v>
      </c>
      <c r="GD715" s="27" t="s">
        <v>7</v>
      </c>
      <c r="GO715" s="27" t="s">
        <v>8</v>
      </c>
      <c r="GP715" s="27" t="s">
        <v>7</v>
      </c>
      <c r="GQ715" s="27" t="s">
        <v>8</v>
      </c>
      <c r="GR715" s="27" t="s">
        <v>7</v>
      </c>
      <c r="GS715" s="27" t="s">
        <v>8</v>
      </c>
      <c r="GU715" s="27" t="s">
        <v>8</v>
      </c>
      <c r="GV715" s="27" t="s">
        <v>7</v>
      </c>
      <c r="GX715" s="27" t="s">
        <v>7</v>
      </c>
      <c r="GZ715" s="27" t="s">
        <v>7</v>
      </c>
      <c r="HA715" s="27" t="s">
        <v>8</v>
      </c>
      <c r="HF715" s="27" t="s">
        <v>7</v>
      </c>
      <c r="HG715" s="27" t="s">
        <v>8</v>
      </c>
      <c r="HH715" s="27" t="s">
        <v>7</v>
      </c>
      <c r="HI715" s="27" t="s">
        <v>8</v>
      </c>
      <c r="HJ715" s="27" t="s">
        <v>7</v>
      </c>
    </row>
    <row r="716" spans="1:224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H716" s="27" t="s">
        <v>7</v>
      </c>
      <c r="I716" s="27" t="s">
        <v>8</v>
      </c>
      <c r="J716" s="27" t="s">
        <v>7</v>
      </c>
      <c r="CK716" s="27" t="s">
        <v>8</v>
      </c>
      <c r="CL716" s="27" t="s">
        <v>7</v>
      </c>
      <c r="CY716" s="27" t="s">
        <v>8</v>
      </c>
      <c r="DB716" s="27" t="s">
        <v>7</v>
      </c>
      <c r="DC716" s="27" t="s">
        <v>8</v>
      </c>
      <c r="EH716" s="27" t="s">
        <v>7</v>
      </c>
      <c r="EI716" s="27" t="s">
        <v>8</v>
      </c>
      <c r="EJ716" s="27" t="s">
        <v>7</v>
      </c>
      <c r="FO716" s="27" t="s">
        <v>8</v>
      </c>
      <c r="FQ716" s="27" t="s">
        <v>8</v>
      </c>
      <c r="FW716" s="27" t="s">
        <v>8</v>
      </c>
      <c r="FX716" s="27" t="s">
        <v>7</v>
      </c>
      <c r="FY716" s="27" t="s">
        <v>8</v>
      </c>
      <c r="GD716" s="27" t="s">
        <v>7</v>
      </c>
      <c r="GO716" s="27" t="s">
        <v>8</v>
      </c>
      <c r="GP716" s="27" t="s">
        <v>7</v>
      </c>
      <c r="GQ716" s="27" t="s">
        <v>8</v>
      </c>
      <c r="GR716" s="27" t="s">
        <v>7</v>
      </c>
      <c r="GS716" s="27" t="s">
        <v>8</v>
      </c>
      <c r="GT716" s="27" t="s">
        <v>7</v>
      </c>
      <c r="GU716" s="27" t="s">
        <v>8</v>
      </c>
      <c r="GZ716" s="27" t="s">
        <v>7</v>
      </c>
      <c r="HA716" s="27" t="s">
        <v>8</v>
      </c>
      <c r="HF716" s="27" t="s">
        <v>7</v>
      </c>
      <c r="HG716" s="27" t="s">
        <v>8</v>
      </c>
      <c r="HH716" s="27" t="s">
        <v>7</v>
      </c>
      <c r="HI716" s="27" t="s">
        <v>8</v>
      </c>
      <c r="HJ716" s="27" t="s">
        <v>7</v>
      </c>
    </row>
    <row r="717" spans="1:224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H717" s="27" t="s">
        <v>7</v>
      </c>
      <c r="I717" s="27" t="s">
        <v>8</v>
      </c>
      <c r="J717" s="27" t="s">
        <v>7</v>
      </c>
      <c r="CK717" s="27" t="s">
        <v>8</v>
      </c>
      <c r="CL717" s="27" t="s">
        <v>7</v>
      </c>
      <c r="CY717" s="27" t="s">
        <v>8</v>
      </c>
      <c r="DB717" s="27" t="s">
        <v>7</v>
      </c>
      <c r="DC717" s="27" t="s">
        <v>8</v>
      </c>
      <c r="EH717" s="27" t="s">
        <v>7</v>
      </c>
      <c r="EI717" s="27" t="s">
        <v>8</v>
      </c>
      <c r="EJ717" s="27" t="s">
        <v>7</v>
      </c>
      <c r="FO717" s="27" t="s">
        <v>8</v>
      </c>
      <c r="FP717" s="27" t="s">
        <v>7</v>
      </c>
      <c r="FQ717" s="27" t="s">
        <v>8</v>
      </c>
      <c r="FR717" s="27" t="s">
        <v>7</v>
      </c>
      <c r="FW717" s="27" t="s">
        <v>8</v>
      </c>
      <c r="FX717" s="27" t="s">
        <v>7</v>
      </c>
      <c r="FY717" s="27" t="s">
        <v>8</v>
      </c>
      <c r="GD717" s="27" t="s">
        <v>7</v>
      </c>
      <c r="GM717" s="27" t="s">
        <v>8</v>
      </c>
      <c r="GO717" s="27" t="s">
        <v>8</v>
      </c>
      <c r="GP717" s="27" t="s">
        <v>7</v>
      </c>
      <c r="GQ717" s="27" t="s">
        <v>8</v>
      </c>
      <c r="GR717" s="27" t="s">
        <v>7</v>
      </c>
      <c r="GS717" s="27" t="s">
        <v>8</v>
      </c>
      <c r="GT717" s="27" t="s">
        <v>7</v>
      </c>
      <c r="GU717" s="27" t="s">
        <v>8</v>
      </c>
      <c r="GZ717" s="27" t="s">
        <v>7</v>
      </c>
      <c r="HA717" s="27" t="s">
        <v>8</v>
      </c>
      <c r="HF717" s="27" t="s">
        <v>7</v>
      </c>
      <c r="HH717" s="27" t="s">
        <v>7</v>
      </c>
      <c r="HI717" s="27" t="s">
        <v>8</v>
      </c>
      <c r="HJ717" s="27" t="s">
        <v>7</v>
      </c>
      <c r="HM717" s="27" t="s">
        <v>8</v>
      </c>
    </row>
    <row r="718" spans="1:224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H718" s="27" t="s">
        <v>7</v>
      </c>
      <c r="I718" s="27" t="s">
        <v>8</v>
      </c>
      <c r="J718" s="27" t="s">
        <v>7</v>
      </c>
      <c r="CK718" s="27" t="s">
        <v>8</v>
      </c>
      <c r="CL718" s="27" t="s">
        <v>7</v>
      </c>
      <c r="CW718" s="27" t="s">
        <v>8</v>
      </c>
      <c r="CY718" s="27" t="s">
        <v>8</v>
      </c>
      <c r="DB718" s="27" t="s">
        <v>7</v>
      </c>
      <c r="DC718" s="27" t="s">
        <v>8</v>
      </c>
      <c r="EH718" s="27" t="s">
        <v>7</v>
      </c>
      <c r="EI718" s="27" t="s">
        <v>8</v>
      </c>
      <c r="EJ718" s="27" t="s">
        <v>7</v>
      </c>
      <c r="EK718" s="27" t="s">
        <v>8</v>
      </c>
      <c r="EM718" s="27" t="s">
        <v>8</v>
      </c>
      <c r="FO718" s="27" t="s">
        <v>8</v>
      </c>
      <c r="FP718" s="27" t="s">
        <v>7</v>
      </c>
      <c r="FQ718" s="27" t="s">
        <v>8</v>
      </c>
      <c r="FR718" s="27" t="s">
        <v>7</v>
      </c>
      <c r="FS718" s="27" t="s">
        <v>8</v>
      </c>
      <c r="FU718" s="27" t="s">
        <v>8</v>
      </c>
      <c r="FW718" s="27" t="s">
        <v>8</v>
      </c>
      <c r="FX718" s="27" t="s">
        <v>7</v>
      </c>
      <c r="FY718" s="27" t="s">
        <v>8</v>
      </c>
      <c r="GD718" s="27" t="s">
        <v>7</v>
      </c>
      <c r="GE718" s="27" t="s">
        <v>8</v>
      </c>
      <c r="GM718" s="27" t="s">
        <v>8</v>
      </c>
      <c r="GN718" s="27" t="s">
        <v>7</v>
      </c>
      <c r="GO718" s="27" t="s">
        <v>8</v>
      </c>
      <c r="GP718" s="27" t="s">
        <v>7</v>
      </c>
      <c r="GQ718" s="27" t="s">
        <v>8</v>
      </c>
      <c r="GR718" s="27" t="s">
        <v>7</v>
      </c>
      <c r="GT718" s="27" t="s">
        <v>7</v>
      </c>
      <c r="GZ718" s="27" t="s">
        <v>7</v>
      </c>
      <c r="HA718" s="27" t="s">
        <v>8</v>
      </c>
      <c r="HH718" s="27" t="s">
        <v>7</v>
      </c>
      <c r="HI718" s="27" t="s">
        <v>8</v>
      </c>
      <c r="HJ718" s="27" t="s">
        <v>7</v>
      </c>
      <c r="HK718" s="27" t="s">
        <v>8</v>
      </c>
      <c r="HM718" s="27" t="s">
        <v>8</v>
      </c>
      <c r="HN718" s="27" t="s">
        <v>7</v>
      </c>
      <c r="HO718" s="27" t="s">
        <v>8</v>
      </c>
    </row>
    <row r="719" spans="1:224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H719" s="27" t="s">
        <v>7</v>
      </c>
      <c r="I719" s="27" t="s">
        <v>8</v>
      </c>
      <c r="J719" s="27" t="s">
        <v>7</v>
      </c>
      <c r="CK719" s="27" t="s">
        <v>8</v>
      </c>
      <c r="CL719" s="27" t="s">
        <v>7</v>
      </c>
      <c r="CW719" s="27" t="s">
        <v>8</v>
      </c>
      <c r="CX719" s="27" t="s">
        <v>7</v>
      </c>
      <c r="CY719" s="27" t="s">
        <v>8</v>
      </c>
      <c r="DB719" s="27" t="s">
        <v>7</v>
      </c>
      <c r="EH719" s="27" t="s">
        <v>7</v>
      </c>
      <c r="EI719" s="27" t="s">
        <v>8</v>
      </c>
      <c r="EJ719" s="27" t="s">
        <v>7</v>
      </c>
      <c r="EK719" s="27" t="s">
        <v>8</v>
      </c>
      <c r="EL719" s="27" t="s">
        <v>7</v>
      </c>
      <c r="EM719" s="27" t="s">
        <v>8</v>
      </c>
      <c r="EN719" s="27" t="s">
        <v>7</v>
      </c>
      <c r="EQ719" s="27" t="s">
        <v>8</v>
      </c>
      <c r="FO719" s="27" t="s">
        <v>8</v>
      </c>
      <c r="FP719" s="27" t="s">
        <v>7</v>
      </c>
      <c r="FQ719" s="27" t="s">
        <v>8</v>
      </c>
      <c r="FR719" s="27" t="s">
        <v>7</v>
      </c>
      <c r="FS719" s="27" t="s">
        <v>8</v>
      </c>
      <c r="FT719" s="27" t="s">
        <v>7</v>
      </c>
      <c r="FU719" s="27" t="s">
        <v>8</v>
      </c>
      <c r="FV719" s="27" t="s">
        <v>7</v>
      </c>
      <c r="FW719" s="27" t="s">
        <v>8</v>
      </c>
      <c r="FX719" s="27" t="s">
        <v>7</v>
      </c>
      <c r="FY719" s="27" t="s">
        <v>8</v>
      </c>
      <c r="GD719" s="27" t="s">
        <v>7</v>
      </c>
      <c r="GE719" s="27" t="s">
        <v>8</v>
      </c>
      <c r="GF719" s="27" t="s">
        <v>7</v>
      </c>
      <c r="GM719" s="27" t="s">
        <v>8</v>
      </c>
      <c r="GN719" s="27" t="s">
        <v>7</v>
      </c>
      <c r="GO719" s="27" t="s">
        <v>8</v>
      </c>
      <c r="GP719" s="27" t="s">
        <v>7</v>
      </c>
      <c r="GZ719" s="27" t="s">
        <v>7</v>
      </c>
      <c r="HA719" s="27" t="s">
        <v>8</v>
      </c>
      <c r="HH719" s="27" t="s">
        <v>7</v>
      </c>
      <c r="HJ719" s="27" t="s">
        <v>7</v>
      </c>
      <c r="HK719" s="27" t="s">
        <v>8</v>
      </c>
      <c r="HL719" s="27" t="s">
        <v>7</v>
      </c>
      <c r="HM719" s="27" t="s">
        <v>8</v>
      </c>
      <c r="HN719" s="27" t="s">
        <v>7</v>
      </c>
      <c r="HO719" s="27" t="s">
        <v>8</v>
      </c>
      <c r="HP719" s="27" t="s">
        <v>7</v>
      </c>
    </row>
    <row r="720" spans="1:224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H720" s="27" t="s">
        <v>7</v>
      </c>
      <c r="I720" s="27" t="s">
        <v>8</v>
      </c>
      <c r="J720" s="27" t="s">
        <v>7</v>
      </c>
      <c r="S720" s="27" t="s">
        <v>8</v>
      </c>
      <c r="CK720" s="27" t="s">
        <v>8</v>
      </c>
      <c r="CL720" s="27" t="s">
        <v>7</v>
      </c>
      <c r="CW720" s="27" t="s">
        <v>8</v>
      </c>
      <c r="CX720" s="27" t="s">
        <v>7</v>
      </c>
      <c r="CY720" s="27" t="s">
        <v>8</v>
      </c>
      <c r="EH720" s="27" t="s">
        <v>7</v>
      </c>
      <c r="EI720" s="27" t="s">
        <v>8</v>
      </c>
      <c r="EJ720" s="27" t="s">
        <v>7</v>
      </c>
      <c r="EK720" s="27" t="s">
        <v>8</v>
      </c>
      <c r="EL720" s="27" t="s">
        <v>7</v>
      </c>
      <c r="EM720" s="27" t="s">
        <v>8</v>
      </c>
      <c r="EN720" s="27" t="s">
        <v>7</v>
      </c>
      <c r="EQ720" s="27" t="s">
        <v>8</v>
      </c>
      <c r="ER720" s="27" t="s">
        <v>7</v>
      </c>
      <c r="FM720" s="27" t="s">
        <v>8</v>
      </c>
      <c r="FO720" s="27" t="s">
        <v>8</v>
      </c>
      <c r="FP720" s="27" t="s">
        <v>7</v>
      </c>
      <c r="FQ720" s="27" t="s">
        <v>8</v>
      </c>
      <c r="FR720" s="27" t="s">
        <v>7</v>
      </c>
      <c r="FS720" s="27" t="s">
        <v>8</v>
      </c>
      <c r="FT720" s="27" t="s">
        <v>7</v>
      </c>
      <c r="FU720" s="27" t="s">
        <v>8</v>
      </c>
      <c r="FV720" s="27" t="s">
        <v>7</v>
      </c>
      <c r="FW720" s="27" t="s">
        <v>8</v>
      </c>
      <c r="FX720" s="27" t="s">
        <v>7</v>
      </c>
      <c r="FY720" s="27" t="s">
        <v>8</v>
      </c>
      <c r="GD720" s="27" t="s">
        <v>7</v>
      </c>
      <c r="GE720" s="27" t="s">
        <v>8</v>
      </c>
      <c r="GF720" s="27" t="s">
        <v>7</v>
      </c>
      <c r="GM720" s="27" t="s">
        <v>8</v>
      </c>
      <c r="GN720" s="27" t="s">
        <v>7</v>
      </c>
      <c r="GZ720" s="27" t="s">
        <v>7</v>
      </c>
      <c r="HA720" s="27" t="s">
        <v>8</v>
      </c>
      <c r="HJ720" s="27" t="s">
        <v>7</v>
      </c>
      <c r="HK720" s="27" t="s">
        <v>8</v>
      </c>
      <c r="HL720" s="27" t="s">
        <v>7</v>
      </c>
      <c r="HM720" s="27" t="s">
        <v>8</v>
      </c>
      <c r="HN720" s="27" t="s">
        <v>7</v>
      </c>
      <c r="HO720" s="27" t="s">
        <v>8</v>
      </c>
      <c r="HP720" s="27" t="s">
        <v>7</v>
      </c>
    </row>
    <row r="721" spans="1:234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H721" s="27" t="s">
        <v>7</v>
      </c>
      <c r="I721" s="27" t="s">
        <v>8</v>
      </c>
      <c r="J721" s="27" t="s">
        <v>7</v>
      </c>
      <c r="S721" s="27" t="s">
        <v>8</v>
      </c>
      <c r="T721" s="27" t="s">
        <v>7</v>
      </c>
      <c r="CK721" s="27" t="s">
        <v>8</v>
      </c>
      <c r="CL721" s="27" t="s">
        <v>7</v>
      </c>
      <c r="CW721" s="27" t="s">
        <v>8</v>
      </c>
      <c r="CX721" s="27" t="s">
        <v>7</v>
      </c>
      <c r="CY721" s="27" t="s">
        <v>8</v>
      </c>
      <c r="EH721" s="27" t="s">
        <v>7</v>
      </c>
      <c r="EI721" s="27" t="s">
        <v>8</v>
      </c>
      <c r="EJ721" s="27" t="s">
        <v>7</v>
      </c>
      <c r="EK721" s="27" t="s">
        <v>8</v>
      </c>
      <c r="EL721" s="27" t="s">
        <v>7</v>
      </c>
      <c r="EM721" s="27" t="s">
        <v>8</v>
      </c>
      <c r="EN721" s="27" t="s">
        <v>7</v>
      </c>
      <c r="EO721" s="27" t="s">
        <v>8</v>
      </c>
      <c r="EQ721" s="27" t="s">
        <v>8</v>
      </c>
      <c r="ER721" s="27" t="s">
        <v>7</v>
      </c>
      <c r="FM721" s="27" t="s">
        <v>8</v>
      </c>
      <c r="FN721" s="27" t="s">
        <v>7</v>
      </c>
      <c r="FO721" s="27" t="s">
        <v>8</v>
      </c>
      <c r="FP721" s="27" t="s">
        <v>7</v>
      </c>
      <c r="FQ721" s="27" t="s">
        <v>8</v>
      </c>
      <c r="FR721" s="27" t="s">
        <v>7</v>
      </c>
      <c r="FS721" s="27" t="s">
        <v>8</v>
      </c>
      <c r="FT721" s="27" t="s">
        <v>7</v>
      </c>
      <c r="FU721" s="27" t="s">
        <v>8</v>
      </c>
      <c r="FV721" s="27" t="s">
        <v>7</v>
      </c>
      <c r="FX721" s="27" t="s">
        <v>7</v>
      </c>
      <c r="GD721" s="27" t="s">
        <v>7</v>
      </c>
      <c r="GE721" s="27" t="s">
        <v>8</v>
      </c>
      <c r="GF721" s="27" t="s">
        <v>7</v>
      </c>
      <c r="GK721" s="27" t="s">
        <v>8</v>
      </c>
      <c r="GM721" s="27" t="s">
        <v>8</v>
      </c>
      <c r="GZ721" s="27" t="s">
        <v>7</v>
      </c>
      <c r="HJ721" s="27" t="s">
        <v>7</v>
      </c>
      <c r="HL721" s="27" t="s">
        <v>7</v>
      </c>
      <c r="HN721" s="27" t="s">
        <v>7</v>
      </c>
      <c r="HO721" s="27" t="s">
        <v>8</v>
      </c>
      <c r="HP721" s="27" t="s">
        <v>7</v>
      </c>
    </row>
    <row r="722" spans="1:234" x14ac:dyDescent="0.25">
      <c r="A722" s="7">
        <v>6.9020295152790956E-2</v>
      </c>
      <c r="B722"/>
      <c r="C722"/>
      <c r="D722"/>
      <c r="E722"/>
      <c r="F722" s="27" t="s">
        <v>7</v>
      </c>
      <c r="H722" s="27" t="s">
        <v>7</v>
      </c>
      <c r="J722" s="27" t="s">
        <v>7</v>
      </c>
      <c r="S722" s="27" t="s">
        <v>8</v>
      </c>
      <c r="T722" s="27" t="s">
        <v>7</v>
      </c>
      <c r="CK722" s="27" t="s">
        <v>8</v>
      </c>
      <c r="CL722" s="27" t="s">
        <v>7</v>
      </c>
      <c r="CW722" s="27" t="s">
        <v>8</v>
      </c>
      <c r="CX722" s="27" t="s">
        <v>7</v>
      </c>
      <c r="CY722" s="27" t="s">
        <v>8</v>
      </c>
      <c r="EH722" s="27" t="s">
        <v>7</v>
      </c>
      <c r="EI722" s="27" t="s">
        <v>8</v>
      </c>
      <c r="EJ722" s="27" t="s">
        <v>7</v>
      </c>
      <c r="EK722" s="27" t="s">
        <v>8</v>
      </c>
      <c r="EL722" s="27" t="s">
        <v>7</v>
      </c>
      <c r="EM722" s="27" t="s">
        <v>8</v>
      </c>
      <c r="EN722" s="27" t="s">
        <v>7</v>
      </c>
      <c r="EO722" s="27" t="s">
        <v>8</v>
      </c>
      <c r="EP722" s="27" t="s">
        <v>7</v>
      </c>
      <c r="EQ722" s="27" t="s">
        <v>8</v>
      </c>
      <c r="ER722" s="27" t="s">
        <v>7</v>
      </c>
      <c r="FK722" s="27" t="s">
        <v>8</v>
      </c>
      <c r="FM722" s="27" t="s">
        <v>8</v>
      </c>
      <c r="FN722" s="27" t="s">
        <v>7</v>
      </c>
      <c r="FO722" s="27" t="s">
        <v>8</v>
      </c>
      <c r="FP722" s="27" t="s">
        <v>7</v>
      </c>
      <c r="FQ722" s="27" t="s">
        <v>8</v>
      </c>
      <c r="FR722" s="27" t="s">
        <v>7</v>
      </c>
      <c r="FT722" s="27" t="s">
        <v>7</v>
      </c>
      <c r="FU722" s="27" t="s">
        <v>8</v>
      </c>
      <c r="GD722" s="27" t="s">
        <v>7</v>
      </c>
      <c r="GE722" s="27" t="s">
        <v>8</v>
      </c>
      <c r="GF722" s="27" t="s">
        <v>7</v>
      </c>
      <c r="GK722" s="27" t="s">
        <v>8</v>
      </c>
      <c r="GL722" s="27" t="s">
        <v>7</v>
      </c>
      <c r="GM722" s="27" t="s">
        <v>8</v>
      </c>
      <c r="HN722" s="27" t="s">
        <v>7</v>
      </c>
      <c r="HO722" s="27" t="s">
        <v>8</v>
      </c>
      <c r="HP722" s="27" t="s">
        <v>7</v>
      </c>
    </row>
    <row r="723" spans="1:234" x14ac:dyDescent="0.25">
      <c r="A723" s="7">
        <v>6.7666956032147993E-2</v>
      </c>
      <c r="B723"/>
      <c r="C723"/>
      <c r="D723"/>
      <c r="E723"/>
      <c r="J723" s="27" t="s">
        <v>7</v>
      </c>
      <c r="S723" s="27" t="s">
        <v>8</v>
      </c>
      <c r="T723" s="27" t="s">
        <v>7</v>
      </c>
      <c r="CK723" s="27" t="s">
        <v>8</v>
      </c>
      <c r="CL723" s="27" t="s">
        <v>7</v>
      </c>
      <c r="CW723" s="27" t="s">
        <v>8</v>
      </c>
      <c r="CX723" s="27" t="s">
        <v>7</v>
      </c>
      <c r="CY723" s="27" t="s">
        <v>8</v>
      </c>
      <c r="EH723" s="27" t="s">
        <v>7</v>
      </c>
      <c r="EI723" s="27" t="s">
        <v>8</v>
      </c>
      <c r="EJ723" s="27" t="s">
        <v>7</v>
      </c>
      <c r="EK723" s="27" t="s">
        <v>8</v>
      </c>
      <c r="EL723" s="27" t="s">
        <v>7</v>
      </c>
      <c r="EM723" s="27" t="s">
        <v>8</v>
      </c>
      <c r="EN723" s="27" t="s">
        <v>7</v>
      </c>
      <c r="EO723" s="27" t="s">
        <v>8</v>
      </c>
      <c r="EP723" s="27" t="s">
        <v>7</v>
      </c>
      <c r="EQ723" s="27" t="s">
        <v>8</v>
      </c>
      <c r="ER723" s="27" t="s">
        <v>7</v>
      </c>
      <c r="FK723" s="27" t="s">
        <v>8</v>
      </c>
      <c r="FL723" s="27" t="s">
        <v>7</v>
      </c>
      <c r="FM723" s="27" t="s">
        <v>8</v>
      </c>
      <c r="FN723" s="27" t="s">
        <v>7</v>
      </c>
      <c r="FO723" s="27" t="s">
        <v>8</v>
      </c>
      <c r="FP723" s="27" t="s">
        <v>7</v>
      </c>
      <c r="FQ723" s="27" t="s">
        <v>8</v>
      </c>
      <c r="FT723" s="27" t="s">
        <v>7</v>
      </c>
      <c r="FU723" s="27" t="s">
        <v>8</v>
      </c>
      <c r="GD723" s="27" t="s">
        <v>7</v>
      </c>
      <c r="GE723" s="27" t="s">
        <v>8</v>
      </c>
      <c r="GF723" s="27" t="s">
        <v>7</v>
      </c>
      <c r="GG723" s="27" t="s">
        <v>8</v>
      </c>
      <c r="GK723" s="27" t="s">
        <v>8</v>
      </c>
      <c r="GL723" s="27" t="s">
        <v>7</v>
      </c>
      <c r="GM723" s="27" t="s">
        <v>8</v>
      </c>
      <c r="HN723" s="27" t="s">
        <v>7</v>
      </c>
      <c r="HO723" s="27" t="s">
        <v>8</v>
      </c>
      <c r="HP723" s="27" t="s">
        <v>7</v>
      </c>
    </row>
    <row r="724" spans="1:234" x14ac:dyDescent="0.25">
      <c r="A724" s="7">
        <v>6.6340152972694105E-2</v>
      </c>
      <c r="B724"/>
      <c r="C724"/>
      <c r="D724"/>
      <c r="E724"/>
      <c r="J724" s="27" t="s">
        <v>7</v>
      </c>
      <c r="S724" s="27" t="s">
        <v>8</v>
      </c>
      <c r="T724" s="27" t="s">
        <v>7</v>
      </c>
      <c r="CK724" s="27" t="s">
        <v>8</v>
      </c>
      <c r="CL724" s="27" t="s">
        <v>7</v>
      </c>
      <c r="CW724" s="27" t="s">
        <v>8</v>
      </c>
      <c r="CX724" s="27" t="s">
        <v>7</v>
      </c>
      <c r="CY724" s="27" t="s">
        <v>8</v>
      </c>
      <c r="EH724" s="27" t="s">
        <v>7</v>
      </c>
      <c r="EI724" s="27" t="s">
        <v>8</v>
      </c>
      <c r="EJ724" s="27" t="s">
        <v>7</v>
      </c>
      <c r="EK724" s="27" t="s">
        <v>8</v>
      </c>
      <c r="EL724" s="27" t="s">
        <v>7</v>
      </c>
      <c r="EM724" s="27" t="s">
        <v>8</v>
      </c>
      <c r="EN724" s="27" t="s">
        <v>7</v>
      </c>
      <c r="EP724" s="27" t="s">
        <v>7</v>
      </c>
      <c r="EQ724" s="27" t="s">
        <v>8</v>
      </c>
      <c r="ER724" s="27" t="s">
        <v>7</v>
      </c>
      <c r="FK724" s="27" t="s">
        <v>8</v>
      </c>
      <c r="FL724" s="27" t="s">
        <v>7</v>
      </c>
      <c r="FM724" s="27" t="s">
        <v>8</v>
      </c>
      <c r="FN724" s="27" t="s">
        <v>7</v>
      </c>
      <c r="FP724" s="27" t="s">
        <v>7</v>
      </c>
      <c r="FQ724" s="27" t="s">
        <v>8</v>
      </c>
      <c r="FT724" s="27" t="s">
        <v>7</v>
      </c>
      <c r="GD724" s="27" t="s">
        <v>7</v>
      </c>
      <c r="GE724" s="27" t="s">
        <v>8</v>
      </c>
      <c r="GF724" s="27" t="s">
        <v>7</v>
      </c>
      <c r="GG724" s="27" t="s">
        <v>8</v>
      </c>
      <c r="GH724" s="27" t="s">
        <v>7</v>
      </c>
      <c r="GK724" s="27" t="s">
        <v>8</v>
      </c>
      <c r="GL724" s="27" t="s">
        <v>7</v>
      </c>
      <c r="HN724" s="27" t="s">
        <v>7</v>
      </c>
      <c r="HO724" s="27" t="s">
        <v>8</v>
      </c>
      <c r="HP724" s="27" t="s">
        <v>7</v>
      </c>
    </row>
    <row r="725" spans="1:234" x14ac:dyDescent="0.25">
      <c r="A725" s="7">
        <v>6.5039365659504023E-2</v>
      </c>
      <c r="B725"/>
      <c r="C725"/>
      <c r="D725"/>
      <c r="E725"/>
      <c r="J725" s="27" t="s">
        <v>7</v>
      </c>
      <c r="S725" s="27" t="s">
        <v>8</v>
      </c>
      <c r="T725" s="27" t="s">
        <v>7</v>
      </c>
      <c r="CK725" s="27" t="s">
        <v>8</v>
      </c>
      <c r="CL725" s="27" t="s">
        <v>7</v>
      </c>
      <c r="CW725" s="27" t="s">
        <v>8</v>
      </c>
      <c r="CX725" s="27" t="s">
        <v>7</v>
      </c>
      <c r="CY725" s="27" t="s">
        <v>8</v>
      </c>
      <c r="EH725" s="27" t="s">
        <v>7</v>
      </c>
      <c r="EI725" s="27" t="s">
        <v>8</v>
      </c>
      <c r="EJ725" s="27" t="s">
        <v>7</v>
      </c>
      <c r="EK725" s="27" t="s">
        <v>8</v>
      </c>
      <c r="EL725" s="27" t="s">
        <v>7</v>
      </c>
      <c r="EM725" s="27" t="s">
        <v>8</v>
      </c>
      <c r="EP725" s="27" t="s">
        <v>7</v>
      </c>
      <c r="EQ725" s="27" t="s">
        <v>8</v>
      </c>
      <c r="ER725" s="27" t="s">
        <v>7</v>
      </c>
      <c r="FK725" s="27" t="s">
        <v>8</v>
      </c>
      <c r="FL725" s="27" t="s">
        <v>7</v>
      </c>
      <c r="FM725" s="27" t="s">
        <v>8</v>
      </c>
      <c r="FP725" s="27" t="s">
        <v>7</v>
      </c>
      <c r="FQ725" s="27" t="s">
        <v>8</v>
      </c>
      <c r="GD725" s="27" t="s">
        <v>7</v>
      </c>
      <c r="GF725" s="27" t="s">
        <v>7</v>
      </c>
      <c r="GG725" s="27" t="s">
        <v>8</v>
      </c>
      <c r="GH725" s="27" t="s">
        <v>7</v>
      </c>
      <c r="GI725" s="27" t="s">
        <v>8</v>
      </c>
      <c r="GK725" s="27" t="s">
        <v>8</v>
      </c>
      <c r="HN725" s="27" t="s">
        <v>7</v>
      </c>
      <c r="HO725" s="27" t="s">
        <v>8</v>
      </c>
      <c r="HP725" s="27" t="s">
        <v>7</v>
      </c>
    </row>
    <row r="726" spans="1:234" x14ac:dyDescent="0.25">
      <c r="A726" s="7">
        <v>6.3764083979905906E-2</v>
      </c>
      <c r="B726"/>
      <c r="C726"/>
      <c r="D726"/>
      <c r="E726"/>
      <c r="J726" s="27" t="s">
        <v>7</v>
      </c>
      <c r="K726" s="27" t="s">
        <v>8</v>
      </c>
      <c r="Q726" s="27" t="s">
        <v>8</v>
      </c>
      <c r="S726" s="27" t="s">
        <v>8</v>
      </c>
      <c r="T726" s="27" t="s">
        <v>7</v>
      </c>
      <c r="CK726" s="27" t="s">
        <v>8</v>
      </c>
      <c r="CL726" s="27" t="s">
        <v>7</v>
      </c>
      <c r="CW726" s="27" t="s">
        <v>8</v>
      </c>
      <c r="CX726" s="27" t="s">
        <v>7</v>
      </c>
      <c r="CY726" s="27" t="s">
        <v>8</v>
      </c>
      <c r="EH726" s="27" t="s">
        <v>7</v>
      </c>
      <c r="EI726" s="27" t="s">
        <v>8</v>
      </c>
      <c r="EJ726" s="27" t="s">
        <v>7</v>
      </c>
      <c r="EK726" s="27" t="s">
        <v>8</v>
      </c>
      <c r="EL726" s="27" t="s">
        <v>7</v>
      </c>
      <c r="EM726" s="27" t="s">
        <v>8</v>
      </c>
      <c r="EP726" s="27" t="s">
        <v>7</v>
      </c>
      <c r="EQ726" s="27" t="s">
        <v>8</v>
      </c>
      <c r="ER726" s="27" t="s">
        <v>7</v>
      </c>
      <c r="FK726" s="27" t="s">
        <v>8</v>
      </c>
      <c r="FL726" s="27" t="s">
        <v>7</v>
      </c>
      <c r="FM726" s="27" t="s">
        <v>8</v>
      </c>
      <c r="FP726" s="27" t="s">
        <v>7</v>
      </c>
      <c r="GF726" s="27" t="s">
        <v>7</v>
      </c>
      <c r="GH726" s="27" t="s">
        <v>7</v>
      </c>
      <c r="GI726" s="27" t="s">
        <v>8</v>
      </c>
      <c r="GJ726" s="27" t="s">
        <v>7</v>
      </c>
      <c r="GK726" s="27" t="s">
        <v>8</v>
      </c>
      <c r="HN726" s="27" t="s">
        <v>7</v>
      </c>
      <c r="HO726" s="27" t="s">
        <v>8</v>
      </c>
      <c r="HP726" s="27" t="s">
        <v>7</v>
      </c>
    </row>
    <row r="727" spans="1:234" x14ac:dyDescent="0.25">
      <c r="A727" s="7">
        <v>6.251380782343717E-2</v>
      </c>
      <c r="B727"/>
      <c r="C727"/>
      <c r="D727"/>
      <c r="E727"/>
      <c r="J727" s="27" t="s">
        <v>7</v>
      </c>
      <c r="K727" s="27" t="s">
        <v>8</v>
      </c>
      <c r="L727" s="27" t="s">
        <v>7</v>
      </c>
      <c r="Q727" s="27" t="s">
        <v>8</v>
      </c>
      <c r="R727" s="27" t="s">
        <v>7</v>
      </c>
      <c r="S727" s="27" t="s">
        <v>8</v>
      </c>
      <c r="T727" s="27" t="s">
        <v>7</v>
      </c>
      <c r="CK727" s="27" t="s">
        <v>8</v>
      </c>
      <c r="CL727" s="27" t="s">
        <v>7</v>
      </c>
      <c r="CW727" s="27" t="s">
        <v>8</v>
      </c>
      <c r="CX727" s="27" t="s">
        <v>7</v>
      </c>
      <c r="EH727" s="27" t="s">
        <v>7</v>
      </c>
      <c r="EI727" s="27" t="s">
        <v>8</v>
      </c>
      <c r="EJ727" s="27" t="s">
        <v>7</v>
      </c>
      <c r="EK727" s="27" t="s">
        <v>8</v>
      </c>
      <c r="EL727" s="27" t="s">
        <v>7</v>
      </c>
      <c r="EM727" s="27" t="s">
        <v>8</v>
      </c>
      <c r="EP727" s="27" t="s">
        <v>7</v>
      </c>
      <c r="EQ727" s="27" t="s">
        <v>8</v>
      </c>
      <c r="ER727" s="27" t="s">
        <v>7</v>
      </c>
      <c r="ES727" s="27" t="s">
        <v>8</v>
      </c>
      <c r="FK727" s="27" t="s">
        <v>8</v>
      </c>
      <c r="FL727" s="27" t="s">
        <v>7</v>
      </c>
      <c r="FM727" s="27" t="s">
        <v>8</v>
      </c>
      <c r="GH727" s="27" t="s">
        <v>7</v>
      </c>
      <c r="GI727" s="27" t="s">
        <v>8</v>
      </c>
      <c r="GJ727" s="27" t="s">
        <v>7</v>
      </c>
      <c r="GK727" s="27" t="s">
        <v>8</v>
      </c>
      <c r="HN727" s="27" t="s">
        <v>7</v>
      </c>
      <c r="HO727" s="27" t="s">
        <v>8</v>
      </c>
      <c r="HP727" s="27" t="s">
        <v>7</v>
      </c>
    </row>
    <row r="728" spans="1:234" x14ac:dyDescent="0.25">
      <c r="A728" s="7">
        <v>6.1288046885722716E-2</v>
      </c>
      <c r="B728"/>
      <c r="C728"/>
      <c r="D728"/>
      <c r="E728"/>
      <c r="J728" s="27" t="s">
        <v>7</v>
      </c>
      <c r="K728" s="27" t="s">
        <v>8</v>
      </c>
      <c r="L728" s="27" t="s">
        <v>7</v>
      </c>
      <c r="Q728" s="27" t="s">
        <v>8</v>
      </c>
      <c r="R728" s="27" t="s">
        <v>7</v>
      </c>
      <c r="S728" s="27" t="s">
        <v>8</v>
      </c>
      <c r="T728" s="27" t="s">
        <v>7</v>
      </c>
      <c r="CK728" s="27" t="s">
        <v>8</v>
      </c>
      <c r="CL728" s="27" t="s">
        <v>7</v>
      </c>
      <c r="CW728" s="27" t="s">
        <v>8</v>
      </c>
      <c r="EH728" s="27" t="s">
        <v>7</v>
      </c>
      <c r="EI728" s="27" t="s">
        <v>8</v>
      </c>
      <c r="EJ728" s="27" t="s">
        <v>7</v>
      </c>
      <c r="EK728" s="27" t="s">
        <v>8</v>
      </c>
      <c r="EL728" s="27" t="s">
        <v>7</v>
      </c>
      <c r="EM728" s="27" t="s">
        <v>8</v>
      </c>
      <c r="EP728" s="27" t="s">
        <v>7</v>
      </c>
      <c r="EQ728" s="27" t="s">
        <v>8</v>
      </c>
      <c r="ER728" s="27" t="s">
        <v>7</v>
      </c>
      <c r="ES728" s="27" t="s">
        <v>8</v>
      </c>
      <c r="ET728" s="27" t="s">
        <v>7</v>
      </c>
      <c r="FK728" s="27" t="s">
        <v>8</v>
      </c>
      <c r="FL728" s="27" t="s">
        <v>7</v>
      </c>
      <c r="FM728" s="27" t="s">
        <v>8</v>
      </c>
      <c r="GH728" s="27" t="s">
        <v>7</v>
      </c>
      <c r="GI728" s="27" t="s">
        <v>8</v>
      </c>
      <c r="GJ728" s="27" t="s">
        <v>7</v>
      </c>
      <c r="GK728" s="27" t="s">
        <v>8</v>
      </c>
      <c r="HN728" s="27" t="s">
        <v>7</v>
      </c>
      <c r="HO728" s="27" t="s">
        <v>8</v>
      </c>
      <c r="HP728" s="27" t="s">
        <v>7</v>
      </c>
    </row>
    <row r="729" spans="1:234" x14ac:dyDescent="0.25">
      <c r="A729" s="7">
        <v>6.0086320476198739E-2</v>
      </c>
      <c r="B729"/>
      <c r="C729"/>
      <c r="D729"/>
      <c r="E729"/>
      <c r="J729" s="27" t="s">
        <v>7</v>
      </c>
      <c r="K729" s="27" t="s">
        <v>8</v>
      </c>
      <c r="L729" s="27" t="s">
        <v>7</v>
      </c>
      <c r="M729" s="27" t="s">
        <v>8</v>
      </c>
      <c r="Q729" s="27" t="s">
        <v>8</v>
      </c>
      <c r="R729" s="27" t="s">
        <v>7</v>
      </c>
      <c r="S729" s="27" t="s">
        <v>8</v>
      </c>
      <c r="T729" s="27" t="s">
        <v>7</v>
      </c>
      <c r="CK729" s="27" t="s">
        <v>8</v>
      </c>
      <c r="CL729" s="27" t="s">
        <v>7</v>
      </c>
      <c r="CS729" s="27" t="s">
        <v>8</v>
      </c>
      <c r="CW729" s="27" t="s">
        <v>8</v>
      </c>
      <c r="EH729" s="27" t="s">
        <v>7</v>
      </c>
      <c r="EI729" s="27" t="s">
        <v>8</v>
      </c>
      <c r="EJ729" s="27" t="s">
        <v>7</v>
      </c>
      <c r="EK729" s="27" t="s">
        <v>8</v>
      </c>
      <c r="EL729" s="27" t="s">
        <v>7</v>
      </c>
      <c r="EM729" s="27" t="s">
        <v>8</v>
      </c>
      <c r="EP729" s="27" t="s">
        <v>7</v>
      </c>
      <c r="ER729" s="27" t="s">
        <v>7</v>
      </c>
      <c r="ES729" s="27" t="s">
        <v>8</v>
      </c>
      <c r="ET729" s="27" t="s">
        <v>7</v>
      </c>
      <c r="FK729" s="27" t="s">
        <v>8</v>
      </c>
      <c r="FL729" s="27" t="s">
        <v>7</v>
      </c>
      <c r="FM729" s="27" t="s">
        <v>8</v>
      </c>
      <c r="GH729" s="27" t="s">
        <v>7</v>
      </c>
      <c r="GJ729" s="27" t="s">
        <v>7</v>
      </c>
      <c r="GK729" s="27" t="s">
        <v>8</v>
      </c>
      <c r="HN729" s="27" t="s">
        <v>7</v>
      </c>
      <c r="HO729" s="27" t="s">
        <v>8</v>
      </c>
      <c r="HP729" s="27" t="s">
        <v>7</v>
      </c>
      <c r="HQ729" s="27" t="s">
        <v>8</v>
      </c>
      <c r="HU729" s="27" t="s">
        <v>8</v>
      </c>
      <c r="HW729" s="27" t="s">
        <v>8</v>
      </c>
    </row>
    <row r="730" spans="1:234" x14ac:dyDescent="0.25">
      <c r="A730" s="7">
        <v>5.8908157329606609E-2</v>
      </c>
      <c r="B730"/>
      <c r="C730"/>
      <c r="D730"/>
      <c r="E730"/>
      <c r="J730" s="27" t="s">
        <v>7</v>
      </c>
      <c r="K730" s="27" t="s">
        <v>8</v>
      </c>
      <c r="L730" s="27" t="s">
        <v>7</v>
      </c>
      <c r="M730" s="27" t="s">
        <v>8</v>
      </c>
      <c r="N730" s="27" t="s">
        <v>7</v>
      </c>
      <c r="Q730" s="27" t="s">
        <v>8</v>
      </c>
      <c r="R730" s="27" t="s">
        <v>7</v>
      </c>
      <c r="S730" s="27" t="s">
        <v>8</v>
      </c>
      <c r="T730" s="27" t="s">
        <v>7</v>
      </c>
      <c r="CK730" s="27" t="s">
        <v>8</v>
      </c>
      <c r="CL730" s="27" t="s">
        <v>7</v>
      </c>
      <c r="CQ730" s="27" t="s">
        <v>8</v>
      </c>
      <c r="CS730" s="27" t="s">
        <v>8</v>
      </c>
      <c r="CT730" s="27" t="s">
        <v>7</v>
      </c>
      <c r="CU730" s="27" t="s">
        <v>8</v>
      </c>
      <c r="CW730" s="27" t="s">
        <v>8</v>
      </c>
      <c r="EH730" s="27" t="s">
        <v>7</v>
      </c>
      <c r="EI730" s="27" t="s">
        <v>8</v>
      </c>
      <c r="EJ730" s="27" t="s">
        <v>7</v>
      </c>
      <c r="EK730" s="27" t="s">
        <v>8</v>
      </c>
      <c r="EL730" s="27" t="s">
        <v>7</v>
      </c>
      <c r="ER730" s="27" t="s">
        <v>7</v>
      </c>
      <c r="ES730" s="27" t="s">
        <v>8</v>
      </c>
      <c r="ET730" s="27" t="s">
        <v>7</v>
      </c>
      <c r="FK730" s="27" t="s">
        <v>8</v>
      </c>
      <c r="FL730" s="27" t="s">
        <v>7</v>
      </c>
      <c r="FM730" s="27" t="s">
        <v>8</v>
      </c>
      <c r="GJ730" s="27" t="s">
        <v>7</v>
      </c>
      <c r="GK730" s="27" t="s">
        <v>8</v>
      </c>
      <c r="HN730" s="27" t="s">
        <v>7</v>
      </c>
      <c r="HO730" s="27" t="s">
        <v>8</v>
      </c>
      <c r="HP730" s="27" t="s">
        <v>7</v>
      </c>
      <c r="HQ730" s="27" t="s">
        <v>8</v>
      </c>
      <c r="HR730" s="27" t="s">
        <v>7</v>
      </c>
      <c r="HU730" s="27" t="s">
        <v>8</v>
      </c>
      <c r="HV730" s="27" t="s">
        <v>7</v>
      </c>
      <c r="HW730" s="27" t="s">
        <v>8</v>
      </c>
      <c r="HX730" s="27" t="s">
        <v>7</v>
      </c>
    </row>
    <row r="731" spans="1:234" x14ac:dyDescent="0.25">
      <c r="A731" s="7">
        <v>5.7753095421182947E-2</v>
      </c>
      <c r="B731"/>
      <c r="C731"/>
      <c r="D731"/>
      <c r="E731"/>
      <c r="J731" s="27" t="s">
        <v>7</v>
      </c>
      <c r="K731" s="27" t="s">
        <v>8</v>
      </c>
      <c r="L731" s="27" t="s">
        <v>7</v>
      </c>
      <c r="M731" s="27" t="s">
        <v>8</v>
      </c>
      <c r="N731" s="27" t="s">
        <v>7</v>
      </c>
      <c r="O731" s="27" t="s">
        <v>8</v>
      </c>
      <c r="Q731" s="27" t="s">
        <v>8</v>
      </c>
      <c r="R731" s="27" t="s">
        <v>7</v>
      </c>
      <c r="S731" s="27" t="s">
        <v>8</v>
      </c>
      <c r="T731" s="27" t="s">
        <v>7</v>
      </c>
      <c r="CK731" s="27" t="s">
        <v>8</v>
      </c>
      <c r="CL731" s="27" t="s">
        <v>7</v>
      </c>
      <c r="CQ731" s="27" t="s">
        <v>8</v>
      </c>
      <c r="CR731" s="27" t="s">
        <v>7</v>
      </c>
      <c r="CS731" s="27" t="s">
        <v>8</v>
      </c>
      <c r="CT731" s="27" t="s">
        <v>7</v>
      </c>
      <c r="CU731" s="27" t="s">
        <v>8</v>
      </c>
      <c r="CV731" s="27" t="s">
        <v>7</v>
      </c>
      <c r="CW731" s="27" t="s">
        <v>8</v>
      </c>
      <c r="EH731" s="27" t="s">
        <v>7</v>
      </c>
      <c r="EI731" s="27" t="s">
        <v>8</v>
      </c>
      <c r="EJ731" s="27" t="s">
        <v>7</v>
      </c>
      <c r="EK731" s="27" t="s">
        <v>8</v>
      </c>
      <c r="ER731" s="27" t="s">
        <v>7</v>
      </c>
      <c r="ET731" s="27" t="s">
        <v>7</v>
      </c>
      <c r="FK731" s="27" t="s">
        <v>8</v>
      </c>
      <c r="FL731" s="27" t="s">
        <v>7</v>
      </c>
      <c r="FM731" s="27" t="s">
        <v>8</v>
      </c>
      <c r="GJ731" s="27" t="s">
        <v>7</v>
      </c>
      <c r="HN731" s="27" t="s">
        <v>7</v>
      </c>
      <c r="HO731" s="27" t="s">
        <v>8</v>
      </c>
      <c r="HP731" s="27" t="s">
        <v>7</v>
      </c>
      <c r="HQ731" s="27" t="s">
        <v>8</v>
      </c>
      <c r="HR731" s="27" t="s">
        <v>7</v>
      </c>
      <c r="HS731" s="27" t="s">
        <v>8</v>
      </c>
      <c r="HU731" s="27" t="s">
        <v>8</v>
      </c>
      <c r="HV731" s="27" t="s">
        <v>7</v>
      </c>
      <c r="HW731" s="27" t="s">
        <v>8</v>
      </c>
      <c r="HX731" s="27" t="s">
        <v>7</v>
      </c>
    </row>
    <row r="732" spans="1:234" x14ac:dyDescent="0.25">
      <c r="A732" s="7">
        <v>5.6620681785473484E-2</v>
      </c>
      <c r="B732"/>
      <c r="C732"/>
      <c r="D732"/>
      <c r="E732"/>
      <c r="J732" s="27" t="s">
        <v>7</v>
      </c>
      <c r="K732" s="27" t="s">
        <v>8</v>
      </c>
      <c r="L732" s="27" t="s">
        <v>7</v>
      </c>
      <c r="M732" s="27" t="s">
        <v>8</v>
      </c>
      <c r="N732" s="27" t="s">
        <v>7</v>
      </c>
      <c r="O732" s="27" t="s">
        <v>8</v>
      </c>
      <c r="P732" s="27" t="s">
        <v>7</v>
      </c>
      <c r="Q732" s="27" t="s">
        <v>8</v>
      </c>
      <c r="R732" s="27" t="s">
        <v>7</v>
      </c>
      <c r="S732" s="27" t="s">
        <v>8</v>
      </c>
      <c r="T732" s="27" t="s">
        <v>7</v>
      </c>
      <c r="CK732" s="27" t="s">
        <v>8</v>
      </c>
      <c r="CL732" s="27" t="s">
        <v>7</v>
      </c>
      <c r="CQ732" s="27" t="s">
        <v>8</v>
      </c>
      <c r="CR732" s="27" t="s">
        <v>7</v>
      </c>
      <c r="CS732" s="27" t="s">
        <v>8</v>
      </c>
      <c r="CT732" s="27" t="s">
        <v>7</v>
      </c>
      <c r="CU732" s="27" t="s">
        <v>8</v>
      </c>
      <c r="CV732" s="27" t="s">
        <v>7</v>
      </c>
      <c r="CW732" s="27" t="s">
        <v>8</v>
      </c>
      <c r="EH732" s="27" t="s">
        <v>7</v>
      </c>
      <c r="EJ732" s="27" t="s">
        <v>7</v>
      </c>
      <c r="EK732" s="27" t="s">
        <v>8</v>
      </c>
      <c r="ET732" s="27" t="s">
        <v>7</v>
      </c>
      <c r="FI732" s="27" t="s">
        <v>8</v>
      </c>
      <c r="FK732" s="27" t="s">
        <v>8</v>
      </c>
      <c r="FL732" s="27" t="s">
        <v>7</v>
      </c>
      <c r="HN732" s="27" t="s">
        <v>7</v>
      </c>
      <c r="HP732" s="27" t="s">
        <v>7</v>
      </c>
      <c r="HR732" s="27" t="s">
        <v>7</v>
      </c>
      <c r="HS732" s="27" t="s">
        <v>8</v>
      </c>
      <c r="HT732" s="27" t="s">
        <v>7</v>
      </c>
      <c r="HU732" s="27" t="s">
        <v>8</v>
      </c>
      <c r="HV732" s="27" t="s">
        <v>7</v>
      </c>
      <c r="HW732" s="27" t="s">
        <v>8</v>
      </c>
      <c r="HX732" s="27" t="s">
        <v>7</v>
      </c>
    </row>
    <row r="733" spans="1:234" x14ac:dyDescent="0.25">
      <c r="A733" s="7">
        <v>5.5510472338699497E-2</v>
      </c>
      <c r="B733"/>
      <c r="C733"/>
      <c r="D733"/>
      <c r="E733"/>
      <c r="J733" s="27" t="s">
        <v>7</v>
      </c>
      <c r="K733" s="27" t="s">
        <v>8</v>
      </c>
      <c r="L733" s="27" t="s">
        <v>7</v>
      </c>
      <c r="M733" s="27" t="s">
        <v>8</v>
      </c>
      <c r="N733" s="27" t="s">
        <v>7</v>
      </c>
      <c r="O733" s="27" t="s">
        <v>8</v>
      </c>
      <c r="P733" s="27" t="s">
        <v>7</v>
      </c>
      <c r="Q733" s="27" t="s">
        <v>8</v>
      </c>
      <c r="R733" s="27" t="s">
        <v>7</v>
      </c>
      <c r="T733" s="27" t="s">
        <v>7</v>
      </c>
      <c r="CI733" s="27" t="s">
        <v>8</v>
      </c>
      <c r="CK733" s="27" t="s">
        <v>8</v>
      </c>
      <c r="CL733" s="27" t="s">
        <v>7</v>
      </c>
      <c r="CQ733" s="27" t="s">
        <v>8</v>
      </c>
      <c r="CR733" s="27" t="s">
        <v>7</v>
      </c>
      <c r="CS733" s="27" t="s">
        <v>8</v>
      </c>
      <c r="CT733" s="27" t="s">
        <v>7</v>
      </c>
      <c r="CV733" s="27" t="s">
        <v>7</v>
      </c>
      <c r="CW733" s="27" t="s">
        <v>8</v>
      </c>
      <c r="EJ733" s="27" t="s">
        <v>7</v>
      </c>
      <c r="EK733" s="27" t="s">
        <v>8</v>
      </c>
      <c r="ET733" s="27" t="s">
        <v>7</v>
      </c>
      <c r="FA733" s="27" t="s">
        <v>8</v>
      </c>
      <c r="FI733" s="27" t="s">
        <v>8</v>
      </c>
      <c r="FJ733" s="27" t="s">
        <v>7</v>
      </c>
      <c r="FK733" s="27" t="s">
        <v>8</v>
      </c>
      <c r="HR733" s="27" t="s">
        <v>7</v>
      </c>
      <c r="HS733" s="27" t="s">
        <v>8</v>
      </c>
      <c r="HT733" s="27" t="s">
        <v>7</v>
      </c>
      <c r="HU733" s="27" t="s">
        <v>8</v>
      </c>
      <c r="HV733" s="27" t="s">
        <v>7</v>
      </c>
      <c r="HW733" s="27" t="s">
        <v>8</v>
      </c>
      <c r="HX733" s="27" t="s">
        <v>7</v>
      </c>
      <c r="HY733" s="27" t="s">
        <v>8</v>
      </c>
    </row>
    <row r="734" spans="1:234" x14ac:dyDescent="0.25">
      <c r="A734" s="7">
        <v>5.4422031704607354E-2</v>
      </c>
      <c r="B734"/>
      <c r="C734"/>
      <c r="D734"/>
      <c r="E734"/>
      <c r="J734" s="27" t="s">
        <v>7</v>
      </c>
      <c r="K734" s="27" t="s">
        <v>8</v>
      </c>
      <c r="L734" s="27" t="s">
        <v>7</v>
      </c>
      <c r="M734" s="27" t="s">
        <v>8</v>
      </c>
      <c r="N734" s="27" t="s">
        <v>7</v>
      </c>
      <c r="O734" s="27" t="s">
        <v>8</v>
      </c>
      <c r="P734" s="27" t="s">
        <v>7</v>
      </c>
      <c r="T734" s="27" t="s">
        <v>7</v>
      </c>
      <c r="CI734" s="27" t="s">
        <v>8</v>
      </c>
      <c r="CJ734" s="27" t="s">
        <v>7</v>
      </c>
      <c r="CK734" s="27" t="s">
        <v>8</v>
      </c>
      <c r="CL734" s="27" t="s">
        <v>7</v>
      </c>
      <c r="CQ734" s="27" t="s">
        <v>8</v>
      </c>
      <c r="CR734" s="27" t="s">
        <v>7</v>
      </c>
      <c r="CV734" s="27" t="s">
        <v>7</v>
      </c>
      <c r="EJ734" s="27" t="s">
        <v>7</v>
      </c>
      <c r="EK734" s="27" t="s">
        <v>8</v>
      </c>
      <c r="ET734" s="27" t="s">
        <v>7</v>
      </c>
      <c r="EY734" s="27" t="s">
        <v>8</v>
      </c>
      <c r="FA734" s="27" t="s">
        <v>8</v>
      </c>
      <c r="FB734" s="27" t="s">
        <v>7</v>
      </c>
      <c r="FI734" s="27" t="s">
        <v>8</v>
      </c>
      <c r="FJ734" s="27" t="s">
        <v>7</v>
      </c>
      <c r="FK734" s="27" t="s">
        <v>8</v>
      </c>
      <c r="HR734" s="27" t="s">
        <v>7</v>
      </c>
      <c r="HT734" s="27" t="s">
        <v>7</v>
      </c>
      <c r="HU734" s="27" t="s">
        <v>8</v>
      </c>
      <c r="HV734" s="27" t="s">
        <v>7</v>
      </c>
      <c r="HW734" s="27" t="s">
        <v>8</v>
      </c>
      <c r="HX734" s="27" t="s">
        <v>7</v>
      </c>
      <c r="HY734" s="27" t="s">
        <v>8</v>
      </c>
      <c r="HZ734" s="27" t="s">
        <v>7</v>
      </c>
    </row>
    <row r="735" spans="1:234" x14ac:dyDescent="0.25">
      <c r="A735" s="7">
        <v>5.3354933043732705E-2</v>
      </c>
      <c r="B735"/>
      <c r="C735"/>
      <c r="D735"/>
      <c r="E735"/>
      <c r="J735" s="27" t="s">
        <v>7</v>
      </c>
      <c r="K735" s="27" t="s">
        <v>8</v>
      </c>
      <c r="L735" s="27" t="s">
        <v>7</v>
      </c>
      <c r="M735" s="27" t="s">
        <v>8</v>
      </c>
      <c r="N735" s="27" t="s">
        <v>7</v>
      </c>
      <c r="O735" s="27" t="s">
        <v>8</v>
      </c>
      <c r="T735" s="27" t="s">
        <v>7</v>
      </c>
      <c r="CI735" s="27" t="s">
        <v>8</v>
      </c>
      <c r="CJ735" s="27" t="s">
        <v>7</v>
      </c>
      <c r="CK735" s="27" t="s">
        <v>8</v>
      </c>
      <c r="CL735" s="27" t="s">
        <v>7</v>
      </c>
      <c r="CQ735" s="27" t="s">
        <v>8</v>
      </c>
      <c r="EJ735" s="27" t="s">
        <v>7</v>
      </c>
      <c r="EK735" s="27" t="s">
        <v>8</v>
      </c>
      <c r="ET735" s="27" t="s">
        <v>7</v>
      </c>
      <c r="EY735" s="27" t="s">
        <v>8</v>
      </c>
      <c r="EZ735" s="27" t="s">
        <v>7</v>
      </c>
      <c r="FA735" s="27" t="s">
        <v>8</v>
      </c>
      <c r="FB735" s="27" t="s">
        <v>7</v>
      </c>
      <c r="FC735" s="27" t="s">
        <v>8</v>
      </c>
      <c r="FI735" s="27" t="s">
        <v>8</v>
      </c>
      <c r="FJ735" s="27" t="s">
        <v>7</v>
      </c>
      <c r="FK735" s="27" t="s">
        <v>8</v>
      </c>
      <c r="HT735" s="27" t="s">
        <v>7</v>
      </c>
      <c r="HV735" s="27" t="s">
        <v>7</v>
      </c>
      <c r="HX735" s="27" t="s">
        <v>7</v>
      </c>
      <c r="HY735" s="27" t="s">
        <v>8</v>
      </c>
      <c r="HZ735" s="27" t="s">
        <v>7</v>
      </c>
    </row>
    <row r="736" spans="1:234" x14ac:dyDescent="0.25">
      <c r="A736" s="7">
        <v>5.2308757886012455E-2</v>
      </c>
      <c r="B736"/>
      <c r="C736"/>
      <c r="D736"/>
      <c r="E736"/>
      <c r="J736" s="27" t="s">
        <v>7</v>
      </c>
      <c r="K736" s="27" t="s">
        <v>8</v>
      </c>
      <c r="L736" s="27" t="s">
        <v>7</v>
      </c>
      <c r="N736" s="27" t="s">
        <v>7</v>
      </c>
      <c r="O736" s="27" t="s">
        <v>8</v>
      </c>
      <c r="T736" s="27" t="s">
        <v>7</v>
      </c>
      <c r="CI736" s="27" t="s">
        <v>8</v>
      </c>
      <c r="CJ736" s="27" t="s">
        <v>7</v>
      </c>
      <c r="CK736" s="27" t="s">
        <v>8</v>
      </c>
      <c r="CL736" s="27" t="s">
        <v>7</v>
      </c>
      <c r="CQ736" s="27" t="s">
        <v>8</v>
      </c>
      <c r="EJ736" s="27" t="s">
        <v>7</v>
      </c>
      <c r="EK736" s="27" t="s">
        <v>8</v>
      </c>
      <c r="ET736" s="27" t="s">
        <v>7</v>
      </c>
      <c r="EW736" s="27" t="s">
        <v>8</v>
      </c>
      <c r="EY736" s="27" t="s">
        <v>8</v>
      </c>
      <c r="EZ736" s="27" t="s">
        <v>7</v>
      </c>
      <c r="FA736" s="27" t="s">
        <v>8</v>
      </c>
      <c r="FB736" s="27" t="s">
        <v>7</v>
      </c>
      <c r="FC736" s="27" t="s">
        <v>8</v>
      </c>
      <c r="FD736" s="27" t="s">
        <v>7</v>
      </c>
      <c r="FI736" s="27" t="s">
        <v>8</v>
      </c>
      <c r="FJ736" s="27" t="s">
        <v>7</v>
      </c>
      <c r="FK736" s="27" t="s">
        <v>8</v>
      </c>
      <c r="HX736" s="27" t="s">
        <v>7</v>
      </c>
      <c r="HY736" s="27" t="s">
        <v>8</v>
      </c>
      <c r="HZ736" s="27" t="s">
        <v>7</v>
      </c>
    </row>
    <row r="737" spans="1:240" x14ac:dyDescent="0.25">
      <c r="A737" s="7">
        <v>5.1283095966678877E-2</v>
      </c>
      <c r="B737"/>
      <c r="C737"/>
      <c r="D737"/>
      <c r="E737"/>
      <c r="J737" s="27" t="s">
        <v>7</v>
      </c>
      <c r="K737" s="27" t="s">
        <v>8</v>
      </c>
      <c r="N737" s="27" t="s">
        <v>7</v>
      </c>
      <c r="T737" s="27" t="s">
        <v>7</v>
      </c>
      <c r="CI737" s="27" t="s">
        <v>8</v>
      </c>
      <c r="CJ737" s="27" t="s">
        <v>7</v>
      </c>
      <c r="CK737" s="27" t="s">
        <v>8</v>
      </c>
      <c r="CL737" s="27" t="s">
        <v>7</v>
      </c>
      <c r="CM737" s="27" t="s">
        <v>8</v>
      </c>
      <c r="CQ737" s="27" t="s">
        <v>8</v>
      </c>
      <c r="EJ737" s="27" t="s">
        <v>7</v>
      </c>
      <c r="EK737" s="27" t="s">
        <v>8</v>
      </c>
      <c r="ET737" s="27" t="s">
        <v>7</v>
      </c>
      <c r="EW737" s="27" t="s">
        <v>8</v>
      </c>
      <c r="EX737" s="27" t="s">
        <v>7</v>
      </c>
      <c r="EY737" s="27" t="s">
        <v>8</v>
      </c>
      <c r="EZ737" s="27" t="s">
        <v>7</v>
      </c>
      <c r="FB737" s="27" t="s">
        <v>7</v>
      </c>
      <c r="FC737" s="27" t="s">
        <v>8</v>
      </c>
      <c r="FD737" s="27" t="s">
        <v>7</v>
      </c>
      <c r="FI737" s="27" t="s">
        <v>8</v>
      </c>
      <c r="FJ737" s="27" t="s">
        <v>7</v>
      </c>
      <c r="FK737" s="27" t="s">
        <v>8</v>
      </c>
      <c r="HX737" s="27" t="s">
        <v>7</v>
      </c>
      <c r="HY737" s="27" t="s">
        <v>8</v>
      </c>
      <c r="HZ737" s="27" t="s">
        <v>7</v>
      </c>
      <c r="IA737" s="27" t="s">
        <v>8</v>
      </c>
    </row>
    <row r="738" spans="1:240" x14ac:dyDescent="0.25">
      <c r="A738" s="7">
        <v>5.0277545065371444E-2</v>
      </c>
      <c r="B738"/>
      <c r="C738"/>
      <c r="D738"/>
      <c r="E738"/>
      <c r="J738" s="27" t="s">
        <v>7</v>
      </c>
      <c r="K738" s="27" t="s">
        <v>8</v>
      </c>
      <c r="T738" s="27" t="s">
        <v>7</v>
      </c>
      <c r="CI738" s="27" t="s">
        <v>8</v>
      </c>
      <c r="CJ738" s="27" t="s">
        <v>7</v>
      </c>
      <c r="CK738" s="27" t="s">
        <v>8</v>
      </c>
      <c r="CL738" s="27" t="s">
        <v>7</v>
      </c>
      <c r="CM738" s="27" t="s">
        <v>8</v>
      </c>
      <c r="CN738" s="27" t="s">
        <v>7</v>
      </c>
      <c r="CO738" s="27" t="s">
        <v>8</v>
      </c>
      <c r="CQ738" s="27" t="s">
        <v>8</v>
      </c>
      <c r="EJ738" s="27" t="s">
        <v>7</v>
      </c>
      <c r="ET738" s="27" t="s">
        <v>7</v>
      </c>
      <c r="EW738" s="27" t="s">
        <v>8</v>
      </c>
      <c r="EX738" s="27" t="s">
        <v>7</v>
      </c>
      <c r="EY738" s="27" t="s">
        <v>8</v>
      </c>
      <c r="FB738" s="27" t="s">
        <v>7</v>
      </c>
      <c r="FC738" s="27" t="s">
        <v>8</v>
      </c>
      <c r="FD738" s="27" t="s">
        <v>7</v>
      </c>
      <c r="FI738" s="27" t="s">
        <v>8</v>
      </c>
      <c r="FJ738" s="27" t="s">
        <v>7</v>
      </c>
      <c r="FK738" s="27" t="s">
        <v>8</v>
      </c>
      <c r="HX738" s="27" t="s">
        <v>7</v>
      </c>
      <c r="HY738" s="27" t="s">
        <v>8</v>
      </c>
      <c r="HZ738" s="27" t="s">
        <v>7</v>
      </c>
      <c r="IA738" s="27" t="s">
        <v>8</v>
      </c>
      <c r="IB738" s="27" t="s">
        <v>7</v>
      </c>
    </row>
    <row r="739" spans="1:240" x14ac:dyDescent="0.25">
      <c r="A739" s="7">
        <v>4.9291710848403378E-2</v>
      </c>
      <c r="B739"/>
      <c r="C739"/>
      <c r="D739"/>
      <c r="E739"/>
      <c r="J739" s="27" t="s">
        <v>7</v>
      </c>
      <c r="K739" s="27" t="s">
        <v>8</v>
      </c>
      <c r="T739" s="27" t="s">
        <v>7</v>
      </c>
      <c r="CI739" s="27" t="s">
        <v>8</v>
      </c>
      <c r="CJ739" s="27" t="s">
        <v>7</v>
      </c>
      <c r="CK739" s="27" t="s">
        <v>8</v>
      </c>
      <c r="CL739" s="27" t="s">
        <v>7</v>
      </c>
      <c r="CM739" s="27" t="s">
        <v>8</v>
      </c>
      <c r="CN739" s="27" t="s">
        <v>7</v>
      </c>
      <c r="CO739" s="27" t="s">
        <v>8</v>
      </c>
      <c r="CP739" s="27" t="s">
        <v>7</v>
      </c>
      <c r="CQ739" s="27" t="s">
        <v>8</v>
      </c>
      <c r="ET739" s="27" t="s">
        <v>7</v>
      </c>
      <c r="EW739" s="27" t="s">
        <v>8</v>
      </c>
      <c r="EX739" s="27" t="s">
        <v>7</v>
      </c>
      <c r="EY739" s="27" t="s">
        <v>8</v>
      </c>
      <c r="FB739" s="27" t="s">
        <v>7</v>
      </c>
      <c r="FC739" s="27" t="s">
        <v>8</v>
      </c>
      <c r="FD739" s="27" t="s">
        <v>7</v>
      </c>
      <c r="FI739" s="27" t="s">
        <v>8</v>
      </c>
      <c r="FJ739" s="27" t="s">
        <v>7</v>
      </c>
      <c r="HX739" s="27" t="s">
        <v>7</v>
      </c>
      <c r="HY739" s="27" t="s">
        <v>8</v>
      </c>
      <c r="HZ739" s="27" t="s">
        <v>7</v>
      </c>
      <c r="IA739" s="27" t="s">
        <v>8</v>
      </c>
      <c r="IB739" s="27" t="s">
        <v>7</v>
      </c>
    </row>
    <row r="740" spans="1:240" x14ac:dyDescent="0.25">
      <c r="A740" s="7">
        <v>4.8325206714120959E-2</v>
      </c>
      <c r="B740"/>
      <c r="C740"/>
      <c r="D740"/>
      <c r="E740"/>
      <c r="J740" s="27" t="s">
        <v>7</v>
      </c>
      <c r="K740" s="27" t="s">
        <v>8</v>
      </c>
      <c r="T740" s="27" t="s">
        <v>7</v>
      </c>
      <c r="CI740" s="27" t="s">
        <v>8</v>
      </c>
      <c r="CJ740" s="27" t="s">
        <v>7</v>
      </c>
      <c r="CK740" s="27" t="s">
        <v>8</v>
      </c>
      <c r="CL740" s="27" t="s">
        <v>7</v>
      </c>
      <c r="CM740" s="27" t="s">
        <v>8</v>
      </c>
      <c r="CN740" s="27" t="s">
        <v>7</v>
      </c>
      <c r="CO740" s="27" t="s">
        <v>8</v>
      </c>
      <c r="CP740" s="27" t="s">
        <v>7</v>
      </c>
      <c r="CQ740" s="27" t="s">
        <v>8</v>
      </c>
      <c r="ET740" s="27" t="s">
        <v>7</v>
      </c>
      <c r="EU740" s="27" t="s">
        <v>8</v>
      </c>
      <c r="EW740" s="27" t="s">
        <v>8</v>
      </c>
      <c r="EX740" s="27" t="s">
        <v>7</v>
      </c>
      <c r="FB740" s="27" t="s">
        <v>7</v>
      </c>
      <c r="FD740" s="27" t="s">
        <v>7</v>
      </c>
      <c r="FI740" s="27" t="s">
        <v>8</v>
      </c>
      <c r="HX740" s="27" t="s">
        <v>7</v>
      </c>
      <c r="HY740" s="27" t="s">
        <v>8</v>
      </c>
      <c r="HZ740" s="27" t="s">
        <v>7</v>
      </c>
      <c r="IB740" s="27" t="s">
        <v>7</v>
      </c>
    </row>
    <row r="741" spans="1:240" x14ac:dyDescent="0.25">
      <c r="A741" s="7">
        <v>4.7377653641295057E-2</v>
      </c>
      <c r="B741"/>
      <c r="C741"/>
      <c r="D741"/>
      <c r="E741"/>
      <c r="J741" s="27" t="s">
        <v>7</v>
      </c>
      <c r="K741" s="27" t="s">
        <v>8</v>
      </c>
      <c r="T741" s="27" t="s">
        <v>7</v>
      </c>
      <c r="CG741" s="27" t="s">
        <v>8</v>
      </c>
      <c r="CI741" s="27" t="s">
        <v>8</v>
      </c>
      <c r="CJ741" s="27" t="s">
        <v>7</v>
      </c>
      <c r="CK741" s="27" t="s">
        <v>8</v>
      </c>
      <c r="CL741" s="27" t="s">
        <v>7</v>
      </c>
      <c r="CM741" s="27" t="s">
        <v>8</v>
      </c>
      <c r="CN741" s="27" t="s">
        <v>7</v>
      </c>
      <c r="CO741" s="27" t="s">
        <v>8</v>
      </c>
      <c r="CP741" s="27" t="s">
        <v>7</v>
      </c>
      <c r="CQ741" s="27" t="s">
        <v>8</v>
      </c>
      <c r="ET741" s="27" t="s">
        <v>7</v>
      </c>
      <c r="EU741" s="27" t="s">
        <v>8</v>
      </c>
      <c r="EV741" s="27" t="s">
        <v>7</v>
      </c>
      <c r="EW741" s="27" t="s">
        <v>8</v>
      </c>
      <c r="FD741" s="27" t="s">
        <v>7</v>
      </c>
      <c r="FI741" s="27" t="s">
        <v>8</v>
      </c>
      <c r="HX741" s="27" t="s">
        <v>7</v>
      </c>
      <c r="HY741" s="27" t="s">
        <v>8</v>
      </c>
      <c r="IB741" s="27" t="s">
        <v>7</v>
      </c>
    </row>
    <row r="742" spans="1:240" x14ac:dyDescent="0.25">
      <c r="A742" s="7">
        <v>4.644868004048535E-2</v>
      </c>
      <c r="B742"/>
      <c r="C742"/>
      <c r="D742"/>
      <c r="E742"/>
      <c r="J742" s="27" t="s">
        <v>7</v>
      </c>
      <c r="K742" s="27" t="s">
        <v>8</v>
      </c>
      <c r="T742" s="27" t="s">
        <v>7</v>
      </c>
      <c r="CG742" s="27" t="s">
        <v>8</v>
      </c>
      <c r="CH742" s="27" t="s">
        <v>7</v>
      </c>
      <c r="CI742" s="27" t="s">
        <v>8</v>
      </c>
      <c r="CJ742" s="27" t="s">
        <v>7</v>
      </c>
      <c r="CK742" s="27" t="s">
        <v>8</v>
      </c>
      <c r="CL742" s="27" t="s">
        <v>7</v>
      </c>
      <c r="CM742" s="27" t="s">
        <v>8</v>
      </c>
      <c r="CN742" s="27" t="s">
        <v>7</v>
      </c>
      <c r="CO742" s="27" t="s">
        <v>8</v>
      </c>
      <c r="CP742" s="27" t="s">
        <v>7</v>
      </c>
      <c r="CQ742" s="27" t="s">
        <v>8</v>
      </c>
      <c r="ET742" s="27" t="s">
        <v>7</v>
      </c>
      <c r="EU742" s="27" t="s">
        <v>8</v>
      </c>
      <c r="EV742" s="27" t="s">
        <v>7</v>
      </c>
      <c r="EW742" s="27" t="s">
        <v>8</v>
      </c>
      <c r="FD742" s="27" t="s">
        <v>7</v>
      </c>
      <c r="FI742" s="27" t="s">
        <v>8</v>
      </c>
      <c r="HX742" s="27" t="s">
        <v>7</v>
      </c>
      <c r="HY742" s="27" t="s">
        <v>8</v>
      </c>
      <c r="IB742" s="27" t="s">
        <v>7</v>
      </c>
    </row>
    <row r="743" spans="1:240" x14ac:dyDescent="0.25">
      <c r="A743" s="7">
        <v>4.5537921608318974E-2</v>
      </c>
      <c r="B743"/>
      <c r="C743"/>
      <c r="D743"/>
      <c r="E743"/>
      <c r="J743" s="27" t="s">
        <v>7</v>
      </c>
      <c r="K743" s="27" t="s">
        <v>8</v>
      </c>
      <c r="T743" s="27" t="s">
        <v>7</v>
      </c>
      <c r="CG743" s="27" t="s">
        <v>8</v>
      </c>
      <c r="CH743" s="27" t="s">
        <v>7</v>
      </c>
      <c r="CI743" s="27" t="s">
        <v>8</v>
      </c>
      <c r="CJ743" s="27" t="s">
        <v>7</v>
      </c>
      <c r="CK743" s="27" t="s">
        <v>8</v>
      </c>
      <c r="CL743" s="27" t="s">
        <v>7</v>
      </c>
      <c r="CM743" s="27" t="s">
        <v>8</v>
      </c>
      <c r="CN743" s="27" t="s">
        <v>7</v>
      </c>
      <c r="CO743" s="27" t="s">
        <v>8</v>
      </c>
      <c r="CP743" s="27" t="s">
        <v>7</v>
      </c>
      <c r="CQ743" s="27" t="s">
        <v>8</v>
      </c>
      <c r="ET743" s="27" t="s">
        <v>7</v>
      </c>
      <c r="EU743" s="27" t="s">
        <v>8</v>
      </c>
      <c r="EV743" s="27" t="s">
        <v>7</v>
      </c>
      <c r="EW743" s="27" t="s">
        <v>8</v>
      </c>
      <c r="FD743" s="27" t="s">
        <v>7</v>
      </c>
      <c r="FE743" s="27" t="s">
        <v>8</v>
      </c>
      <c r="FG743" s="27" t="s">
        <v>8</v>
      </c>
      <c r="FI743" s="27" t="s">
        <v>8</v>
      </c>
      <c r="HX743" s="27" t="s">
        <v>7</v>
      </c>
      <c r="IB743" s="27" t="s">
        <v>7</v>
      </c>
    </row>
    <row r="744" spans="1:240" x14ac:dyDescent="0.25">
      <c r="A744" s="7">
        <v>4.4645021184626446E-2</v>
      </c>
      <c r="B744"/>
      <c r="C744"/>
      <c r="D744"/>
      <c r="E744"/>
      <c r="J744" s="27" t="s">
        <v>7</v>
      </c>
      <c r="K744" s="27" t="s">
        <v>8</v>
      </c>
      <c r="T744" s="27" t="s">
        <v>7</v>
      </c>
      <c r="W744" s="27" t="s">
        <v>8</v>
      </c>
      <c r="CG744" s="27" t="s">
        <v>8</v>
      </c>
      <c r="CH744" s="27" t="s">
        <v>7</v>
      </c>
      <c r="CI744" s="27" t="s">
        <v>8</v>
      </c>
      <c r="CJ744" s="27" t="s">
        <v>7</v>
      </c>
      <c r="CK744" s="27" t="s">
        <v>8</v>
      </c>
      <c r="CL744" s="27" t="s">
        <v>7</v>
      </c>
      <c r="CM744" s="27" t="s">
        <v>8</v>
      </c>
      <c r="CN744" s="27" t="s">
        <v>7</v>
      </c>
      <c r="CO744" s="27" t="s">
        <v>8</v>
      </c>
      <c r="CP744" s="27" t="s">
        <v>7</v>
      </c>
      <c r="CQ744" s="27" t="s">
        <v>8</v>
      </c>
      <c r="ET744" s="27" t="s">
        <v>7</v>
      </c>
      <c r="EU744" s="27" t="s">
        <v>8</v>
      </c>
      <c r="EV744" s="27" t="s">
        <v>7</v>
      </c>
      <c r="EW744" s="27" t="s">
        <v>8</v>
      </c>
      <c r="FD744" s="27" t="s">
        <v>7</v>
      </c>
      <c r="FE744" s="27" t="s">
        <v>8</v>
      </c>
      <c r="FF744" s="27" t="s">
        <v>7</v>
      </c>
      <c r="FG744" s="27" t="s">
        <v>8</v>
      </c>
      <c r="FH744" s="27" t="s">
        <v>7</v>
      </c>
      <c r="FI744" s="27" t="s">
        <v>8</v>
      </c>
      <c r="IB744" s="27" t="s">
        <v>7</v>
      </c>
      <c r="IE744" s="27" t="s">
        <v>8</v>
      </c>
    </row>
    <row r="745" spans="1:240" x14ac:dyDescent="0.25">
      <c r="A745" s="7">
        <v>4.3769628612378868E-2</v>
      </c>
      <c r="B745"/>
      <c r="C745"/>
      <c r="D745"/>
      <c r="E745"/>
      <c r="J745" s="27" t="s">
        <v>7</v>
      </c>
      <c r="T745" s="27" t="s">
        <v>7</v>
      </c>
      <c r="U745" s="27" t="s">
        <v>8</v>
      </c>
      <c r="W745" s="27" t="s">
        <v>8</v>
      </c>
      <c r="X745" s="27" t="s">
        <v>7</v>
      </c>
      <c r="CG745" s="27" t="s">
        <v>8</v>
      </c>
      <c r="CH745" s="27" t="s">
        <v>7</v>
      </c>
      <c r="CI745" s="27" t="s">
        <v>8</v>
      </c>
      <c r="CJ745" s="27" t="s">
        <v>7</v>
      </c>
      <c r="CK745" s="27" t="s">
        <v>8</v>
      </c>
      <c r="CL745" s="27" t="s">
        <v>7</v>
      </c>
      <c r="CM745" s="27" t="s">
        <v>8</v>
      </c>
      <c r="CN745" s="27" t="s">
        <v>7</v>
      </c>
      <c r="CO745" s="27" t="s">
        <v>8</v>
      </c>
      <c r="CP745" s="27" t="s">
        <v>7</v>
      </c>
      <c r="CQ745" s="27" t="s">
        <v>8</v>
      </c>
      <c r="ET745" s="27" t="s">
        <v>7</v>
      </c>
      <c r="EU745" s="27" t="s">
        <v>8</v>
      </c>
      <c r="EV745" s="27" t="s">
        <v>7</v>
      </c>
      <c r="EW745" s="27" t="s">
        <v>8</v>
      </c>
      <c r="FD745" s="27" t="s">
        <v>7</v>
      </c>
      <c r="FE745" s="27" t="s">
        <v>8</v>
      </c>
      <c r="FF745" s="27" t="s">
        <v>7</v>
      </c>
      <c r="FG745" s="27" t="s">
        <v>8</v>
      </c>
      <c r="FH745" s="27" t="s">
        <v>7</v>
      </c>
      <c r="FI745" s="27" t="s">
        <v>8</v>
      </c>
      <c r="IB745" s="27" t="s">
        <v>7</v>
      </c>
      <c r="IE745" s="27" t="s">
        <v>8</v>
      </c>
      <c r="IF745" s="27" t="s">
        <v>7</v>
      </c>
    </row>
    <row r="746" spans="1:240" x14ac:dyDescent="0.25">
      <c r="A746" s="7">
        <v>4.2911400600371442E-2</v>
      </c>
      <c r="B746"/>
      <c r="C746"/>
      <c r="D746"/>
      <c r="E746"/>
      <c r="T746" s="27" t="s">
        <v>7</v>
      </c>
      <c r="U746" s="27" t="s">
        <v>8</v>
      </c>
      <c r="V746" s="27" t="s">
        <v>7</v>
      </c>
      <c r="W746" s="27" t="s">
        <v>8</v>
      </c>
      <c r="X746" s="27" t="s">
        <v>7</v>
      </c>
      <c r="CG746" s="27" t="s">
        <v>8</v>
      </c>
      <c r="CH746" s="27" t="s">
        <v>7</v>
      </c>
      <c r="CI746" s="27" t="s">
        <v>8</v>
      </c>
      <c r="CJ746" s="27" t="s">
        <v>7</v>
      </c>
      <c r="CK746" s="27" t="s">
        <v>8</v>
      </c>
      <c r="CL746" s="27" t="s">
        <v>7</v>
      </c>
      <c r="CM746" s="27" t="s">
        <v>8</v>
      </c>
      <c r="CN746" s="27" t="s">
        <v>7</v>
      </c>
      <c r="CO746" s="27" t="s">
        <v>8</v>
      </c>
      <c r="CP746" s="27" t="s">
        <v>7</v>
      </c>
      <c r="CQ746" s="27" t="s">
        <v>8</v>
      </c>
      <c r="ET746" s="27" t="s">
        <v>7</v>
      </c>
      <c r="EU746" s="27" t="s">
        <v>8</v>
      </c>
      <c r="EV746" s="27" t="s">
        <v>7</v>
      </c>
      <c r="EW746" s="27" t="s">
        <v>8</v>
      </c>
      <c r="FD746" s="27" t="s">
        <v>7</v>
      </c>
      <c r="FE746" s="27" t="s">
        <v>8</v>
      </c>
      <c r="FF746" s="27" t="s">
        <v>7</v>
      </c>
      <c r="FG746" s="27" t="s">
        <v>8</v>
      </c>
      <c r="FH746" s="27" t="s">
        <v>7</v>
      </c>
      <c r="FI746" s="27" t="s">
        <v>8</v>
      </c>
      <c r="IB746" s="27" t="s">
        <v>7</v>
      </c>
      <c r="IE746" s="27" t="s">
        <v>8</v>
      </c>
      <c r="IF746" s="27" t="s">
        <v>7</v>
      </c>
    </row>
    <row r="747" spans="1:240" x14ac:dyDescent="0.25">
      <c r="A747" s="7">
        <v>4.2070000588599457E-2</v>
      </c>
      <c r="B747"/>
      <c r="C747"/>
      <c r="D747"/>
      <c r="E747"/>
      <c r="T747" s="27" t="s">
        <v>7</v>
      </c>
      <c r="U747" s="27" t="s">
        <v>8</v>
      </c>
      <c r="V747" s="27" t="s">
        <v>7</v>
      </c>
      <c r="W747" s="27" t="s">
        <v>8</v>
      </c>
      <c r="X747" s="27" t="s">
        <v>7</v>
      </c>
      <c r="CG747" s="27" t="s">
        <v>8</v>
      </c>
      <c r="CH747" s="27" t="s">
        <v>7</v>
      </c>
      <c r="CJ747" s="27" t="s">
        <v>7</v>
      </c>
      <c r="CK747" s="27" t="s">
        <v>8</v>
      </c>
      <c r="CL747" s="27" t="s">
        <v>7</v>
      </c>
      <c r="CM747" s="27" t="s">
        <v>8</v>
      </c>
      <c r="CN747" s="27" t="s">
        <v>7</v>
      </c>
      <c r="CP747" s="27" t="s">
        <v>7</v>
      </c>
      <c r="ET747" s="27" t="s">
        <v>7</v>
      </c>
      <c r="EU747" s="27" t="s">
        <v>8</v>
      </c>
      <c r="EV747" s="27" t="s">
        <v>7</v>
      </c>
      <c r="FD747" s="27" t="s">
        <v>7</v>
      </c>
      <c r="FE747" s="27" t="s">
        <v>8</v>
      </c>
      <c r="FF747" s="27" t="s">
        <v>7</v>
      </c>
      <c r="FG747" s="27" t="s">
        <v>8</v>
      </c>
      <c r="FH747" s="27" t="s">
        <v>7</v>
      </c>
      <c r="IB747" s="27" t="s">
        <v>7</v>
      </c>
      <c r="IE747" s="27" t="s">
        <v>8</v>
      </c>
      <c r="IF747" s="27" t="s">
        <v>7</v>
      </c>
    </row>
    <row r="748" spans="1:240" x14ac:dyDescent="0.25">
      <c r="A748" s="7">
        <v>4.1245098616273977E-2</v>
      </c>
      <c r="B748"/>
      <c r="C748"/>
      <c r="D748"/>
      <c r="E748"/>
      <c r="T748" s="27" t="s">
        <v>7</v>
      </c>
      <c r="U748" s="27" t="s">
        <v>8</v>
      </c>
      <c r="V748" s="27" t="s">
        <v>7</v>
      </c>
      <c r="W748" s="27" t="s">
        <v>8</v>
      </c>
      <c r="X748" s="27" t="s">
        <v>7</v>
      </c>
      <c r="Y748" s="27" t="s">
        <v>8</v>
      </c>
      <c r="CG748" s="27" t="s">
        <v>8</v>
      </c>
      <c r="CJ748" s="27" t="s">
        <v>7</v>
      </c>
      <c r="CK748" s="27" t="s">
        <v>8</v>
      </c>
      <c r="CL748" s="27" t="s">
        <v>7</v>
      </c>
      <c r="CM748" s="27" t="s">
        <v>8</v>
      </c>
      <c r="ET748" s="27" t="s">
        <v>7</v>
      </c>
      <c r="EU748" s="27" t="s">
        <v>8</v>
      </c>
      <c r="FD748" s="27" t="s">
        <v>7</v>
      </c>
      <c r="FE748" s="27" t="s">
        <v>8</v>
      </c>
      <c r="FF748" s="27" t="s">
        <v>7</v>
      </c>
      <c r="FG748" s="27" t="s">
        <v>8</v>
      </c>
      <c r="IB748" s="27" t="s">
        <v>7</v>
      </c>
      <c r="IC748" s="27" t="s">
        <v>8</v>
      </c>
      <c r="IE748" s="27" t="s">
        <v>8</v>
      </c>
      <c r="IF748" s="27" t="s">
        <v>7</v>
      </c>
    </row>
    <row r="749" spans="1:240" x14ac:dyDescent="0.25">
      <c r="A749" s="7">
        <v>4.043637119242547E-2</v>
      </c>
      <c r="B749"/>
      <c r="C749"/>
      <c r="D749"/>
      <c r="E749"/>
      <c r="T749" s="27" t="s">
        <v>7</v>
      </c>
      <c r="U749" s="27" t="s">
        <v>8</v>
      </c>
      <c r="V749" s="27" t="s">
        <v>7</v>
      </c>
      <c r="W749" s="27" t="s">
        <v>8</v>
      </c>
      <c r="X749" s="27" t="s">
        <v>7</v>
      </c>
      <c r="Y749" s="27" t="s">
        <v>8</v>
      </c>
      <c r="Z749" s="27" t="s">
        <v>7</v>
      </c>
      <c r="CG749" s="27" t="s">
        <v>8</v>
      </c>
      <c r="CJ749" s="27" t="s">
        <v>7</v>
      </c>
      <c r="CL749" s="27" t="s">
        <v>7</v>
      </c>
      <c r="CM749" s="27" t="s">
        <v>8</v>
      </c>
      <c r="ET749" s="27" t="s">
        <v>7</v>
      </c>
      <c r="EU749" s="27" t="s">
        <v>8</v>
      </c>
      <c r="FD749" s="27" t="s">
        <v>7</v>
      </c>
      <c r="FE749" s="27" t="s">
        <v>8</v>
      </c>
      <c r="FF749" s="27" t="s">
        <v>7</v>
      </c>
      <c r="IB749" s="27" t="s">
        <v>7</v>
      </c>
      <c r="IC749" s="27" t="s">
        <v>8</v>
      </c>
      <c r="ID749" s="27" t="s">
        <v>7</v>
      </c>
      <c r="IE749" s="27" t="s">
        <v>8</v>
      </c>
      <c r="IF749" s="27" t="s">
        <v>7</v>
      </c>
    </row>
    <row r="750" spans="1:240" x14ac:dyDescent="0.25">
      <c r="A750" s="7">
        <v>3.9643501169044582E-2</v>
      </c>
      <c r="B750"/>
      <c r="C750"/>
      <c r="D750"/>
      <c r="E750"/>
      <c r="T750" s="27" t="s">
        <v>7</v>
      </c>
      <c r="U750" s="27" t="s">
        <v>8</v>
      </c>
      <c r="V750" s="27" t="s">
        <v>7</v>
      </c>
      <c r="W750" s="27" t="s">
        <v>8</v>
      </c>
      <c r="X750" s="27" t="s">
        <v>7</v>
      </c>
      <c r="Y750" s="27" t="s">
        <v>8</v>
      </c>
      <c r="Z750" s="27" t="s">
        <v>7</v>
      </c>
      <c r="AA750" s="27" t="s">
        <v>8</v>
      </c>
      <c r="CG750" s="27" t="s">
        <v>8</v>
      </c>
      <c r="CL750" s="27" t="s">
        <v>7</v>
      </c>
      <c r="CM750" s="27" t="s">
        <v>8</v>
      </c>
      <c r="ET750" s="27" t="s">
        <v>7</v>
      </c>
      <c r="EU750" s="27" t="s">
        <v>8</v>
      </c>
      <c r="FD750" s="18" t="s">
        <v>7</v>
      </c>
      <c r="FE750" s="27" t="s">
        <v>8</v>
      </c>
      <c r="IB750" s="27" t="s">
        <v>7</v>
      </c>
      <c r="IC750" s="27" t="s">
        <v>8</v>
      </c>
      <c r="ID750" s="27" t="s">
        <v>7</v>
      </c>
      <c r="IE750" s="27" t="s">
        <v>8</v>
      </c>
      <c r="IF750" s="27" t="s">
        <v>7</v>
      </c>
    </row>
    <row r="751" spans="1:240" x14ac:dyDescent="0.25">
      <c r="A751" s="7">
        <v>3.8866177616710372E-2</v>
      </c>
      <c r="B751"/>
      <c r="C751"/>
      <c r="D751"/>
      <c r="E751"/>
      <c r="T751" s="27" t="s">
        <v>7</v>
      </c>
      <c r="U751" s="27" t="s">
        <v>8</v>
      </c>
      <c r="V751" s="27" t="s">
        <v>7</v>
      </c>
      <c r="W751" s="27" t="s">
        <v>8</v>
      </c>
      <c r="X751" s="27" t="s">
        <v>7</v>
      </c>
      <c r="Y751" s="27" t="s">
        <v>8</v>
      </c>
      <c r="Z751" s="27" t="s">
        <v>7</v>
      </c>
      <c r="AA751" s="27" t="s">
        <v>8</v>
      </c>
      <c r="AB751" s="27" t="s">
        <v>7</v>
      </c>
      <c r="AW751" s="27" t="s">
        <v>8</v>
      </c>
      <c r="CE751" s="27" t="s">
        <v>8</v>
      </c>
      <c r="CG751" s="27" t="s">
        <v>8</v>
      </c>
      <c r="CL751" s="27" t="s">
        <v>7</v>
      </c>
      <c r="CM751" s="27" t="s">
        <v>8</v>
      </c>
      <c r="ET751" s="27" t="s">
        <v>7</v>
      </c>
      <c r="EU751" s="27" t="s">
        <v>8</v>
      </c>
      <c r="FD751" s="27" t="s">
        <v>7</v>
      </c>
      <c r="FE751" s="27" t="s">
        <v>8</v>
      </c>
      <c r="IB751" s="27" t="s">
        <v>7</v>
      </c>
      <c r="IC751" s="27" t="s">
        <v>8</v>
      </c>
      <c r="ID751" s="27" t="s">
        <v>7</v>
      </c>
      <c r="IE751" s="27" t="s">
        <v>8</v>
      </c>
    </row>
    <row r="752" spans="1:240" x14ac:dyDescent="0.25">
      <c r="A752" s="7">
        <v>3.8104095702657229E-2</v>
      </c>
      <c r="B752"/>
      <c r="C752"/>
      <c r="D752"/>
      <c r="E752"/>
      <c r="T752" s="27" t="s">
        <v>7</v>
      </c>
      <c r="U752" s="27" t="s">
        <v>8</v>
      </c>
      <c r="V752" s="27" t="s">
        <v>7</v>
      </c>
      <c r="W752" s="27" t="s">
        <v>8</v>
      </c>
      <c r="X752" s="27" t="s">
        <v>7</v>
      </c>
      <c r="Y752" s="27" t="s">
        <v>8</v>
      </c>
      <c r="Z752" s="27" t="s">
        <v>7</v>
      </c>
      <c r="AA752" s="27" t="s">
        <v>8</v>
      </c>
      <c r="AB752" s="27" t="s">
        <v>7</v>
      </c>
      <c r="AW752" s="27" t="s">
        <v>8</v>
      </c>
      <c r="AX752" s="27" t="s">
        <v>7</v>
      </c>
      <c r="CC752" s="27" t="s">
        <v>8</v>
      </c>
      <c r="CE752" s="27" t="s">
        <v>8</v>
      </c>
      <c r="CF752" s="27" t="s">
        <v>7</v>
      </c>
      <c r="CG752" s="27" t="s">
        <v>8</v>
      </c>
      <c r="CL752" s="27" t="s">
        <v>7</v>
      </c>
      <c r="CM752" s="27" t="s">
        <v>8</v>
      </c>
      <c r="ET752" s="27" t="s">
        <v>7</v>
      </c>
      <c r="EU752" s="27" t="s">
        <v>8</v>
      </c>
      <c r="FD752" s="27" t="s">
        <v>7</v>
      </c>
      <c r="FE752" s="27" t="s">
        <v>8</v>
      </c>
      <c r="IB752" s="27" t="s">
        <v>7</v>
      </c>
      <c r="IC752" s="27" t="s">
        <v>8</v>
      </c>
      <c r="ID752" s="27" t="s">
        <v>7</v>
      </c>
    </row>
    <row r="753" spans="1:237" x14ac:dyDescent="0.25">
      <c r="A753" s="7">
        <v>3.7356956571232579E-2</v>
      </c>
      <c r="B753"/>
      <c r="C753"/>
      <c r="D753"/>
      <c r="E753"/>
      <c r="T753" s="27" t="s">
        <v>7</v>
      </c>
      <c r="U753" s="27" t="s">
        <v>8</v>
      </c>
      <c r="V753" s="27" t="s">
        <v>7</v>
      </c>
      <c r="W753" s="27" t="s">
        <v>8</v>
      </c>
      <c r="X753" s="27" t="s">
        <v>7</v>
      </c>
      <c r="Y753" s="27" t="s">
        <v>8</v>
      </c>
      <c r="Z753" s="27" t="s">
        <v>7</v>
      </c>
      <c r="AB753" s="27" t="s">
        <v>7</v>
      </c>
      <c r="AW753" s="27" t="s">
        <v>8</v>
      </c>
      <c r="AX753" s="27" t="s">
        <v>7</v>
      </c>
      <c r="CA753" s="27" t="s">
        <v>8</v>
      </c>
      <c r="CC753" s="27" t="s">
        <v>8</v>
      </c>
      <c r="CD753" s="27" t="s">
        <v>7</v>
      </c>
      <c r="CE753" s="27" t="s">
        <v>8</v>
      </c>
      <c r="CF753" s="27" t="s">
        <v>7</v>
      </c>
      <c r="CG753" s="27" t="s">
        <v>8</v>
      </c>
      <c r="CL753" s="27" t="s">
        <v>7</v>
      </c>
      <c r="CM753" s="27" t="s">
        <v>8</v>
      </c>
      <c r="ET753" s="27" t="s">
        <v>7</v>
      </c>
      <c r="EU753" s="27" t="s">
        <v>8</v>
      </c>
      <c r="FD753" s="27" t="s">
        <v>7</v>
      </c>
      <c r="FE753" s="27" t="s">
        <v>8</v>
      </c>
      <c r="IB753" s="27" t="s">
        <v>7</v>
      </c>
      <c r="IC753" s="27" t="s">
        <v>8</v>
      </c>
    </row>
    <row r="754" spans="1:237" x14ac:dyDescent="0.25">
      <c r="A754" s="7">
        <v>3.6624467226698605E-2</v>
      </c>
      <c r="B754"/>
      <c r="C754"/>
      <c r="D754"/>
      <c r="E754"/>
      <c r="T754" s="27" t="s">
        <v>7</v>
      </c>
      <c r="U754" s="27" t="s">
        <v>8</v>
      </c>
      <c r="V754" s="27" t="s">
        <v>7</v>
      </c>
      <c r="W754" s="27" t="s">
        <v>8</v>
      </c>
      <c r="X754" s="27" t="s">
        <v>7</v>
      </c>
      <c r="Y754" s="27" t="s">
        <v>8</v>
      </c>
      <c r="AB754" s="27" t="s">
        <v>7</v>
      </c>
      <c r="AW754" s="27" t="s">
        <v>8</v>
      </c>
      <c r="AX754" s="27" t="s">
        <v>7</v>
      </c>
      <c r="CA754" s="27" t="s">
        <v>8</v>
      </c>
      <c r="CB754" s="27" t="s">
        <v>7</v>
      </c>
      <c r="CC754" s="27" t="s">
        <v>8</v>
      </c>
      <c r="CD754" s="27" t="s">
        <v>7</v>
      </c>
      <c r="CE754" s="27" t="s">
        <v>8</v>
      </c>
      <c r="CF754" s="27" t="s">
        <v>7</v>
      </c>
      <c r="CG754" s="27" t="s">
        <v>8</v>
      </c>
      <c r="CL754" s="27" t="s">
        <v>7</v>
      </c>
      <c r="CM754" s="27" t="s">
        <v>8</v>
      </c>
      <c r="ET754" s="27" t="s">
        <v>7</v>
      </c>
      <c r="EU754" s="27" t="s">
        <v>8</v>
      </c>
      <c r="FD754" s="27" t="s">
        <v>7</v>
      </c>
      <c r="IB754" s="27" t="s">
        <v>7</v>
      </c>
    </row>
    <row r="755" spans="1:237" x14ac:dyDescent="0.25">
      <c r="A755" s="7">
        <v>3.5906340418331961E-2</v>
      </c>
      <c r="B755"/>
      <c r="C755"/>
      <c r="D755"/>
      <c r="E755"/>
      <c r="T755" s="27" t="s">
        <v>7</v>
      </c>
      <c r="U755" s="27" t="s">
        <v>8</v>
      </c>
      <c r="V755" s="27" t="s">
        <v>7</v>
      </c>
      <c r="W755" s="27" t="s">
        <v>8</v>
      </c>
      <c r="X755" s="27" t="s">
        <v>7</v>
      </c>
      <c r="AB755" s="27" t="s">
        <v>7</v>
      </c>
      <c r="AW755" s="27" t="s">
        <v>8</v>
      </c>
      <c r="AX755" s="27" t="s">
        <v>7</v>
      </c>
      <c r="CA755" s="27" t="s">
        <v>8</v>
      </c>
      <c r="CB755" s="27" t="s">
        <v>7</v>
      </c>
      <c r="CC755" s="27" t="s">
        <v>8</v>
      </c>
      <c r="CD755" s="27" t="s">
        <v>7</v>
      </c>
      <c r="CE755" s="27" t="s">
        <v>8</v>
      </c>
      <c r="CF755" s="27" t="s">
        <v>7</v>
      </c>
      <c r="CG755" s="27" t="s">
        <v>8</v>
      </c>
      <c r="CL755" s="27" t="s">
        <v>7</v>
      </c>
      <c r="CM755" s="27" t="s">
        <v>8</v>
      </c>
      <c r="ET755" s="27" t="s">
        <v>7</v>
      </c>
      <c r="EU755" s="27" t="s">
        <v>8</v>
      </c>
    </row>
    <row r="756" spans="1:237" x14ac:dyDescent="0.25">
      <c r="A756" s="7">
        <v>3.5202294527776436E-2</v>
      </c>
      <c r="B756"/>
      <c r="C756"/>
      <c r="D756"/>
      <c r="E756"/>
      <c r="T756" s="27" t="s">
        <v>7</v>
      </c>
      <c r="U756" s="27" t="s">
        <v>8</v>
      </c>
      <c r="V756" s="27" t="s">
        <v>7</v>
      </c>
      <c r="W756" s="27" t="s">
        <v>8</v>
      </c>
      <c r="AB756" s="27" t="s">
        <v>7</v>
      </c>
      <c r="AW756" s="27" t="s">
        <v>8</v>
      </c>
      <c r="AX756" s="27" t="s">
        <v>7</v>
      </c>
      <c r="BY756" s="27" t="s">
        <v>8</v>
      </c>
      <c r="CA756" s="27" t="s">
        <v>8</v>
      </c>
      <c r="CB756" s="27" t="s">
        <v>7</v>
      </c>
      <c r="CC756" s="27" t="s">
        <v>8</v>
      </c>
      <c r="CD756" s="27" t="s">
        <v>7</v>
      </c>
      <c r="CE756" s="27" t="s">
        <v>8</v>
      </c>
      <c r="CF756" s="27" t="s">
        <v>7</v>
      </c>
      <c r="CG756" s="27" t="s">
        <v>8</v>
      </c>
      <c r="CL756" s="27" t="s">
        <v>7</v>
      </c>
      <c r="CM756" s="27" t="s">
        <v>8</v>
      </c>
      <c r="ET756" s="27" t="s">
        <v>7</v>
      </c>
      <c r="EU756" s="27" t="s">
        <v>8</v>
      </c>
    </row>
    <row r="757" spans="1:237" x14ac:dyDescent="0.25">
      <c r="A757" s="7">
        <v>3.451205345860435E-2</v>
      </c>
      <c r="B757"/>
      <c r="C757"/>
      <c r="D757"/>
      <c r="E757"/>
      <c r="T757" s="27" t="s">
        <v>7</v>
      </c>
      <c r="U757" s="27" t="s">
        <v>8</v>
      </c>
      <c r="V757" s="27" t="s">
        <v>7</v>
      </c>
      <c r="W757" s="27" t="s">
        <v>8</v>
      </c>
      <c r="AB757" s="27" t="s">
        <v>7</v>
      </c>
      <c r="AC757" s="27" t="s">
        <v>8</v>
      </c>
      <c r="AW757" s="27" t="s">
        <v>8</v>
      </c>
      <c r="AX757" s="27" t="s">
        <v>7</v>
      </c>
      <c r="BY757" s="27" t="s">
        <v>8</v>
      </c>
      <c r="BZ757" s="27" t="s">
        <v>7</v>
      </c>
      <c r="CA757" s="27" t="s">
        <v>8</v>
      </c>
      <c r="CB757" s="27" t="s">
        <v>7</v>
      </c>
      <c r="CC757" s="27" t="s">
        <v>8</v>
      </c>
      <c r="CD757" s="27" t="s">
        <v>7</v>
      </c>
      <c r="CE757" s="27" t="s">
        <v>8</v>
      </c>
      <c r="CF757" s="27" t="s">
        <v>7</v>
      </c>
      <c r="CL757" s="27" t="s">
        <v>7</v>
      </c>
      <c r="ET757" s="27" t="s">
        <v>7</v>
      </c>
      <c r="EU757" s="27" t="s">
        <v>8</v>
      </c>
    </row>
    <row r="758" spans="1:237" x14ac:dyDescent="0.25">
      <c r="A758" s="7">
        <v>3.3835346528043479E-2</v>
      </c>
      <c r="B758"/>
      <c r="C758"/>
      <c r="D758"/>
      <c r="E758"/>
      <c r="T758" s="27" t="s">
        <v>7</v>
      </c>
      <c r="U758" s="27" t="s">
        <v>8</v>
      </c>
      <c r="V758" s="27" t="s">
        <v>7</v>
      </c>
      <c r="W758" s="27" t="s">
        <v>8</v>
      </c>
      <c r="AB758" s="27" t="s">
        <v>7</v>
      </c>
      <c r="AC758" s="27" t="s">
        <v>8</v>
      </c>
      <c r="AD758" s="27" t="s">
        <v>7</v>
      </c>
      <c r="AW758" s="27" t="s">
        <v>8</v>
      </c>
      <c r="AX758" s="27" t="s">
        <v>7</v>
      </c>
      <c r="BU758" s="27" t="s">
        <v>8</v>
      </c>
      <c r="BY758" s="27" t="s">
        <v>8</v>
      </c>
      <c r="BZ758" s="27" t="s">
        <v>7</v>
      </c>
      <c r="CA758" s="27" t="s">
        <v>8</v>
      </c>
      <c r="CB758" s="27" t="s">
        <v>7</v>
      </c>
      <c r="CC758" s="27" t="s">
        <v>8</v>
      </c>
      <c r="CD758" s="27" t="s">
        <v>7</v>
      </c>
      <c r="CE758" s="27" t="s">
        <v>8</v>
      </c>
      <c r="ET758" s="27" t="s">
        <v>7</v>
      </c>
    </row>
    <row r="759" spans="1:237" x14ac:dyDescent="0.25">
      <c r="A759" s="7">
        <v>3.3171908360826938E-2</v>
      </c>
      <c r="B759"/>
      <c r="C759"/>
      <c r="D759"/>
      <c r="E759"/>
      <c r="T759" s="27" t="s">
        <v>7</v>
      </c>
      <c r="U759" s="27" t="s">
        <v>8</v>
      </c>
      <c r="V759" s="27" t="s">
        <v>7</v>
      </c>
      <c r="AB759" s="27" t="s">
        <v>7</v>
      </c>
      <c r="AC759" s="27" t="s">
        <v>8</v>
      </c>
      <c r="AD759" s="27" t="s">
        <v>7</v>
      </c>
      <c r="AW759" s="27" t="s">
        <v>8</v>
      </c>
      <c r="AX759" s="27" t="s">
        <v>7</v>
      </c>
      <c r="BU759" s="27" t="s">
        <v>8</v>
      </c>
      <c r="BV759" s="27" t="s">
        <v>7</v>
      </c>
      <c r="BY759" s="27" t="s">
        <v>8</v>
      </c>
      <c r="BZ759" s="27" t="s">
        <v>7</v>
      </c>
      <c r="CA759" s="27" t="s">
        <v>8</v>
      </c>
      <c r="CB759" s="27" t="s">
        <v>7</v>
      </c>
      <c r="CC759" s="27" t="s">
        <v>8</v>
      </c>
      <c r="CD759" s="27" t="s">
        <v>7</v>
      </c>
      <c r="CE759" s="27" t="s">
        <v>8</v>
      </c>
    </row>
    <row r="760" spans="1:237" x14ac:dyDescent="0.25">
      <c r="A760" s="7">
        <v>3.2521478785124451E-2</v>
      </c>
      <c r="B760"/>
      <c r="C760"/>
      <c r="D760"/>
      <c r="E760"/>
      <c r="T760" s="27" t="s">
        <v>7</v>
      </c>
      <c r="U760" s="27" t="s">
        <v>8</v>
      </c>
      <c r="AB760" s="27" t="s">
        <v>7</v>
      </c>
      <c r="AD760" s="27" t="s">
        <v>7</v>
      </c>
      <c r="AW760" s="27" t="s">
        <v>8</v>
      </c>
      <c r="AX760" s="27" t="s">
        <v>7</v>
      </c>
      <c r="BU760" s="27" t="s">
        <v>8</v>
      </c>
      <c r="BV760" s="27" t="s">
        <v>7</v>
      </c>
      <c r="BY760" s="27" t="s">
        <v>8</v>
      </c>
      <c r="BZ760" s="27" t="s">
        <v>7</v>
      </c>
      <c r="CA760" s="27" t="s">
        <v>8</v>
      </c>
      <c r="CB760" s="27" t="s">
        <v>7</v>
      </c>
      <c r="CC760" s="27" t="s">
        <v>8</v>
      </c>
      <c r="CD760" s="27" t="s">
        <v>7</v>
      </c>
    </row>
    <row r="761" spans="1:237" x14ac:dyDescent="0.25">
      <c r="A761" s="7">
        <v>3.1883802730514173E-2</v>
      </c>
      <c r="B761"/>
      <c r="C761"/>
      <c r="D761"/>
      <c r="E761"/>
      <c r="T761" s="27" t="s">
        <v>7</v>
      </c>
      <c r="U761" s="27" t="s">
        <v>8</v>
      </c>
      <c r="AD761" s="27" t="s">
        <v>7</v>
      </c>
      <c r="AW761" s="27" t="s">
        <v>8</v>
      </c>
      <c r="AX761" s="27" t="s">
        <v>7</v>
      </c>
      <c r="AY761" s="27" t="s">
        <v>8</v>
      </c>
      <c r="BU761" s="27" t="s">
        <v>8</v>
      </c>
      <c r="BV761" s="27" t="s">
        <v>7</v>
      </c>
      <c r="BY761" s="27" t="s">
        <v>8</v>
      </c>
      <c r="BZ761" s="27" t="s">
        <v>7</v>
      </c>
      <c r="CA761" s="27" t="s">
        <v>8</v>
      </c>
      <c r="CB761" s="27" t="s">
        <v>7</v>
      </c>
      <c r="CC761" s="27" t="s">
        <v>8</v>
      </c>
    </row>
    <row r="762" spans="1:237" x14ac:dyDescent="0.25">
      <c r="A762" s="7">
        <v>3.1258630127955073E-2</v>
      </c>
      <c r="B762"/>
      <c r="C762"/>
      <c r="D762"/>
      <c r="E762"/>
      <c r="T762" s="27" t="s">
        <v>7</v>
      </c>
      <c r="AD762" s="27" t="s">
        <v>7</v>
      </c>
      <c r="AW762" s="27" t="s">
        <v>8</v>
      </c>
      <c r="AX762" s="27" t="s">
        <v>7</v>
      </c>
      <c r="AY762" s="27" t="s">
        <v>8</v>
      </c>
      <c r="AZ762" s="27" t="s">
        <v>7</v>
      </c>
      <c r="BA762" s="27" t="s">
        <v>8</v>
      </c>
      <c r="BU762" s="27" t="s">
        <v>8</v>
      </c>
      <c r="BV762" s="27" t="s">
        <v>7</v>
      </c>
      <c r="BW762" s="27" t="s">
        <v>8</v>
      </c>
      <c r="BY762" s="27" t="s">
        <v>8</v>
      </c>
      <c r="BZ762" s="27" t="s">
        <v>7</v>
      </c>
      <c r="CA762" s="27" t="s">
        <v>8</v>
      </c>
      <c r="CB762" s="27" t="s">
        <v>7</v>
      </c>
      <c r="CC762" s="27" t="s">
        <v>8</v>
      </c>
    </row>
    <row r="763" spans="1:237" x14ac:dyDescent="0.25">
      <c r="A763" s="7">
        <v>3.064571581172066E-2</v>
      </c>
      <c r="B763"/>
      <c r="C763"/>
      <c r="D763"/>
      <c r="E763"/>
      <c r="AD763" s="27" t="s">
        <v>7</v>
      </c>
      <c r="AW763" s="27" t="s">
        <v>8</v>
      </c>
      <c r="AX763" s="27" t="s">
        <v>7</v>
      </c>
      <c r="AY763" s="27" t="s">
        <v>8</v>
      </c>
      <c r="AZ763" s="27" t="s">
        <v>7</v>
      </c>
      <c r="BA763" s="27" t="s">
        <v>8</v>
      </c>
      <c r="BB763" s="27" t="s">
        <v>7</v>
      </c>
      <c r="BU763" s="27" t="s">
        <v>8</v>
      </c>
      <c r="BV763" s="27" t="s">
        <v>7</v>
      </c>
      <c r="BW763" s="27" t="s">
        <v>8</v>
      </c>
      <c r="BX763" s="27" t="s">
        <v>7</v>
      </c>
      <c r="BY763" s="27" t="s">
        <v>8</v>
      </c>
      <c r="BZ763" s="27" t="s">
        <v>7</v>
      </c>
      <c r="CA763" s="27" t="s">
        <v>8</v>
      </c>
      <c r="CB763" s="27" t="s">
        <v>7</v>
      </c>
      <c r="CC763" s="27" t="s">
        <v>8</v>
      </c>
    </row>
    <row r="764" spans="1:237" x14ac:dyDescent="0.25">
      <c r="A764" s="7">
        <v>3.0044819423255549E-2</v>
      </c>
      <c r="B764"/>
      <c r="C764"/>
      <c r="D764"/>
      <c r="E764"/>
      <c r="AD764" s="27" t="s">
        <v>7</v>
      </c>
      <c r="AE764" s="27" t="s">
        <v>8</v>
      </c>
      <c r="AW764" s="27" t="s">
        <v>8</v>
      </c>
      <c r="AX764" s="27" t="s">
        <v>7</v>
      </c>
      <c r="AY764" s="27" t="s">
        <v>8</v>
      </c>
      <c r="AZ764" s="27" t="s">
        <v>7</v>
      </c>
      <c r="BA764" s="27" t="s">
        <v>8</v>
      </c>
      <c r="BB764" s="27" t="s">
        <v>7</v>
      </c>
      <c r="BS764" s="27" t="s">
        <v>8</v>
      </c>
      <c r="BU764" s="27" t="s">
        <v>8</v>
      </c>
      <c r="BV764" s="27" t="s">
        <v>7</v>
      </c>
      <c r="BW764" s="27" t="s">
        <v>8</v>
      </c>
      <c r="BX764" s="27" t="s">
        <v>7</v>
      </c>
      <c r="BY764" s="27" t="s">
        <v>8</v>
      </c>
      <c r="BZ764" s="27" t="s">
        <v>7</v>
      </c>
      <c r="CA764" s="27" t="s">
        <v>8</v>
      </c>
      <c r="CB764" s="27" t="s">
        <v>7</v>
      </c>
    </row>
    <row r="765" spans="1:237" x14ac:dyDescent="0.25">
      <c r="A765" s="7">
        <v>2.9455705316917203E-2</v>
      </c>
      <c r="B765"/>
      <c r="C765"/>
      <c r="D765"/>
      <c r="E765"/>
      <c r="AD765" s="27" t="s">
        <v>7</v>
      </c>
      <c r="AE765" s="27" t="s">
        <v>8</v>
      </c>
      <c r="AF765" s="27" t="s">
        <v>7</v>
      </c>
      <c r="AW765" s="27" t="s">
        <v>8</v>
      </c>
      <c r="AX765" s="27" t="s">
        <v>7</v>
      </c>
      <c r="AY765" s="27" t="s">
        <v>8</v>
      </c>
      <c r="AZ765" s="27" t="s">
        <v>7</v>
      </c>
      <c r="BA765" s="27" t="s">
        <v>8</v>
      </c>
      <c r="BB765" s="27" t="s">
        <v>7</v>
      </c>
      <c r="BI765" s="27" t="s">
        <v>8</v>
      </c>
      <c r="BS765" s="27" t="s">
        <v>8</v>
      </c>
      <c r="BT765" s="27" t="s">
        <v>7</v>
      </c>
      <c r="BU765" s="27" t="s">
        <v>8</v>
      </c>
      <c r="BV765" s="27" t="s">
        <v>7</v>
      </c>
      <c r="BW765" s="27" t="s">
        <v>8</v>
      </c>
      <c r="BX765" s="27" t="s">
        <v>7</v>
      </c>
      <c r="BY765" s="27" t="s">
        <v>8</v>
      </c>
      <c r="BZ765" s="27" t="s">
        <v>7</v>
      </c>
      <c r="CA765" s="27" t="s">
        <v>8</v>
      </c>
    </row>
    <row r="766" spans="1:237" x14ac:dyDescent="0.25">
      <c r="A766" s="7">
        <v>2.8878142467565884E-2</v>
      </c>
      <c r="B766"/>
      <c r="C766"/>
      <c r="D766"/>
      <c r="E766"/>
      <c r="AD766" s="27" t="s">
        <v>7</v>
      </c>
      <c r="AE766" s="27" t="s">
        <v>8</v>
      </c>
      <c r="AF766" s="27" t="s">
        <v>7</v>
      </c>
      <c r="AW766" s="27" t="s">
        <v>8</v>
      </c>
      <c r="AX766" s="27" t="s">
        <v>7</v>
      </c>
      <c r="AY766" s="27" t="s">
        <v>8</v>
      </c>
      <c r="AZ766" s="27" t="s">
        <v>7</v>
      </c>
      <c r="BA766" s="27" t="s">
        <v>8</v>
      </c>
      <c r="BB766" s="27" t="s">
        <v>7</v>
      </c>
      <c r="BG766" s="27" t="s">
        <v>8</v>
      </c>
      <c r="BI766" s="27" t="s">
        <v>8</v>
      </c>
      <c r="BJ766" s="27" t="s">
        <v>7</v>
      </c>
      <c r="BS766" s="27" t="s">
        <v>8</v>
      </c>
      <c r="BT766" s="27" t="s">
        <v>7</v>
      </c>
      <c r="BU766" s="27" t="s">
        <v>8</v>
      </c>
      <c r="BV766" s="27" t="s">
        <v>7</v>
      </c>
      <c r="BW766" s="27" t="s">
        <v>8</v>
      </c>
      <c r="BX766" s="27" t="s">
        <v>7</v>
      </c>
      <c r="BY766" s="27" t="s">
        <v>8</v>
      </c>
      <c r="BZ766" s="27" t="s">
        <v>7</v>
      </c>
      <c r="CA766" s="27" t="s">
        <v>8</v>
      </c>
    </row>
    <row r="767" spans="1:237" x14ac:dyDescent="0.25">
      <c r="A767" s="7">
        <v>2.8311904379966554E-2</v>
      </c>
      <c r="B767"/>
      <c r="C767"/>
      <c r="D767"/>
      <c r="E767"/>
      <c r="AD767" s="27" t="s">
        <v>7</v>
      </c>
      <c r="AE767" s="27" t="s">
        <v>8</v>
      </c>
      <c r="AF767" s="27" t="s">
        <v>7</v>
      </c>
      <c r="AW767" s="27" t="s">
        <v>8</v>
      </c>
      <c r="AX767" s="27" t="s">
        <v>7</v>
      </c>
      <c r="AY767" s="27" t="s">
        <v>8</v>
      </c>
      <c r="AZ767" s="27" t="s">
        <v>7</v>
      </c>
      <c r="BA767" s="27" t="s">
        <v>8</v>
      </c>
      <c r="BB767" s="27" t="s">
        <v>7</v>
      </c>
      <c r="BG767" s="27" t="s">
        <v>8</v>
      </c>
      <c r="BH767" s="27" t="s">
        <v>7</v>
      </c>
      <c r="BI767" s="27" t="s">
        <v>8</v>
      </c>
      <c r="BJ767" s="27" t="s">
        <v>7</v>
      </c>
      <c r="BS767" s="27" t="s">
        <v>8</v>
      </c>
      <c r="BT767" s="27" t="s">
        <v>7</v>
      </c>
      <c r="BU767" s="27" t="s">
        <v>8</v>
      </c>
      <c r="BV767" s="27" t="s">
        <v>7</v>
      </c>
      <c r="BW767" s="27" t="s">
        <v>8</v>
      </c>
      <c r="BX767" s="27" t="s">
        <v>7</v>
      </c>
      <c r="BY767" s="27" t="s">
        <v>8</v>
      </c>
      <c r="BZ767" s="27" t="s">
        <v>7</v>
      </c>
      <c r="CA767" s="27" t="s">
        <v>8</v>
      </c>
    </row>
    <row r="768" spans="1:237" x14ac:dyDescent="0.25">
      <c r="A768" s="7">
        <v>2.7756768999967207E-2</v>
      </c>
      <c r="B768"/>
      <c r="C768"/>
      <c r="D768"/>
      <c r="E768"/>
      <c r="AD768" s="27" t="s">
        <v>7</v>
      </c>
      <c r="AE768" s="27" t="s">
        <v>8</v>
      </c>
      <c r="AF768" s="27" t="s">
        <v>7</v>
      </c>
      <c r="AW768" s="27" t="s">
        <v>8</v>
      </c>
      <c r="AX768" s="27" t="s">
        <v>7</v>
      </c>
      <c r="AY768" s="27" t="s">
        <v>8</v>
      </c>
      <c r="AZ768" s="27" t="s">
        <v>7</v>
      </c>
      <c r="BA768" s="27" t="s">
        <v>8</v>
      </c>
      <c r="BB768" s="27" t="s">
        <v>7</v>
      </c>
      <c r="BG768" s="27" t="s">
        <v>8</v>
      </c>
      <c r="BH768" s="27" t="s">
        <v>7</v>
      </c>
      <c r="BI768" s="27" t="s">
        <v>8</v>
      </c>
      <c r="BJ768" s="27" t="s">
        <v>7</v>
      </c>
      <c r="BS768" s="27" t="s">
        <v>8</v>
      </c>
      <c r="BT768" s="27" t="s">
        <v>7</v>
      </c>
      <c r="BU768" s="27" t="s">
        <v>8</v>
      </c>
      <c r="BV768" s="27" t="s">
        <v>7</v>
      </c>
      <c r="BW768" s="27" t="s">
        <v>8</v>
      </c>
      <c r="BX768" s="27" t="s">
        <v>7</v>
      </c>
      <c r="BY768" s="27" t="s">
        <v>8</v>
      </c>
      <c r="BZ768" s="27" t="s">
        <v>7</v>
      </c>
      <c r="CA768" s="27" t="s">
        <v>8</v>
      </c>
    </row>
    <row r="769" spans="1:79" x14ac:dyDescent="0.25">
      <c r="A769" s="7">
        <v>2.7212518627418834E-2</v>
      </c>
      <c r="B769"/>
      <c r="C769"/>
      <c r="D769"/>
      <c r="E769"/>
      <c r="AD769" s="27" t="s">
        <v>7</v>
      </c>
      <c r="AE769" s="27" t="s">
        <v>8</v>
      </c>
      <c r="AF769" s="27" t="s">
        <v>7</v>
      </c>
      <c r="AU769" s="27" t="s">
        <v>8</v>
      </c>
      <c r="AW769" s="27" t="s">
        <v>8</v>
      </c>
      <c r="AX769" s="27" t="s">
        <v>7</v>
      </c>
      <c r="AY769" s="27" t="s">
        <v>8</v>
      </c>
      <c r="AZ769" s="27" t="s">
        <v>7</v>
      </c>
      <c r="BA769" s="27" t="s">
        <v>8</v>
      </c>
      <c r="BB769" s="27" t="s">
        <v>7</v>
      </c>
      <c r="BC769" s="27" t="s">
        <v>8</v>
      </c>
      <c r="BG769" s="27" t="s">
        <v>8</v>
      </c>
      <c r="BH769" s="27" t="s">
        <v>7</v>
      </c>
      <c r="BJ769" s="27" t="s">
        <v>7</v>
      </c>
      <c r="BS769" s="27" t="s">
        <v>8</v>
      </c>
      <c r="BT769" s="27" t="s">
        <v>7</v>
      </c>
      <c r="BU769" s="27" t="s">
        <v>8</v>
      </c>
      <c r="BV769" s="27" t="s">
        <v>7</v>
      </c>
      <c r="BW769" s="27" t="s">
        <v>8</v>
      </c>
      <c r="BX769" s="27" t="s">
        <v>7</v>
      </c>
      <c r="BY769" s="27" t="s">
        <v>8</v>
      </c>
      <c r="BZ769" s="27" t="s">
        <v>7</v>
      </c>
      <c r="CA769" s="27" t="s">
        <v>8</v>
      </c>
    </row>
    <row r="770" spans="1:79" x14ac:dyDescent="0.25">
      <c r="A770" s="7">
        <v>2.6678939830802779E-2</v>
      </c>
      <c r="B770"/>
      <c r="C770"/>
      <c r="D770"/>
      <c r="E770"/>
      <c r="AD770" s="27" t="s">
        <v>7</v>
      </c>
      <c r="AF770" s="27" t="s">
        <v>7</v>
      </c>
      <c r="AG770" s="27" t="s">
        <v>8</v>
      </c>
      <c r="AU770" s="27" t="s">
        <v>8</v>
      </c>
      <c r="AV770" s="27" t="s">
        <v>7</v>
      </c>
      <c r="AW770" s="27" t="s">
        <v>8</v>
      </c>
      <c r="AX770" s="27" t="s">
        <v>7</v>
      </c>
      <c r="AY770" s="27" t="s">
        <v>8</v>
      </c>
      <c r="AZ770" s="27" t="s">
        <v>7</v>
      </c>
      <c r="BA770" s="27" t="s">
        <v>8</v>
      </c>
      <c r="BB770" s="27" t="s">
        <v>7</v>
      </c>
      <c r="BC770" s="27" t="s">
        <v>8</v>
      </c>
      <c r="BD770" s="27" t="s">
        <v>7</v>
      </c>
      <c r="BE770" s="27" t="s">
        <v>8</v>
      </c>
      <c r="BG770" s="27" t="s">
        <v>8</v>
      </c>
      <c r="BJ770" s="27" t="s">
        <v>7</v>
      </c>
      <c r="BS770" s="27" t="s">
        <v>8</v>
      </c>
      <c r="BT770" s="27" t="s">
        <v>7</v>
      </c>
      <c r="BU770" s="27" t="s">
        <v>8</v>
      </c>
      <c r="BV770" s="27" t="s">
        <v>7</v>
      </c>
      <c r="BW770" s="27" t="s">
        <v>8</v>
      </c>
      <c r="BX770" s="27" t="s">
        <v>7</v>
      </c>
      <c r="BY770" s="27" t="s">
        <v>8</v>
      </c>
      <c r="BZ770" s="27" t="s">
        <v>7</v>
      </c>
      <c r="CA770" s="27" t="s">
        <v>8</v>
      </c>
    </row>
    <row r="771" spans="1:79" x14ac:dyDescent="0.25">
      <c r="A771" s="7">
        <v>2.615582336353214E-2</v>
      </c>
      <c r="B771"/>
      <c r="C771"/>
      <c r="D771"/>
      <c r="E771"/>
      <c r="AF771" s="27" t="s">
        <v>7</v>
      </c>
      <c r="AG771" s="27" t="s">
        <v>8</v>
      </c>
      <c r="AH771" s="27" t="s">
        <v>7</v>
      </c>
      <c r="AO771" s="27" t="s">
        <v>8</v>
      </c>
      <c r="AU771" s="27" t="s">
        <v>8</v>
      </c>
      <c r="AV771" s="27" t="s">
        <v>7</v>
      </c>
      <c r="AW771" s="27" t="s">
        <v>8</v>
      </c>
      <c r="AX771" s="27" t="s">
        <v>7</v>
      </c>
      <c r="AZ771" s="27" t="s">
        <v>7</v>
      </c>
      <c r="BA771" s="27" t="s">
        <v>8</v>
      </c>
      <c r="BB771" s="27" t="s">
        <v>7</v>
      </c>
      <c r="BC771" s="27" t="s">
        <v>8</v>
      </c>
      <c r="BD771" s="27" t="s">
        <v>7</v>
      </c>
      <c r="BE771" s="27" t="s">
        <v>8</v>
      </c>
      <c r="BF771" s="27" t="s">
        <v>7</v>
      </c>
      <c r="BG771" s="27" t="s">
        <v>8</v>
      </c>
      <c r="BJ771" s="27" t="s">
        <v>7</v>
      </c>
      <c r="BS771" s="27" t="s">
        <v>8</v>
      </c>
      <c r="BT771" s="27" t="s">
        <v>7</v>
      </c>
      <c r="BU771" s="27" t="s">
        <v>8</v>
      </c>
      <c r="BV771" s="27" t="s">
        <v>7</v>
      </c>
      <c r="BX771" s="27" t="s">
        <v>7</v>
      </c>
      <c r="BY771" s="27" t="s">
        <v>8</v>
      </c>
      <c r="BZ771" s="27" t="s">
        <v>7</v>
      </c>
    </row>
    <row r="772" spans="1:79" x14ac:dyDescent="0.25">
      <c r="A772" s="7">
        <v>2.5642964081894253E-2</v>
      </c>
      <c r="B772"/>
      <c r="C772"/>
      <c r="D772"/>
      <c r="E772"/>
      <c r="AF772" s="27" t="s">
        <v>7</v>
      </c>
      <c r="AG772" s="27" t="s">
        <v>8</v>
      </c>
      <c r="AH772" s="27" t="s">
        <v>7</v>
      </c>
      <c r="AO772" s="27" t="s">
        <v>8</v>
      </c>
      <c r="AP772" s="27" t="s">
        <v>7</v>
      </c>
      <c r="AU772" s="27" t="s">
        <v>8</v>
      </c>
      <c r="AV772" s="27" t="s">
        <v>7</v>
      </c>
      <c r="AW772" s="27" t="s">
        <v>8</v>
      </c>
      <c r="AZ772" s="27" t="s">
        <v>7</v>
      </c>
      <c r="BA772" s="27" t="s">
        <v>8</v>
      </c>
      <c r="BB772" s="27" t="s">
        <v>7</v>
      </c>
      <c r="BC772" s="27" t="s">
        <v>8</v>
      </c>
      <c r="BD772" s="27" t="s">
        <v>7</v>
      </c>
      <c r="BE772" s="27" t="s">
        <v>8</v>
      </c>
      <c r="BF772" s="27" t="s">
        <v>7</v>
      </c>
      <c r="BG772" s="27" t="s">
        <v>8</v>
      </c>
      <c r="BJ772" s="27" t="s">
        <v>7</v>
      </c>
      <c r="BQ772" s="27" t="s">
        <v>8</v>
      </c>
      <c r="BS772" s="27" t="s">
        <v>8</v>
      </c>
      <c r="BT772" s="27" t="s">
        <v>7</v>
      </c>
      <c r="BU772" s="27" t="s">
        <v>8</v>
      </c>
      <c r="BX772" s="27" t="s">
        <v>7</v>
      </c>
      <c r="BY772" s="27" t="s">
        <v>8</v>
      </c>
    </row>
    <row r="773" spans="1:79" x14ac:dyDescent="0.25">
      <c r="A773" s="7">
        <v>2.5140160864602207E-2</v>
      </c>
      <c r="B773"/>
      <c r="C773"/>
      <c r="D773"/>
      <c r="E773"/>
      <c r="AF773" s="27" t="s">
        <v>7</v>
      </c>
      <c r="AH773" s="27" t="s">
        <v>7</v>
      </c>
      <c r="AO773" s="27" t="s">
        <v>8</v>
      </c>
      <c r="AP773" s="27" t="s">
        <v>7</v>
      </c>
      <c r="AS773" s="27" t="s">
        <v>8</v>
      </c>
      <c r="AU773" s="27" t="s">
        <v>8</v>
      </c>
      <c r="AV773" s="27" t="s">
        <v>7</v>
      </c>
      <c r="AW773" s="27" t="s">
        <v>8</v>
      </c>
      <c r="AZ773" s="27" t="s">
        <v>7</v>
      </c>
      <c r="BB773" s="27" t="s">
        <v>7</v>
      </c>
      <c r="BC773" s="27" t="s">
        <v>8</v>
      </c>
      <c r="BD773" s="27" t="s">
        <v>7</v>
      </c>
      <c r="BE773" s="27" t="s">
        <v>8</v>
      </c>
      <c r="BF773" s="27" t="s">
        <v>7</v>
      </c>
      <c r="BJ773" s="27" t="s">
        <v>7</v>
      </c>
      <c r="BM773" s="27" t="s">
        <v>8</v>
      </c>
      <c r="BQ773" s="27" t="s">
        <v>8</v>
      </c>
      <c r="BR773" s="27" t="s">
        <v>7</v>
      </c>
      <c r="BS773" s="27" t="s">
        <v>8</v>
      </c>
      <c r="BT773" s="27" t="s">
        <v>7</v>
      </c>
      <c r="BU773" s="27" t="s">
        <v>8</v>
      </c>
      <c r="BX773" s="27" t="s">
        <v>7</v>
      </c>
      <c r="BY773" s="27" t="s">
        <v>8</v>
      </c>
    </row>
    <row r="774" spans="1:79" x14ac:dyDescent="0.25">
      <c r="A774" s="7">
        <v>2.4647216533923735E-2</v>
      </c>
      <c r="B774"/>
      <c r="C774"/>
      <c r="D774"/>
      <c r="E774"/>
      <c r="AH774" s="27" t="s">
        <v>7</v>
      </c>
      <c r="AO774" s="27" t="s">
        <v>8</v>
      </c>
      <c r="AP774" s="27" t="s">
        <v>7</v>
      </c>
      <c r="AS774" s="27" t="s">
        <v>8</v>
      </c>
      <c r="AT774" s="27" t="s">
        <v>7</v>
      </c>
      <c r="AU774" s="27" t="s">
        <v>8</v>
      </c>
      <c r="AV774" s="27" t="s">
        <v>7</v>
      </c>
      <c r="AW774" s="27" t="s">
        <v>8</v>
      </c>
      <c r="BB774" s="27" t="s">
        <v>7</v>
      </c>
      <c r="BC774" s="27" t="s">
        <v>8</v>
      </c>
      <c r="BD774" s="27" t="s">
        <v>7</v>
      </c>
      <c r="BJ774" s="27" t="s">
        <v>7</v>
      </c>
      <c r="BM774" s="27" t="s">
        <v>8</v>
      </c>
      <c r="BN774" s="27" t="s">
        <v>7</v>
      </c>
      <c r="BQ774" s="27" t="s">
        <v>8</v>
      </c>
      <c r="BR774" s="27" t="s">
        <v>7</v>
      </c>
      <c r="BS774" s="27" t="s">
        <v>8</v>
      </c>
      <c r="BT774" s="27" t="s">
        <v>7</v>
      </c>
      <c r="BU774" s="27" t="s">
        <v>8</v>
      </c>
      <c r="BX774" s="27" t="s">
        <v>7</v>
      </c>
      <c r="BY774" s="27" t="s">
        <v>8</v>
      </c>
    </row>
    <row r="775" spans="1:79" x14ac:dyDescent="0.25">
      <c r="A775" s="7">
        <v>2.4163937778356601E-2</v>
      </c>
      <c r="B775"/>
      <c r="C775"/>
      <c r="D775"/>
      <c r="E775"/>
      <c r="AH775" s="27" t="s">
        <v>7</v>
      </c>
      <c r="AO775" s="27" t="s">
        <v>8</v>
      </c>
      <c r="AP775" s="27" t="s">
        <v>7</v>
      </c>
      <c r="AQ775" s="27" t="s">
        <v>8</v>
      </c>
      <c r="AS775" s="27" t="s">
        <v>8</v>
      </c>
      <c r="AT775" s="27" t="s">
        <v>7</v>
      </c>
      <c r="AU775" s="27" t="s">
        <v>8</v>
      </c>
      <c r="AV775" s="27" t="s">
        <v>7</v>
      </c>
      <c r="AW775" s="27" t="s">
        <v>8</v>
      </c>
      <c r="BB775" s="27" t="s">
        <v>7</v>
      </c>
      <c r="BJ775" s="27" t="s">
        <v>7</v>
      </c>
      <c r="BK775" s="27" t="s">
        <v>8</v>
      </c>
      <c r="BM775" s="27" t="s">
        <v>8</v>
      </c>
      <c r="BN775" s="27" t="s">
        <v>7</v>
      </c>
      <c r="BO775" s="27" t="s">
        <v>8</v>
      </c>
      <c r="BQ775" s="27" t="s">
        <v>8</v>
      </c>
      <c r="BR775" s="27" t="s">
        <v>7</v>
      </c>
      <c r="BS775" s="27" t="s">
        <v>8</v>
      </c>
      <c r="BT775" s="27" t="s">
        <v>7</v>
      </c>
      <c r="BU775" s="27" t="s">
        <v>8</v>
      </c>
      <c r="BX775" s="27" t="s">
        <v>7</v>
      </c>
    </row>
    <row r="776" spans="1:79" x14ac:dyDescent="0.25">
      <c r="A776" s="7">
        <v>2.3690135076820197E-2</v>
      </c>
      <c r="B776"/>
      <c r="C776"/>
      <c r="D776"/>
      <c r="E776"/>
      <c r="AH776" s="27" t="s">
        <v>7</v>
      </c>
      <c r="AO776" s="27" t="s">
        <v>8</v>
      </c>
      <c r="AP776" s="27" t="s">
        <v>7</v>
      </c>
      <c r="AQ776" s="27" t="s">
        <v>8</v>
      </c>
      <c r="AR776" s="27" t="s">
        <v>7</v>
      </c>
      <c r="AS776" s="27" t="s">
        <v>8</v>
      </c>
      <c r="AT776" s="27" t="s">
        <v>7</v>
      </c>
      <c r="AU776" s="27" t="s">
        <v>8</v>
      </c>
      <c r="AV776" s="27" t="s">
        <v>7</v>
      </c>
      <c r="AW776" s="27" t="s">
        <v>8</v>
      </c>
      <c r="BJ776" s="27" t="s">
        <v>7</v>
      </c>
      <c r="BK776" s="27" t="s">
        <v>8</v>
      </c>
      <c r="BL776" s="27" t="s">
        <v>7</v>
      </c>
      <c r="BM776" s="27" t="s">
        <v>8</v>
      </c>
      <c r="BN776" s="27" t="s">
        <v>7</v>
      </c>
      <c r="BO776" s="27" t="s">
        <v>8</v>
      </c>
      <c r="BP776" s="27" t="s">
        <v>7</v>
      </c>
      <c r="BQ776" s="27" t="s">
        <v>8</v>
      </c>
      <c r="BR776" s="27" t="s">
        <v>7</v>
      </c>
      <c r="BS776" s="27" t="s">
        <v>8</v>
      </c>
      <c r="BT776" s="27" t="s">
        <v>7</v>
      </c>
      <c r="BU776" s="27" t="s">
        <v>8</v>
      </c>
    </row>
    <row r="777" spans="1:79" x14ac:dyDescent="0.25">
      <c r="A777" s="7">
        <v>2.3225622624333527E-2</v>
      </c>
      <c r="B777"/>
      <c r="C777"/>
      <c r="D777"/>
      <c r="E777"/>
      <c r="AH777" s="27" t="s">
        <v>7</v>
      </c>
      <c r="AI777" s="27" t="s">
        <v>8</v>
      </c>
      <c r="AO777" s="27" t="s">
        <v>8</v>
      </c>
      <c r="AP777" s="27" t="s">
        <v>7</v>
      </c>
      <c r="AQ777" s="27" t="s">
        <v>8</v>
      </c>
      <c r="AR777" s="27" t="s">
        <v>7</v>
      </c>
      <c r="AS777" s="27" t="s">
        <v>8</v>
      </c>
      <c r="AT777" s="27" t="s">
        <v>7</v>
      </c>
      <c r="AU777" s="27" t="s">
        <v>8</v>
      </c>
      <c r="AV777" s="27" t="s">
        <v>7</v>
      </c>
      <c r="AW777" s="27" t="s">
        <v>8</v>
      </c>
      <c r="BJ777" s="27" t="s">
        <v>7</v>
      </c>
      <c r="BK777" s="27" t="s">
        <v>8</v>
      </c>
      <c r="BL777" s="27" t="s">
        <v>7</v>
      </c>
      <c r="BM777" s="27" t="s">
        <v>8</v>
      </c>
      <c r="BN777" s="27" t="s">
        <v>7</v>
      </c>
      <c r="BO777" s="27" t="s">
        <v>8</v>
      </c>
      <c r="BP777" s="27" t="s">
        <v>7</v>
      </c>
      <c r="BQ777" s="27" t="s">
        <v>8</v>
      </c>
      <c r="BR777" s="27" t="s">
        <v>7</v>
      </c>
      <c r="BS777" s="27" t="s">
        <v>8</v>
      </c>
      <c r="BT777" s="27" t="s">
        <v>7</v>
      </c>
      <c r="BU777" s="27" t="s">
        <v>8</v>
      </c>
    </row>
    <row r="778" spans="1:79" x14ac:dyDescent="0.25">
      <c r="A778" s="7">
        <v>2.2770218259150519E-2</v>
      </c>
      <c r="B778"/>
      <c r="C778"/>
      <c r="D778"/>
      <c r="E778"/>
      <c r="AH778" s="27" t="s">
        <v>7</v>
      </c>
      <c r="AI778" s="27" t="s">
        <v>8</v>
      </c>
      <c r="AJ778" s="27" t="s">
        <v>7</v>
      </c>
      <c r="AO778" s="27" t="s">
        <v>8</v>
      </c>
      <c r="AP778" s="27" t="s">
        <v>7</v>
      </c>
      <c r="AQ778" s="27" t="s">
        <v>8</v>
      </c>
      <c r="AR778" s="27" t="s">
        <v>7</v>
      </c>
      <c r="AS778" s="27" t="s">
        <v>8</v>
      </c>
      <c r="AT778" s="27" t="s">
        <v>7</v>
      </c>
      <c r="AU778" s="27" t="s">
        <v>8</v>
      </c>
      <c r="AV778" s="27" t="s">
        <v>7</v>
      </c>
      <c r="AW778" s="27" t="s">
        <v>8</v>
      </c>
      <c r="BJ778" s="27" t="s">
        <v>7</v>
      </c>
      <c r="BK778" s="27" t="s">
        <v>8</v>
      </c>
      <c r="BL778" s="27" t="s">
        <v>7</v>
      </c>
      <c r="BM778" s="27" t="s">
        <v>8</v>
      </c>
      <c r="BN778" s="27" t="s">
        <v>7</v>
      </c>
      <c r="BO778" s="27" t="s">
        <v>8</v>
      </c>
      <c r="BP778" s="27" t="s">
        <v>7</v>
      </c>
      <c r="BQ778" s="27" t="s">
        <v>8</v>
      </c>
      <c r="BR778" s="27" t="s">
        <v>7</v>
      </c>
      <c r="BS778" s="27" t="s">
        <v>8</v>
      </c>
      <c r="BT778" s="27" t="s">
        <v>7</v>
      </c>
      <c r="BU778" s="27" t="s">
        <v>8</v>
      </c>
    </row>
    <row r="779" spans="1:79" x14ac:dyDescent="0.25">
      <c r="A779" s="7">
        <v>2.2323743391324039E-2</v>
      </c>
      <c r="B779"/>
      <c r="C779"/>
      <c r="D779"/>
      <c r="E779"/>
      <c r="AH779" s="27" t="s">
        <v>7</v>
      </c>
      <c r="AI779" s="27" t="s">
        <v>8</v>
      </c>
      <c r="AJ779" s="27" t="s">
        <v>7</v>
      </c>
      <c r="AO779" s="27" t="s">
        <v>8</v>
      </c>
      <c r="AP779" s="27" t="s">
        <v>7</v>
      </c>
      <c r="AR779" s="27" t="s">
        <v>7</v>
      </c>
      <c r="AS779" s="27" t="s">
        <v>8</v>
      </c>
      <c r="AT779" s="27" t="s">
        <v>7</v>
      </c>
      <c r="AV779" s="27" t="s">
        <v>7</v>
      </c>
      <c r="AW779" s="27" t="s">
        <v>8</v>
      </c>
      <c r="BJ779" s="27" t="s">
        <v>7</v>
      </c>
      <c r="BK779" s="27" t="s">
        <v>8</v>
      </c>
      <c r="BL779" s="27" t="s">
        <v>7</v>
      </c>
      <c r="BM779" s="27" t="s">
        <v>8</v>
      </c>
      <c r="BN779" s="27" t="s">
        <v>7</v>
      </c>
      <c r="BP779" s="27" t="s">
        <v>7</v>
      </c>
      <c r="BQ779" s="27" t="s">
        <v>8</v>
      </c>
      <c r="BR779" s="27" t="s">
        <v>7</v>
      </c>
      <c r="BS779" s="27" t="s">
        <v>8</v>
      </c>
      <c r="BT779" s="27" t="s">
        <v>7</v>
      </c>
      <c r="BU779" s="27" t="s">
        <v>8</v>
      </c>
    </row>
    <row r="780" spans="1:79" x14ac:dyDescent="0.25">
      <c r="A780" s="7">
        <v>2.188602293267063E-2</v>
      </c>
      <c r="B780"/>
      <c r="C780"/>
      <c r="D780"/>
      <c r="E780"/>
      <c r="AH780" s="27" t="s">
        <v>7</v>
      </c>
      <c r="AJ780" s="27" t="s">
        <v>7</v>
      </c>
      <c r="AK780" s="27" t="s">
        <v>8</v>
      </c>
      <c r="AO780" s="27" t="s">
        <v>8</v>
      </c>
      <c r="AR780" s="27" t="s">
        <v>7</v>
      </c>
      <c r="AS780" s="27" t="s">
        <v>8</v>
      </c>
      <c r="AV780" s="27" t="s">
        <v>7</v>
      </c>
      <c r="AW780" s="27" t="s">
        <v>8</v>
      </c>
      <c r="BJ780" s="27" t="s">
        <v>7</v>
      </c>
      <c r="BK780" s="27" t="s">
        <v>8</v>
      </c>
      <c r="BL780" s="27" t="s">
        <v>7</v>
      </c>
      <c r="BP780" s="27" t="s">
        <v>7</v>
      </c>
      <c r="BR780" s="27" t="s">
        <v>7</v>
      </c>
      <c r="BT780" s="27" t="s">
        <v>7</v>
      </c>
      <c r="BU780" s="27" t="s">
        <v>8</v>
      </c>
    </row>
    <row r="781" spans="1:79" x14ac:dyDescent="0.25">
      <c r="A781" s="7">
        <v>2.1456885228108461E-2</v>
      </c>
      <c r="B781"/>
      <c r="C781"/>
      <c r="D781"/>
      <c r="E781"/>
      <c r="AJ781" s="27" t="s">
        <v>7</v>
      </c>
      <c r="AK781" s="27" t="s">
        <v>8</v>
      </c>
      <c r="AL781" s="27" t="s">
        <v>7</v>
      </c>
      <c r="AO781" s="27" t="s">
        <v>8</v>
      </c>
      <c r="AR781" s="27" t="s">
        <v>7</v>
      </c>
      <c r="AS781" s="27" t="s">
        <v>8</v>
      </c>
      <c r="AV781" s="27" t="s">
        <v>7</v>
      </c>
      <c r="AW781" s="27" t="s">
        <v>8</v>
      </c>
      <c r="BJ781" s="27" t="s">
        <v>7</v>
      </c>
      <c r="BK781" s="27" t="s">
        <v>8</v>
      </c>
      <c r="BT781" s="27" t="s">
        <v>7</v>
      </c>
      <c r="BU781" s="27" t="s">
        <v>8</v>
      </c>
    </row>
    <row r="782" spans="1:79" x14ac:dyDescent="0.25">
      <c r="A782" s="7">
        <v>2.1036161988341632E-2</v>
      </c>
      <c r="B782"/>
      <c r="C782"/>
      <c r="D782"/>
      <c r="E782"/>
      <c r="AJ782" s="27" t="s">
        <v>7</v>
      </c>
      <c r="AK782" s="27" t="s">
        <v>8</v>
      </c>
      <c r="AL782" s="27" t="s">
        <v>7</v>
      </c>
      <c r="AM782" s="27" t="s">
        <v>8</v>
      </c>
      <c r="AO782" s="27" t="s">
        <v>8</v>
      </c>
      <c r="AR782" s="27" t="s">
        <v>7</v>
      </c>
      <c r="AS782" s="27" t="s">
        <v>8</v>
      </c>
      <c r="AV782" s="27" t="s">
        <v>7</v>
      </c>
      <c r="AW782" s="27" t="s">
        <v>8</v>
      </c>
      <c r="BJ782" s="27" t="s">
        <v>7</v>
      </c>
      <c r="BK782" s="27" t="s">
        <v>8</v>
      </c>
      <c r="BT782" s="27" t="s">
        <v>7</v>
      </c>
    </row>
    <row r="783" spans="1:79" x14ac:dyDescent="0.25">
      <c r="A783" s="7">
        <v>2.0623688223864345E-2</v>
      </c>
      <c r="B783"/>
      <c r="C783"/>
      <c r="D783"/>
      <c r="E783"/>
      <c r="AJ783" s="27" t="s">
        <v>7</v>
      </c>
      <c r="AK783" s="27" t="s">
        <v>8</v>
      </c>
      <c r="AL783" s="27" t="s">
        <v>7</v>
      </c>
      <c r="AM783" s="27" t="s">
        <v>8</v>
      </c>
      <c r="AN783" s="27" t="s">
        <v>7</v>
      </c>
      <c r="AO783" s="27" t="s">
        <v>8</v>
      </c>
      <c r="AR783" s="27" t="s">
        <v>7</v>
      </c>
      <c r="AV783" s="27" t="s">
        <v>7</v>
      </c>
      <c r="AW783" s="27" t="s">
        <v>8</v>
      </c>
      <c r="BJ783" s="27" t="s">
        <v>7</v>
      </c>
    </row>
    <row r="784" spans="1:79" x14ac:dyDescent="0.25">
      <c r="A784" s="7">
        <v>2.021930218025916E-2</v>
      </c>
      <c r="B784"/>
      <c r="C784"/>
      <c r="D784"/>
      <c r="E784"/>
      <c r="AJ784" s="27" t="s">
        <v>7</v>
      </c>
      <c r="AK784" s="27" t="s">
        <v>8</v>
      </c>
      <c r="AL784" s="27" t="s">
        <v>7</v>
      </c>
      <c r="AM784" s="27" t="s">
        <v>8</v>
      </c>
      <c r="AN784" s="27" t="s">
        <v>7</v>
      </c>
      <c r="AO784" s="27" t="s">
        <v>8</v>
      </c>
      <c r="AV784" s="27" t="s">
        <v>7</v>
      </c>
      <c r="AW784" s="27" t="s">
        <v>8</v>
      </c>
    </row>
    <row r="785" spans="1:48" x14ac:dyDescent="0.25">
      <c r="A785" s="7">
        <v>1.9822845274763884E-2</v>
      </c>
      <c r="B785"/>
      <c r="C785"/>
      <c r="D785"/>
      <c r="E785"/>
      <c r="AJ785" s="27" t="s">
        <v>7</v>
      </c>
      <c r="AK785" s="27" t="s">
        <v>8</v>
      </c>
      <c r="AL785" s="27" t="s">
        <v>7</v>
      </c>
      <c r="AM785" s="27" t="s">
        <v>8</v>
      </c>
      <c r="AN785" s="27" t="s">
        <v>7</v>
      </c>
      <c r="AO785" s="27" t="s">
        <v>8</v>
      </c>
      <c r="AV785" s="27" t="s">
        <v>7</v>
      </c>
    </row>
    <row r="786" spans="1:48" x14ac:dyDescent="0.25">
      <c r="A786" s="7">
        <v>1.9434162034082238E-2</v>
      </c>
      <c r="B786"/>
      <c r="C786"/>
      <c r="D786"/>
      <c r="E786"/>
      <c r="AJ786" s="27" t="s">
        <v>7</v>
      </c>
      <c r="AK786" s="27" t="s">
        <v>8</v>
      </c>
      <c r="AL786" s="27" t="s">
        <v>7</v>
      </c>
      <c r="AN786" s="27" t="s">
        <v>7</v>
      </c>
    </row>
    <row r="787" spans="1:48" x14ac:dyDescent="0.25">
      <c r="A787" s="7">
        <v>1.9053100033413959E-2</v>
      </c>
      <c r="B787"/>
      <c r="C787"/>
      <c r="D787"/>
      <c r="E787"/>
      <c r="AJ787" s="27" t="s">
        <v>7</v>
      </c>
      <c r="AK787" s="27" t="s">
        <v>8</v>
      </c>
    </row>
    <row r="788" spans="1:48" x14ac:dyDescent="0.25">
      <c r="A788" s="7">
        <v>1.867950983668035E-2</v>
      </c>
      <c r="B788"/>
      <c r="C788"/>
      <c r="D788"/>
      <c r="E788"/>
      <c r="AJ788" s="27" t="s">
        <v>7</v>
      </c>
      <c r="AK788" s="27" t="s">
        <v>8</v>
      </c>
    </row>
    <row r="789" spans="1:48" x14ac:dyDescent="0.25">
      <c r="A789" s="7">
        <v>1.8313244937921913E-2</v>
      </c>
      <c r="B789"/>
      <c r="C789"/>
      <c r="D789"/>
      <c r="E789"/>
      <c r="AJ789" s="27" t="s">
        <v>7</v>
      </c>
      <c r="AK789" s="27" t="s">
        <v>8</v>
      </c>
    </row>
    <row r="790" spans="1:48" x14ac:dyDescent="0.25">
      <c r="A790" s="7">
        <v>1.7954161703845013E-2</v>
      </c>
      <c r="B790"/>
      <c r="C790"/>
      <c r="D790"/>
      <c r="E790"/>
      <c r="AJ790" s="27" t="s">
        <v>7</v>
      </c>
      <c r="AK790" s="27" t="s">
        <v>8</v>
      </c>
    </row>
    <row r="791" spans="1:48" x14ac:dyDescent="0.25">
      <c r="A791" s="7">
        <v>1.7602119317495109E-2</v>
      </c>
      <c r="B791"/>
      <c r="C791"/>
      <c r="D791"/>
      <c r="E791"/>
      <c r="AJ791" s="27" t="s">
        <v>7</v>
      </c>
    </row>
    <row r="792" spans="1:48" x14ac:dyDescent="0.25">
      <c r="A792" s="7">
        <v>1.7256979723034419E-2</v>
      </c>
      <c r="B792"/>
      <c r="C792"/>
      <c r="D792"/>
      <c r="E792"/>
    </row>
    <row r="793" spans="1:48" x14ac:dyDescent="0.25">
      <c r="A793" s="7">
        <v>1.6918607571602372E-2</v>
      </c>
      <c r="B793"/>
      <c r="C793"/>
      <c r="D793"/>
      <c r="E793"/>
    </row>
    <row r="794" spans="1:48" x14ac:dyDescent="0.25">
      <c r="A794" s="7">
        <v>1.6586870168237622E-2</v>
      </c>
      <c r="B794"/>
      <c r="C794"/>
      <c r="D794"/>
      <c r="E794"/>
    </row>
    <row r="795" spans="1:48" x14ac:dyDescent="0.25">
      <c r="A795" s="7">
        <v>1.6261637419840807E-2</v>
      </c>
      <c r="B795"/>
      <c r="C795"/>
      <c r="D795"/>
      <c r="E795"/>
    </row>
    <row r="796" spans="1:48" x14ac:dyDescent="0.25">
      <c r="A796" s="7">
        <v>1.5942781784157655E-2</v>
      </c>
      <c r="B796"/>
      <c r="C796"/>
      <c r="D796"/>
      <c r="E796"/>
    </row>
    <row r="797" spans="1:48" x14ac:dyDescent="0.25">
      <c r="A797" s="7">
        <v>1.5630178219762408E-2</v>
      </c>
      <c r="B797"/>
      <c r="C797"/>
      <c r="D797"/>
      <c r="E797"/>
    </row>
    <row r="798" spans="1:48" x14ac:dyDescent="0.25">
      <c r="A798" s="7">
        <v>1.5323704137021967E-2</v>
      </c>
      <c r="B798"/>
      <c r="C798"/>
      <c r="D798"/>
      <c r="E798"/>
    </row>
    <row r="799" spans="1:48" x14ac:dyDescent="0.25">
      <c r="A799" s="7">
        <v>1.5023239350021535E-2</v>
      </c>
      <c r="B799"/>
      <c r="C799"/>
      <c r="D799"/>
      <c r="E799"/>
    </row>
    <row r="800" spans="1:48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A304" sqref="DA30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$A$303</v>
      </c>
      <c r="D111" s="1" t="str">
        <f>ADDRESS(C121-1,D121,1,1)</f>
        <v>$DA$303</v>
      </c>
      <c r="E111"/>
    </row>
    <row r="112" spans="1:5" x14ac:dyDescent="0.25">
      <c r="A112" s="30">
        <v>515.50191262726139</v>
      </c>
      <c r="C112" s="1" t="str">
        <f>ADDRESS(C121,1,1,1)</f>
        <v>$A$304</v>
      </c>
      <c r="D112" s="1" t="str">
        <f>ADDRESS(C121,D121-1,1,1)</f>
        <v>$CZ$304</v>
      </c>
      <c r="E112"/>
    </row>
    <row r="113" spans="1:5" x14ac:dyDescent="0.25">
      <c r="A113" s="30">
        <v>490.95420250215363</v>
      </c>
      <c r="C113" s="1" t="str">
        <f>ADDRESS(C121+1,1,1,1)</f>
        <v>$A$305</v>
      </c>
      <c r="D113" s="1" t="str">
        <f>ADDRESS(C121-1,D121+1,1,1)</f>
        <v>$DB$303</v>
      </c>
    </row>
    <row r="114" spans="1:5" x14ac:dyDescent="0.25">
      <c r="A114" s="30">
        <v>467.57543095443202</v>
      </c>
      <c r="C114" s="1" t="str">
        <f>ADDRESS(C121,D121,1,1)</f>
        <v>$DA$304</v>
      </c>
      <c r="D114" s="1" t="str">
        <f>ADDRESS(C121+1,D121+1,1,1)</f>
        <v>$DB$305</v>
      </c>
    </row>
    <row r="115" spans="1:5" x14ac:dyDescent="0.25">
      <c r="A115" s="30">
        <v>445.30993424231622</v>
      </c>
      <c r="C115" s="1" t="str">
        <f>ADDRESS(C121+1,D121,1,1)</f>
        <v>$DA$305</v>
      </c>
    </row>
    <row r="116" spans="1:5" x14ac:dyDescent="0.25">
      <c r="A116" s="30">
        <v>424.10469927839637</v>
      </c>
      <c r="C116" s="1">
        <f>C117-1</f>
        <v>303</v>
      </c>
    </row>
    <row r="117" spans="1:5" x14ac:dyDescent="0.25">
      <c r="A117" s="30">
        <v>403.9092374079965</v>
      </c>
      <c r="C117" s="1">
        <f>C121</f>
        <v>304</v>
      </c>
      <c r="D117" s="1">
        <f>D121</f>
        <v>105</v>
      </c>
    </row>
    <row r="118" spans="1:5" x14ac:dyDescent="0.25">
      <c r="A118" s="30">
        <v>384.6754641980919</v>
      </c>
      <c r="C118" s="1">
        <f>C117+1</f>
        <v>305</v>
      </c>
      <c r="D118" s="1">
        <f>D117+1</f>
        <v>106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304</v>
      </c>
      <c r="D121" s="19">
        <v>105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R304</v>
      </c>
      <c r="D123" s="1" t="str">
        <f>"C"&amp;D121</f>
        <v>C105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4.4043807875519279E-2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97" x14ac:dyDescent="0.25">
      <c r="A273" s="30">
        <v>0.19987253960121379</v>
      </c>
      <c r="B273"/>
      <c r="C273"/>
      <c r="D273"/>
      <c r="E273"/>
      <c r="F273" s="27" t="s">
        <v>7</v>
      </c>
      <c r="BE273" s="27" t="s">
        <v>8</v>
      </c>
    </row>
    <row r="274" spans="1:97" x14ac:dyDescent="0.25">
      <c r="A274" s="30">
        <v>0.19035479962020352</v>
      </c>
      <c r="B274"/>
      <c r="C274"/>
      <c r="D274"/>
      <c r="E274"/>
      <c r="F274" s="27" t="s">
        <v>7</v>
      </c>
      <c r="BE274" s="27" t="s">
        <v>8</v>
      </c>
      <c r="BF274" s="27" t="s">
        <v>7</v>
      </c>
    </row>
    <row r="275" spans="1:97" x14ac:dyDescent="0.25">
      <c r="A275" s="30">
        <v>0.18129028535257471</v>
      </c>
      <c r="B275"/>
      <c r="C275"/>
      <c r="D275"/>
      <c r="E275"/>
      <c r="F275" s="27" t="s">
        <v>7</v>
      </c>
      <c r="BE275" s="27" t="s">
        <v>8</v>
      </c>
      <c r="BF275" s="27" t="s">
        <v>7</v>
      </c>
      <c r="BG275" s="27" t="s">
        <v>8</v>
      </c>
      <c r="BI275" s="27" t="s">
        <v>8</v>
      </c>
    </row>
    <row r="276" spans="1:97" x14ac:dyDescent="0.25">
      <c r="A276" s="30">
        <v>0.17265741462149967</v>
      </c>
      <c r="B276"/>
      <c r="C276"/>
      <c r="D276"/>
      <c r="E276"/>
      <c r="F276" s="27" t="s">
        <v>7</v>
      </c>
      <c r="BE276" s="27" t="s">
        <v>8</v>
      </c>
      <c r="BF276" s="27" t="s">
        <v>7</v>
      </c>
      <c r="BG276" s="27" t="s">
        <v>8</v>
      </c>
      <c r="BH276" s="27" t="s">
        <v>7</v>
      </c>
      <c r="BI276" s="27" t="s">
        <v>8</v>
      </c>
      <c r="BJ276" s="27" t="s">
        <v>7</v>
      </c>
    </row>
    <row r="277" spans="1:97" x14ac:dyDescent="0.25">
      <c r="A277" s="30">
        <v>0.16443563297285677</v>
      </c>
      <c r="B277"/>
      <c r="C277"/>
      <c r="D277"/>
      <c r="E277"/>
      <c r="F277" s="27" t="s">
        <v>7</v>
      </c>
      <c r="BE277" s="27" t="s">
        <v>8</v>
      </c>
      <c r="BF277" s="27" t="s">
        <v>7</v>
      </c>
      <c r="BG277" s="27" t="s">
        <v>8</v>
      </c>
      <c r="BH277" s="27" t="s">
        <v>7</v>
      </c>
      <c r="BI277" s="27" t="s">
        <v>8</v>
      </c>
      <c r="BJ277" s="27" t="s">
        <v>7</v>
      </c>
      <c r="BQ277" s="27" t="s">
        <v>8</v>
      </c>
    </row>
    <row r="278" spans="1:97" x14ac:dyDescent="0.25">
      <c r="A278" s="30">
        <v>0.15660536473605399</v>
      </c>
      <c r="B278"/>
      <c r="C278"/>
      <c r="D278"/>
      <c r="E278"/>
      <c r="F278" s="27" t="s">
        <v>7</v>
      </c>
      <c r="BE278" s="27" t="s">
        <v>8</v>
      </c>
      <c r="BF278" s="27" t="s">
        <v>7</v>
      </c>
      <c r="BG278" s="27" t="s">
        <v>8</v>
      </c>
      <c r="BH278" s="27" t="s">
        <v>7</v>
      </c>
      <c r="BJ278" s="27" t="s">
        <v>7</v>
      </c>
      <c r="BK278" s="27" t="s">
        <v>8</v>
      </c>
      <c r="BQ278" s="27" t="s">
        <v>8</v>
      </c>
      <c r="BR278" s="27" t="s">
        <v>7</v>
      </c>
    </row>
    <row r="279" spans="1:97" x14ac:dyDescent="0.25">
      <c r="A279" s="30">
        <v>0.14914796641528946</v>
      </c>
      <c r="B279"/>
      <c r="C279"/>
      <c r="D279"/>
      <c r="E279"/>
      <c r="F279" s="27" t="s">
        <v>7</v>
      </c>
      <c r="BC279" s="27" t="s">
        <v>8</v>
      </c>
      <c r="BE279" s="27" t="s">
        <v>8</v>
      </c>
      <c r="BF279" s="27" t="s">
        <v>7</v>
      </c>
      <c r="BG279" s="27" t="s">
        <v>8</v>
      </c>
      <c r="BJ279" s="27" t="s">
        <v>7</v>
      </c>
      <c r="BK279" s="27" t="s">
        <v>8</v>
      </c>
      <c r="BL279" s="27" t="s">
        <v>7</v>
      </c>
      <c r="BQ279" s="27" t="s">
        <v>8</v>
      </c>
      <c r="BR279" s="27" t="s">
        <v>7</v>
      </c>
    </row>
    <row r="280" spans="1:97" x14ac:dyDescent="0.25">
      <c r="A280" s="30">
        <v>0.14204568230027562</v>
      </c>
      <c r="B280"/>
      <c r="C280"/>
      <c r="D280"/>
      <c r="E280"/>
      <c r="F280" s="27" t="s">
        <v>7</v>
      </c>
      <c r="BC280" s="27" t="s">
        <v>8</v>
      </c>
      <c r="BD280" s="27" t="s">
        <v>7</v>
      </c>
      <c r="BE280" s="27" t="s">
        <v>8</v>
      </c>
      <c r="BF280" s="27" t="s">
        <v>7</v>
      </c>
      <c r="BG280" s="27" t="s">
        <v>8</v>
      </c>
      <c r="BJ280" s="27" t="s">
        <v>7</v>
      </c>
      <c r="BK280" s="27" t="s">
        <v>8</v>
      </c>
      <c r="BL280" s="27" t="s">
        <v>7</v>
      </c>
      <c r="BQ280" s="27" t="s">
        <v>8</v>
      </c>
      <c r="BR280" s="27" t="s">
        <v>7</v>
      </c>
    </row>
    <row r="281" spans="1:97" x14ac:dyDescent="0.25">
      <c r="A281" s="30">
        <v>0.13528160219073862</v>
      </c>
      <c r="B281"/>
      <c r="C281"/>
      <c r="D281"/>
      <c r="E281"/>
      <c r="F281" s="27" t="s">
        <v>7</v>
      </c>
      <c r="BC281" s="27" t="s">
        <v>8</v>
      </c>
      <c r="BD281" s="27" t="s">
        <v>7</v>
      </c>
      <c r="BE281" s="27" t="s">
        <v>8</v>
      </c>
      <c r="BF281" s="27" t="s">
        <v>7</v>
      </c>
      <c r="BG281" s="27" t="s">
        <v>8</v>
      </c>
      <c r="BJ281" s="27" t="s">
        <v>7</v>
      </c>
      <c r="BK281" s="27" t="s">
        <v>8</v>
      </c>
      <c r="BL281" s="27" t="s">
        <v>7</v>
      </c>
      <c r="BO281" s="27" t="s">
        <v>8</v>
      </c>
      <c r="BQ281" s="27" t="s">
        <v>8</v>
      </c>
      <c r="BR281" s="27" t="s">
        <v>7</v>
      </c>
    </row>
    <row r="282" spans="1:97" x14ac:dyDescent="0.25">
      <c r="A282" s="30">
        <v>0.12883962113403674</v>
      </c>
      <c r="B282"/>
      <c r="C282"/>
      <c r="D282"/>
      <c r="E282"/>
      <c r="F282" s="27" t="s">
        <v>7</v>
      </c>
      <c r="BC282" s="27" t="s">
        <v>8</v>
      </c>
      <c r="BD282" s="27" t="s">
        <v>7</v>
      </c>
      <c r="BE282" s="27" t="s">
        <v>8</v>
      </c>
      <c r="BF282" s="27" t="s">
        <v>7</v>
      </c>
      <c r="BG282" s="27" t="s">
        <v>8</v>
      </c>
      <c r="BJ282" s="27" t="s">
        <v>7</v>
      </c>
      <c r="BL282" s="27" t="s">
        <v>7</v>
      </c>
      <c r="BO282" s="27" t="s">
        <v>8</v>
      </c>
      <c r="BP282" s="27" t="s">
        <v>7</v>
      </c>
      <c r="BQ282" s="27" t="s">
        <v>8</v>
      </c>
      <c r="BR282" s="27" t="s">
        <v>7</v>
      </c>
    </row>
    <row r="283" spans="1:97" x14ac:dyDescent="0.25">
      <c r="A283" s="30">
        <v>0.12270440108003494</v>
      </c>
      <c r="B283"/>
      <c r="C283"/>
      <c r="D283"/>
      <c r="E283"/>
      <c r="F283" s="27" t="s">
        <v>7</v>
      </c>
      <c r="BC283" s="27" t="s">
        <v>8</v>
      </c>
      <c r="BD283" s="27" t="s">
        <v>7</v>
      </c>
      <c r="BF283" s="27" t="s">
        <v>7</v>
      </c>
      <c r="BL283" s="27" t="s">
        <v>7</v>
      </c>
      <c r="BO283" s="27" t="s">
        <v>8</v>
      </c>
      <c r="BP283" s="27" t="s">
        <v>7</v>
      </c>
      <c r="BQ283" s="27" t="s">
        <v>8</v>
      </c>
      <c r="BR283" s="27" t="s">
        <v>7</v>
      </c>
    </row>
    <row r="284" spans="1:97" x14ac:dyDescent="0.25">
      <c r="A284" s="30">
        <v>0.11686133436193799</v>
      </c>
      <c r="B284"/>
      <c r="C284"/>
      <c r="D284"/>
      <c r="E284"/>
      <c r="F284" s="27" t="s">
        <v>7</v>
      </c>
      <c r="BA284" s="27" t="s">
        <v>8</v>
      </c>
      <c r="BC284" s="27" t="s">
        <v>8</v>
      </c>
      <c r="BL284" s="27" t="s">
        <v>7</v>
      </c>
      <c r="BM284" s="27" t="s">
        <v>8</v>
      </c>
      <c r="BO284" s="27" t="s">
        <v>8</v>
      </c>
      <c r="BP284" s="27" t="s">
        <v>7</v>
      </c>
      <c r="BR284" s="27" t="s">
        <v>7</v>
      </c>
    </row>
    <row r="285" spans="1:97" x14ac:dyDescent="0.25">
      <c r="A285" s="30">
        <v>0.11129650891613138</v>
      </c>
      <c r="B285"/>
      <c r="C285"/>
      <c r="D285"/>
      <c r="E285"/>
      <c r="F285" s="27" t="s">
        <v>7</v>
      </c>
      <c r="BA285" s="27" t="s">
        <v>8</v>
      </c>
      <c r="BB285" s="27" t="s">
        <v>7</v>
      </c>
      <c r="BC285" s="27" t="s">
        <v>8</v>
      </c>
      <c r="BL285" s="27" t="s">
        <v>7</v>
      </c>
      <c r="BM285" s="27" t="s">
        <v>8</v>
      </c>
      <c r="BN285" s="27" t="s">
        <v>7</v>
      </c>
      <c r="BO285" s="27" t="s">
        <v>8</v>
      </c>
      <c r="BR285" s="27" t="s">
        <v>7</v>
      </c>
    </row>
    <row r="286" spans="1:97" x14ac:dyDescent="0.25">
      <c r="A286" s="30">
        <v>0.10599667515822032</v>
      </c>
      <c r="B286"/>
      <c r="C286"/>
      <c r="D286"/>
      <c r="E286"/>
      <c r="F286" s="27" t="s">
        <v>7</v>
      </c>
      <c r="BA286" s="27" t="s">
        <v>8</v>
      </c>
      <c r="BB286" s="27" t="s">
        <v>7</v>
      </c>
      <c r="BC286" s="27" t="s">
        <v>8</v>
      </c>
      <c r="BL286" s="27" t="s">
        <v>7</v>
      </c>
      <c r="BM286" s="27" t="s">
        <v>8</v>
      </c>
      <c r="BN286" s="27" t="s">
        <v>7</v>
      </c>
      <c r="BO286" s="27" t="s">
        <v>8</v>
      </c>
      <c r="BR286" s="27" t="s">
        <v>7</v>
      </c>
    </row>
    <row r="287" spans="1:97" x14ac:dyDescent="0.25">
      <c r="A287" s="30">
        <v>0.10094921443640027</v>
      </c>
      <c r="B287"/>
      <c r="C287"/>
      <c r="D287"/>
      <c r="E287"/>
      <c r="F287" s="27" t="s">
        <v>7</v>
      </c>
      <c r="BA287" s="27" t="s">
        <v>8</v>
      </c>
      <c r="BB287" s="27" t="s">
        <v>7</v>
      </c>
      <c r="BC287" s="27" t="s">
        <v>8</v>
      </c>
      <c r="BL287" s="27" t="s">
        <v>7</v>
      </c>
      <c r="BM287" s="27" t="s">
        <v>8</v>
      </c>
      <c r="BN287" s="27" t="s">
        <v>7</v>
      </c>
      <c r="BO287" s="27" t="s">
        <v>8</v>
      </c>
      <c r="BR287" s="27" t="s">
        <v>7</v>
      </c>
      <c r="CM287" s="27" t="s">
        <v>8</v>
      </c>
    </row>
    <row r="288" spans="1:97" x14ac:dyDescent="0.25">
      <c r="A288" s="30">
        <v>9.6142108987047836E-2</v>
      </c>
      <c r="B288"/>
      <c r="C288"/>
      <c r="D288"/>
      <c r="E288"/>
      <c r="F288" s="27" t="s">
        <v>7</v>
      </c>
      <c r="BA288" s="27" t="s">
        <v>8</v>
      </c>
      <c r="BB288" s="27" t="s">
        <v>7</v>
      </c>
      <c r="BC288" s="27" t="s">
        <v>8</v>
      </c>
      <c r="BL288" s="27" t="s">
        <v>7</v>
      </c>
      <c r="BM288" s="27" t="s">
        <v>8</v>
      </c>
      <c r="BN288" s="27" t="s">
        <v>7</v>
      </c>
      <c r="BR288" s="27" t="s">
        <v>7</v>
      </c>
      <c r="CI288" s="27" t="s">
        <v>8</v>
      </c>
      <c r="CM288" s="27" t="s">
        <v>8</v>
      </c>
      <c r="CN288" s="27" t="s">
        <v>7</v>
      </c>
      <c r="CQ288" s="27" t="s">
        <v>8</v>
      </c>
      <c r="CS288" s="27" t="s">
        <v>8</v>
      </c>
    </row>
    <row r="289" spans="1:105" x14ac:dyDescent="0.25">
      <c r="A289" s="30">
        <v>9.1563913320997906E-2</v>
      </c>
      <c r="B289"/>
      <c r="C289"/>
      <c r="D289"/>
      <c r="E289"/>
      <c r="F289" s="27" t="s">
        <v>7</v>
      </c>
      <c r="BA289" s="27" t="s">
        <v>8</v>
      </c>
      <c r="BB289" s="27" t="s">
        <v>7</v>
      </c>
      <c r="BC289" s="27" t="s">
        <v>8</v>
      </c>
      <c r="BL289" s="27" t="s">
        <v>7</v>
      </c>
      <c r="BM289" s="27" t="s">
        <v>8</v>
      </c>
      <c r="BR289" s="27" t="s">
        <v>7</v>
      </c>
      <c r="CI289" s="27" t="s">
        <v>8</v>
      </c>
      <c r="CJ289" s="27" t="s">
        <v>7</v>
      </c>
      <c r="CK289" s="27" t="s">
        <v>8</v>
      </c>
      <c r="CM289" s="27" t="s">
        <v>8</v>
      </c>
      <c r="CN289" s="27" t="s">
        <v>7</v>
      </c>
      <c r="CQ289" s="27" t="s">
        <v>8</v>
      </c>
      <c r="CR289" s="27" t="s">
        <v>7</v>
      </c>
      <c r="CS289" s="27" t="s">
        <v>8</v>
      </c>
      <c r="CT289" s="27" t="s">
        <v>7</v>
      </c>
      <c r="CU289" s="27" t="s">
        <v>8</v>
      </c>
    </row>
    <row r="290" spans="1:105" x14ac:dyDescent="0.25">
      <c r="A290" s="30">
        <v>8.7203726972378923E-2</v>
      </c>
      <c r="B290"/>
      <c r="C290"/>
      <c r="D290"/>
      <c r="E290"/>
      <c r="F290" s="27" t="s">
        <v>7</v>
      </c>
      <c r="BA290" s="27" t="s">
        <v>8</v>
      </c>
      <c r="BB290" s="27" t="s">
        <v>7</v>
      </c>
      <c r="BC290" s="27" t="s">
        <v>8</v>
      </c>
      <c r="BL290" s="27" t="s">
        <v>7</v>
      </c>
      <c r="BR290" s="27" t="s">
        <v>7</v>
      </c>
      <c r="CI290" s="27" t="s">
        <v>8</v>
      </c>
      <c r="CJ290" s="27" t="s">
        <v>7</v>
      </c>
      <c r="CK290" s="27" t="s">
        <v>8</v>
      </c>
      <c r="CL290" s="27" t="s">
        <v>7</v>
      </c>
      <c r="CM290" s="27" t="s">
        <v>8</v>
      </c>
      <c r="CN290" s="27" t="s">
        <v>7</v>
      </c>
      <c r="CQ290" s="27" t="s">
        <v>8</v>
      </c>
      <c r="CR290" s="27" t="s">
        <v>7</v>
      </c>
      <c r="CS290" s="27" t="s">
        <v>8</v>
      </c>
      <c r="CT290" s="27" t="s">
        <v>7</v>
      </c>
      <c r="CU290" s="27" t="s">
        <v>8</v>
      </c>
      <c r="CV290" s="27" t="s">
        <v>7</v>
      </c>
    </row>
    <row r="291" spans="1:105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BA291" s="27" t="s">
        <v>8</v>
      </c>
      <c r="BB291" s="27" t="s">
        <v>7</v>
      </c>
      <c r="BC291" s="27" t="s">
        <v>8</v>
      </c>
      <c r="BR291" s="27" t="s">
        <v>7</v>
      </c>
      <c r="CI291" s="27" t="s">
        <v>8</v>
      </c>
      <c r="CJ291" s="27" t="s">
        <v>7</v>
      </c>
      <c r="CK291" s="27" t="s">
        <v>8</v>
      </c>
      <c r="CL291" s="27" t="s">
        <v>7</v>
      </c>
      <c r="CM291" s="27" t="s">
        <v>8</v>
      </c>
      <c r="CN291" s="27" t="s">
        <v>7</v>
      </c>
      <c r="CQ291" s="27" t="s">
        <v>8</v>
      </c>
      <c r="CR291" s="27" t="s">
        <v>7</v>
      </c>
      <c r="CS291" s="27" t="s">
        <v>8</v>
      </c>
      <c r="CT291" s="27" t="s">
        <v>7</v>
      </c>
      <c r="CU291" s="27" t="s">
        <v>8</v>
      </c>
      <c r="CV291" s="27" t="s">
        <v>7</v>
      </c>
    </row>
    <row r="292" spans="1:105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H292" s="27" t="s">
        <v>7</v>
      </c>
      <c r="I292" s="27" t="s">
        <v>8</v>
      </c>
      <c r="AW292" s="27" t="s">
        <v>8</v>
      </c>
      <c r="BA292" s="27" t="s">
        <v>8</v>
      </c>
      <c r="BB292" s="27" t="s">
        <v>7</v>
      </c>
      <c r="BC292" s="27" t="s">
        <v>8</v>
      </c>
      <c r="BR292" s="27" t="s">
        <v>7</v>
      </c>
      <c r="BS292" s="27" t="s">
        <v>8</v>
      </c>
      <c r="CI292" s="27" t="s">
        <v>8</v>
      </c>
      <c r="CJ292" s="27" t="s">
        <v>7</v>
      </c>
      <c r="CK292" s="27" t="s">
        <v>8</v>
      </c>
      <c r="CL292" s="27" t="s">
        <v>7</v>
      </c>
      <c r="CN292" s="27" t="s">
        <v>7</v>
      </c>
      <c r="CQ292" s="27" t="s">
        <v>8</v>
      </c>
      <c r="CR292" s="27" t="s">
        <v>7</v>
      </c>
      <c r="CS292" s="27" t="s">
        <v>8</v>
      </c>
      <c r="CT292" s="27" t="s">
        <v>7</v>
      </c>
      <c r="CU292" s="27" t="s">
        <v>8</v>
      </c>
      <c r="CV292" s="27" t="s">
        <v>7</v>
      </c>
    </row>
    <row r="293" spans="1:105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H293" s="27" t="s">
        <v>7</v>
      </c>
      <c r="I293" s="27" t="s">
        <v>8</v>
      </c>
      <c r="J293" s="27" t="s">
        <v>7</v>
      </c>
      <c r="AW293" s="27" t="s">
        <v>8</v>
      </c>
      <c r="AX293" s="27" t="s">
        <v>7</v>
      </c>
      <c r="BA293" s="27" t="s">
        <v>8</v>
      </c>
      <c r="BB293" s="27" t="s">
        <v>7</v>
      </c>
      <c r="BR293" s="27" t="s">
        <v>7</v>
      </c>
      <c r="BS293" s="27" t="s">
        <v>8</v>
      </c>
      <c r="BT293" s="27" t="s">
        <v>7</v>
      </c>
      <c r="CG293" s="27" t="s">
        <v>8</v>
      </c>
      <c r="CI293" s="27" t="s">
        <v>8</v>
      </c>
      <c r="CJ293" s="27" t="s">
        <v>7</v>
      </c>
      <c r="CK293" s="27" t="s">
        <v>8</v>
      </c>
      <c r="CN293" s="27" t="s">
        <v>7</v>
      </c>
      <c r="CO293" s="27" t="s">
        <v>8</v>
      </c>
      <c r="CQ293" s="27" t="s">
        <v>8</v>
      </c>
      <c r="CR293" s="27" t="s">
        <v>7</v>
      </c>
      <c r="CT293" s="27" t="s">
        <v>7</v>
      </c>
      <c r="CU293" s="27" t="s">
        <v>8</v>
      </c>
      <c r="CV293" s="27" t="s">
        <v>7</v>
      </c>
    </row>
    <row r="294" spans="1:105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H294" s="27" t="s">
        <v>7</v>
      </c>
      <c r="I294" s="27" t="s">
        <v>8</v>
      </c>
      <c r="J294" s="27" t="s">
        <v>7</v>
      </c>
      <c r="M294" s="27" t="s">
        <v>8</v>
      </c>
      <c r="AW294" s="27" t="s">
        <v>8</v>
      </c>
      <c r="AX294" s="27" t="s">
        <v>7</v>
      </c>
      <c r="BA294" s="27" t="s">
        <v>8</v>
      </c>
      <c r="BR294" s="27" t="s">
        <v>7</v>
      </c>
      <c r="BS294" s="27" t="s">
        <v>8</v>
      </c>
      <c r="BT294" s="27" t="s">
        <v>7</v>
      </c>
      <c r="BU294" s="27" t="s">
        <v>8</v>
      </c>
      <c r="BW294" s="27" t="s">
        <v>8</v>
      </c>
      <c r="BY294" s="27" t="s">
        <v>8</v>
      </c>
      <c r="CG294" s="27" t="s">
        <v>8</v>
      </c>
      <c r="CH294" s="27" t="s">
        <v>7</v>
      </c>
      <c r="CI294" s="27" t="s">
        <v>8</v>
      </c>
      <c r="CJ294" s="27" t="s">
        <v>7</v>
      </c>
      <c r="CN294" s="27" t="s">
        <v>7</v>
      </c>
      <c r="CO294" s="27" t="s">
        <v>8</v>
      </c>
      <c r="CP294" s="27" t="s">
        <v>7</v>
      </c>
      <c r="CQ294" s="27" t="s">
        <v>8</v>
      </c>
      <c r="CT294" s="27" t="s">
        <v>7</v>
      </c>
      <c r="CV294" s="27" t="s">
        <v>7</v>
      </c>
      <c r="CW294" s="27" t="s">
        <v>8</v>
      </c>
    </row>
    <row r="295" spans="1:105" x14ac:dyDescent="0.25">
      <c r="A295" s="30">
        <v>6.8326401896430078E-2</v>
      </c>
      <c r="B295"/>
      <c r="C295"/>
      <c r="D295"/>
      <c r="E295"/>
      <c r="F295" s="27" t="s">
        <v>7</v>
      </c>
      <c r="H295" s="27" t="s">
        <v>7</v>
      </c>
      <c r="J295" s="27" t="s">
        <v>7</v>
      </c>
      <c r="M295" s="27" t="s">
        <v>8</v>
      </c>
      <c r="N295" s="27" t="s">
        <v>7</v>
      </c>
      <c r="AW295" s="27" t="s">
        <v>8</v>
      </c>
      <c r="AX295" s="27" t="s">
        <v>7</v>
      </c>
      <c r="BA295" s="27" t="s">
        <v>8</v>
      </c>
      <c r="BR295" s="27" t="s">
        <v>7</v>
      </c>
      <c r="BS295" s="27" t="s">
        <v>8</v>
      </c>
      <c r="BT295" s="27" t="s">
        <v>7</v>
      </c>
      <c r="BU295" s="27" t="s">
        <v>8</v>
      </c>
      <c r="BV295" s="27" t="s">
        <v>7</v>
      </c>
      <c r="BW295" s="27" t="s">
        <v>8</v>
      </c>
      <c r="BX295" s="27" t="s">
        <v>7</v>
      </c>
      <c r="BY295" s="27" t="s">
        <v>8</v>
      </c>
      <c r="BZ295" s="27" t="s">
        <v>7</v>
      </c>
      <c r="CE295" s="27" t="s">
        <v>8</v>
      </c>
      <c r="CG295" s="27" t="s">
        <v>8</v>
      </c>
      <c r="CH295" s="27" t="s">
        <v>7</v>
      </c>
      <c r="CI295" s="27" t="s">
        <v>8</v>
      </c>
      <c r="CN295" s="27" t="s">
        <v>7</v>
      </c>
      <c r="CO295" s="27" t="s">
        <v>8</v>
      </c>
      <c r="CP295" s="27" t="s">
        <v>7</v>
      </c>
      <c r="CQ295" s="27" t="s">
        <v>8</v>
      </c>
      <c r="CV295" s="27" t="s">
        <v>7</v>
      </c>
      <c r="CW295" s="27" t="s">
        <v>8</v>
      </c>
      <c r="CX295" s="27" t="s">
        <v>7</v>
      </c>
    </row>
    <row r="296" spans="1:105" x14ac:dyDescent="0.25">
      <c r="A296" s="30">
        <v>6.5072763710885759E-2</v>
      </c>
      <c r="B296"/>
      <c r="C296"/>
      <c r="D296"/>
      <c r="E296"/>
      <c r="J296" s="27" t="s">
        <v>7</v>
      </c>
      <c r="M296" s="27" t="s">
        <v>8</v>
      </c>
      <c r="N296" s="27" t="s">
        <v>7</v>
      </c>
      <c r="AW296" s="27" t="s">
        <v>8</v>
      </c>
      <c r="AX296" s="27" t="s">
        <v>7</v>
      </c>
      <c r="BA296" s="27" t="s">
        <v>8</v>
      </c>
      <c r="BR296" s="27" t="s">
        <v>7</v>
      </c>
      <c r="BS296" s="27" t="s">
        <v>8</v>
      </c>
      <c r="BT296" s="27" t="s">
        <v>7</v>
      </c>
      <c r="BU296" s="27" t="s">
        <v>8</v>
      </c>
      <c r="BV296" s="27" t="s">
        <v>7</v>
      </c>
      <c r="BW296" s="27" t="s">
        <v>8</v>
      </c>
      <c r="BX296" s="27" t="s">
        <v>7</v>
      </c>
      <c r="BY296" s="27" t="s">
        <v>8</v>
      </c>
      <c r="BZ296" s="27" t="s">
        <v>7</v>
      </c>
      <c r="CE296" s="27" t="s">
        <v>8</v>
      </c>
      <c r="CF296" s="27" t="s">
        <v>7</v>
      </c>
      <c r="CG296" s="27" t="s">
        <v>8</v>
      </c>
      <c r="CH296" s="27" t="s">
        <v>7</v>
      </c>
      <c r="CN296" s="27" t="s">
        <v>7</v>
      </c>
      <c r="CP296" s="27" t="s">
        <v>7</v>
      </c>
      <c r="CQ296" s="27" t="s">
        <v>8</v>
      </c>
      <c r="CV296" s="27" t="s">
        <v>7</v>
      </c>
      <c r="CW296" s="27" t="s">
        <v>8</v>
      </c>
      <c r="CX296" s="27" t="s">
        <v>7</v>
      </c>
    </row>
    <row r="297" spans="1:105" x14ac:dyDescent="0.25">
      <c r="A297" s="30">
        <v>6.197406067703403E-2</v>
      </c>
      <c r="B297"/>
      <c r="C297"/>
      <c r="D297"/>
      <c r="E297"/>
      <c r="J297" s="27" t="s">
        <v>7</v>
      </c>
      <c r="K297" s="27" t="s">
        <v>8</v>
      </c>
      <c r="M297" s="27" t="s">
        <v>8</v>
      </c>
      <c r="N297" s="27" t="s">
        <v>7</v>
      </c>
      <c r="AW297" s="27" t="s">
        <v>8</v>
      </c>
      <c r="AX297" s="27" t="s">
        <v>7</v>
      </c>
      <c r="BA297" s="27" t="s">
        <v>8</v>
      </c>
      <c r="BR297" s="27" t="s">
        <v>7</v>
      </c>
      <c r="BS297" s="27" t="s">
        <v>8</v>
      </c>
      <c r="BT297" s="27" t="s">
        <v>7</v>
      </c>
      <c r="BU297" s="27" t="s">
        <v>8</v>
      </c>
      <c r="BV297" s="27" t="s">
        <v>7</v>
      </c>
      <c r="BW297" s="27" t="s">
        <v>8</v>
      </c>
      <c r="BX297" s="27" t="s">
        <v>7</v>
      </c>
      <c r="BZ297" s="27" t="s">
        <v>7</v>
      </c>
      <c r="CE297" s="27" t="s">
        <v>8</v>
      </c>
      <c r="CF297" s="27" t="s">
        <v>7</v>
      </c>
      <c r="CG297" s="27" t="s">
        <v>8</v>
      </c>
      <c r="CP297" s="27" t="s">
        <v>7</v>
      </c>
      <c r="CQ297" s="27" t="s">
        <v>8</v>
      </c>
      <c r="CV297" s="27" t="s">
        <v>7</v>
      </c>
      <c r="CW297" s="27" t="s">
        <v>8</v>
      </c>
      <c r="CX297" s="27" t="s">
        <v>7</v>
      </c>
    </row>
    <row r="298" spans="1:105" x14ac:dyDescent="0.25">
      <c r="A298" s="30">
        <v>5.9022914930508576E-2</v>
      </c>
      <c r="B298"/>
      <c r="C298"/>
      <c r="D298"/>
      <c r="E298"/>
      <c r="J298" s="27" t="s">
        <v>7</v>
      </c>
      <c r="K298" s="27" t="s">
        <v>8</v>
      </c>
      <c r="L298" s="27" t="s">
        <v>7</v>
      </c>
      <c r="M298" s="27" t="s">
        <v>8</v>
      </c>
      <c r="N298" s="27" t="s">
        <v>7</v>
      </c>
      <c r="AW298" s="27" t="s">
        <v>8</v>
      </c>
      <c r="AX298" s="27" t="s">
        <v>7</v>
      </c>
      <c r="BA298" s="27" t="s">
        <v>8</v>
      </c>
      <c r="BR298" s="27" t="s">
        <v>7</v>
      </c>
      <c r="BS298" s="27" t="s">
        <v>8</v>
      </c>
      <c r="BT298" s="27" t="s">
        <v>7</v>
      </c>
      <c r="BU298" s="27" t="s">
        <v>8</v>
      </c>
      <c r="BV298" s="27" t="s">
        <v>7</v>
      </c>
      <c r="BZ298" s="27" t="s">
        <v>7</v>
      </c>
      <c r="CE298" s="27" t="s">
        <v>8</v>
      </c>
      <c r="CF298" s="27" t="s">
        <v>7</v>
      </c>
      <c r="CG298" s="27" t="s">
        <v>8</v>
      </c>
      <c r="CP298" s="27" t="s">
        <v>7</v>
      </c>
      <c r="CV298" s="27" t="s">
        <v>7</v>
      </c>
      <c r="CW298" s="27" t="s">
        <v>8</v>
      </c>
      <c r="CX298" s="27" t="s">
        <v>7</v>
      </c>
    </row>
    <row r="299" spans="1:105" x14ac:dyDescent="0.25">
      <c r="A299" s="30">
        <v>5.6212299933817669E-2</v>
      </c>
      <c r="B299"/>
      <c r="C299"/>
      <c r="D299"/>
      <c r="E299"/>
      <c r="J299" s="27" t="s">
        <v>7</v>
      </c>
      <c r="K299" s="27" t="s">
        <v>8</v>
      </c>
      <c r="L299" s="27" t="s">
        <v>7</v>
      </c>
      <c r="M299" s="27" t="s">
        <v>8</v>
      </c>
      <c r="N299" s="27" t="s">
        <v>7</v>
      </c>
      <c r="AW299" s="27" t="s">
        <v>8</v>
      </c>
      <c r="AX299" s="27" t="s">
        <v>7</v>
      </c>
      <c r="BA299" s="27" t="s">
        <v>8</v>
      </c>
      <c r="BR299" s="27" t="s">
        <v>7</v>
      </c>
      <c r="BT299" s="27" t="s">
        <v>7</v>
      </c>
      <c r="BU299" s="27" t="s">
        <v>8</v>
      </c>
      <c r="BZ299" s="27" t="s">
        <v>7</v>
      </c>
      <c r="CC299" s="27" t="s">
        <v>8</v>
      </c>
      <c r="CE299" s="27" t="s">
        <v>8</v>
      </c>
      <c r="CF299" s="27" t="s">
        <v>7</v>
      </c>
      <c r="CV299" s="27" t="s">
        <v>7</v>
      </c>
      <c r="CX299" s="27" t="s">
        <v>7</v>
      </c>
      <c r="CY299" s="27" t="s">
        <v>8</v>
      </c>
    </row>
    <row r="300" spans="1:105" x14ac:dyDescent="0.25">
      <c r="A300" s="30">
        <v>5.3535523746492994E-2</v>
      </c>
      <c r="B300"/>
      <c r="C300"/>
      <c r="D300"/>
      <c r="E300"/>
      <c r="J300" s="27" t="s">
        <v>7</v>
      </c>
      <c r="K300" s="27" t="s">
        <v>8</v>
      </c>
      <c r="L300" s="27" t="s">
        <v>7</v>
      </c>
      <c r="M300" s="27" t="s">
        <v>8</v>
      </c>
      <c r="N300" s="27" t="s">
        <v>7</v>
      </c>
      <c r="AU300" s="27" t="s">
        <v>8</v>
      </c>
      <c r="AW300" s="27" t="s">
        <v>8</v>
      </c>
      <c r="AX300" s="27" t="s">
        <v>7</v>
      </c>
      <c r="BA300" s="27" t="s">
        <v>8</v>
      </c>
      <c r="BT300" s="27" t="s">
        <v>7</v>
      </c>
      <c r="BU300" s="27" t="s">
        <v>8</v>
      </c>
      <c r="BZ300" s="27" t="s">
        <v>7</v>
      </c>
      <c r="CC300" s="27" t="s">
        <v>8</v>
      </c>
      <c r="CD300" s="27" t="s">
        <v>7</v>
      </c>
      <c r="CE300" s="27" t="s">
        <v>8</v>
      </c>
      <c r="CX300" s="27" t="s">
        <v>7</v>
      </c>
      <c r="CY300" s="27" t="s">
        <v>8</v>
      </c>
      <c r="CZ300" s="27" t="s">
        <v>7</v>
      </c>
    </row>
    <row r="301" spans="1:105" x14ac:dyDescent="0.25">
      <c r="A301" s="30">
        <v>5.0986213091898068E-2</v>
      </c>
      <c r="B301"/>
      <c r="C301"/>
      <c r="D301"/>
      <c r="E301"/>
      <c r="J301" s="27" t="s">
        <v>7</v>
      </c>
      <c r="K301" s="27" t="s">
        <v>8</v>
      </c>
      <c r="L301" s="27" t="s">
        <v>7</v>
      </c>
      <c r="N301" s="27" t="s">
        <v>7</v>
      </c>
      <c r="AU301" s="27" t="s">
        <v>8</v>
      </c>
      <c r="AV301" s="27" t="s">
        <v>7</v>
      </c>
      <c r="AW301" s="27" t="s">
        <v>8</v>
      </c>
      <c r="AX301" s="27" t="s">
        <v>7</v>
      </c>
      <c r="AY301" s="27" t="s">
        <v>8</v>
      </c>
      <c r="BA301" s="27" t="s">
        <v>8</v>
      </c>
      <c r="BT301" s="27" t="s">
        <v>7</v>
      </c>
      <c r="BZ301" s="27" t="s">
        <v>7</v>
      </c>
      <c r="CC301" s="27" t="s">
        <v>8</v>
      </c>
      <c r="CD301" s="27" t="s">
        <v>7</v>
      </c>
      <c r="CE301" s="27" t="s">
        <v>8</v>
      </c>
      <c r="CX301" s="27" t="s">
        <v>7</v>
      </c>
      <c r="CY301" s="27" t="s">
        <v>8</v>
      </c>
      <c r="CZ301" s="27" t="s">
        <v>7</v>
      </c>
    </row>
    <row r="302" spans="1:105" x14ac:dyDescent="0.25">
      <c r="A302" s="30">
        <v>4.8558298182760043E-2</v>
      </c>
      <c r="B302"/>
      <c r="C302"/>
      <c r="D302"/>
      <c r="E302"/>
      <c r="J302" s="27" t="s">
        <v>7</v>
      </c>
      <c r="K302" s="27" t="s">
        <v>8</v>
      </c>
      <c r="N302" s="27" t="s">
        <v>7</v>
      </c>
      <c r="AU302" s="27" t="s">
        <v>8</v>
      </c>
      <c r="AV302" s="27" t="s">
        <v>7</v>
      </c>
      <c r="AW302" s="27" t="s">
        <v>8</v>
      </c>
      <c r="AX302" s="27" t="s">
        <v>7</v>
      </c>
      <c r="AY302" s="27" t="s">
        <v>8</v>
      </c>
      <c r="AZ302" s="27" t="s">
        <v>7</v>
      </c>
      <c r="BA302" s="27" t="s">
        <v>8</v>
      </c>
      <c r="BZ302" s="27" t="s">
        <v>7</v>
      </c>
      <c r="CA302" s="27" t="s">
        <v>8</v>
      </c>
      <c r="CC302" s="27" t="s">
        <v>8</v>
      </c>
      <c r="CD302" s="27" t="s">
        <v>7</v>
      </c>
      <c r="CE302" s="27" t="s">
        <v>8</v>
      </c>
      <c r="CX302" s="27" t="s">
        <v>7</v>
      </c>
      <c r="CY302" s="27" t="s">
        <v>8</v>
      </c>
      <c r="CZ302" s="27" t="s">
        <v>7</v>
      </c>
    </row>
    <row r="303" spans="1:105" x14ac:dyDescent="0.25">
      <c r="A303" s="30">
        <v>4.6245998269295263E-2</v>
      </c>
      <c r="B303"/>
      <c r="C303"/>
      <c r="D303"/>
      <c r="E303"/>
      <c r="J303" s="27" t="s">
        <v>7</v>
      </c>
      <c r="K303" s="27" t="s">
        <v>8</v>
      </c>
      <c r="N303" s="27" t="s">
        <v>7</v>
      </c>
      <c r="AU303" s="27" t="s">
        <v>8</v>
      </c>
      <c r="AV303" s="27" t="s">
        <v>7</v>
      </c>
      <c r="AW303" s="27" t="s">
        <v>8</v>
      </c>
      <c r="AX303" s="27" t="s">
        <v>7</v>
      </c>
      <c r="AY303" s="27" t="s">
        <v>8</v>
      </c>
      <c r="AZ303" s="27" t="s">
        <v>7</v>
      </c>
      <c r="BA303" s="27" t="s">
        <v>8</v>
      </c>
      <c r="BZ303" s="27" t="s">
        <v>7</v>
      </c>
      <c r="CA303" s="27" t="s">
        <v>8</v>
      </c>
      <c r="CB303" s="27" t="s">
        <v>7</v>
      </c>
      <c r="CC303" s="27" t="s">
        <v>8</v>
      </c>
      <c r="CD303" s="27" t="s">
        <v>7</v>
      </c>
      <c r="CE303" s="27" t="s">
        <v>8</v>
      </c>
      <c r="CX303" s="27" t="s">
        <v>7</v>
      </c>
      <c r="CZ303" s="27" t="s">
        <v>7</v>
      </c>
    </row>
    <row r="304" spans="1:105" x14ac:dyDescent="0.25">
      <c r="A304" s="30">
        <v>4.4043807875519279E-2</v>
      </c>
      <c r="B304"/>
      <c r="C304"/>
      <c r="D304"/>
      <c r="E304"/>
      <c r="J304" s="27" t="s">
        <v>7</v>
      </c>
      <c r="N304" s="27" t="s">
        <v>7</v>
      </c>
      <c r="O304" s="27" t="s">
        <v>8</v>
      </c>
      <c r="Q304" s="27" t="s">
        <v>8</v>
      </c>
      <c r="AU304" s="27" t="s">
        <v>8</v>
      </c>
      <c r="AV304" s="27" t="s">
        <v>7</v>
      </c>
      <c r="AW304" s="27" t="s">
        <v>8</v>
      </c>
      <c r="AX304" s="27" t="s">
        <v>7</v>
      </c>
      <c r="AY304" s="27" t="s">
        <v>8</v>
      </c>
      <c r="AZ304" s="27" t="s">
        <v>7</v>
      </c>
      <c r="BA304" s="27" t="s">
        <v>8</v>
      </c>
      <c r="BZ304" s="27" t="s">
        <v>7</v>
      </c>
      <c r="CA304" s="27" t="s">
        <v>8</v>
      </c>
      <c r="CB304" s="27" t="s">
        <v>7</v>
      </c>
      <c r="CC304" s="27" t="s">
        <v>8</v>
      </c>
      <c r="CD304" s="27" t="s">
        <v>7</v>
      </c>
      <c r="CE304" s="27" t="s">
        <v>8</v>
      </c>
      <c r="CZ304" s="27" t="s">
        <v>7</v>
      </c>
      <c r="DA304" s="27" t="s">
        <v>8</v>
      </c>
    </row>
    <row r="305" spans="1:105" x14ac:dyDescent="0.25">
      <c r="A305" s="30">
        <v>4.1946483690970725E-2</v>
      </c>
      <c r="B305"/>
      <c r="C305"/>
      <c r="D305"/>
      <c r="E305"/>
      <c r="N305" s="27" t="s">
        <v>7</v>
      </c>
      <c r="O305" s="27" t="s">
        <v>8</v>
      </c>
      <c r="P305" s="27" t="s">
        <v>7</v>
      </c>
      <c r="Q305" s="27" t="s">
        <v>8</v>
      </c>
      <c r="R305" s="27" t="s">
        <v>7</v>
      </c>
      <c r="AU305" s="27" t="s">
        <v>8</v>
      </c>
      <c r="AV305" s="27" t="s">
        <v>7</v>
      </c>
      <c r="AX305" s="27" t="s">
        <v>7</v>
      </c>
      <c r="AY305" s="27" t="s">
        <v>8</v>
      </c>
      <c r="AZ305" s="27" t="s">
        <v>7</v>
      </c>
      <c r="BZ305" s="27" t="s">
        <v>7</v>
      </c>
      <c r="CA305" s="27" t="s">
        <v>8</v>
      </c>
      <c r="CB305" s="27" t="s">
        <v>7</v>
      </c>
      <c r="CD305" s="27" t="s">
        <v>7</v>
      </c>
      <c r="CE305" s="27" t="s">
        <v>8</v>
      </c>
      <c r="CZ305" s="27" t="s">
        <v>7</v>
      </c>
      <c r="DA305" s="27" t="s">
        <v>8</v>
      </c>
    </row>
    <row r="306" spans="1:105" x14ac:dyDescent="0.25">
      <c r="A306" s="30">
        <v>3.9949032086638768E-2</v>
      </c>
      <c r="B306"/>
      <c r="C306"/>
      <c r="D306"/>
      <c r="E306"/>
      <c r="N306" s="27" t="s">
        <v>7</v>
      </c>
      <c r="O306" s="27" t="s">
        <v>8</v>
      </c>
      <c r="P306" s="27" t="s">
        <v>7</v>
      </c>
      <c r="Q306" s="27" t="s">
        <v>8</v>
      </c>
      <c r="R306" s="27" t="s">
        <v>7</v>
      </c>
      <c r="AU306" s="27" t="s">
        <v>8</v>
      </c>
      <c r="AX306" s="27" t="s">
        <v>7</v>
      </c>
      <c r="AY306" s="27" t="s">
        <v>8</v>
      </c>
      <c r="BZ306" s="27" t="s">
        <v>7</v>
      </c>
      <c r="CA306" s="27" t="s">
        <v>8</v>
      </c>
      <c r="CD306" s="18" t="s">
        <v>7</v>
      </c>
      <c r="CE306" s="27" t="s">
        <v>8</v>
      </c>
      <c r="CZ306" s="27" t="s">
        <v>7</v>
      </c>
      <c r="DA306" s="27" t="s">
        <v>8</v>
      </c>
    </row>
    <row r="307" spans="1:105" x14ac:dyDescent="0.25">
      <c r="A307" s="30">
        <v>3.8046697225370241E-2</v>
      </c>
      <c r="B307"/>
      <c r="C307"/>
      <c r="D307"/>
      <c r="E307"/>
      <c r="N307" s="27" t="s">
        <v>7</v>
      </c>
      <c r="O307" s="27" t="s">
        <v>8</v>
      </c>
      <c r="P307" s="27" t="s">
        <v>7</v>
      </c>
      <c r="Q307" s="27" t="s">
        <v>8</v>
      </c>
      <c r="R307" s="27" t="s">
        <v>7</v>
      </c>
      <c r="W307" s="27" t="s">
        <v>8</v>
      </c>
      <c r="AS307" s="27" t="s">
        <v>8</v>
      </c>
      <c r="AU307" s="27" t="s">
        <v>8</v>
      </c>
      <c r="AX307" s="27" t="s">
        <v>7</v>
      </c>
      <c r="AY307" s="27" t="s">
        <v>8</v>
      </c>
      <c r="BZ307" s="27" t="s">
        <v>7</v>
      </c>
      <c r="CA307" s="27" t="s">
        <v>8</v>
      </c>
      <c r="CD307" s="27" t="s">
        <v>7</v>
      </c>
      <c r="CE307" s="27" t="s">
        <v>8</v>
      </c>
      <c r="CZ307" s="27" t="s">
        <v>7</v>
      </c>
      <c r="DA307" s="27" t="s">
        <v>8</v>
      </c>
    </row>
    <row r="308" spans="1:105" x14ac:dyDescent="0.25">
      <c r="A308" s="30">
        <v>3.6234949738447833E-2</v>
      </c>
      <c r="B308"/>
      <c r="C308"/>
      <c r="D308"/>
      <c r="E308"/>
      <c r="N308" s="27" t="s">
        <v>7</v>
      </c>
      <c r="O308" s="27" t="s">
        <v>8</v>
      </c>
      <c r="P308" s="27" t="s">
        <v>7</v>
      </c>
      <c r="Q308" s="27" t="s">
        <v>8</v>
      </c>
      <c r="R308" s="27" t="s">
        <v>7</v>
      </c>
      <c r="W308" s="27" t="s">
        <v>8</v>
      </c>
      <c r="X308" s="27" t="s">
        <v>7</v>
      </c>
      <c r="AQ308" s="27" t="s">
        <v>8</v>
      </c>
      <c r="AS308" s="27" t="s">
        <v>8</v>
      </c>
      <c r="AT308" s="27" t="s">
        <v>7</v>
      </c>
      <c r="AU308" s="27" t="s">
        <v>8</v>
      </c>
      <c r="AX308" s="27" t="s">
        <v>7</v>
      </c>
      <c r="AY308" s="27" t="s">
        <v>8</v>
      </c>
      <c r="BZ308" s="27" t="s">
        <v>7</v>
      </c>
      <c r="CA308" s="27" t="s">
        <v>8</v>
      </c>
      <c r="CD308" s="27" t="s">
        <v>7</v>
      </c>
      <c r="CZ308" s="27" t="s">
        <v>7</v>
      </c>
    </row>
    <row r="309" spans="1:105" x14ac:dyDescent="0.25">
      <c r="A309" s="30">
        <v>3.4509475941378875E-2</v>
      </c>
      <c r="B309"/>
      <c r="C309"/>
      <c r="D309"/>
      <c r="E309"/>
      <c r="N309" s="27" t="s">
        <v>7</v>
      </c>
      <c r="O309" s="27" t="s">
        <v>8</v>
      </c>
      <c r="P309" s="27" t="s">
        <v>7</v>
      </c>
      <c r="R309" s="27" t="s">
        <v>7</v>
      </c>
      <c r="W309" s="27" t="s">
        <v>8</v>
      </c>
      <c r="X309" s="27" t="s">
        <v>7</v>
      </c>
      <c r="AO309" s="27" t="s">
        <v>8</v>
      </c>
      <c r="AQ309" s="27" t="s">
        <v>8</v>
      </c>
      <c r="AR309" s="27" t="s">
        <v>7</v>
      </c>
      <c r="AS309" s="27" t="s">
        <v>8</v>
      </c>
      <c r="AT309" s="27" t="s">
        <v>7</v>
      </c>
      <c r="AU309" s="27" t="s">
        <v>8</v>
      </c>
      <c r="AX309" s="27" t="s">
        <v>7</v>
      </c>
      <c r="BZ309" s="27" t="s">
        <v>7</v>
      </c>
    </row>
    <row r="310" spans="1:105" x14ac:dyDescent="0.25">
      <c r="A310" s="30">
        <v>3.286616756321796E-2</v>
      </c>
      <c r="B310"/>
      <c r="C310"/>
      <c r="D310"/>
      <c r="E310"/>
      <c r="N310" s="27" t="s">
        <v>7</v>
      </c>
      <c r="O310" s="27" t="s">
        <v>8</v>
      </c>
      <c r="R310" s="27" t="s">
        <v>7</v>
      </c>
      <c r="W310" s="27" t="s">
        <v>8</v>
      </c>
      <c r="X310" s="27" t="s">
        <v>7</v>
      </c>
      <c r="AK310" s="27" t="s">
        <v>8</v>
      </c>
      <c r="AO310" s="27" t="s">
        <v>8</v>
      </c>
      <c r="AP310" s="27" t="s">
        <v>7</v>
      </c>
      <c r="AQ310" s="27" t="s">
        <v>8</v>
      </c>
      <c r="AR310" s="27" t="s">
        <v>7</v>
      </c>
      <c r="AS310" s="27" t="s">
        <v>8</v>
      </c>
      <c r="AT310" s="27" t="s">
        <v>7</v>
      </c>
    </row>
    <row r="311" spans="1:105" x14ac:dyDescent="0.25">
      <c r="A311" s="30">
        <v>3.1301111964969472E-2</v>
      </c>
      <c r="B311"/>
      <c r="C311"/>
      <c r="D311"/>
      <c r="E311"/>
      <c r="N311" s="27" t="s">
        <v>7</v>
      </c>
      <c r="R311" s="27" t="s">
        <v>7</v>
      </c>
      <c r="W311" s="27" t="s">
        <v>8</v>
      </c>
      <c r="X311" s="27" t="s">
        <v>7</v>
      </c>
      <c r="Y311" s="27" t="s">
        <v>8</v>
      </c>
      <c r="AA311" s="27" t="s">
        <v>8</v>
      </c>
      <c r="AK311" s="27" t="s">
        <v>8</v>
      </c>
      <c r="AL311" s="27" t="s">
        <v>7</v>
      </c>
      <c r="AM311" s="27" t="s">
        <v>8</v>
      </c>
      <c r="AO311" s="27" t="s">
        <v>8</v>
      </c>
      <c r="AP311" s="27" t="s">
        <v>7</v>
      </c>
      <c r="AQ311" s="27" t="s">
        <v>8</v>
      </c>
      <c r="AR311" s="27" t="s">
        <v>7</v>
      </c>
      <c r="AS311" s="27" t="s">
        <v>8</v>
      </c>
    </row>
    <row r="312" spans="1:105" x14ac:dyDescent="0.25">
      <c r="A312" s="30">
        <v>2.9810582823780438E-2</v>
      </c>
      <c r="B312"/>
      <c r="C312"/>
      <c r="D312"/>
      <c r="E312"/>
      <c r="R312" s="27" t="s">
        <v>7</v>
      </c>
      <c r="W312" s="27" t="s">
        <v>8</v>
      </c>
      <c r="X312" s="27" t="s">
        <v>7</v>
      </c>
      <c r="Y312" s="27" t="s">
        <v>8</v>
      </c>
      <c r="Z312" s="27" t="s">
        <v>7</v>
      </c>
      <c r="AA312" s="27" t="s">
        <v>8</v>
      </c>
      <c r="AB312" s="27" t="s">
        <v>7</v>
      </c>
      <c r="AG312" s="27" t="s">
        <v>8</v>
      </c>
      <c r="AI312" s="27" t="s">
        <v>8</v>
      </c>
      <c r="AK312" s="27" t="s">
        <v>8</v>
      </c>
      <c r="AL312" s="27" t="s">
        <v>7</v>
      </c>
      <c r="AM312" s="27" t="s">
        <v>8</v>
      </c>
      <c r="AN312" s="27" t="s">
        <v>7</v>
      </c>
      <c r="AO312" s="27" t="s">
        <v>8</v>
      </c>
      <c r="AP312" s="27" t="s">
        <v>7</v>
      </c>
      <c r="AQ312" s="27" t="s">
        <v>8</v>
      </c>
      <c r="AR312" s="27" t="s">
        <v>7</v>
      </c>
    </row>
    <row r="313" spans="1:105" x14ac:dyDescent="0.25">
      <c r="A313" s="30">
        <v>2.8391031260743264E-2</v>
      </c>
      <c r="B313"/>
      <c r="C313"/>
      <c r="D313"/>
      <c r="E313"/>
      <c r="R313" s="27" t="s">
        <v>7</v>
      </c>
      <c r="W313" s="27" t="s">
        <v>8</v>
      </c>
      <c r="X313" s="27" t="s">
        <v>7</v>
      </c>
      <c r="Y313" s="27" t="s">
        <v>8</v>
      </c>
      <c r="Z313" s="27" t="s">
        <v>7</v>
      </c>
      <c r="AA313" s="27" t="s">
        <v>8</v>
      </c>
      <c r="AB313" s="27" t="s">
        <v>7</v>
      </c>
      <c r="AC313" s="27" t="s">
        <v>8</v>
      </c>
      <c r="AG313" s="27" t="s">
        <v>8</v>
      </c>
      <c r="AH313" s="27" t="s">
        <v>7</v>
      </c>
      <c r="AI313" s="27" t="s">
        <v>8</v>
      </c>
      <c r="AJ313" s="27" t="s">
        <v>7</v>
      </c>
      <c r="AK313" s="27" t="s">
        <v>8</v>
      </c>
      <c r="AL313" s="27" t="s">
        <v>7</v>
      </c>
      <c r="AM313" s="27" t="s">
        <v>8</v>
      </c>
      <c r="AN313" s="27" t="s">
        <v>7</v>
      </c>
      <c r="AO313" s="27" t="s">
        <v>8</v>
      </c>
      <c r="AP313" s="27" t="s">
        <v>7</v>
      </c>
      <c r="AQ313" s="27" t="s">
        <v>8</v>
      </c>
    </row>
    <row r="314" spans="1:105" x14ac:dyDescent="0.25">
      <c r="A314" s="30">
        <v>2.7039077391184052E-2</v>
      </c>
      <c r="B314"/>
      <c r="C314"/>
      <c r="D314"/>
      <c r="E314"/>
      <c r="R314" s="27" t="s">
        <v>7</v>
      </c>
      <c r="U314" s="27" t="s">
        <v>8</v>
      </c>
      <c r="W314" s="27" t="s">
        <v>8</v>
      </c>
      <c r="X314" s="27" t="s">
        <v>7</v>
      </c>
      <c r="Z314" s="27" t="s">
        <v>7</v>
      </c>
      <c r="AA314" s="27" t="s">
        <v>8</v>
      </c>
      <c r="AB314" s="27" t="s">
        <v>7</v>
      </c>
      <c r="AC314" s="27" t="s">
        <v>8</v>
      </c>
      <c r="AD314" s="27" t="s">
        <v>7</v>
      </c>
      <c r="AG314" s="27" t="s">
        <v>8</v>
      </c>
      <c r="AH314" s="27" t="s">
        <v>7</v>
      </c>
      <c r="AI314" s="27" t="s">
        <v>8</v>
      </c>
      <c r="AJ314" s="27" t="s">
        <v>7</v>
      </c>
      <c r="AK314" s="27" t="s">
        <v>8</v>
      </c>
      <c r="AL314" s="27" t="s">
        <v>7</v>
      </c>
      <c r="AN314" s="27" t="s">
        <v>7</v>
      </c>
      <c r="AO314" s="27" t="s">
        <v>8</v>
      </c>
      <c r="AP314" s="27" t="s">
        <v>7</v>
      </c>
    </row>
    <row r="315" spans="1:105" x14ac:dyDescent="0.25">
      <c r="A315" s="30">
        <v>2.5751502277318133E-2</v>
      </c>
      <c r="B315"/>
      <c r="C315"/>
      <c r="D315"/>
      <c r="E315"/>
      <c r="R315" s="27" t="s">
        <v>7</v>
      </c>
      <c r="S315" s="27" t="s">
        <v>8</v>
      </c>
      <c r="U315" s="27" t="s">
        <v>8</v>
      </c>
      <c r="V315" s="27" t="s">
        <v>7</v>
      </c>
      <c r="W315" s="27" t="s">
        <v>8</v>
      </c>
      <c r="Z315" s="27" t="s">
        <v>7</v>
      </c>
      <c r="AB315" s="27" t="s">
        <v>7</v>
      </c>
      <c r="AC315" s="27" t="s">
        <v>8</v>
      </c>
      <c r="AD315" s="27" t="s">
        <v>7</v>
      </c>
      <c r="AE315" s="27" t="s">
        <v>8</v>
      </c>
      <c r="AG315" s="27" t="s">
        <v>8</v>
      </c>
      <c r="AH315" s="27" t="s">
        <v>7</v>
      </c>
      <c r="AJ315" s="27" t="s">
        <v>7</v>
      </c>
      <c r="AK315" s="27" t="s">
        <v>8</v>
      </c>
      <c r="AN315" s="27" t="s">
        <v>7</v>
      </c>
      <c r="AO315" s="27" t="s">
        <v>8</v>
      </c>
    </row>
    <row r="316" spans="1:105" x14ac:dyDescent="0.25">
      <c r="A316" s="30">
        <v>2.4525240264112496E-2</v>
      </c>
      <c r="B316"/>
      <c r="C316"/>
      <c r="D316"/>
      <c r="E316"/>
      <c r="R316" s="27" t="s">
        <v>7</v>
      </c>
      <c r="S316" s="27" t="s">
        <v>8</v>
      </c>
      <c r="T316" s="27" t="s">
        <v>7</v>
      </c>
      <c r="U316" s="27" t="s">
        <v>8</v>
      </c>
      <c r="V316" s="27" t="s">
        <v>7</v>
      </c>
      <c r="W316" s="27" t="s">
        <v>8</v>
      </c>
      <c r="AB316" s="27" t="s">
        <v>7</v>
      </c>
      <c r="AD316" s="27" t="s">
        <v>7</v>
      </c>
      <c r="AE316" s="27" t="s">
        <v>8</v>
      </c>
      <c r="AF316" s="27" t="s">
        <v>7</v>
      </c>
      <c r="AG316" s="27" t="s">
        <v>8</v>
      </c>
      <c r="AJ316" s="27" t="s">
        <v>7</v>
      </c>
      <c r="AK316" s="27" t="s">
        <v>8</v>
      </c>
      <c r="AN316" s="27" t="s">
        <v>7</v>
      </c>
    </row>
    <row r="317" spans="1:105" x14ac:dyDescent="0.25">
      <c r="A317" s="30">
        <v>2.3357371680107129E-2</v>
      </c>
      <c r="B317"/>
      <c r="C317"/>
      <c r="D317"/>
      <c r="E317"/>
      <c r="R317" s="27" t="s">
        <v>7</v>
      </c>
      <c r="S317" s="27" t="s">
        <v>8</v>
      </c>
      <c r="T317" s="27" t="s">
        <v>7</v>
      </c>
      <c r="U317" s="27" t="s">
        <v>8</v>
      </c>
      <c r="V317" s="27" t="s">
        <v>7</v>
      </c>
      <c r="W317" s="27" t="s">
        <v>8</v>
      </c>
      <c r="AD317" s="27" t="s">
        <v>7</v>
      </c>
      <c r="AE317" s="27" t="s">
        <v>8</v>
      </c>
      <c r="AF317" s="27" t="s">
        <v>7</v>
      </c>
      <c r="AG317" s="27" t="s">
        <v>8</v>
      </c>
      <c r="AJ317" s="27" t="s">
        <v>7</v>
      </c>
      <c r="AK317" s="27" t="s">
        <v>8</v>
      </c>
    </row>
    <row r="318" spans="1:105" x14ac:dyDescent="0.25">
      <c r="A318" s="30">
        <v>2.2245115885816305E-2</v>
      </c>
      <c r="B318"/>
      <c r="C318"/>
      <c r="D318"/>
      <c r="E318"/>
      <c r="R318" s="27" t="s">
        <v>7</v>
      </c>
      <c r="S318" s="27" t="s">
        <v>8</v>
      </c>
      <c r="T318" s="27" t="s">
        <v>7</v>
      </c>
      <c r="U318" s="27" t="s">
        <v>8</v>
      </c>
      <c r="V318" s="27" t="s">
        <v>7</v>
      </c>
      <c r="W318" s="27" t="s">
        <v>8</v>
      </c>
      <c r="AD318" s="27" t="s">
        <v>7</v>
      </c>
      <c r="AE318" s="27" t="s">
        <v>8</v>
      </c>
      <c r="AF318" s="27" t="s">
        <v>7</v>
      </c>
      <c r="AJ318" s="27" t="s">
        <v>7</v>
      </c>
      <c r="AK318" s="27" t="s">
        <v>8</v>
      </c>
    </row>
    <row r="319" spans="1:105" x14ac:dyDescent="0.25">
      <c r="A319" s="30">
        <v>2.1185824653158377E-2</v>
      </c>
      <c r="B319"/>
      <c r="C319"/>
      <c r="D319"/>
      <c r="E319"/>
      <c r="R319" s="27" t="s">
        <v>7</v>
      </c>
      <c r="S319" s="27" t="s">
        <v>8</v>
      </c>
      <c r="T319" s="27" t="s">
        <v>7</v>
      </c>
      <c r="V319" s="27" t="s">
        <v>7</v>
      </c>
      <c r="W319" s="27" t="s">
        <v>8</v>
      </c>
      <c r="AD319" s="27" t="s">
        <v>7</v>
      </c>
      <c r="AJ319" s="27" t="s">
        <v>7</v>
      </c>
    </row>
    <row r="320" spans="1:105" x14ac:dyDescent="0.25">
      <c r="A320" s="30">
        <v>2.0176975860150829E-2</v>
      </c>
      <c r="B320"/>
      <c r="C320"/>
      <c r="D320"/>
      <c r="E320"/>
      <c r="R320" s="27" t="s">
        <v>7</v>
      </c>
      <c r="S320" s="27" t="s">
        <v>8</v>
      </c>
      <c r="V320" s="27" t="s">
        <v>7</v>
      </c>
    </row>
    <row r="321" spans="1:19" x14ac:dyDescent="0.25">
      <c r="A321" s="30">
        <v>1.9216167485857926E-2</v>
      </c>
      <c r="B321"/>
      <c r="C321"/>
      <c r="D321"/>
      <c r="E321"/>
      <c r="R321" s="27" t="s">
        <v>7</v>
      </c>
      <c r="S321" s="27" t="s">
        <v>8</v>
      </c>
    </row>
    <row r="322" spans="1:19" x14ac:dyDescent="0.25">
      <c r="A322" s="30">
        <v>1.8301111891293256E-2</v>
      </c>
      <c r="B322"/>
      <c r="C322"/>
      <c r="D322"/>
      <c r="E322"/>
      <c r="R322" s="27" t="s">
        <v>7</v>
      </c>
    </row>
    <row r="323" spans="1:19" x14ac:dyDescent="0.25">
      <c r="A323" s="30">
        <v>1.7429630372660238E-2</v>
      </c>
      <c r="B323"/>
      <c r="C323"/>
      <c r="D323"/>
      <c r="E323"/>
    </row>
    <row r="324" spans="1:19" x14ac:dyDescent="0.25">
      <c r="A324" s="30">
        <v>1.6599647973962125E-2</v>
      </c>
      <c r="B324"/>
      <c r="C324"/>
      <c r="D324"/>
      <c r="E324"/>
    </row>
    <row r="325" spans="1:19" x14ac:dyDescent="0.25">
      <c r="A325" s="30">
        <v>1.580918854663059E-2</v>
      </c>
      <c r="B325"/>
      <c r="C325"/>
      <c r="D325"/>
      <c r="E325"/>
    </row>
    <row r="326" spans="1:19" x14ac:dyDescent="0.25">
      <c r="A326" s="30">
        <v>1.5056370044410079E-2</v>
      </c>
      <c r="B326"/>
      <c r="C326"/>
      <c r="D326"/>
      <c r="E326"/>
    </row>
    <row r="327" spans="1:19" x14ac:dyDescent="0.25">
      <c r="A327" s="30">
        <v>1.4339400042295308E-2</v>
      </c>
      <c r="B327"/>
      <c r="C327"/>
      <c r="D327"/>
      <c r="E327"/>
    </row>
    <row r="328" spans="1:19" x14ac:dyDescent="0.25">
      <c r="A328" s="30">
        <v>1.365657146885267E-2</v>
      </c>
      <c r="B328"/>
      <c r="C328"/>
      <c r="D328"/>
      <c r="E328"/>
    </row>
    <row r="329" spans="1:19" x14ac:dyDescent="0.25">
      <c r="A329" s="30">
        <v>1.3006258541764442E-2</v>
      </c>
      <c r="B329"/>
      <c r="C329"/>
      <c r="D329"/>
      <c r="E329"/>
    </row>
    <row r="330" spans="1:19" x14ac:dyDescent="0.25">
      <c r="A330" s="30">
        <v>1.2386912896918512E-2</v>
      </c>
      <c r="B330"/>
      <c r="C330"/>
      <c r="D330"/>
      <c r="E330"/>
    </row>
    <row r="331" spans="1:19" x14ac:dyDescent="0.25">
      <c r="A331" s="30">
        <v>1.179705990182715E-2</v>
      </c>
      <c r="B331"/>
      <c r="C331"/>
      <c r="D331"/>
      <c r="E331"/>
    </row>
    <row r="332" spans="1:19" x14ac:dyDescent="0.25">
      <c r="A332" s="30">
        <v>1.1235295144597281E-2</v>
      </c>
      <c r="B332"/>
      <c r="C332"/>
      <c r="D332"/>
      <c r="E332"/>
    </row>
    <row r="333" spans="1:19" x14ac:dyDescent="0.25">
      <c r="A333" s="30">
        <v>1.0700281090092644E-2</v>
      </c>
      <c r="B333"/>
      <c r="C333"/>
      <c r="D333"/>
      <c r="E333"/>
    </row>
    <row r="334" spans="1:19" x14ac:dyDescent="0.25">
      <c r="A334" s="30">
        <v>1.0190743895326324E-2</v>
      </c>
      <c r="B334"/>
      <c r="C334"/>
      <c r="D334"/>
      <c r="E334"/>
    </row>
    <row r="335" spans="1:19" x14ac:dyDescent="0.25">
      <c r="A335" s="30">
        <v>9.7054703765012563E-3</v>
      </c>
      <c r="B335"/>
      <c r="C335"/>
      <c r="D335"/>
      <c r="E335"/>
    </row>
    <row r="336" spans="1:19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N156" sqref="AN15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$A$155</v>
      </c>
      <c r="D111" s="1" t="str">
        <f>ADDRESS(C121-1,D121,1,1)</f>
        <v>$AN$155</v>
      </c>
      <c r="E111"/>
    </row>
    <row r="112" spans="1:5" x14ac:dyDescent="0.25">
      <c r="A112" s="30">
        <v>2.3579476910000019</v>
      </c>
      <c r="C112" s="1" t="str">
        <f>ADDRESS(C121,1,1,1)</f>
        <v>$A$156</v>
      </c>
      <c r="D112" s="1" t="str">
        <f>ADDRESS(C121,D121-1,1,1)</f>
        <v>$AM$156</v>
      </c>
      <c r="E112"/>
    </row>
    <row r="113" spans="1:6" x14ac:dyDescent="0.25">
      <c r="A113" s="30">
        <v>2.1435888100000016</v>
      </c>
      <c r="C113" s="1" t="str">
        <f>ADDRESS(C121+1,1,1,1)</f>
        <v>$A$157</v>
      </c>
      <c r="D113" s="1" t="str">
        <f>ADDRESS(C121-1,D121+1,1,1)</f>
        <v>$AO$155</v>
      </c>
    </row>
    <row r="114" spans="1:6" x14ac:dyDescent="0.25">
      <c r="A114" s="30">
        <v>1.9487171000000014</v>
      </c>
      <c r="C114" s="1" t="str">
        <f>ADDRESS(C121,D121,1,1)</f>
        <v>$AN$156</v>
      </c>
      <c r="D114" s="1" t="str">
        <f>ADDRESS(C121+1,D121+1,1,1)</f>
        <v>$AO$157</v>
      </c>
    </row>
    <row r="115" spans="1:6" x14ac:dyDescent="0.25">
      <c r="A115" s="30">
        <v>1.7715610000000011</v>
      </c>
      <c r="C115" s="1" t="str">
        <f>ADDRESS(C121+1,D121,1,1)</f>
        <v>$AN$157</v>
      </c>
    </row>
    <row r="116" spans="1:6" x14ac:dyDescent="0.25">
      <c r="A116" s="30">
        <v>1.6105100000000008</v>
      </c>
      <c r="C116" s="1">
        <f>C117-1</f>
        <v>155</v>
      </c>
    </row>
    <row r="117" spans="1:6" x14ac:dyDescent="0.25">
      <c r="A117" s="30">
        <v>1.4641000000000006</v>
      </c>
      <c r="C117" s="1">
        <f>C121</f>
        <v>156</v>
      </c>
      <c r="D117" s="1">
        <f>D121</f>
        <v>40</v>
      </c>
    </row>
    <row r="118" spans="1:6" x14ac:dyDescent="0.25">
      <c r="A118" s="30">
        <v>1.3310000000000004</v>
      </c>
      <c r="C118" s="1">
        <f>C117+1</f>
        <v>157</v>
      </c>
      <c r="D118" s="1">
        <f>D117+1</f>
        <v>41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156</v>
      </c>
      <c r="D121" s="19">
        <v>40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R156</v>
      </c>
      <c r="D123" s="1" t="str">
        <f>"C"&amp;D121</f>
        <v>C40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3.55841027383672E-2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2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28" x14ac:dyDescent="0.25">
      <c r="A130" s="30">
        <v>0.42409761837248428</v>
      </c>
      <c r="C130" s="6"/>
      <c r="D130" s="6"/>
      <c r="E130"/>
      <c r="F130" s="27" t="s">
        <v>7</v>
      </c>
    </row>
    <row r="131" spans="1:28" x14ac:dyDescent="0.25">
      <c r="A131" s="30">
        <v>0.38554328942953109</v>
      </c>
      <c r="E131"/>
      <c r="F131" s="27" t="s">
        <v>7</v>
      </c>
    </row>
    <row r="132" spans="1:28" x14ac:dyDescent="0.25">
      <c r="A132" s="30">
        <v>0.35049389948139187</v>
      </c>
      <c r="C132" s="1" t="s">
        <v>13</v>
      </c>
      <c r="E132"/>
      <c r="F132" s="27" t="s">
        <v>7</v>
      </c>
    </row>
    <row r="133" spans="1:28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28" x14ac:dyDescent="0.25">
      <c r="A134" s="30">
        <v>0.28966437973668741</v>
      </c>
      <c r="C134"/>
      <c r="D134"/>
      <c r="E134"/>
      <c r="F134" s="27" t="s">
        <v>7</v>
      </c>
    </row>
    <row r="135" spans="1:28" x14ac:dyDescent="0.25">
      <c r="A135" s="30">
        <v>0.2633312543060794</v>
      </c>
      <c r="C135" s="1" t="s">
        <v>14</v>
      </c>
      <c r="E135"/>
      <c r="F135" s="27" t="s">
        <v>7</v>
      </c>
    </row>
    <row r="136" spans="1:2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28" x14ac:dyDescent="0.25">
      <c r="A137" s="30">
        <v>0.2176291357901482</v>
      </c>
      <c r="E137"/>
      <c r="F137" s="27" t="s">
        <v>7</v>
      </c>
    </row>
    <row r="138" spans="1:2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W138" s="27" t="s">
        <v>8</v>
      </c>
    </row>
    <row r="139" spans="1:28" x14ac:dyDescent="0.25">
      <c r="A139" s="30">
        <v>0.17985878990921333</v>
      </c>
      <c r="E139"/>
      <c r="F139" s="27" t="s">
        <v>7</v>
      </c>
      <c r="W139" s="27" t="s">
        <v>8</v>
      </c>
      <c r="X139" s="27" t="s">
        <v>7</v>
      </c>
      <c r="Y139" s="27" t="s">
        <v>8</v>
      </c>
    </row>
    <row r="140" spans="1:28" x14ac:dyDescent="0.25">
      <c r="A140" s="30">
        <v>0.16350799082655756</v>
      </c>
      <c r="C140" s="1">
        <v>0</v>
      </c>
      <c r="E140"/>
      <c r="F140" s="27" t="s">
        <v>7</v>
      </c>
      <c r="W140" s="27" t="s">
        <v>8</v>
      </c>
      <c r="X140" s="27" t="s">
        <v>7</v>
      </c>
      <c r="Y140" s="27" t="s">
        <v>8</v>
      </c>
      <c r="Z140" s="27" t="s">
        <v>7</v>
      </c>
      <c r="AA140" s="27" t="s">
        <v>8</v>
      </c>
    </row>
    <row r="141" spans="1:28" x14ac:dyDescent="0.25">
      <c r="A141" s="30">
        <v>0.14864362802414322</v>
      </c>
      <c r="C141" s="1">
        <v>1</v>
      </c>
      <c r="E141"/>
      <c r="F141" s="27" t="s">
        <v>7</v>
      </c>
      <c r="W141" s="27" t="s">
        <v>8</v>
      </c>
      <c r="X141" s="27" t="s">
        <v>7</v>
      </c>
      <c r="Y141" s="27" t="s">
        <v>8</v>
      </c>
      <c r="Z141" s="27" t="s">
        <v>7</v>
      </c>
      <c r="AA141" s="27" t="s">
        <v>8</v>
      </c>
      <c r="AB141" s="27" t="s">
        <v>7</v>
      </c>
    </row>
    <row r="142" spans="1:28" x14ac:dyDescent="0.25">
      <c r="A142" s="30">
        <v>0.13513057093103928</v>
      </c>
      <c r="C142" s="1">
        <v>2</v>
      </c>
      <c r="E142"/>
      <c r="F142" s="27" t="s">
        <v>7</v>
      </c>
      <c r="W142" s="27" t="s">
        <v>8</v>
      </c>
      <c r="X142" s="27" t="s">
        <v>7</v>
      </c>
      <c r="Y142" s="27" t="s">
        <v>8</v>
      </c>
      <c r="Z142" s="27" t="s">
        <v>7</v>
      </c>
      <c r="AA142" s="27" t="s">
        <v>8</v>
      </c>
      <c r="AB142" s="27" t="s">
        <v>7</v>
      </c>
    </row>
    <row r="143" spans="1:28" x14ac:dyDescent="0.25">
      <c r="A143" s="30">
        <v>0.12284597357367205</v>
      </c>
      <c r="C143" s="1">
        <v>3</v>
      </c>
      <c r="E143"/>
      <c r="F143" s="27" t="s">
        <v>7</v>
      </c>
      <c r="W143" s="27" t="s">
        <v>8</v>
      </c>
      <c r="X143" s="27" t="s">
        <v>7</v>
      </c>
      <c r="Z143" s="27" t="s">
        <v>7</v>
      </c>
      <c r="AA143" s="27" t="s">
        <v>8</v>
      </c>
      <c r="AB143" s="27" t="s">
        <v>7</v>
      </c>
    </row>
    <row r="144" spans="1:28" x14ac:dyDescent="0.25">
      <c r="A144" s="30">
        <v>0.11167815779424731</v>
      </c>
      <c r="C144" s="1">
        <v>4</v>
      </c>
      <c r="E144"/>
      <c r="F144" s="27" t="s">
        <v>7</v>
      </c>
      <c r="U144" s="27" t="s">
        <v>8</v>
      </c>
      <c r="W144" s="27" t="s">
        <v>8</v>
      </c>
      <c r="Z144" s="27" t="s">
        <v>7</v>
      </c>
      <c r="AA144" s="27" t="s">
        <v>8</v>
      </c>
      <c r="AB144" s="27" t="s">
        <v>7</v>
      </c>
    </row>
    <row r="145" spans="1:40" x14ac:dyDescent="0.25">
      <c r="A145" s="30">
        <v>0.10152559799477026</v>
      </c>
      <c r="B145"/>
      <c r="C145"/>
      <c r="D145"/>
      <c r="E145"/>
      <c r="F145" s="27" t="s">
        <v>7</v>
      </c>
      <c r="U145" s="27" t="s">
        <v>8</v>
      </c>
      <c r="V145" s="27" t="s">
        <v>7</v>
      </c>
      <c r="W145" s="27" t="s">
        <v>8</v>
      </c>
      <c r="Z145" s="27" t="s">
        <v>7</v>
      </c>
      <c r="AA145" s="27" t="s">
        <v>8</v>
      </c>
      <c r="AB145" s="27" t="s">
        <v>7</v>
      </c>
    </row>
    <row r="146" spans="1:40" x14ac:dyDescent="0.25">
      <c r="A146" s="30">
        <v>9.2295998177063854E-2</v>
      </c>
      <c r="B146"/>
      <c r="C146"/>
      <c r="D146"/>
      <c r="E146"/>
      <c r="F146" s="27" t="s">
        <v>7</v>
      </c>
      <c r="U146" s="27" t="s">
        <v>8</v>
      </c>
      <c r="V146" s="27" t="s">
        <v>7</v>
      </c>
      <c r="W146" s="27" t="s">
        <v>8</v>
      </c>
      <c r="Z146" s="27" t="s">
        <v>7</v>
      </c>
      <c r="AA146" s="27" t="s">
        <v>8</v>
      </c>
      <c r="AB146" s="27" t="s">
        <v>7</v>
      </c>
      <c r="AI146" s="27" t="s">
        <v>8</v>
      </c>
      <c r="AK146" s="27" t="s">
        <v>8</v>
      </c>
      <c r="AM146" s="27" t="s">
        <v>8</v>
      </c>
    </row>
    <row r="147" spans="1:40" x14ac:dyDescent="0.25">
      <c r="A147" s="30">
        <v>8.3905452888239848E-2</v>
      </c>
      <c r="B147"/>
      <c r="C147"/>
      <c r="D147"/>
      <c r="E147"/>
      <c r="F147" s="27" t="s">
        <v>7</v>
      </c>
      <c r="U147" s="27" t="s">
        <v>8</v>
      </c>
      <c r="V147" s="27" t="s">
        <v>7</v>
      </c>
      <c r="W147" s="27" t="s">
        <v>8</v>
      </c>
      <c r="Z147" s="27" t="s">
        <v>7</v>
      </c>
      <c r="AB147" s="27" t="s">
        <v>7</v>
      </c>
      <c r="AI147" s="27" t="s">
        <v>8</v>
      </c>
      <c r="AJ147" s="27" t="s">
        <v>7</v>
      </c>
      <c r="AK147" s="27" t="s">
        <v>8</v>
      </c>
      <c r="AL147" s="27" t="s">
        <v>7</v>
      </c>
      <c r="AM147" s="27" t="s">
        <v>8</v>
      </c>
      <c r="AN147" s="27" t="s">
        <v>7</v>
      </c>
    </row>
    <row r="148" spans="1:40" x14ac:dyDescent="0.25">
      <c r="A148" s="30">
        <v>7.6277684443854396E-2</v>
      </c>
      <c r="B148"/>
      <c r="C148"/>
      <c r="D148"/>
      <c r="E148"/>
      <c r="F148" s="27" t="s">
        <v>7</v>
      </c>
      <c r="S148" s="27" t="s">
        <v>8</v>
      </c>
      <c r="U148" s="27" t="s">
        <v>8</v>
      </c>
      <c r="V148" s="27" t="s">
        <v>7</v>
      </c>
      <c r="AB148" s="27" t="s">
        <v>7</v>
      </c>
      <c r="AC148" s="27" t="s">
        <v>8</v>
      </c>
      <c r="AI148" s="27" t="s">
        <v>8</v>
      </c>
      <c r="AJ148" s="27" t="s">
        <v>7</v>
      </c>
      <c r="AK148" s="27" t="s">
        <v>8</v>
      </c>
      <c r="AL148" s="27" t="s">
        <v>7</v>
      </c>
      <c r="AM148" s="27" t="s">
        <v>8</v>
      </c>
      <c r="AN148" s="27" t="s">
        <v>7</v>
      </c>
    </row>
    <row r="149" spans="1:40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S149" s="27" t="s">
        <v>8</v>
      </c>
      <c r="T149" s="27" t="s">
        <v>7</v>
      </c>
      <c r="U149" s="27" t="s">
        <v>8</v>
      </c>
      <c r="AB149" s="27" t="s">
        <v>7</v>
      </c>
      <c r="AC149" s="27" t="s">
        <v>8</v>
      </c>
      <c r="AD149" s="27" t="s">
        <v>7</v>
      </c>
      <c r="AE149" s="27" t="s">
        <v>8</v>
      </c>
      <c r="AI149" s="27" t="s">
        <v>8</v>
      </c>
      <c r="AJ149" s="27" t="s">
        <v>7</v>
      </c>
      <c r="AL149" s="27" t="s">
        <v>7</v>
      </c>
      <c r="AM149" s="27" t="s">
        <v>8</v>
      </c>
      <c r="AN149" s="27" t="s">
        <v>7</v>
      </c>
    </row>
    <row r="150" spans="1:40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S150" s="27" t="s">
        <v>8</v>
      </c>
      <c r="T150" s="27" t="s">
        <v>7</v>
      </c>
      <c r="U150" s="27" t="s">
        <v>8</v>
      </c>
      <c r="AB150" s="27" t="s">
        <v>7</v>
      </c>
      <c r="AC150" s="27" t="s">
        <v>8</v>
      </c>
      <c r="AD150" s="27" t="s">
        <v>7</v>
      </c>
      <c r="AE150" s="27" t="s">
        <v>8</v>
      </c>
      <c r="AF150" s="27" t="s">
        <v>7</v>
      </c>
      <c r="AI150" s="27" t="s">
        <v>8</v>
      </c>
      <c r="AL150" s="27" t="s">
        <v>7</v>
      </c>
      <c r="AN150" s="27" t="s">
        <v>7</v>
      </c>
    </row>
    <row r="151" spans="1:40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S151" s="27" t="s">
        <v>8</v>
      </c>
      <c r="T151" s="27" t="s">
        <v>7</v>
      </c>
      <c r="U151" s="27" t="s">
        <v>8</v>
      </c>
      <c r="AB151" s="27" t="s">
        <v>7</v>
      </c>
      <c r="AD151" s="27" t="s">
        <v>7</v>
      </c>
      <c r="AE151" s="27" t="s">
        <v>8</v>
      </c>
      <c r="AF151" s="27" t="s">
        <v>7</v>
      </c>
      <c r="AI151" s="27" t="s">
        <v>8</v>
      </c>
      <c r="AN151" s="27" t="s">
        <v>7</v>
      </c>
    </row>
    <row r="152" spans="1:40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S152" s="27" t="s">
        <v>8</v>
      </c>
      <c r="T152" s="27" t="s">
        <v>7</v>
      </c>
      <c r="U152" s="27" t="s">
        <v>8</v>
      </c>
      <c r="AD152" s="27" t="s">
        <v>7</v>
      </c>
      <c r="AF152" s="27" t="s">
        <v>7</v>
      </c>
      <c r="AG152" s="18" t="s">
        <v>8</v>
      </c>
      <c r="AI152" s="27" t="s">
        <v>8</v>
      </c>
      <c r="AN152" s="27" t="s">
        <v>7</v>
      </c>
    </row>
    <row r="153" spans="1:40" x14ac:dyDescent="0.25">
      <c r="A153" s="30">
        <v>4.7362440744766775E-2</v>
      </c>
      <c r="B153"/>
      <c r="C153"/>
      <c r="D153"/>
      <c r="E153"/>
      <c r="F153" s="27" t="s">
        <v>7</v>
      </c>
      <c r="H153" s="27" t="s">
        <v>7</v>
      </c>
      <c r="S153" s="27" t="s">
        <v>8</v>
      </c>
      <c r="T153" s="27" t="s">
        <v>7</v>
      </c>
      <c r="U153" s="27" t="s">
        <v>8</v>
      </c>
      <c r="AF153" s="27" t="s">
        <v>7</v>
      </c>
      <c r="AG153" s="27" t="s">
        <v>8</v>
      </c>
      <c r="AH153" s="27" t="s">
        <v>7</v>
      </c>
      <c r="AI153" s="27" t="s">
        <v>8</v>
      </c>
      <c r="AN153" s="27" t="s">
        <v>7</v>
      </c>
    </row>
    <row r="154" spans="1:40" x14ac:dyDescent="0.25">
      <c r="A154" s="30">
        <v>4.3056764313424332E-2</v>
      </c>
      <c r="B154"/>
      <c r="C154"/>
      <c r="D154"/>
      <c r="E154"/>
      <c r="H154" s="27" t="s">
        <v>7</v>
      </c>
      <c r="I154" s="27" t="s">
        <v>8</v>
      </c>
      <c r="S154" s="27" t="s">
        <v>8</v>
      </c>
      <c r="T154" s="27" t="s">
        <v>7</v>
      </c>
      <c r="U154" s="27" t="s">
        <v>8</v>
      </c>
      <c r="AF154" s="27" t="s">
        <v>7</v>
      </c>
      <c r="AG154" s="27" t="s">
        <v>8</v>
      </c>
      <c r="AH154" s="27" t="s">
        <v>7</v>
      </c>
      <c r="AI154" s="27" t="s">
        <v>8</v>
      </c>
      <c r="AN154" s="27" t="s">
        <v>7</v>
      </c>
    </row>
    <row r="155" spans="1:40" x14ac:dyDescent="0.25">
      <c r="A155" s="30">
        <v>3.9142513012203929E-2</v>
      </c>
      <c r="B155"/>
      <c r="C155"/>
      <c r="D155"/>
      <c r="E155"/>
      <c r="H155" s="27" t="s">
        <v>7</v>
      </c>
      <c r="I155" s="27" t="s">
        <v>8</v>
      </c>
      <c r="J155" s="27" t="s">
        <v>7</v>
      </c>
      <c r="S155" s="27" t="s">
        <v>8</v>
      </c>
      <c r="T155" s="27" t="s">
        <v>7</v>
      </c>
      <c r="U155" s="27" t="s">
        <v>8</v>
      </c>
      <c r="AF155" s="27" t="s">
        <v>7</v>
      </c>
      <c r="AG155" s="27" t="s">
        <v>8</v>
      </c>
      <c r="AH155" s="27" t="s">
        <v>7</v>
      </c>
      <c r="AN155" s="27" t="s">
        <v>7</v>
      </c>
    </row>
    <row r="156" spans="1:40" x14ac:dyDescent="0.25">
      <c r="A156" s="30">
        <v>3.55841027383672E-2</v>
      </c>
      <c r="B156"/>
      <c r="C156"/>
      <c r="D156"/>
      <c r="E156"/>
      <c r="H156" s="27" t="s">
        <v>7</v>
      </c>
      <c r="I156" s="27" t="s">
        <v>8</v>
      </c>
      <c r="J156" s="27" t="s">
        <v>7</v>
      </c>
      <c r="M156" s="27" t="s">
        <v>8</v>
      </c>
      <c r="S156" s="27" t="s">
        <v>8</v>
      </c>
      <c r="T156" s="27" t="s">
        <v>7</v>
      </c>
      <c r="AF156" s="27" t="s">
        <v>7</v>
      </c>
      <c r="AN156" s="27" t="s">
        <v>7</v>
      </c>
    </row>
    <row r="157" spans="1:40" x14ac:dyDescent="0.25">
      <c r="A157" s="30">
        <v>3.2349184307606541E-2</v>
      </c>
      <c r="B157"/>
      <c r="C157"/>
      <c r="D157"/>
      <c r="E157"/>
      <c r="H157" s="27" t="s">
        <v>7</v>
      </c>
      <c r="J157" s="27" t="s">
        <v>7</v>
      </c>
      <c r="M157" s="27" t="s">
        <v>8</v>
      </c>
      <c r="N157" s="27" t="s">
        <v>7</v>
      </c>
      <c r="Q157" s="27" t="s">
        <v>8</v>
      </c>
      <c r="S157" s="27" t="s">
        <v>8</v>
      </c>
    </row>
    <row r="158" spans="1:40" x14ac:dyDescent="0.25">
      <c r="A158" s="30">
        <v>2.9408349370551395E-2</v>
      </c>
      <c r="B158"/>
      <c r="C158"/>
      <c r="D158"/>
      <c r="E158"/>
      <c r="J158" s="27" t="s">
        <v>7</v>
      </c>
      <c r="M158" s="27" t="s">
        <v>8</v>
      </c>
      <c r="N158" s="27" t="s">
        <v>7</v>
      </c>
      <c r="O158" s="27" t="s">
        <v>8</v>
      </c>
      <c r="Q158" s="27" t="s">
        <v>8</v>
      </c>
      <c r="R158" s="27" t="s">
        <v>7</v>
      </c>
      <c r="S158" s="27" t="s">
        <v>8</v>
      </c>
    </row>
    <row r="159" spans="1:40" x14ac:dyDescent="0.25">
      <c r="A159" s="30">
        <v>2.6734863064137627E-2</v>
      </c>
      <c r="B159"/>
      <c r="C159"/>
      <c r="D159"/>
      <c r="E159"/>
      <c r="J159" s="27" t="s">
        <v>7</v>
      </c>
      <c r="K159" s="27" t="s">
        <v>8</v>
      </c>
      <c r="M159" s="27" t="s">
        <v>8</v>
      </c>
      <c r="N159" s="27" t="s">
        <v>7</v>
      </c>
      <c r="O159" s="27" t="s">
        <v>8</v>
      </c>
      <c r="P159" s="27" t="s">
        <v>7</v>
      </c>
      <c r="Q159" s="27" t="s">
        <v>8</v>
      </c>
      <c r="R159" s="27" t="s">
        <v>7</v>
      </c>
      <c r="S159" s="27" t="s">
        <v>8</v>
      </c>
    </row>
    <row r="160" spans="1:40" x14ac:dyDescent="0.25">
      <c r="A160" s="30">
        <v>2.4304420967397839E-2</v>
      </c>
      <c r="B160"/>
      <c r="C160"/>
      <c r="D160"/>
      <c r="E160"/>
      <c r="J160" s="27" t="s">
        <v>7</v>
      </c>
      <c r="K160" s="27" t="s">
        <v>8</v>
      </c>
      <c r="L160" s="27" t="s">
        <v>7</v>
      </c>
      <c r="M160" s="27" t="s">
        <v>8</v>
      </c>
      <c r="N160" s="27" t="s">
        <v>7</v>
      </c>
      <c r="O160" s="27" t="s">
        <v>8</v>
      </c>
      <c r="P160" s="27" t="s">
        <v>7</v>
      </c>
      <c r="Q160" s="27" t="s">
        <v>8</v>
      </c>
      <c r="R160" s="27" t="s">
        <v>7</v>
      </c>
    </row>
    <row r="161" spans="1:16" x14ac:dyDescent="0.25">
      <c r="A161" s="30">
        <v>2.2094928152179852E-2</v>
      </c>
      <c r="B161"/>
      <c r="C161"/>
      <c r="D161"/>
      <c r="E161"/>
      <c r="J161" s="27" t="s">
        <v>7</v>
      </c>
      <c r="K161" s="27" t="s">
        <v>8</v>
      </c>
      <c r="L161" s="27" t="s">
        <v>7</v>
      </c>
      <c r="M161" s="27" t="s">
        <v>8</v>
      </c>
      <c r="N161" s="27" t="s">
        <v>7</v>
      </c>
      <c r="P161" s="27" t="s">
        <v>7</v>
      </c>
    </row>
    <row r="162" spans="1:16" x14ac:dyDescent="0.25">
      <c r="A162" s="30">
        <v>2.0086298320163499E-2</v>
      </c>
      <c r="B162"/>
      <c r="C162"/>
      <c r="D162"/>
      <c r="E162"/>
      <c r="J162" s="27" t="s">
        <v>7</v>
      </c>
      <c r="K162" s="27" t="s">
        <v>8</v>
      </c>
      <c r="L162" s="27" t="s">
        <v>7</v>
      </c>
    </row>
    <row r="163" spans="1:16" x14ac:dyDescent="0.25">
      <c r="A163" s="30">
        <v>1.8260271200148632E-2</v>
      </c>
      <c r="B163"/>
      <c r="C163"/>
      <c r="D163"/>
      <c r="E163"/>
      <c r="J163" s="27" t="s">
        <v>7</v>
      </c>
    </row>
    <row r="164" spans="1:16" x14ac:dyDescent="0.25">
      <c r="A164" s="30">
        <v>1.6600246545589663E-2</v>
      </c>
      <c r="B164"/>
      <c r="C164"/>
      <c r="D164"/>
      <c r="E164"/>
    </row>
    <row r="165" spans="1:16" x14ac:dyDescent="0.25">
      <c r="A165" s="30">
        <v>1.5091133223263328E-2</v>
      </c>
      <c r="B165"/>
      <c r="C165"/>
      <c r="D165"/>
      <c r="E165"/>
    </row>
    <row r="166" spans="1:16" x14ac:dyDescent="0.25">
      <c r="A166" s="30">
        <v>1.3719212021148477E-2</v>
      </c>
      <c r="B166"/>
      <c r="C166"/>
      <c r="D166"/>
      <c r="E166"/>
    </row>
    <row r="167" spans="1:16" x14ac:dyDescent="0.25">
      <c r="A167" s="30">
        <v>1.2472010928316795E-2</v>
      </c>
      <c r="B167"/>
      <c r="C167"/>
      <c r="D167"/>
      <c r="E167"/>
    </row>
    <row r="168" spans="1:16" x14ac:dyDescent="0.25">
      <c r="A168" s="30">
        <v>1.1338191753015267E-2</v>
      </c>
      <c r="B168"/>
      <c r="C168"/>
      <c r="D168"/>
      <c r="E168"/>
    </row>
    <row r="169" spans="1:16" x14ac:dyDescent="0.25">
      <c r="A169" s="30">
        <v>1.0307447048195697E-2</v>
      </c>
      <c r="B169"/>
      <c r="C169"/>
      <c r="D169"/>
      <c r="E169"/>
    </row>
    <row r="170" spans="1:16" x14ac:dyDescent="0.25">
      <c r="A170" s="30">
        <v>9.3704064074506318E-3</v>
      </c>
      <c r="B170"/>
      <c r="C170"/>
      <c r="D170"/>
      <c r="E170"/>
    </row>
    <row r="171" spans="1:16" x14ac:dyDescent="0.25">
      <c r="A171" s="30">
        <v>8.5185512795005747E-3</v>
      </c>
    </row>
    <row r="172" spans="1:16" x14ac:dyDescent="0.25">
      <c r="A172" s="30">
        <v>7.744137526818704E-3</v>
      </c>
    </row>
    <row r="173" spans="1:16" x14ac:dyDescent="0.25">
      <c r="A173" s="30">
        <v>7.0401250243806394E-3</v>
      </c>
    </row>
    <row r="174" spans="1:16" x14ac:dyDescent="0.25">
      <c r="A174" s="30">
        <v>6.4001136585278536E-3</v>
      </c>
    </row>
    <row r="175" spans="1:16" x14ac:dyDescent="0.25">
      <c r="A175" s="30">
        <v>5.8182851441162305E-3</v>
      </c>
    </row>
    <row r="176" spans="1:16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2022-01-28T01:17:57Z</dcterms:modified>
</cp:coreProperties>
</file>