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AD39612D-EA55-4DDA-AC1C-A801CF33C55C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766" i="1"/>
  <c r="T766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H4" i="6"/>
  <c r="M4" i="6"/>
  <c r="O3" i="6"/>
  <c r="N3" i="6"/>
  <c r="J3" i="6"/>
  <c r="H3" i="6"/>
  <c r="C124" i="5"/>
  <c r="D124" i="5" s="1"/>
  <c r="D123" i="5"/>
  <c r="C123" i="5"/>
  <c r="D117" i="5"/>
  <c r="D118" i="5"/>
  <c r="C117" i="5"/>
  <c r="C116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/>
  <c r="C117" i="4"/>
  <c r="C122" i="4" s="1"/>
  <c r="C133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8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22" i="5"/>
  <c r="C133" i="5" s="1"/>
  <c r="D136" i="5" s="1"/>
  <c r="C118" i="5"/>
  <c r="C116" i="4"/>
  <c r="C118" i="4"/>
  <c r="C136" i="4"/>
  <c r="D136" i="4"/>
  <c r="C122" i="3"/>
  <c r="C133" i="3" s="1"/>
  <c r="C136" i="3" s="1"/>
  <c r="C116" i="3"/>
  <c r="R765" i="1"/>
  <c r="C136" i="5" l="1"/>
  <c r="C138" i="5" s="1"/>
  <c r="C138" i="4"/>
  <c r="D136" i="3"/>
  <c r="C138" i="3" s="1"/>
  <c r="R764" i="1"/>
  <c r="S765" i="1"/>
  <c r="T765" i="1" s="1"/>
  <c r="R763" i="1" l="1"/>
  <c r="S764" i="1"/>
  <c r="T764" i="1" s="1"/>
  <c r="R762" i="1" l="1"/>
  <c r="S763" i="1"/>
  <c r="T763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R730" i="1" l="1"/>
  <c r="S731" i="1"/>
  <c r="T731" i="1" s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R707" i="1" l="1"/>
  <c r="S708" i="1"/>
  <c r="T708" i="1" s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R579" i="1" l="1"/>
  <c r="S580" i="1"/>
  <c r="T580" i="1" s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R569" i="1" l="1"/>
  <c r="S570" i="1"/>
  <c r="T570" i="1" s="1"/>
  <c r="R568" i="1" l="1"/>
  <c r="S569" i="1"/>
  <c r="T569" i="1" s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R539" i="1" l="1"/>
  <c r="S540" i="1"/>
  <c r="T540" i="1" s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R523" i="1" l="1"/>
  <c r="S524" i="1"/>
  <c r="T524" i="1" s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R466" i="1" l="1"/>
  <c r="S467" i="1"/>
  <c r="T467" i="1" s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R396" i="1" l="1"/>
  <c r="S397" i="1"/>
  <c r="T397" i="1" s="1"/>
  <c r="R395" i="1" l="1"/>
  <c r="S396" i="1"/>
  <c r="T396" i="1" s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R371" i="1" l="1"/>
  <c r="S372" i="1"/>
  <c r="T372" i="1" s="1"/>
  <c r="R370" i="1" l="1"/>
  <c r="S371" i="1"/>
  <c r="T371" i="1" s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R354" i="1" l="1"/>
  <c r="S355" i="1"/>
  <c r="T355" i="1" s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R347" i="1" l="1"/>
  <c r="S348" i="1"/>
  <c r="T348" i="1" s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R333" i="1" l="1"/>
  <c r="S334" i="1"/>
  <c r="T334" i="1" s="1"/>
  <c r="R332" i="1" l="1"/>
  <c r="S333" i="1"/>
  <c r="T333" i="1" s="1"/>
  <c r="R331" i="1" l="1"/>
  <c r="S332" i="1"/>
  <c r="T332" i="1" s="1"/>
  <c r="R330" i="1" l="1"/>
  <c r="S331" i="1"/>
  <c r="T331" i="1" s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R323" i="1" l="1"/>
  <c r="S324" i="1"/>
  <c r="T324" i="1" s="1"/>
  <c r="R322" i="1" l="1"/>
  <c r="S323" i="1"/>
  <c r="T323" i="1" s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R307" i="1" l="1"/>
  <c r="S308" i="1"/>
  <c r="T308" i="1" s="1"/>
  <c r="R306" i="1" l="1"/>
  <c r="S307" i="1"/>
  <c r="T307" i="1" s="1"/>
  <c r="R305" i="1" l="1"/>
  <c r="S306" i="1"/>
  <c r="T306" i="1" s="1"/>
  <c r="R304" i="1" l="1"/>
  <c r="S305" i="1"/>
  <c r="T305" i="1" s="1"/>
  <c r="R303" i="1" l="1"/>
  <c r="S304" i="1"/>
  <c r="T304" i="1" s="1"/>
  <c r="R302" i="1" l="1"/>
  <c r="S303" i="1"/>
  <c r="T303" i="1" s="1"/>
  <c r="R301" i="1" l="1"/>
  <c r="S302" i="1"/>
  <c r="T302" i="1" s="1"/>
  <c r="R300" i="1" l="1"/>
  <c r="S301" i="1"/>
  <c r="T301" i="1" s="1"/>
  <c r="R299" i="1" l="1"/>
  <c r="S300" i="1"/>
  <c r="T300" i="1" s="1"/>
  <c r="R298" i="1" l="1"/>
  <c r="S299" i="1"/>
  <c r="T299" i="1" s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R291" i="1" l="1"/>
  <c r="S292" i="1"/>
  <c r="T292" i="1" s="1"/>
  <c r="R290" i="1" l="1"/>
  <c r="S291" i="1"/>
  <c r="T291" i="1" s="1"/>
  <c r="R289" i="1" l="1"/>
  <c r="S290" i="1"/>
  <c r="T290" i="1" s="1"/>
  <c r="R288" i="1" l="1"/>
  <c r="S289" i="1"/>
  <c r="T289" i="1" s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R283" i="1" l="1"/>
  <c r="S284" i="1"/>
  <c r="T284" i="1" s="1"/>
  <c r="R282" i="1" l="1"/>
  <c r="S283" i="1"/>
  <c r="T283" i="1" s="1"/>
  <c r="R281" i="1" l="1"/>
  <c r="S282" i="1"/>
  <c r="T282" i="1" s="1"/>
  <c r="R280" i="1" l="1"/>
  <c r="S281" i="1"/>
  <c r="T281" i="1" s="1"/>
  <c r="R279" i="1" l="1"/>
  <c r="S280" i="1"/>
  <c r="T280" i="1" s="1"/>
  <c r="R278" i="1" l="1"/>
  <c r="S279" i="1"/>
  <c r="T279" i="1" s="1"/>
  <c r="R277" i="1" l="1"/>
  <c r="S278" i="1"/>
  <c r="T278" i="1" s="1"/>
  <c r="R276" i="1" l="1"/>
  <c r="S277" i="1"/>
  <c r="T277" i="1" s="1"/>
  <c r="R275" i="1" l="1"/>
  <c r="S276" i="1"/>
  <c r="T276" i="1" s="1"/>
  <c r="R274" i="1" l="1"/>
  <c r="S275" i="1"/>
  <c r="T275" i="1" s="1"/>
  <c r="R273" i="1" l="1"/>
  <c r="S274" i="1"/>
  <c r="T274" i="1" s="1"/>
  <c r="R272" i="1" l="1"/>
  <c r="S273" i="1"/>
  <c r="T273" i="1" s="1"/>
  <c r="R271" i="1" l="1"/>
  <c r="S272" i="1"/>
  <c r="T272" i="1" s="1"/>
  <c r="R270" i="1" l="1"/>
  <c r="S271" i="1"/>
  <c r="T271" i="1" s="1"/>
  <c r="R269" i="1" l="1"/>
  <c r="S270" i="1"/>
  <c r="T270" i="1" s="1"/>
  <c r="R268" i="1" l="1"/>
  <c r="S269" i="1"/>
  <c r="T269" i="1" s="1"/>
  <c r="R267" i="1" l="1"/>
  <c r="S268" i="1"/>
  <c r="T268" i="1" s="1"/>
  <c r="R266" i="1" l="1"/>
  <c r="S267" i="1"/>
  <c r="T267" i="1" s="1"/>
  <c r="R265" i="1" l="1"/>
  <c r="S266" i="1"/>
  <c r="T266" i="1" s="1"/>
  <c r="R264" i="1" l="1"/>
  <c r="S265" i="1"/>
  <c r="T265" i="1" s="1"/>
  <c r="R263" i="1" l="1"/>
  <c r="S264" i="1"/>
  <c r="T264" i="1" s="1"/>
  <c r="R262" i="1" l="1"/>
  <c r="S263" i="1"/>
  <c r="T263" i="1" s="1"/>
  <c r="R261" i="1" l="1"/>
  <c r="S262" i="1"/>
  <c r="T262" i="1" s="1"/>
  <c r="R260" i="1" l="1"/>
  <c r="S261" i="1"/>
  <c r="T261" i="1" s="1"/>
  <c r="R259" i="1" l="1"/>
  <c r="S260" i="1"/>
  <c r="T260" i="1" s="1"/>
  <c r="R258" i="1" l="1"/>
  <c r="S259" i="1"/>
  <c r="T259" i="1" s="1"/>
  <c r="R257" i="1" l="1"/>
  <c r="S258" i="1"/>
  <c r="T258" i="1" s="1"/>
  <c r="R256" i="1" l="1"/>
  <c r="S257" i="1"/>
  <c r="T257" i="1" s="1"/>
  <c r="R255" i="1" l="1"/>
  <c r="S256" i="1"/>
  <c r="T256" i="1" s="1"/>
  <c r="R254" i="1" l="1"/>
  <c r="S255" i="1"/>
  <c r="T255" i="1" s="1"/>
  <c r="R253" i="1" l="1"/>
  <c r="S254" i="1"/>
  <c r="T254" i="1" s="1"/>
  <c r="R252" i="1" l="1"/>
  <c r="S253" i="1"/>
  <c r="T253" i="1" s="1"/>
  <c r="R251" i="1" l="1"/>
  <c r="S252" i="1"/>
  <c r="T252" i="1" s="1"/>
  <c r="R250" i="1" l="1"/>
  <c r="S251" i="1"/>
  <c r="T251" i="1" s="1"/>
  <c r="R249" i="1" l="1"/>
  <c r="S250" i="1"/>
  <c r="T250" i="1" s="1"/>
  <c r="R248" i="1" l="1"/>
  <c r="S249" i="1"/>
  <c r="T249" i="1" s="1"/>
  <c r="R247" i="1" l="1"/>
  <c r="S248" i="1"/>
  <c r="T248" i="1" s="1"/>
  <c r="R246" i="1" l="1"/>
  <c r="S247" i="1"/>
  <c r="T247" i="1" s="1"/>
  <c r="R245" i="1" l="1"/>
  <c r="S246" i="1"/>
  <c r="T246" i="1" s="1"/>
  <c r="R244" i="1" l="1"/>
  <c r="S245" i="1"/>
  <c r="T245" i="1" s="1"/>
  <c r="R243" i="1" l="1"/>
  <c r="S244" i="1"/>
  <c r="T244" i="1" s="1"/>
  <c r="R242" i="1" l="1"/>
  <c r="S243" i="1"/>
  <c r="T243" i="1" s="1"/>
  <c r="R241" i="1" l="1"/>
  <c r="S242" i="1"/>
  <c r="T242" i="1" s="1"/>
  <c r="R240" i="1" l="1"/>
  <c r="S241" i="1"/>
  <c r="T241" i="1" s="1"/>
  <c r="R239" i="1" l="1"/>
  <c r="S240" i="1"/>
  <c r="T240" i="1" s="1"/>
  <c r="R238" i="1" l="1"/>
  <c r="S239" i="1"/>
  <c r="T239" i="1" s="1"/>
  <c r="R237" i="1" l="1"/>
  <c r="S238" i="1"/>
  <c r="T238" i="1" s="1"/>
  <c r="R236" i="1" l="1"/>
  <c r="S237" i="1"/>
  <c r="T237" i="1" s="1"/>
  <c r="R235" i="1" l="1"/>
  <c r="S236" i="1"/>
  <c r="T236" i="1" s="1"/>
  <c r="R234" i="1" l="1"/>
  <c r="S235" i="1"/>
  <c r="T235" i="1" s="1"/>
  <c r="R233" i="1" l="1"/>
  <c r="S234" i="1"/>
  <c r="T234" i="1" s="1"/>
  <c r="R232" i="1" l="1"/>
  <c r="S233" i="1"/>
  <c r="T233" i="1" s="1"/>
  <c r="R231" i="1" l="1"/>
  <c r="S232" i="1"/>
  <c r="T232" i="1" s="1"/>
  <c r="R230" i="1" l="1"/>
  <c r="S231" i="1"/>
  <c r="T231" i="1" s="1"/>
  <c r="R229" i="1" l="1"/>
  <c r="S230" i="1"/>
  <c r="T230" i="1" s="1"/>
  <c r="R228" i="1" l="1"/>
  <c r="S229" i="1"/>
  <c r="T229" i="1" s="1"/>
  <c r="R227" i="1" l="1"/>
  <c r="S228" i="1"/>
  <c r="T228" i="1" s="1"/>
  <c r="R226" i="1" l="1"/>
  <c r="S227" i="1"/>
  <c r="T227" i="1" s="1"/>
  <c r="R225" i="1" l="1"/>
  <c r="S226" i="1"/>
  <c r="T226" i="1" s="1"/>
  <c r="R224" i="1" l="1"/>
  <c r="S225" i="1"/>
  <c r="T225" i="1" s="1"/>
  <c r="R223" i="1" l="1"/>
  <c r="S224" i="1"/>
  <c r="T224" i="1" s="1"/>
  <c r="R222" i="1" l="1"/>
  <c r="S223" i="1"/>
  <c r="T223" i="1" s="1"/>
  <c r="R221" i="1" l="1"/>
  <c r="S222" i="1"/>
  <c r="T222" i="1" s="1"/>
  <c r="R220" i="1" l="1"/>
  <c r="S221" i="1"/>
  <c r="T221" i="1" s="1"/>
  <c r="R219" i="1" l="1"/>
  <c r="S220" i="1"/>
  <c r="T220" i="1" s="1"/>
  <c r="R218" i="1" l="1"/>
  <c r="S219" i="1"/>
  <c r="T219" i="1" s="1"/>
  <c r="R217" i="1" l="1"/>
  <c r="S218" i="1"/>
  <c r="T218" i="1" s="1"/>
  <c r="R216" i="1" l="1"/>
  <c r="S217" i="1"/>
  <c r="T217" i="1" s="1"/>
  <c r="R215" i="1" l="1"/>
  <c r="S216" i="1"/>
  <c r="T216" i="1" s="1"/>
  <c r="R214" i="1" l="1"/>
  <c r="S215" i="1"/>
  <c r="T215" i="1" s="1"/>
  <c r="R213" i="1" l="1"/>
  <c r="S214" i="1"/>
  <c r="T214" i="1" s="1"/>
  <c r="R212" i="1" l="1"/>
  <c r="S213" i="1"/>
  <c r="T213" i="1" s="1"/>
  <c r="R211" i="1" l="1"/>
  <c r="S212" i="1"/>
  <c r="T212" i="1" s="1"/>
  <c r="R210" i="1" l="1"/>
  <c r="S211" i="1"/>
  <c r="T211" i="1" s="1"/>
  <c r="R209" i="1" l="1"/>
  <c r="S210" i="1"/>
  <c r="T210" i="1" s="1"/>
  <c r="R208" i="1" l="1"/>
  <c r="S209" i="1"/>
  <c r="T209" i="1" s="1"/>
  <c r="R207" i="1" l="1"/>
  <c r="S208" i="1"/>
  <c r="T208" i="1" s="1"/>
  <c r="R206" i="1" l="1"/>
  <c r="S207" i="1"/>
  <c r="T207" i="1" s="1"/>
  <c r="R205" i="1" l="1"/>
  <c r="S206" i="1"/>
  <c r="T206" i="1" s="1"/>
  <c r="R204" i="1" l="1"/>
  <c r="S205" i="1"/>
  <c r="T205" i="1" s="1"/>
  <c r="R203" i="1" l="1"/>
  <c r="S204" i="1"/>
  <c r="T204" i="1" s="1"/>
  <c r="R202" i="1" l="1"/>
  <c r="S203" i="1"/>
  <c r="T203" i="1" s="1"/>
  <c r="R201" i="1" l="1"/>
  <c r="S202" i="1"/>
  <c r="T202" i="1" s="1"/>
  <c r="R200" i="1" l="1"/>
  <c r="S201" i="1"/>
  <c r="T201" i="1" s="1"/>
  <c r="R199" i="1" l="1"/>
  <c r="S200" i="1"/>
  <c r="T200" i="1" s="1"/>
  <c r="R198" i="1" l="1"/>
  <c r="S199" i="1"/>
  <c r="T199" i="1" s="1"/>
  <c r="R197" i="1" l="1"/>
  <c r="S198" i="1"/>
  <c r="T198" i="1" s="1"/>
  <c r="R196" i="1" l="1"/>
  <c r="S197" i="1"/>
  <c r="T197" i="1" s="1"/>
  <c r="R195" i="1" l="1"/>
  <c r="S196" i="1"/>
  <c r="T196" i="1" s="1"/>
  <c r="S195" i="1" l="1"/>
  <c r="T195" i="1" s="1"/>
  <c r="R194" i="1"/>
  <c r="R193" i="1" l="1"/>
  <c r="S194" i="1"/>
  <c r="T194" i="1" s="1"/>
  <c r="R192" i="1" l="1"/>
  <c r="S193" i="1"/>
  <c r="T193" i="1" s="1"/>
  <c r="R191" i="1" l="1"/>
  <c r="S192" i="1"/>
  <c r="T192" i="1" s="1"/>
  <c r="R190" i="1" l="1"/>
  <c r="S191" i="1"/>
  <c r="T191" i="1" s="1"/>
  <c r="R189" i="1" l="1"/>
  <c r="S190" i="1"/>
  <c r="T190" i="1" s="1"/>
  <c r="R188" i="1" l="1"/>
  <c r="S189" i="1"/>
  <c r="T189" i="1" s="1"/>
  <c r="S188" i="1" l="1"/>
  <c r="T188" i="1" s="1"/>
  <c r="R187" i="1"/>
  <c r="R186" i="1" l="1"/>
  <c r="S187" i="1"/>
  <c r="T187" i="1" s="1"/>
  <c r="R185" i="1" l="1"/>
  <c r="S186" i="1"/>
  <c r="T186" i="1" s="1"/>
  <c r="R184" i="1" l="1"/>
  <c r="S185" i="1"/>
  <c r="T185" i="1" s="1"/>
  <c r="R183" i="1" l="1"/>
  <c r="S184" i="1"/>
  <c r="T184" i="1" s="1"/>
  <c r="R182" i="1" l="1"/>
  <c r="S183" i="1"/>
  <c r="T183" i="1" s="1"/>
  <c r="R181" i="1" l="1"/>
  <c r="S182" i="1"/>
  <c r="T182" i="1" s="1"/>
  <c r="R180" i="1" l="1"/>
  <c r="S181" i="1"/>
  <c r="T181" i="1" s="1"/>
  <c r="S180" i="1" l="1"/>
  <c r="T180" i="1" s="1"/>
  <c r="R179" i="1"/>
  <c r="S179" i="1" l="1"/>
  <c r="T179" i="1" s="1"/>
  <c r="R178" i="1"/>
  <c r="R177" i="1" l="1"/>
  <c r="S178" i="1"/>
  <c r="T178" i="1" s="1"/>
  <c r="R176" i="1" l="1"/>
  <c r="S177" i="1"/>
  <c r="T177" i="1" s="1"/>
  <c r="R175" i="1" l="1"/>
  <c r="S176" i="1"/>
  <c r="T176" i="1" s="1"/>
  <c r="R174" i="1" l="1"/>
  <c r="S175" i="1"/>
  <c r="T175" i="1" s="1"/>
  <c r="R173" i="1" l="1"/>
  <c r="S174" i="1"/>
  <c r="T174" i="1" s="1"/>
  <c r="R172" i="1" l="1"/>
  <c r="S173" i="1"/>
  <c r="T173" i="1" s="1"/>
  <c r="R171" i="1" l="1"/>
  <c r="S172" i="1"/>
  <c r="T172" i="1" s="1"/>
  <c r="S171" i="1" l="1"/>
  <c r="T171" i="1" s="1"/>
  <c r="R170" i="1"/>
  <c r="R169" i="1" l="1"/>
  <c r="S170" i="1"/>
  <c r="T170" i="1" s="1"/>
  <c r="R168" i="1" l="1"/>
  <c r="S169" i="1"/>
  <c r="T169" i="1" s="1"/>
  <c r="R167" i="1" l="1"/>
  <c r="S168" i="1"/>
  <c r="T168" i="1" s="1"/>
  <c r="R166" i="1" l="1"/>
  <c r="S167" i="1"/>
  <c r="T167" i="1" s="1"/>
  <c r="R165" i="1" l="1"/>
  <c r="S166" i="1"/>
  <c r="T166" i="1" s="1"/>
  <c r="R164" i="1" l="1"/>
  <c r="S165" i="1"/>
  <c r="T165" i="1" s="1"/>
  <c r="R163" i="1" l="1"/>
  <c r="S164" i="1"/>
  <c r="T164" i="1" s="1"/>
  <c r="S163" i="1" l="1"/>
  <c r="T163" i="1" s="1"/>
  <c r="R162" i="1"/>
  <c r="R161" i="1" l="1"/>
  <c r="S162" i="1"/>
  <c r="T162" i="1" s="1"/>
  <c r="R160" i="1" l="1"/>
  <c r="S161" i="1"/>
  <c r="T161" i="1" s="1"/>
  <c r="R159" i="1" l="1"/>
  <c r="S160" i="1"/>
  <c r="T160" i="1" s="1"/>
  <c r="R158" i="1" l="1"/>
  <c r="S159" i="1"/>
  <c r="T159" i="1" s="1"/>
  <c r="R157" i="1" l="1"/>
  <c r="S158" i="1"/>
  <c r="T158" i="1" s="1"/>
  <c r="R156" i="1" l="1"/>
  <c r="S157" i="1"/>
  <c r="T157" i="1" s="1"/>
  <c r="R155" i="1" l="1"/>
  <c r="S156" i="1"/>
  <c r="T156" i="1" s="1"/>
  <c r="R154" i="1" l="1"/>
  <c r="S155" i="1"/>
  <c r="T155" i="1" s="1"/>
  <c r="R153" i="1" l="1"/>
  <c r="S154" i="1"/>
  <c r="T154" i="1" s="1"/>
  <c r="R152" i="1" l="1"/>
  <c r="S153" i="1"/>
  <c r="T153" i="1" s="1"/>
  <c r="R151" i="1" l="1"/>
  <c r="S152" i="1"/>
  <c r="T152" i="1" s="1"/>
  <c r="R150" i="1" l="1"/>
  <c r="S151" i="1"/>
  <c r="T151" i="1" s="1"/>
  <c r="R149" i="1" l="1"/>
  <c r="S150" i="1"/>
  <c r="T150" i="1" s="1"/>
  <c r="R148" i="1" l="1"/>
  <c r="S149" i="1"/>
  <c r="T149" i="1" s="1"/>
  <c r="R147" i="1" l="1"/>
  <c r="S148" i="1"/>
  <c r="T148" i="1" s="1"/>
  <c r="S147" i="1" l="1"/>
  <c r="T147" i="1" s="1"/>
  <c r="R146" i="1"/>
  <c r="R145" i="1" l="1"/>
  <c r="S146" i="1"/>
  <c r="T146" i="1" s="1"/>
  <c r="R144" i="1" l="1"/>
  <c r="S145" i="1"/>
  <c r="T145" i="1" s="1"/>
  <c r="R143" i="1" l="1"/>
  <c r="S144" i="1"/>
  <c r="T144" i="1" s="1"/>
  <c r="R142" i="1" l="1"/>
  <c r="S143" i="1"/>
  <c r="T143" i="1" s="1"/>
  <c r="R141" i="1" l="1"/>
  <c r="S142" i="1"/>
  <c r="T142" i="1" s="1"/>
  <c r="R140" i="1" l="1"/>
  <c r="S141" i="1"/>
  <c r="T141" i="1" s="1"/>
  <c r="R139" i="1" l="1"/>
  <c r="S140" i="1"/>
  <c r="T140" i="1" s="1"/>
  <c r="R138" i="1" l="1"/>
  <c r="S139" i="1"/>
  <c r="T139" i="1" s="1"/>
  <c r="R137" i="1" l="1"/>
  <c r="S138" i="1"/>
  <c r="T138" i="1" s="1"/>
  <c r="R136" i="1" l="1"/>
  <c r="S137" i="1"/>
  <c r="T137" i="1" s="1"/>
  <c r="R135" i="1" l="1"/>
  <c r="S136" i="1"/>
  <c r="T136" i="1" s="1"/>
  <c r="R134" i="1" l="1"/>
  <c r="S135" i="1"/>
  <c r="T135" i="1" s="1"/>
  <c r="R133" i="1" l="1"/>
  <c r="S134" i="1"/>
  <c r="T134" i="1" s="1"/>
  <c r="R132" i="1" l="1"/>
  <c r="S133" i="1"/>
  <c r="T133" i="1" s="1"/>
  <c r="S132" i="1" l="1"/>
  <c r="T132" i="1" s="1"/>
  <c r="R131" i="1"/>
  <c r="R130" i="1" l="1"/>
  <c r="S131" i="1"/>
  <c r="T131" i="1" s="1"/>
  <c r="R129" i="1" l="1"/>
  <c r="S130" i="1"/>
  <c r="T130" i="1" s="1"/>
  <c r="R128" i="1" l="1"/>
  <c r="S129" i="1"/>
  <c r="T129" i="1" s="1"/>
  <c r="R127" i="1" l="1"/>
  <c r="S128" i="1"/>
  <c r="T128" i="1" s="1"/>
  <c r="R126" i="1" l="1"/>
  <c r="S127" i="1"/>
  <c r="T127" i="1" s="1"/>
  <c r="R125" i="1" l="1"/>
  <c r="S126" i="1"/>
  <c r="T126" i="1" s="1"/>
  <c r="R124" i="1" l="1"/>
  <c r="S125" i="1"/>
  <c r="T125" i="1" s="1"/>
  <c r="R123" i="1" l="1"/>
  <c r="S124" i="1"/>
  <c r="T124" i="1" s="1"/>
  <c r="S123" i="1" l="1"/>
  <c r="T123" i="1" s="1"/>
  <c r="R122" i="1"/>
  <c r="R121" i="1" l="1"/>
  <c r="S122" i="1"/>
  <c r="T122" i="1" s="1"/>
  <c r="R120" i="1" l="1"/>
  <c r="S121" i="1"/>
  <c r="T121" i="1" s="1"/>
  <c r="R119" i="1" l="1"/>
  <c r="S120" i="1"/>
  <c r="T120" i="1" s="1"/>
  <c r="R118" i="1" l="1"/>
  <c r="S119" i="1"/>
  <c r="T119" i="1" s="1"/>
  <c r="R117" i="1" l="1"/>
  <c r="S118" i="1"/>
  <c r="T118" i="1" s="1"/>
  <c r="R116" i="1" l="1"/>
  <c r="S117" i="1"/>
  <c r="T117" i="1" s="1"/>
  <c r="R115" i="1" l="1"/>
  <c r="S116" i="1"/>
  <c r="T116" i="1" s="1"/>
  <c r="R114" i="1" l="1"/>
  <c r="S115" i="1"/>
  <c r="T115" i="1" s="1"/>
  <c r="R113" i="1" l="1"/>
  <c r="S114" i="1"/>
  <c r="T114" i="1" s="1"/>
  <c r="R112" i="1" l="1"/>
  <c r="S113" i="1"/>
  <c r="T113" i="1" s="1"/>
  <c r="R111" i="1" l="1"/>
  <c r="S112" i="1"/>
  <c r="T112" i="1" s="1"/>
  <c r="R110" i="1" l="1"/>
  <c r="S111" i="1"/>
  <c r="T111" i="1" s="1"/>
  <c r="R109" i="1" l="1"/>
  <c r="S110" i="1"/>
  <c r="T110" i="1" s="1"/>
  <c r="R108" i="1" l="1"/>
  <c r="S109" i="1"/>
  <c r="T109" i="1" s="1"/>
  <c r="S108" i="1" l="1"/>
  <c r="T108" i="1" s="1"/>
  <c r="R107" i="1"/>
  <c r="S107" i="1" l="1"/>
  <c r="T107" i="1" s="1"/>
  <c r="R106" i="1"/>
  <c r="R105" i="1" l="1"/>
  <c r="S106" i="1"/>
  <c r="T106" i="1" s="1"/>
  <c r="R104" i="1" l="1"/>
  <c r="S105" i="1"/>
  <c r="T105" i="1" s="1"/>
  <c r="R103" i="1" l="1"/>
  <c r="S104" i="1"/>
  <c r="T104" i="1" s="1"/>
  <c r="R102" i="1" l="1"/>
  <c r="S103" i="1"/>
  <c r="T103" i="1" s="1"/>
  <c r="R101" i="1" l="1"/>
  <c r="S102" i="1"/>
  <c r="T102" i="1" s="1"/>
  <c r="R100" i="1" l="1"/>
  <c r="S101" i="1"/>
  <c r="T101" i="1" s="1"/>
  <c r="R99" i="1" l="1"/>
  <c r="S100" i="1"/>
  <c r="T100" i="1" s="1"/>
  <c r="S99" i="1" l="1"/>
  <c r="T99" i="1" s="1"/>
  <c r="R98" i="1"/>
  <c r="R97" i="1" l="1"/>
  <c r="S98" i="1"/>
  <c r="T98" i="1" s="1"/>
  <c r="R96" i="1" l="1"/>
  <c r="S97" i="1"/>
  <c r="T97" i="1" s="1"/>
  <c r="R95" i="1" l="1"/>
  <c r="S96" i="1"/>
  <c r="T96" i="1" s="1"/>
  <c r="R94" i="1" l="1"/>
  <c r="S95" i="1"/>
  <c r="T95" i="1" s="1"/>
  <c r="R93" i="1" l="1"/>
  <c r="S94" i="1"/>
  <c r="T94" i="1" s="1"/>
  <c r="R92" i="1" l="1"/>
  <c r="S93" i="1"/>
  <c r="T93" i="1" s="1"/>
  <c r="S92" i="1" l="1"/>
  <c r="T92" i="1" s="1"/>
  <c r="R91" i="1"/>
  <c r="R90" i="1" l="1"/>
  <c r="S91" i="1"/>
  <c r="T91" i="1" s="1"/>
  <c r="R89" i="1" l="1"/>
  <c r="S90" i="1"/>
  <c r="T90" i="1" s="1"/>
  <c r="R88" i="1" l="1"/>
  <c r="S89" i="1"/>
  <c r="T89" i="1" s="1"/>
  <c r="R87" i="1" l="1"/>
  <c r="S88" i="1"/>
  <c r="T88" i="1" s="1"/>
  <c r="S87" i="1" l="1"/>
  <c r="T87" i="1" s="1"/>
  <c r="R86" i="1"/>
  <c r="S86" i="1" l="1"/>
  <c r="T86" i="1" s="1"/>
  <c r="R85" i="1"/>
  <c r="S85" i="1" l="1"/>
  <c r="T85" i="1" s="1"/>
  <c r="R84" i="1"/>
  <c r="S84" i="1" l="1"/>
  <c r="T84" i="1" s="1"/>
  <c r="R83" i="1"/>
  <c r="S83" i="1" l="1"/>
  <c r="T83" i="1" s="1"/>
  <c r="R82" i="1"/>
  <c r="R81" i="1" l="1"/>
  <c r="S82" i="1"/>
  <c r="T82" i="1" s="1"/>
  <c r="R80" i="1" l="1"/>
  <c r="S81" i="1"/>
  <c r="T81" i="1" s="1"/>
  <c r="R79" i="1" l="1"/>
  <c r="S80" i="1"/>
  <c r="T80" i="1" s="1"/>
  <c r="R78" i="1" l="1"/>
  <c r="S79" i="1"/>
  <c r="T79" i="1" s="1"/>
  <c r="R77" i="1" l="1"/>
  <c r="S78" i="1"/>
  <c r="T78" i="1" s="1"/>
  <c r="R76" i="1" l="1"/>
  <c r="S77" i="1"/>
  <c r="T77" i="1" s="1"/>
  <c r="R75" i="1" l="1"/>
  <c r="S76" i="1"/>
  <c r="T76" i="1" s="1"/>
  <c r="S75" i="1" l="1"/>
  <c r="T75" i="1" s="1"/>
  <c r="R74" i="1"/>
  <c r="R73" i="1" l="1"/>
  <c r="S74" i="1"/>
  <c r="T74" i="1" s="1"/>
  <c r="R72" i="1" l="1"/>
  <c r="S73" i="1"/>
  <c r="T73" i="1" s="1"/>
  <c r="S72" i="1" l="1"/>
  <c r="T72" i="1" s="1"/>
  <c r="R71" i="1"/>
  <c r="S71" i="1" l="1"/>
  <c r="T71" i="1" s="1"/>
  <c r="R70" i="1"/>
  <c r="S70" i="1" l="1"/>
  <c r="T70" i="1" s="1"/>
  <c r="R69" i="1"/>
  <c r="S69" i="1" l="1"/>
  <c r="T69" i="1" s="1"/>
  <c r="R68" i="1"/>
  <c r="S68" i="1" l="1"/>
  <c r="T68" i="1" s="1"/>
  <c r="R67" i="1"/>
  <c r="S67" i="1" l="1"/>
  <c r="T67" i="1" s="1"/>
  <c r="R66" i="1"/>
  <c r="R65" i="1" l="1"/>
  <c r="S66" i="1"/>
  <c r="T66" i="1" s="1"/>
  <c r="R64" i="1" l="1"/>
  <c r="S65" i="1"/>
  <c r="T65" i="1" s="1"/>
  <c r="R63" i="1" l="1"/>
  <c r="S64" i="1"/>
  <c r="T64" i="1" s="1"/>
  <c r="S63" i="1" l="1"/>
  <c r="T63" i="1" s="1"/>
  <c r="R62" i="1"/>
  <c r="S62" i="1" l="1"/>
  <c r="T62" i="1" s="1"/>
  <c r="R61" i="1"/>
  <c r="S61" i="1" l="1"/>
  <c r="T61" i="1" s="1"/>
  <c r="R60" i="1"/>
  <c r="S60" i="1" l="1"/>
  <c r="T60" i="1" s="1"/>
  <c r="R59" i="1"/>
  <c r="S59" i="1" l="1"/>
  <c r="T59" i="1" s="1"/>
  <c r="R58" i="1"/>
  <c r="R57" i="1" l="1"/>
  <c r="S58" i="1"/>
  <c r="T58" i="1" s="1"/>
  <c r="R56" i="1" l="1"/>
  <c r="S57" i="1"/>
  <c r="T57" i="1" s="1"/>
  <c r="R55" i="1" l="1"/>
  <c r="S56" i="1"/>
  <c r="T56" i="1" s="1"/>
  <c r="R54" i="1" l="1"/>
  <c r="S55" i="1"/>
  <c r="T55" i="1" s="1"/>
  <c r="R53" i="1" l="1"/>
  <c r="S54" i="1"/>
  <c r="T54" i="1" s="1"/>
  <c r="R52" i="1" l="1"/>
  <c r="S53" i="1"/>
  <c r="T53" i="1" s="1"/>
  <c r="R51" i="1" l="1"/>
  <c r="S52" i="1"/>
  <c r="T52" i="1" s="1"/>
  <c r="S51" i="1" l="1"/>
  <c r="T51" i="1" s="1"/>
  <c r="R50" i="1"/>
  <c r="R49" i="1" l="1"/>
  <c r="S50" i="1"/>
  <c r="T50" i="1" s="1"/>
  <c r="R48" i="1" l="1"/>
  <c r="S49" i="1"/>
  <c r="T49" i="1" s="1"/>
  <c r="S48" i="1" l="1"/>
  <c r="T48" i="1" s="1"/>
  <c r="R47" i="1"/>
  <c r="S47" i="1" l="1"/>
  <c r="T47" i="1" s="1"/>
  <c r="R46" i="1"/>
  <c r="S46" i="1" l="1"/>
  <c r="T46" i="1" s="1"/>
  <c r="R45" i="1"/>
  <c r="S45" i="1" l="1"/>
  <c r="T45" i="1" s="1"/>
  <c r="R44" i="1"/>
  <c r="S44" i="1" l="1"/>
  <c r="T44" i="1" s="1"/>
  <c r="R43" i="1"/>
  <c r="R42" i="1" l="1"/>
  <c r="S43" i="1"/>
  <c r="T43" i="1" s="1"/>
  <c r="R41" i="1" l="1"/>
  <c r="S42" i="1"/>
  <c r="T42" i="1" s="1"/>
  <c r="R40" i="1" l="1"/>
  <c r="S41" i="1"/>
  <c r="T41" i="1" s="1"/>
  <c r="R39" i="1" l="1"/>
  <c r="S40" i="1"/>
  <c r="T40" i="1" s="1"/>
  <c r="R38" i="1" l="1"/>
  <c r="S39" i="1"/>
  <c r="T39" i="1" s="1"/>
  <c r="S38" i="1" l="1"/>
  <c r="T38" i="1" s="1"/>
  <c r="R37" i="1"/>
  <c r="S37" i="1" l="1"/>
  <c r="T37" i="1" s="1"/>
  <c r="R36" i="1"/>
  <c r="S36" i="1" l="1"/>
  <c r="T36" i="1" s="1"/>
  <c r="R35" i="1"/>
  <c r="S35" i="1" l="1"/>
  <c r="T35" i="1" s="1"/>
  <c r="R34" i="1"/>
  <c r="R33" i="1" l="1"/>
  <c r="S34" i="1"/>
  <c r="T34" i="1" s="1"/>
  <c r="S33" i="1" l="1"/>
  <c r="T33" i="1" s="1"/>
  <c r="R32" i="1"/>
  <c r="S32" i="1" l="1"/>
  <c r="T32" i="1" s="1"/>
  <c r="R31" i="1"/>
  <c r="R30" i="1" l="1"/>
  <c r="S31" i="1"/>
  <c r="T31" i="1" s="1"/>
  <c r="R29" i="1" l="1"/>
  <c r="S30" i="1"/>
  <c r="T30" i="1" s="1"/>
  <c r="R28" i="1" l="1"/>
  <c r="S29" i="1"/>
  <c r="T29" i="1" s="1"/>
  <c r="S28" i="1" l="1"/>
  <c r="T28" i="1" s="1"/>
  <c r="R27" i="1"/>
  <c r="S27" i="1" l="1"/>
  <c r="T27" i="1" s="1"/>
  <c r="R26" i="1"/>
  <c r="R25" i="1" l="1"/>
  <c r="S26" i="1"/>
  <c r="T26" i="1" s="1"/>
  <c r="R24" i="1" l="1"/>
  <c r="S25" i="1"/>
  <c r="T25" i="1" s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<sst xmlns="http://schemas.openxmlformats.org/spreadsheetml/2006/main" count="5943" uniqueCount="34">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</sst>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10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6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4.4960000000000004</c:v>
                </c:pt>
                <c:pt idx="1">
                  <c:v>4.6239999999999997</c:v>
                </c:pt>
                <c:pt idx="2">
                  <c:v>4.2850000000000001</c:v>
                </c:pt>
                <c:pt idx="3">
                  <c:v>4.2210000000000001</c:v>
                </c:pt>
                <c:pt idx="4">
                  <c:v>3.9369999999999998</c:v>
                </c:pt>
                <c:pt idx="5">
                  <c:v>3.7730000000000001</c:v>
                </c:pt>
                <c:pt idx="6">
                  <c:v>4.1749999999999998</c:v>
                </c:pt>
                <c:pt idx="7">
                  <c:v>4.7930000000000001</c:v>
                </c:pt>
                <c:pt idx="8">
                  <c:v>4.891</c:v>
                </c:pt>
                <c:pt idx="9">
                  <c:v>5.0140000000000002</c:v>
                </c:pt>
                <c:pt idx="10">
                  <c:v>4.976</c:v>
                </c:pt>
                <c:pt idx="11">
                  <c:v>5.3810000000000002</c:v>
                </c:pt>
                <c:pt idx="12">
                  <c:v>5.274</c:v>
                </c:pt>
                <c:pt idx="13">
                  <c:v>5.2149999999999999</c:v>
                </c:pt>
                <c:pt idx="14">
                  <c:v>5.0830000000000002</c:v>
                </c:pt>
                <c:pt idx="15">
                  <c:v>5.4359999999999999</c:v>
                </c:pt>
                <c:pt idx="16">
                  <c:v>5.0860000000000003</c:v>
                </c:pt>
                <c:pt idx="17">
                  <c:v>4.87</c:v>
                </c:pt>
                <c:pt idx="18">
                  <c:v>5.0940000000000003</c:v>
                </c:pt>
                <c:pt idx="19">
                  <c:v>5.0229999999999997</c:v>
                </c:pt>
                <c:pt idx="20">
                  <c:v>5.4020000000000001</c:v>
                </c:pt>
                <c:pt idx="21">
                  <c:v>5.9530000000000003</c:v>
                </c:pt>
                <c:pt idx="22">
                  <c:v>6.3730000000000002</c:v>
                </c:pt>
                <c:pt idx="23">
                  <c:v>6.593</c:v>
                </c:pt>
                <c:pt idx="24">
                  <c:v>7.173</c:v>
                </c:pt>
                <c:pt idx="25">
                  <c:v>6.2370000000000001</c:v>
                </c:pt>
                <c:pt idx="26">
                  <c:v>5.9809999999999999</c:v>
                </c:pt>
                <c:pt idx="27">
                  <c:v>5.4850000000000003</c:v>
                </c:pt>
                <c:pt idx="28">
                  <c:v>5.55</c:v>
                </c:pt>
                <c:pt idx="29">
                  <c:v>5.4470000000000001</c:v>
                </c:pt>
                <c:pt idx="30">
                  <c:v>5.8419999999999996</c:v>
                </c:pt>
                <c:pt idx="31">
                  <c:v>6.444</c:v>
                </c:pt>
                <c:pt idx="32">
                  <c:v>6.2309999999999999</c:v>
                </c:pt>
                <c:pt idx="33">
                  <c:v>5.8780000000000001</c:v>
                </c:pt>
                <c:pt idx="34">
                  <c:v>5.7210000000000001</c:v>
                </c:pt>
                <c:pt idx="35">
                  <c:v>6.0819999999999999</c:v>
                </c:pt>
                <c:pt idx="36">
                  <c:v>5.52</c:v>
                </c:pt>
                <c:pt idx="37">
                  <c:v>5.3529999999999998</c:v>
                </c:pt>
                <c:pt idx="38">
                  <c:v>5.1139999999999999</c:v>
                </c:pt>
                <c:pt idx="39">
                  <c:v>5.2009999999999996</c:v>
                </c:pt>
                <c:pt idx="40">
                  <c:v>5.19</c:v>
                </c:pt>
                <c:pt idx="41">
                  <c:v>5.0990000000000002</c:v>
                </c:pt>
                <c:pt idx="42">
                  <c:v>5.0380000000000003</c:v>
                </c:pt>
                <c:pt idx="43">
                  <c:v>5.2050000000000001</c:v>
                </c:pt>
                <c:pt idx="44">
                  <c:v>5.0709999999999997</c:v>
                </c:pt>
                <c:pt idx="45">
                  <c:v>4.9050000000000002</c:v>
                </c:pt>
                <c:pt idx="46">
                  <c:v>5.5250000000000004</c:v>
                </c:pt>
                <c:pt idx="47">
                  <c:v>5.3559999999999999</c:v>
                </c:pt>
                <c:pt idx="48">
                  <c:v>5.3019999999999996</c:v>
                </c:pt>
                <c:pt idx="49">
                  <c:v>5.5469999999999997</c:v>
                </c:pt>
                <c:pt idx="50">
                  <c:v>6.2549999999999999</c:v>
                </c:pt>
                <c:pt idx="51">
                  <c:v>5.88</c:v>
                </c:pt>
                <c:pt idx="52">
                  <c:v>6.0140000000000002</c:v>
                </c:pt>
                <c:pt idx="53">
                  <c:v>5.8570000000000002</c:v>
                </c:pt>
                <c:pt idx="54">
                  <c:v>6.2149999999999999</c:v>
                </c:pt>
                <c:pt idx="55">
                  <c:v>6.97</c:v>
                </c:pt>
                <c:pt idx="56">
                  <c:v>7.242</c:v>
                </c:pt>
                <c:pt idx="57">
                  <c:v>7.3959999999999999</c:v>
                </c:pt>
                <c:pt idx="58">
                  <c:v>7.6520000000000001</c:v>
                </c:pt>
                <c:pt idx="59">
                  <c:v>7.9020000000000001</c:v>
                </c:pt>
                <c:pt idx="60">
                  <c:v>7.6349999999999998</c:v>
                </c:pt>
                <c:pt idx="61">
                  <c:v>7.702</c:v>
                </c:pt>
                <c:pt idx="62">
                  <c:v>7.4480000000000004</c:v>
                </c:pt>
                <c:pt idx="63">
                  <c:v>8.0719999999999992</c:v>
                </c:pt>
                <c:pt idx="64">
                  <c:v>8.1010000000000009</c:v>
                </c:pt>
                <c:pt idx="65">
                  <c:v>8.2680000000000007</c:v>
                </c:pt>
                <c:pt idx="66">
                  <c:v>8.1720000000000006</c:v>
                </c:pt>
                <c:pt idx="67">
                  <c:v>8.5709999999999997</c:v>
                </c:pt>
                <c:pt idx="68">
                  <c:v>8.8420000000000005</c:v>
                </c:pt>
                <c:pt idx="69">
                  <c:v>8.6449999999999996</c:v>
                </c:pt>
                <c:pt idx="70">
                  <c:v>8.1969999999999992</c:v>
                </c:pt>
                <c:pt idx="71">
                  <c:v>8.9550000000000001</c:v>
                </c:pt>
                <c:pt idx="72">
                  <c:v>8.8079999999999998</c:v>
                </c:pt>
                <c:pt idx="73">
                  <c:v>9.5950000000000006</c:v>
                </c:pt>
                <c:pt idx="74">
                  <c:v>10.010999999999999</c:v>
                </c:pt>
                <c:pt idx="75">
                  <c:v>9.8049999999999997</c:v>
                </c:pt>
                <c:pt idx="76">
                  <c:v>9.5609999999999999</c:v>
                </c:pt>
                <c:pt idx="77">
                  <c:v>9.8889999999999993</c:v>
                </c:pt>
                <c:pt idx="78">
                  <c:v>9.5830000000000002</c:v>
                </c:pt>
                <c:pt idx="79">
                  <c:v>10.673</c:v>
                </c:pt>
                <c:pt idx="80">
                  <c:v>10.484</c:v>
                </c:pt>
                <c:pt idx="81">
                  <c:v>10.477</c:v>
                </c:pt>
                <c:pt idx="82">
                  <c:v>10.134</c:v>
                </c:pt>
                <c:pt idx="83">
                  <c:v>10.374000000000001</c:v>
                </c:pt>
                <c:pt idx="84">
                  <c:v>10.648</c:v>
                </c:pt>
                <c:pt idx="85">
                  <c:v>11.25</c:v>
                </c:pt>
                <c:pt idx="86">
                  <c:v>10.441000000000001</c:v>
                </c:pt>
                <c:pt idx="87">
                  <c:v>10.311999999999999</c:v>
                </c:pt>
                <c:pt idx="88">
                  <c:v>10.14</c:v>
                </c:pt>
                <c:pt idx="89">
                  <c:v>9.8689999999999998</c:v>
                </c:pt>
                <c:pt idx="90">
                  <c:v>10.356</c:v>
                </c:pt>
                <c:pt idx="91">
                  <c:v>9.6989999999999998</c:v>
                </c:pt>
                <c:pt idx="92">
                  <c:v>9.2629999999999999</c:v>
                </c:pt>
                <c:pt idx="93">
                  <c:v>10.345000000000001</c:v>
                </c:pt>
                <c:pt idx="94">
                  <c:v>9.8680000000000003</c:v>
                </c:pt>
                <c:pt idx="95">
                  <c:v>9.4309999999999992</c:v>
                </c:pt>
                <c:pt idx="96">
                  <c:v>9.9250000000000007</c:v>
                </c:pt>
                <c:pt idx="97">
                  <c:v>9.6460000000000008</c:v>
                </c:pt>
                <c:pt idx="98">
                  <c:v>9.4619999999999997</c:v>
                </c:pt>
                <c:pt idx="99">
                  <c:v>9.952</c:v>
                </c:pt>
                <c:pt idx="100">
                  <c:v>9.3979999999999997</c:v>
                </c:pt>
                <c:pt idx="101">
                  <c:v>9.407</c:v>
                </c:pt>
                <c:pt idx="102">
                  <c:v>9.5609999999999999</c:v>
                </c:pt>
                <c:pt idx="103">
                  <c:v>9.7759999999999998</c:v>
                </c:pt>
                <c:pt idx="104">
                  <c:v>9.7490000000000006</c:v>
                </c:pt>
                <c:pt idx="105">
                  <c:v>9.98</c:v>
                </c:pt>
                <c:pt idx="106">
                  <c:v>9.3970000000000002</c:v>
                </c:pt>
                <c:pt idx="107">
                  <c:v>9.2170000000000005</c:v>
                </c:pt>
                <c:pt idx="108">
                  <c:v>9.5749999999999993</c:v>
                </c:pt>
                <c:pt idx="109">
                  <c:v>9.5950000000000006</c:v>
                </c:pt>
                <c:pt idx="110">
                  <c:v>10.199999999999999</c:v>
                </c:pt>
                <c:pt idx="111">
                  <c:v>10.069000000000001</c:v>
                </c:pt>
                <c:pt idx="112">
                  <c:v>10.287000000000001</c:v>
                </c:pt>
                <c:pt idx="113">
                  <c:v>10.249000000000001</c:v>
                </c:pt>
                <c:pt idx="114">
                  <c:v>10.5</c:v>
                </c:pt>
                <c:pt idx="115">
                  <c:v>10.352</c:v>
                </c:pt>
                <c:pt idx="116">
                  <c:v>10.714</c:v>
                </c:pt>
                <c:pt idx="117">
                  <c:v>10.766999999999999</c:v>
                </c:pt>
                <c:pt idx="118">
                  <c:v>10.49</c:v>
                </c:pt>
                <c:pt idx="119">
                  <c:v>9.6</c:v>
                </c:pt>
                <c:pt idx="120">
                  <c:v>9.2810000000000006</c:v>
                </c:pt>
                <c:pt idx="121">
                  <c:v>9.3070000000000004</c:v>
                </c:pt>
                <c:pt idx="122">
                  <c:v>9.8320000000000007</c:v>
                </c:pt>
                <c:pt idx="123">
                  <c:v>10.465999999999999</c:v>
                </c:pt>
                <c:pt idx="124">
                  <c:v>10.177</c:v>
                </c:pt>
                <c:pt idx="125">
                  <c:v>10.507</c:v>
                </c:pt>
                <c:pt idx="126">
                  <c:v>11.737</c:v>
                </c:pt>
                <c:pt idx="127">
                  <c:v>10.920999999999999</c:v>
                </c:pt>
                <c:pt idx="128">
                  <c:v>9.5180000000000007</c:v>
                </c:pt>
                <c:pt idx="129">
                  <c:v>11.085000000000001</c:v>
                </c:pt>
                <c:pt idx="130">
                  <c:v>12.824999999999999</c:v>
                </c:pt>
                <c:pt idx="131">
                  <c:v>12.586</c:v>
                </c:pt>
                <c:pt idx="132">
                  <c:v>12.782</c:v>
                </c:pt>
                <c:pt idx="133">
                  <c:v>14.62</c:v>
                </c:pt>
                <c:pt idx="134">
                  <c:v>15.015000000000001</c:v>
                </c:pt>
                <c:pt idx="135">
                  <c:v>13.819000000000001</c:v>
                </c:pt>
                <c:pt idx="136">
                  <c:v>12.853999999999999</c:v>
                </c:pt>
                <c:pt idx="137">
                  <c:v>10.946999999999999</c:v>
                </c:pt>
                <c:pt idx="138">
                  <c:v>10.826000000000001</c:v>
                </c:pt>
                <c:pt idx="139">
                  <c:v>10.561</c:v>
                </c:pt>
                <c:pt idx="140">
                  <c:v>11.333</c:v>
                </c:pt>
                <c:pt idx="141">
                  <c:v>11.073</c:v>
                </c:pt>
                <c:pt idx="142">
                  <c:v>10.746</c:v>
                </c:pt>
                <c:pt idx="143">
                  <c:v>13.574</c:v>
                </c:pt>
                <c:pt idx="144">
                  <c:v>12.933</c:v>
                </c:pt>
                <c:pt idx="145">
                  <c:v>12.369</c:v>
                </c:pt>
                <c:pt idx="146">
                  <c:v>12.442</c:v>
                </c:pt>
                <c:pt idx="147">
                  <c:v>12.53</c:v>
                </c:pt>
                <c:pt idx="148">
                  <c:v>12.51</c:v>
                </c:pt>
                <c:pt idx="149">
                  <c:v>11.573</c:v>
                </c:pt>
                <c:pt idx="150">
                  <c:v>11.106</c:v>
                </c:pt>
                <c:pt idx="151">
                  <c:v>11.647</c:v>
                </c:pt>
                <c:pt idx="152">
                  <c:v>11.99</c:v>
                </c:pt>
                <c:pt idx="153">
                  <c:v>12.238</c:v>
                </c:pt>
                <c:pt idx="154">
                  <c:v>11.414999999999999</c:v>
                </c:pt>
                <c:pt idx="155">
                  <c:v>12.420999999999999</c:v>
                </c:pt>
                <c:pt idx="156">
                  <c:v>12.207000000000001</c:v>
                </c:pt>
                <c:pt idx="157">
                  <c:v>13.627000000000001</c:v>
                </c:pt>
                <c:pt idx="158">
                  <c:v>13.518000000000001</c:v>
                </c:pt>
                <c:pt idx="159">
                  <c:v>13.064</c:v>
                </c:pt>
                <c:pt idx="160">
                  <c:v>12.59</c:v>
                </c:pt>
                <c:pt idx="161">
                  <c:v>12.398999999999999</c:v>
                </c:pt>
                <c:pt idx="162">
                  <c:v>11.324</c:v>
                </c:pt>
                <c:pt idx="163">
                  <c:v>11.253</c:v>
                </c:pt>
                <c:pt idx="164">
                  <c:v>12.125</c:v>
                </c:pt>
                <c:pt idx="165">
                  <c:v>12.848000000000001</c:v>
                </c:pt>
                <c:pt idx="166">
                  <c:v>12.997999999999999</c:v>
                </c:pt>
                <c:pt idx="167">
                  <c:v>12.096</c:v>
                </c:pt>
                <c:pt idx="168">
                  <c:v>10.413</c:v>
                </c:pt>
                <c:pt idx="169">
                  <c:v>10.654999999999999</c:v>
                </c:pt>
                <c:pt idx="170">
                  <c:v>10.268000000000001</c:v>
                </c:pt>
                <c:pt idx="171">
                  <c:v>10.154</c:v>
                </c:pt>
                <c:pt idx="172">
                  <c:v>9.6910000000000007</c:v>
                </c:pt>
                <c:pt idx="173">
                  <c:v>10.574</c:v>
                </c:pt>
                <c:pt idx="174">
                  <c:v>10.185</c:v>
                </c:pt>
                <c:pt idx="175">
                  <c:v>10.522</c:v>
                </c:pt>
                <c:pt idx="176">
                  <c:v>9.6530000000000005</c:v>
                </c:pt>
                <c:pt idx="177">
                  <c:v>9.0510000000000002</c:v>
                </c:pt>
                <c:pt idx="178">
                  <c:v>9.49</c:v>
                </c:pt>
                <c:pt idx="179">
                  <c:v>9.4540000000000006</c:v>
                </c:pt>
                <c:pt idx="180">
                  <c:v>10.138</c:v>
                </c:pt>
                <c:pt idx="181">
                  <c:v>9.5950000000000006</c:v>
                </c:pt>
                <c:pt idx="182">
                  <c:v>9.9830000000000005</c:v>
                </c:pt>
                <c:pt idx="183">
                  <c:v>9.1050000000000004</c:v>
                </c:pt>
                <c:pt idx="184">
                  <c:v>9.35</c:v>
                </c:pt>
                <c:pt idx="185">
                  <c:v>9.3339999999999996</c:v>
                </c:pt>
                <c:pt idx="186">
                  <c:v>8.3810000000000002</c:v>
                </c:pt>
                <c:pt idx="187">
                  <c:v>8.6150000000000002</c:v>
                </c:pt>
                <c:pt idx="188">
                  <c:v>8.7439999999999998</c:v>
                </c:pt>
                <c:pt idx="189">
                  <c:v>8.52</c:v>
                </c:pt>
                <c:pt idx="190">
                  <c:v>8.4849999999999994</c:v>
                </c:pt>
                <c:pt idx="191">
                  <c:v>7.548</c:v>
                </c:pt>
                <c:pt idx="192">
                  <c:v>8.1890000000000001</c:v>
                </c:pt>
                <c:pt idx="193">
                  <c:v>8.8810000000000002</c:v>
                </c:pt>
                <c:pt idx="194">
                  <c:v>8.8460000000000001</c:v>
                </c:pt>
                <c:pt idx="195">
                  <c:v>8.9039999999999999</c:v>
                </c:pt>
                <c:pt idx="196">
                  <c:v>9.5820000000000007</c:v>
                </c:pt>
                <c:pt idx="197">
                  <c:v>10.454000000000001</c:v>
                </c:pt>
                <c:pt idx="198">
                  <c:v>10.997</c:v>
                </c:pt>
                <c:pt idx="199">
                  <c:v>12.097</c:v>
                </c:pt>
                <c:pt idx="200">
                  <c:v>12.425000000000001</c:v>
                </c:pt>
                <c:pt idx="201">
                  <c:v>11.039</c:v>
                </c:pt>
                <c:pt idx="202">
                  <c:v>11.472</c:v>
                </c:pt>
                <c:pt idx="203">
                  <c:v>9.6110000000000007</c:v>
                </c:pt>
                <c:pt idx="204">
                  <c:v>10.771000000000001</c:v>
                </c:pt>
                <c:pt idx="205">
                  <c:v>11.194000000000001</c:v>
                </c:pt>
                <c:pt idx="206">
                  <c:v>10.599</c:v>
                </c:pt>
                <c:pt idx="207">
                  <c:v>8.5980000000000008</c:v>
                </c:pt>
                <c:pt idx="208">
                  <c:v>7.2869999999999999</c:v>
                </c:pt>
                <c:pt idx="209">
                  <c:v>6.915</c:v>
                </c:pt>
                <c:pt idx="210">
                  <c:v>6.8310000000000004</c:v>
                </c:pt>
                <c:pt idx="211">
                  <c:v>7.3479999999999999</c:v>
                </c:pt>
                <c:pt idx="212">
                  <c:v>7.2009999999999996</c:v>
                </c:pt>
                <c:pt idx="213">
                  <c:v>7.0129999999999999</c:v>
                </c:pt>
                <c:pt idx="214">
                  <c:v>6.42</c:v>
                </c:pt>
                <c:pt idx="215">
                  <c:v>5.9560000000000004</c:v>
                </c:pt>
                <c:pt idx="216">
                  <c:v>5.8070000000000004</c:v>
                </c:pt>
                <c:pt idx="217">
                  <c:v>6.6120000000000001</c:v>
                </c:pt>
                <c:pt idx="218">
                  <c:v>6.6520000000000001</c:v>
                </c:pt>
                <c:pt idx="219">
                  <c:v>6.343</c:v>
                </c:pt>
                <c:pt idx="220">
                  <c:v>6.55</c:v>
                </c:pt>
                <c:pt idx="221">
                  <c:v>8.4700000000000006</c:v>
                </c:pt>
                <c:pt idx="222">
                  <c:v>8.0820000000000007</c:v>
                </c:pt>
                <c:pt idx="223">
                  <c:v>8.3170000000000002</c:v>
                </c:pt>
                <c:pt idx="224">
                  <c:v>9.0109999999999992</c:v>
                </c:pt>
                <c:pt idx="225">
                  <c:v>9.0679999999999996</c:v>
                </c:pt>
                <c:pt idx="226">
                  <c:v>9.7249999999999996</c:v>
                </c:pt>
                <c:pt idx="227">
                  <c:v>10.084</c:v>
                </c:pt>
                <c:pt idx="228">
                  <c:v>9.1370000000000005</c:v>
                </c:pt>
                <c:pt idx="229">
                  <c:v>8.4710000000000001</c:v>
                </c:pt>
                <c:pt idx="230">
                  <c:v>8.6430000000000007</c:v>
                </c:pt>
                <c:pt idx="231">
                  <c:v>9.9250000000000007</c:v>
                </c:pt>
                <c:pt idx="232">
                  <c:v>10.891</c:v>
                </c:pt>
                <c:pt idx="233">
                  <c:v>10.4</c:v>
                </c:pt>
                <c:pt idx="234">
                  <c:v>10.821</c:v>
                </c:pt>
                <c:pt idx="235">
                  <c:v>11.913</c:v>
                </c:pt>
                <c:pt idx="236">
                  <c:v>11.641</c:v>
                </c:pt>
                <c:pt idx="237">
                  <c:v>12.215</c:v>
                </c:pt>
                <c:pt idx="238">
                  <c:v>13.545999999999999</c:v>
                </c:pt>
                <c:pt idx="239">
                  <c:v>12.824</c:v>
                </c:pt>
                <c:pt idx="240">
                  <c:v>12.689</c:v>
                </c:pt>
                <c:pt idx="241">
                  <c:v>13.316000000000001</c:v>
                </c:pt>
                <c:pt idx="242">
                  <c:v>11.753</c:v>
                </c:pt>
                <c:pt idx="243">
                  <c:v>10.901</c:v>
                </c:pt>
                <c:pt idx="244">
                  <c:v>11.954000000000001</c:v>
                </c:pt>
                <c:pt idx="245">
                  <c:v>13.346</c:v>
                </c:pt>
                <c:pt idx="246">
                  <c:v>14.568</c:v>
                </c:pt>
                <c:pt idx="247">
                  <c:v>13.628</c:v>
                </c:pt>
                <c:pt idx="248">
                  <c:v>13.903</c:v>
                </c:pt>
                <c:pt idx="249">
                  <c:v>11.742000000000001</c:v>
                </c:pt>
                <c:pt idx="250">
                  <c:v>14.923999999999999</c:v>
                </c:pt>
                <c:pt idx="251">
                  <c:v>16.38</c:v>
                </c:pt>
                <c:pt idx="252">
                  <c:v>16.184000000000001</c:v>
                </c:pt>
                <c:pt idx="253">
                  <c:v>14.301</c:v>
                </c:pt>
                <c:pt idx="254">
                  <c:v>23.352</c:v>
                </c:pt>
                <c:pt idx="255">
                  <c:v>20.481999999999999</c:v>
                </c:pt>
                <c:pt idx="256">
                  <c:v>18.861999999999998</c:v>
                </c:pt>
                <c:pt idx="257">
                  <c:v>19.216000000000001</c:v>
                </c:pt>
                <c:pt idx="258">
                  <c:v>21.161999999999999</c:v>
                </c:pt>
                <c:pt idx="259">
                  <c:v>18.494</c:v>
                </c:pt>
                <c:pt idx="260">
                  <c:v>17.995000000000001</c:v>
                </c:pt>
                <c:pt idx="261">
                  <c:v>18.398</c:v>
                </c:pt>
                <c:pt idx="262">
                  <c:v>16.257000000000001</c:v>
                </c:pt>
                <c:pt idx="263">
                  <c:v>17.803999999999998</c:v>
                </c:pt>
                <c:pt idx="264">
                  <c:v>18.402000000000001</c:v>
                </c:pt>
                <c:pt idx="265">
                  <c:v>18.771999999999998</c:v>
                </c:pt>
                <c:pt idx="266">
                  <c:v>18.427</c:v>
                </c:pt>
                <c:pt idx="267">
                  <c:v>17.677</c:v>
                </c:pt>
                <c:pt idx="268">
                  <c:v>16.47</c:v>
                </c:pt>
                <c:pt idx="269">
                  <c:v>18.869</c:v>
                </c:pt>
                <c:pt idx="270">
                  <c:v>17.332000000000001</c:v>
                </c:pt>
                <c:pt idx="271">
                  <c:v>18.170000000000002</c:v>
                </c:pt>
                <c:pt idx="272">
                  <c:v>18.196999999999999</c:v>
                </c:pt>
                <c:pt idx="273">
                  <c:v>17.702999999999999</c:v>
                </c:pt>
                <c:pt idx="274">
                  <c:v>16.818000000000001</c:v>
                </c:pt>
                <c:pt idx="275">
                  <c:v>17.12</c:v>
                </c:pt>
                <c:pt idx="276">
                  <c:v>16.117999999999999</c:v>
                </c:pt>
                <c:pt idx="277">
                  <c:v>14.127000000000001</c:v>
                </c:pt>
                <c:pt idx="278">
                  <c:v>13.733000000000001</c:v>
                </c:pt>
                <c:pt idx="279">
                  <c:v>14.877000000000001</c:v>
                </c:pt>
                <c:pt idx="280">
                  <c:v>15.289</c:v>
                </c:pt>
                <c:pt idx="281">
                  <c:v>15.859</c:v>
                </c:pt>
                <c:pt idx="282">
                  <c:v>16.818000000000001</c:v>
                </c:pt>
                <c:pt idx="283">
                  <c:v>15.981</c:v>
                </c:pt>
                <c:pt idx="284">
                  <c:v>18.013999999999999</c:v>
                </c:pt>
                <c:pt idx="285">
                  <c:v>20.224</c:v>
                </c:pt>
                <c:pt idx="286">
                  <c:v>20.850999999999999</c:v>
                </c:pt>
                <c:pt idx="287">
                  <c:v>22.024999999999999</c:v>
                </c:pt>
                <c:pt idx="288">
                  <c:v>20.023</c:v>
                </c:pt>
                <c:pt idx="289">
                  <c:v>19.114999999999998</c:v>
                </c:pt>
                <c:pt idx="290">
                  <c:v>19.591000000000001</c:v>
                </c:pt>
                <c:pt idx="291">
                  <c:v>18.989000000000001</c:v>
                </c:pt>
                <c:pt idx="292">
                  <c:v>18.994</c:v>
                </c:pt>
                <c:pt idx="293">
                  <c:v>19.420999999999999</c:v>
                </c:pt>
                <c:pt idx="294">
                  <c:v>19.901</c:v>
                </c:pt>
                <c:pt idx="295">
                  <c:v>19.393999999999998</c:v>
                </c:pt>
                <c:pt idx="296">
                  <c:v>22.056000000000001</c:v>
                </c:pt>
                <c:pt idx="297">
                  <c:v>20.738</c:v>
                </c:pt>
                <c:pt idx="298">
                  <c:v>20.648</c:v>
                </c:pt>
                <c:pt idx="299">
                  <c:v>19.27</c:v>
                </c:pt>
                <c:pt idx="300">
                  <c:v>21.414999999999999</c:v>
                </c:pt>
                <c:pt idx="301">
                  <c:v>19.178999999999998</c:v>
                </c:pt>
                <c:pt idx="302">
                  <c:v>17.658000000000001</c:v>
                </c:pt>
                <c:pt idx="303">
                  <c:v>17.533000000000001</c:v>
                </c:pt>
                <c:pt idx="304">
                  <c:v>17.78</c:v>
                </c:pt>
                <c:pt idx="305">
                  <c:v>16.469000000000001</c:v>
                </c:pt>
                <c:pt idx="306">
                  <c:v>17.135999999999999</c:v>
                </c:pt>
                <c:pt idx="307">
                  <c:v>17.469000000000001</c:v>
                </c:pt>
                <c:pt idx="308">
                  <c:v>16.12</c:v>
                </c:pt>
                <c:pt idx="309">
                  <c:v>16.094999999999999</c:v>
                </c:pt>
                <c:pt idx="310">
                  <c:v>17.422000000000001</c:v>
                </c:pt>
                <c:pt idx="311">
                  <c:v>18.027000000000001</c:v>
                </c:pt>
                <c:pt idx="312">
                  <c:v>19.523</c:v>
                </c:pt>
                <c:pt idx="313">
                  <c:v>19.792000000000002</c:v>
                </c:pt>
                <c:pt idx="314">
                  <c:v>19.870999999999999</c:v>
                </c:pt>
                <c:pt idx="315">
                  <c:v>18.552</c:v>
                </c:pt>
                <c:pt idx="316">
                  <c:v>19.202999999999999</c:v>
                </c:pt>
                <c:pt idx="317">
                  <c:v>18.727</c:v>
                </c:pt>
                <c:pt idx="318">
                  <c:v>18.919</c:v>
                </c:pt>
                <c:pt idx="319">
                  <c:v>19.395</c:v>
                </c:pt>
                <c:pt idx="320">
                  <c:v>20.469000000000001</c:v>
                </c:pt>
                <c:pt idx="321">
                  <c:v>19.452999999999999</c:v>
                </c:pt>
                <c:pt idx="322">
                  <c:v>20.82</c:v>
                </c:pt>
                <c:pt idx="323">
                  <c:v>21.609000000000002</c:v>
                </c:pt>
                <c:pt idx="324">
                  <c:v>22.658999999999999</c:v>
                </c:pt>
                <c:pt idx="325">
                  <c:v>21.873000000000001</c:v>
                </c:pt>
                <c:pt idx="326">
                  <c:v>21.73</c:v>
                </c:pt>
                <c:pt idx="327">
                  <c:v>21.244</c:v>
                </c:pt>
                <c:pt idx="328">
                  <c:v>20.745000000000001</c:v>
                </c:pt>
                <c:pt idx="329">
                  <c:v>21.472999999999999</c:v>
                </c:pt>
                <c:pt idx="330">
                  <c:v>22.538</c:v>
                </c:pt>
                <c:pt idx="331">
                  <c:v>22.45</c:v>
                </c:pt>
                <c:pt idx="332">
                  <c:v>20.670999999999999</c:v>
                </c:pt>
                <c:pt idx="333">
                  <c:v>18.727</c:v>
                </c:pt>
                <c:pt idx="334">
                  <c:v>18.783999999999999</c:v>
                </c:pt>
                <c:pt idx="335">
                  <c:v>17.997</c:v>
                </c:pt>
                <c:pt idx="336">
                  <c:v>18.309000000000001</c:v>
                </c:pt>
                <c:pt idx="337">
                  <c:v>19.16</c:v>
                </c:pt>
                <c:pt idx="338">
                  <c:v>18.158000000000001</c:v>
                </c:pt>
                <c:pt idx="339">
                  <c:v>20.992000000000001</c:v>
                </c:pt>
                <c:pt idx="340">
                  <c:v>22.827999999999999</c:v>
                </c:pt>
                <c:pt idx="341">
                  <c:v>23.193999999999999</c:v>
                </c:pt>
                <c:pt idx="342">
                  <c:v>22.292000000000002</c:v>
                </c:pt>
                <c:pt idx="343">
                  <c:v>23.155000000000001</c:v>
                </c:pt>
                <c:pt idx="344">
                  <c:v>24.254999999999999</c:v>
                </c:pt>
                <c:pt idx="345">
                  <c:v>24.071999999999999</c:v>
                </c:pt>
                <c:pt idx="346">
                  <c:v>24.597000000000001</c:v>
                </c:pt>
                <c:pt idx="347">
                  <c:v>25.02</c:v>
                </c:pt>
                <c:pt idx="348">
                  <c:v>26.353000000000002</c:v>
                </c:pt>
                <c:pt idx="349">
                  <c:v>27.132000000000001</c:v>
                </c:pt>
                <c:pt idx="350">
                  <c:v>26.085999999999999</c:v>
                </c:pt>
                <c:pt idx="351">
                  <c:v>25.077999999999999</c:v>
                </c:pt>
                <c:pt idx="352">
                  <c:v>24.617999999999999</c:v>
                </c:pt>
                <c:pt idx="353">
                  <c:v>21.331</c:v>
                </c:pt>
                <c:pt idx="354">
                  <c:v>20.050999999999998</c:v>
                </c:pt>
                <c:pt idx="355">
                  <c:v>21.07</c:v>
                </c:pt>
                <c:pt idx="356">
                  <c:v>23.61</c:v>
                </c:pt>
                <c:pt idx="357">
                  <c:v>19.643999999999998</c:v>
                </c:pt>
                <c:pt idx="358">
                  <c:v>17.129000000000001</c:v>
                </c:pt>
                <c:pt idx="359">
                  <c:v>17.032</c:v>
                </c:pt>
                <c:pt idx="360">
                  <c:v>17.54</c:v>
                </c:pt>
                <c:pt idx="361">
                  <c:v>17.193999999999999</c:v>
                </c:pt>
                <c:pt idx="362">
                  <c:v>17.859000000000002</c:v>
                </c:pt>
                <c:pt idx="363">
                  <c:v>17.024999999999999</c:v>
                </c:pt>
                <c:pt idx="364">
                  <c:v>16.891999999999999</c:v>
                </c:pt>
                <c:pt idx="365">
                  <c:v>15.265000000000001</c:v>
                </c:pt>
                <c:pt idx="366">
                  <c:v>16.875</c:v>
                </c:pt>
                <c:pt idx="367">
                  <c:v>15.47</c:v>
                </c:pt>
                <c:pt idx="368">
                  <c:v>17.5</c:v>
                </c:pt>
                <c:pt idx="369">
                  <c:v>14.608000000000001</c:v>
                </c:pt>
                <c:pt idx="370">
                  <c:v>14.228</c:v>
                </c:pt>
                <c:pt idx="371">
                  <c:v>12.337</c:v>
                </c:pt>
                <c:pt idx="372">
                  <c:v>15.734</c:v>
                </c:pt>
                <c:pt idx="373">
                  <c:v>15.151</c:v>
                </c:pt>
                <c:pt idx="374">
                  <c:v>15.582000000000001</c:v>
                </c:pt>
                <c:pt idx="375">
                  <c:v>15.68</c:v>
                </c:pt>
                <c:pt idx="376">
                  <c:v>15.56</c:v>
                </c:pt>
                <c:pt idx="377">
                  <c:v>15.127000000000001</c:v>
                </c:pt>
                <c:pt idx="378">
                  <c:v>14.711</c:v>
                </c:pt>
                <c:pt idx="379">
                  <c:v>15.500999999999999</c:v>
                </c:pt>
                <c:pt idx="380">
                  <c:v>14.888</c:v>
                </c:pt>
                <c:pt idx="381">
                  <c:v>12.891</c:v>
                </c:pt>
                <c:pt idx="382">
                  <c:v>14.116</c:v>
                </c:pt>
                <c:pt idx="383">
                  <c:v>13.1</c:v>
                </c:pt>
                <c:pt idx="384">
                  <c:v>11.804</c:v>
                </c:pt>
                <c:pt idx="385">
                  <c:v>11.579000000000001</c:v>
                </c:pt>
                <c:pt idx="386">
                  <c:v>12.129</c:v>
                </c:pt>
                <c:pt idx="387">
                  <c:v>12.381</c:v>
                </c:pt>
                <c:pt idx="388">
                  <c:v>11.492000000000001</c:v>
                </c:pt>
                <c:pt idx="389">
                  <c:v>9.5389999999999997</c:v>
                </c:pt>
                <c:pt idx="390">
                  <c:v>8.1920000000000002</c:v>
                </c:pt>
                <c:pt idx="391">
                  <c:v>8.3079999999999998</c:v>
                </c:pt>
                <c:pt idx="392">
                  <c:v>7.23</c:v>
                </c:pt>
                <c:pt idx="393">
                  <c:v>7.327</c:v>
                </c:pt>
                <c:pt idx="394">
                  <c:v>7.7859999999999996</c:v>
                </c:pt>
                <c:pt idx="395">
                  <c:v>8</c:v>
                </c:pt>
                <c:pt idx="396">
                  <c:v>8.0690000000000008</c:v>
                </c:pt>
                <c:pt idx="397">
                  <c:v>8.0220000000000002</c:v>
                </c:pt>
                <c:pt idx="398">
                  <c:v>7.3410000000000002</c:v>
                </c:pt>
                <c:pt idx="399">
                  <c:v>7.48</c:v>
                </c:pt>
                <c:pt idx="400">
                  <c:v>7.1150000000000002</c:v>
                </c:pt>
                <c:pt idx="401">
                  <c:v>7.202</c:v>
                </c:pt>
                <c:pt idx="402">
                  <c:v>6.1360000000000001</c:v>
                </c:pt>
                <c:pt idx="403">
                  <c:v>5.9630000000000001</c:v>
                </c:pt>
                <c:pt idx="404">
                  <c:v>6.125</c:v>
                </c:pt>
                <c:pt idx="405">
                  <c:v>6.12</c:v>
                </c:pt>
                <c:pt idx="406">
                  <c:v>5.2939999999999996</c:v>
                </c:pt>
                <c:pt idx="407">
                  <c:v>5.2759999999999998</c:v>
                </c:pt>
                <c:pt idx="408">
                  <c:v>5.4690000000000003</c:v>
                </c:pt>
                <c:pt idx="409">
                  <c:v>5.25</c:v>
                </c:pt>
                <c:pt idx="410">
                  <c:v>4.7510000000000003</c:v>
                </c:pt>
                <c:pt idx="411">
                  <c:v>4.4580000000000002</c:v>
                </c:pt>
                <c:pt idx="412">
                  <c:v>4.3479999999999999</c:v>
                </c:pt>
                <c:pt idx="413">
                  <c:v>4.6230000000000002</c:v>
                </c:pt>
                <c:pt idx="414">
                  <c:v>4.859</c:v>
                </c:pt>
                <c:pt idx="415">
                  <c:v>4.6710000000000003</c:v>
                </c:pt>
                <c:pt idx="416">
                  <c:v>5.2</c:v>
                </c:pt>
                <c:pt idx="417">
                  <c:v>5.1520000000000001</c:v>
                </c:pt>
                <c:pt idx="418">
                  <c:v>5.218</c:v>
                </c:pt>
                <c:pt idx="419">
                  <c:v>4.9509999999999996</c:v>
                </c:pt>
                <c:pt idx="420">
                  <c:v>5.2380000000000004</c:v>
                </c:pt>
                <c:pt idx="421">
                  <c:v>5.2649999999999997</c:v>
                </c:pt>
                <c:pt idx="422">
                  <c:v>4.7439999999999998</c:v>
                </c:pt>
                <c:pt idx="423">
                  <c:v>4.74</c:v>
                </c:pt>
                <c:pt idx="424">
                  <c:v>4.5510000000000002</c:v>
                </c:pt>
                <c:pt idx="425">
                  <c:v>4.2640000000000002</c:v>
                </c:pt>
                <c:pt idx="426">
                  <c:v>4.1239999999999997</c:v>
                </c:pt>
                <c:pt idx="427">
                  <c:v>4.3339999999999996</c:v>
                </c:pt>
                <c:pt idx="428">
                  <c:v>4.8230000000000004</c:v>
                </c:pt>
                <c:pt idx="429">
                  <c:v>5.2389999999999999</c:v>
                </c:pt>
                <c:pt idx="430">
                  <c:v>5.452</c:v>
                </c:pt>
                <c:pt idx="431">
                  <c:v>5.0019999999999998</c:v>
                </c:pt>
                <c:pt idx="432">
                  <c:v>5.2549999999999999</c:v>
                </c:pt>
                <c:pt idx="433">
                  <c:v>5.13</c:v>
                </c:pt>
                <c:pt idx="434">
                  <c:v>4.992</c:v>
                </c:pt>
                <c:pt idx="435">
                  <c:v>4.875</c:v>
                </c:pt>
                <c:pt idx="436">
                  <c:v>5.0739999999999998</c:v>
                </c:pt>
                <c:pt idx="437">
                  <c:v>4.423</c:v>
                </c:pt>
                <c:pt idx="438">
                  <c:v>4.125</c:v>
                </c:pt>
                <c:pt idx="439">
                  <c:v>4.3099999999999996</c:v>
                </c:pt>
                <c:pt idx="440">
                  <c:v>4.2220000000000004</c:v>
                </c:pt>
                <c:pt idx="441">
                  <c:v>3.762</c:v>
                </c:pt>
                <c:pt idx="442">
                  <c:v>3.9969999999999999</c:v>
                </c:pt>
                <c:pt idx="443">
                  <c:v>4.6719999999999997</c:v>
                </c:pt>
                <c:pt idx="444">
                  <c:v>4.2430000000000003</c:v>
                </c:pt>
                <c:pt idx="445">
                  <c:v>4.4089999999999998</c:v>
                </c:pt>
                <c:pt idx="446">
                  <c:v>3.7610000000000001</c:v>
                </c:pt>
                <c:pt idx="447">
                  <c:v>3.5350000000000001</c:v>
                </c:pt>
                <c:pt idx="448">
                  <c:v>3.161</c:v>
                </c:pt>
                <c:pt idx="449">
                  <c:v>2.7269999999999999</c:v>
                </c:pt>
                <c:pt idx="450">
                  <c:v>2.5710000000000002</c:v>
                </c:pt>
                <c:pt idx="451">
                  <c:v>2.6120000000000001</c:v>
                </c:pt>
                <c:pt idx="452">
                  <c:v>2.9039999999999999</c:v>
                </c:pt>
                <c:pt idx="453">
                  <c:v>3.0169999999999999</c:v>
                </c:pt>
                <c:pt idx="454">
                  <c:v>3.1019999999999999</c:v>
                </c:pt>
                <c:pt idx="455">
                  <c:v>3.24</c:v>
                </c:pt>
                <c:pt idx="456">
                  <c:v>3.5910000000000002</c:v>
                </c:pt>
                <c:pt idx="457">
                  <c:v>3.5510000000000002</c:v>
                </c:pt>
                <c:pt idx="458">
                  <c:v>3.5430000000000001</c:v>
                </c:pt>
                <c:pt idx="459">
                  <c:v>3.6549999999999998</c:v>
                </c:pt>
                <c:pt idx="460">
                  <c:v>3.774</c:v>
                </c:pt>
                <c:pt idx="461">
                  <c:v>3.802</c:v>
                </c:pt>
                <c:pt idx="462">
                  <c:v>3.8940000000000001</c:v>
                </c:pt>
                <c:pt idx="463">
                  <c:v>3.5169999999999999</c:v>
                </c:pt>
                <c:pt idx="464">
                  <c:v>3.702</c:v>
                </c:pt>
                <c:pt idx="465">
                  <c:v>3.7250000000000001</c:v>
                </c:pt>
                <c:pt idx="466">
                  <c:v>3.9569999999999999</c:v>
                </c:pt>
                <c:pt idx="467">
                  <c:v>3.96</c:v>
                </c:pt>
                <c:pt idx="468">
                  <c:v>3.9129999999999998</c:v>
                </c:pt>
                <c:pt idx="469">
                  <c:v>3.9119999999999999</c:v>
                </c:pt>
                <c:pt idx="470">
                  <c:v>4.2729999999999997</c:v>
                </c:pt>
                <c:pt idx="471">
                  <c:v>4.5060000000000002</c:v>
                </c:pt>
                <c:pt idx="472">
                  <c:v>4.6369999999999996</c:v>
                </c:pt>
                <c:pt idx="473">
                  <c:v>4.1719999999999997</c:v>
                </c:pt>
                <c:pt idx="474">
                  <c:v>4.2960000000000003</c:v>
                </c:pt>
                <c:pt idx="475">
                  <c:v>4.2939999999999996</c:v>
                </c:pt>
                <c:pt idx="476">
                  <c:v>3.9569999999999999</c:v>
                </c:pt>
                <c:pt idx="477">
                  <c:v>3.9409999999999998</c:v>
                </c:pt>
                <c:pt idx="478">
                  <c:v>3.6349999999999998</c:v>
                </c:pt>
                <c:pt idx="479">
                  <c:v>4.1859999999999999</c:v>
                </c:pt>
                <c:pt idx="480">
                  <c:v>4.383</c:v>
                </c:pt>
                <c:pt idx="481">
                  <c:v>4.38</c:v>
                </c:pt>
                <c:pt idx="482">
                  <c:v>4.4130000000000003</c:v>
                </c:pt>
                <c:pt idx="483">
                  <c:v>4.6920000000000002</c:v>
                </c:pt>
                <c:pt idx="484">
                  <c:v>4.7380000000000004</c:v>
                </c:pt>
                <c:pt idx="485">
                  <c:v>4.968</c:v>
                </c:pt>
                <c:pt idx="486">
                  <c:v>4.9400000000000004</c:v>
                </c:pt>
                <c:pt idx="487">
                  <c:v>5.157</c:v>
                </c:pt>
                <c:pt idx="488">
                  <c:v>5.2210000000000001</c:v>
                </c:pt>
                <c:pt idx="489">
                  <c:v>4.915</c:v>
                </c:pt>
                <c:pt idx="490">
                  <c:v>4.407</c:v>
                </c:pt>
                <c:pt idx="491">
                  <c:v>3.7</c:v>
                </c:pt>
                <c:pt idx="492">
                  <c:v>4.282</c:v>
                </c:pt>
                <c:pt idx="493">
                  <c:v>3.6179999999999999</c:v>
                </c:pt>
                <c:pt idx="494">
                  <c:v>4.1900000000000004</c:v>
                </c:pt>
                <c:pt idx="495">
                  <c:v>4.2990000000000004</c:v>
                </c:pt>
                <c:pt idx="496">
                  <c:v>4.5540000000000003</c:v>
                </c:pt>
                <c:pt idx="497">
                  <c:v>4.4870000000000001</c:v>
                </c:pt>
                <c:pt idx="498">
                  <c:v>4.7939999999999996</c:v>
                </c:pt>
                <c:pt idx="499">
                  <c:v>4.492</c:v>
                </c:pt>
                <c:pt idx="500">
                  <c:v>5.1879999999999997</c:v>
                </c:pt>
                <c:pt idx="501">
                  <c:v>5.3879999999999999</c:v>
                </c:pt>
                <c:pt idx="502">
                  <c:v>6.1310000000000002</c:v>
                </c:pt>
                <c:pt idx="503">
                  <c:v>5.9850000000000003</c:v>
                </c:pt>
                <c:pt idx="504">
                  <c:v>5.7249999999999996</c:v>
                </c:pt>
                <c:pt idx="505">
                  <c:v>4.9939999999999998</c:v>
                </c:pt>
                <c:pt idx="506">
                  <c:v>4.2460000000000004</c:v>
                </c:pt>
                <c:pt idx="507">
                  <c:v>4.6440000000000001</c:v>
                </c:pt>
                <c:pt idx="508">
                  <c:v>4.9550000000000001</c:v>
                </c:pt>
                <c:pt idx="509">
                  <c:v>4.4720000000000004</c:v>
                </c:pt>
                <c:pt idx="510">
                  <c:v>5.3319999999999999</c:v>
                </c:pt>
                <c:pt idx="511">
                  <c:v>5.2549999999999999</c:v>
                </c:pt>
                <c:pt idx="512">
                  <c:v>6.383</c:v>
                </c:pt>
                <c:pt idx="513">
                  <c:v>7.1040000000000001</c:v>
                </c:pt>
                <c:pt idx="514">
                  <c:v>7.3360000000000003</c:v>
                </c:pt>
                <c:pt idx="515">
                  <c:v>7.3010000000000002</c:v>
                </c:pt>
                <c:pt idx="516">
                  <c:v>6.5289999999999999</c:v>
                </c:pt>
                <c:pt idx="517">
                  <c:v>6.8659999999999997</c:v>
                </c:pt>
                <c:pt idx="518">
                  <c:v>6.093</c:v>
                </c:pt>
                <c:pt idx="519">
                  <c:v>6.1210000000000004</c:v>
                </c:pt>
                <c:pt idx="520">
                  <c:v>5.867</c:v>
                </c:pt>
                <c:pt idx="521">
                  <c:v>6.2309999999999999</c:v>
                </c:pt>
                <c:pt idx="522">
                  <c:v>5.6779999999999999</c:v>
                </c:pt>
                <c:pt idx="523">
                  <c:v>5.8310000000000004</c:v>
                </c:pt>
                <c:pt idx="524">
                  <c:v>5.3150000000000004</c:v>
                </c:pt>
                <c:pt idx="525">
                  <c:v>6.1749999999999998</c:v>
                </c:pt>
                <c:pt idx="526">
                  <c:v>6.0910000000000002</c:v>
                </c:pt>
                <c:pt idx="527">
                  <c:v>6.1449999999999996</c:v>
                </c:pt>
                <c:pt idx="528">
                  <c:v>6.1769999999999996</c:v>
                </c:pt>
                <c:pt idx="529">
                  <c:v>6.4050000000000002</c:v>
                </c:pt>
                <c:pt idx="530">
                  <c:v>6.859</c:v>
                </c:pt>
                <c:pt idx="531">
                  <c:v>6.15</c:v>
                </c:pt>
                <c:pt idx="532">
                  <c:v>5.0720000000000001</c:v>
                </c:pt>
                <c:pt idx="533">
                  <c:v>5.6429999999999998</c:v>
                </c:pt>
                <c:pt idx="534">
                  <c:v>4.8789999999999996</c:v>
                </c:pt>
                <c:pt idx="535">
                  <c:v>4.8220000000000001</c:v>
                </c:pt>
                <c:pt idx="536">
                  <c:v>4.2409999999999997</c:v>
                </c:pt>
                <c:pt idx="537">
                  <c:v>4.3490000000000002</c:v>
                </c:pt>
                <c:pt idx="538">
                  <c:v>4.2969999999999997</c:v>
                </c:pt>
                <c:pt idx="539">
                  <c:v>4.45</c:v>
                </c:pt>
                <c:pt idx="540">
                  <c:v>4.3390000000000004</c:v>
                </c:pt>
                <c:pt idx="541">
                  <c:v>4.47</c:v>
                </c:pt>
                <c:pt idx="542">
                  <c:v>4.1479999999999997</c:v>
                </c:pt>
                <c:pt idx="543">
                  <c:v>4.266</c:v>
                </c:pt>
                <c:pt idx="544">
                  <c:v>3.7930000000000001</c:v>
                </c:pt>
                <c:pt idx="545">
                  <c:v>3.952</c:v>
                </c:pt>
                <c:pt idx="546">
                  <c:v>3.5470000000000002</c:v>
                </c:pt>
                <c:pt idx="547">
                  <c:v>3.2730000000000001</c:v>
                </c:pt>
                <c:pt idx="548">
                  <c:v>3.3719999999999999</c:v>
                </c:pt>
                <c:pt idx="549">
                  <c:v>2.8690000000000002</c:v>
                </c:pt>
                <c:pt idx="550">
                  <c:v>3.1549999999999998</c:v>
                </c:pt>
                <c:pt idx="551">
                  <c:v>3.5409999999999999</c:v>
                </c:pt>
                <c:pt idx="552">
                  <c:v>3.3370000000000002</c:v>
                </c:pt>
                <c:pt idx="553">
                  <c:v>3.35</c:v>
                </c:pt>
                <c:pt idx="554">
                  <c:v>3.4790000000000001</c:v>
                </c:pt>
                <c:pt idx="555">
                  <c:v>3.4790000000000001</c:v>
                </c:pt>
                <c:pt idx="556">
                  <c:v>3.8490000000000002</c:v>
                </c:pt>
                <c:pt idx="557">
                  <c:v>3.2970000000000002</c:v>
                </c:pt>
                <c:pt idx="558">
                  <c:v>3.371</c:v>
                </c:pt>
                <c:pt idx="559">
                  <c:v>3.3079999999999998</c:v>
                </c:pt>
                <c:pt idx="560">
                  <c:v>3.097</c:v>
                </c:pt>
                <c:pt idx="561">
                  <c:v>3.05</c:v>
                </c:pt>
                <c:pt idx="562">
                  <c:v>2.7469999999999999</c:v>
                </c:pt>
                <c:pt idx="563">
                  <c:v>2.5409999999999999</c:v>
                </c:pt>
                <c:pt idx="564">
                  <c:v>2.78</c:v>
                </c:pt>
                <c:pt idx="565">
                  <c:v>2.8090000000000002</c:v>
                </c:pt>
                <c:pt idx="566">
                  <c:v>2.9209999999999998</c:v>
                </c:pt>
                <c:pt idx="567">
                  <c:v>2.956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CA-4B58-9670-5721A473A704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1.6680940474361586E-2</c:v>
                </c:pt>
                <c:pt idx="1">
                  <c:v>1.8066524708595811E-2</c:v>
                </c:pt>
                <c:pt idx="2">
                  <c:v>1.2152579900289145E-2</c:v>
                </c:pt>
                <c:pt idx="3">
                  <c:v>3.0713453708773385E-3</c:v>
                </c:pt>
                <c:pt idx="4">
                  <c:v>-2.9380621066873641E-2</c:v>
                </c:pt>
                <c:pt idx="5">
                  <c:v>-3.7091909213291072E-2</c:v>
                </c:pt>
                <c:pt idx="6">
                  <c:v>-2.8169296716628867E-2</c:v>
                </c:pt>
                <c:pt idx="7">
                  <c:v>-3.084193546603557E-3</c:v>
                </c:pt>
                <c:pt idx="8">
                  <c:v>6.2282586295622396E-3</c:v>
                </c:pt>
                <c:pt idx="9">
                  <c:v>1.5596018868368205E-2</c:v>
                </c:pt>
                <c:pt idx="10">
                  <c:v>2.1045441587229419E-2</c:v>
                </c:pt>
                <c:pt idx="11">
                  <c:v>3.1875229015800831E-2</c:v>
                </c:pt>
                <c:pt idx="12">
                  <c:v>2.6672231748142806E-2</c:v>
                </c:pt>
                <c:pt idx="13">
                  <c:v>2.9491090111779195E-2</c:v>
                </c:pt>
                <c:pt idx="14">
                  <c:v>2.242746146313053E-2</c:v>
                </c:pt>
                <c:pt idx="15">
                  <c:v>3.7743132454280952E-2</c:v>
                </c:pt>
                <c:pt idx="16">
                  <c:v>2.7803655947431644E-2</c:v>
                </c:pt>
                <c:pt idx="17">
                  <c:v>1.6950447598438306E-2</c:v>
                </c:pt>
                <c:pt idx="18">
                  <c:v>1.8104308691795586E-2</c:v>
                </c:pt>
                <c:pt idx="19">
                  <c:v>2.1470127925128864E-2</c:v>
                </c:pt>
                <c:pt idx="20">
                  <c:v>3.8184742654087514E-2</c:v>
                </c:pt>
                <c:pt idx="21">
                  <c:v>5.8545886785594352E-2</c:v>
                </c:pt>
                <c:pt idx="22">
                  <c:v>8.2669168623432154E-2</c:v>
                </c:pt>
                <c:pt idx="23">
                  <c:v>0.11480761951084938</c:v>
                </c:pt>
                <c:pt idx="24">
                  <c:v>0.17223925385190475</c:v>
                </c:pt>
                <c:pt idx="25">
                  <c:v>0.11584783494339608</c:v>
                </c:pt>
                <c:pt idx="26">
                  <c:v>0.10262829551844889</c:v>
                </c:pt>
                <c:pt idx="27">
                  <c:v>8.8164371112140927E-2</c:v>
                </c:pt>
                <c:pt idx="28">
                  <c:v>9.5701376523905604E-2</c:v>
                </c:pt>
                <c:pt idx="29">
                  <c:v>8.5253194405911531E-2</c:v>
                </c:pt>
                <c:pt idx="30">
                  <c:v>0.11134996828196786</c:v>
                </c:pt>
                <c:pt idx="31">
                  <c:v>0.13977708462948563</c:v>
                </c:pt>
                <c:pt idx="32">
                  <c:v>0.14385796021230771</c:v>
                </c:pt>
                <c:pt idx="33">
                  <c:v>0.12683946392409812</c:v>
                </c:pt>
                <c:pt idx="34">
                  <c:v>0.11601481177409807</c:v>
                </c:pt>
                <c:pt idx="35">
                  <c:v>0.13832163556649577</c:v>
                </c:pt>
                <c:pt idx="36">
                  <c:v>0.11833666453604506</c:v>
                </c:pt>
                <c:pt idx="37">
                  <c:v>0.11988167633951331</c:v>
                </c:pt>
                <c:pt idx="38">
                  <c:v>0.1097285382401345</c:v>
                </c:pt>
                <c:pt idx="39">
                  <c:v>0.10007901517671984</c:v>
                </c:pt>
                <c:pt idx="40">
                  <c:v>0.10965795269879781</c:v>
                </c:pt>
                <c:pt idx="41">
                  <c:v>0.1190512935094038</c:v>
                </c:pt>
                <c:pt idx="42">
                  <c:v>9.6989662707235788E-2</c:v>
                </c:pt>
                <c:pt idx="43">
                  <c:v>0.10938715947319318</c:v>
                </c:pt>
                <c:pt idx="44">
                  <c:v>9.6529456887112605E-2</c:v>
                </c:pt>
                <c:pt idx="45">
                  <c:v>8.8570508887112639E-2</c:v>
                </c:pt>
                <c:pt idx="46">
                  <c:v>0.10388249851058451</c:v>
                </c:pt>
                <c:pt idx="47">
                  <c:v>0.10219095970561996</c:v>
                </c:pt>
                <c:pt idx="48">
                  <c:v>0.10152340893638918</c:v>
                </c:pt>
                <c:pt idx="49">
                  <c:v>0.11590197095136426</c:v>
                </c:pt>
                <c:pt idx="50">
                  <c:v>0.13696430415871336</c:v>
                </c:pt>
                <c:pt idx="51">
                  <c:v>0.11392472965463504</c:v>
                </c:pt>
                <c:pt idx="52">
                  <c:v>0.11972187063446214</c:v>
                </c:pt>
                <c:pt idx="53">
                  <c:v>0.10032244578830828</c:v>
                </c:pt>
                <c:pt idx="54">
                  <c:v>0.10903398451105387</c:v>
                </c:pt>
                <c:pt idx="55">
                  <c:v>8.6981903169601887E-2</c:v>
                </c:pt>
                <c:pt idx="56">
                  <c:v>9.7500999057684362E-2</c:v>
                </c:pt>
                <c:pt idx="57">
                  <c:v>9.8251373255008767E-2</c:v>
                </c:pt>
                <c:pt idx="58">
                  <c:v>0.10601080348081521</c:v>
                </c:pt>
                <c:pt idx="59">
                  <c:v>0.11275783361550909</c:v>
                </c:pt>
                <c:pt idx="60">
                  <c:v>0.10404575285663058</c:v>
                </c:pt>
                <c:pt idx="61">
                  <c:v>9.6012541059111431E-2</c:v>
                </c:pt>
                <c:pt idx="62">
                  <c:v>9.3393822233200502E-2</c:v>
                </c:pt>
                <c:pt idx="63">
                  <c:v>0.10333635810034335</c:v>
                </c:pt>
                <c:pt idx="64">
                  <c:v>9.7982593473150387E-2</c:v>
                </c:pt>
                <c:pt idx="65">
                  <c:v>9.8802509043771802E-2</c:v>
                </c:pt>
                <c:pt idx="66">
                  <c:v>7.6761697331547307E-2</c:v>
                </c:pt>
                <c:pt idx="67">
                  <c:v>8.2471478740481968E-2</c:v>
                </c:pt>
                <c:pt idx="68">
                  <c:v>9.1374080435186023E-2</c:v>
                </c:pt>
                <c:pt idx="69">
                  <c:v>8.8333264799143593E-2</c:v>
                </c:pt>
                <c:pt idx="70">
                  <c:v>8.3182913742035458E-2</c:v>
                </c:pt>
                <c:pt idx="71">
                  <c:v>9.24047976701622E-2</c:v>
                </c:pt>
                <c:pt idx="72">
                  <c:v>8.2626389225136057E-2</c:v>
                </c:pt>
                <c:pt idx="73">
                  <c:v>8.5312664967266721E-2</c:v>
                </c:pt>
                <c:pt idx="74">
                  <c:v>0.10043741632821344</c:v>
                </c:pt>
                <c:pt idx="75">
                  <c:v>0.11333761690513659</c:v>
                </c:pt>
                <c:pt idx="76">
                  <c:v>0.11020433386857063</c:v>
                </c:pt>
                <c:pt idx="77">
                  <c:v>0.11512399047038056</c:v>
                </c:pt>
                <c:pt idx="78">
                  <c:v>0.11221012960784688</c:v>
                </c:pt>
                <c:pt idx="79">
                  <c:v>0.11873200281508671</c:v>
                </c:pt>
                <c:pt idx="80">
                  <c:v>0.11912255972206344</c:v>
                </c:pt>
                <c:pt idx="81">
                  <c:v>0.11222274315669241</c:v>
                </c:pt>
                <c:pt idx="82">
                  <c:v>0.10783877625763878</c:v>
                </c:pt>
                <c:pt idx="83">
                  <c:v>0.1058646107982513</c:v>
                </c:pt>
                <c:pt idx="84">
                  <c:v>0.10879500981153399</c:v>
                </c:pt>
                <c:pt idx="85">
                  <c:v>0.11464612891498227</c:v>
                </c:pt>
                <c:pt idx="86">
                  <c:v>0.10317629391632364</c:v>
                </c:pt>
                <c:pt idx="87">
                  <c:v>0.1023588441663236</c:v>
                </c:pt>
                <c:pt idx="88">
                  <c:v>9.8419161024926677E-2</c:v>
                </c:pt>
                <c:pt idx="89">
                  <c:v>7.8202834427647763E-2</c:v>
                </c:pt>
                <c:pt idx="90">
                  <c:v>8.73875914574581E-2</c:v>
                </c:pt>
                <c:pt idx="91">
                  <c:v>7.9675354975622559E-2</c:v>
                </c:pt>
                <c:pt idx="92">
                  <c:v>7.3083469600622536E-2</c:v>
                </c:pt>
                <c:pt idx="93">
                  <c:v>9.9024065460564817E-2</c:v>
                </c:pt>
                <c:pt idx="94">
                  <c:v>0.10191401233142293</c:v>
                </c:pt>
                <c:pt idx="95">
                  <c:v>9.3375635288504455E-2</c:v>
                </c:pt>
                <c:pt idx="96">
                  <c:v>0.10070082340161504</c:v>
                </c:pt>
                <c:pt idx="97">
                  <c:v>9.8368675408707223E-2</c:v>
                </c:pt>
                <c:pt idx="98">
                  <c:v>9.7702961285302939E-2</c:v>
                </c:pt>
                <c:pt idx="99">
                  <c:v>0.1109353698830991</c:v>
                </c:pt>
                <c:pt idx="100">
                  <c:v>0.10111543115139181</c:v>
                </c:pt>
                <c:pt idx="101">
                  <c:v>9.9455557205123168E-2</c:v>
                </c:pt>
                <c:pt idx="102">
                  <c:v>0.10139914185377183</c:v>
                </c:pt>
                <c:pt idx="103">
                  <c:v>0.1017891371146414</c:v>
                </c:pt>
                <c:pt idx="104">
                  <c:v>0.10795537680833509</c:v>
                </c:pt>
                <c:pt idx="105">
                  <c:v>0.11944612338052049</c:v>
                </c:pt>
                <c:pt idx="106">
                  <c:v>0.10757360724001225</c:v>
                </c:pt>
                <c:pt idx="107">
                  <c:v>9.7636313998076735E-2</c:v>
                </c:pt>
                <c:pt idx="108">
                  <c:v>9.8256334652161201E-2</c:v>
                </c:pt>
                <c:pt idx="109">
                  <c:v>0.10212175992339412</c:v>
                </c:pt>
                <c:pt idx="110">
                  <c:v>0.11405656035288958</c:v>
                </c:pt>
                <c:pt idx="111">
                  <c:v>0.11164153219919702</c:v>
                </c:pt>
                <c:pt idx="112">
                  <c:v>0.12362463051119693</c:v>
                </c:pt>
                <c:pt idx="113">
                  <c:v>0.11609947783765093</c:v>
                </c:pt>
                <c:pt idx="114">
                  <c:v>0.10999817263229376</c:v>
                </c:pt>
                <c:pt idx="115">
                  <c:v>9.7705685713039114E-2</c:v>
                </c:pt>
                <c:pt idx="116">
                  <c:v>9.9655914457719944E-2</c:v>
                </c:pt>
                <c:pt idx="117">
                  <c:v>0.10479192206394457</c:v>
                </c:pt>
                <c:pt idx="118">
                  <c:v>0.10794078619386915</c:v>
                </c:pt>
                <c:pt idx="119">
                  <c:v>9.3092281846220884E-2</c:v>
                </c:pt>
                <c:pt idx="120">
                  <c:v>8.8029919648592456E-2</c:v>
                </c:pt>
                <c:pt idx="121">
                  <c:v>9.4291372864176881E-2</c:v>
                </c:pt>
                <c:pt idx="122">
                  <c:v>0.10382537045844895</c:v>
                </c:pt>
                <c:pt idx="123">
                  <c:v>0.1190799386151818</c:v>
                </c:pt>
                <c:pt idx="124">
                  <c:v>0.10580930355865426</c:v>
                </c:pt>
                <c:pt idx="125">
                  <c:v>0.1106803392840357</c:v>
                </c:pt>
                <c:pt idx="126">
                  <c:v>0.11651274735103077</c:v>
                </c:pt>
                <c:pt idx="127">
                  <c:v>0.10695924878687596</c:v>
                </c:pt>
                <c:pt idx="128">
                  <c:v>8.9919294965836088E-2</c:v>
                </c:pt>
                <c:pt idx="129">
                  <c:v>0.10689682638057754</c:v>
                </c:pt>
                <c:pt idx="130">
                  <c:v>0.12063444016900068</c:v>
                </c:pt>
                <c:pt idx="131">
                  <c:v>0.11544935833317981</c:v>
                </c:pt>
                <c:pt idx="132">
                  <c:v>0.13074879502733508</c:v>
                </c:pt>
                <c:pt idx="133">
                  <c:v>0.16088043763939383</c:v>
                </c:pt>
                <c:pt idx="134">
                  <c:v>0.17064620767729383</c:v>
                </c:pt>
                <c:pt idx="135">
                  <c:v>0.13535683601633025</c:v>
                </c:pt>
                <c:pt idx="136">
                  <c:v>9.2485196483630377E-2</c:v>
                </c:pt>
                <c:pt idx="137">
                  <c:v>6.1389288790736116E-2</c:v>
                </c:pt>
                <c:pt idx="138">
                  <c:v>6.2642926647878974E-2</c:v>
                </c:pt>
                <c:pt idx="139">
                  <c:v>6.1282107443220053E-2</c:v>
                </c:pt>
                <c:pt idx="140">
                  <c:v>7.0701073167232217E-2</c:v>
                </c:pt>
                <c:pt idx="141">
                  <c:v>6.4752396516985916E-2</c:v>
                </c:pt>
                <c:pt idx="142">
                  <c:v>4.5557645924543234E-2</c:v>
                </c:pt>
                <c:pt idx="143">
                  <c:v>6.6853603979516799E-2</c:v>
                </c:pt>
                <c:pt idx="144">
                  <c:v>4.7225074557779981E-2</c:v>
                </c:pt>
                <c:pt idx="145">
                  <c:v>3.4168564455609833E-2</c:v>
                </c:pt>
                <c:pt idx="146">
                  <c:v>4.4655372599322424E-2</c:v>
                </c:pt>
                <c:pt idx="147">
                  <c:v>4.7300841124028305E-2</c:v>
                </c:pt>
                <c:pt idx="148">
                  <c:v>4.8816738925089302E-2</c:v>
                </c:pt>
                <c:pt idx="149">
                  <c:v>2.6643974566141922E-2</c:v>
                </c:pt>
                <c:pt idx="150">
                  <c:v>1.9514021830248657E-2</c:v>
                </c:pt>
                <c:pt idx="151">
                  <c:v>3.2953209314889771E-2</c:v>
                </c:pt>
                <c:pt idx="152">
                  <c:v>3.6746068689054605E-2</c:v>
                </c:pt>
                <c:pt idx="153">
                  <c:v>4.1571267175177028E-2</c:v>
                </c:pt>
                <c:pt idx="154">
                  <c:v>2.6930061628214021E-2</c:v>
                </c:pt>
                <c:pt idx="155">
                  <c:v>3.7949385322037565E-2</c:v>
                </c:pt>
                <c:pt idx="156">
                  <c:v>3.2289750959887037E-2</c:v>
                </c:pt>
                <c:pt idx="157">
                  <c:v>5.1896280869241848E-2</c:v>
                </c:pt>
                <c:pt idx="158">
                  <c:v>5.9785853379527555E-2</c:v>
                </c:pt>
                <c:pt idx="159">
                  <c:v>5.5445554398296772E-2</c:v>
                </c:pt>
                <c:pt idx="160">
                  <c:v>6.7846207697556019E-2</c:v>
                </c:pt>
                <c:pt idx="161">
                  <c:v>6.6620136139384598E-2</c:v>
                </c:pt>
                <c:pt idx="162">
                  <c:v>4.6838435504629183E-2</c:v>
                </c:pt>
                <c:pt idx="163">
                  <c:v>4.6947577722939046E-2</c:v>
                </c:pt>
                <c:pt idx="164">
                  <c:v>6.4235409134384844E-2</c:v>
                </c:pt>
                <c:pt idx="165">
                  <c:v>8.0413795367295759E-2</c:v>
                </c:pt>
                <c:pt idx="166">
                  <c:v>7.7554281149104898E-2</c:v>
                </c:pt>
                <c:pt idx="167">
                  <c:v>5.5709261338200561E-2</c:v>
                </c:pt>
                <c:pt idx="168">
                  <c:v>3.1300995063826553E-2</c:v>
                </c:pt>
                <c:pt idx="169">
                  <c:v>3.8032008194830755E-2</c:v>
                </c:pt>
                <c:pt idx="170">
                  <c:v>4.7358578957501389E-2</c:v>
                </c:pt>
                <c:pt idx="171">
                  <c:v>4.248093543794465E-2</c:v>
                </c:pt>
                <c:pt idx="172">
                  <c:v>2.9878157081739451E-2</c:v>
                </c:pt>
                <c:pt idx="173">
                  <c:v>4.91050966013514E-2</c:v>
                </c:pt>
                <c:pt idx="174">
                  <c:v>4.8975944925896867E-2</c:v>
                </c:pt>
                <c:pt idx="175">
                  <c:v>6.1491354739356706E-2</c:v>
                </c:pt>
                <c:pt idx="176">
                  <c:v>3.6871842452844646E-2</c:v>
                </c:pt>
                <c:pt idx="177">
                  <c:v>2.6499874945586192E-2</c:v>
                </c:pt>
                <c:pt idx="178">
                  <c:v>3.3741556884848374E-2</c:v>
                </c:pt>
                <c:pt idx="179">
                  <c:v>3.7420630682985088E-2</c:v>
                </c:pt>
                <c:pt idx="180">
                  <c:v>5.2996952542326954E-2</c:v>
                </c:pt>
                <c:pt idx="181">
                  <c:v>3.063049335952853E-2</c:v>
                </c:pt>
                <c:pt idx="182">
                  <c:v>3.1152612213075366E-2</c:v>
                </c:pt>
                <c:pt idx="183">
                  <c:v>1.6398395578875201E-2</c:v>
                </c:pt>
                <c:pt idx="184">
                  <c:v>2.1837536690903932E-2</c:v>
                </c:pt>
                <c:pt idx="185">
                  <c:v>1.9867010538978373E-2</c:v>
                </c:pt>
                <c:pt idx="186">
                  <c:v>2.3170950147835923E-2</c:v>
                </c:pt>
                <c:pt idx="187">
                  <c:v>2.141296259672305E-2</c:v>
                </c:pt>
                <c:pt idx="188">
                  <c:v>1.7307246114781759E-2</c:v>
                </c:pt>
                <c:pt idx="189">
                  <c:v>8.2662112188587756E-3</c:v>
                </c:pt>
                <c:pt idx="190">
                  <c:v>1.2297188804869713E-2</c:v>
                </c:pt>
                <c:pt idx="191">
                  <c:v>-1.687716892432016E-2</c:v>
                </c:pt>
                <c:pt idx="192">
                  <c:v>-9.4048871449556714E-3</c:v>
                </c:pt>
                <c:pt idx="193">
                  <c:v>1.2592422125932482E-3</c:v>
                </c:pt>
                <c:pt idx="194">
                  <c:v>1.3070494399393234E-2</c:v>
                </c:pt>
                <c:pt idx="195">
                  <c:v>1.7986199196820755E-2</c:v>
                </c:pt>
                <c:pt idx="196">
                  <c:v>4.0239884372901137E-2</c:v>
                </c:pt>
                <c:pt idx="197">
                  <c:v>6.7080788032922861E-2</c:v>
                </c:pt>
                <c:pt idx="198">
                  <c:v>7.6583201285562993E-2</c:v>
                </c:pt>
                <c:pt idx="199">
                  <c:v>0.10901212713628866</c:v>
                </c:pt>
                <c:pt idx="200">
                  <c:v>0.16079057294451338</c:v>
                </c:pt>
                <c:pt idx="201">
                  <c:v>0.13525555815695448</c:v>
                </c:pt>
                <c:pt idx="202">
                  <c:v>0.14235598367428054</c:v>
                </c:pt>
                <c:pt idx="203">
                  <c:v>0.10310732928091569</c:v>
                </c:pt>
                <c:pt idx="204">
                  <c:v>0.12106082122187775</c:v>
                </c:pt>
                <c:pt idx="205">
                  <c:v>0.14832386592129193</c:v>
                </c:pt>
                <c:pt idx="206">
                  <c:v>0.17810992732388942</c:v>
                </c:pt>
                <c:pt idx="207">
                  <c:v>0.13122125478090765</c:v>
                </c:pt>
                <c:pt idx="208">
                  <c:v>0.11582676479137918</c:v>
                </c:pt>
                <c:pt idx="209">
                  <c:v>0.11264511210972158</c:v>
                </c:pt>
                <c:pt idx="210">
                  <c:v>0.10777992439786904</c:v>
                </c:pt>
                <c:pt idx="211">
                  <c:v>0.11145510349918371</c:v>
                </c:pt>
                <c:pt idx="212">
                  <c:v>0.10225087826108849</c:v>
                </c:pt>
                <c:pt idx="213">
                  <c:v>0.10354450792527936</c:v>
                </c:pt>
                <c:pt idx="214">
                  <c:v>9.55286042438699E-2</c:v>
                </c:pt>
                <c:pt idx="215">
                  <c:v>8.610454074386989E-2</c:v>
                </c:pt>
                <c:pt idx="216">
                  <c:v>7.7779350730421609E-2</c:v>
                </c:pt>
                <c:pt idx="217">
                  <c:v>9.3617026675840695E-2</c:v>
                </c:pt>
                <c:pt idx="218">
                  <c:v>9.3469794733818209E-2</c:v>
                </c:pt>
                <c:pt idx="219">
                  <c:v>9.250889987597731E-2</c:v>
                </c:pt>
                <c:pt idx="220">
                  <c:v>9.0037761383532547E-2</c:v>
                </c:pt>
                <c:pt idx="221">
                  <c:v>0.11000940860234636</c:v>
                </c:pt>
                <c:pt idx="222">
                  <c:v>0.10275176542160601</c:v>
                </c:pt>
                <c:pt idx="223">
                  <c:v>0.10998667056741017</c:v>
                </c:pt>
                <c:pt idx="224">
                  <c:v>0.1129730459446829</c:v>
                </c:pt>
                <c:pt idx="225">
                  <c:v>0.1150784888826174</c:v>
                </c:pt>
                <c:pt idx="226">
                  <c:v>0.1224807069322328</c:v>
                </c:pt>
                <c:pt idx="227">
                  <c:v>0.13240200219029286</c:v>
                </c:pt>
                <c:pt idx="228">
                  <c:v>0.11333217121583598</c:v>
                </c:pt>
                <c:pt idx="229">
                  <c:v>0.10140121018783597</c:v>
                </c:pt>
                <c:pt idx="230">
                  <c:v>9.5638990349392564E-2</c:v>
                </c:pt>
                <c:pt idx="231">
                  <c:v>0.14269553233436624</c:v>
                </c:pt>
                <c:pt idx="232">
                  <c:v>0.15045339140450709</c:v>
                </c:pt>
                <c:pt idx="233">
                  <c:v>0.14059018175895355</c:v>
                </c:pt>
                <c:pt idx="234">
                  <c:v>0.13743029071164511</c:v>
                </c:pt>
                <c:pt idx="235">
                  <c:v>0.14470245901237319</c:v>
                </c:pt>
                <c:pt idx="236">
                  <c:v>0.1435619447319384</c:v>
                </c:pt>
                <c:pt idx="237">
                  <c:v>0.14857808484296464</c:v>
                </c:pt>
                <c:pt idx="238">
                  <c:v>0.15246031323895154</c:v>
                </c:pt>
                <c:pt idx="239">
                  <c:v>0.14920560381230283</c:v>
                </c:pt>
                <c:pt idx="240">
                  <c:v>0.14896852238837369</c:v>
                </c:pt>
                <c:pt idx="241">
                  <c:v>0.15008977351314914</c:v>
                </c:pt>
                <c:pt idx="242">
                  <c:v>0.13963505870016213</c:v>
                </c:pt>
                <c:pt idx="243">
                  <c:v>0.13652904366237817</c:v>
                </c:pt>
                <c:pt idx="244">
                  <c:v>0.14160882791346227</c:v>
                </c:pt>
                <c:pt idx="245">
                  <c:v>0.14535549601904632</c:v>
                </c:pt>
                <c:pt idx="246">
                  <c:v>0.14976405346006047</c:v>
                </c:pt>
                <c:pt idx="247">
                  <c:v>0.1445948392589696</c:v>
                </c:pt>
                <c:pt idx="248">
                  <c:v>0.14032131200922424</c:v>
                </c:pt>
                <c:pt idx="249">
                  <c:v>0.12617152423740724</c:v>
                </c:pt>
                <c:pt idx="250">
                  <c:v>0.13700855093406189</c:v>
                </c:pt>
                <c:pt idx="251">
                  <c:v>0.15188569241026481</c:v>
                </c:pt>
                <c:pt idx="252">
                  <c:v>0.15612503602253364</c:v>
                </c:pt>
                <c:pt idx="253">
                  <c:v>0.14850257113933404</c:v>
                </c:pt>
                <c:pt idx="254">
                  <c:v>0.18310087792163196</c:v>
                </c:pt>
                <c:pt idx="255">
                  <c:v>0.17501355651698022</c:v>
                </c:pt>
                <c:pt idx="256">
                  <c:v>0.14166218935760372</c:v>
                </c:pt>
                <c:pt idx="257">
                  <c:v>0.14254074251920704</c:v>
                </c:pt>
                <c:pt idx="258">
                  <c:v>0.17471356100245658</c:v>
                </c:pt>
                <c:pt idx="259">
                  <c:v>0.1473961199715238</c:v>
                </c:pt>
                <c:pt idx="260">
                  <c:v>0.17761332300743118</c:v>
                </c:pt>
                <c:pt idx="261">
                  <c:v>0.23333346526329476</c:v>
                </c:pt>
                <c:pt idx="262">
                  <c:v>0.22515436562375632</c:v>
                </c:pt>
                <c:pt idx="263">
                  <c:v>0.22955806221934699</c:v>
                </c:pt>
                <c:pt idx="264">
                  <c:v>0.22987410737661973</c:v>
                </c:pt>
                <c:pt idx="265">
                  <c:v>0.23542169835237581</c:v>
                </c:pt>
                <c:pt idx="266">
                  <c:v>0.24397343473644256</c:v>
                </c:pt>
                <c:pt idx="267">
                  <c:v>0.23301564427449267</c:v>
                </c:pt>
                <c:pt idx="268">
                  <c:v>0.22559325668344005</c:v>
                </c:pt>
                <c:pt idx="269">
                  <c:v>0.23813542105566146</c:v>
                </c:pt>
                <c:pt idx="270">
                  <c:v>0.22633964246705676</c:v>
                </c:pt>
                <c:pt idx="271">
                  <c:v>0.22933964432958176</c:v>
                </c:pt>
                <c:pt idx="272">
                  <c:v>0.22843104802038819</c:v>
                </c:pt>
                <c:pt idx="273">
                  <c:v>0.22411724074739434</c:v>
                </c:pt>
                <c:pt idx="274">
                  <c:v>0.21593280955923552</c:v>
                </c:pt>
                <c:pt idx="275">
                  <c:v>0.21408284126327665</c:v>
                </c:pt>
                <c:pt idx="276">
                  <c:v>0.20582544808648814</c:v>
                </c:pt>
                <c:pt idx="277">
                  <c:v>0.19624162575743359</c:v>
                </c:pt>
                <c:pt idx="278">
                  <c:v>0.19550253450486399</c:v>
                </c:pt>
                <c:pt idx="279">
                  <c:v>0.19999210825630134</c:v>
                </c:pt>
                <c:pt idx="280">
                  <c:v>0.19138726438499143</c:v>
                </c:pt>
                <c:pt idx="281">
                  <c:v>0.20469163694074069</c:v>
                </c:pt>
                <c:pt idx="282">
                  <c:v>0.2128677872629483</c:v>
                </c:pt>
                <c:pt idx="283">
                  <c:v>0.20781617001704772</c:v>
                </c:pt>
                <c:pt idx="284">
                  <c:v>0.21824982239395302</c:v>
                </c:pt>
                <c:pt idx="285">
                  <c:v>0.21509156389467865</c:v>
                </c:pt>
                <c:pt idx="286">
                  <c:v>0.2247956591273518</c:v>
                </c:pt>
                <c:pt idx="287">
                  <c:v>0.23251175042826</c:v>
                </c:pt>
                <c:pt idx="288">
                  <c:v>0.22205227685323584</c:v>
                </c:pt>
                <c:pt idx="289">
                  <c:v>0.22513275226777449</c:v>
                </c:pt>
                <c:pt idx="290">
                  <c:v>0.23193183662338424</c:v>
                </c:pt>
                <c:pt idx="291">
                  <c:v>0.22690395010911904</c:v>
                </c:pt>
                <c:pt idx="292">
                  <c:v>0.2245836614566363</c:v>
                </c:pt>
                <c:pt idx="293">
                  <c:v>0.22730690656669969</c:v>
                </c:pt>
                <c:pt idx="294">
                  <c:v>0.2302084279551958</c:v>
                </c:pt>
                <c:pt idx="295">
                  <c:v>0.22665436584820356</c:v>
                </c:pt>
                <c:pt idx="296">
                  <c:v>0.23392572486618093</c:v>
                </c:pt>
                <c:pt idx="297">
                  <c:v>0.22701697624985553</c:v>
                </c:pt>
                <c:pt idx="298">
                  <c:v>0.22352492460420506</c:v>
                </c:pt>
                <c:pt idx="299">
                  <c:v>0.22069638214161094</c:v>
                </c:pt>
                <c:pt idx="300">
                  <c:v>0.22862000293252005</c:v>
                </c:pt>
                <c:pt idx="301">
                  <c:v>0.21342554260092156</c:v>
                </c:pt>
                <c:pt idx="302">
                  <c:v>0.20372504665421365</c:v>
                </c:pt>
                <c:pt idx="303">
                  <c:v>0.19890862529308104</c:v>
                </c:pt>
                <c:pt idx="304">
                  <c:v>0.20032461263237836</c:v>
                </c:pt>
                <c:pt idx="305">
                  <c:v>0.19322661063068902</c:v>
                </c:pt>
                <c:pt idx="306">
                  <c:v>0.19797021187175509</c:v>
                </c:pt>
                <c:pt idx="307">
                  <c:v>0.19844294738576795</c:v>
                </c:pt>
                <c:pt idx="308">
                  <c:v>0.19396209235931292</c:v>
                </c:pt>
                <c:pt idx="309">
                  <c:v>0.19521370748816</c:v>
                </c:pt>
                <c:pt idx="310">
                  <c:v>0.20075715020617979</c:v>
                </c:pt>
                <c:pt idx="311">
                  <c:v>0.20545089586268386</c:v>
                </c:pt>
                <c:pt idx="312">
                  <c:v>0.21100052099160696</c:v>
                </c:pt>
                <c:pt idx="313">
                  <c:v>0.21166967678224008</c:v>
                </c:pt>
                <c:pt idx="314">
                  <c:v>0.21999220573950004</c:v>
                </c:pt>
                <c:pt idx="315">
                  <c:v>0.21669156688634852</c:v>
                </c:pt>
                <c:pt idx="316">
                  <c:v>0.22177129443033344</c:v>
                </c:pt>
                <c:pt idx="317">
                  <c:v>0.21628458418628746</c:v>
                </c:pt>
                <c:pt idx="318">
                  <c:v>0.21521586567279233</c:v>
                </c:pt>
                <c:pt idx="319">
                  <c:v>0.21652651588638058</c:v>
                </c:pt>
                <c:pt idx="320">
                  <c:v>0.22146833709524716</c:v>
                </c:pt>
                <c:pt idx="321">
                  <c:v>0.21716825357391156</c:v>
                </c:pt>
                <c:pt idx="322">
                  <c:v>0.22228386502006539</c:v>
                </c:pt>
                <c:pt idx="323">
                  <c:v>0.23019919967410743</c:v>
                </c:pt>
                <c:pt idx="324">
                  <c:v>0.23680565272719264</c:v>
                </c:pt>
                <c:pt idx="325">
                  <c:v>0.23121399102082901</c:v>
                </c:pt>
                <c:pt idx="326">
                  <c:v>0.22688907049014906</c:v>
                </c:pt>
                <c:pt idx="327">
                  <c:v>0.22222050571126806</c:v>
                </c:pt>
                <c:pt idx="328">
                  <c:v>0.21908294280377755</c:v>
                </c:pt>
                <c:pt idx="329">
                  <c:v>0.21917448255894803</c:v>
                </c:pt>
                <c:pt idx="330">
                  <c:v>0.22922301095771141</c:v>
                </c:pt>
                <c:pt idx="331">
                  <c:v>0.23412919536907989</c:v>
                </c:pt>
                <c:pt idx="332">
                  <c:v>0.2286660235638851</c:v>
                </c:pt>
                <c:pt idx="333">
                  <c:v>0.22136364376368337</c:v>
                </c:pt>
                <c:pt idx="334">
                  <c:v>0.21386252489715904</c:v>
                </c:pt>
                <c:pt idx="335">
                  <c:v>0.21724952131602815</c:v>
                </c:pt>
                <c:pt idx="336">
                  <c:v>0.22112747916509584</c:v>
                </c:pt>
                <c:pt idx="337">
                  <c:v>0.23573510026652628</c:v>
                </c:pt>
                <c:pt idx="338">
                  <c:v>0.23520567668280151</c:v>
                </c:pt>
                <c:pt idx="339">
                  <c:v>0.22888606598928568</c:v>
                </c:pt>
                <c:pt idx="340">
                  <c:v>0.22253260829594523</c:v>
                </c:pt>
                <c:pt idx="341">
                  <c:v>0.22402363852019325</c:v>
                </c:pt>
                <c:pt idx="342">
                  <c:v>0.22677803340104094</c:v>
                </c:pt>
                <c:pt idx="343">
                  <c:v>0.22974708824457898</c:v>
                </c:pt>
                <c:pt idx="344">
                  <c:v>0.23646661584573525</c:v>
                </c:pt>
                <c:pt idx="345">
                  <c:v>0.22504758340229777</c:v>
                </c:pt>
                <c:pt idx="346">
                  <c:v>0.23180563464424664</c:v>
                </c:pt>
                <c:pt idx="347">
                  <c:v>0.22782126200690658</c:v>
                </c:pt>
                <c:pt idx="348">
                  <c:v>0.23956565109902625</c:v>
                </c:pt>
                <c:pt idx="349">
                  <c:v>0.23963127788613459</c:v>
                </c:pt>
                <c:pt idx="350">
                  <c:v>0.23533361306625813</c:v>
                </c:pt>
                <c:pt idx="351">
                  <c:v>0.22805349343429449</c:v>
                </c:pt>
                <c:pt idx="352">
                  <c:v>0.23181475977835619</c:v>
                </c:pt>
                <c:pt idx="353">
                  <c:v>0.22709917411462896</c:v>
                </c:pt>
                <c:pt idx="354">
                  <c:v>0.22155195562861912</c:v>
                </c:pt>
                <c:pt idx="355">
                  <c:v>0.21814497921534687</c:v>
                </c:pt>
                <c:pt idx="356">
                  <c:v>0.22749659209666603</c:v>
                </c:pt>
                <c:pt idx="357">
                  <c:v>0.19614324870959479</c:v>
                </c:pt>
                <c:pt idx="358">
                  <c:v>0.18202569896092416</c:v>
                </c:pt>
                <c:pt idx="359">
                  <c:v>0.18856055547120931</c:v>
                </c:pt>
                <c:pt idx="360">
                  <c:v>0.18710648722137715</c:v>
                </c:pt>
                <c:pt idx="361">
                  <c:v>0.18275509869659379</c:v>
                </c:pt>
                <c:pt idx="362">
                  <c:v>0.20112614834118125</c:v>
                </c:pt>
                <c:pt idx="363">
                  <c:v>0.19626374946614819</c:v>
                </c:pt>
                <c:pt idx="364">
                  <c:v>0.18941693040647214</c:v>
                </c:pt>
                <c:pt idx="365">
                  <c:v>0.18327400647008399</c:v>
                </c:pt>
                <c:pt idx="366">
                  <c:v>0.1969885308416443</c:v>
                </c:pt>
                <c:pt idx="367">
                  <c:v>0.18526948751773195</c:v>
                </c:pt>
                <c:pt idx="368">
                  <c:v>0.20688078197966409</c:v>
                </c:pt>
                <c:pt idx="369">
                  <c:v>0.18541248571260874</c:v>
                </c:pt>
                <c:pt idx="370">
                  <c:v>0.18695727660042061</c:v>
                </c:pt>
                <c:pt idx="371">
                  <c:v>0.17703384361388325</c:v>
                </c:pt>
                <c:pt idx="372">
                  <c:v>0.19012937872687444</c:v>
                </c:pt>
                <c:pt idx="373">
                  <c:v>0.17901452003162888</c:v>
                </c:pt>
                <c:pt idx="374">
                  <c:v>0.19511217760208011</c:v>
                </c:pt>
                <c:pt idx="375">
                  <c:v>0.18866566004036198</c:v>
                </c:pt>
                <c:pt idx="376">
                  <c:v>0.18380602966421214</c:v>
                </c:pt>
                <c:pt idx="377">
                  <c:v>0.19521653205312955</c:v>
                </c:pt>
                <c:pt idx="378">
                  <c:v>0.17864324141054161</c:v>
                </c:pt>
                <c:pt idx="379">
                  <c:v>0.18629925173398071</c:v>
                </c:pt>
                <c:pt idx="380">
                  <c:v>0.17609232813889011</c:v>
                </c:pt>
                <c:pt idx="381">
                  <c:v>0.15812472107891101</c:v>
                </c:pt>
                <c:pt idx="382">
                  <c:v>0.14838602155669819</c:v>
                </c:pt>
                <c:pt idx="383">
                  <c:v>0.13518992367823104</c:v>
                </c:pt>
                <c:pt idx="384">
                  <c:v>0.1270063824506773</c:v>
                </c:pt>
                <c:pt idx="385">
                  <c:v>0.12099769987223322</c:v>
                </c:pt>
                <c:pt idx="386">
                  <c:v>0.13024512245209985</c:v>
                </c:pt>
                <c:pt idx="387">
                  <c:v>0.13544028925252946</c:v>
                </c:pt>
                <c:pt idx="388">
                  <c:v>0.12555108637503459</c:v>
                </c:pt>
                <c:pt idx="389">
                  <c:v>9.726988358770082E-2</c:v>
                </c:pt>
                <c:pt idx="390">
                  <c:v>8.0687714732270849E-2</c:v>
                </c:pt>
                <c:pt idx="391">
                  <c:v>8.4724735362647602E-2</c:v>
                </c:pt>
                <c:pt idx="392">
                  <c:v>7.2147636557954281E-2</c:v>
                </c:pt>
                <c:pt idx="393">
                  <c:v>7.9107997019134402E-2</c:v>
                </c:pt>
                <c:pt idx="394">
                  <c:v>8.8634680232748203E-2</c:v>
                </c:pt>
                <c:pt idx="395">
                  <c:v>8.7418779048237694E-2</c:v>
                </c:pt>
                <c:pt idx="396">
                  <c:v>9.687578977590125E-2</c:v>
                </c:pt>
                <c:pt idx="397">
                  <c:v>8.9738157644812619E-2</c:v>
                </c:pt>
                <c:pt idx="398">
                  <c:v>9.000998001557875E-2</c:v>
                </c:pt>
                <c:pt idx="399">
                  <c:v>9.6548615569297225E-2</c:v>
                </c:pt>
                <c:pt idx="400">
                  <c:v>8.2896150314649322E-2</c:v>
                </c:pt>
                <c:pt idx="401">
                  <c:v>9.9723887525123789E-2</c:v>
                </c:pt>
                <c:pt idx="402">
                  <c:v>7.5123654267756412E-2</c:v>
                </c:pt>
                <c:pt idx="403">
                  <c:v>7.1129530506306021E-2</c:v>
                </c:pt>
                <c:pt idx="404">
                  <c:v>7.5383447174768831E-2</c:v>
                </c:pt>
                <c:pt idx="405">
                  <c:v>8.0901557867577634E-2</c:v>
                </c:pt>
                <c:pt idx="406">
                  <c:v>6.8500569315449969E-2</c:v>
                </c:pt>
                <c:pt idx="407">
                  <c:v>7.0665727764475272E-2</c:v>
                </c:pt>
                <c:pt idx="408">
                  <c:v>6.620905803997619E-2</c:v>
                </c:pt>
                <c:pt idx="409">
                  <c:v>5.732376291997613E-2</c:v>
                </c:pt>
                <c:pt idx="410">
                  <c:v>4.875967848546308E-2</c:v>
                </c:pt>
                <c:pt idx="411">
                  <c:v>4.5345554478000379E-2</c:v>
                </c:pt>
                <c:pt idx="412">
                  <c:v>4.6384457179104055E-2</c:v>
                </c:pt>
                <c:pt idx="413">
                  <c:v>4.7826595042215175E-2</c:v>
                </c:pt>
                <c:pt idx="414">
                  <c:v>4.9417738906855538E-2</c:v>
                </c:pt>
                <c:pt idx="415">
                  <c:v>3.5485907253542753E-2</c:v>
                </c:pt>
                <c:pt idx="416">
                  <c:v>4.9802033710685596E-2</c:v>
                </c:pt>
                <c:pt idx="417">
                  <c:v>4.8997050652873082E-2</c:v>
                </c:pt>
                <c:pt idx="418">
                  <c:v>4.9319553220909605E-2</c:v>
                </c:pt>
                <c:pt idx="419">
                  <c:v>4.2085518000690401E-2</c:v>
                </c:pt>
                <c:pt idx="420">
                  <c:v>5.0789458727244101E-2</c:v>
                </c:pt>
                <c:pt idx="421">
                  <c:v>4.6035299326477513E-2</c:v>
                </c:pt>
                <c:pt idx="422">
                  <c:v>3.9610984763492445E-2</c:v>
                </c:pt>
                <c:pt idx="423">
                  <c:v>4.5814542096436817E-2</c:v>
                </c:pt>
                <c:pt idx="424">
                  <c:v>4.6906894913756401E-2</c:v>
                </c:pt>
                <c:pt idx="425">
                  <c:v>3.9285739179385527E-2</c:v>
                </c:pt>
                <c:pt idx="426">
                  <c:v>3.7785590397242677E-2</c:v>
                </c:pt>
                <c:pt idx="427">
                  <c:v>4.3313225122062829E-2</c:v>
                </c:pt>
                <c:pt idx="428">
                  <c:v>3.0943386108756847E-2</c:v>
                </c:pt>
                <c:pt idx="429">
                  <c:v>3.5313801282019081E-2</c:v>
                </c:pt>
                <c:pt idx="430">
                  <c:v>4.3692882269142364E-2</c:v>
                </c:pt>
                <c:pt idx="431">
                  <c:v>3.6343150354579246E-2</c:v>
                </c:pt>
                <c:pt idx="432">
                  <c:v>3.537141120257372E-2</c:v>
                </c:pt>
                <c:pt idx="433">
                  <c:v>3.8450902281342965E-2</c:v>
                </c:pt>
                <c:pt idx="434">
                  <c:v>4.3320408853474122E-2</c:v>
                </c:pt>
                <c:pt idx="435">
                  <c:v>3.9905408908069845E-2</c:v>
                </c:pt>
                <c:pt idx="436">
                  <c:v>3.7700755721954166E-2</c:v>
                </c:pt>
                <c:pt idx="437">
                  <c:v>3.0610299933958144E-2</c:v>
                </c:pt>
                <c:pt idx="438">
                  <c:v>2.5545981720888847E-2</c:v>
                </c:pt>
                <c:pt idx="439">
                  <c:v>3.4376353563344703E-2</c:v>
                </c:pt>
                <c:pt idx="440">
                  <c:v>2.818823673396972E-2</c:v>
                </c:pt>
                <c:pt idx="441">
                  <c:v>2.2228472289025882E-2</c:v>
                </c:pt>
                <c:pt idx="442">
                  <c:v>3.3074730558256653E-2</c:v>
                </c:pt>
                <c:pt idx="443">
                  <c:v>4.4138314054110013E-2</c:v>
                </c:pt>
                <c:pt idx="444">
                  <c:v>3.8809751524571764E-2</c:v>
                </c:pt>
                <c:pt idx="445">
                  <c:v>4.0686726263387936E-2</c:v>
                </c:pt>
                <c:pt idx="446">
                  <c:v>2.6307822787925948E-2</c:v>
                </c:pt>
                <c:pt idx="447">
                  <c:v>4.4909930530990863E-2</c:v>
                </c:pt>
                <c:pt idx="448">
                  <c:v>3.610531487645198E-2</c:v>
                </c:pt>
                <c:pt idx="449">
                  <c:v>2.5518375552158575E-2</c:v>
                </c:pt>
                <c:pt idx="450">
                  <c:v>2.1973307289027261E-2</c:v>
                </c:pt>
                <c:pt idx="451">
                  <c:v>2.0305620339960591E-2</c:v>
                </c:pt>
                <c:pt idx="452">
                  <c:v>2.7175297969860079E-2</c:v>
                </c:pt>
                <c:pt idx="453">
                  <c:v>2.5981169071746881E-2</c:v>
                </c:pt>
                <c:pt idx="454">
                  <c:v>2.7965880805334662E-2</c:v>
                </c:pt>
                <c:pt idx="455">
                  <c:v>2.7314200067755059E-2</c:v>
                </c:pt>
                <c:pt idx="456">
                  <c:v>3.4678483699269139E-2</c:v>
                </c:pt>
                <c:pt idx="457">
                  <c:v>3.4785504875386779E-2</c:v>
                </c:pt>
                <c:pt idx="458">
                  <c:v>3.5577790382927764E-2</c:v>
                </c:pt>
                <c:pt idx="459">
                  <c:v>3.749249714014205E-2</c:v>
                </c:pt>
                <c:pt idx="460">
                  <c:v>3.7937827802543803E-2</c:v>
                </c:pt>
                <c:pt idx="461">
                  <c:v>3.8512727804086662E-2</c:v>
                </c:pt>
                <c:pt idx="462">
                  <c:v>3.8512727804086662E-2</c:v>
                </c:pt>
                <c:pt idx="463">
                  <c:v>3.5685429943158806E-2</c:v>
                </c:pt>
                <c:pt idx="464">
                  <c:v>4.2045953800346314E-2</c:v>
                </c:pt>
                <c:pt idx="465">
                  <c:v>3.4954471791123515E-2</c:v>
                </c:pt>
                <c:pt idx="466">
                  <c:v>3.7732452965368118E-2</c:v>
                </c:pt>
                <c:pt idx="467">
                  <c:v>3.7795574308796695E-2</c:v>
                </c:pt>
                <c:pt idx="468">
                  <c:v>3.7338188569670479E-2</c:v>
                </c:pt>
                <c:pt idx="469">
                  <c:v>3.7914093404446951E-2</c:v>
                </c:pt>
                <c:pt idx="470">
                  <c:v>4.3958654652273041E-2</c:v>
                </c:pt>
                <c:pt idx="471">
                  <c:v>4.7523546953811516E-2</c:v>
                </c:pt>
                <c:pt idx="472">
                  <c:v>4.8362985319044684E-2</c:v>
                </c:pt>
                <c:pt idx="473">
                  <c:v>4.3614026159796787E-2</c:v>
                </c:pt>
                <c:pt idx="474">
                  <c:v>4.3686788842242849E-2</c:v>
                </c:pt>
                <c:pt idx="475">
                  <c:v>4.5342601011559604E-2</c:v>
                </c:pt>
                <c:pt idx="476">
                  <c:v>3.7561586968500989E-2</c:v>
                </c:pt>
                <c:pt idx="477">
                  <c:v>3.2693446562806545E-2</c:v>
                </c:pt>
                <c:pt idx="478">
                  <c:v>2.4841529164806548E-2</c:v>
                </c:pt>
                <c:pt idx="479">
                  <c:v>3.3072215032122855E-2</c:v>
                </c:pt>
                <c:pt idx="480">
                  <c:v>3.4972854282122851E-2</c:v>
                </c:pt>
                <c:pt idx="481">
                  <c:v>3.5745184513997857E-2</c:v>
                </c:pt>
                <c:pt idx="482">
                  <c:v>3.8238556003187048E-2</c:v>
                </c:pt>
                <c:pt idx="483">
                  <c:v>3.6213943392075926E-2</c:v>
                </c:pt>
                <c:pt idx="484">
                  <c:v>3.5932121518726642E-2</c:v>
                </c:pt>
                <c:pt idx="485">
                  <c:v>3.4550422495042421E-2</c:v>
                </c:pt>
                <c:pt idx="486">
                  <c:v>3.103029029390604E-2</c:v>
                </c:pt>
                <c:pt idx="487">
                  <c:v>3.8918411445911849E-2</c:v>
                </c:pt>
                <c:pt idx="488">
                  <c:v>3.4635281607911857E-2</c:v>
                </c:pt>
                <c:pt idx="489">
                  <c:v>3.0194584540739446E-2</c:v>
                </c:pt>
                <c:pt idx="490">
                  <c:v>2.3174709532527524E-2</c:v>
                </c:pt>
                <c:pt idx="491">
                  <c:v>1.1656522701637549E-2</c:v>
                </c:pt>
                <c:pt idx="492">
                  <c:v>2.1978048204837546E-2</c:v>
                </c:pt>
                <c:pt idx="493">
                  <c:v>1.1928245308108328E-2</c:v>
                </c:pt>
                <c:pt idx="494">
                  <c:v>2.3926842931834804E-2</c:v>
                </c:pt>
                <c:pt idx="495">
                  <c:v>2.7748870455314864E-2</c:v>
                </c:pt>
                <c:pt idx="496">
                  <c:v>3.2742189427753872E-2</c:v>
                </c:pt>
                <c:pt idx="497">
                  <c:v>3.1892488041588819E-2</c:v>
                </c:pt>
                <c:pt idx="498">
                  <c:v>3.9890610234533344E-2</c:v>
                </c:pt>
                <c:pt idx="499">
                  <c:v>2.8916322438323198E-2</c:v>
                </c:pt>
                <c:pt idx="500">
                  <c:v>4.3070253920615836E-2</c:v>
                </c:pt>
                <c:pt idx="501">
                  <c:v>4.8053851267495111E-2</c:v>
                </c:pt>
                <c:pt idx="502">
                  <c:v>5.3787593133482046E-2</c:v>
                </c:pt>
                <c:pt idx="503">
                  <c:v>4.6349122000902541E-2</c:v>
                </c:pt>
                <c:pt idx="504">
                  <c:v>3.4603088479841698E-2</c:v>
                </c:pt>
                <c:pt idx="505">
                  <c:v>2.6037518936357539E-2</c:v>
                </c:pt>
                <c:pt idx="506">
                  <c:v>1.8841341756738236E-2</c:v>
                </c:pt>
                <c:pt idx="507">
                  <c:v>2.2351802211003132E-2</c:v>
                </c:pt>
                <c:pt idx="508">
                  <c:v>2.0906772264645174E-2</c:v>
                </c:pt>
                <c:pt idx="509">
                  <c:v>1.1660898968170342E-2</c:v>
                </c:pt>
                <c:pt idx="510">
                  <c:v>2.3514974778600189E-2</c:v>
                </c:pt>
                <c:pt idx="511">
                  <c:v>2.1129503825088186E-2</c:v>
                </c:pt>
                <c:pt idx="512">
                  <c:v>3.3672011553488951E-2</c:v>
                </c:pt>
                <c:pt idx="513">
                  <c:v>3.7899390851704344E-2</c:v>
                </c:pt>
                <c:pt idx="514">
                  <c:v>5.749729065612643E-2</c:v>
                </c:pt>
                <c:pt idx="515">
                  <c:v>5.2004334464386612E-2</c:v>
                </c:pt>
                <c:pt idx="516">
                  <c:v>3.8871054324812832E-2</c:v>
                </c:pt>
                <c:pt idx="517">
                  <c:v>4.6289293538745425E-2</c:v>
                </c:pt>
                <c:pt idx="518">
                  <c:v>3.3397825829936771E-2</c:v>
                </c:pt>
                <c:pt idx="519">
                  <c:v>3.5758997431059585E-2</c:v>
                </c:pt>
                <c:pt idx="520">
                  <c:v>3.6361986729863412E-2</c:v>
                </c:pt>
                <c:pt idx="521">
                  <c:v>4.0694704974498924E-2</c:v>
                </c:pt>
                <c:pt idx="522">
                  <c:v>3.3008192311753823E-2</c:v>
                </c:pt>
                <c:pt idx="523">
                  <c:v>3.1250401483380888E-2</c:v>
                </c:pt>
                <c:pt idx="524">
                  <c:v>2.5701186253359647E-2</c:v>
                </c:pt>
                <c:pt idx="525">
                  <c:v>3.618551265666152E-2</c:v>
                </c:pt>
                <c:pt idx="526">
                  <c:v>4.7012964399016956E-2</c:v>
                </c:pt>
                <c:pt idx="527">
                  <c:v>4.0060625897797922E-2</c:v>
                </c:pt>
                <c:pt idx="528">
                  <c:v>3.8982304542810847E-2</c:v>
                </c:pt>
                <c:pt idx="529">
                  <c:v>4.7890661546571754E-2</c:v>
                </c:pt>
                <c:pt idx="530">
                  <c:v>5.0176481392340481E-2</c:v>
                </c:pt>
                <c:pt idx="531">
                  <c:v>4.1299270014302031E-2</c:v>
                </c:pt>
                <c:pt idx="532">
                  <c:v>2.877295784577167E-2</c:v>
                </c:pt>
                <c:pt idx="533">
                  <c:v>3.6688708053746348E-2</c:v>
                </c:pt>
                <c:pt idx="534">
                  <c:v>2.9156020382480073E-2</c:v>
                </c:pt>
                <c:pt idx="535">
                  <c:v>2.2510203173344279E-2</c:v>
                </c:pt>
                <c:pt idx="536">
                  <c:v>1.8638002994148296E-2</c:v>
                </c:pt>
                <c:pt idx="537">
                  <c:v>2.0038420976840613E-2</c:v>
                </c:pt>
                <c:pt idx="538">
                  <c:v>1.947690156500061E-2</c:v>
                </c:pt>
                <c:pt idx="539">
                  <c:v>2.0563838210392964E-2</c:v>
                </c:pt>
                <c:pt idx="540">
                  <c:v>2.1802242266017964E-2</c:v>
                </c:pt>
                <c:pt idx="541">
                  <c:v>2.5056207651383812E-2</c:v>
                </c:pt>
                <c:pt idx="542">
                  <c:v>1.9292857925458755E-2</c:v>
                </c:pt>
                <c:pt idx="543">
                  <c:v>1.8957337056585519E-2</c:v>
                </c:pt>
                <c:pt idx="544">
                  <c:v>1.0710346808346463E-2</c:v>
                </c:pt>
                <c:pt idx="545">
                  <c:v>1.3046776150256562E-2</c:v>
                </c:pt>
                <c:pt idx="546">
                  <c:v>3.8562529954548914E-3</c:v>
                </c:pt>
                <c:pt idx="547">
                  <c:v>9.7340908382808754E-4</c:v>
                </c:pt>
                <c:pt idx="548">
                  <c:v>-5.7174104053900462E-4</c:v>
                </c:pt>
                <c:pt idx="549">
                  <c:v>-6.1906080888205067E-3</c:v>
                </c:pt>
                <c:pt idx="550">
                  <c:v>-3.5426804235114229E-3</c:v>
                </c:pt>
                <c:pt idx="551">
                  <c:v>-5.6871720687425085E-4</c:v>
                </c:pt>
                <c:pt idx="552">
                  <c:v>-1.0997468565213089E-3</c:v>
                </c:pt>
                <c:pt idx="553">
                  <c:v>1.5073038601113346E-3</c:v>
                </c:pt>
                <c:pt idx="554">
                  <c:v>1.6690315708805656E-3</c:v>
                </c:pt>
                <c:pt idx="555">
                  <c:v>3.3112326564158712E-3</c:v>
                </c:pt>
                <c:pt idx="556">
                  <c:v>7.7251548277530819E-3</c:v>
                </c:pt>
                <c:pt idx="557">
                  <c:v>4.0891008144053869E-3</c:v>
                </c:pt>
                <c:pt idx="558">
                  <c:v>7.5162012044458623E-3</c:v>
                </c:pt>
                <c:pt idx="559">
                  <c:v>6.9396966051011337E-3</c:v>
                </c:pt>
                <c:pt idx="560">
                  <c:v>7.5066871998360563E-3</c:v>
                </c:pt>
                <c:pt idx="561">
                  <c:v>4.7680788406052887E-3</c:v>
                </c:pt>
                <c:pt idx="562">
                  <c:v>8.607759706052929E-4</c:v>
                </c:pt>
                <c:pt idx="563">
                  <c:v>-3.7580444982471639E-3</c:v>
                </c:pt>
                <c:pt idx="564">
                  <c:v>-5.6914832771775073E-4</c:v>
                </c:pt>
                <c:pt idx="565">
                  <c:v>-2.614606497531407E-4</c:v>
                </c:pt>
                <c:pt idx="566">
                  <c:v>-6.4866923861761313E-4</c:v>
                </c:pt>
                <c:pt idx="567">
                  <c:v>-2.3213140035465134E-3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CA-4B58-9670-5721A473A7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4017632"/>
        <c:axId val="652566720"/>
      </c:lineChart>
      <c:dateAx>
        <c:axId val="52401763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2566720"/>
        <c:crosses val="autoZero"/>
        <c:auto val="1"/>
        <c:lblOffset val="100"/>
        <c:baseTimeUnit val="days"/>
      </c:dateAx>
      <c:valAx>
        <c:axId val="652566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017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4A45C9D-D3C5-4EC4-A27A-A4BE653CE5E7}">
  <sheetPr codeName="Chart1"/>
  <sheetViews>
    <sheetView zoomScale="7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2338" cy="607373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0FA41D6-148A-4C79-9CE3-CD9A07704E61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28.981000000000002</v>
      </c>
      <c r="D2" s="4">
        <f>MIN(D3:D1912)</f>
        <v>2.3839999999999999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4.6280000000000001</v>
      </c>
      <c r="C5">
        <v>4.6920000000000002</v>
      </c>
      <c r="D5">
        <v>4.47</v>
      </c>
      <c r="E5">
        <v>4.4960000000000004</v>
      </c>
      <c r="F5">
        <v>180941</v>
      </c>
      <c r="G5">
        <v>4.4960000000000004</v>
      </c>
      <c r="L5" t="s">
        <v>7</v>
      </c>
      <c r="M5" t="s">
        <v>8</v>
      </c>
      <c r="N5" t="s">
        <v>7</v>
      </c>
      <c r="P5">
        <f t="shared" ref="P5" si="0">IF(C5=D5,0,((E5-D5)-(C5-E5))/(C5-D5))</f>
        <v>-0.76576576576576005</v>
      </c>
      <c r="Q5">
        <f t="shared" ref="Q5" si="1">F5*P5</f>
        <v>-138558.42342342238</v>
      </c>
      <c r="R5">
        <f t="shared" ref="R5" si="2">R6+Q5</f>
        <v>1668094.0474361586</v>
      </c>
      <c r="S5">
        <f t="shared" ref="S5" si="3">R5/100000</f>
        <v>16.680940474361588</v>
      </c>
      <c r="T5">
        <f t="shared" ref="T5" si="4">S5/1000</f>
        <v>1.6680940474361586E-2</v>
      </c>
    </row>
    <row r="6" spans="1:20" x14ac:dyDescent="0.25">
      <c r="A6" s="5">
        <v>44587</v>
      </c>
      <c r="B6">
        <v>4.2880000000000003</v>
      </c>
      <c r="C6">
        <v>4.8680000000000003</v>
      </c>
      <c r="D6">
        <v>4.242</v>
      </c>
      <c r="E6">
        <v>4.6239999999999997</v>
      </c>
      <c r="F6">
        <v>2682702.5</v>
      </c>
      <c r="G6">
        <v>4.6239999999999997</v>
      </c>
      <c r="L6" t="s">
        <v>8</v>
      </c>
      <c r="M6" t="s">
        <v>8</v>
      </c>
      <c r="N6" t="s">
        <v>7</v>
      </c>
      <c r="P6">
        <f t="shared" ref="P6" si="5">IF(C6=D6,0,((E6-D6)-(C6-E6))/(C6-D6))</f>
        <v>0.22044728434504623</v>
      </c>
      <c r="Q6">
        <f t="shared" ref="Q6" si="6">F6*P6</f>
        <v>591394.48083066638</v>
      </c>
      <c r="R6">
        <f t="shared" ref="R6" si="7">R7+Q6</f>
        <v>1806652.4708595809</v>
      </c>
      <c r="S6">
        <f t="shared" ref="S6" si="8">R6/100000</f>
        <v>18.066524708595811</v>
      </c>
      <c r="T6">
        <f t="shared" ref="T6" si="9">S6/1000</f>
        <v>1.8066524708595811E-2</v>
      </c>
    </row>
    <row r="7" spans="1:20" x14ac:dyDescent="0.25">
      <c r="A7" s="5">
        <v>44586</v>
      </c>
      <c r="B7">
        <v>4.2149999999999999</v>
      </c>
      <c r="C7">
        <v>4.3689999999999998</v>
      </c>
      <c r="D7">
        <v>4.0119999999999996</v>
      </c>
      <c r="E7">
        <v>4.2850000000000001</v>
      </c>
      <c r="F7">
        <v>1715344.3</v>
      </c>
      <c r="G7">
        <v>4.2850000000000001</v>
      </c>
      <c r="L7" t="s">
        <v>8</v>
      </c>
      <c r="M7" t="s">
        <v>8</v>
      </c>
      <c r="N7" t="s">
        <v>7</v>
      </c>
      <c r="P7">
        <f t="shared" ref="P7" si="10">IF(C7=D7,0,((E7-D7)-(C7-E7))/(C7-D7))</f>
        <v>0.52941176470588469</v>
      </c>
      <c r="Q7">
        <f t="shared" ref="Q7" si="11">F7*P7</f>
        <v>908123.45294118056</v>
      </c>
      <c r="R7">
        <f t="shared" ref="R7" si="12">R8+Q7</f>
        <v>1215257.9900289145</v>
      </c>
      <c r="S7">
        <f t="shared" ref="S7" si="13">R7/100000</f>
        <v>12.152579900289146</v>
      </c>
      <c r="T7">
        <f t="shared" ref="T7" si="14">S7/1000</f>
        <v>1.2152579900289145E-2</v>
      </c>
    </row>
    <row r="8" spans="1:20" x14ac:dyDescent="0.25">
      <c r="A8" s="5">
        <v>44585</v>
      </c>
      <c r="B8">
        <v>3.9289999999999998</v>
      </c>
      <c r="C8">
        <v>4.2590000000000003</v>
      </c>
      <c r="D8">
        <v>3.512</v>
      </c>
      <c r="E8">
        <v>4.2210000000000001</v>
      </c>
      <c r="F8">
        <v>3612759.9</v>
      </c>
      <c r="G8">
        <v>4.2210000000000001</v>
      </c>
      <c r="L8" t="s">
        <v>8</v>
      </c>
      <c r="M8" t="s">
        <v>8</v>
      </c>
      <c r="N8" t="s">
        <v>7</v>
      </c>
      <c r="P8">
        <f t="shared" ref="P8" si="15">IF(C8=D8,0,((E8-D8)-(C8-E8))/(C8-D8))</f>
        <v>0.89825970548862055</v>
      </c>
      <c r="Q8">
        <f t="shared" ref="Q8" si="16">F8*P8</f>
        <v>3245196.643775098</v>
      </c>
      <c r="R8">
        <f t="shared" ref="R8" si="17">R9+Q8</f>
        <v>307134.53708773386</v>
      </c>
      <c r="S8">
        <f t="shared" ref="S8" si="18">R8/100000</f>
        <v>3.0713453708773386</v>
      </c>
      <c r="T8">
        <f t="shared" ref="T8" si="19">S8/1000</f>
        <v>3.0713453708773385E-3</v>
      </c>
    </row>
    <row r="9" spans="1:20" x14ac:dyDescent="0.25">
      <c r="A9" s="5">
        <v>44584</v>
      </c>
      <c r="B9">
        <v>3.7709999999999999</v>
      </c>
      <c r="C9">
        <v>4.0049999999999999</v>
      </c>
      <c r="D9">
        <v>3.6840000000000002</v>
      </c>
      <c r="E9">
        <v>3.9369999999999998</v>
      </c>
      <c r="F9">
        <v>1338012.7</v>
      </c>
      <c r="G9">
        <v>3.9369999999999998</v>
      </c>
      <c r="L9" t="s">
        <v>8</v>
      </c>
      <c r="M9" t="s">
        <v>7</v>
      </c>
      <c r="N9" t="s">
        <v>7</v>
      </c>
      <c r="P9">
        <f t="shared" ref="P9" si="20">IF(C9=D9,0,((E9-D9)-(C9-E9))/(C9-D9))</f>
        <v>0.5763239875389401</v>
      </c>
      <c r="Q9">
        <f t="shared" ref="Q9" si="21">F9*P9</f>
        <v>771128.81464174355</v>
      </c>
      <c r="R9">
        <f t="shared" ref="R9" si="22">R10+Q9</f>
        <v>-2938062.1066873642</v>
      </c>
      <c r="S9">
        <f t="shared" ref="S9" si="23">R9/100000</f>
        <v>-29.380621066873641</v>
      </c>
      <c r="T9">
        <f t="shared" ref="T9" si="24">S9/1000</f>
        <v>-2.9380621066873641E-2</v>
      </c>
    </row>
    <row r="10" spans="1:20" x14ac:dyDescent="0.25">
      <c r="A10" s="5">
        <v>44583</v>
      </c>
      <c r="B10">
        <v>4.173</v>
      </c>
      <c r="C10">
        <v>4.2530000000000001</v>
      </c>
      <c r="D10">
        <v>3.504</v>
      </c>
      <c r="E10">
        <v>3.7730000000000001</v>
      </c>
      <c r="F10">
        <v>3167316</v>
      </c>
      <c r="G10">
        <v>3.7730000000000001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-0.2817089452603469</v>
      </c>
      <c r="Q10">
        <f t="shared" ref="Q10" si="26">F10*P10</f>
        <v>-892261.24966622086</v>
      </c>
      <c r="R10">
        <f t="shared" ref="R10" si="27">R11+Q10</f>
        <v>-3709190.9213291076</v>
      </c>
      <c r="S10">
        <f t="shared" ref="S10" si="28">R10/100000</f>
        <v>-37.091909213291075</v>
      </c>
      <c r="T10">
        <f t="shared" ref="T10" si="29">S10/1000</f>
        <v>-3.7091909213291072E-2</v>
      </c>
    </row>
    <row r="11" spans="1:20" x14ac:dyDescent="0.25">
      <c r="A11" s="5">
        <v>44582</v>
      </c>
      <c r="B11">
        <v>4.782</v>
      </c>
      <c r="C11">
        <v>4.8499999999999996</v>
      </c>
      <c r="D11">
        <v>4.0590000000000002</v>
      </c>
      <c r="E11">
        <v>4.1749999999999998</v>
      </c>
      <c r="F11">
        <v>3549609.4109999998</v>
      </c>
      <c r="G11">
        <v>4.1749999999999998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-0.70670037926675167</v>
      </c>
      <c r="Q11">
        <f t="shared" ref="Q11" si="31">F11*P11</f>
        <v>-2508510.3170025307</v>
      </c>
      <c r="R11">
        <f t="shared" ref="R11" si="32">R12+Q11</f>
        <v>-2816929.6716628866</v>
      </c>
      <c r="S11">
        <f t="shared" ref="S11" si="33">R11/100000</f>
        <v>-28.169296716628867</v>
      </c>
      <c r="T11">
        <f t="shared" ref="T11" si="34">S11/1000</f>
        <v>-2.8169296716628867E-2</v>
      </c>
    </row>
    <row r="12" spans="1:20" x14ac:dyDescent="0.25">
      <c r="A12" s="5">
        <v>44581</v>
      </c>
      <c r="B12">
        <v>4.8970000000000002</v>
      </c>
      <c r="C12">
        <v>5.0910000000000002</v>
      </c>
      <c r="D12">
        <v>4.7050000000000001</v>
      </c>
      <c r="E12">
        <v>4.7930000000000001</v>
      </c>
      <c r="F12">
        <v>1711717.4</v>
      </c>
      <c r="G12">
        <v>4.7930000000000001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-0.54404145077720178</v>
      </c>
      <c r="Q12">
        <f t="shared" ref="Q12" si="36">F12*P12</f>
        <v>-931245.21761657973</v>
      </c>
      <c r="R12">
        <f t="shared" ref="R12" si="37">R13+Q12</f>
        <v>-308419.35466035572</v>
      </c>
      <c r="S12">
        <f t="shared" ref="S12" si="38">R12/100000</f>
        <v>-3.084193546603557</v>
      </c>
      <c r="T12">
        <f t="shared" ref="T12" si="39">S12/1000</f>
        <v>-3.084193546603557E-3</v>
      </c>
    </row>
    <row r="13" spans="1:20" x14ac:dyDescent="0.25">
      <c r="A13" s="5">
        <v>44580</v>
      </c>
      <c r="B13">
        <v>5.0119999999999996</v>
      </c>
      <c r="C13">
        <v>5.0410000000000004</v>
      </c>
      <c r="D13">
        <v>4.84</v>
      </c>
      <c r="E13">
        <v>4.891</v>
      </c>
      <c r="F13">
        <v>1901939.2</v>
      </c>
      <c r="G13">
        <v>4.891</v>
      </c>
      <c r="L13" t="s">
        <v>7</v>
      </c>
      <c r="M13" t="s">
        <v>7</v>
      </c>
      <c r="N13" t="s">
        <v>7</v>
      </c>
      <c r="P13">
        <f t="shared" ref="P13" si="40">IF(C13=D13,0,((E13-D13)-(C13-E13))/(C13-D13))</f>
        <v>-0.49253731343283558</v>
      </c>
      <c r="Q13">
        <f t="shared" ref="Q13" si="41">F13*P13</f>
        <v>-936776.02388059651</v>
      </c>
      <c r="R13">
        <f t="shared" ref="R13" si="42">R14+Q13</f>
        <v>622825.86295622401</v>
      </c>
      <c r="S13">
        <f t="shared" ref="S13" si="43">R13/100000</f>
        <v>6.22825862956224</v>
      </c>
      <c r="T13">
        <f t="shared" ref="T13" si="44">S13/1000</f>
        <v>6.2282586295622396E-3</v>
      </c>
    </row>
    <row r="14" spans="1:20" x14ac:dyDescent="0.25">
      <c r="A14" s="5">
        <v>44579</v>
      </c>
      <c r="B14">
        <v>4.9779999999999998</v>
      </c>
      <c r="C14">
        <v>5.3630000000000004</v>
      </c>
      <c r="D14">
        <v>4.8010000000000002</v>
      </c>
      <c r="E14">
        <v>5.0140000000000002</v>
      </c>
      <c r="F14">
        <v>2251893.7999999998</v>
      </c>
      <c r="G14">
        <v>5.0140000000000002</v>
      </c>
      <c r="L14" t="s">
        <v>7</v>
      </c>
      <c r="M14" t="s">
        <v>7</v>
      </c>
      <c r="N14" t="s">
        <v>7</v>
      </c>
      <c r="P14">
        <f t="shared" ref="P14" si="45">IF(C14=D14,0,((E14-D14)-(C14-E14))/(C14-D14))</f>
        <v>-0.24199288256227769</v>
      </c>
      <c r="Q14">
        <f t="shared" ref="Q14" si="46">F14*P14</f>
        <v>-544942.27188612125</v>
      </c>
      <c r="R14">
        <f t="shared" ref="R14" si="47">R15+Q14</f>
        <v>1559601.8868368205</v>
      </c>
      <c r="S14">
        <f t="shared" ref="S14" si="48">R14/100000</f>
        <v>15.596018868368205</v>
      </c>
      <c r="T14">
        <f t="shared" ref="T14" si="49">S14/1000</f>
        <v>1.5596018868368205E-2</v>
      </c>
    </row>
    <row r="15" spans="1:20" x14ac:dyDescent="0.25">
      <c r="A15" s="5">
        <v>44578</v>
      </c>
      <c r="B15">
        <v>5.3769999999999998</v>
      </c>
      <c r="C15">
        <v>5.4569999999999999</v>
      </c>
      <c r="D15">
        <v>4.9109999999999996</v>
      </c>
      <c r="E15">
        <v>4.976</v>
      </c>
      <c r="F15">
        <v>1421409.6</v>
      </c>
      <c r="G15">
        <v>4.976</v>
      </c>
      <c r="L15" t="s">
        <v>7</v>
      </c>
      <c r="M15" t="s">
        <v>7</v>
      </c>
      <c r="N15" t="s">
        <v>7</v>
      </c>
      <c r="P15">
        <f t="shared" ref="P15" si="50">IF(C15=D15,0,((E15-D15)-(C15-E15))/(C15-D15))</f>
        <v>-0.76190476190476064</v>
      </c>
      <c r="Q15">
        <f t="shared" ref="Q15" si="51">F15*P15</f>
        <v>-1082978.7428571412</v>
      </c>
      <c r="R15">
        <f t="shared" ref="R15" si="52">R16+Q15</f>
        <v>2104544.1587229418</v>
      </c>
      <c r="S15">
        <f t="shared" ref="S15" si="53">R15/100000</f>
        <v>21.045441587229419</v>
      </c>
      <c r="T15">
        <f t="shared" ref="T15" si="54">S15/1000</f>
        <v>2.1045441587229419E-2</v>
      </c>
    </row>
    <row r="16" spans="1:20" x14ac:dyDescent="0.25">
      <c r="A16" s="5">
        <v>44577</v>
      </c>
      <c r="B16">
        <v>5.2750000000000004</v>
      </c>
      <c r="C16">
        <v>5.4429999999999996</v>
      </c>
      <c r="D16">
        <v>5.1740000000000004</v>
      </c>
      <c r="E16">
        <v>5.3810000000000002</v>
      </c>
      <c r="F16">
        <v>965245.7</v>
      </c>
      <c r="G16">
        <v>5.3810000000000002</v>
      </c>
      <c r="L16" t="s">
        <v>8</v>
      </c>
      <c r="M16" t="s">
        <v>7</v>
      </c>
      <c r="N16" t="s">
        <v>7</v>
      </c>
      <c r="P16">
        <f t="shared" ref="P16" si="55">IF(C16=D16,0,((E16-D16)-(C16-E16))/(C16-D16))</f>
        <v>0.53903345724907392</v>
      </c>
      <c r="Q16">
        <f t="shared" ref="Q16" si="56">F16*P16</f>
        <v>520299.72676580242</v>
      </c>
      <c r="R16">
        <f t="shared" ref="R16" si="57">R17+Q16</f>
        <v>3187522.9015800832</v>
      </c>
      <c r="S16">
        <f t="shared" ref="S16" si="58">R16/100000</f>
        <v>31.875229015800834</v>
      </c>
      <c r="T16">
        <f t="shared" ref="T16" si="59">S16/1000</f>
        <v>3.1875229015800831E-2</v>
      </c>
    </row>
    <row r="17" spans="1:20" x14ac:dyDescent="0.25">
      <c r="A17" s="5">
        <v>44576</v>
      </c>
      <c r="B17">
        <v>5.2149999999999999</v>
      </c>
      <c r="C17">
        <v>5.407</v>
      </c>
      <c r="D17">
        <v>5.1980000000000004</v>
      </c>
      <c r="E17">
        <v>5.274</v>
      </c>
      <c r="F17">
        <v>1033581.4</v>
      </c>
      <c r="G17">
        <v>5.274</v>
      </c>
      <c r="L17" t="s">
        <v>8</v>
      </c>
      <c r="M17" t="s">
        <v>7</v>
      </c>
      <c r="N17" t="s">
        <v>7</v>
      </c>
      <c r="P17">
        <f t="shared" ref="P17" si="60">IF(C17=D17,0,((E17-D17)-(C17-E17))/(C17-D17))</f>
        <v>-0.27272727272727504</v>
      </c>
      <c r="Q17">
        <f t="shared" ref="Q17" si="61">F17*P17</f>
        <v>-281885.83636363875</v>
      </c>
      <c r="R17">
        <f t="shared" ref="R17" si="62">R18+Q17</f>
        <v>2667223.1748142806</v>
      </c>
      <c r="S17">
        <f t="shared" ref="S17" si="63">R17/100000</f>
        <v>26.672231748142806</v>
      </c>
      <c r="T17">
        <f t="shared" ref="T17" si="64">S17/1000</f>
        <v>2.6672231748142806E-2</v>
      </c>
    </row>
    <row r="18" spans="1:20" x14ac:dyDescent="0.25">
      <c r="A18" s="5">
        <v>44575</v>
      </c>
      <c r="B18">
        <v>5.0819999999999999</v>
      </c>
      <c r="C18">
        <v>5.2539999999999996</v>
      </c>
      <c r="D18">
        <v>4.9210000000000003</v>
      </c>
      <c r="E18">
        <v>5.2149999999999999</v>
      </c>
      <c r="F18">
        <v>922426.8</v>
      </c>
      <c r="G18">
        <v>5.2149999999999999</v>
      </c>
      <c r="L18" t="s">
        <v>7</v>
      </c>
      <c r="M18" t="s">
        <v>7</v>
      </c>
      <c r="N18" t="s">
        <v>7</v>
      </c>
      <c r="P18">
        <f t="shared" ref="P18" si="65">IF(C18=D18,0,((E18-D18)-(C18-E18))/(C18-D18))</f>
        <v>0.76576576576576705</v>
      </c>
      <c r="Q18">
        <f t="shared" ref="Q18" si="66">F18*P18</f>
        <v>706362.86486486613</v>
      </c>
      <c r="R18">
        <f t="shared" ref="R18" si="67">R19+Q18</f>
        <v>2949109.0111779193</v>
      </c>
      <c r="S18">
        <f t="shared" ref="S18" si="68">R18/100000</f>
        <v>29.491090111779194</v>
      </c>
      <c r="T18">
        <f t="shared" ref="T18" si="69">S18/1000</f>
        <v>2.9491090111779195E-2</v>
      </c>
    </row>
    <row r="19" spans="1:20" x14ac:dyDescent="0.25">
      <c r="A19" s="5">
        <v>44574</v>
      </c>
      <c r="B19">
        <v>5.431</v>
      </c>
      <c r="C19">
        <v>5.5129999999999999</v>
      </c>
      <c r="D19">
        <v>5.0609999999999999</v>
      </c>
      <c r="E19">
        <v>5.0830000000000002</v>
      </c>
      <c r="F19">
        <v>1696736.1</v>
      </c>
      <c r="G19">
        <v>5.0830000000000002</v>
      </c>
      <c r="L19" t="s">
        <v>8</v>
      </c>
      <c r="M19" t="s">
        <v>7</v>
      </c>
      <c r="N19" t="s">
        <v>7</v>
      </c>
      <c r="P19">
        <f t="shared" ref="P19" si="70">IF(C19=D19,0,((E19-D19)-(C19-E19))/(C19-D19))</f>
        <v>-0.90265486725663613</v>
      </c>
      <c r="Q19">
        <f t="shared" ref="Q19" si="71">F19*P19</f>
        <v>-1531567.0991150425</v>
      </c>
      <c r="R19">
        <f t="shared" ref="R19" si="72">R20+Q19</f>
        <v>2242746.1463130531</v>
      </c>
      <c r="S19">
        <f t="shared" ref="S19" si="73">R19/100000</f>
        <v>22.42746146313053</v>
      </c>
      <c r="T19">
        <f t="shared" ref="T19" si="74">S19/1000</f>
        <v>2.242746146313053E-2</v>
      </c>
    </row>
    <row r="20" spans="1:20" x14ac:dyDescent="0.25">
      <c r="A20" s="5">
        <v>44573</v>
      </c>
      <c r="B20">
        <v>5.0860000000000003</v>
      </c>
      <c r="C20">
        <v>5.484</v>
      </c>
      <c r="D20">
        <v>5.0460000000000003</v>
      </c>
      <c r="E20">
        <v>5.4359999999999999</v>
      </c>
      <c r="F20">
        <v>1272950.5</v>
      </c>
      <c r="G20">
        <v>5.4359999999999999</v>
      </c>
      <c r="L20" t="s">
        <v>8</v>
      </c>
      <c r="M20" t="s">
        <v>7</v>
      </c>
      <c r="N20" t="s">
        <v>7</v>
      </c>
      <c r="P20">
        <f t="shared" ref="P20" si="75">IF(C20=D20,0,((E20-D20)-(C20-E20))/(C20-D20))</f>
        <v>0.78082191780821886</v>
      </c>
      <c r="Q20">
        <f t="shared" ref="Q20" si="76">F20*P20</f>
        <v>993947.65068493108</v>
      </c>
      <c r="R20">
        <f t="shared" ref="R20" si="77">R21+Q20</f>
        <v>3774313.2454280956</v>
      </c>
      <c r="S20">
        <f t="shared" ref="S20" si="78">R20/100000</f>
        <v>37.743132454280953</v>
      </c>
      <c r="T20">
        <f t="shared" ref="T20" si="79">S20/1000</f>
        <v>3.7743132454280952E-2</v>
      </c>
    </row>
    <row r="21" spans="1:20" x14ac:dyDescent="0.25">
      <c r="A21" s="5">
        <v>44572</v>
      </c>
      <c r="B21">
        <v>4.8730000000000002</v>
      </c>
      <c r="C21">
        <v>5.1189999999999998</v>
      </c>
      <c r="D21">
        <v>4.8209999999999997</v>
      </c>
      <c r="E21">
        <v>5.0860000000000003</v>
      </c>
      <c r="F21">
        <v>1394075.9</v>
      </c>
      <c r="G21">
        <v>5.0860000000000003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0.77852348993288945</v>
      </c>
      <c r="Q21">
        <f t="shared" ref="Q21" si="81">F21*P21</f>
        <v>1085320.8348993338</v>
      </c>
      <c r="R21">
        <f t="shared" ref="R21" si="82">R22+Q21</f>
        <v>2780365.5947431643</v>
      </c>
      <c r="S21">
        <f t="shared" ref="S21" si="83">R21/100000</f>
        <v>27.803655947431643</v>
      </c>
      <c r="T21">
        <f t="shared" ref="T21" si="84">S21/1000</f>
        <v>2.7803655947431644E-2</v>
      </c>
    </row>
    <row r="22" spans="1:20" x14ac:dyDescent="0.25">
      <c r="A22" s="5">
        <v>44571</v>
      </c>
      <c r="B22">
        <v>5.0960000000000001</v>
      </c>
      <c r="C22">
        <v>5.1619999999999999</v>
      </c>
      <c r="D22">
        <v>4.6050000000000004</v>
      </c>
      <c r="E22">
        <v>4.87</v>
      </c>
      <c r="F22">
        <v>2380372.7000000002</v>
      </c>
      <c r="G22">
        <v>4.87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-4.8473967684021832E-2</v>
      </c>
      <c r="Q22">
        <f t="shared" ref="Q22" si="86">F22*P22</f>
        <v>-115386.1093357278</v>
      </c>
      <c r="R22">
        <f t="shared" ref="R22" si="87">R23+Q22</f>
        <v>1695044.7598438305</v>
      </c>
      <c r="S22">
        <f t="shared" ref="S22" si="88">R22/100000</f>
        <v>16.950447598438306</v>
      </c>
      <c r="T22">
        <f t="shared" ref="T22" si="89">S22/1000</f>
        <v>1.6950447598438306E-2</v>
      </c>
    </row>
    <row r="23" spans="1:20" x14ac:dyDescent="0.25">
      <c r="A23" s="5">
        <v>44570</v>
      </c>
      <c r="B23">
        <v>5.0190000000000001</v>
      </c>
      <c r="C23">
        <v>5.2670000000000003</v>
      </c>
      <c r="D23">
        <v>4.9669999999999996</v>
      </c>
      <c r="E23">
        <v>5.0940000000000003</v>
      </c>
      <c r="F23">
        <v>2195099.5</v>
      </c>
      <c r="G23">
        <v>5.0940000000000003</v>
      </c>
      <c r="L23" t="s">
        <v>7</v>
      </c>
      <c r="M23" t="s">
        <v>7</v>
      </c>
      <c r="N23" t="s">
        <v>7</v>
      </c>
      <c r="P23">
        <f t="shared" ref="P23" si="90">IF(C23=D23,0,((E23-D23)-(C23-E23))/(C23-D23))</f>
        <v>-0.15333333333333088</v>
      </c>
      <c r="Q23">
        <f t="shared" ref="Q23" si="91">F23*P23</f>
        <v>-336581.92333332793</v>
      </c>
      <c r="R23">
        <f t="shared" ref="R23" si="92">R24+Q23</f>
        <v>1810430.8691795582</v>
      </c>
      <c r="S23">
        <f t="shared" ref="S23" si="93">R23/100000</f>
        <v>18.104308691795584</v>
      </c>
      <c r="T23">
        <f t="shared" ref="T23" si="94">S23/1000</f>
        <v>1.8104308691795586E-2</v>
      </c>
    </row>
    <row r="24" spans="1:20" x14ac:dyDescent="0.25">
      <c r="A24" s="5">
        <v>44569</v>
      </c>
      <c r="B24">
        <v>5.4050000000000002</v>
      </c>
      <c r="C24">
        <v>5.6079999999999997</v>
      </c>
      <c r="D24">
        <v>4.907</v>
      </c>
      <c r="E24">
        <v>5.0229999999999997</v>
      </c>
      <c r="F24">
        <v>2498282.5</v>
      </c>
      <c r="G24">
        <v>5.0229999999999997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-0.66904422253923046</v>
      </c>
      <c r="Q24">
        <f t="shared" ref="Q24" si="96">F24*P24</f>
        <v>-1671461.4728958651</v>
      </c>
      <c r="R24">
        <f t="shared" ref="R24" si="97">R25+Q24</f>
        <v>2147012.7925128862</v>
      </c>
      <c r="S24">
        <f t="shared" ref="S24" si="98">R24/100000</f>
        <v>21.470127925128864</v>
      </c>
      <c r="T24">
        <f t="shared" ref="T24" si="99">S24/1000</f>
        <v>2.1470127925128864E-2</v>
      </c>
    </row>
    <row r="25" spans="1:20" x14ac:dyDescent="0.25">
      <c r="A25" s="5">
        <v>44568</v>
      </c>
      <c r="B25">
        <v>5.9560000000000004</v>
      </c>
      <c r="C25">
        <v>5.9829999999999997</v>
      </c>
      <c r="D25">
        <v>5.2530000000000001</v>
      </c>
      <c r="E25">
        <v>5.4020000000000001</v>
      </c>
      <c r="F25">
        <v>3440656.3</v>
      </c>
      <c r="G25">
        <v>5.4020000000000001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-0.5917808219178079</v>
      </c>
      <c r="Q25">
        <f t="shared" ref="Q25" si="101">F25*P25</f>
        <v>-2036114.4131506837</v>
      </c>
      <c r="R25">
        <f t="shared" ref="R25" si="102">R26+Q25</f>
        <v>3818474.2654087516</v>
      </c>
      <c r="S25">
        <f t="shared" ref="S25" si="103">R25/100000</f>
        <v>38.184742654087515</v>
      </c>
      <c r="T25">
        <f t="shared" ref="T25" si="104">S25/1000</f>
        <v>3.8184742654087514E-2</v>
      </c>
    </row>
    <row r="26" spans="1:20" x14ac:dyDescent="0.25">
      <c r="A26" s="5">
        <v>44567</v>
      </c>
      <c r="B26">
        <v>6.3639999999999999</v>
      </c>
      <c r="C26">
        <v>6.4249999999999998</v>
      </c>
      <c r="D26">
        <v>5.8330000000000002</v>
      </c>
      <c r="E26">
        <v>5.9530000000000003</v>
      </c>
      <c r="F26">
        <v>4057097.4</v>
      </c>
      <c r="G26">
        <v>5.9530000000000003</v>
      </c>
      <c r="L26" t="s">
        <v>7</v>
      </c>
      <c r="M26" t="s">
        <v>7</v>
      </c>
      <c r="N26" t="s">
        <v>8</v>
      </c>
      <c r="P26">
        <f t="shared" ref="P26" si="105">IF(C26=D26,0,((E26-D26)-(C26-E26))/(C26-D26))</f>
        <v>-0.59459459459459396</v>
      </c>
      <c r="Q26">
        <f t="shared" ref="Q26" si="106">F26*P26</f>
        <v>-2412328.1837837812</v>
      </c>
      <c r="R26">
        <f t="shared" ref="R26" si="107">R27+Q26</f>
        <v>5854588.6785594355</v>
      </c>
      <c r="S26">
        <f t="shared" ref="S26" si="108">R26/100000</f>
        <v>58.545886785594355</v>
      </c>
      <c r="T26">
        <f t="shared" ref="T26" si="109">S26/1000</f>
        <v>5.8545886785594352E-2</v>
      </c>
    </row>
    <row r="27" spans="1:20" x14ac:dyDescent="0.25">
      <c r="A27" s="5">
        <v>44566</v>
      </c>
      <c r="B27">
        <v>6.5919999999999996</v>
      </c>
      <c r="C27">
        <v>7.46</v>
      </c>
      <c r="D27">
        <v>5.95</v>
      </c>
      <c r="E27">
        <v>6.3730000000000002</v>
      </c>
      <c r="F27">
        <v>7308593.5</v>
      </c>
      <c r="G27">
        <v>6.3730000000000002</v>
      </c>
      <c r="L27" t="s">
        <v>8</v>
      </c>
      <c r="M27" t="s">
        <v>8</v>
      </c>
      <c r="N27" t="s">
        <v>8</v>
      </c>
      <c r="P27">
        <f t="shared" ref="P27" si="110">IF(C27=D27,0,((E27-D27)-(C27-E27))/(C27-D27))</f>
        <v>-0.43973509933774824</v>
      </c>
      <c r="Q27">
        <f t="shared" ref="Q27" si="111">F27*P27</f>
        <v>-3213845.0887417211</v>
      </c>
      <c r="R27">
        <f t="shared" ref="R27" si="112">R28+Q27</f>
        <v>8266916.8623432163</v>
      </c>
      <c r="S27">
        <f t="shared" ref="S27" si="113">R27/100000</f>
        <v>82.669168623432157</v>
      </c>
      <c r="T27">
        <f t="shared" ref="T27" si="114">S27/1000</f>
        <v>8.2669168623432154E-2</v>
      </c>
    </row>
    <row r="28" spans="1:20" x14ac:dyDescent="0.25">
      <c r="A28" s="5">
        <v>44565</v>
      </c>
      <c r="B28">
        <v>7.1760000000000002</v>
      </c>
      <c r="C28">
        <v>7.3360000000000003</v>
      </c>
      <c r="D28">
        <v>6.5590000000000002</v>
      </c>
      <c r="E28">
        <v>6.593</v>
      </c>
      <c r="F28">
        <v>6293988.7000000002</v>
      </c>
      <c r="G28">
        <v>6.593</v>
      </c>
      <c r="L28" t="s">
        <v>8</v>
      </c>
      <c r="M28" t="s">
        <v>8</v>
      </c>
      <c r="N28" t="s">
        <v>8</v>
      </c>
      <c r="P28">
        <f t="shared" ref="P28" si="115">IF(C28=D28,0,((E28-D28)-(C28-E28))/(C28-D28))</f>
        <v>-0.91248391248391303</v>
      </c>
      <c r="Q28">
        <f t="shared" ref="Q28" si="116">F28*P28</f>
        <v>-5743163.4341055378</v>
      </c>
      <c r="R28">
        <f t="shared" ref="R28" si="117">R29+Q28</f>
        <v>11480761.951084938</v>
      </c>
      <c r="S28">
        <f t="shared" ref="S28" si="118">R28/100000</f>
        <v>114.80761951084938</v>
      </c>
      <c r="T28">
        <f t="shared" ref="T28" si="119">S28/1000</f>
        <v>0.11480761951084938</v>
      </c>
    </row>
    <row r="29" spans="1:20" x14ac:dyDescent="0.25">
      <c r="A29" s="5">
        <v>44564</v>
      </c>
      <c r="B29">
        <v>6.2329999999999997</v>
      </c>
      <c r="C29">
        <v>7.2</v>
      </c>
      <c r="D29">
        <v>6.1070000000000002</v>
      </c>
      <c r="E29">
        <v>7.173</v>
      </c>
      <c r="F29">
        <v>5932225.2999999998</v>
      </c>
      <c r="G29">
        <v>7.173</v>
      </c>
      <c r="L29" t="s">
        <v>8</v>
      </c>
      <c r="M29" t="s">
        <v>8</v>
      </c>
      <c r="N29" t="s">
        <v>8</v>
      </c>
      <c r="P29">
        <f t="shared" ref="P29" si="120">IF(C29=D29,0,((E29-D29)-(C29-E29))/(C29-D29))</f>
        <v>0.95059469350411685</v>
      </c>
      <c r="Q29">
        <f t="shared" ref="Q29" si="121">F29*P29</f>
        <v>5639141.8908508671</v>
      </c>
      <c r="R29">
        <f t="shared" ref="R29" si="122">R30+Q29</f>
        <v>17223925.385190476</v>
      </c>
      <c r="S29">
        <f t="shared" ref="S29" si="123">R29/100000</f>
        <v>172.23925385190475</v>
      </c>
      <c r="T29">
        <f t="shared" ref="T29" si="124">S29/1000</f>
        <v>0.17223925385190475</v>
      </c>
    </row>
    <row r="30" spans="1:20" x14ac:dyDescent="0.25">
      <c r="A30" s="5">
        <v>44563</v>
      </c>
      <c r="B30">
        <v>5.9809999999999999</v>
      </c>
      <c r="C30">
        <v>6.3289999999999997</v>
      </c>
      <c r="D30">
        <v>5.8559999999999999</v>
      </c>
      <c r="E30">
        <v>6.2370000000000001</v>
      </c>
      <c r="F30">
        <v>2163613.2000000002</v>
      </c>
      <c r="G30">
        <v>6.2370000000000001</v>
      </c>
      <c r="L30" t="s">
        <v>8</v>
      </c>
      <c r="M30" t="s">
        <v>7</v>
      </c>
      <c r="N30" t="s">
        <v>8</v>
      </c>
      <c r="P30">
        <f t="shared" ref="P30" si="125">IF(C30=D30,0,((E30-D30)-(C30-E30))/(C30-D30))</f>
        <v>0.61099365750528678</v>
      </c>
      <c r="Q30">
        <f t="shared" ref="Q30" si="126">F30*P30</f>
        <v>1321953.9424947177</v>
      </c>
      <c r="R30">
        <f t="shared" ref="R30" si="127">R31+Q30</f>
        <v>11584783.494339608</v>
      </c>
      <c r="S30">
        <f t="shared" ref="S30" si="128">R30/100000</f>
        <v>115.84783494339608</v>
      </c>
      <c r="T30">
        <f t="shared" ref="T30" si="129">S30/1000</f>
        <v>0.11584783494339608</v>
      </c>
    </row>
    <row r="31" spans="1:20" x14ac:dyDescent="0.25">
      <c r="A31" s="5">
        <v>44562</v>
      </c>
      <c r="B31">
        <v>5.4889999999999999</v>
      </c>
      <c r="C31">
        <v>6.024</v>
      </c>
      <c r="D31">
        <v>5.4850000000000003</v>
      </c>
      <c r="E31">
        <v>5.9809999999999999</v>
      </c>
      <c r="F31">
        <v>1720983.5</v>
      </c>
      <c r="G31">
        <v>5.9809999999999999</v>
      </c>
      <c r="L31" t="s">
        <v>8</v>
      </c>
      <c r="M31" t="s">
        <v>7</v>
      </c>
      <c r="N31" t="s">
        <v>8</v>
      </c>
      <c r="P31">
        <f t="shared" ref="P31" si="130">IF(C31=D31,0,((E31-D31)-(C31-E31))/(C31-D31))</f>
        <v>0.84044526901669692</v>
      </c>
      <c r="Q31">
        <f t="shared" ref="Q31" si="131">F31*P31</f>
        <v>1446392.4406307966</v>
      </c>
      <c r="R31">
        <f t="shared" ref="R31" si="132">R32+Q31</f>
        <v>10262829.551844889</v>
      </c>
      <c r="S31">
        <f t="shared" ref="S31" si="133">R31/100000</f>
        <v>102.62829551844889</v>
      </c>
      <c r="T31">
        <f t="shared" ref="T31" si="134">S31/1000</f>
        <v>0.10262829551844889</v>
      </c>
    </row>
    <row r="32" spans="1:20" x14ac:dyDescent="0.25">
      <c r="A32" s="5">
        <v>44561</v>
      </c>
      <c r="B32">
        <v>5.5449999999999999</v>
      </c>
      <c r="C32">
        <v>5.8140000000000001</v>
      </c>
      <c r="D32">
        <v>5.3380000000000001</v>
      </c>
      <c r="E32">
        <v>5.4850000000000003</v>
      </c>
      <c r="F32">
        <v>1971216.8</v>
      </c>
      <c r="G32">
        <v>5.4850000000000003</v>
      </c>
      <c r="L32" t="s">
        <v>8</v>
      </c>
      <c r="M32" t="s">
        <v>7</v>
      </c>
      <c r="N32" t="s">
        <v>8</v>
      </c>
      <c r="P32">
        <f t="shared" ref="P32" si="135">IF(C32=D32,0,((E32-D32)-(C32-E32))/(C32-D32))</f>
        <v>-0.38235294117646956</v>
      </c>
      <c r="Q32">
        <f t="shared" ref="Q32" si="136">F32*P32</f>
        <v>-753700.5411764686</v>
      </c>
      <c r="R32">
        <f t="shared" ref="R32" si="137">R33+Q32</f>
        <v>8816437.111214092</v>
      </c>
      <c r="S32">
        <f t="shared" ref="S32" si="138">R32/100000</f>
        <v>88.164371112140927</v>
      </c>
      <c r="T32">
        <f t="shared" ref="T32" si="139">S32/1000</f>
        <v>8.8164371112140927E-2</v>
      </c>
    </row>
    <row r="33" spans="1:20" x14ac:dyDescent="0.25">
      <c r="A33" s="5">
        <v>44560</v>
      </c>
      <c r="B33">
        <v>5.4480000000000004</v>
      </c>
      <c r="C33">
        <v>5.62</v>
      </c>
      <c r="D33">
        <v>5.2809999999999997</v>
      </c>
      <c r="E33">
        <v>5.55</v>
      </c>
      <c r="F33">
        <v>1779866.2</v>
      </c>
      <c r="G33">
        <v>5.55</v>
      </c>
      <c r="L33" t="s">
        <v>7</v>
      </c>
      <c r="M33" t="s">
        <v>7</v>
      </c>
      <c r="N33" t="s">
        <v>8</v>
      </c>
      <c r="P33">
        <f t="shared" ref="P33" si="140">IF(C33=D33,0,((E33-D33)-(C33-E33))/(C33-D33))</f>
        <v>0.58702064896755046</v>
      </c>
      <c r="Q33">
        <f t="shared" ref="Q33" si="141">F33*P33</f>
        <v>1044818.211799408</v>
      </c>
      <c r="R33">
        <f t="shared" ref="R33" si="142">R34+Q33</f>
        <v>9570137.6523905601</v>
      </c>
      <c r="S33">
        <f t="shared" ref="S33" si="143">R33/100000</f>
        <v>95.701376523905608</v>
      </c>
      <c r="T33">
        <f t="shared" ref="T33" si="144">S33/1000</f>
        <v>9.5701376523905604E-2</v>
      </c>
    </row>
    <row r="34" spans="1:20" x14ac:dyDescent="0.25">
      <c r="A34" s="5">
        <v>44559</v>
      </c>
      <c r="B34">
        <v>5.8449999999999998</v>
      </c>
      <c r="C34">
        <v>6.08</v>
      </c>
      <c r="D34">
        <v>5.37</v>
      </c>
      <c r="E34">
        <v>5.4470000000000001</v>
      </c>
      <c r="F34">
        <v>3332501.7</v>
      </c>
      <c r="G34">
        <v>5.4470000000000001</v>
      </c>
      <c r="L34" t="s">
        <v>7</v>
      </c>
      <c r="M34" t="s">
        <v>7</v>
      </c>
      <c r="N34" t="s">
        <v>8</v>
      </c>
      <c r="P34">
        <f t="shared" ref="P34" si="145">IF(C34=D34,0,((E34-D34)-(C34-E34))/(C34-D34))</f>
        <v>-0.78309859154929584</v>
      </c>
      <c r="Q34">
        <f t="shared" ref="Q34" si="146">F34*P34</f>
        <v>-2609677.3876056341</v>
      </c>
      <c r="R34">
        <f t="shared" ref="R34" si="147">R35+Q34</f>
        <v>8525319.4405911528</v>
      </c>
      <c r="S34">
        <f t="shared" ref="S34" si="148">R34/100000</f>
        <v>85.253194405911529</v>
      </c>
      <c r="T34">
        <f t="shared" ref="T34" si="149">S34/1000</f>
        <v>8.5253194405911531E-2</v>
      </c>
    </row>
    <row r="35" spans="1:20" x14ac:dyDescent="0.25">
      <c r="A35" s="5">
        <v>44558</v>
      </c>
      <c r="B35">
        <v>6.4379999999999997</v>
      </c>
      <c r="C35">
        <v>6.4459999999999997</v>
      </c>
      <c r="D35">
        <v>5.7409999999999997</v>
      </c>
      <c r="E35">
        <v>5.8419999999999996</v>
      </c>
      <c r="F35">
        <v>3984317.5</v>
      </c>
      <c r="G35">
        <v>5.8419999999999996</v>
      </c>
      <c r="L35" t="s">
        <v>7</v>
      </c>
      <c r="M35" t="s">
        <v>7</v>
      </c>
      <c r="N35" t="s">
        <v>8</v>
      </c>
      <c r="P35">
        <f t="shared" ref="P35" si="150">IF(C35=D35,0,((E35-D35)-(C35-E35))/(C35-D35))</f>
        <v>-0.71347517730496468</v>
      </c>
      <c r="Q35">
        <f t="shared" ref="Q35" si="151">F35*P35</f>
        <v>-2842711.6347517734</v>
      </c>
      <c r="R35">
        <f t="shared" ref="R35" si="152">R36+Q35</f>
        <v>11134996.828196786</v>
      </c>
      <c r="S35">
        <f t="shared" ref="S35" si="153">R35/100000</f>
        <v>111.34996828196786</v>
      </c>
      <c r="T35">
        <f t="shared" ref="T35" si="154">S35/1000</f>
        <v>0.11134996828196786</v>
      </c>
    </row>
    <row r="36" spans="1:20" x14ac:dyDescent="0.25">
      <c r="A36" s="5">
        <v>44557</v>
      </c>
      <c r="B36">
        <v>6.2370000000000001</v>
      </c>
      <c r="C36">
        <v>6.81</v>
      </c>
      <c r="D36">
        <v>6.1580000000000004</v>
      </c>
      <c r="E36">
        <v>6.444</v>
      </c>
      <c r="F36">
        <v>3325913.6</v>
      </c>
      <c r="G36">
        <v>6.444</v>
      </c>
      <c r="L36" t="s">
        <v>8</v>
      </c>
      <c r="M36" t="s">
        <v>8</v>
      </c>
      <c r="N36" t="s">
        <v>8</v>
      </c>
      <c r="P36">
        <f t="shared" ref="P36" si="155">IF(C36=D36,0,((E36-D36)-(C36-E36))/(C36-D36))</f>
        <v>-0.12269938650306773</v>
      </c>
      <c r="Q36">
        <f t="shared" ref="Q36" si="156">F36*P36</f>
        <v>-408087.55828220944</v>
      </c>
      <c r="R36">
        <f t="shared" ref="R36" si="157">R37+Q36</f>
        <v>13977708.462948561</v>
      </c>
      <c r="S36">
        <f t="shared" ref="S36" si="158">R36/100000</f>
        <v>139.77708462948561</v>
      </c>
      <c r="T36">
        <f t="shared" ref="T36" si="159">S36/1000</f>
        <v>0.13977708462948563</v>
      </c>
    </row>
    <row r="37" spans="1:20" x14ac:dyDescent="0.25">
      <c r="A37" s="5">
        <v>44556</v>
      </c>
      <c r="B37">
        <v>5.8769999999999998</v>
      </c>
      <c r="C37">
        <v>6.4580000000000002</v>
      </c>
      <c r="D37">
        <v>5.5419999999999998</v>
      </c>
      <c r="E37">
        <v>6.2309999999999999</v>
      </c>
      <c r="F37">
        <v>3374230</v>
      </c>
      <c r="G37">
        <v>6.2309999999999999</v>
      </c>
      <c r="L37" t="s">
        <v>7</v>
      </c>
      <c r="M37" t="s">
        <v>8</v>
      </c>
      <c r="N37" t="s">
        <v>8</v>
      </c>
      <c r="P37">
        <f t="shared" ref="P37" si="160">IF(C37=D37,0,((E37-D37)-(C37-E37))/(C37-D37))</f>
        <v>0.5043668122270738</v>
      </c>
      <c r="Q37">
        <f t="shared" ref="Q37" si="161">F37*P37</f>
        <v>1701849.6288209592</v>
      </c>
      <c r="R37">
        <f t="shared" ref="R37" si="162">R38+Q37</f>
        <v>14385796.02123077</v>
      </c>
      <c r="S37">
        <f t="shared" ref="S37" si="163">R37/100000</f>
        <v>143.85796021230772</v>
      </c>
      <c r="T37">
        <f t="shared" ref="T37" si="164">S37/1000</f>
        <v>0.14385796021230771</v>
      </c>
    </row>
    <row r="38" spans="1:20" x14ac:dyDescent="0.25">
      <c r="A38" s="5">
        <v>44555</v>
      </c>
      <c r="B38">
        <v>5.7220000000000004</v>
      </c>
      <c r="C38">
        <v>5.92</v>
      </c>
      <c r="D38">
        <v>5.68</v>
      </c>
      <c r="E38">
        <v>5.8780000000000001</v>
      </c>
      <c r="F38">
        <v>1665331.1</v>
      </c>
      <c r="G38">
        <v>5.8780000000000001</v>
      </c>
      <c r="L38" t="s">
        <v>7</v>
      </c>
      <c r="M38" t="s">
        <v>8</v>
      </c>
      <c r="N38" t="s">
        <v>8</v>
      </c>
      <c r="P38">
        <f t="shared" ref="P38" si="165">IF(C38=D38,0,((E38-D38)-(C38-E38))/(C38-D38))</f>
        <v>0.6500000000000018</v>
      </c>
      <c r="Q38">
        <f t="shared" ref="Q38" si="166">F38*P38</f>
        <v>1082465.2150000031</v>
      </c>
      <c r="R38">
        <f t="shared" ref="R38" si="167">R39+Q38</f>
        <v>12683946.392409811</v>
      </c>
      <c r="S38">
        <f t="shared" ref="S38" si="168">R38/100000</f>
        <v>126.83946392409811</v>
      </c>
      <c r="T38">
        <f t="shared" ref="T38" si="169">S38/1000</f>
        <v>0.12683946392409812</v>
      </c>
    </row>
    <row r="39" spans="1:20" x14ac:dyDescent="0.25">
      <c r="A39" s="5">
        <v>44554</v>
      </c>
      <c r="B39">
        <v>6.0819999999999999</v>
      </c>
      <c r="C39">
        <v>6.3339999999999996</v>
      </c>
      <c r="D39">
        <v>5.65</v>
      </c>
      <c r="E39">
        <v>5.7210000000000001</v>
      </c>
      <c r="F39">
        <v>2815104.7</v>
      </c>
      <c r="G39">
        <v>5.7210000000000001</v>
      </c>
      <c r="L39" t="s">
        <v>8</v>
      </c>
      <c r="M39" t="s">
        <v>8</v>
      </c>
      <c r="N39" t="s">
        <v>8</v>
      </c>
      <c r="P39">
        <f t="shared" ref="P39" si="170">IF(C39=D39,0,((E39-D39)-(C39-E39))/(C39-D39))</f>
        <v>-0.79239766081871399</v>
      </c>
      <c r="Q39">
        <f t="shared" ref="Q39" si="171">F39*P39</f>
        <v>-2230682.3792397678</v>
      </c>
      <c r="R39">
        <f t="shared" ref="R39" si="172">R40+Q39</f>
        <v>11601481.177409807</v>
      </c>
      <c r="S39">
        <f t="shared" ref="S39" si="173">R39/100000</f>
        <v>116.01481177409808</v>
      </c>
      <c r="T39">
        <f t="shared" ref="T39" si="174">S39/1000</f>
        <v>0.11601481177409807</v>
      </c>
    </row>
    <row r="40" spans="1:20" x14ac:dyDescent="0.25">
      <c r="A40" s="5">
        <v>44553</v>
      </c>
      <c r="B40">
        <v>5.5220000000000002</v>
      </c>
      <c r="C40">
        <v>6.2619999999999996</v>
      </c>
      <c r="D40">
        <v>5.4409999999999998</v>
      </c>
      <c r="E40">
        <v>6.0819999999999999</v>
      </c>
      <c r="F40">
        <v>3559145.6</v>
      </c>
      <c r="G40">
        <v>6.0819999999999999</v>
      </c>
      <c r="L40" t="s">
        <v>8</v>
      </c>
      <c r="M40" t="s">
        <v>8</v>
      </c>
      <c r="N40" t="s">
        <v>8</v>
      </c>
      <c r="P40">
        <f t="shared" ref="P40" si="175">IF(C40=D40,0,((E40-D40)-(C40-E40))/(C40-D40))</f>
        <v>0.56151035322777154</v>
      </c>
      <c r="Q40">
        <f t="shared" ref="Q40" si="176">F40*P40</f>
        <v>1998497.1030450689</v>
      </c>
      <c r="R40">
        <f t="shared" ref="R40" si="177">R41+Q40</f>
        <v>13832163.556649575</v>
      </c>
      <c r="S40">
        <f t="shared" ref="S40" si="178">R40/100000</f>
        <v>138.32163556649576</v>
      </c>
      <c r="T40">
        <f t="shared" ref="T40" si="179">S40/1000</f>
        <v>0.13832163556649577</v>
      </c>
    </row>
    <row r="41" spans="1:20" x14ac:dyDescent="0.25">
      <c r="A41" s="5">
        <v>44552</v>
      </c>
      <c r="B41">
        <v>5.3540000000000001</v>
      </c>
      <c r="C41">
        <v>5.7960000000000003</v>
      </c>
      <c r="D41">
        <v>5.2770000000000001</v>
      </c>
      <c r="E41">
        <v>5.52</v>
      </c>
      <c r="F41">
        <v>2429882.2000000002</v>
      </c>
      <c r="G41">
        <v>5.52</v>
      </c>
      <c r="L41" t="s">
        <v>8</v>
      </c>
      <c r="M41" t="s">
        <v>8</v>
      </c>
      <c r="N41" t="s">
        <v>8</v>
      </c>
      <c r="P41">
        <f t="shared" ref="P41" si="180">IF(C41=D41,0,((E41-D41)-(C41-E41))/(C41-D41))</f>
        <v>-6.3583815028904131E-2</v>
      </c>
      <c r="Q41">
        <f t="shared" ref="Q41" si="181">F41*P41</f>
        <v>-154501.18034682664</v>
      </c>
      <c r="R41">
        <f t="shared" ref="R41" si="182">R42+Q41</f>
        <v>11833666.453604506</v>
      </c>
      <c r="S41">
        <f t="shared" ref="S41" si="183">R41/100000</f>
        <v>118.33666453604506</v>
      </c>
      <c r="T41">
        <f t="shared" ref="T41" si="184">S41/1000</f>
        <v>0.11833666453604506</v>
      </c>
    </row>
    <row r="42" spans="1:20" x14ac:dyDescent="0.25">
      <c r="A42" s="5">
        <v>44551</v>
      </c>
      <c r="B42">
        <v>5.1159999999999997</v>
      </c>
      <c r="C42">
        <v>5.4</v>
      </c>
      <c r="D42">
        <v>5.0780000000000003</v>
      </c>
      <c r="E42">
        <v>5.3529999999999998</v>
      </c>
      <c r="F42">
        <v>1433908.1</v>
      </c>
      <c r="G42">
        <v>5.3529999999999998</v>
      </c>
      <c r="L42" t="s">
        <v>8</v>
      </c>
      <c r="M42" t="s">
        <v>8</v>
      </c>
      <c r="N42" t="s">
        <v>8</v>
      </c>
      <c r="P42">
        <f t="shared" ref="P42" si="185">IF(C42=D42,0,((E42-D42)-(C42-E42))/(C42-D42))</f>
        <v>0.70807453416148702</v>
      </c>
      <c r="Q42">
        <f t="shared" ref="Q42" si="186">F42*P42</f>
        <v>1015313.8099378831</v>
      </c>
      <c r="R42">
        <f t="shared" ref="R42" si="187">R43+Q42</f>
        <v>11988167.633951332</v>
      </c>
      <c r="S42">
        <f t="shared" ref="S42" si="188">R42/100000</f>
        <v>119.88167633951332</v>
      </c>
      <c r="T42">
        <f t="shared" ref="T42" si="189">S42/1000</f>
        <v>0.11988167633951331</v>
      </c>
    </row>
    <row r="43" spans="1:20" x14ac:dyDescent="0.25">
      <c r="A43" s="5">
        <v>44550</v>
      </c>
      <c r="B43">
        <v>5.2009999999999996</v>
      </c>
      <c r="C43">
        <v>5.2119999999999997</v>
      </c>
      <c r="D43">
        <v>4.8019999999999996</v>
      </c>
      <c r="E43">
        <v>5.1139999999999999</v>
      </c>
      <c r="F43">
        <v>1848740.4</v>
      </c>
      <c r="G43">
        <v>5.1139999999999999</v>
      </c>
      <c r="L43" t="s">
        <v>7</v>
      </c>
      <c r="M43" t="s">
        <v>8</v>
      </c>
      <c r="N43" t="s">
        <v>8</v>
      </c>
      <c r="P43">
        <f t="shared" ref="P43" si="190">IF(C43=D43,0,((E43-D43)-(C43-E43))/(C43-D43))</f>
        <v>0.52195121951219592</v>
      </c>
      <c r="Q43">
        <f t="shared" ref="Q43" si="191">F43*P43</f>
        <v>964952.30634146486</v>
      </c>
      <c r="R43">
        <f t="shared" ref="R43" si="192">R44+Q43</f>
        <v>10972853.824013449</v>
      </c>
      <c r="S43">
        <f t="shared" ref="S43" si="193">R43/100000</f>
        <v>109.7285382401345</v>
      </c>
      <c r="T43">
        <f t="shared" ref="T43" si="194">S43/1000</f>
        <v>0.1097285382401345</v>
      </c>
    </row>
    <row r="44" spans="1:20" x14ac:dyDescent="0.25">
      <c r="A44" s="5">
        <v>44549</v>
      </c>
      <c r="B44">
        <v>5.1890000000000001</v>
      </c>
      <c r="C44">
        <v>5.5</v>
      </c>
      <c r="D44">
        <v>5.1150000000000002</v>
      </c>
      <c r="E44">
        <v>5.2009999999999996</v>
      </c>
      <c r="F44">
        <v>1731404.2</v>
      </c>
      <c r="G44">
        <v>5.2009999999999996</v>
      </c>
      <c r="L44" t="s">
        <v>7</v>
      </c>
      <c r="M44" t="s">
        <v>8</v>
      </c>
      <c r="N44" t="s">
        <v>8</v>
      </c>
      <c r="P44">
        <f t="shared" ref="P44" si="195">IF(C44=D44,0,((E44-D44)-(C44-E44))/(C44-D44))</f>
        <v>-0.5532467532467561</v>
      </c>
      <c r="Q44">
        <f t="shared" ref="Q44" si="196">F44*P44</f>
        <v>-957893.75220779714</v>
      </c>
      <c r="R44">
        <f t="shared" ref="R44" si="197">R45+Q44</f>
        <v>10007901.517671984</v>
      </c>
      <c r="S44">
        <f t="shared" ref="S44" si="198">R44/100000</f>
        <v>100.07901517671984</v>
      </c>
      <c r="T44">
        <f t="shared" ref="T44" si="199">S44/1000</f>
        <v>0.10007901517671984</v>
      </c>
    </row>
    <row r="45" spans="1:20" x14ac:dyDescent="0.25">
      <c r="A45" s="5">
        <v>44548</v>
      </c>
      <c r="B45">
        <v>5.0990000000000002</v>
      </c>
      <c r="C45">
        <v>5.5270000000000001</v>
      </c>
      <c r="D45">
        <v>4.9989999999999997</v>
      </c>
      <c r="E45">
        <v>5.19</v>
      </c>
      <c r="F45">
        <v>3397043.8</v>
      </c>
      <c r="G45">
        <v>5.19</v>
      </c>
      <c r="L45" t="s">
        <v>8</v>
      </c>
      <c r="M45" t="s">
        <v>8</v>
      </c>
      <c r="N45" t="s">
        <v>8</v>
      </c>
      <c r="P45">
        <f t="shared" ref="P45" si="200">IF(C45=D45,0,((E45-D45)-(C45-E45))/(C45-D45))</f>
        <v>-0.27651515151514944</v>
      </c>
      <c r="Q45">
        <f t="shared" ref="Q45" si="201">F45*P45</f>
        <v>-939334.08106059895</v>
      </c>
      <c r="R45">
        <f t="shared" ref="R45" si="202">R46+Q45</f>
        <v>10965795.269879781</v>
      </c>
      <c r="S45">
        <f t="shared" ref="S45" si="203">R45/100000</f>
        <v>109.65795269879781</v>
      </c>
      <c r="T45">
        <f t="shared" ref="T45" si="204">S45/1000</f>
        <v>0.10965795269879781</v>
      </c>
    </row>
    <row r="46" spans="1:20" x14ac:dyDescent="0.25">
      <c r="A46" s="5">
        <v>44547</v>
      </c>
      <c r="B46">
        <v>5.0389999999999997</v>
      </c>
      <c r="C46">
        <v>5.1180000000000003</v>
      </c>
      <c r="D46">
        <v>4.7489999999999997</v>
      </c>
      <c r="E46">
        <v>5.0990000000000002</v>
      </c>
      <c r="F46">
        <v>2459438.6</v>
      </c>
      <c r="G46">
        <v>5.0990000000000002</v>
      </c>
      <c r="L46" t="s">
        <v>7</v>
      </c>
      <c r="M46" t="s">
        <v>7</v>
      </c>
      <c r="N46" t="s">
        <v>8</v>
      </c>
      <c r="P46">
        <f t="shared" ref="P46" si="205">IF(C46=D46,0,((E46-D46)-(C46-E46))/(C46-D46))</f>
        <v>0.89701897018970134</v>
      </c>
      <c r="Q46">
        <f t="shared" ref="Q46" si="206">F46*P46</f>
        <v>2206163.0802168008</v>
      </c>
      <c r="R46">
        <f t="shared" ref="R46" si="207">R47+Q46</f>
        <v>11905129.35094038</v>
      </c>
      <c r="S46">
        <f t="shared" ref="S46" si="208">R46/100000</f>
        <v>119.05129350940381</v>
      </c>
      <c r="T46">
        <f t="shared" ref="T46" si="209">S46/1000</f>
        <v>0.1190512935094038</v>
      </c>
    </row>
    <row r="47" spans="1:20" x14ac:dyDescent="0.25">
      <c r="A47" s="5">
        <v>44546</v>
      </c>
      <c r="B47">
        <v>5.2089999999999996</v>
      </c>
      <c r="C47">
        <v>5.2969999999999997</v>
      </c>
      <c r="D47">
        <v>5.0149999999999997</v>
      </c>
      <c r="E47">
        <v>5.0380000000000003</v>
      </c>
      <c r="F47">
        <v>1481395.8</v>
      </c>
      <c r="G47">
        <v>5.0380000000000003</v>
      </c>
      <c r="L47" t="s">
        <v>8</v>
      </c>
      <c r="M47" t="s">
        <v>7</v>
      </c>
      <c r="N47" t="s">
        <v>8</v>
      </c>
      <c r="P47">
        <f t="shared" ref="P47" si="210">IF(C47=D47,0,((E47-D47)-(C47-E47))/(C47-D47))</f>
        <v>-0.83687943262410946</v>
      </c>
      <c r="Q47">
        <f t="shared" ref="Q47" si="211">F47*P47</f>
        <v>-1239749.6765957389</v>
      </c>
      <c r="R47">
        <f t="shared" ref="R47" si="212">R48+Q47</f>
        <v>9698966.2707235795</v>
      </c>
      <c r="S47">
        <f t="shared" ref="S47" si="213">R47/100000</f>
        <v>96.989662707235794</v>
      </c>
      <c r="T47">
        <f t="shared" ref="T47" si="214">S47/1000</f>
        <v>9.6989662707235788E-2</v>
      </c>
    </row>
    <row r="48" spans="1:20" x14ac:dyDescent="0.25">
      <c r="A48" s="5">
        <v>44545</v>
      </c>
      <c r="B48">
        <v>5.069</v>
      </c>
      <c r="C48">
        <v>5.32</v>
      </c>
      <c r="D48">
        <v>4.774</v>
      </c>
      <c r="E48">
        <v>5.2050000000000001</v>
      </c>
      <c r="F48">
        <v>2221615.7000000002</v>
      </c>
      <c r="G48">
        <v>5.2050000000000001</v>
      </c>
      <c r="L48" t="s">
        <v>8</v>
      </c>
      <c r="M48" t="s">
        <v>7</v>
      </c>
      <c r="N48" t="s">
        <v>8</v>
      </c>
      <c r="P48">
        <f t="shared" ref="P48" si="215">IF(C48=D48,0,((E48-D48)-(C48-E48))/(C48-D48))</f>
        <v>0.57875457875457814</v>
      </c>
      <c r="Q48">
        <f t="shared" ref="Q48" si="216">F48*P48</f>
        <v>1285770.2586080574</v>
      </c>
      <c r="R48">
        <f t="shared" ref="R48" si="217">R49+Q48</f>
        <v>10938715.947319318</v>
      </c>
      <c r="S48">
        <f t="shared" ref="S48" si="218">R48/100000</f>
        <v>109.38715947319318</v>
      </c>
      <c r="T48">
        <f t="shared" ref="T48" si="219">S48/1000</f>
        <v>0.10938715947319318</v>
      </c>
    </row>
    <row r="49" spans="1:20" x14ac:dyDescent="0.25">
      <c r="A49" s="5">
        <v>44544</v>
      </c>
      <c r="B49">
        <v>4.9059999999999997</v>
      </c>
      <c r="C49">
        <v>5.1790000000000003</v>
      </c>
      <c r="D49">
        <v>4.8109999999999999</v>
      </c>
      <c r="E49">
        <v>5.0709999999999997</v>
      </c>
      <c r="F49">
        <v>1926903.2</v>
      </c>
      <c r="G49">
        <v>5.0709999999999997</v>
      </c>
      <c r="L49" t="s">
        <v>8</v>
      </c>
      <c r="M49" t="s">
        <v>7</v>
      </c>
      <c r="N49" t="s">
        <v>8</v>
      </c>
      <c r="P49">
        <f t="shared" ref="P49" si="220">IF(C49=D49,0,((E49-D49)-(C49-E49))/(C49-D49))</f>
        <v>0.41304347826086713</v>
      </c>
      <c r="Q49">
        <f t="shared" ref="Q49" si="221">F49*P49</f>
        <v>795894.79999999527</v>
      </c>
      <c r="R49">
        <f t="shared" ref="R49" si="222">R50+Q49</f>
        <v>9652945.6887112595</v>
      </c>
      <c r="S49">
        <f t="shared" ref="S49" si="223">R49/100000</f>
        <v>96.529456887112602</v>
      </c>
      <c r="T49">
        <f t="shared" ref="T49" si="224">S49/1000</f>
        <v>9.6529456887112605E-2</v>
      </c>
    </row>
    <row r="50" spans="1:20" x14ac:dyDescent="0.25">
      <c r="A50" s="5">
        <v>44543</v>
      </c>
      <c r="B50">
        <v>5.524</v>
      </c>
      <c r="C50">
        <v>5.5709999999999997</v>
      </c>
      <c r="D50">
        <v>4.7530000000000001</v>
      </c>
      <c r="E50">
        <v>4.9050000000000002</v>
      </c>
      <c r="F50">
        <v>2436810.7999999998</v>
      </c>
      <c r="G50">
        <v>4.9050000000000002</v>
      </c>
      <c r="L50" t="s">
        <v>7</v>
      </c>
      <c r="M50" t="s">
        <v>7</v>
      </c>
      <c r="N50" t="s">
        <v>8</v>
      </c>
      <c r="P50">
        <f t="shared" ref="P50" si="225">IF(C50=D50,0,((E50-D50)-(C50-E50))/(C50-D50))</f>
        <v>-0.62836185819070856</v>
      </c>
      <c r="Q50">
        <f t="shared" ref="Q50" si="226">F50*P50</f>
        <v>-1531198.9623471869</v>
      </c>
      <c r="R50">
        <f t="shared" ref="R50" si="227">R51+Q50</f>
        <v>8857050.8887112644</v>
      </c>
      <c r="S50">
        <f t="shared" ref="S50" si="228">R50/100000</f>
        <v>88.570508887112638</v>
      </c>
      <c r="T50">
        <f t="shared" ref="T50" si="229">S50/1000</f>
        <v>8.8570508887112639E-2</v>
      </c>
    </row>
    <row r="51" spans="1:20" x14ac:dyDescent="0.25">
      <c r="A51" s="5">
        <v>44542</v>
      </c>
      <c r="B51">
        <v>5.6680000000000001</v>
      </c>
      <c r="C51">
        <v>5.7880000000000003</v>
      </c>
      <c r="D51">
        <v>5.2240000000000002</v>
      </c>
      <c r="E51">
        <v>5.5250000000000004</v>
      </c>
      <c r="F51">
        <v>2510599.7000000002</v>
      </c>
      <c r="G51">
        <v>5.5250000000000004</v>
      </c>
      <c r="L51" t="s">
        <v>8</v>
      </c>
      <c r="M51" t="s">
        <v>7</v>
      </c>
      <c r="N51" t="s">
        <v>8</v>
      </c>
      <c r="P51">
        <f t="shared" ref="P51" si="230">IF(C51=D51,0,((E51-D51)-(C51-E51))/(C51-D51))</f>
        <v>6.7375886524823139E-2</v>
      </c>
      <c r="Q51">
        <f t="shared" ref="Q51" si="231">F51*P51</f>
        <v>169153.88049645504</v>
      </c>
      <c r="R51">
        <f t="shared" ref="R51" si="232">R52+Q51</f>
        <v>10388249.851058451</v>
      </c>
      <c r="S51">
        <f t="shared" ref="S51" si="233">R51/100000</f>
        <v>103.88249851058451</v>
      </c>
      <c r="T51">
        <f t="shared" ref="T51" si="234">S51/1000</f>
        <v>0.10388249851058451</v>
      </c>
    </row>
    <row r="52" spans="1:20" x14ac:dyDescent="0.25">
      <c r="A52" s="5">
        <v>44541</v>
      </c>
      <c r="B52">
        <v>5.2969999999999997</v>
      </c>
      <c r="C52">
        <v>5.3869999999999996</v>
      </c>
      <c r="D52">
        <v>5.2050000000000001</v>
      </c>
      <c r="E52">
        <v>5.3559999999999999</v>
      </c>
      <c r="F52">
        <v>101245.2</v>
      </c>
      <c r="G52">
        <v>5.3559999999999999</v>
      </c>
      <c r="L52" t="s">
        <v>7</v>
      </c>
      <c r="M52" t="s">
        <v>7</v>
      </c>
      <c r="N52" t="s">
        <v>8</v>
      </c>
      <c r="P52">
        <f t="shared" ref="P52" si="235">IF(C52=D52,0,((E52-D52)-(C52-E52))/(C52-D52))</f>
        <v>0.65934065934066177</v>
      </c>
      <c r="Q52">
        <f t="shared" ref="Q52" si="236">F52*P52</f>
        <v>66755.076923077169</v>
      </c>
      <c r="R52">
        <f t="shared" ref="R52" si="237">R53+Q52</f>
        <v>10219095.970561996</v>
      </c>
      <c r="S52">
        <f t="shared" ref="S52" si="238">R52/100000</f>
        <v>102.19095970561996</v>
      </c>
      <c r="T52">
        <f t="shared" ref="T52" si="239">S52/1000</f>
        <v>0.10219095970561996</v>
      </c>
    </row>
    <row r="53" spans="1:20" x14ac:dyDescent="0.25">
      <c r="A53" s="5">
        <v>44540</v>
      </c>
      <c r="B53">
        <v>5.5469999999999997</v>
      </c>
      <c r="C53">
        <v>5.8680000000000003</v>
      </c>
      <c r="D53">
        <v>5.2670000000000003</v>
      </c>
      <c r="E53">
        <v>5.3019999999999996</v>
      </c>
      <c r="F53">
        <v>1627404.1</v>
      </c>
      <c r="G53">
        <v>5.3019999999999996</v>
      </c>
      <c r="L53" t="s">
        <v>7</v>
      </c>
      <c r="M53" t="s">
        <v>8</v>
      </c>
      <c r="N53" t="s">
        <v>8</v>
      </c>
      <c r="P53">
        <f t="shared" ref="P53" si="240">IF(C53=D53,0,((E53-D53)-(C53-E53))/(C53-D53))</f>
        <v>-0.88352745424293089</v>
      </c>
      <c r="Q53">
        <f t="shared" ref="Q53" si="241">F53*P53</f>
        <v>-1437856.2014975082</v>
      </c>
      <c r="R53">
        <f t="shared" ref="R53" si="242">R54+Q53</f>
        <v>10152340.893638918</v>
      </c>
      <c r="S53">
        <f t="shared" ref="S53" si="243">R53/100000</f>
        <v>101.52340893638919</v>
      </c>
      <c r="T53">
        <f t="shared" ref="T53" si="244">S53/1000</f>
        <v>0.10152340893638918</v>
      </c>
    </row>
    <row r="54" spans="1:20" x14ac:dyDescent="0.25">
      <c r="A54" s="5">
        <v>44539</v>
      </c>
      <c r="B54">
        <v>6.2539999999999996</v>
      </c>
      <c r="C54">
        <v>6.3019999999999996</v>
      </c>
      <c r="D54">
        <v>5.54</v>
      </c>
      <c r="E54">
        <v>5.5469999999999997</v>
      </c>
      <c r="F54">
        <v>2145654.7999999998</v>
      </c>
      <c r="G54">
        <v>5.5469999999999997</v>
      </c>
      <c r="L54" t="s">
        <v>7</v>
      </c>
      <c r="M54" t="s">
        <v>8</v>
      </c>
      <c r="N54" t="s">
        <v>8</v>
      </c>
      <c r="P54">
        <f t="shared" ref="P54" si="245">IF(C54=D54,0,((E54-D54)-(C54-E54))/(C54-D54))</f>
        <v>-0.98162729658792736</v>
      </c>
      <c r="Q54">
        <f t="shared" ref="Q54" si="246">F54*P54</f>
        <v>-2106233.3207349097</v>
      </c>
      <c r="R54">
        <f t="shared" ref="R54" si="247">R55+Q54</f>
        <v>11590197.095136426</v>
      </c>
      <c r="S54">
        <f t="shared" ref="S54" si="248">R54/100000</f>
        <v>115.90197095136426</v>
      </c>
      <c r="T54">
        <f t="shared" ref="T54" si="249">S54/1000</f>
        <v>0.11590197095136426</v>
      </c>
    </row>
    <row r="55" spans="1:20" x14ac:dyDescent="0.25">
      <c r="A55" s="5">
        <v>44538</v>
      </c>
      <c r="B55">
        <v>5.8819999999999997</v>
      </c>
      <c r="C55">
        <v>6.26</v>
      </c>
      <c r="D55">
        <v>5.6470000000000002</v>
      </c>
      <c r="E55">
        <v>6.2549999999999999</v>
      </c>
      <c r="F55">
        <v>2342165.7000000002</v>
      </c>
      <c r="G55">
        <v>6.2549999999999999</v>
      </c>
      <c r="L55" t="s">
        <v>8</v>
      </c>
      <c r="M55" t="s">
        <v>8</v>
      </c>
      <c r="N55" t="s">
        <v>8</v>
      </c>
      <c r="P55">
        <f t="shared" ref="P55" si="250">IF(C55=D55,0,((E55-D55)-(C55-E55))/(C55-D55))</f>
        <v>0.98368678629690087</v>
      </c>
      <c r="Q55">
        <f t="shared" ref="Q55" si="251">F55*P55</f>
        <v>2303957.4504078315</v>
      </c>
      <c r="R55">
        <f t="shared" ref="R55" si="252">R56+Q55</f>
        <v>13696430.415871335</v>
      </c>
      <c r="S55">
        <f t="shared" ref="S55" si="253">R55/100000</f>
        <v>136.96430415871336</v>
      </c>
      <c r="T55">
        <f t="shared" ref="T55" si="254">S55/1000</f>
        <v>0.13696430415871336</v>
      </c>
    </row>
    <row r="56" spans="1:20" x14ac:dyDescent="0.25">
      <c r="A56" s="5">
        <v>44537</v>
      </c>
      <c r="B56">
        <v>6.0110000000000001</v>
      </c>
      <c r="C56">
        <v>6.11</v>
      </c>
      <c r="D56">
        <v>5.7629999999999999</v>
      </c>
      <c r="E56">
        <v>5.88</v>
      </c>
      <c r="F56">
        <v>1780184</v>
      </c>
      <c r="G56">
        <v>5.88</v>
      </c>
      <c r="L56" t="s">
        <v>8</v>
      </c>
      <c r="M56" t="s">
        <v>8</v>
      </c>
      <c r="N56" t="s">
        <v>8</v>
      </c>
      <c r="P56">
        <f t="shared" ref="P56" si="255">IF(C56=D56,0,((E56-D56)-(C56-E56))/(C56-D56))</f>
        <v>-0.32564841498559166</v>
      </c>
      <c r="Q56">
        <f t="shared" ref="Q56" si="256">F56*P56</f>
        <v>-579714.09798271046</v>
      </c>
      <c r="R56">
        <f t="shared" ref="R56" si="257">R57+Q56</f>
        <v>11392472.965463504</v>
      </c>
      <c r="S56">
        <f t="shared" ref="S56" si="258">R56/100000</f>
        <v>113.92472965463504</v>
      </c>
      <c r="T56">
        <f t="shared" ref="T56" si="259">S56/1000</f>
        <v>0.11392472965463504</v>
      </c>
    </row>
    <row r="57" spans="1:20" x14ac:dyDescent="0.25">
      <c r="A57" s="5">
        <v>44536</v>
      </c>
      <c r="B57">
        <v>5.8570000000000002</v>
      </c>
      <c r="C57">
        <v>6.0709999999999997</v>
      </c>
      <c r="D57">
        <v>5.33</v>
      </c>
      <c r="E57">
        <v>6.0140000000000002</v>
      </c>
      <c r="F57">
        <v>2292659.2999999998</v>
      </c>
      <c r="G57">
        <v>6.0140000000000002</v>
      </c>
      <c r="L57" t="s">
        <v>7</v>
      </c>
      <c r="M57" t="s">
        <v>8</v>
      </c>
      <c r="N57" t="s">
        <v>8</v>
      </c>
      <c r="P57">
        <f t="shared" ref="P57" si="260">IF(C57=D57,0,((E57-D57)-(C57-E57))/(C57-D57))</f>
        <v>0.84615384615384748</v>
      </c>
      <c r="Q57">
        <f t="shared" ref="Q57" si="261">F57*P57</f>
        <v>1939942.4846153874</v>
      </c>
      <c r="R57">
        <f t="shared" ref="R57" si="262">R58+Q57</f>
        <v>11972187.063446214</v>
      </c>
      <c r="S57">
        <f t="shared" ref="S57" si="263">R57/100000</f>
        <v>119.72187063446215</v>
      </c>
      <c r="T57">
        <f t="shared" ref="T57" si="264">S57/1000</f>
        <v>0.11972187063446214</v>
      </c>
    </row>
    <row r="58" spans="1:20" x14ac:dyDescent="0.25">
      <c r="A58" s="5">
        <v>44535</v>
      </c>
      <c r="B58">
        <v>6.2160000000000002</v>
      </c>
      <c r="C58">
        <v>6.37</v>
      </c>
      <c r="D58">
        <v>5.6269999999999998</v>
      </c>
      <c r="E58">
        <v>5.8570000000000002</v>
      </c>
      <c r="F58">
        <v>2287163.7000000002</v>
      </c>
      <c r="G58">
        <v>5.8570000000000002</v>
      </c>
      <c r="L58" t="s">
        <v>8</v>
      </c>
      <c r="M58" t="s">
        <v>8</v>
      </c>
      <c r="N58" t="s">
        <v>8</v>
      </c>
      <c r="P58">
        <f t="shared" ref="P58" si="265">IF(C58=D58,0,((E58-D58)-(C58-E58))/(C58-D58))</f>
        <v>-0.38088829071332347</v>
      </c>
      <c r="Q58">
        <f t="shared" ref="Q58" si="266">F58*P58</f>
        <v>-871153.87227456062</v>
      </c>
      <c r="R58">
        <f t="shared" ref="R58" si="267">R59+Q58</f>
        <v>10032244.578830827</v>
      </c>
      <c r="S58">
        <f t="shared" ref="S58" si="268">R58/100000</f>
        <v>100.32244578830827</v>
      </c>
      <c r="T58">
        <f t="shared" ref="T58" si="269">S58/1000</f>
        <v>0.10032244578830828</v>
      </c>
    </row>
    <row r="59" spans="1:20" x14ac:dyDescent="0.25">
      <c r="A59" s="5">
        <v>44534</v>
      </c>
      <c r="B59">
        <v>6.9560000000000004</v>
      </c>
      <c r="C59">
        <v>6.9619999999999997</v>
      </c>
      <c r="D59">
        <v>4.4000000000000004</v>
      </c>
      <c r="E59">
        <v>6.2149999999999999</v>
      </c>
      <c r="F59">
        <v>5290021.76</v>
      </c>
      <c r="G59">
        <v>6.2149999999999999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0.41686182669789223</v>
      </c>
      <c r="Q59">
        <f t="shared" ref="Q59" si="271">F59*P59</f>
        <v>2205208.1341451989</v>
      </c>
      <c r="R59">
        <f t="shared" ref="R59" si="272">R60+Q59</f>
        <v>10903398.451105388</v>
      </c>
      <c r="S59">
        <f t="shared" ref="S59" si="273">R59/100000</f>
        <v>109.03398451105387</v>
      </c>
      <c r="T59">
        <f t="shared" ref="T59" si="274">S59/1000</f>
        <v>0.10903398451105387</v>
      </c>
    </row>
    <row r="60" spans="1:20" x14ac:dyDescent="0.25">
      <c r="A60" s="5">
        <v>44533</v>
      </c>
      <c r="B60">
        <v>7.242</v>
      </c>
      <c r="C60">
        <v>7.6989999999999998</v>
      </c>
      <c r="D60">
        <v>6.7290000000000001</v>
      </c>
      <c r="E60">
        <v>6.97</v>
      </c>
      <c r="F60">
        <v>2090885.8629999999</v>
      </c>
      <c r="G60">
        <v>6.97</v>
      </c>
      <c r="L60" t="s">
        <v>7</v>
      </c>
      <c r="M60" t="s">
        <v>7</v>
      </c>
      <c r="N60" t="s">
        <v>7</v>
      </c>
      <c r="P60">
        <f t="shared" ref="P60" si="275">IF(C60=D60,0,((E60-D60)-(C60-E60))/(C60-D60))</f>
        <v>-0.50309278350515518</v>
      </c>
      <c r="Q60">
        <f t="shared" ref="Q60" si="276">F60*P60</f>
        <v>-1051909.5888082485</v>
      </c>
      <c r="R60">
        <f t="shared" ref="R60" si="277">R61+Q60</f>
        <v>8698190.3169601895</v>
      </c>
      <c r="S60">
        <f t="shared" ref="S60" si="278">R60/100000</f>
        <v>86.981903169601893</v>
      </c>
      <c r="T60">
        <f t="shared" ref="T60" si="279">S60/1000</f>
        <v>8.6981903169601887E-2</v>
      </c>
    </row>
    <row r="61" spans="1:20" x14ac:dyDescent="0.25">
      <c r="A61" s="5">
        <v>44532</v>
      </c>
      <c r="B61">
        <v>7.39</v>
      </c>
      <c r="C61">
        <v>7.399</v>
      </c>
      <c r="D61">
        <v>7.1</v>
      </c>
      <c r="E61">
        <v>7.242</v>
      </c>
      <c r="F61">
        <v>1495745.9</v>
      </c>
      <c r="G61">
        <v>7.242</v>
      </c>
      <c r="L61" t="s">
        <v>7</v>
      </c>
      <c r="M61" t="s">
        <v>7</v>
      </c>
      <c r="N61" t="s">
        <v>7</v>
      </c>
      <c r="P61">
        <f t="shared" ref="P61" si="280">IF(C61=D61,0,((E61-D61)-(C61-E61))/(C61-D61))</f>
        <v>-5.0167224080266429E-2</v>
      </c>
      <c r="Q61">
        <f t="shared" ref="Q61" si="281">F61*P61</f>
        <v>-75037.419732439783</v>
      </c>
      <c r="R61">
        <f t="shared" ref="R61" si="282">R62+Q61</f>
        <v>9750099.9057684373</v>
      </c>
      <c r="S61">
        <f t="shared" ref="S61" si="283">R61/100000</f>
        <v>97.500999057684368</v>
      </c>
      <c r="T61">
        <f t="shared" ref="T61" si="284">S61/1000</f>
        <v>9.7500999057684362E-2</v>
      </c>
    </row>
    <row r="62" spans="1:20" x14ac:dyDescent="0.25">
      <c r="A62" s="5">
        <v>44531</v>
      </c>
      <c r="B62">
        <v>7.66</v>
      </c>
      <c r="C62">
        <v>7.766</v>
      </c>
      <c r="D62">
        <v>7.27</v>
      </c>
      <c r="E62">
        <v>7.3959999999999999</v>
      </c>
      <c r="F62">
        <v>1577326.8</v>
      </c>
      <c r="G62">
        <v>7.3959999999999999</v>
      </c>
      <c r="L62" t="s">
        <v>7</v>
      </c>
      <c r="M62" t="s">
        <v>7</v>
      </c>
      <c r="N62" t="s">
        <v>7</v>
      </c>
      <c r="P62">
        <f t="shared" ref="P62" si="285">IF(C62=D62,0,((E62-D62)-(C62-E62))/(C62-D62))</f>
        <v>-0.49193548387096686</v>
      </c>
      <c r="Q62">
        <f t="shared" ref="Q62" si="286">F62*P62</f>
        <v>-775943.02258064377</v>
      </c>
      <c r="R62">
        <f t="shared" ref="R62" si="287">R63+Q62</f>
        <v>9825137.3255008776</v>
      </c>
      <c r="S62">
        <f t="shared" ref="S62" si="288">R62/100000</f>
        <v>98.251373255008772</v>
      </c>
      <c r="T62">
        <f t="shared" ref="T62" si="289">S62/1000</f>
        <v>9.8251373255008767E-2</v>
      </c>
    </row>
    <row r="63" spans="1:20" x14ac:dyDescent="0.25">
      <c r="A63" s="5">
        <v>44530</v>
      </c>
      <c r="B63">
        <v>7.8959999999999999</v>
      </c>
      <c r="C63">
        <v>8</v>
      </c>
      <c r="D63">
        <v>7.51</v>
      </c>
      <c r="E63">
        <v>7.6520000000000001</v>
      </c>
      <c r="F63">
        <v>1604876.1</v>
      </c>
      <c r="G63">
        <v>7.6520000000000001</v>
      </c>
      <c r="L63" t="s">
        <v>7</v>
      </c>
      <c r="M63" t="s">
        <v>7</v>
      </c>
      <c r="N63" t="s">
        <v>7</v>
      </c>
      <c r="P63">
        <f t="shared" ref="P63" si="290">IF(C63=D63,0,((E63-D63)-(C63-E63))/(C63-D63))</f>
        <v>-0.42040816326530495</v>
      </c>
      <c r="Q63">
        <f t="shared" ref="Q63" si="291">F63*P63</f>
        <v>-674703.01346938591</v>
      </c>
      <c r="R63">
        <f t="shared" ref="R63" si="292">R64+Q63</f>
        <v>10601080.348081522</v>
      </c>
      <c r="S63">
        <f t="shared" ref="S63" si="293">R63/100000</f>
        <v>106.01080348081521</v>
      </c>
      <c r="T63">
        <f t="shared" ref="T63" si="294">S63/1000</f>
        <v>0.10601080348081521</v>
      </c>
    </row>
    <row r="64" spans="1:20" x14ac:dyDescent="0.25">
      <c r="A64" s="5">
        <v>44529</v>
      </c>
      <c r="B64">
        <v>7.6289999999999996</v>
      </c>
      <c r="C64">
        <v>8</v>
      </c>
      <c r="D64">
        <v>7.4649999999999999</v>
      </c>
      <c r="E64">
        <v>7.9020000000000001</v>
      </c>
      <c r="F64">
        <v>1374915.4</v>
      </c>
      <c r="G64">
        <v>7.9020000000000001</v>
      </c>
      <c r="L64" t="s">
        <v>8</v>
      </c>
      <c r="M64" t="s">
        <v>7</v>
      </c>
      <c r="N64" t="s">
        <v>7</v>
      </c>
      <c r="P64">
        <f t="shared" ref="P64" si="295">IF(C64=D64,0,((E64-D64)-(C64-E64))/(C64-D64))</f>
        <v>0.63364485981308472</v>
      </c>
      <c r="Q64">
        <f t="shared" ref="Q64" si="296">F64*P64</f>
        <v>871208.07588785118</v>
      </c>
      <c r="R64">
        <f t="shared" ref="R64" si="297">R65+Q64</f>
        <v>11275783.361550909</v>
      </c>
      <c r="S64">
        <f t="shared" ref="S64" si="298">R64/100000</f>
        <v>112.75783361550909</v>
      </c>
      <c r="T64">
        <f t="shared" ref="T64" si="299">S64/1000</f>
        <v>0.11275783361550909</v>
      </c>
    </row>
    <row r="65" spans="1:20" x14ac:dyDescent="0.25">
      <c r="A65" s="5">
        <v>44528</v>
      </c>
      <c r="B65">
        <v>7.6959999999999997</v>
      </c>
      <c r="C65">
        <v>7.7370000000000001</v>
      </c>
      <c r="D65">
        <v>7.0839999999999996</v>
      </c>
      <c r="E65">
        <v>7.6349999999999998</v>
      </c>
      <c r="F65">
        <v>1168304.5220000001</v>
      </c>
      <c r="G65">
        <v>7.6349999999999998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0.6875957120980084</v>
      </c>
      <c r="Q65">
        <f t="shared" ref="Q65" si="301">F65*P65</f>
        <v>803321.17975191341</v>
      </c>
      <c r="R65">
        <f t="shared" ref="R65" si="302">R66+Q65</f>
        <v>10404575.285663057</v>
      </c>
      <c r="S65">
        <f t="shared" ref="S65" si="303">R65/100000</f>
        <v>104.04575285663057</v>
      </c>
      <c r="T65">
        <f t="shared" ref="T65" si="304">S65/1000</f>
        <v>0.10404575285663058</v>
      </c>
    </row>
    <row r="66" spans="1:20" x14ac:dyDescent="0.25">
      <c r="A66" s="5">
        <v>44527</v>
      </c>
      <c r="B66">
        <v>7.4450000000000003</v>
      </c>
      <c r="C66">
        <v>7.899</v>
      </c>
      <c r="D66">
        <v>7.4050000000000002</v>
      </c>
      <c r="E66">
        <v>7.702</v>
      </c>
      <c r="F66">
        <v>1293647.1000000001</v>
      </c>
      <c r="G66">
        <v>7.702</v>
      </c>
      <c r="L66" t="s">
        <v>8</v>
      </c>
      <c r="M66" t="s">
        <v>7</v>
      </c>
      <c r="N66" t="s">
        <v>7</v>
      </c>
      <c r="P66">
        <f t="shared" ref="P66" si="305">IF(C66=D66,0,((E66-D66)-(C66-E66))/(C66-D66))</f>
        <v>0.20242914979757023</v>
      </c>
      <c r="Q66">
        <f t="shared" ref="Q66" si="306">F66*P66</f>
        <v>261871.88259109235</v>
      </c>
      <c r="R66">
        <f t="shared" ref="R66" si="307">R67+Q66</f>
        <v>9601254.1059111431</v>
      </c>
      <c r="S66">
        <f t="shared" ref="S66" si="308">R66/100000</f>
        <v>96.012541059111427</v>
      </c>
      <c r="T66">
        <f t="shared" ref="T66" si="309">S66/1000</f>
        <v>9.6012541059111431E-2</v>
      </c>
    </row>
    <row r="67" spans="1:20" x14ac:dyDescent="0.25">
      <c r="A67" s="5">
        <v>44526</v>
      </c>
      <c r="B67">
        <v>8.0709999999999997</v>
      </c>
      <c r="C67">
        <v>8.23</v>
      </c>
      <c r="D67">
        <v>7.1029999999999998</v>
      </c>
      <c r="E67">
        <v>7.4480000000000004</v>
      </c>
      <c r="F67">
        <v>2564127.6710000001</v>
      </c>
      <c r="G67">
        <v>7.4480000000000004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-0.38775510204081554</v>
      </c>
      <c r="Q67">
        <f t="shared" ref="Q67" si="311">F67*P67</f>
        <v>-994253.58671428368</v>
      </c>
      <c r="R67">
        <f t="shared" ref="R67" si="312">R68+Q67</f>
        <v>9339382.2233200502</v>
      </c>
      <c r="S67">
        <f t="shared" ref="S67" si="313">R67/100000</f>
        <v>93.393822233200495</v>
      </c>
      <c r="T67">
        <f t="shared" ref="T67" si="314">S67/1000</f>
        <v>9.3393822233200502E-2</v>
      </c>
    </row>
    <row r="68" spans="1:20" x14ac:dyDescent="0.25">
      <c r="A68" s="5">
        <v>44525</v>
      </c>
      <c r="B68">
        <v>7.8710000000000004</v>
      </c>
      <c r="C68">
        <v>8.2349999999999994</v>
      </c>
      <c r="D68">
        <v>7.7789999999999999</v>
      </c>
      <c r="E68">
        <v>8.0719999999999992</v>
      </c>
      <c r="F68">
        <v>1877935.9</v>
      </c>
      <c r="G68">
        <v>8.0719999999999992</v>
      </c>
      <c r="L68" t="s">
        <v>7</v>
      </c>
      <c r="M68" t="s">
        <v>7</v>
      </c>
      <c r="N68" t="s">
        <v>7</v>
      </c>
      <c r="P68">
        <f t="shared" ref="P68" si="315">IF(C68=D68,0,((E68-D68)-(C68-E68))/(C68-D68))</f>
        <v>0.28508771929824372</v>
      </c>
      <c r="Q68">
        <f t="shared" ref="Q68" si="316">F68*P68</f>
        <v>535376.46271929471</v>
      </c>
      <c r="R68">
        <f t="shared" ref="R68" si="317">R69+Q68</f>
        <v>10333635.810034335</v>
      </c>
      <c r="S68">
        <f t="shared" ref="S68" si="318">R68/100000</f>
        <v>103.33635810034335</v>
      </c>
      <c r="T68">
        <f t="shared" ref="T68" si="319">S68/1000</f>
        <v>0.10333635810034335</v>
      </c>
    </row>
    <row r="69" spans="1:20" x14ac:dyDescent="0.25">
      <c r="A69" s="5">
        <v>44524</v>
      </c>
      <c r="B69">
        <v>8.2710000000000008</v>
      </c>
      <c r="C69">
        <v>8.2949999999999999</v>
      </c>
      <c r="D69">
        <v>7.9409999999999998</v>
      </c>
      <c r="E69">
        <v>8.1010000000000009</v>
      </c>
      <c r="F69">
        <v>853676.8</v>
      </c>
      <c r="G69">
        <v>8.1010000000000009</v>
      </c>
      <c r="L69" t="s">
        <v>7</v>
      </c>
      <c r="M69" t="s">
        <v>7</v>
      </c>
      <c r="N69" t="s">
        <v>7</v>
      </c>
      <c r="P69">
        <f t="shared" ref="P69" si="320">IF(C69=D69,0,((E69-D69)-(C69-E69))/(C69-D69))</f>
        <v>-9.6045197740107405E-2</v>
      </c>
      <c r="Q69">
        <f t="shared" ref="Q69" si="321">F69*P69</f>
        <v>-81991.557062142121</v>
      </c>
      <c r="R69">
        <f t="shared" ref="R69" si="322">R70+Q69</f>
        <v>9798259.3473150395</v>
      </c>
      <c r="S69">
        <f t="shared" ref="S69" si="323">R69/100000</f>
        <v>97.982593473150388</v>
      </c>
      <c r="T69">
        <f t="shared" ref="T69" si="324">S69/1000</f>
        <v>9.7982593473150387E-2</v>
      </c>
    </row>
    <row r="70" spans="1:20" x14ac:dyDescent="0.25">
      <c r="A70" s="5">
        <v>44523</v>
      </c>
      <c r="B70">
        <v>8.17</v>
      </c>
      <c r="C70">
        <v>8.2929999999999993</v>
      </c>
      <c r="D70">
        <v>7.7759999999999998</v>
      </c>
      <c r="E70">
        <v>8.2680000000000007</v>
      </c>
      <c r="F70">
        <v>2440064.1660000002</v>
      </c>
      <c r="G70">
        <v>8.2680000000000007</v>
      </c>
      <c r="L70" t="s">
        <v>7</v>
      </c>
      <c r="M70" t="s">
        <v>7</v>
      </c>
      <c r="N70" t="s">
        <v>7</v>
      </c>
      <c r="P70">
        <f t="shared" ref="P70" si="325">IF(C70=D70,0,((E70-D70)-(C70-E70))/(C70-D70))</f>
        <v>0.90328820116054698</v>
      </c>
      <c r="Q70">
        <f t="shared" ref="Q70" si="326">F70*P70</f>
        <v>2204081.1712224507</v>
      </c>
      <c r="R70">
        <f t="shared" ref="R70" si="327">R71+Q70</f>
        <v>9880250.9043771811</v>
      </c>
      <c r="S70">
        <f t="shared" ref="S70" si="328">R70/100000</f>
        <v>98.802509043771806</v>
      </c>
      <c r="T70">
        <f t="shared" ref="T70" si="329">S70/1000</f>
        <v>9.8802509043771802E-2</v>
      </c>
    </row>
    <row r="71" spans="1:20" x14ac:dyDescent="0.25">
      <c r="A71" s="5">
        <v>44522</v>
      </c>
      <c r="B71">
        <v>8.5739999999999998</v>
      </c>
      <c r="C71">
        <v>8.5960000000000001</v>
      </c>
      <c r="D71">
        <v>8.0139999999999993</v>
      </c>
      <c r="E71">
        <v>8.1720000000000006</v>
      </c>
      <c r="F71">
        <v>1249283</v>
      </c>
      <c r="G71">
        <v>8.1720000000000006</v>
      </c>
      <c r="L71" t="s">
        <v>7</v>
      </c>
      <c r="M71" t="s">
        <v>7</v>
      </c>
      <c r="N71" t="s">
        <v>7</v>
      </c>
      <c r="P71">
        <f t="shared" ref="P71" si="330">IF(C71=D71,0,((E71-D71)-(C71-E71))/(C71-D71))</f>
        <v>-0.45704467353951528</v>
      </c>
      <c r="Q71">
        <f t="shared" ref="Q71" si="331">F71*P71</f>
        <v>-570978.1408934663</v>
      </c>
      <c r="R71">
        <f t="shared" ref="R71" si="332">R72+Q71</f>
        <v>7676169.7331547309</v>
      </c>
      <c r="S71">
        <f t="shared" ref="S71" si="333">R71/100000</f>
        <v>76.76169733154731</v>
      </c>
      <c r="T71">
        <f t="shared" ref="T71" si="334">S71/1000</f>
        <v>7.6761697331547307E-2</v>
      </c>
    </row>
    <row r="72" spans="1:20" x14ac:dyDescent="0.25">
      <c r="A72" s="5">
        <v>44521</v>
      </c>
      <c r="B72">
        <v>8.843</v>
      </c>
      <c r="C72">
        <v>8.86</v>
      </c>
      <c r="D72">
        <v>8.5389999999999997</v>
      </c>
      <c r="E72">
        <v>8.5709999999999997</v>
      </c>
      <c r="F72">
        <v>1111959.2</v>
      </c>
      <c r="G72">
        <v>8.5709999999999997</v>
      </c>
      <c r="L72" t="s">
        <v>8</v>
      </c>
      <c r="M72" t="s">
        <v>7</v>
      </c>
      <c r="N72" t="s">
        <v>7</v>
      </c>
      <c r="P72">
        <f t="shared" ref="P72" si="335">IF(C72=D72,0,((E72-D72)-(C72-E72))/(C72-D72))</f>
        <v>-0.8006230529595012</v>
      </c>
      <c r="Q72">
        <f t="shared" ref="Q72" si="336">F72*P72</f>
        <v>-890260.16947040451</v>
      </c>
      <c r="R72">
        <f t="shared" ref="R72" si="337">R73+Q72</f>
        <v>8247147.8740481967</v>
      </c>
      <c r="S72">
        <f t="shared" ref="S72" si="338">R72/100000</f>
        <v>82.47147874048197</v>
      </c>
      <c r="T72">
        <f t="shared" ref="T72" si="339">S72/1000</f>
        <v>8.2471478740481968E-2</v>
      </c>
    </row>
    <row r="73" spans="1:20" x14ac:dyDescent="0.25">
      <c r="A73" s="5">
        <v>44520</v>
      </c>
      <c r="B73">
        <v>8.6470000000000002</v>
      </c>
      <c r="C73">
        <v>9.0500000000000007</v>
      </c>
      <c r="D73">
        <v>8.484</v>
      </c>
      <c r="E73">
        <v>8.8420000000000005</v>
      </c>
      <c r="F73">
        <v>1147401.1000000001</v>
      </c>
      <c r="G73">
        <v>8.8420000000000005</v>
      </c>
      <c r="L73" t="s">
        <v>8</v>
      </c>
      <c r="M73" t="s">
        <v>7</v>
      </c>
      <c r="N73" t="s">
        <v>7</v>
      </c>
      <c r="P73">
        <f t="shared" ref="P73" si="340">IF(C73=D73,0,((E73-D73)-(C73-E73))/(C73-D73))</f>
        <v>0.26501766784452324</v>
      </c>
      <c r="Q73">
        <f t="shared" ref="Q73" si="341">F73*P73</f>
        <v>304081.5636042406</v>
      </c>
      <c r="R73">
        <f t="shared" ref="R73" si="342">R74+Q73</f>
        <v>9137408.043518601</v>
      </c>
      <c r="S73">
        <f t="shared" ref="S73" si="343">R73/100000</f>
        <v>91.374080435186016</v>
      </c>
      <c r="T73">
        <f t="shared" ref="T73" si="344">S73/1000</f>
        <v>9.1374080435186023E-2</v>
      </c>
    </row>
    <row r="74" spans="1:20" x14ac:dyDescent="0.25">
      <c r="A74" s="5">
        <v>44519</v>
      </c>
      <c r="B74">
        <v>8.19</v>
      </c>
      <c r="C74">
        <v>8.8339999999999996</v>
      </c>
      <c r="D74">
        <v>8.0109999999999992</v>
      </c>
      <c r="E74">
        <v>8.6449999999999996</v>
      </c>
      <c r="F74">
        <v>952525.6</v>
      </c>
      <c r="G74">
        <v>8.6449999999999996</v>
      </c>
      <c r="L74" t="s">
        <v>8</v>
      </c>
      <c r="M74" t="s">
        <v>7</v>
      </c>
      <c r="N74" t="s">
        <v>7</v>
      </c>
      <c r="P74">
        <f t="shared" ref="P74" si="345">IF(C74=D74,0,((E74-D74)-(C74-E74))/(C74-D74))</f>
        <v>0.54070473876063196</v>
      </c>
      <c r="Q74">
        <f t="shared" ref="Q74" si="346">F74*P74</f>
        <v>515035.10571081418</v>
      </c>
      <c r="R74">
        <f t="shared" ref="R74" si="347">R75+Q74</f>
        <v>8833326.4799143597</v>
      </c>
      <c r="S74">
        <f t="shared" ref="S74" si="348">R74/100000</f>
        <v>88.333264799143592</v>
      </c>
      <c r="T74">
        <f t="shared" ref="T74" si="349">S74/1000</f>
        <v>8.8333264799143593E-2</v>
      </c>
    </row>
    <row r="75" spans="1:20" x14ac:dyDescent="0.25">
      <c r="A75" s="5">
        <v>44518</v>
      </c>
      <c r="B75">
        <v>8.9499999999999993</v>
      </c>
      <c r="C75">
        <v>9.1</v>
      </c>
      <c r="D75">
        <v>8.0109999999999992</v>
      </c>
      <c r="E75">
        <v>8.1969999999999992</v>
      </c>
      <c r="F75">
        <v>1400645.969</v>
      </c>
      <c r="G75">
        <v>8.1969999999999992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-0.65840220385674952</v>
      </c>
      <c r="Q75">
        <f t="shared" ref="Q75" si="351">F75*P75</f>
        <v>-922188.39281267254</v>
      </c>
      <c r="R75">
        <f t="shared" ref="R75" si="352">R76+Q75</f>
        <v>8318291.374203546</v>
      </c>
      <c r="S75">
        <f t="shared" ref="S75" si="353">R75/100000</f>
        <v>83.182913742035453</v>
      </c>
      <c r="T75">
        <f t="shared" ref="T75" si="354">S75/1000</f>
        <v>8.3182913742035458E-2</v>
      </c>
    </row>
    <row r="76" spans="1:20" x14ac:dyDescent="0.25">
      <c r="A76" s="5">
        <v>44517</v>
      </c>
      <c r="B76">
        <v>8.8109999999999999</v>
      </c>
      <c r="C76">
        <v>9.0210000000000008</v>
      </c>
      <c r="D76">
        <v>8.4480000000000004</v>
      </c>
      <c r="E76">
        <v>8.9550000000000001</v>
      </c>
      <c r="F76">
        <v>1270527.8999999999</v>
      </c>
      <c r="G76">
        <v>8.9550000000000001</v>
      </c>
      <c r="L76" t="s">
        <v>8</v>
      </c>
      <c r="M76" t="s">
        <v>7</v>
      </c>
      <c r="N76" t="s">
        <v>7</v>
      </c>
      <c r="P76">
        <f t="shared" ref="P76" si="355">IF(C76=D76,0,((E76-D76)-(C76-E76))/(C76-D76))</f>
        <v>0.76963350785340079</v>
      </c>
      <c r="Q76">
        <f t="shared" ref="Q76" si="356">F76*P76</f>
        <v>977840.84450261469</v>
      </c>
      <c r="R76">
        <f t="shared" ref="R76" si="357">R77+Q76</f>
        <v>9240479.767016219</v>
      </c>
      <c r="S76">
        <f t="shared" ref="S76" si="358">R76/100000</f>
        <v>92.404797670162196</v>
      </c>
      <c r="T76">
        <f t="shared" ref="T76" si="359">S76/1000</f>
        <v>9.24047976701622E-2</v>
      </c>
    </row>
    <row r="77" spans="1:20" x14ac:dyDescent="0.25">
      <c r="A77" s="5">
        <v>44516</v>
      </c>
      <c r="B77">
        <v>9.5879999999999992</v>
      </c>
      <c r="C77">
        <v>9.5939999999999994</v>
      </c>
      <c r="D77">
        <v>8.1859999999999999</v>
      </c>
      <c r="E77">
        <v>8.8079999999999998</v>
      </c>
      <c r="F77">
        <v>2306266.003</v>
      </c>
      <c r="G77">
        <v>8.8079999999999998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-0.11647727272727255</v>
      </c>
      <c r="Q77">
        <f t="shared" ref="Q77" si="361">F77*P77</f>
        <v>-268627.57421306777</v>
      </c>
      <c r="R77">
        <f t="shared" ref="R77" si="362">R78+Q77</f>
        <v>8262638.9225136051</v>
      </c>
      <c r="S77">
        <f t="shared" ref="S77" si="363">R77/100000</f>
        <v>82.626389225136052</v>
      </c>
      <c r="T77">
        <f t="shared" ref="T77" si="364">S77/1000</f>
        <v>8.2626389225136057E-2</v>
      </c>
    </row>
    <row r="78" spans="1:20" x14ac:dyDescent="0.25">
      <c r="A78" s="5">
        <v>44515</v>
      </c>
      <c r="B78">
        <v>10.010999999999999</v>
      </c>
      <c r="C78">
        <v>10.176</v>
      </c>
      <c r="D78">
        <v>9.5</v>
      </c>
      <c r="E78">
        <v>9.5950000000000006</v>
      </c>
      <c r="F78">
        <v>2103772</v>
      </c>
      <c r="G78">
        <v>9.5950000000000006</v>
      </c>
      <c r="L78" t="s">
        <v>7</v>
      </c>
      <c r="M78" t="s">
        <v>8</v>
      </c>
      <c r="N78" t="s">
        <v>7</v>
      </c>
      <c r="P78">
        <f t="shared" ref="P78" si="365">IF(C78=D78,0,((E78-D78)-(C78-E78))/(C78-D78))</f>
        <v>-0.71893491124260167</v>
      </c>
      <c r="Q78">
        <f t="shared" ref="Q78" si="366">F78*P78</f>
        <v>-1512475.1360946705</v>
      </c>
      <c r="R78">
        <f t="shared" ref="R78" si="367">R79+Q78</f>
        <v>8531266.4967266731</v>
      </c>
      <c r="S78">
        <f t="shared" ref="S78" si="368">R78/100000</f>
        <v>85.312664967266727</v>
      </c>
      <c r="T78">
        <f t="shared" ref="T78" si="369">S78/1000</f>
        <v>8.5312664967266721E-2</v>
      </c>
    </row>
    <row r="79" spans="1:20" x14ac:dyDescent="0.25">
      <c r="A79" s="5">
        <v>44514</v>
      </c>
      <c r="B79">
        <v>9.8079999999999998</v>
      </c>
      <c r="C79">
        <v>10.632</v>
      </c>
      <c r="D79">
        <v>9.8000000000000007</v>
      </c>
      <c r="E79">
        <v>10.010999999999999</v>
      </c>
      <c r="F79">
        <v>2617796.7999999998</v>
      </c>
      <c r="G79">
        <v>10.010999999999999</v>
      </c>
      <c r="L79" t="s">
        <v>8</v>
      </c>
      <c r="M79" t="s">
        <v>8</v>
      </c>
      <c r="N79" t="s">
        <v>7</v>
      </c>
      <c r="P79">
        <f t="shared" ref="P79" si="370">IF(C79=D79,0,((E79-D79)-(C79-E79))/(C79-D79))</f>
        <v>-0.49278846153846445</v>
      </c>
      <c r="Q79">
        <f t="shared" ref="Q79" si="371">F79*P79</f>
        <v>-1290020.0576923152</v>
      </c>
      <c r="R79">
        <f t="shared" ref="R79" si="372">R80+Q79</f>
        <v>10043741.632821344</v>
      </c>
      <c r="S79">
        <f t="shared" ref="S79" si="373">R79/100000</f>
        <v>100.43741632821344</v>
      </c>
      <c r="T79">
        <f t="shared" ref="T79" si="374">S79/1000</f>
        <v>0.10043741632821344</v>
      </c>
    </row>
    <row r="80" spans="1:20" x14ac:dyDescent="0.25">
      <c r="A80" s="5">
        <v>44513</v>
      </c>
      <c r="B80">
        <v>9.5579999999999998</v>
      </c>
      <c r="C80">
        <v>10.052</v>
      </c>
      <c r="D80">
        <v>9.423</v>
      </c>
      <c r="E80">
        <v>9.8049999999999997</v>
      </c>
      <c r="F80">
        <v>1459877.8</v>
      </c>
      <c r="G80">
        <v>9.8049999999999997</v>
      </c>
      <c r="L80" t="s">
        <v>8</v>
      </c>
      <c r="M80" t="s">
        <v>7</v>
      </c>
      <c r="N80" t="s">
        <v>7</v>
      </c>
      <c r="P80">
        <f t="shared" ref="P80" si="375">IF(C80=D80,0,((E80-D80)-(C80-E80))/(C80-D80))</f>
        <v>0.21462639109697915</v>
      </c>
      <c r="Q80">
        <f t="shared" ref="Q80" si="376">F80*P80</f>
        <v>313328.30365659751</v>
      </c>
      <c r="R80">
        <f t="shared" ref="R80" si="377">R81+Q80</f>
        <v>11333761.690513659</v>
      </c>
      <c r="S80">
        <f t="shared" ref="S80" si="378">R80/100000</f>
        <v>113.3376169051366</v>
      </c>
      <c r="T80">
        <f t="shared" ref="T80" si="379">S80/1000</f>
        <v>0.11333761690513659</v>
      </c>
    </row>
    <row r="81" spans="1:20" x14ac:dyDescent="0.25">
      <c r="A81" s="5">
        <v>44512</v>
      </c>
      <c r="B81">
        <v>9.8849999999999998</v>
      </c>
      <c r="C81">
        <v>10.129</v>
      </c>
      <c r="D81">
        <v>9.2449999999999992</v>
      </c>
      <c r="E81">
        <v>9.5609999999999999</v>
      </c>
      <c r="F81">
        <v>1725784.3</v>
      </c>
      <c r="G81">
        <v>9.5609999999999999</v>
      </c>
      <c r="L81" t="s">
        <v>7</v>
      </c>
      <c r="M81" t="s">
        <v>7</v>
      </c>
      <c r="N81" t="s">
        <v>7</v>
      </c>
      <c r="P81">
        <f t="shared" ref="P81" si="380">IF(C81=D81,0,((E81-D81)-(C81-E81))/(C81-D81))</f>
        <v>-0.28506787330316607</v>
      </c>
      <c r="Q81">
        <f t="shared" ref="Q81" si="381">F81*P81</f>
        <v>-491965.66018099315</v>
      </c>
      <c r="R81">
        <f t="shared" ref="R81" si="382">R82+Q81</f>
        <v>11020433.386857063</v>
      </c>
      <c r="S81">
        <f t="shared" ref="S81" si="383">R81/100000</f>
        <v>110.20433386857063</v>
      </c>
      <c r="T81">
        <f t="shared" ref="T81" si="384">S81/1000</f>
        <v>0.11020433386857063</v>
      </c>
    </row>
    <row r="82" spans="1:20" x14ac:dyDescent="0.25">
      <c r="A82" s="5">
        <v>44511</v>
      </c>
      <c r="B82">
        <v>9.5860000000000003</v>
      </c>
      <c r="C82">
        <v>10.199999999999999</v>
      </c>
      <c r="D82">
        <v>9.4580000000000002</v>
      </c>
      <c r="E82">
        <v>9.8889999999999993</v>
      </c>
      <c r="F82">
        <v>1801737.3</v>
      </c>
      <c r="G82">
        <v>9.8889999999999993</v>
      </c>
      <c r="L82" t="s">
        <v>8</v>
      </c>
      <c r="M82" t="s">
        <v>7</v>
      </c>
      <c r="N82" t="s">
        <v>7</v>
      </c>
      <c r="P82">
        <f t="shared" ref="P82" si="385">IF(C82=D82,0,((E82-D82)-(C82-E82))/(C82-D82))</f>
        <v>0.1617250673854439</v>
      </c>
      <c r="Q82">
        <f t="shared" ref="Q82" si="386">F82*P82</f>
        <v>291386.08625336777</v>
      </c>
      <c r="R82">
        <f t="shared" ref="R82" si="387">R83+Q82</f>
        <v>11512399.047038056</v>
      </c>
      <c r="S82">
        <f t="shared" ref="S82" si="388">R82/100000</f>
        <v>115.12399047038056</v>
      </c>
      <c r="T82">
        <f t="shared" ref="T82" si="389">S82/1000</f>
        <v>0.11512399047038056</v>
      </c>
    </row>
    <row r="83" spans="1:20" x14ac:dyDescent="0.25">
      <c r="A83" s="5">
        <v>44510</v>
      </c>
      <c r="B83">
        <v>10.676</v>
      </c>
      <c r="C83">
        <v>10.97</v>
      </c>
      <c r="D83">
        <v>8.76</v>
      </c>
      <c r="E83">
        <v>9.5830000000000002</v>
      </c>
      <c r="F83">
        <v>2555556.7000000002</v>
      </c>
      <c r="G83">
        <v>9.5830000000000002</v>
      </c>
      <c r="L83" t="s">
        <v>7</v>
      </c>
      <c r="M83" t="s">
        <v>7</v>
      </c>
      <c r="N83" t="s">
        <v>7</v>
      </c>
      <c r="P83">
        <f t="shared" ref="P83" si="390">IF(C83=D83,0,((E83-D83)-(C83-E83))/(C83-D83))</f>
        <v>-0.25520361990950219</v>
      </c>
      <c r="Q83">
        <f t="shared" ref="Q83" si="391">F83*P83</f>
        <v>-652187.32072398171</v>
      </c>
      <c r="R83">
        <f t="shared" ref="R83" si="392">R84+Q83</f>
        <v>11221012.960784689</v>
      </c>
      <c r="S83">
        <f t="shared" ref="S83" si="393">R83/100000</f>
        <v>112.21012960784688</v>
      </c>
      <c r="T83">
        <f t="shared" ref="T83" si="394">S83/1000</f>
        <v>0.11221012960784688</v>
      </c>
    </row>
    <row r="84" spans="1:20" x14ac:dyDescent="0.25">
      <c r="A84" s="5">
        <v>44509</v>
      </c>
      <c r="B84">
        <v>10.484</v>
      </c>
      <c r="C84">
        <v>10.959</v>
      </c>
      <c r="D84">
        <v>10.4</v>
      </c>
      <c r="E84">
        <v>10.673</v>
      </c>
      <c r="F84">
        <v>1679394.7</v>
      </c>
      <c r="G84">
        <v>10.673</v>
      </c>
      <c r="L84" t="s">
        <v>8</v>
      </c>
      <c r="M84" t="s">
        <v>7</v>
      </c>
      <c r="N84" t="s">
        <v>7</v>
      </c>
      <c r="P84">
        <f t="shared" ref="P84" si="395">IF(C84=D84,0,((E84-D84)-(C84-E84))/(C84-D84))</f>
        <v>-2.3255813953488223E-2</v>
      </c>
      <c r="Q84">
        <f t="shared" ref="Q84" si="396">F84*P84</f>
        <v>-39055.690697674167</v>
      </c>
      <c r="R84">
        <f t="shared" ref="R84" si="397">R85+Q84</f>
        <v>11873200.281508671</v>
      </c>
      <c r="S84">
        <f t="shared" ref="S84" si="398">R84/100000</f>
        <v>118.73200281508672</v>
      </c>
      <c r="T84">
        <f t="shared" ref="T84" si="399">S84/1000</f>
        <v>0.11873200281508671</v>
      </c>
    </row>
    <row r="85" spans="1:20" x14ac:dyDescent="0.25">
      <c r="A85" s="5">
        <v>44508</v>
      </c>
      <c r="B85">
        <v>10.48</v>
      </c>
      <c r="C85">
        <v>10.555</v>
      </c>
      <c r="D85">
        <v>10.272</v>
      </c>
      <c r="E85">
        <v>10.484</v>
      </c>
      <c r="F85">
        <v>1384856.8</v>
      </c>
      <c r="G85">
        <v>10.484</v>
      </c>
      <c r="L85" t="s">
        <v>8</v>
      </c>
      <c r="M85" t="s">
        <v>7</v>
      </c>
      <c r="N85" t="s">
        <v>7</v>
      </c>
      <c r="P85">
        <f t="shared" ref="P85" si="400">IF(C85=D85,0,((E85-D85)-(C85-E85))/(C85-D85))</f>
        <v>0.49823321554770417</v>
      </c>
      <c r="Q85">
        <f t="shared" ref="Q85" si="401">F85*P85</f>
        <v>689981.65653710382</v>
      </c>
      <c r="R85">
        <f t="shared" ref="R85" si="402">R86+Q85</f>
        <v>11912255.972206345</v>
      </c>
      <c r="S85">
        <f t="shared" ref="S85" si="403">R85/100000</f>
        <v>119.12255972206344</v>
      </c>
      <c r="T85">
        <f t="shared" ref="T85" si="404">S85/1000</f>
        <v>0.11912255972206344</v>
      </c>
    </row>
    <row r="86" spans="1:20" x14ac:dyDescent="0.25">
      <c r="A86" s="5">
        <v>44507</v>
      </c>
      <c r="B86">
        <v>10.135</v>
      </c>
      <c r="C86">
        <v>10.701000000000001</v>
      </c>
      <c r="D86">
        <v>10.067</v>
      </c>
      <c r="E86">
        <v>10.477</v>
      </c>
      <c r="F86">
        <v>1494319.9</v>
      </c>
      <c r="G86">
        <v>10.477</v>
      </c>
      <c r="L86" t="s">
        <v>8</v>
      </c>
      <c r="M86" t="s">
        <v>7</v>
      </c>
      <c r="N86" t="s">
        <v>7</v>
      </c>
      <c r="P86">
        <f t="shared" ref="P86" si="405">IF(C86=D86,0,((E86-D86)-(C86-E86))/(C86-D86))</f>
        <v>0.29337539432176629</v>
      </c>
      <c r="Q86">
        <f t="shared" ref="Q86" si="406">F86*P86</f>
        <v>438396.68990536232</v>
      </c>
      <c r="R86">
        <f t="shared" ref="R86" si="407">R87+Q86</f>
        <v>11222274.31566924</v>
      </c>
      <c r="S86">
        <f t="shared" ref="S86" si="408">R86/100000</f>
        <v>112.2227431566924</v>
      </c>
      <c r="T86">
        <f t="shared" ref="T86" si="409">S86/1000</f>
        <v>0.11222274315669241</v>
      </c>
    </row>
    <row r="87" spans="1:20" x14ac:dyDescent="0.25">
      <c r="A87" s="5">
        <v>44506</v>
      </c>
      <c r="B87">
        <v>10.371</v>
      </c>
      <c r="C87">
        <v>10.451000000000001</v>
      </c>
      <c r="D87">
        <v>9.6999999999999993</v>
      </c>
      <c r="E87">
        <v>10.134</v>
      </c>
      <c r="F87">
        <v>1267178</v>
      </c>
      <c r="G87">
        <v>10.134</v>
      </c>
      <c r="L87" t="s">
        <v>7</v>
      </c>
      <c r="M87" t="s">
        <v>7</v>
      </c>
      <c r="N87" t="s">
        <v>7</v>
      </c>
      <c r="P87">
        <f t="shared" ref="P87" si="410">IF(C87=D87,0,((E87-D87)-(C87-E87))/(C87-D87))</f>
        <v>0.15579227696404885</v>
      </c>
      <c r="Q87">
        <f t="shared" ref="Q87" si="411">F87*P87</f>
        <v>197416.54593874948</v>
      </c>
      <c r="R87">
        <f t="shared" ref="R87" si="412">R88+Q87</f>
        <v>10783877.625763878</v>
      </c>
      <c r="S87">
        <f t="shared" ref="S87" si="413">R87/100000</f>
        <v>107.83877625763878</v>
      </c>
      <c r="T87">
        <f t="shared" ref="T87" si="414">S87/1000</f>
        <v>0.10783877625763878</v>
      </c>
    </row>
    <row r="88" spans="1:20" x14ac:dyDescent="0.25">
      <c r="A88" s="5">
        <v>44505</v>
      </c>
      <c r="B88">
        <v>10.641999999999999</v>
      </c>
      <c r="C88">
        <v>10.695</v>
      </c>
      <c r="D88">
        <v>10.167999999999999</v>
      </c>
      <c r="E88">
        <v>10.374000000000001</v>
      </c>
      <c r="F88">
        <v>1342887.2</v>
      </c>
      <c r="G88">
        <v>10.374000000000001</v>
      </c>
      <c r="L88" t="s">
        <v>7</v>
      </c>
      <c r="M88" t="s">
        <v>8</v>
      </c>
      <c r="N88" t="s">
        <v>7</v>
      </c>
      <c r="P88">
        <f t="shared" ref="P88" si="415">IF(C88=D88,0,((E88-D88)-(C88-E88))/(C88-D88))</f>
        <v>-0.21821631878557535</v>
      </c>
      <c r="Q88">
        <f t="shared" ref="Q88" si="416">F88*P88</f>
        <v>-293039.90132826869</v>
      </c>
      <c r="R88">
        <f t="shared" ref="R88" si="417">R89+Q88</f>
        <v>10586461.079825129</v>
      </c>
      <c r="S88">
        <f t="shared" ref="S88" si="418">R88/100000</f>
        <v>105.86461079825129</v>
      </c>
      <c r="T88">
        <f t="shared" ref="T88" si="419">S88/1000</f>
        <v>0.1058646107982513</v>
      </c>
    </row>
    <row r="89" spans="1:20" x14ac:dyDescent="0.25">
      <c r="A89" s="5">
        <v>44504</v>
      </c>
      <c r="B89">
        <v>11.257999999999999</v>
      </c>
      <c r="C89">
        <v>11.275</v>
      </c>
      <c r="D89">
        <v>10.318</v>
      </c>
      <c r="E89">
        <v>10.648</v>
      </c>
      <c r="F89">
        <v>1885360.6</v>
      </c>
      <c r="G89">
        <v>10.648</v>
      </c>
      <c r="L89" t="s">
        <v>7</v>
      </c>
      <c r="M89" t="s">
        <v>8</v>
      </c>
      <c r="N89" t="s">
        <v>7</v>
      </c>
      <c r="P89">
        <f t="shared" ref="P89" si="420">IF(C89=D89,0,((E89-D89)-(C89-E89))/(C89-D89))</f>
        <v>-0.31034482758620729</v>
      </c>
      <c r="Q89">
        <f t="shared" ref="Q89" si="421">F89*P89</f>
        <v>-585111.91034482839</v>
      </c>
      <c r="R89">
        <f t="shared" ref="R89" si="422">R90+Q89</f>
        <v>10879500.981153399</v>
      </c>
      <c r="S89">
        <f t="shared" ref="S89" si="423">R89/100000</f>
        <v>108.79500981153399</v>
      </c>
      <c r="T89">
        <f t="shared" ref="T89" si="424">S89/1000</f>
        <v>0.10879500981153399</v>
      </c>
    </row>
    <row r="90" spans="1:20" x14ac:dyDescent="0.25">
      <c r="A90" s="5">
        <v>44503</v>
      </c>
      <c r="B90">
        <v>10.443</v>
      </c>
      <c r="C90">
        <v>11.8</v>
      </c>
      <c r="D90">
        <v>10.308999999999999</v>
      </c>
      <c r="E90">
        <v>11.25</v>
      </c>
      <c r="F90">
        <v>4373791.3</v>
      </c>
      <c r="G90">
        <v>11.25</v>
      </c>
      <c r="L90" t="s">
        <v>8</v>
      </c>
      <c r="M90" t="s">
        <v>8</v>
      </c>
      <c r="N90" t="s">
        <v>7</v>
      </c>
      <c r="P90">
        <f t="shared" ref="P90" si="425">IF(C90=D90,0,((E90-D90)-(C90-E90))/(C90-D90))</f>
        <v>0.2622401073105296</v>
      </c>
      <c r="Q90">
        <f t="shared" ref="Q90" si="426">F90*P90</f>
        <v>1146983.4998658607</v>
      </c>
      <c r="R90">
        <f t="shared" ref="R90" si="427">R91+Q90</f>
        <v>11464612.891498227</v>
      </c>
      <c r="S90">
        <f t="shared" ref="S90" si="428">R90/100000</f>
        <v>114.64612891498227</v>
      </c>
      <c r="T90">
        <f t="shared" ref="T90" si="429">S90/1000</f>
        <v>0.11464612891498227</v>
      </c>
    </row>
    <row r="91" spans="1:20" x14ac:dyDescent="0.25">
      <c r="A91" s="5">
        <v>44502</v>
      </c>
      <c r="B91">
        <v>10.305999999999999</v>
      </c>
      <c r="C91">
        <v>10.651999999999999</v>
      </c>
      <c r="D91">
        <v>10.204000000000001</v>
      </c>
      <c r="E91">
        <v>10.441000000000001</v>
      </c>
      <c r="F91">
        <v>1408528.8</v>
      </c>
      <c r="G91">
        <v>10.441000000000001</v>
      </c>
      <c r="L91" t="s">
        <v>8</v>
      </c>
      <c r="M91" t="s">
        <v>8</v>
      </c>
      <c r="N91" t="s">
        <v>7</v>
      </c>
      <c r="P91">
        <f t="shared" ref="P91" si="430">IF(C91=D91,0,((E91-D91)-(C91-E91))/(C91-D91))</f>
        <v>5.8035714285717986E-2</v>
      </c>
      <c r="Q91">
        <f t="shared" ref="Q91" si="431">F91*P91</f>
        <v>81744.975000005215</v>
      </c>
      <c r="R91">
        <f t="shared" ref="R91" si="432">R92+Q91</f>
        <v>10317629.391632365</v>
      </c>
      <c r="S91">
        <f t="shared" ref="S91" si="433">R91/100000</f>
        <v>103.17629391632364</v>
      </c>
      <c r="T91">
        <f t="shared" ref="T91" si="434">S91/1000</f>
        <v>0.10317629391632364</v>
      </c>
    </row>
    <row r="92" spans="1:20" x14ac:dyDescent="0.25">
      <c r="A92" s="5">
        <v>44501</v>
      </c>
      <c r="B92">
        <v>10.138999999999999</v>
      </c>
      <c r="C92">
        <v>10.815</v>
      </c>
      <c r="D92">
        <v>9.641</v>
      </c>
      <c r="E92">
        <v>10.311999999999999</v>
      </c>
      <c r="F92">
        <v>2753088.1</v>
      </c>
      <c r="G92">
        <v>10.311999999999999</v>
      </c>
      <c r="L92" t="s">
        <v>8</v>
      </c>
      <c r="M92" t="s">
        <v>8</v>
      </c>
      <c r="N92" t="s">
        <v>7</v>
      </c>
      <c r="P92">
        <f t="shared" ref="P92" si="435">IF(C92=D92,0,((E92-D92)-(C92-E92))/(C92-D92))</f>
        <v>0.14310051107325328</v>
      </c>
      <c r="Q92">
        <f t="shared" ref="Q92" si="436">F92*P92</f>
        <v>393968.31413969182</v>
      </c>
      <c r="R92">
        <f t="shared" ref="R92" si="437">R93+Q92</f>
        <v>10235884.41663236</v>
      </c>
      <c r="S92">
        <f t="shared" ref="S92" si="438">R92/100000</f>
        <v>102.35884416632359</v>
      </c>
      <c r="T92">
        <f t="shared" ref="T92" si="439">S92/1000</f>
        <v>0.1023588441663236</v>
      </c>
    </row>
    <row r="93" spans="1:20" x14ac:dyDescent="0.25">
      <c r="A93" s="5">
        <v>44500</v>
      </c>
      <c r="B93">
        <v>9.8659999999999997</v>
      </c>
      <c r="C93">
        <v>10.204000000000001</v>
      </c>
      <c r="D93">
        <v>9.4689999999999994</v>
      </c>
      <c r="E93">
        <v>10.14</v>
      </c>
      <c r="F93">
        <v>2447940.7000000002</v>
      </c>
      <c r="G93">
        <v>10.14</v>
      </c>
      <c r="L93" t="s">
        <v>7</v>
      </c>
      <c r="M93" t="s">
        <v>8</v>
      </c>
      <c r="N93" t="s">
        <v>7</v>
      </c>
      <c r="P93">
        <f t="shared" ref="P93" si="440">IF(C93=D93,0,((E93-D93)-(C93-E93))/(C93-D93))</f>
        <v>0.82585034013605452</v>
      </c>
      <c r="Q93">
        <f t="shared" ref="Q93" si="441">F93*P93</f>
        <v>2021632.6597278914</v>
      </c>
      <c r="R93">
        <f t="shared" ref="R93" si="442">R94+Q93</f>
        <v>9841916.1024926677</v>
      </c>
      <c r="S93">
        <f t="shared" ref="S93" si="443">R93/100000</f>
        <v>98.41916102492668</v>
      </c>
      <c r="T93">
        <f t="shared" ref="T93" si="444">S93/1000</f>
        <v>9.8419161024926677E-2</v>
      </c>
    </row>
    <row r="94" spans="1:20" x14ac:dyDescent="0.25">
      <c r="A94" s="5">
        <v>44499</v>
      </c>
      <c r="B94">
        <v>10.35</v>
      </c>
      <c r="C94">
        <v>10.432</v>
      </c>
      <c r="D94">
        <v>9.6940000000000008</v>
      </c>
      <c r="E94">
        <v>9.8689999999999998</v>
      </c>
      <c r="F94">
        <v>1746997.6</v>
      </c>
      <c r="G94">
        <v>9.8689999999999998</v>
      </c>
      <c r="L94" t="s">
        <v>7</v>
      </c>
      <c r="M94" t="s">
        <v>8</v>
      </c>
      <c r="N94" t="s">
        <v>7</v>
      </c>
      <c r="P94">
        <f t="shared" ref="P94" si="445">IF(C94=D94,0,((E94-D94)-(C94-E94))/(C94-D94))</f>
        <v>-0.52574525745257716</v>
      </c>
      <c r="Q94">
        <f t="shared" ref="Q94" si="446">F94*P94</f>
        <v>-918475.70298103441</v>
      </c>
      <c r="R94">
        <f t="shared" ref="R94" si="447">R95+Q94</f>
        <v>7820283.4427647758</v>
      </c>
      <c r="S94">
        <f t="shared" ref="S94" si="448">R94/100000</f>
        <v>78.202834427647758</v>
      </c>
      <c r="T94">
        <f t="shared" ref="T94" si="449">S94/1000</f>
        <v>7.8202834427647763E-2</v>
      </c>
    </row>
    <row r="95" spans="1:20" x14ac:dyDescent="0.25">
      <c r="A95" s="5">
        <v>44498</v>
      </c>
      <c r="B95">
        <v>9.6969999999999992</v>
      </c>
      <c r="C95">
        <v>10.683</v>
      </c>
      <c r="D95">
        <v>9.6370000000000005</v>
      </c>
      <c r="E95">
        <v>10.356</v>
      </c>
      <c r="F95">
        <v>2057908</v>
      </c>
      <c r="G95">
        <v>10.356</v>
      </c>
      <c r="L95" t="s">
        <v>8</v>
      </c>
      <c r="M95" t="s">
        <v>8</v>
      </c>
      <c r="N95" t="s">
        <v>7</v>
      </c>
      <c r="P95">
        <f t="shared" ref="P95" si="450">IF(C95=D95,0,((E95-D95)-(C95-E95))/(C95-D95))</f>
        <v>0.37476099426386206</v>
      </c>
      <c r="Q95">
        <f t="shared" ref="Q95" si="451">F95*P95</f>
        <v>771223.64818355581</v>
      </c>
      <c r="R95">
        <f t="shared" ref="R95" si="452">R96+Q95</f>
        <v>8738759.1457458101</v>
      </c>
      <c r="S95">
        <f t="shared" ref="S95" si="453">R95/100000</f>
        <v>87.3875914574581</v>
      </c>
      <c r="T95">
        <f t="shared" ref="T95" si="454">S95/1000</f>
        <v>8.73875914574581E-2</v>
      </c>
    </row>
    <row r="96" spans="1:20" x14ac:dyDescent="0.25">
      <c r="A96" s="5">
        <v>44497</v>
      </c>
      <c r="B96">
        <v>9.2669999999999995</v>
      </c>
      <c r="C96">
        <v>9.9339999999999993</v>
      </c>
      <c r="D96">
        <v>9.1820000000000004</v>
      </c>
      <c r="E96">
        <v>9.6989999999999998</v>
      </c>
      <c r="F96">
        <v>1757836.1</v>
      </c>
      <c r="G96">
        <v>9.6989999999999998</v>
      </c>
      <c r="L96" t="s">
        <v>7</v>
      </c>
      <c r="M96" t="s">
        <v>7</v>
      </c>
      <c r="N96" t="s">
        <v>7</v>
      </c>
      <c r="P96">
        <f t="shared" ref="P96" si="455">IF(C96=D96,0,((E96-D96)-(C96-E96))/(C96-D96))</f>
        <v>0.37500000000000061</v>
      </c>
      <c r="Q96">
        <f t="shared" ref="Q96" si="456">F96*P96</f>
        <v>659188.53750000114</v>
      </c>
      <c r="R96">
        <f t="shared" ref="R96" si="457">R97+Q96</f>
        <v>7967535.4975622548</v>
      </c>
      <c r="S96">
        <f t="shared" ref="S96" si="458">R96/100000</f>
        <v>79.675354975622554</v>
      </c>
      <c r="T96">
        <f t="shared" ref="T96" si="459">S96/1000</f>
        <v>7.9675354975622559E-2</v>
      </c>
    </row>
    <row r="97" spans="1:20" x14ac:dyDescent="0.25">
      <c r="A97" s="5">
        <v>44496</v>
      </c>
      <c r="B97">
        <v>10.345000000000001</v>
      </c>
      <c r="C97">
        <v>11.175000000000001</v>
      </c>
      <c r="D97">
        <v>8.75</v>
      </c>
      <c r="E97">
        <v>9.2629999999999999</v>
      </c>
      <c r="F97">
        <v>4496493.5640000002</v>
      </c>
      <c r="G97">
        <v>9.2629999999999999</v>
      </c>
      <c r="L97" t="s">
        <v>8</v>
      </c>
      <c r="M97" t="s">
        <v>7</v>
      </c>
      <c r="N97" t="s">
        <v>7</v>
      </c>
      <c r="P97">
        <f t="shared" ref="P97" si="460">IF(C97=D97,0,((E97-D97)-(C97-E97))/(C97-D97))</f>
        <v>-0.57690721649484555</v>
      </c>
      <c r="Q97">
        <f t="shared" ref="Q97" si="461">F97*P97</f>
        <v>-2594059.5859942278</v>
      </c>
      <c r="R97">
        <f t="shared" ref="R97" si="462">R98+Q97</f>
        <v>7308346.9600622533</v>
      </c>
      <c r="S97">
        <f t="shared" ref="S97" si="463">R97/100000</f>
        <v>73.083469600622536</v>
      </c>
      <c r="T97">
        <f t="shared" ref="T97" si="464">S97/1000</f>
        <v>7.3083469600622536E-2</v>
      </c>
    </row>
    <row r="98" spans="1:20" x14ac:dyDescent="0.25">
      <c r="A98" s="5">
        <v>44495</v>
      </c>
      <c r="B98">
        <v>9.8659999999999997</v>
      </c>
      <c r="C98">
        <v>10.98</v>
      </c>
      <c r="D98">
        <v>9.8030000000000008</v>
      </c>
      <c r="E98">
        <v>10.345000000000001</v>
      </c>
      <c r="F98">
        <v>3657491.9</v>
      </c>
      <c r="G98">
        <v>10.345000000000001</v>
      </c>
      <c r="L98" t="s">
        <v>8</v>
      </c>
      <c r="M98" t="s">
        <v>8</v>
      </c>
      <c r="N98" t="s">
        <v>7</v>
      </c>
      <c r="P98">
        <f t="shared" ref="P98" si="465">IF(C98=D98,0,((E98-D98)-(C98-E98))/(C98-D98))</f>
        <v>-7.9014443500424816E-2</v>
      </c>
      <c r="Q98">
        <f t="shared" ref="Q98" si="466">F98*P98</f>
        <v>-288994.6870858114</v>
      </c>
      <c r="R98">
        <f t="shared" ref="R98" si="467">R99+Q98</f>
        <v>9902406.5460564811</v>
      </c>
      <c r="S98">
        <f t="shared" ref="S98" si="468">R98/100000</f>
        <v>99.024065460564813</v>
      </c>
      <c r="T98">
        <f t="shared" ref="T98" si="469">S98/1000</f>
        <v>9.9024065460564817E-2</v>
      </c>
    </row>
    <row r="99" spans="1:20" x14ac:dyDescent="0.25">
      <c r="A99" s="5">
        <v>44494</v>
      </c>
      <c r="B99">
        <v>9.4339999999999993</v>
      </c>
      <c r="C99">
        <v>9.8719999999999999</v>
      </c>
      <c r="D99">
        <v>9.4060000000000006</v>
      </c>
      <c r="E99">
        <v>9.8680000000000003</v>
      </c>
      <c r="F99">
        <v>868751.9</v>
      </c>
      <c r="G99">
        <v>9.8680000000000003</v>
      </c>
      <c r="L99" t="s">
        <v>7</v>
      </c>
      <c r="M99" t="s">
        <v>7</v>
      </c>
      <c r="N99" t="s">
        <v>7</v>
      </c>
      <c r="P99">
        <f t="shared" ref="P99" si="470">IF(C99=D99,0,((E99-D99)-(C99-E99))/(C99-D99))</f>
        <v>0.98283261802575295</v>
      </c>
      <c r="Q99">
        <f t="shared" ref="Q99" si="471">F99*P99</f>
        <v>853837.70429184719</v>
      </c>
      <c r="R99">
        <f t="shared" ref="R99" si="472">R100+Q99</f>
        <v>10191401.233142292</v>
      </c>
      <c r="S99">
        <f t="shared" ref="S99" si="473">R99/100000</f>
        <v>101.91401233142292</v>
      </c>
      <c r="T99">
        <f t="shared" ref="T99" si="474">S99/1000</f>
        <v>0.10191401233142293</v>
      </c>
    </row>
    <row r="100" spans="1:20" x14ac:dyDescent="0.25">
      <c r="A100" s="5">
        <v>44493</v>
      </c>
      <c r="B100">
        <v>9.9209999999999994</v>
      </c>
      <c r="C100">
        <v>10.037000000000001</v>
      </c>
      <c r="D100">
        <v>9.2590000000000003</v>
      </c>
      <c r="E100">
        <v>9.4309999999999992</v>
      </c>
      <c r="F100">
        <v>1313132.8</v>
      </c>
      <c r="G100">
        <v>9.4309999999999992</v>
      </c>
      <c r="L100" t="s">
        <v>7</v>
      </c>
      <c r="M100" t="s">
        <v>7</v>
      </c>
      <c r="N100" t="s">
        <v>7</v>
      </c>
      <c r="P100">
        <f t="shared" ref="P100" si="475">IF(C100=D100,0,((E100-D100)-(C100-E100))/(C100-D100))</f>
        <v>-0.55784061696658427</v>
      </c>
      <c r="Q100">
        <f t="shared" ref="Q100" si="476">F100*P100</f>
        <v>-732518.81131105835</v>
      </c>
      <c r="R100">
        <f t="shared" ref="R100" si="477">R101+Q100</f>
        <v>9337563.5288504455</v>
      </c>
      <c r="S100">
        <f t="shared" ref="S100" si="478">R100/100000</f>
        <v>93.375635288504455</v>
      </c>
      <c r="T100">
        <f t="shared" ref="T100" si="479">S100/1000</f>
        <v>9.3375635288504455E-2</v>
      </c>
    </row>
    <row r="101" spans="1:20" x14ac:dyDescent="0.25">
      <c r="A101" s="5">
        <v>44492</v>
      </c>
      <c r="B101">
        <v>9.6449999999999996</v>
      </c>
      <c r="C101">
        <v>10.169</v>
      </c>
      <c r="D101">
        <v>9.6050000000000004</v>
      </c>
      <c r="E101">
        <v>9.9250000000000007</v>
      </c>
      <c r="F101">
        <v>1730699.3</v>
      </c>
      <c r="G101">
        <v>9.9250000000000007</v>
      </c>
      <c r="L101" t="s">
        <v>8</v>
      </c>
      <c r="M101" t="s">
        <v>7</v>
      </c>
      <c r="N101" t="s">
        <v>7</v>
      </c>
      <c r="P101">
        <f t="shared" ref="P101" si="480">IF(C101=D101,0,((E101-D101)-(C101-E101))/(C101-D101))</f>
        <v>0.13475177304964628</v>
      </c>
      <c r="Q101">
        <f t="shared" ref="Q101" si="481">F101*P101</f>
        <v>233214.7992907817</v>
      </c>
      <c r="R101">
        <f t="shared" ref="R101" si="482">R102+Q101</f>
        <v>10070082.340161504</v>
      </c>
      <c r="S101">
        <f t="shared" ref="S101" si="483">R101/100000</f>
        <v>100.70082340161504</v>
      </c>
      <c r="T101">
        <f t="shared" ref="T101" si="484">S101/1000</f>
        <v>0.10070082340161504</v>
      </c>
    </row>
    <row r="102" spans="1:20" x14ac:dyDescent="0.25">
      <c r="A102" s="5">
        <v>44491</v>
      </c>
      <c r="B102">
        <v>9.4649999999999999</v>
      </c>
      <c r="C102">
        <v>9.8680000000000003</v>
      </c>
      <c r="D102">
        <v>9.3979999999999997</v>
      </c>
      <c r="E102">
        <v>9.6460000000000008</v>
      </c>
      <c r="F102">
        <v>1203406.3</v>
      </c>
      <c r="G102">
        <v>9.6460000000000008</v>
      </c>
      <c r="L102" t="s">
        <v>8</v>
      </c>
      <c r="M102" t="s">
        <v>7</v>
      </c>
      <c r="N102" t="s">
        <v>7</v>
      </c>
      <c r="P102">
        <f t="shared" ref="P102" si="485">IF(C102=D102,0,((E102-D102)-(C102-E102))/(C102-D102))</f>
        <v>5.5319148936173491E-2</v>
      </c>
      <c r="Q102">
        <f t="shared" ref="Q102" si="486">F102*P102</f>
        <v>66571.412340429481</v>
      </c>
      <c r="R102">
        <f t="shared" ref="R102" si="487">R103+Q102</f>
        <v>9836867.5408707224</v>
      </c>
      <c r="S102">
        <f t="shared" ref="S102" si="488">R102/100000</f>
        <v>98.368675408707219</v>
      </c>
      <c r="T102">
        <f t="shared" ref="T102" si="489">S102/1000</f>
        <v>9.8368675408707223E-2</v>
      </c>
    </row>
    <row r="103" spans="1:20" x14ac:dyDescent="0.25">
      <c r="A103" s="5">
        <v>44490</v>
      </c>
      <c r="B103">
        <v>9.9499999999999993</v>
      </c>
      <c r="C103">
        <v>10.125999999999999</v>
      </c>
      <c r="D103">
        <v>9.4</v>
      </c>
      <c r="E103">
        <v>9.4619999999999997</v>
      </c>
      <c r="F103">
        <v>1595802.1</v>
      </c>
      <c r="G103">
        <v>9.4619999999999997</v>
      </c>
      <c r="L103" t="s">
        <v>8</v>
      </c>
      <c r="M103" t="s">
        <v>7</v>
      </c>
      <c r="N103" t="s">
        <v>7</v>
      </c>
      <c r="P103">
        <f t="shared" ref="P103" si="490">IF(C103=D103,0,((E103-D103)-(C103-E103))/(C103-D103))</f>
        <v>-0.82920110192837615</v>
      </c>
      <c r="Q103">
        <f t="shared" ref="Q103" si="491">F103*P103</f>
        <v>-1323240.8597796168</v>
      </c>
      <c r="R103">
        <f t="shared" ref="R103" si="492">R104+Q103</f>
        <v>9770296.1285302937</v>
      </c>
      <c r="S103">
        <f t="shared" ref="S103" si="493">R103/100000</f>
        <v>97.702961285302933</v>
      </c>
      <c r="T103">
        <f t="shared" ref="T103" si="494">S103/1000</f>
        <v>9.7702961285302939E-2</v>
      </c>
    </row>
    <row r="104" spans="1:20" x14ac:dyDescent="0.25">
      <c r="A104" s="5">
        <v>44489</v>
      </c>
      <c r="B104">
        <v>9.3970000000000002</v>
      </c>
      <c r="C104">
        <v>10.054</v>
      </c>
      <c r="D104">
        <v>9.3160000000000007</v>
      </c>
      <c r="E104">
        <v>9.952</v>
      </c>
      <c r="F104">
        <v>1357137.6</v>
      </c>
      <c r="G104">
        <v>9.952</v>
      </c>
      <c r="L104" t="s">
        <v>8</v>
      </c>
      <c r="M104" t="s">
        <v>7</v>
      </c>
      <c r="N104" t="s">
        <v>7</v>
      </c>
      <c r="P104">
        <f t="shared" ref="P104" si="495">IF(C104=D104,0,((E104-D104)-(C104-E104))/(C104-D104))</f>
        <v>0.72357723577235666</v>
      </c>
      <c r="Q104">
        <f t="shared" ref="Q104" si="496">F104*P104</f>
        <v>981993.87317073031</v>
      </c>
      <c r="R104">
        <f t="shared" ref="R104" si="497">R105+Q104</f>
        <v>11093536.988309911</v>
      </c>
      <c r="S104">
        <f t="shared" ref="S104" si="498">R104/100000</f>
        <v>110.9353698830991</v>
      </c>
      <c r="T104">
        <f t="shared" ref="T104" si="499">S104/1000</f>
        <v>0.1109353698830991</v>
      </c>
    </row>
    <row r="105" spans="1:20" x14ac:dyDescent="0.25">
      <c r="A105" s="5">
        <v>44488</v>
      </c>
      <c r="B105">
        <v>9.4039999999999999</v>
      </c>
      <c r="C105">
        <v>9.5359999999999996</v>
      </c>
      <c r="D105">
        <v>9.2010000000000005</v>
      </c>
      <c r="E105">
        <v>9.3979999999999997</v>
      </c>
      <c r="F105">
        <v>942470.8</v>
      </c>
      <c r="G105">
        <v>9.3979999999999997</v>
      </c>
      <c r="L105" t="s">
        <v>7</v>
      </c>
      <c r="M105" t="s">
        <v>7</v>
      </c>
      <c r="N105" t="s">
        <v>7</v>
      </c>
      <c r="P105">
        <f t="shared" ref="P105" si="500">IF(C105=D105,0,((E105-D105)-(C105-E105))/(C105-D105))</f>
        <v>0.17611940298507295</v>
      </c>
      <c r="Q105">
        <f t="shared" ref="Q105" si="501">F105*P105</f>
        <v>165987.39462686409</v>
      </c>
      <c r="R105">
        <f t="shared" ref="R105" si="502">R106+Q105</f>
        <v>10111543.115139181</v>
      </c>
      <c r="S105">
        <f t="shared" ref="S105" si="503">R105/100000</f>
        <v>101.1154311513918</v>
      </c>
      <c r="T105">
        <f t="shared" ref="T105" si="504">S105/1000</f>
        <v>0.10111543115139181</v>
      </c>
    </row>
    <row r="106" spans="1:20" x14ac:dyDescent="0.25">
      <c r="A106" s="5">
        <v>44487</v>
      </c>
      <c r="B106">
        <v>9.5609999999999999</v>
      </c>
      <c r="C106">
        <v>9.6769999999999996</v>
      </c>
      <c r="D106">
        <v>9.2330000000000005</v>
      </c>
      <c r="E106">
        <v>9.407</v>
      </c>
      <c r="F106">
        <v>898907.9</v>
      </c>
      <c r="G106">
        <v>9.407</v>
      </c>
      <c r="L106" t="s">
        <v>7</v>
      </c>
      <c r="M106" t="s">
        <v>7</v>
      </c>
      <c r="N106" t="s">
        <v>7</v>
      </c>
      <c r="P106">
        <f t="shared" ref="P106" si="505">IF(C106=D106,0,((E106-D106)-(C106-E106))/(C106-D106))</f>
        <v>-0.21621621621621687</v>
      </c>
      <c r="Q106">
        <f t="shared" ref="Q106" si="506">F106*P106</f>
        <v>-194358.46486486544</v>
      </c>
      <c r="R106">
        <f t="shared" ref="R106" si="507">R107+Q106</f>
        <v>9945555.7205123175</v>
      </c>
      <c r="S106">
        <f t="shared" ref="S106" si="508">R106/100000</f>
        <v>99.455557205123171</v>
      </c>
      <c r="T106">
        <f t="shared" ref="T106" si="509">S106/1000</f>
        <v>9.9455557205123168E-2</v>
      </c>
    </row>
    <row r="107" spans="1:20" x14ac:dyDescent="0.25">
      <c r="A107" s="5">
        <v>44486</v>
      </c>
      <c r="B107">
        <v>9.782</v>
      </c>
      <c r="C107">
        <v>9.9450000000000003</v>
      </c>
      <c r="D107">
        <v>9.2089999999999996</v>
      </c>
      <c r="E107">
        <v>9.5609999999999999</v>
      </c>
      <c r="F107">
        <v>896989.1</v>
      </c>
      <c r="G107">
        <v>9.5609999999999999</v>
      </c>
      <c r="L107" t="s">
        <v>7</v>
      </c>
      <c r="M107" t="s">
        <v>7</v>
      </c>
      <c r="N107" t="s">
        <v>7</v>
      </c>
      <c r="P107">
        <f t="shared" ref="P107" si="510">IF(C107=D107,0,((E107-D107)-(C107-E107))/(C107-D107))</f>
        <v>-4.3478260869565216E-2</v>
      </c>
      <c r="Q107">
        <f t="shared" ref="Q107" si="511">F107*P107</f>
        <v>-38999.526086956517</v>
      </c>
      <c r="R107">
        <f t="shared" ref="R107" si="512">R108+Q107</f>
        <v>10139914.185377182</v>
      </c>
      <c r="S107">
        <f t="shared" ref="S107" si="513">R107/100000</f>
        <v>101.39914185377182</v>
      </c>
      <c r="T107">
        <f t="shared" ref="T107" si="514">S107/1000</f>
        <v>0.10139914185377183</v>
      </c>
    </row>
    <row r="108" spans="1:20" x14ac:dyDescent="0.25">
      <c r="A108" s="5">
        <v>44485</v>
      </c>
      <c r="B108">
        <v>9.75</v>
      </c>
      <c r="C108">
        <v>10.114000000000001</v>
      </c>
      <c r="D108">
        <v>9.67</v>
      </c>
      <c r="E108">
        <v>9.7759999999999998</v>
      </c>
      <c r="F108">
        <v>1180090.7</v>
      </c>
      <c r="G108">
        <v>9.7759999999999998</v>
      </c>
      <c r="L108" t="s">
        <v>8</v>
      </c>
      <c r="M108" t="s">
        <v>7</v>
      </c>
      <c r="N108" t="s">
        <v>7</v>
      </c>
      <c r="P108">
        <f t="shared" ref="P108" si="515">IF(C108=D108,0,((E108-D108)-(C108-E108))/(C108-D108))</f>
        <v>-0.52252252252252396</v>
      </c>
      <c r="Q108">
        <f t="shared" ref="Q108" si="516">F108*P108</f>
        <v>-616623.96936937107</v>
      </c>
      <c r="R108">
        <f t="shared" ref="R108" si="517">R109+Q108</f>
        <v>10178913.711464139</v>
      </c>
      <c r="S108">
        <f t="shared" ref="S108" si="518">R108/100000</f>
        <v>101.78913711464139</v>
      </c>
      <c r="T108">
        <f t="shared" ref="T108" si="519">S108/1000</f>
        <v>0.1017891371146414</v>
      </c>
    </row>
    <row r="109" spans="1:20" x14ac:dyDescent="0.25">
      <c r="A109" s="5">
        <v>44484</v>
      </c>
      <c r="B109">
        <v>9.9809999999999999</v>
      </c>
      <c r="C109">
        <v>10.342000000000001</v>
      </c>
      <c r="D109">
        <v>9.5869999999999997</v>
      </c>
      <c r="E109">
        <v>9.7490000000000006</v>
      </c>
      <c r="F109">
        <v>2012880.2</v>
      </c>
      <c r="G109">
        <v>9.7490000000000006</v>
      </c>
      <c r="L109" t="s">
        <v>8</v>
      </c>
      <c r="M109" t="s">
        <v>7</v>
      </c>
      <c r="N109" t="s">
        <v>7</v>
      </c>
      <c r="P109">
        <f t="shared" ref="P109" si="520">IF(C109=D109,0,((E109-D109)-(C109-E109))/(C109-D109))</f>
        <v>-0.57086092715231618</v>
      </c>
      <c r="Q109">
        <f t="shared" ref="Q109" si="521">F109*P109</f>
        <v>-1149074.6572185396</v>
      </c>
      <c r="R109">
        <f t="shared" ref="R109" si="522">R110+Q109</f>
        <v>10795537.680833509</v>
      </c>
      <c r="S109">
        <f t="shared" ref="S109" si="523">R109/100000</f>
        <v>107.95537680833509</v>
      </c>
      <c r="T109">
        <f t="shared" ref="T109" si="524">S109/1000</f>
        <v>0.10795537680833509</v>
      </c>
    </row>
    <row r="110" spans="1:20" x14ac:dyDescent="0.25">
      <c r="A110" s="5">
        <v>44483</v>
      </c>
      <c r="B110">
        <v>9.4009999999999998</v>
      </c>
      <c r="C110">
        <v>10.02</v>
      </c>
      <c r="D110">
        <v>9.3510000000000009</v>
      </c>
      <c r="E110">
        <v>9.98</v>
      </c>
      <c r="F110">
        <v>1348508.2</v>
      </c>
      <c r="G110">
        <v>9.98</v>
      </c>
      <c r="L110" t="s">
        <v>8</v>
      </c>
      <c r="M110" t="s">
        <v>7</v>
      </c>
      <c r="N110" t="s">
        <v>7</v>
      </c>
      <c r="P110">
        <f t="shared" ref="P110" si="525">IF(C110=D110,0,((E110-D110)-(C110-E110))/(C110-D110))</f>
        <v>0.88041853512705759</v>
      </c>
      <c r="Q110">
        <f t="shared" ref="Q110" si="526">F110*P110</f>
        <v>1187251.6140508251</v>
      </c>
      <c r="R110">
        <f t="shared" ref="R110" si="527">R111+Q110</f>
        <v>11944612.338052049</v>
      </c>
      <c r="S110">
        <f t="shared" ref="S110" si="528">R110/100000</f>
        <v>119.44612338052049</v>
      </c>
      <c r="T110">
        <f t="shared" ref="T110" si="529">S110/1000</f>
        <v>0.11944612338052049</v>
      </c>
    </row>
    <row r="111" spans="1:20" x14ac:dyDescent="0.25">
      <c r="A111" s="5">
        <v>44482</v>
      </c>
      <c r="B111">
        <v>9.2240000000000002</v>
      </c>
      <c r="C111">
        <v>9.43</v>
      </c>
      <c r="D111">
        <v>9.0579999999999998</v>
      </c>
      <c r="E111">
        <v>9.3970000000000002</v>
      </c>
      <c r="F111">
        <v>1208063.1000000001</v>
      </c>
      <c r="G111">
        <v>9.3970000000000002</v>
      </c>
      <c r="L111" t="s">
        <v>7</v>
      </c>
      <c r="M111" t="s">
        <v>7</v>
      </c>
      <c r="N111" t="s">
        <v>7</v>
      </c>
      <c r="P111">
        <f t="shared" ref="P111" si="530">IF(C111=D111,0,((E111-D111)-(C111-E111))/(C111-D111))</f>
        <v>0.82258064516129314</v>
      </c>
      <c r="Q111">
        <f t="shared" ref="Q111" si="531">F111*P111</f>
        <v>993729.3241935519</v>
      </c>
      <c r="R111">
        <f t="shared" ref="R111" si="532">R112+Q111</f>
        <v>10757360.724001225</v>
      </c>
      <c r="S111">
        <f t="shared" ref="S111" si="533">R111/100000</f>
        <v>107.57360724001225</v>
      </c>
      <c r="T111">
        <f t="shared" ref="T111" si="534">S111/1000</f>
        <v>0.10757360724001225</v>
      </c>
    </row>
    <row r="112" spans="1:20" x14ac:dyDescent="0.25">
      <c r="A112" s="5">
        <v>44481</v>
      </c>
      <c r="B112">
        <v>9.58</v>
      </c>
      <c r="C112">
        <v>9.5860000000000003</v>
      </c>
      <c r="D112">
        <v>8.8759999999999994</v>
      </c>
      <c r="E112">
        <v>9.2170000000000005</v>
      </c>
      <c r="F112">
        <v>1572195.23</v>
      </c>
      <c r="G112">
        <v>9.2170000000000005</v>
      </c>
      <c r="L112" t="s">
        <v>7</v>
      </c>
      <c r="M112" t="s">
        <v>7</v>
      </c>
      <c r="N112" t="s">
        <v>7</v>
      </c>
      <c r="P112">
        <f t="shared" ref="P112" si="535">IF(C112=D112,0,((E112-D112)-(C112-E112))/(C112-D112))</f>
        <v>-3.9436619718307968E-2</v>
      </c>
      <c r="Q112">
        <f t="shared" ref="Q112" si="536">F112*P112</f>
        <v>-62002.065408447728</v>
      </c>
      <c r="R112">
        <f t="shared" ref="R112" si="537">R113+Q112</f>
        <v>9763631.3998076729</v>
      </c>
      <c r="S112">
        <f t="shared" ref="S112" si="538">R112/100000</f>
        <v>97.63631399807673</v>
      </c>
      <c r="T112">
        <f t="shared" ref="T112" si="539">S112/1000</f>
        <v>9.7636313998076735E-2</v>
      </c>
    </row>
    <row r="113" spans="1:20" x14ac:dyDescent="0.25">
      <c r="A113" s="5">
        <v>44480</v>
      </c>
      <c r="B113">
        <v>9.593</v>
      </c>
      <c r="C113">
        <v>10.044</v>
      </c>
      <c r="D113">
        <v>9.3140000000000001</v>
      </c>
      <c r="E113">
        <v>9.5749999999999993</v>
      </c>
      <c r="F113">
        <v>1356615.6</v>
      </c>
      <c r="G113">
        <v>9.5749999999999993</v>
      </c>
      <c r="L113" t="s">
        <v>7</v>
      </c>
      <c r="M113" t="s">
        <v>7</v>
      </c>
      <c r="N113" t="s">
        <v>7</v>
      </c>
      <c r="P113">
        <f t="shared" ref="P113" si="540">IF(C113=D113,0,((E113-D113)-(C113-E113))/(C113-D113))</f>
        <v>-0.28493150684931756</v>
      </c>
      <c r="Q113">
        <f t="shared" ref="Q113" si="541">F113*P113</f>
        <v>-386542.5271232911</v>
      </c>
      <c r="R113">
        <f t="shared" ref="R113" si="542">R114+Q113</f>
        <v>9825633.4652161207</v>
      </c>
      <c r="S113">
        <f t="shared" ref="S113" si="543">R113/100000</f>
        <v>98.2563346521612</v>
      </c>
      <c r="T113">
        <f t="shared" ref="T113" si="544">S113/1000</f>
        <v>9.8256334652161201E-2</v>
      </c>
    </row>
    <row r="114" spans="1:20" x14ac:dyDescent="0.25">
      <c r="A114" s="5">
        <v>44479</v>
      </c>
      <c r="B114">
        <v>10.199999999999999</v>
      </c>
      <c r="C114">
        <v>10.33</v>
      </c>
      <c r="D114">
        <v>9.5570000000000004</v>
      </c>
      <c r="E114">
        <v>9.5950000000000006</v>
      </c>
      <c r="F114">
        <v>1323615.6000000001</v>
      </c>
      <c r="G114">
        <v>9.5950000000000006</v>
      </c>
      <c r="L114" t="s">
        <v>7</v>
      </c>
      <c r="M114" t="s">
        <v>7</v>
      </c>
      <c r="N114" t="s">
        <v>7</v>
      </c>
      <c r="P114">
        <f t="shared" ref="P114" si="545">IF(C114=D114,0,((E114-D114)-(C114-E114))/(C114-D114))</f>
        <v>-0.90168175937904194</v>
      </c>
      <c r="Q114">
        <f t="shared" ref="Q114" si="546">F114*P114</f>
        <v>-1193480.0429495464</v>
      </c>
      <c r="R114">
        <f t="shared" ref="R114" si="547">R115+Q114</f>
        <v>10212175.992339412</v>
      </c>
      <c r="S114">
        <f t="shared" ref="S114" si="548">R114/100000</f>
        <v>102.12175992339412</v>
      </c>
      <c r="T114">
        <f t="shared" ref="T114" si="549">S114/1000</f>
        <v>0.10212175992339412</v>
      </c>
    </row>
    <row r="115" spans="1:20" x14ac:dyDescent="0.25">
      <c r="A115" s="5">
        <v>44478</v>
      </c>
      <c r="B115">
        <v>10.069000000000001</v>
      </c>
      <c r="C115">
        <v>10.412000000000001</v>
      </c>
      <c r="D115">
        <v>9.9109999999999996</v>
      </c>
      <c r="E115">
        <v>10.199999999999999</v>
      </c>
      <c r="F115">
        <v>1571336.5</v>
      </c>
      <c r="G115">
        <v>10.199999999999999</v>
      </c>
      <c r="L115" t="s">
        <v>8</v>
      </c>
      <c r="M115" t="s">
        <v>7</v>
      </c>
      <c r="N115" t="s">
        <v>7</v>
      </c>
      <c r="P115">
        <f t="shared" ref="P115" si="550">IF(C115=D115,0,((E115-D115)-(C115-E115))/(C115-D115))</f>
        <v>0.15369261477045507</v>
      </c>
      <c r="Q115">
        <f t="shared" ref="Q115" si="551">F115*P115</f>
        <v>241502.81536925517</v>
      </c>
      <c r="R115">
        <f t="shared" ref="R115" si="552">R116+Q115</f>
        <v>11405656.035288958</v>
      </c>
      <c r="S115">
        <f t="shared" ref="S115" si="553">R115/100000</f>
        <v>114.05656035288958</v>
      </c>
      <c r="T115">
        <f t="shared" ref="T115" si="554">S115/1000</f>
        <v>0.11405656035288958</v>
      </c>
    </row>
    <row r="116" spans="1:20" x14ac:dyDescent="0.25">
      <c r="A116" s="5">
        <v>44477</v>
      </c>
      <c r="B116">
        <v>10.289</v>
      </c>
      <c r="C116">
        <v>10.472</v>
      </c>
      <c r="D116">
        <v>9.9719999999999995</v>
      </c>
      <c r="E116">
        <v>10.069000000000001</v>
      </c>
      <c r="F116">
        <v>1958022.6</v>
      </c>
      <c r="G116">
        <v>10.069000000000001</v>
      </c>
      <c r="L116" t="s">
        <v>8</v>
      </c>
      <c r="M116" t="s">
        <v>7</v>
      </c>
      <c r="N116" t="s">
        <v>7</v>
      </c>
      <c r="P116">
        <f t="shared" ref="P116" si="555">IF(C116=D116,0,((E116-D116)-(C116-E116))/(C116-D116))</f>
        <v>-0.61199999999999477</v>
      </c>
      <c r="Q116">
        <f t="shared" ref="Q116" si="556">F116*P116</f>
        <v>-1198309.8311999899</v>
      </c>
      <c r="R116">
        <f t="shared" ref="R116" si="557">R117+Q116</f>
        <v>11164153.219919702</v>
      </c>
      <c r="S116">
        <f t="shared" ref="S116" si="558">R116/100000</f>
        <v>111.64153219919702</v>
      </c>
      <c r="T116">
        <f t="shared" ref="T116" si="559">S116/1000</f>
        <v>0.11164153219919702</v>
      </c>
    </row>
    <row r="117" spans="1:20" x14ac:dyDescent="0.25">
      <c r="A117" s="5">
        <v>44476</v>
      </c>
      <c r="B117">
        <v>10.257999999999999</v>
      </c>
      <c r="C117">
        <v>10.439</v>
      </c>
      <c r="D117">
        <v>9.9060000000000006</v>
      </c>
      <c r="E117">
        <v>10.287000000000001</v>
      </c>
      <c r="F117">
        <v>1751487.5</v>
      </c>
      <c r="G117">
        <v>10.287000000000001</v>
      </c>
      <c r="L117" t="s">
        <v>8</v>
      </c>
      <c r="M117" t="s">
        <v>7</v>
      </c>
      <c r="N117" t="s">
        <v>7</v>
      </c>
      <c r="P117">
        <f t="shared" ref="P117" si="560">IF(C117=D117,0,((E117-D117)-(C117-E117))/(C117-D117))</f>
        <v>0.4296435272045051</v>
      </c>
      <c r="Q117">
        <f t="shared" ref="Q117" si="561">F117*P117</f>
        <v>752515.2673546006</v>
      </c>
      <c r="R117">
        <f t="shared" ref="R117" si="562">R118+Q117</f>
        <v>12362463.051119693</v>
      </c>
      <c r="S117">
        <f t="shared" ref="S117" si="563">R117/100000</f>
        <v>123.62463051119693</v>
      </c>
      <c r="T117">
        <f t="shared" ref="T117" si="564">S117/1000</f>
        <v>0.12362463051119693</v>
      </c>
    </row>
    <row r="118" spans="1:20" x14ac:dyDescent="0.25">
      <c r="A118" s="5">
        <v>44475</v>
      </c>
      <c r="B118">
        <v>10.506</v>
      </c>
      <c r="C118">
        <v>10.519</v>
      </c>
      <c r="D118">
        <v>9.6229999999999993</v>
      </c>
      <c r="E118">
        <v>10.249000000000001</v>
      </c>
      <c r="F118">
        <v>1535609.4</v>
      </c>
      <c r="G118">
        <v>10.249000000000001</v>
      </c>
      <c r="L118" t="s">
        <v>7</v>
      </c>
      <c r="M118" t="s">
        <v>7</v>
      </c>
      <c r="N118" t="s">
        <v>7</v>
      </c>
      <c r="P118">
        <f t="shared" ref="P118" si="565">IF(C118=D118,0,((E118-D118)-(C118-E118))/(C118-D118))</f>
        <v>0.39732142857143005</v>
      </c>
      <c r="Q118">
        <f t="shared" ref="Q118" si="566">F118*P118</f>
        <v>610130.52053571655</v>
      </c>
      <c r="R118">
        <f t="shared" ref="R118" si="567">R119+Q118</f>
        <v>11609947.783765092</v>
      </c>
      <c r="S118">
        <f t="shared" ref="S118" si="568">R118/100000</f>
        <v>116.09947783765092</v>
      </c>
      <c r="T118">
        <f t="shared" ref="T118" si="569">S118/1000</f>
        <v>0.11609947783765093</v>
      </c>
    </row>
    <row r="119" spans="1:20" x14ac:dyDescent="0.25">
      <c r="A119" s="5">
        <v>44474</v>
      </c>
      <c r="B119">
        <v>10.28</v>
      </c>
      <c r="C119">
        <v>10.65</v>
      </c>
      <c r="D119">
        <v>10.006</v>
      </c>
      <c r="E119">
        <v>10.5</v>
      </c>
      <c r="F119">
        <v>2301267.9</v>
      </c>
      <c r="G119">
        <v>10.5</v>
      </c>
      <c r="L119" t="s">
        <v>7</v>
      </c>
      <c r="M119" t="s">
        <v>8</v>
      </c>
      <c r="N119" t="s">
        <v>7</v>
      </c>
      <c r="P119">
        <f t="shared" ref="P119" si="570">IF(C119=D119,0,((E119-D119)-(C119-E119))/(C119-D119))</f>
        <v>0.53416149068322882</v>
      </c>
      <c r="Q119">
        <f t="shared" ref="Q119" si="571">F119*P119</f>
        <v>1229248.6919254635</v>
      </c>
      <c r="R119">
        <f t="shared" ref="R119" si="572">R120+Q119</f>
        <v>10999817.263229376</v>
      </c>
      <c r="S119">
        <f t="shared" ref="S119" si="573">R119/100000</f>
        <v>109.99817263229376</v>
      </c>
      <c r="T119">
        <f t="shared" ref="T119" si="574">S119/1000</f>
        <v>0.10999817263229376</v>
      </c>
    </row>
    <row r="120" spans="1:20" x14ac:dyDescent="0.25">
      <c r="A120" s="5">
        <v>44473</v>
      </c>
      <c r="B120">
        <v>10.694000000000001</v>
      </c>
      <c r="C120">
        <v>10.73</v>
      </c>
      <c r="D120">
        <v>10.071999999999999</v>
      </c>
      <c r="E120">
        <v>10.352</v>
      </c>
      <c r="F120">
        <v>1309439.3</v>
      </c>
      <c r="G120">
        <v>10.352</v>
      </c>
      <c r="L120" t="s">
        <v>7</v>
      </c>
      <c r="M120" t="s">
        <v>8</v>
      </c>
      <c r="N120" t="s">
        <v>7</v>
      </c>
      <c r="P120">
        <f t="shared" ref="P120" si="575">IF(C120=D120,0,((E120-D120)-(C120-E120))/(C120-D120))</f>
        <v>-0.14893617021276412</v>
      </c>
      <c r="Q120">
        <f t="shared" ref="Q120" si="576">F120*P120</f>
        <v>-195022.87446808271</v>
      </c>
      <c r="R120">
        <f t="shared" ref="R120" si="577">R121+Q120</f>
        <v>9770568.5713039115</v>
      </c>
      <c r="S120">
        <f t="shared" ref="S120" si="578">R120/100000</f>
        <v>97.705685713039117</v>
      </c>
      <c r="T120">
        <f t="shared" ref="T120" si="579">S120/1000</f>
        <v>9.7705685713039114E-2</v>
      </c>
    </row>
    <row r="121" spans="1:20" x14ac:dyDescent="0.25">
      <c r="A121" s="5">
        <v>44472</v>
      </c>
      <c r="B121">
        <v>10.773</v>
      </c>
      <c r="C121">
        <v>11.239000000000001</v>
      </c>
      <c r="D121">
        <v>10.5</v>
      </c>
      <c r="E121">
        <v>10.714</v>
      </c>
      <c r="F121">
        <v>1220421.1000000001</v>
      </c>
      <c r="G121">
        <v>10.714</v>
      </c>
      <c r="L121" t="s">
        <v>7</v>
      </c>
      <c r="M121" t="s">
        <v>8</v>
      </c>
      <c r="N121" t="s">
        <v>7</v>
      </c>
      <c r="P121">
        <f t="shared" ref="P121" si="580">IF(C121=D121,0,((E121-D121)-(C121-E121))/(C121-D121))</f>
        <v>-0.42083897158322003</v>
      </c>
      <c r="Q121">
        <f t="shared" ref="Q121" si="581">F121*P121</f>
        <v>-513600.7606224622</v>
      </c>
      <c r="R121">
        <f t="shared" ref="R121" si="582">R122+Q121</f>
        <v>9965591.4457719941</v>
      </c>
      <c r="S121">
        <f t="shared" ref="S121" si="583">R121/100000</f>
        <v>99.655914457719945</v>
      </c>
      <c r="T121">
        <f t="shared" ref="T121" si="584">S121/1000</f>
        <v>9.9655914457719944E-2</v>
      </c>
    </row>
    <row r="122" spans="1:20" x14ac:dyDescent="0.25">
      <c r="A122" s="5">
        <v>44471</v>
      </c>
      <c r="B122">
        <v>10.491</v>
      </c>
      <c r="C122">
        <v>11.474</v>
      </c>
      <c r="D122">
        <v>10.281000000000001</v>
      </c>
      <c r="E122">
        <v>10.766999999999999</v>
      </c>
      <c r="F122">
        <v>1699816.7</v>
      </c>
      <c r="G122">
        <v>10.766999999999999</v>
      </c>
      <c r="L122" t="s">
        <v>8</v>
      </c>
      <c r="M122" t="s">
        <v>8</v>
      </c>
      <c r="N122" t="s">
        <v>7</v>
      </c>
      <c r="P122">
        <f t="shared" ref="P122" si="585">IF(C122=D122,0,((E122-D122)-(C122-E122))/(C122-D122))</f>
        <v>-0.18524727577535788</v>
      </c>
      <c r="Q122">
        <f t="shared" ref="Q122" si="586">F122*P122</f>
        <v>-314886.41299245873</v>
      </c>
      <c r="R122">
        <f t="shared" ref="R122" si="587">R123+Q122</f>
        <v>10479192.206394456</v>
      </c>
      <c r="S122">
        <f t="shared" ref="S122" si="588">R122/100000</f>
        <v>104.79192206394457</v>
      </c>
      <c r="T122">
        <f t="shared" ref="T122" si="589">S122/1000</f>
        <v>0.10479192206394457</v>
      </c>
    </row>
    <row r="123" spans="1:20" x14ac:dyDescent="0.25">
      <c r="A123" s="5">
        <v>44470</v>
      </c>
      <c r="B123">
        <v>9.6029999999999998</v>
      </c>
      <c r="C123">
        <v>10.5</v>
      </c>
      <c r="D123">
        <v>9.5220000000000002</v>
      </c>
      <c r="E123">
        <v>10.49</v>
      </c>
      <c r="F123">
        <v>1515849.4</v>
      </c>
      <c r="G123">
        <v>10.49</v>
      </c>
      <c r="L123" t="s">
        <v>8</v>
      </c>
      <c r="M123" t="s">
        <v>7</v>
      </c>
      <c r="N123" t="s">
        <v>7</v>
      </c>
      <c r="P123">
        <f t="shared" ref="P123" si="590">IF(C123=D123,0,((E123-D123)-(C123-E123))/(C123-D123))</f>
        <v>0.97955010224948913</v>
      </c>
      <c r="Q123">
        <f t="shared" ref="Q123" si="591">F123*P123</f>
        <v>1484850.4347648267</v>
      </c>
      <c r="R123">
        <f t="shared" ref="R123" si="592">R124+Q123</f>
        <v>10794078.619386915</v>
      </c>
      <c r="S123">
        <f t="shared" ref="S123" si="593">R123/100000</f>
        <v>107.94078619386916</v>
      </c>
      <c r="T123">
        <f t="shared" ref="T123" si="594">S123/1000</f>
        <v>0.10794078619386915</v>
      </c>
    </row>
    <row r="124" spans="1:20" x14ac:dyDescent="0.25">
      <c r="A124" s="5">
        <v>44469</v>
      </c>
      <c r="B124">
        <v>9.282</v>
      </c>
      <c r="C124">
        <v>9.7590000000000003</v>
      </c>
      <c r="D124">
        <v>9.2530000000000001</v>
      </c>
      <c r="E124">
        <v>9.6</v>
      </c>
      <c r="F124">
        <v>1362529.4</v>
      </c>
      <c r="G124">
        <v>9.6</v>
      </c>
      <c r="L124" t="s">
        <v>8</v>
      </c>
      <c r="M124" t="s">
        <v>7</v>
      </c>
      <c r="N124" t="s">
        <v>7</v>
      </c>
      <c r="P124">
        <f t="shared" ref="P124" si="595">IF(C124=D124,0,((E124-D124)-(C124-E124))/(C124-D124))</f>
        <v>0.37154150197628211</v>
      </c>
      <c r="Q124">
        <f t="shared" ref="Q124" si="596">F124*P124</f>
        <v>506236.21976284246</v>
      </c>
      <c r="R124">
        <f t="shared" ref="R124" si="597">R125+Q124</f>
        <v>9309228.1846220884</v>
      </c>
      <c r="S124">
        <f t="shared" ref="S124" si="598">R124/100000</f>
        <v>93.092281846220885</v>
      </c>
      <c r="T124">
        <f t="shared" ref="T124" si="599">S124/1000</f>
        <v>9.3092281846220884E-2</v>
      </c>
    </row>
    <row r="125" spans="1:20" x14ac:dyDescent="0.25">
      <c r="A125" s="5">
        <v>44468</v>
      </c>
      <c r="B125">
        <v>9.31</v>
      </c>
      <c r="C125">
        <v>9.91</v>
      </c>
      <c r="D125">
        <v>9.14</v>
      </c>
      <c r="E125">
        <v>9.2810000000000006</v>
      </c>
      <c r="F125">
        <v>987975.2</v>
      </c>
      <c r="G125">
        <v>9.2810000000000006</v>
      </c>
      <c r="L125" t="s">
        <v>7</v>
      </c>
      <c r="M125" t="s">
        <v>7</v>
      </c>
      <c r="N125" t="s">
        <v>7</v>
      </c>
      <c r="P125">
        <f t="shared" ref="P125" si="600">IF(C125=D125,0,((E125-D125)-(C125-E125))/(C125-D125))</f>
        <v>-0.63376623376623353</v>
      </c>
      <c r="Q125">
        <f t="shared" ref="Q125" si="601">F125*P125</f>
        <v>-626145.32155844127</v>
      </c>
      <c r="R125">
        <f t="shared" ref="R125" si="602">R126+Q125</f>
        <v>8802991.9648592453</v>
      </c>
      <c r="S125">
        <f t="shared" ref="S125" si="603">R125/100000</f>
        <v>88.029919648592454</v>
      </c>
      <c r="T125">
        <f t="shared" ref="T125" si="604">S125/1000</f>
        <v>8.8029919648592456E-2</v>
      </c>
    </row>
    <row r="126" spans="1:20" x14ac:dyDescent="0.25">
      <c r="A126" s="5">
        <v>44467</v>
      </c>
      <c r="B126">
        <v>9.827</v>
      </c>
      <c r="C126">
        <v>10.061999999999999</v>
      </c>
      <c r="D126">
        <v>9.2240000000000002</v>
      </c>
      <c r="E126">
        <v>9.3070000000000004</v>
      </c>
      <c r="F126">
        <v>1188912.2</v>
      </c>
      <c r="G126">
        <v>9.3070000000000004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-0.80190930787589432</v>
      </c>
      <c r="Q126">
        <f t="shared" ref="Q126" si="606">F126*P126</f>
        <v>-953399.75942720682</v>
      </c>
      <c r="R126">
        <f t="shared" ref="R126" si="607">R127+Q126</f>
        <v>9429137.2864176873</v>
      </c>
      <c r="S126">
        <f t="shared" ref="S126" si="608">R126/100000</f>
        <v>94.291372864176878</v>
      </c>
      <c r="T126">
        <f t="shared" ref="T126" si="609">S126/1000</f>
        <v>9.4291372864176881E-2</v>
      </c>
    </row>
    <row r="127" spans="1:20" x14ac:dyDescent="0.25">
      <c r="A127" s="5">
        <v>44466</v>
      </c>
      <c r="B127">
        <v>10.452</v>
      </c>
      <c r="C127">
        <v>11.148999999999999</v>
      </c>
      <c r="D127">
        <v>9.7899999999999991</v>
      </c>
      <c r="E127">
        <v>9.8320000000000007</v>
      </c>
      <c r="F127">
        <v>1625957.5</v>
      </c>
      <c r="G127">
        <v>9.8320000000000007</v>
      </c>
      <c r="L127" t="s">
        <v>8</v>
      </c>
      <c r="M127" t="s">
        <v>8</v>
      </c>
      <c r="N127" t="s">
        <v>7</v>
      </c>
      <c r="P127">
        <f t="shared" ref="P127" si="610">IF(C127=D127,0,((E127-D127)-(C127-E127))/(C127-D127))</f>
        <v>-0.93818984547461137</v>
      </c>
      <c r="Q127">
        <f t="shared" ref="Q127" si="611">F127*P127</f>
        <v>-1525456.8156732854</v>
      </c>
      <c r="R127">
        <f t="shared" ref="R127" si="612">R128+Q127</f>
        <v>10382537.045844894</v>
      </c>
      <c r="S127">
        <f t="shared" ref="S127" si="613">R127/100000</f>
        <v>103.82537045844894</v>
      </c>
      <c r="T127">
        <f t="shared" ref="T127" si="614">S127/1000</f>
        <v>0.10382537045844895</v>
      </c>
    </row>
    <row r="128" spans="1:20" x14ac:dyDescent="0.25">
      <c r="A128" s="5">
        <v>44465</v>
      </c>
      <c r="B128">
        <v>10.170999999999999</v>
      </c>
      <c r="C128">
        <v>10.736000000000001</v>
      </c>
      <c r="D128">
        <v>9.25</v>
      </c>
      <c r="E128">
        <v>10.465999999999999</v>
      </c>
      <c r="F128">
        <v>2084583.9</v>
      </c>
      <c r="G128">
        <v>10.465999999999999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0.63660834454912352</v>
      </c>
      <c r="Q128">
        <f t="shared" ref="Q128" si="616">F128*P128</f>
        <v>1327063.5056527555</v>
      </c>
      <c r="R128">
        <f t="shared" ref="R128" si="617">R129+Q128</f>
        <v>11907993.86151818</v>
      </c>
      <c r="S128">
        <f t="shared" ref="S128" si="618">R128/100000</f>
        <v>119.0799386151818</v>
      </c>
      <c r="T128">
        <f t="shared" ref="T128" si="619">S128/1000</f>
        <v>0.1190799386151818</v>
      </c>
    </row>
    <row r="129" spans="1:20" x14ac:dyDescent="0.25">
      <c r="A129" s="5">
        <v>44464</v>
      </c>
      <c r="B129">
        <v>10.505000000000001</v>
      </c>
      <c r="C129">
        <v>10.691000000000001</v>
      </c>
      <c r="D129">
        <v>9.9700000000000006</v>
      </c>
      <c r="E129">
        <v>10.177</v>
      </c>
      <c r="F129">
        <v>1143979.3999999999</v>
      </c>
      <c r="G129">
        <v>10.177</v>
      </c>
      <c r="L129" t="s">
        <v>8</v>
      </c>
      <c r="M129" t="s">
        <v>7</v>
      </c>
      <c r="N129" t="s">
        <v>7</v>
      </c>
      <c r="P129">
        <f t="shared" ref="P129" si="620">IF(C129=D129,0,((E129-D129)-(C129-E129))/(C129-D129))</f>
        <v>-0.4257975034674093</v>
      </c>
      <c r="Q129">
        <f t="shared" ref="Q129" si="621">F129*P129</f>
        <v>-487103.57253814477</v>
      </c>
      <c r="R129">
        <f t="shared" ref="R129" si="622">R130+Q129</f>
        <v>10580930.355865424</v>
      </c>
      <c r="S129">
        <f t="shared" ref="S129" si="623">R129/100000</f>
        <v>105.80930355865425</v>
      </c>
      <c r="T129">
        <f t="shared" ref="T129" si="624">S129/1000</f>
        <v>0.10580930355865426</v>
      </c>
    </row>
    <row r="130" spans="1:20" x14ac:dyDescent="0.25">
      <c r="A130" s="5">
        <v>44463</v>
      </c>
      <c r="B130">
        <v>11.738</v>
      </c>
      <c r="C130">
        <v>11.792999999999999</v>
      </c>
      <c r="D130">
        <v>9.7629999999999999</v>
      </c>
      <c r="E130">
        <v>10.507</v>
      </c>
      <c r="F130">
        <v>2184462.7999999998</v>
      </c>
      <c r="G130">
        <v>10.507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-0.26699507389162563</v>
      </c>
      <c r="Q130">
        <f t="shared" ref="Q130" si="626">F130*P130</f>
        <v>-583240.8066995074</v>
      </c>
      <c r="R130">
        <f t="shared" ref="R130" si="627">R131+Q130</f>
        <v>11068033.928403569</v>
      </c>
      <c r="S130">
        <f t="shared" ref="S130" si="628">R130/100000</f>
        <v>110.6803392840357</v>
      </c>
      <c r="T130">
        <f t="shared" ref="T130" si="629">S130/1000</f>
        <v>0.1106803392840357</v>
      </c>
    </row>
    <row r="131" spans="1:20" x14ac:dyDescent="0.25">
      <c r="A131" s="5">
        <v>44462</v>
      </c>
      <c r="B131">
        <v>10.92</v>
      </c>
      <c r="C131">
        <v>12.106</v>
      </c>
      <c r="D131">
        <v>10.632999999999999</v>
      </c>
      <c r="E131">
        <v>11.737</v>
      </c>
      <c r="F131">
        <v>1914599.1</v>
      </c>
      <c r="G131">
        <v>11.737</v>
      </c>
      <c r="L131" t="s">
        <v>8</v>
      </c>
      <c r="M131" t="s">
        <v>8</v>
      </c>
      <c r="N131" t="s">
        <v>7</v>
      </c>
      <c r="P131">
        <f t="shared" ref="P131" si="630">IF(C131=D131,0,((E131-D131)-(C131-E131))/(C131-D131))</f>
        <v>0.49898167006110034</v>
      </c>
      <c r="Q131">
        <f t="shared" ref="Q131" si="631">F131*P131</f>
        <v>955349.85641547968</v>
      </c>
      <c r="R131">
        <f t="shared" ref="R131" si="632">R132+Q131</f>
        <v>11651274.735103076</v>
      </c>
      <c r="S131">
        <f t="shared" ref="S131" si="633">R131/100000</f>
        <v>116.51274735103077</v>
      </c>
      <c r="T131">
        <f t="shared" ref="T131" si="634">S131/1000</f>
        <v>0.11651274735103077</v>
      </c>
    </row>
    <row r="132" spans="1:20" x14ac:dyDescent="0.25">
      <c r="A132" s="5">
        <v>44461</v>
      </c>
      <c r="B132">
        <v>9.5239999999999991</v>
      </c>
      <c r="C132">
        <v>10.989000000000001</v>
      </c>
      <c r="D132">
        <v>9.3350000000000009</v>
      </c>
      <c r="E132">
        <v>10.920999999999999</v>
      </c>
      <c r="F132">
        <v>1856659</v>
      </c>
      <c r="G132">
        <v>10.920999999999999</v>
      </c>
      <c r="L132" t="s">
        <v>8</v>
      </c>
      <c r="M132" t="s">
        <v>8</v>
      </c>
      <c r="N132" t="s">
        <v>7</v>
      </c>
      <c r="P132">
        <f t="shared" ref="P132" si="635">IF(C132=D132,0,((E132-D132)-(C132-E132))/(C132-D132))</f>
        <v>0.91777509068923657</v>
      </c>
      <c r="Q132">
        <f t="shared" ref="Q132" si="636">F132*P132</f>
        <v>1703995.3821039873</v>
      </c>
      <c r="R132">
        <f t="shared" ref="R132" si="637">R133+Q132</f>
        <v>10695924.878687596</v>
      </c>
      <c r="S132">
        <f t="shared" ref="S132" si="638">R132/100000</f>
        <v>106.95924878687596</v>
      </c>
      <c r="T132">
        <f t="shared" ref="T132" si="639">S132/1000</f>
        <v>0.10695924878687596</v>
      </c>
    </row>
    <row r="133" spans="1:20" x14ac:dyDescent="0.25">
      <c r="A133" s="5">
        <v>44460</v>
      </c>
      <c r="B133">
        <v>10.638999999999999</v>
      </c>
      <c r="C133">
        <v>11.058999999999999</v>
      </c>
      <c r="D133">
        <v>9.2409999999999997</v>
      </c>
      <c r="E133">
        <v>9.5180000000000007</v>
      </c>
      <c r="F133">
        <v>2441863.2999999998</v>
      </c>
      <c r="G133">
        <v>9.5180000000000007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-0.69526952695269406</v>
      </c>
      <c r="Q133">
        <f t="shared" ref="Q133" si="641">F133*P133</f>
        <v>-1697753.1414741443</v>
      </c>
      <c r="R133">
        <f t="shared" ref="R133" si="642">R134+Q133</f>
        <v>8991929.4965836089</v>
      </c>
      <c r="S133">
        <f t="shared" ref="S133" si="643">R133/100000</f>
        <v>89.919294965836087</v>
      </c>
      <c r="T133">
        <f t="shared" ref="T133" si="644">S133/1000</f>
        <v>8.9919294965836088E-2</v>
      </c>
    </row>
    <row r="134" spans="1:20" x14ac:dyDescent="0.25">
      <c r="A134" s="5">
        <v>44459</v>
      </c>
      <c r="B134">
        <v>12.826000000000001</v>
      </c>
      <c r="C134">
        <v>12.884</v>
      </c>
      <c r="D134">
        <v>10.88</v>
      </c>
      <c r="E134">
        <v>11.085000000000001</v>
      </c>
      <c r="F134">
        <v>1727112.8</v>
      </c>
      <c r="G134">
        <v>11.085000000000001</v>
      </c>
      <c r="L134" t="s">
        <v>7</v>
      </c>
      <c r="M134" t="s">
        <v>7</v>
      </c>
      <c r="N134" t="s">
        <v>8</v>
      </c>
      <c r="P134">
        <f t="shared" ref="P134" si="645">IF(C134=D134,0,((E134-D134)-(C134-E134))/(C134-D134))</f>
        <v>-0.79540918163672647</v>
      </c>
      <c r="Q134">
        <f t="shared" ref="Q134" si="646">F134*P134</f>
        <v>-1373761.3788423152</v>
      </c>
      <c r="R134">
        <f t="shared" ref="R134" si="647">R135+Q134</f>
        <v>10689682.638057753</v>
      </c>
      <c r="S134">
        <f t="shared" ref="S134" si="648">R134/100000</f>
        <v>106.89682638057754</v>
      </c>
      <c r="T134">
        <f t="shared" ref="T134" si="649">S134/1000</f>
        <v>0.10689682638057754</v>
      </c>
    </row>
    <row r="135" spans="1:20" x14ac:dyDescent="0.25">
      <c r="A135" s="5">
        <v>44458</v>
      </c>
      <c r="B135">
        <v>12.577999999999999</v>
      </c>
      <c r="C135">
        <v>13.35</v>
      </c>
      <c r="D135">
        <v>12.01</v>
      </c>
      <c r="E135">
        <v>12.824999999999999</v>
      </c>
      <c r="F135">
        <v>2395865.4</v>
      </c>
      <c r="G135">
        <v>12.824999999999999</v>
      </c>
      <c r="L135" t="s">
        <v>7</v>
      </c>
      <c r="M135" t="s">
        <v>7</v>
      </c>
      <c r="N135" t="s">
        <v>8</v>
      </c>
      <c r="P135">
        <f t="shared" ref="P135" si="650">IF(C135=D135,0,((E135-D135)-(C135-E135))/(C135-D135))</f>
        <v>0.21641791044776057</v>
      </c>
      <c r="Q135">
        <f t="shared" ref="Q135" si="651">F135*P135</f>
        <v>518508.18358208804</v>
      </c>
      <c r="R135">
        <f t="shared" ref="R135" si="652">R136+Q135</f>
        <v>12063444.016900068</v>
      </c>
      <c r="S135">
        <f t="shared" ref="S135" si="653">R135/100000</f>
        <v>120.63444016900068</v>
      </c>
      <c r="T135">
        <f t="shared" ref="T135" si="654">S135/1000</f>
        <v>0.12063444016900068</v>
      </c>
    </row>
    <row r="136" spans="1:20" x14ac:dyDescent="0.25">
      <c r="A136" s="5">
        <v>44457</v>
      </c>
      <c r="B136">
        <v>12.784000000000001</v>
      </c>
      <c r="C136">
        <v>13.599</v>
      </c>
      <c r="D136">
        <v>12.35</v>
      </c>
      <c r="E136">
        <v>12.586</v>
      </c>
      <c r="F136">
        <v>2459330.2999999998</v>
      </c>
      <c r="G136">
        <v>12.586</v>
      </c>
      <c r="L136" t="s">
        <v>7</v>
      </c>
      <c r="M136" t="s">
        <v>7</v>
      </c>
      <c r="N136" t="s">
        <v>8</v>
      </c>
      <c r="P136">
        <f t="shared" ref="P136" si="655">IF(C136=D136,0,((E136-D136)-(C136-E136))/(C136-D136))</f>
        <v>-0.62209767814251316</v>
      </c>
      <c r="Q136">
        <f t="shared" ref="Q136" si="656">F136*P136</f>
        <v>-1529943.6694155303</v>
      </c>
      <c r="R136">
        <f t="shared" ref="R136" si="657">R137+Q136</f>
        <v>11544935.83331798</v>
      </c>
      <c r="S136">
        <f t="shared" ref="S136" si="658">R136/100000</f>
        <v>115.4493583331798</v>
      </c>
      <c r="T136">
        <f t="shared" ref="T136" si="659">S136/1000</f>
        <v>0.11544935833317981</v>
      </c>
    </row>
    <row r="137" spans="1:20" x14ac:dyDescent="0.25">
      <c r="A137" s="5">
        <v>44456</v>
      </c>
      <c r="B137">
        <v>14.614000000000001</v>
      </c>
      <c r="C137">
        <v>14.96</v>
      </c>
      <c r="D137">
        <v>12.439</v>
      </c>
      <c r="E137">
        <v>12.782</v>
      </c>
      <c r="F137">
        <v>4139611.5</v>
      </c>
      <c r="G137">
        <v>12.782</v>
      </c>
      <c r="L137" t="s">
        <v>7</v>
      </c>
      <c r="M137" t="s">
        <v>7</v>
      </c>
      <c r="N137" t="s">
        <v>8</v>
      </c>
      <c r="P137">
        <f t="shared" ref="P137" si="660">IF(C137=D137,0,((E137-D137)-(C137-E137))/(C137-D137))</f>
        <v>-0.72788575961919888</v>
      </c>
      <c r="Q137">
        <f t="shared" ref="Q137" si="661">F137*P137</f>
        <v>-3013164.2612058711</v>
      </c>
      <c r="R137">
        <f t="shared" ref="R137" si="662">R138+Q137</f>
        <v>13074879.50273351</v>
      </c>
      <c r="S137">
        <f t="shared" ref="S137" si="663">R137/100000</f>
        <v>130.74879502733509</v>
      </c>
      <c r="T137">
        <f t="shared" ref="T137" si="664">S137/1000</f>
        <v>0.13074879502733508</v>
      </c>
    </row>
    <row r="138" spans="1:20" x14ac:dyDescent="0.25">
      <c r="A138" s="5">
        <v>44455</v>
      </c>
      <c r="B138">
        <v>15.015000000000001</v>
      </c>
      <c r="C138">
        <v>15.85</v>
      </c>
      <c r="D138">
        <v>13.85</v>
      </c>
      <c r="E138">
        <v>14.62</v>
      </c>
      <c r="F138">
        <v>4245986.9730000002</v>
      </c>
      <c r="G138">
        <v>14.62</v>
      </c>
      <c r="L138" t="s">
        <v>8</v>
      </c>
      <c r="M138" t="s">
        <v>8</v>
      </c>
      <c r="N138" t="s">
        <v>8</v>
      </c>
      <c r="P138">
        <f t="shared" ref="P138" si="665">IF(C138=D138,0,((E138-D138)-(C138-E138))/(C138-D138))</f>
        <v>-0.23000000000000043</v>
      </c>
      <c r="Q138">
        <f t="shared" ref="Q138" si="666">F138*P138</f>
        <v>-976577.00379000185</v>
      </c>
      <c r="R138">
        <f t="shared" ref="R138" si="667">R139+Q138</f>
        <v>16088043.763939381</v>
      </c>
      <c r="S138">
        <f t="shared" ref="S138" si="668">R138/100000</f>
        <v>160.88043763939382</v>
      </c>
      <c r="T138">
        <f t="shared" ref="T138" si="669">S138/1000</f>
        <v>0.16088043763939383</v>
      </c>
    </row>
    <row r="139" spans="1:20" x14ac:dyDescent="0.25">
      <c r="A139" s="5">
        <v>44454</v>
      </c>
      <c r="B139">
        <v>13.818</v>
      </c>
      <c r="C139">
        <v>15.353999999999999</v>
      </c>
      <c r="D139">
        <v>13.05</v>
      </c>
      <c r="E139">
        <v>15.015000000000001</v>
      </c>
      <c r="F139">
        <v>5000412.8109999998</v>
      </c>
      <c r="G139">
        <v>15.015000000000001</v>
      </c>
      <c r="L139" t="s">
        <v>8</v>
      </c>
      <c r="M139" t="s">
        <v>8</v>
      </c>
      <c r="N139" t="s">
        <v>8</v>
      </c>
      <c r="P139">
        <f t="shared" ref="P139" si="670">IF(C139=D139,0,((E139-D139)-(C139-E139))/(C139-D139))</f>
        <v>0.70572916666666763</v>
      </c>
      <c r="Q139">
        <f t="shared" ref="Q139" si="671">F139*P139</f>
        <v>3528937.166096359</v>
      </c>
      <c r="R139">
        <f t="shared" ref="R139" si="672">R140+Q139</f>
        <v>17064620.767729383</v>
      </c>
      <c r="S139">
        <f t="shared" ref="S139" si="673">R139/100000</f>
        <v>170.64620767729383</v>
      </c>
      <c r="T139">
        <f t="shared" ref="T139" si="674">S139/1000</f>
        <v>0.17064620767729383</v>
      </c>
    </row>
    <row r="140" spans="1:20" x14ac:dyDescent="0.25">
      <c r="A140" s="5">
        <v>44453</v>
      </c>
      <c r="B140">
        <v>12.862</v>
      </c>
      <c r="C140">
        <v>13.983000000000001</v>
      </c>
      <c r="D140">
        <v>12.194000000000001</v>
      </c>
      <c r="E140">
        <v>13.819000000000001</v>
      </c>
      <c r="F140">
        <v>5249648.4000000004</v>
      </c>
      <c r="G140">
        <v>13.819000000000001</v>
      </c>
      <c r="L140" t="s">
        <v>8</v>
      </c>
      <c r="M140" t="s">
        <v>8</v>
      </c>
      <c r="N140" t="s">
        <v>8</v>
      </c>
      <c r="P140">
        <f t="shared" ref="P140" si="675">IF(C140=D140,0,((E140-D140)-(C140-E140))/(C140-D140))</f>
        <v>0.81665735047512611</v>
      </c>
      <c r="Q140">
        <f t="shared" ref="Q140" si="676">F140*P140</f>
        <v>4287163.9532699855</v>
      </c>
      <c r="R140">
        <f t="shared" ref="R140" si="677">R141+Q140</f>
        <v>13535683.601633023</v>
      </c>
      <c r="S140">
        <f t="shared" ref="S140" si="678">R140/100000</f>
        <v>135.35683601633025</v>
      </c>
      <c r="T140">
        <f t="shared" ref="T140" si="679">S140/1000</f>
        <v>0.13535683601633025</v>
      </c>
    </row>
    <row r="141" spans="1:20" x14ac:dyDescent="0.25">
      <c r="A141" s="5">
        <v>44452</v>
      </c>
      <c r="B141">
        <v>10.948</v>
      </c>
      <c r="C141">
        <v>12.942</v>
      </c>
      <c r="D141">
        <v>10.057</v>
      </c>
      <c r="E141">
        <v>12.853999999999999</v>
      </c>
      <c r="F141">
        <v>3311616.6</v>
      </c>
      <c r="G141">
        <v>12.853999999999999</v>
      </c>
      <c r="L141" t="s">
        <v>8</v>
      </c>
      <c r="M141" t="s">
        <v>8</v>
      </c>
      <c r="N141" t="s">
        <v>7</v>
      </c>
      <c r="P141">
        <f t="shared" ref="P141" si="680">IF(C141=D141,0,((E141-D141)-(C141-E141))/(C141-D141))</f>
        <v>0.93899480069324026</v>
      </c>
      <c r="Q141">
        <f t="shared" ref="Q141" si="681">F141*P141</f>
        <v>3109590.769289426</v>
      </c>
      <c r="R141">
        <f t="shared" ref="R141" si="682">R142+Q141</f>
        <v>9248519.648363037</v>
      </c>
      <c r="S141">
        <f t="shared" ref="S141" si="683">R141/100000</f>
        <v>92.485196483630375</v>
      </c>
      <c r="T141">
        <f t="shared" ref="T141" si="684">S141/1000</f>
        <v>9.2485196483630377E-2</v>
      </c>
    </row>
    <row r="142" spans="1:20" x14ac:dyDescent="0.25">
      <c r="A142" s="5">
        <v>44451</v>
      </c>
      <c r="B142">
        <v>10.826000000000001</v>
      </c>
      <c r="C142">
        <v>11.443</v>
      </c>
      <c r="D142">
        <v>10.574999999999999</v>
      </c>
      <c r="E142">
        <v>10.946999999999999</v>
      </c>
      <c r="F142">
        <v>877546.5</v>
      </c>
      <c r="G142">
        <v>10.946999999999999</v>
      </c>
      <c r="L142" t="s">
        <v>8</v>
      </c>
      <c r="M142" t="s">
        <v>8</v>
      </c>
      <c r="N142" t="s">
        <v>7</v>
      </c>
      <c r="P142">
        <f t="shared" ref="P142" si="685">IF(C142=D142,0,((E142-D142)-(C142-E142))/(C142-D142))</f>
        <v>-0.14285714285714343</v>
      </c>
      <c r="Q142">
        <f t="shared" ref="Q142" si="686">F142*P142</f>
        <v>-125363.78571428622</v>
      </c>
      <c r="R142">
        <f t="shared" ref="R142" si="687">R143+Q142</f>
        <v>6138928.8790736115</v>
      </c>
      <c r="S142">
        <f t="shared" ref="S142" si="688">R142/100000</f>
        <v>61.389288790736117</v>
      </c>
      <c r="T142">
        <f t="shared" ref="T142" si="689">S142/1000</f>
        <v>6.1389288790736116E-2</v>
      </c>
    </row>
    <row r="143" spans="1:20" x14ac:dyDescent="0.25">
      <c r="A143" s="5">
        <v>44450</v>
      </c>
      <c r="B143">
        <v>10.56</v>
      </c>
      <c r="C143">
        <v>11.074999999999999</v>
      </c>
      <c r="D143">
        <v>10.474</v>
      </c>
      <c r="E143">
        <v>10.826000000000001</v>
      </c>
      <c r="F143">
        <v>794031.4</v>
      </c>
      <c r="G143">
        <v>10.826000000000001</v>
      </c>
      <c r="L143" t="s">
        <v>7</v>
      </c>
      <c r="M143" t="s">
        <v>8</v>
      </c>
      <c r="N143" t="s">
        <v>7</v>
      </c>
      <c r="P143">
        <f t="shared" ref="P143" si="690">IF(C143=D143,0,((E143-D143)-(C143-E143))/(C143-D143))</f>
        <v>0.17138103161397952</v>
      </c>
      <c r="Q143">
        <f t="shared" ref="Q143" si="691">F143*P143</f>
        <v>136081.92046589241</v>
      </c>
      <c r="R143">
        <f t="shared" ref="R143" si="692">R144+Q143</f>
        <v>6264292.6647878978</v>
      </c>
      <c r="S143">
        <f t="shared" ref="S143" si="693">R143/100000</f>
        <v>62.64292664787898</v>
      </c>
      <c r="T143">
        <f t="shared" ref="T143" si="694">S143/1000</f>
        <v>6.2642926647878974E-2</v>
      </c>
    </row>
    <row r="144" spans="1:20" x14ac:dyDescent="0.25">
      <c r="A144" s="5">
        <v>44449</v>
      </c>
      <c r="B144">
        <v>11.335000000000001</v>
      </c>
      <c r="C144">
        <v>11.853</v>
      </c>
      <c r="D144">
        <v>10.208</v>
      </c>
      <c r="E144">
        <v>10.561</v>
      </c>
      <c r="F144">
        <v>1650074.4</v>
      </c>
      <c r="G144">
        <v>10.561</v>
      </c>
      <c r="L144" t="s">
        <v>8</v>
      </c>
      <c r="M144" t="s">
        <v>8</v>
      </c>
      <c r="N144" t="s">
        <v>7</v>
      </c>
      <c r="P144">
        <f t="shared" ref="P144" si="695">IF(C144=D144,0,((E144-D144)-(C144-E144))/(C144-D144))</f>
        <v>-0.57082066869300929</v>
      </c>
      <c r="Q144">
        <f t="shared" ref="Q144" si="696">F144*P144</f>
        <v>-941896.57240121602</v>
      </c>
      <c r="R144">
        <f t="shared" ref="R144" si="697">R145+Q144</f>
        <v>6128210.7443220057</v>
      </c>
      <c r="S144">
        <f t="shared" ref="S144" si="698">R144/100000</f>
        <v>61.282107443220056</v>
      </c>
      <c r="T144">
        <f t="shared" ref="T144" si="699">S144/1000</f>
        <v>6.1282107443220053E-2</v>
      </c>
    </row>
    <row r="145" spans="1:20" x14ac:dyDescent="0.25">
      <c r="A145" s="5">
        <v>44448</v>
      </c>
      <c r="B145">
        <v>11.083</v>
      </c>
      <c r="C145">
        <v>11.579000000000001</v>
      </c>
      <c r="D145">
        <v>10.766999999999999</v>
      </c>
      <c r="E145">
        <v>11.333</v>
      </c>
      <c r="F145">
        <v>1509476.7</v>
      </c>
      <c r="G145">
        <v>11.333</v>
      </c>
      <c r="L145" t="s">
        <v>8</v>
      </c>
      <c r="M145" t="s">
        <v>8</v>
      </c>
      <c r="N145" t="s">
        <v>7</v>
      </c>
      <c r="P145">
        <f t="shared" ref="P145" si="700">IF(C145=D145,0,((E145-D145)-(C145-E145))/(C145-D145))</f>
        <v>0.39408866995073871</v>
      </c>
      <c r="Q145">
        <f t="shared" ref="Q145" si="701">F145*P145</f>
        <v>594867.66502463026</v>
      </c>
      <c r="R145">
        <f t="shared" ref="R145" si="702">R146+Q145</f>
        <v>7070107.3167232219</v>
      </c>
      <c r="S145">
        <f t="shared" ref="S145" si="703">R145/100000</f>
        <v>70.701073167232224</v>
      </c>
      <c r="T145">
        <f t="shared" ref="T145" si="704">S145/1000</f>
        <v>7.0701073167232217E-2</v>
      </c>
    </row>
    <row r="146" spans="1:20" x14ac:dyDescent="0.25">
      <c r="A146" s="5">
        <v>44447</v>
      </c>
      <c r="B146">
        <v>10.75</v>
      </c>
      <c r="C146">
        <v>11.347</v>
      </c>
      <c r="D146">
        <v>9.8650000000000002</v>
      </c>
      <c r="E146">
        <v>11.073</v>
      </c>
      <c r="F146">
        <v>3045676.7</v>
      </c>
      <c r="G146">
        <v>11.073</v>
      </c>
      <c r="L146" t="s">
        <v>7</v>
      </c>
      <c r="M146" t="s">
        <v>7</v>
      </c>
      <c r="N146" t="s">
        <v>7</v>
      </c>
      <c r="P146">
        <f t="shared" ref="P146" si="705">IF(C146=D146,0,((E146-D146)-(C146-E146))/(C146-D146))</f>
        <v>0.63022941970310487</v>
      </c>
      <c r="Q146">
        <f t="shared" ref="Q146" si="706">F146*P146</f>
        <v>1919475.0592442674</v>
      </c>
      <c r="R146">
        <f t="shared" ref="R146" si="707">R147+Q146</f>
        <v>6475239.6516985912</v>
      </c>
      <c r="S146">
        <f t="shared" ref="S146" si="708">R146/100000</f>
        <v>64.752396516985911</v>
      </c>
      <c r="T146">
        <f t="shared" ref="T146" si="709">S146/1000</f>
        <v>6.4752396516985916E-2</v>
      </c>
    </row>
    <row r="147" spans="1:20" x14ac:dyDescent="0.25">
      <c r="A147" s="5">
        <v>44446</v>
      </c>
      <c r="B147">
        <v>13.57</v>
      </c>
      <c r="C147">
        <v>14.3</v>
      </c>
      <c r="D147">
        <v>9</v>
      </c>
      <c r="E147">
        <v>10.746</v>
      </c>
      <c r="F147">
        <v>6242731.0669999998</v>
      </c>
      <c r="G147">
        <v>10.746</v>
      </c>
      <c r="L147" t="s">
        <v>8</v>
      </c>
      <c r="M147" t="s">
        <v>8</v>
      </c>
      <c r="N147" t="s">
        <v>7</v>
      </c>
      <c r="P147">
        <f t="shared" ref="P147" si="710">IF(C147=D147,0,((E147-D147)-(C147-E147))/(C147-D147))</f>
        <v>-0.34113207547169805</v>
      </c>
      <c r="Q147">
        <f t="shared" ref="Q147" si="711">F147*P147</f>
        <v>-2129595.8054973581</v>
      </c>
      <c r="R147">
        <f t="shared" ref="R147" si="712">R148+Q147</f>
        <v>4555764.5924543235</v>
      </c>
      <c r="S147">
        <f t="shared" ref="S147" si="713">R147/100000</f>
        <v>45.557645924543237</v>
      </c>
      <c r="T147">
        <f t="shared" ref="T147" si="714">S147/1000</f>
        <v>4.5557645924543234E-2</v>
      </c>
    </row>
    <row r="148" spans="1:20" x14ac:dyDescent="0.25">
      <c r="A148" s="5">
        <v>44445</v>
      </c>
      <c r="B148">
        <v>12.936</v>
      </c>
      <c r="C148">
        <v>13.92</v>
      </c>
      <c r="D148">
        <v>12.4</v>
      </c>
      <c r="E148">
        <v>13.574</v>
      </c>
      <c r="F148">
        <v>3603304.9180000001</v>
      </c>
      <c r="G148">
        <v>13.574</v>
      </c>
      <c r="L148" t="s">
        <v>8</v>
      </c>
      <c r="M148" t="s">
        <v>8</v>
      </c>
      <c r="N148" t="s">
        <v>8</v>
      </c>
      <c r="P148">
        <f t="shared" ref="P148" si="715">IF(C148=D148,0,((E148-D148)-(C148-E148))/(C148-D148))</f>
        <v>0.54473684210526296</v>
      </c>
      <c r="Q148">
        <f t="shared" ref="Q148" si="716">F148*P148</f>
        <v>1962852.9421736836</v>
      </c>
      <c r="R148">
        <f t="shared" ref="R148" si="717">R149+Q148</f>
        <v>6685360.3979516812</v>
      </c>
      <c r="S148">
        <f t="shared" ref="S148" si="718">R148/100000</f>
        <v>66.853603979516805</v>
      </c>
      <c r="T148">
        <f t="shared" ref="T148" si="719">S148/1000</f>
        <v>6.6853603979516799E-2</v>
      </c>
    </row>
    <row r="149" spans="1:20" x14ac:dyDescent="0.25">
      <c r="A149" s="5">
        <v>44444</v>
      </c>
      <c r="B149">
        <v>12.372999999999999</v>
      </c>
      <c r="C149">
        <v>13.12</v>
      </c>
      <c r="D149">
        <v>12.202999999999999</v>
      </c>
      <c r="E149">
        <v>12.933</v>
      </c>
      <c r="F149">
        <v>2204939.1830000002</v>
      </c>
      <c r="G149">
        <v>12.933</v>
      </c>
      <c r="L149" t="s">
        <v>8</v>
      </c>
      <c r="M149" t="s">
        <v>8</v>
      </c>
      <c r="N149" t="s">
        <v>8</v>
      </c>
      <c r="P149">
        <f t="shared" ref="P149" si="720">IF(C149=D149,0,((E149-D149)-(C149-E149))/(C149-D149))</f>
        <v>0.59214830970556287</v>
      </c>
      <c r="Q149">
        <f t="shared" ref="Q149" si="721">F149*P149</f>
        <v>1305651.0102170149</v>
      </c>
      <c r="R149">
        <f t="shared" ref="R149" si="722">R150+Q149</f>
        <v>4722507.4557779981</v>
      </c>
      <c r="S149">
        <f t="shared" ref="S149" si="723">R149/100000</f>
        <v>47.225074557779983</v>
      </c>
      <c r="T149">
        <f t="shared" ref="T149" si="724">S149/1000</f>
        <v>4.7225074557779981E-2</v>
      </c>
    </row>
    <row r="150" spans="1:20" x14ac:dyDescent="0.25">
      <c r="A150" s="5">
        <v>44443</v>
      </c>
      <c r="B150">
        <v>12.452999999999999</v>
      </c>
      <c r="C150">
        <v>12.907999999999999</v>
      </c>
      <c r="D150">
        <v>12.24</v>
      </c>
      <c r="E150">
        <v>12.369</v>
      </c>
      <c r="F150">
        <v>1708582.4</v>
      </c>
      <c r="G150">
        <v>12.369</v>
      </c>
      <c r="L150" t="s">
        <v>8</v>
      </c>
      <c r="M150" t="s">
        <v>8</v>
      </c>
      <c r="N150" t="s">
        <v>8</v>
      </c>
      <c r="P150">
        <f t="shared" ref="P150" si="725">IF(C150=D150,0,((E150-D150)-(C150-E150))/(C150-D150))</f>
        <v>-0.61377245508982126</v>
      </c>
      <c r="Q150">
        <f t="shared" ref="Q150" si="726">F150*P150</f>
        <v>-1048680.814371259</v>
      </c>
      <c r="R150">
        <f t="shared" ref="R150" si="727">R151+Q150</f>
        <v>3416856.4455609834</v>
      </c>
      <c r="S150">
        <f t="shared" ref="S150" si="728">R150/100000</f>
        <v>34.168564455609832</v>
      </c>
      <c r="T150">
        <f t="shared" ref="T150" si="729">S150/1000</f>
        <v>3.4168564455609833E-2</v>
      </c>
    </row>
    <row r="151" spans="1:20" x14ac:dyDescent="0.25">
      <c r="A151" s="5">
        <v>44442</v>
      </c>
      <c r="B151">
        <v>12.532</v>
      </c>
      <c r="C151">
        <v>12.928000000000001</v>
      </c>
      <c r="D151">
        <v>12.077999999999999</v>
      </c>
      <c r="E151">
        <v>12.442</v>
      </c>
      <c r="F151">
        <v>1843154.3</v>
      </c>
      <c r="G151">
        <v>12.442</v>
      </c>
      <c r="L151" t="s">
        <v>7</v>
      </c>
      <c r="M151" t="s">
        <v>8</v>
      </c>
      <c r="N151" t="s">
        <v>8</v>
      </c>
      <c r="P151">
        <f t="shared" ref="P151" si="730">IF(C151=D151,0,((E151-D151)-(C151-E151))/(C151-D151))</f>
        <v>-0.14352941176470552</v>
      </c>
      <c r="Q151">
        <f t="shared" ref="Q151" si="731">F151*P151</f>
        <v>-264546.85247058759</v>
      </c>
      <c r="R151">
        <f t="shared" ref="R151" si="732">R152+Q151</f>
        <v>4465537.2599322423</v>
      </c>
      <c r="S151">
        <f t="shared" ref="S151" si="733">R151/100000</f>
        <v>44.655372599322426</v>
      </c>
      <c r="T151">
        <f t="shared" ref="T151" si="734">S151/1000</f>
        <v>4.4655372599322424E-2</v>
      </c>
    </row>
    <row r="152" spans="1:20" x14ac:dyDescent="0.25">
      <c r="A152" s="5">
        <v>44441</v>
      </c>
      <c r="B152">
        <v>12.507999999999999</v>
      </c>
      <c r="C152">
        <v>13</v>
      </c>
      <c r="D152">
        <v>12.114000000000001</v>
      </c>
      <c r="E152">
        <v>12.53</v>
      </c>
      <c r="F152">
        <v>2487195.281</v>
      </c>
      <c r="G152">
        <v>12.53</v>
      </c>
      <c r="L152" t="s">
        <v>8</v>
      </c>
      <c r="M152" t="s">
        <v>8</v>
      </c>
      <c r="N152" t="s">
        <v>8</v>
      </c>
      <c r="P152">
        <f t="shared" ref="P152" si="735">IF(C152=D152,0,((E152-D152)-(C152-E152))/(C152-D152))</f>
        <v>-6.0948081264110714E-2</v>
      </c>
      <c r="Q152">
        <f t="shared" ref="Q152" si="736">F152*P152</f>
        <v>-151589.78010610069</v>
      </c>
      <c r="R152">
        <f t="shared" ref="R152" si="737">R153+Q152</f>
        <v>4730084.1124028303</v>
      </c>
      <c r="S152">
        <f t="shared" ref="S152" si="738">R152/100000</f>
        <v>47.300841124028302</v>
      </c>
      <c r="T152">
        <f t="shared" ref="T152" si="739">S152/1000</f>
        <v>4.7300841124028305E-2</v>
      </c>
    </row>
    <row r="153" spans="1:20" x14ac:dyDescent="0.25">
      <c r="A153" s="5">
        <v>44440</v>
      </c>
      <c r="B153">
        <v>11.57</v>
      </c>
      <c r="C153">
        <v>12.53</v>
      </c>
      <c r="D153">
        <v>11.295</v>
      </c>
      <c r="E153">
        <v>12.51</v>
      </c>
      <c r="F153">
        <v>2291494.8939999999</v>
      </c>
      <c r="G153">
        <v>12.51</v>
      </c>
      <c r="L153" t="s">
        <v>8</v>
      </c>
      <c r="M153" t="s">
        <v>7</v>
      </c>
      <c r="N153" t="s">
        <v>8</v>
      </c>
      <c r="P153">
        <f t="shared" ref="P153" si="740">IF(C153=D153,0,((E153-D153)-(C153-E153))/(C153-D153))</f>
        <v>0.96761133603238936</v>
      </c>
      <c r="Q153">
        <f t="shared" ref="Q153" si="741">F153*P153</f>
        <v>2217276.4358947384</v>
      </c>
      <c r="R153">
        <f t="shared" ref="R153" si="742">R154+Q153</f>
        <v>4881673.8925089305</v>
      </c>
      <c r="S153">
        <f t="shared" ref="S153" si="743">R153/100000</f>
        <v>48.816738925089304</v>
      </c>
      <c r="T153">
        <f t="shared" ref="T153" si="744">S153/1000</f>
        <v>4.8816738925089302E-2</v>
      </c>
    </row>
    <row r="154" spans="1:20" x14ac:dyDescent="0.25">
      <c r="A154" s="5">
        <v>44439</v>
      </c>
      <c r="B154">
        <v>11.102</v>
      </c>
      <c r="C154">
        <v>11.879</v>
      </c>
      <c r="D154">
        <v>10.904999999999999</v>
      </c>
      <c r="E154">
        <v>11.573</v>
      </c>
      <c r="F154">
        <v>1918390.598</v>
      </c>
      <c r="G154">
        <v>11.573</v>
      </c>
      <c r="L154" t="s">
        <v>8</v>
      </c>
      <c r="M154" t="s">
        <v>7</v>
      </c>
      <c r="N154" t="s">
        <v>8</v>
      </c>
      <c r="P154">
        <f t="shared" ref="P154" si="745">IF(C154=D154,0,((E154-D154)-(C154-E154))/(C154-D154))</f>
        <v>0.3716632443531846</v>
      </c>
      <c r="Q154">
        <f t="shared" ref="Q154" si="746">F154*P154</f>
        <v>712995.27358932595</v>
      </c>
      <c r="R154">
        <f t="shared" ref="R154" si="747">R155+Q154</f>
        <v>2664397.4566141921</v>
      </c>
      <c r="S154">
        <f t="shared" ref="S154" si="748">R154/100000</f>
        <v>26.643974566141921</v>
      </c>
      <c r="T154">
        <f t="shared" ref="T154" si="749">S154/1000</f>
        <v>2.6643974566141922E-2</v>
      </c>
    </row>
    <row r="155" spans="1:20" x14ac:dyDescent="0.25">
      <c r="A155" s="5">
        <v>44438</v>
      </c>
      <c r="B155">
        <v>11.647</v>
      </c>
      <c r="C155">
        <v>11.959</v>
      </c>
      <c r="D155">
        <v>10.942</v>
      </c>
      <c r="E155">
        <v>11.106</v>
      </c>
      <c r="F155">
        <v>1983694.2919999999</v>
      </c>
      <c r="G155">
        <v>11.106</v>
      </c>
      <c r="L155" t="s">
        <v>7</v>
      </c>
      <c r="M155" t="s">
        <v>7</v>
      </c>
      <c r="N155" t="s">
        <v>8</v>
      </c>
      <c r="P155">
        <f t="shared" ref="P155" si="750">IF(C155=D155,0,((E155-D155)-(C155-E155))/(C155-D155))</f>
        <v>-0.67748279252704069</v>
      </c>
      <c r="Q155">
        <f t="shared" ref="Q155" si="751">F155*P155</f>
        <v>-1343918.7484641108</v>
      </c>
      <c r="R155">
        <f t="shared" ref="R155" si="752">R156+Q155</f>
        <v>1951402.183024866</v>
      </c>
      <c r="S155">
        <f t="shared" ref="S155" si="753">R155/100000</f>
        <v>19.514021830248659</v>
      </c>
      <c r="T155">
        <f t="shared" ref="T155" si="754">S155/1000</f>
        <v>1.9514021830248657E-2</v>
      </c>
    </row>
    <row r="156" spans="1:20" x14ac:dyDescent="0.25">
      <c r="A156" s="5">
        <v>44437</v>
      </c>
      <c r="B156">
        <v>11.988</v>
      </c>
      <c r="C156">
        <v>12.169</v>
      </c>
      <c r="D156">
        <v>11.271000000000001</v>
      </c>
      <c r="E156">
        <v>11.647</v>
      </c>
      <c r="F156">
        <v>2332868.2999999998</v>
      </c>
      <c r="G156">
        <v>11.647</v>
      </c>
      <c r="L156" t="s">
        <v>7</v>
      </c>
      <c r="M156" t="s">
        <v>7</v>
      </c>
      <c r="N156" t="s">
        <v>8</v>
      </c>
      <c r="P156">
        <f t="shared" ref="P156" si="755">IF(C156=D156,0,((E156-D156)-(C156-E156))/(C156-D156))</f>
        <v>-0.16258351893095863</v>
      </c>
      <c r="Q156">
        <f t="shared" ref="Q156" si="756">F156*P156</f>
        <v>-379285.93741648324</v>
      </c>
      <c r="R156">
        <f t="shared" ref="R156" si="757">R157+Q156</f>
        <v>3295320.9314889768</v>
      </c>
      <c r="S156">
        <f t="shared" ref="S156" si="758">R156/100000</f>
        <v>32.953209314889769</v>
      </c>
      <c r="T156">
        <f t="shared" ref="T156" si="759">S156/1000</f>
        <v>3.2953209314889771E-2</v>
      </c>
    </row>
    <row r="157" spans="1:20" x14ac:dyDescent="0.25">
      <c r="A157" s="5">
        <v>44436</v>
      </c>
      <c r="B157">
        <v>12.234999999999999</v>
      </c>
      <c r="C157">
        <v>12.4</v>
      </c>
      <c r="D157">
        <v>11.811999999999999</v>
      </c>
      <c r="E157">
        <v>11.99</v>
      </c>
      <c r="F157">
        <v>1222938.237</v>
      </c>
      <c r="G157">
        <v>11.99</v>
      </c>
      <c r="L157" t="s">
        <v>8</v>
      </c>
      <c r="M157" t="s">
        <v>7</v>
      </c>
      <c r="N157" t="s">
        <v>8</v>
      </c>
      <c r="P157">
        <f t="shared" ref="P157" si="760">IF(C157=D157,0,((E157-D157)-(C157-E157))/(C157-D157))</f>
        <v>-0.39455782312924992</v>
      </c>
      <c r="Q157">
        <f t="shared" ref="Q157" si="761">F157*P157</f>
        <v>-482519.84861224273</v>
      </c>
      <c r="R157">
        <f t="shared" ref="R157" si="762">R158+Q157</f>
        <v>3674606.86890546</v>
      </c>
      <c r="S157">
        <f t="shared" ref="S157" si="763">R157/100000</f>
        <v>36.746068689054603</v>
      </c>
      <c r="T157">
        <f t="shared" ref="T157" si="764">S157/1000</f>
        <v>3.6746068689054605E-2</v>
      </c>
    </row>
    <row r="158" spans="1:20" x14ac:dyDescent="0.25">
      <c r="A158" s="5">
        <v>44435</v>
      </c>
      <c r="B158">
        <v>11.427</v>
      </c>
      <c r="C158">
        <v>12.324</v>
      </c>
      <c r="D158">
        <v>11.053000000000001</v>
      </c>
      <c r="E158">
        <v>12.238</v>
      </c>
      <c r="F158">
        <v>1693264.081</v>
      </c>
      <c r="G158">
        <v>12.238</v>
      </c>
      <c r="L158" t="s">
        <v>8</v>
      </c>
      <c r="M158" t="s">
        <v>7</v>
      </c>
      <c r="N158" t="s">
        <v>8</v>
      </c>
      <c r="P158">
        <f t="shared" ref="P158" si="765">IF(C158=D158,0,((E158-D158)-(C158-E158))/(C158-D158))</f>
        <v>0.86467348544453126</v>
      </c>
      <c r="Q158">
        <f t="shared" ref="Q158" si="766">F158*P158</f>
        <v>1464120.554696301</v>
      </c>
      <c r="R158">
        <f t="shared" ref="R158" si="767">R159+Q158</f>
        <v>4157126.7175177028</v>
      </c>
      <c r="S158">
        <f t="shared" ref="S158" si="768">R158/100000</f>
        <v>41.571267175177027</v>
      </c>
      <c r="T158">
        <f t="shared" ref="T158" si="769">S158/1000</f>
        <v>4.1571267175177028E-2</v>
      </c>
    </row>
    <row r="159" spans="1:20" x14ac:dyDescent="0.25">
      <c r="A159" s="5">
        <v>44434</v>
      </c>
      <c r="B159">
        <v>12.412000000000001</v>
      </c>
      <c r="C159">
        <v>12.625</v>
      </c>
      <c r="D159">
        <v>11.129</v>
      </c>
      <c r="E159">
        <v>11.414999999999999</v>
      </c>
      <c r="F159">
        <v>1784080.9790000001</v>
      </c>
      <c r="G159">
        <v>11.414999999999999</v>
      </c>
      <c r="L159" t="s">
        <v>7</v>
      </c>
      <c r="M159" t="s">
        <v>7</v>
      </c>
      <c r="N159" t="s">
        <v>8</v>
      </c>
      <c r="P159">
        <f t="shared" ref="P159" si="770">IF(C159=D159,0,((E159-D159)-(C159-E159))/(C159-D159))</f>
        <v>-0.6176470588235301</v>
      </c>
      <c r="Q159">
        <f t="shared" ref="Q159" si="771">F159*P159</f>
        <v>-1101932.3693823542</v>
      </c>
      <c r="R159">
        <f t="shared" ref="R159" si="772">R160+Q159</f>
        <v>2693006.1628214018</v>
      </c>
      <c r="S159">
        <f t="shared" ref="S159" si="773">R159/100000</f>
        <v>26.93006162821402</v>
      </c>
      <c r="T159">
        <f t="shared" ref="T159" si="774">S159/1000</f>
        <v>2.6930061628214021E-2</v>
      </c>
    </row>
    <row r="160" spans="1:20" x14ac:dyDescent="0.25">
      <c r="A160" s="5">
        <v>44433</v>
      </c>
      <c r="B160">
        <v>12.208</v>
      </c>
      <c r="C160">
        <v>12.773</v>
      </c>
      <c r="D160">
        <v>11.75</v>
      </c>
      <c r="E160">
        <v>12.420999999999999</v>
      </c>
      <c r="F160">
        <v>1814986.192</v>
      </c>
      <c r="G160">
        <v>12.420999999999999</v>
      </c>
      <c r="L160" t="s">
        <v>7</v>
      </c>
      <c r="M160" t="s">
        <v>7</v>
      </c>
      <c r="N160" t="s">
        <v>8</v>
      </c>
      <c r="P160">
        <f t="shared" ref="P160" si="775">IF(C160=D160,0,((E160-D160)-(C160-E160))/(C160-D160))</f>
        <v>0.31182795698924648</v>
      </c>
      <c r="Q160">
        <f t="shared" ref="Q160" si="776">F160*P160</f>
        <v>565963.43621505226</v>
      </c>
      <c r="R160">
        <f t="shared" ref="R160" si="777">R161+Q160</f>
        <v>3794938.5322037563</v>
      </c>
      <c r="S160">
        <f t="shared" ref="S160" si="778">R160/100000</f>
        <v>37.949385322037564</v>
      </c>
      <c r="T160">
        <f t="shared" ref="T160" si="779">S160/1000</f>
        <v>3.7949385322037565E-2</v>
      </c>
    </row>
    <row r="161" spans="1:20" x14ac:dyDescent="0.25">
      <c r="A161" s="5">
        <v>44432</v>
      </c>
      <c r="B161">
        <v>13.63</v>
      </c>
      <c r="C161">
        <v>13.840999999999999</v>
      </c>
      <c r="D161">
        <v>12.074</v>
      </c>
      <c r="E161">
        <v>12.207000000000001</v>
      </c>
      <c r="F161">
        <v>2308110.483</v>
      </c>
      <c r="G161">
        <v>12.207000000000001</v>
      </c>
      <c r="L161" t="s">
        <v>7</v>
      </c>
      <c r="M161" t="s">
        <v>8</v>
      </c>
      <c r="N161" t="s">
        <v>8</v>
      </c>
      <c r="P161">
        <f t="shared" ref="P161" si="780">IF(C161=D161,0,((E161-D161)-(C161-E161))/(C161-D161))</f>
        <v>-0.84946236559139676</v>
      </c>
      <c r="Q161">
        <f t="shared" ref="Q161" si="781">F161*P161</f>
        <v>-1960652.9909354814</v>
      </c>
      <c r="R161">
        <f t="shared" ref="R161" si="782">R162+Q161</f>
        <v>3228975.0959887039</v>
      </c>
      <c r="S161">
        <f t="shared" ref="S161" si="783">R161/100000</f>
        <v>32.289750959887037</v>
      </c>
      <c r="T161">
        <f t="shared" ref="T161" si="784">S161/1000</f>
        <v>3.2289750959887037E-2</v>
      </c>
    </row>
    <row r="162" spans="1:20" x14ac:dyDescent="0.25">
      <c r="A162" s="5">
        <v>44431</v>
      </c>
      <c r="B162">
        <v>13.519</v>
      </c>
      <c r="C162">
        <v>14.35</v>
      </c>
      <c r="D162">
        <v>13.3</v>
      </c>
      <c r="E162">
        <v>13.627000000000001</v>
      </c>
      <c r="F162">
        <v>2091932.105</v>
      </c>
      <c r="G162">
        <v>13.627000000000001</v>
      </c>
      <c r="L162" t="s">
        <v>8</v>
      </c>
      <c r="M162" t="s">
        <v>8</v>
      </c>
      <c r="N162" t="s">
        <v>8</v>
      </c>
      <c r="P162">
        <f t="shared" ref="P162" si="785">IF(C162=D162,0,((E162-D162)-(C162-E162))/(C162-D162))</f>
        <v>-0.37714285714285661</v>
      </c>
      <c r="Q162">
        <f t="shared" ref="Q162" si="786">F162*P162</f>
        <v>-788957.25102857035</v>
      </c>
      <c r="R162">
        <f t="shared" ref="R162" si="787">R163+Q162</f>
        <v>5189628.086924185</v>
      </c>
      <c r="S162">
        <f t="shared" ref="S162" si="788">R162/100000</f>
        <v>51.896280869241849</v>
      </c>
      <c r="T162">
        <f t="shared" ref="T162" si="789">S162/1000</f>
        <v>5.1896280869241848E-2</v>
      </c>
    </row>
    <row r="163" spans="1:20" x14ac:dyDescent="0.25">
      <c r="A163" s="5">
        <v>44430</v>
      </c>
      <c r="B163">
        <v>13.061999999999999</v>
      </c>
      <c r="C163">
        <v>13.605</v>
      </c>
      <c r="D163">
        <v>13.02</v>
      </c>
      <c r="E163">
        <v>13.518000000000001</v>
      </c>
      <c r="F163">
        <v>617779.78200000001</v>
      </c>
      <c r="G163">
        <v>13.518000000000001</v>
      </c>
      <c r="L163" t="s">
        <v>7</v>
      </c>
      <c r="M163" t="s">
        <v>8</v>
      </c>
      <c r="N163" t="s">
        <v>8</v>
      </c>
      <c r="P163">
        <f t="shared" ref="P163" si="790">IF(C163=D163,0,((E163-D163)-(C163-E163))/(C163-D163))</f>
        <v>0.70256410256410384</v>
      </c>
      <c r="Q163">
        <f t="shared" ref="Q163" si="791">F163*P163</f>
        <v>434029.8981230777</v>
      </c>
      <c r="R163">
        <f t="shared" ref="R163" si="792">R164+Q163</f>
        <v>5978585.3379527554</v>
      </c>
      <c r="S163">
        <f t="shared" ref="S163" si="793">R163/100000</f>
        <v>59.785853379527552</v>
      </c>
      <c r="T163">
        <f t="shared" ref="T163" si="794">S163/1000</f>
        <v>5.9785853379527555E-2</v>
      </c>
    </row>
    <row r="164" spans="1:20" x14ac:dyDescent="0.25">
      <c r="A164" s="5">
        <v>44429</v>
      </c>
      <c r="B164">
        <v>12.592000000000001</v>
      </c>
      <c r="C164">
        <v>14.532999999999999</v>
      </c>
      <c r="D164">
        <v>12.292</v>
      </c>
      <c r="E164">
        <v>13.064</v>
      </c>
      <c r="F164">
        <v>3987068.0120000001</v>
      </c>
      <c r="G164">
        <v>13.064</v>
      </c>
      <c r="L164" t="s">
        <v>8</v>
      </c>
      <c r="M164" t="s">
        <v>8</v>
      </c>
      <c r="N164" t="s">
        <v>8</v>
      </c>
      <c r="P164">
        <f t="shared" ref="P164" si="795">IF(C164=D164,0,((E164-D164)-(C164-E164))/(C164-D164))</f>
        <v>-0.31102186523873238</v>
      </c>
      <c r="Q164">
        <f t="shared" ref="Q164" si="796">F164*P164</f>
        <v>-1240065.3299259245</v>
      </c>
      <c r="R164">
        <f t="shared" ref="R164" si="797">R165+Q164</f>
        <v>5544555.4398296773</v>
      </c>
      <c r="S164">
        <f t="shared" ref="S164" si="798">R164/100000</f>
        <v>55.445554398296771</v>
      </c>
      <c r="T164">
        <f t="shared" ref="T164" si="799">S164/1000</f>
        <v>5.5445554398296772E-2</v>
      </c>
    </row>
    <row r="165" spans="1:20" x14ac:dyDescent="0.25">
      <c r="A165" s="5">
        <v>44428</v>
      </c>
      <c r="B165">
        <v>12.398999999999999</v>
      </c>
      <c r="C165">
        <v>13</v>
      </c>
      <c r="D165">
        <v>12.125</v>
      </c>
      <c r="E165">
        <v>12.59</v>
      </c>
      <c r="F165">
        <v>1950568.388</v>
      </c>
      <c r="G165">
        <v>12.59</v>
      </c>
      <c r="L165" t="s">
        <v>8</v>
      </c>
      <c r="M165" t="s">
        <v>8</v>
      </c>
      <c r="N165" t="s">
        <v>8</v>
      </c>
      <c r="P165">
        <f t="shared" ref="P165" si="800">IF(C165=D165,0,((E165-D165)-(C165-E165))/(C165-D165))</f>
        <v>6.2857142857142528E-2</v>
      </c>
      <c r="Q165">
        <f t="shared" ref="Q165" si="801">F165*P165</f>
        <v>122607.15581714222</v>
      </c>
      <c r="R165">
        <f t="shared" ref="R165" si="802">R166+Q165</f>
        <v>6784620.7697556019</v>
      </c>
      <c r="S165">
        <f t="shared" ref="S165" si="803">R165/100000</f>
        <v>67.846207697556025</v>
      </c>
      <c r="T165">
        <f t="shared" ref="T165" si="804">S165/1000</f>
        <v>6.7846207697556019E-2</v>
      </c>
    </row>
    <row r="166" spans="1:20" x14ac:dyDescent="0.25">
      <c r="A166" s="5">
        <v>44427</v>
      </c>
      <c r="B166">
        <v>11.337</v>
      </c>
      <c r="C166">
        <v>12.504</v>
      </c>
      <c r="D166">
        <v>11.032</v>
      </c>
      <c r="E166">
        <v>12.398999999999999</v>
      </c>
      <c r="F166">
        <v>2307342.5780000002</v>
      </c>
      <c r="G166">
        <v>12.398999999999999</v>
      </c>
      <c r="L166" t="s">
        <v>8</v>
      </c>
      <c r="M166" t="s">
        <v>7</v>
      </c>
      <c r="N166" t="s">
        <v>8</v>
      </c>
      <c r="P166">
        <f t="shared" ref="P166" si="805">IF(C166=D166,0,((E166-D166)-(C166-E166))/(C166-D166))</f>
        <v>0.85733695652173847</v>
      </c>
      <c r="Q166">
        <f t="shared" ref="Q166" si="806">F166*P166</f>
        <v>1978170.0634755422</v>
      </c>
      <c r="R166">
        <f t="shared" ref="R166" si="807">R167+Q166</f>
        <v>6662013.6139384601</v>
      </c>
      <c r="S166">
        <f t="shared" ref="S166" si="808">R166/100000</f>
        <v>66.620136139384599</v>
      </c>
      <c r="T166">
        <f t="shared" ref="T166" si="809">S166/1000</f>
        <v>6.6620136139384598E-2</v>
      </c>
    </row>
    <row r="167" spans="1:20" x14ac:dyDescent="0.25">
      <c r="A167" s="5">
        <v>44426</v>
      </c>
      <c r="B167">
        <v>11.250999999999999</v>
      </c>
      <c r="C167">
        <v>11.895</v>
      </c>
      <c r="D167">
        <v>10.759</v>
      </c>
      <c r="E167">
        <v>11.324</v>
      </c>
      <c r="F167">
        <v>2066426</v>
      </c>
      <c r="G167">
        <v>11.324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-5.2816901408452742E-3</v>
      </c>
      <c r="Q167">
        <f t="shared" ref="Q167" si="811">F167*P167</f>
        <v>-10914.221830986336</v>
      </c>
      <c r="R167">
        <f t="shared" ref="R167" si="812">R168+Q167</f>
        <v>4683843.5504629184</v>
      </c>
      <c r="S167">
        <f t="shared" ref="S167" si="813">R167/100000</f>
        <v>46.838435504629182</v>
      </c>
      <c r="T167">
        <f t="shared" ref="T167" si="814">S167/1000</f>
        <v>4.6838435504629183E-2</v>
      </c>
    </row>
    <row r="168" spans="1:20" x14ac:dyDescent="0.25">
      <c r="A168" s="5">
        <v>44425</v>
      </c>
      <c r="B168">
        <v>12.127000000000001</v>
      </c>
      <c r="C168">
        <v>13.109</v>
      </c>
      <c r="D168">
        <v>11.117000000000001</v>
      </c>
      <c r="E168">
        <v>11.253</v>
      </c>
      <c r="F168">
        <v>2002172.1029999999</v>
      </c>
      <c r="G168">
        <v>11.253</v>
      </c>
      <c r="L168" t="s">
        <v>7</v>
      </c>
      <c r="M168" t="s">
        <v>7</v>
      </c>
      <c r="N168" t="s">
        <v>8</v>
      </c>
      <c r="P168">
        <f t="shared" ref="P168" si="815">IF(C168=D168,0,((E168-D168)-(C168-E168))/(C168-D168))</f>
        <v>-0.86345381526104492</v>
      </c>
      <c r="Q168">
        <f t="shared" ref="Q168" si="816">F168*P168</f>
        <v>-1728783.1411445797</v>
      </c>
      <c r="R168">
        <f t="shared" ref="R168" si="817">R169+Q168</f>
        <v>4694757.7722939048</v>
      </c>
      <c r="S168">
        <f t="shared" ref="S168" si="818">R168/100000</f>
        <v>46.947577722939045</v>
      </c>
      <c r="T168">
        <f t="shared" ref="T168" si="819">S168/1000</f>
        <v>4.6947577722939046E-2</v>
      </c>
    </row>
    <row r="169" spans="1:20" x14ac:dyDescent="0.25">
      <c r="A169" s="5">
        <v>44424</v>
      </c>
      <c r="B169">
        <v>12.849</v>
      </c>
      <c r="C169">
        <v>13.363</v>
      </c>
      <c r="D169">
        <v>11.981999999999999</v>
      </c>
      <c r="E169">
        <v>12.125</v>
      </c>
      <c r="F169">
        <v>2040397.3870000001</v>
      </c>
      <c r="G169">
        <v>12.125</v>
      </c>
      <c r="L169" t="s">
        <v>7</v>
      </c>
      <c r="M169" t="s">
        <v>8</v>
      </c>
      <c r="N169" t="s">
        <v>8</v>
      </c>
      <c r="P169">
        <f t="shared" ref="P169" si="820">IF(C169=D169,0,((E169-D169)-(C169-E169))/(C169-D169))</f>
        <v>-0.7929036929761033</v>
      </c>
      <c r="Q169">
        <f t="shared" ref="Q169" si="821">F169*P169</f>
        <v>-1617838.6232910915</v>
      </c>
      <c r="R169">
        <f t="shared" ref="R169" si="822">R170+Q169</f>
        <v>6423540.9134384841</v>
      </c>
      <c r="S169">
        <f t="shared" ref="S169" si="823">R169/100000</f>
        <v>64.235409134384838</v>
      </c>
      <c r="T169">
        <f t="shared" ref="T169" si="824">S169/1000</f>
        <v>6.4235409134384844E-2</v>
      </c>
    </row>
    <row r="170" spans="1:20" x14ac:dyDescent="0.25">
      <c r="A170" s="5">
        <v>44423</v>
      </c>
      <c r="B170">
        <v>12.992000000000001</v>
      </c>
      <c r="C170">
        <v>13.49</v>
      </c>
      <c r="D170">
        <v>11.981</v>
      </c>
      <c r="E170">
        <v>12.848000000000001</v>
      </c>
      <c r="F170">
        <v>1917780.8689999999</v>
      </c>
      <c r="G170">
        <v>12.848000000000001</v>
      </c>
      <c r="L170" t="s">
        <v>8</v>
      </c>
      <c r="M170" t="s">
        <v>8</v>
      </c>
      <c r="N170" t="s">
        <v>8</v>
      </c>
      <c r="P170">
        <f t="shared" ref="P170" si="825">IF(C170=D170,0,((E170-D170)-(C170-E170))/(C170-D170))</f>
        <v>0.14910536779324146</v>
      </c>
      <c r="Q170">
        <f t="shared" ref="Q170" si="826">F170*P170</f>
        <v>285951.42181908723</v>
      </c>
      <c r="R170">
        <f t="shared" ref="R170" si="827">R171+Q170</f>
        <v>8041379.5367295761</v>
      </c>
      <c r="S170">
        <f t="shared" ref="S170" si="828">R170/100000</f>
        <v>80.413795367295762</v>
      </c>
      <c r="T170">
        <f t="shared" ref="T170" si="829">S170/1000</f>
        <v>8.0413795367295759E-2</v>
      </c>
    </row>
    <row r="171" spans="1:20" x14ac:dyDescent="0.25">
      <c r="A171" s="5">
        <v>44422</v>
      </c>
      <c r="B171">
        <v>12.096</v>
      </c>
      <c r="C171">
        <v>13.2</v>
      </c>
      <c r="D171">
        <v>11.673999999999999</v>
      </c>
      <c r="E171">
        <v>12.997999999999999</v>
      </c>
      <c r="F171">
        <v>2971078.452</v>
      </c>
      <c r="G171">
        <v>12.997999999999999</v>
      </c>
      <c r="L171" t="s">
        <v>8</v>
      </c>
      <c r="M171" t="s">
        <v>8</v>
      </c>
      <c r="N171" t="s">
        <v>8</v>
      </c>
      <c r="P171">
        <f t="shared" ref="P171" si="830">IF(C171=D171,0,((E171-D171)-(C171-E171))/(C171-D171))</f>
        <v>0.7352555701179555</v>
      </c>
      <c r="Q171">
        <f t="shared" ref="Q171" si="831">F171*P171</f>
        <v>2184501.9810904325</v>
      </c>
      <c r="R171">
        <f t="shared" ref="R171" si="832">R172+Q171</f>
        <v>7755428.1149104889</v>
      </c>
      <c r="S171">
        <f t="shared" ref="S171" si="833">R171/100000</f>
        <v>77.554281149104895</v>
      </c>
      <c r="T171">
        <f t="shared" ref="T171" si="834">S171/1000</f>
        <v>7.7554281149104898E-2</v>
      </c>
    </row>
    <row r="172" spans="1:20" x14ac:dyDescent="0.25">
      <c r="A172" s="5">
        <v>44421</v>
      </c>
      <c r="B172">
        <v>10.416</v>
      </c>
      <c r="C172">
        <v>12.179</v>
      </c>
      <c r="D172">
        <v>10.286</v>
      </c>
      <c r="E172">
        <v>12.096</v>
      </c>
      <c r="F172">
        <v>2675439.9569999999</v>
      </c>
      <c r="G172">
        <v>12.096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0.91230850501848904</v>
      </c>
      <c r="Q172">
        <f t="shared" ref="Q172" si="836">F172*P172</f>
        <v>2440826.6274374006</v>
      </c>
      <c r="R172">
        <f t="shared" ref="R172" si="837">R173+Q172</f>
        <v>5570926.133820056</v>
      </c>
      <c r="S172">
        <f t="shared" ref="S172" si="838">R172/100000</f>
        <v>55.709261338200562</v>
      </c>
      <c r="T172">
        <f t="shared" ref="T172" si="839">S172/1000</f>
        <v>5.5709261338200561E-2</v>
      </c>
    </row>
    <row r="173" spans="1:20" x14ac:dyDescent="0.25">
      <c r="A173" s="5">
        <v>44420</v>
      </c>
      <c r="B173">
        <v>10.656000000000001</v>
      </c>
      <c r="C173">
        <v>11.178000000000001</v>
      </c>
      <c r="D173">
        <v>9.9830000000000005</v>
      </c>
      <c r="E173">
        <v>10.413</v>
      </c>
      <c r="F173">
        <v>2401062.8930000002</v>
      </c>
      <c r="G173">
        <v>10.413</v>
      </c>
      <c r="L173" t="s">
        <v>7</v>
      </c>
      <c r="M173" t="s">
        <v>8</v>
      </c>
      <c r="N173" t="s">
        <v>8</v>
      </c>
      <c r="P173">
        <f t="shared" ref="P173" si="840">IF(C173=D173,0,((E173-D173)-(C173-E173))/(C173-D173))</f>
        <v>-0.28033472803347342</v>
      </c>
      <c r="Q173">
        <f t="shared" ref="Q173" si="841">F173*P173</f>
        <v>-673101.31310041994</v>
      </c>
      <c r="R173">
        <f t="shared" ref="R173" si="842">R174+Q173</f>
        <v>3130099.5063826554</v>
      </c>
      <c r="S173">
        <f t="shared" ref="S173" si="843">R173/100000</f>
        <v>31.300995063826555</v>
      </c>
      <c r="T173">
        <f t="shared" ref="T173" si="844">S173/1000</f>
        <v>3.1300995063826553E-2</v>
      </c>
    </row>
    <row r="174" spans="1:20" x14ac:dyDescent="0.25">
      <c r="A174" s="5">
        <v>44419</v>
      </c>
      <c r="B174">
        <v>10.269</v>
      </c>
      <c r="C174">
        <v>11.503</v>
      </c>
      <c r="D174">
        <v>10.154999999999999</v>
      </c>
      <c r="E174">
        <v>10.654999999999999</v>
      </c>
      <c r="F174">
        <v>3612706.1460000002</v>
      </c>
      <c r="G174">
        <v>10.654999999999999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-0.25816023738872446</v>
      </c>
      <c r="Q174">
        <f t="shared" ref="Q174" si="846">F174*P174</f>
        <v>-932657.07626706385</v>
      </c>
      <c r="R174">
        <f t="shared" ref="R174" si="847">R175+Q174</f>
        <v>3803200.8194830753</v>
      </c>
      <c r="S174">
        <f t="shared" ref="S174" si="848">R174/100000</f>
        <v>38.032008194830752</v>
      </c>
      <c r="T174">
        <f t="shared" ref="T174" si="849">S174/1000</f>
        <v>3.8032008194830755E-2</v>
      </c>
    </row>
    <row r="175" spans="1:20" x14ac:dyDescent="0.25">
      <c r="A175" s="5">
        <v>44418</v>
      </c>
      <c r="B175">
        <v>10.159000000000001</v>
      </c>
      <c r="C175">
        <v>10.564</v>
      </c>
      <c r="D175">
        <v>9.7970000000000006</v>
      </c>
      <c r="E175">
        <v>10.268000000000001</v>
      </c>
      <c r="F175">
        <v>2137801.4739999999</v>
      </c>
      <c r="G175">
        <v>10.268000000000001</v>
      </c>
      <c r="L175" t="s">
        <v>8</v>
      </c>
      <c r="M175" t="s">
        <v>7</v>
      </c>
      <c r="N175" t="s">
        <v>8</v>
      </c>
      <c r="P175">
        <f t="shared" ref="P175" si="850">IF(C175=D175,0,((E175-D175)-(C175-E175))/(C175-D175))</f>
        <v>0.22816166883963604</v>
      </c>
      <c r="Q175">
        <f t="shared" ref="Q175" si="851">F175*P175</f>
        <v>487764.35195567377</v>
      </c>
      <c r="R175">
        <f t="shared" ref="R175" si="852">R176+Q175</f>
        <v>4735857.8957501389</v>
      </c>
      <c r="S175">
        <f t="shared" ref="S175" si="853">R175/100000</f>
        <v>47.358578957501386</v>
      </c>
      <c r="T175">
        <f t="shared" ref="T175" si="854">S175/1000</f>
        <v>4.7358578957501389E-2</v>
      </c>
    </row>
    <row r="176" spans="1:20" x14ac:dyDescent="0.25">
      <c r="A176" s="5">
        <v>44417</v>
      </c>
      <c r="B176">
        <v>9.6850000000000005</v>
      </c>
      <c r="C176">
        <v>10.335000000000001</v>
      </c>
      <c r="D176">
        <v>9.3019999999999996</v>
      </c>
      <c r="E176">
        <v>10.154</v>
      </c>
      <c r="F176">
        <v>1940189.2760000001</v>
      </c>
      <c r="G176">
        <v>10.154</v>
      </c>
      <c r="L176" t="s">
        <v>7</v>
      </c>
      <c r="M176" t="s">
        <v>7</v>
      </c>
      <c r="N176" t="s">
        <v>8</v>
      </c>
      <c r="P176">
        <f t="shared" ref="P176" si="855">IF(C176=D176,0,((E176-D176)-(C176-E176))/(C176-D176))</f>
        <v>0.64956437560503244</v>
      </c>
      <c r="Q176">
        <f t="shared" ref="Q176" si="856">F176*P176</f>
        <v>1260277.8356205199</v>
      </c>
      <c r="R176">
        <f t="shared" ref="R176" si="857">R177+Q176</f>
        <v>4248093.5437944653</v>
      </c>
      <c r="S176">
        <f t="shared" ref="S176" si="858">R176/100000</f>
        <v>42.480935437944652</v>
      </c>
      <c r="T176">
        <f t="shared" ref="T176" si="859">S176/1000</f>
        <v>4.248093543794465E-2</v>
      </c>
    </row>
    <row r="177" spans="1:20" x14ac:dyDescent="0.25">
      <c r="A177" s="5">
        <v>44416</v>
      </c>
      <c r="B177">
        <v>10.579000000000001</v>
      </c>
      <c r="C177">
        <v>10.8</v>
      </c>
      <c r="D177">
        <v>9.4600000000000009</v>
      </c>
      <c r="E177">
        <v>9.6910000000000007</v>
      </c>
      <c r="F177">
        <v>2934407.6260000002</v>
      </c>
      <c r="G177">
        <v>9.6910000000000007</v>
      </c>
      <c r="L177" t="s">
        <v>7</v>
      </c>
      <c r="M177" t="s">
        <v>8</v>
      </c>
      <c r="N177" t="s">
        <v>8</v>
      </c>
      <c r="P177">
        <f t="shared" ref="P177" si="860">IF(C177=D177,0,((E177-D177)-(C177-E177))/(C177-D177))</f>
        <v>-0.65522388059701508</v>
      </c>
      <c r="Q177">
        <f t="shared" ref="Q177" si="861">F177*P177</f>
        <v>-1922693.9519611946</v>
      </c>
      <c r="R177">
        <f t="shared" ref="R177" si="862">R178+Q177</f>
        <v>2987815.7081739451</v>
      </c>
      <c r="S177">
        <f t="shared" ref="S177" si="863">R177/100000</f>
        <v>29.878157081739452</v>
      </c>
      <c r="T177">
        <f t="shared" ref="T177" si="864">S177/1000</f>
        <v>2.9878157081739451E-2</v>
      </c>
    </row>
    <row r="178" spans="1:20" x14ac:dyDescent="0.25">
      <c r="A178" s="5">
        <v>44415</v>
      </c>
      <c r="B178">
        <v>10.183999999999999</v>
      </c>
      <c r="C178">
        <v>11.1</v>
      </c>
      <c r="D178">
        <v>10.044</v>
      </c>
      <c r="E178">
        <v>10.574</v>
      </c>
      <c r="F178">
        <v>3409604.2319999998</v>
      </c>
      <c r="G178">
        <v>10.574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3.7878787878783738E-3</v>
      </c>
      <c r="Q178">
        <f t="shared" ref="Q178" si="866">F178*P178</f>
        <v>12915.167545453132</v>
      </c>
      <c r="R178">
        <f t="shared" ref="R178" si="867">R179+Q178</f>
        <v>4910509.6601351397</v>
      </c>
      <c r="S178">
        <f t="shared" ref="S178" si="868">R178/100000</f>
        <v>49.105096601351399</v>
      </c>
      <c r="T178">
        <f t="shared" ref="T178" si="869">S178/1000</f>
        <v>4.91050966013514E-2</v>
      </c>
    </row>
    <row r="179" spans="1:20" x14ac:dyDescent="0.25">
      <c r="A179" s="5">
        <v>44414</v>
      </c>
      <c r="B179">
        <v>10.53</v>
      </c>
      <c r="C179">
        <v>10.67</v>
      </c>
      <c r="D179">
        <v>9.9589999999999996</v>
      </c>
      <c r="E179">
        <v>10.185</v>
      </c>
      <c r="F179">
        <v>3435697.443</v>
      </c>
      <c r="G179">
        <v>10.185</v>
      </c>
      <c r="L179" t="s">
        <v>7</v>
      </c>
      <c r="M179" t="s">
        <v>8</v>
      </c>
      <c r="N179" t="s">
        <v>8</v>
      </c>
      <c r="P179">
        <f t="shared" ref="P179" si="870">IF(C179=D179,0,((E179-D179)-(C179-E179))/(C179-D179))</f>
        <v>-0.36427566807313427</v>
      </c>
      <c r="Q179">
        <f t="shared" ref="Q179" si="871">F179*P179</f>
        <v>-1251540.9813459842</v>
      </c>
      <c r="R179">
        <f t="shared" ref="R179" si="872">R180+Q179</f>
        <v>4897594.492589687</v>
      </c>
      <c r="S179">
        <f t="shared" ref="S179" si="873">R179/100000</f>
        <v>48.975944925896869</v>
      </c>
      <c r="T179">
        <f t="shared" ref="T179" si="874">S179/1000</f>
        <v>4.8975944925896867E-2</v>
      </c>
    </row>
    <row r="180" spans="1:20" x14ac:dyDescent="0.25">
      <c r="A180" s="5">
        <v>44413</v>
      </c>
      <c r="B180">
        <v>9.6530000000000005</v>
      </c>
      <c r="C180">
        <v>10.88</v>
      </c>
      <c r="D180">
        <v>9.3490000000000002</v>
      </c>
      <c r="E180">
        <v>10.522</v>
      </c>
      <c r="F180">
        <v>4624843.3509999998</v>
      </c>
      <c r="G180">
        <v>10.522</v>
      </c>
      <c r="L180" t="s">
        <v>8</v>
      </c>
      <c r="M180" t="s">
        <v>8</v>
      </c>
      <c r="N180" t="s">
        <v>8</v>
      </c>
      <c r="P180">
        <f t="shared" ref="P180" si="875">IF(C180=D180,0,((E180-D180)-(C180-E180))/(C180-D180))</f>
        <v>0.53233180927498314</v>
      </c>
      <c r="Q180">
        <f t="shared" ref="Q180" si="876">F180*P180</f>
        <v>2461951.228651206</v>
      </c>
      <c r="R180">
        <f t="shared" ref="R180" si="877">R181+Q180</f>
        <v>6149135.4739356712</v>
      </c>
      <c r="S180">
        <f t="shared" ref="S180" si="878">R180/100000</f>
        <v>61.491354739356709</v>
      </c>
      <c r="T180">
        <f t="shared" ref="T180" si="879">S180/1000</f>
        <v>6.1491354739356706E-2</v>
      </c>
    </row>
    <row r="181" spans="1:20" x14ac:dyDescent="0.25">
      <c r="A181" s="5">
        <v>44412</v>
      </c>
      <c r="B181">
        <v>9.0510000000000002</v>
      </c>
      <c r="C181">
        <v>9.7989999999999995</v>
      </c>
      <c r="D181">
        <v>8.9090000000000007</v>
      </c>
      <c r="E181">
        <v>9.6530000000000005</v>
      </c>
      <c r="F181">
        <v>1543654.027</v>
      </c>
      <c r="G181">
        <v>9.6530000000000005</v>
      </c>
      <c r="L181" t="s">
        <v>8</v>
      </c>
      <c r="M181" t="s">
        <v>7</v>
      </c>
      <c r="N181" t="s">
        <v>8</v>
      </c>
      <c r="P181">
        <f t="shared" ref="P181" si="880">IF(C181=D181,0,((E181-D181)-(C181-E181))/(C181-D181))</f>
        <v>0.67191011235955234</v>
      </c>
      <c r="Q181">
        <f t="shared" ref="Q181" si="881">F181*P181</f>
        <v>1037196.7507258455</v>
      </c>
      <c r="R181">
        <f t="shared" ref="R181" si="882">R182+Q181</f>
        <v>3687184.2452844647</v>
      </c>
      <c r="S181">
        <f t="shared" ref="S181" si="883">R181/100000</f>
        <v>36.871842452844646</v>
      </c>
      <c r="T181">
        <f t="shared" ref="T181" si="884">S181/1000</f>
        <v>3.6871842452844646E-2</v>
      </c>
    </row>
    <row r="182" spans="1:20" x14ac:dyDescent="0.25">
      <c r="A182" s="5">
        <v>44411</v>
      </c>
      <c r="B182">
        <v>9.4930000000000003</v>
      </c>
      <c r="C182">
        <v>9.5830000000000002</v>
      </c>
      <c r="D182">
        <v>8.8239999999999998</v>
      </c>
      <c r="E182">
        <v>9.0510000000000002</v>
      </c>
      <c r="F182">
        <v>1802110.358</v>
      </c>
      <c r="G182">
        <v>9.0510000000000002</v>
      </c>
      <c r="L182" t="s">
        <v>7</v>
      </c>
      <c r="M182" t="s">
        <v>7</v>
      </c>
      <c r="N182" t="s">
        <v>8</v>
      </c>
      <c r="P182">
        <f t="shared" ref="P182" si="885">IF(C182=D182,0,((E182-D182)-(C182-E182))/(C182-D182))</f>
        <v>-0.40184453227931433</v>
      </c>
      <c r="Q182">
        <f t="shared" ref="Q182" si="886">F182*P182</f>
        <v>-724168.19392621773</v>
      </c>
      <c r="R182">
        <f t="shared" ref="R182" si="887">R183+Q182</f>
        <v>2649987.4945586193</v>
      </c>
      <c r="S182">
        <f t="shared" ref="S182" si="888">R182/100000</f>
        <v>26.499874945586193</v>
      </c>
      <c r="T182">
        <f t="shared" ref="T182" si="889">S182/1000</f>
        <v>2.6499874945586192E-2</v>
      </c>
    </row>
    <row r="183" spans="1:20" x14ac:dyDescent="0.25">
      <c r="A183" s="5">
        <v>44410</v>
      </c>
      <c r="B183">
        <v>9.4480000000000004</v>
      </c>
      <c r="C183">
        <v>9.8490000000000002</v>
      </c>
      <c r="D183">
        <v>9.2639999999999993</v>
      </c>
      <c r="E183">
        <v>9.49</v>
      </c>
      <c r="F183">
        <v>1618239.227</v>
      </c>
      <c r="G183">
        <v>9.49</v>
      </c>
      <c r="L183" t="s">
        <v>7</v>
      </c>
      <c r="M183" t="s">
        <v>8</v>
      </c>
      <c r="N183" t="s">
        <v>8</v>
      </c>
      <c r="P183">
        <f t="shared" ref="P183" si="890">IF(C183=D183,0,((E183-D183)-(C183-E183))/(C183-D183))</f>
        <v>-0.22735042735042552</v>
      </c>
      <c r="Q183">
        <f t="shared" ref="Q183" si="891">F183*P183</f>
        <v>-367907.37981367222</v>
      </c>
      <c r="R183">
        <f t="shared" ref="R183" si="892">R184+Q183</f>
        <v>3374155.6884848368</v>
      </c>
      <c r="S183">
        <f t="shared" ref="S183" si="893">R183/100000</f>
        <v>33.741556884848372</v>
      </c>
      <c r="T183">
        <f t="shared" ref="T183" si="894">S183/1000</f>
        <v>3.3741556884848374E-2</v>
      </c>
    </row>
    <row r="184" spans="1:20" x14ac:dyDescent="0.25">
      <c r="A184" s="5">
        <v>44409</v>
      </c>
      <c r="B184">
        <v>10.137</v>
      </c>
      <c r="C184">
        <v>10.41</v>
      </c>
      <c r="D184">
        <v>9.3160000000000007</v>
      </c>
      <c r="E184">
        <v>9.4540000000000006</v>
      </c>
      <c r="F184">
        <v>2083190.2339999999</v>
      </c>
      <c r="G184">
        <v>9.4540000000000006</v>
      </c>
      <c r="L184" t="s">
        <v>8</v>
      </c>
      <c r="M184" t="s">
        <v>8</v>
      </c>
      <c r="N184" t="s">
        <v>8</v>
      </c>
      <c r="P184">
        <f t="shared" ref="P184" si="895">IF(C184=D184,0,((E184-D184)-(C184-E184))/(C184-D184))</f>
        <v>-0.74771480804387569</v>
      </c>
      <c r="Q184">
        <f t="shared" ref="Q184" si="896">F184*P184</f>
        <v>-1557632.1859341864</v>
      </c>
      <c r="R184">
        <f t="shared" ref="R184" si="897">R185+Q184</f>
        <v>3742063.0682985089</v>
      </c>
      <c r="S184">
        <f t="shared" ref="S184" si="898">R184/100000</f>
        <v>37.420630682985092</v>
      </c>
      <c r="T184">
        <f t="shared" ref="T184" si="899">S184/1000</f>
        <v>3.7420630682985088E-2</v>
      </c>
    </row>
    <row r="185" spans="1:20" x14ac:dyDescent="0.25">
      <c r="A185" s="5">
        <v>44408</v>
      </c>
      <c r="B185">
        <v>9.5950000000000006</v>
      </c>
      <c r="C185">
        <v>10.23</v>
      </c>
      <c r="D185">
        <v>9.4510000000000005</v>
      </c>
      <c r="E185">
        <v>10.138</v>
      </c>
      <c r="F185">
        <v>2928314.5720000002</v>
      </c>
      <c r="G185">
        <v>10.138</v>
      </c>
      <c r="L185" t="s">
        <v>8</v>
      </c>
      <c r="M185" t="s">
        <v>7</v>
      </c>
      <c r="N185" t="s">
        <v>8</v>
      </c>
      <c r="P185">
        <f t="shared" ref="P185" si="900">IF(C185=D185,0,((E185-D185)-(C185-E185))/(C185-D185))</f>
        <v>0.76379974326058908</v>
      </c>
      <c r="Q185">
        <f t="shared" ref="Q185" si="901">F185*P185</f>
        <v>2236645.918279842</v>
      </c>
      <c r="R185">
        <f t="shared" ref="R185" si="902">R186+Q185</f>
        <v>5299695.2542326953</v>
      </c>
      <c r="S185">
        <f t="shared" ref="S185" si="903">R185/100000</f>
        <v>52.996952542326952</v>
      </c>
      <c r="T185">
        <f t="shared" ref="T185" si="904">S185/1000</f>
        <v>5.2996952542326954E-2</v>
      </c>
    </row>
    <row r="186" spans="1:20" x14ac:dyDescent="0.25">
      <c r="A186" s="5">
        <v>44407</v>
      </c>
      <c r="B186">
        <v>9.9779999999999998</v>
      </c>
      <c r="C186">
        <v>10.247999999999999</v>
      </c>
      <c r="D186">
        <v>8.968</v>
      </c>
      <c r="E186">
        <v>9.5950000000000006</v>
      </c>
      <c r="F186">
        <v>2570431.2790000001</v>
      </c>
      <c r="G186">
        <v>9.5950000000000006</v>
      </c>
      <c r="L186" t="s">
        <v>7</v>
      </c>
      <c r="M186" t="s">
        <v>7</v>
      </c>
      <c r="N186" t="s">
        <v>8</v>
      </c>
      <c r="P186">
        <f t="shared" ref="P186" si="905">IF(C186=D186,0,((E186-D186)-(C186-E186))/(C186-D186))</f>
        <v>-2.0312499999998467E-2</v>
      </c>
      <c r="Q186">
        <f t="shared" ref="Q186" si="906">F186*P186</f>
        <v>-52211.88535468356</v>
      </c>
      <c r="R186">
        <f t="shared" ref="R186" si="907">R187+Q186</f>
        <v>3063049.3359528529</v>
      </c>
      <c r="S186">
        <f t="shared" ref="S186" si="908">R186/100000</f>
        <v>30.630493359528529</v>
      </c>
      <c r="T186">
        <f t="shared" ref="T186" si="909">S186/1000</f>
        <v>3.063049335952853E-2</v>
      </c>
    </row>
    <row r="187" spans="1:20" x14ac:dyDescent="0.25">
      <c r="A187" s="5">
        <v>44406</v>
      </c>
      <c r="B187">
        <v>9.1110000000000007</v>
      </c>
      <c r="C187">
        <v>10.212</v>
      </c>
      <c r="D187">
        <v>8.843</v>
      </c>
      <c r="E187">
        <v>9.9830000000000005</v>
      </c>
      <c r="F187">
        <v>2217181.4019999998</v>
      </c>
      <c r="G187">
        <v>9.9830000000000005</v>
      </c>
      <c r="L187" t="s">
        <v>8</v>
      </c>
      <c r="M187" t="s">
        <v>7</v>
      </c>
      <c r="N187" t="s">
        <v>8</v>
      </c>
      <c r="P187">
        <f t="shared" ref="P187" si="910">IF(C187=D187,0,((E187-D187)-(C187-E187))/(C187-D187))</f>
        <v>0.6654492330168017</v>
      </c>
      <c r="Q187">
        <f t="shared" ref="Q187" si="911">F187*P187</f>
        <v>1475421.6634200169</v>
      </c>
      <c r="R187">
        <f t="shared" ref="R187" si="912">R188+Q187</f>
        <v>3115261.2213075366</v>
      </c>
      <c r="S187">
        <f t="shared" ref="S187" si="913">R187/100000</f>
        <v>31.152612213075365</v>
      </c>
      <c r="T187">
        <f t="shared" ref="T187" si="914">S187/1000</f>
        <v>3.1152612213075366E-2</v>
      </c>
    </row>
    <row r="188" spans="1:20" x14ac:dyDescent="0.25">
      <c r="A188" s="5">
        <v>44405</v>
      </c>
      <c r="B188">
        <v>9.3480000000000008</v>
      </c>
      <c r="C188">
        <v>9.4730000000000008</v>
      </c>
      <c r="D188">
        <v>8.9160000000000004</v>
      </c>
      <c r="E188">
        <v>9.1050000000000004</v>
      </c>
      <c r="F188">
        <v>1692514.86</v>
      </c>
      <c r="G188">
        <v>9.1050000000000004</v>
      </c>
      <c r="L188" t="s">
        <v>8</v>
      </c>
      <c r="M188" t="s">
        <v>7</v>
      </c>
      <c r="N188" t="s">
        <v>8</v>
      </c>
      <c r="P188">
        <f t="shared" ref="P188" si="915">IF(C188=D188,0,((E188-D188)-(C188-E188))/(C188-D188))</f>
        <v>-0.32136445242369865</v>
      </c>
      <c r="Q188">
        <f t="shared" ref="Q188" si="916">F188*P188</f>
        <v>-543914.11120287306</v>
      </c>
      <c r="R188">
        <f t="shared" ref="R188" si="917">R189+Q188</f>
        <v>1639839.5578875199</v>
      </c>
      <c r="S188">
        <f t="shared" ref="S188" si="918">R188/100000</f>
        <v>16.398395578875199</v>
      </c>
      <c r="T188">
        <f t="shared" ref="T188" si="919">S188/1000</f>
        <v>1.6398395578875201E-2</v>
      </c>
    </row>
    <row r="189" spans="1:20" x14ac:dyDescent="0.25">
      <c r="A189" s="5">
        <v>44404</v>
      </c>
      <c r="B189">
        <v>9.327</v>
      </c>
      <c r="C189">
        <v>9.8529999999999998</v>
      </c>
      <c r="D189">
        <v>8.7780000000000005</v>
      </c>
      <c r="E189">
        <v>9.35</v>
      </c>
      <c r="F189">
        <v>3070022.628</v>
      </c>
      <c r="G189">
        <v>9.35</v>
      </c>
      <c r="L189" t="s">
        <v>7</v>
      </c>
      <c r="M189" t="s">
        <v>7</v>
      </c>
      <c r="N189" t="s">
        <v>8</v>
      </c>
      <c r="P189">
        <f t="shared" ref="P189" si="920">IF(C189=D189,0,((E189-D189)-(C189-E189))/(C189-D189))</f>
        <v>6.4186046511627071E-2</v>
      </c>
      <c r="Q189">
        <f t="shared" ref="Q189" si="921">F189*P189</f>
        <v>197052.61519255556</v>
      </c>
      <c r="R189">
        <f t="shared" ref="R189" si="922">R190+Q189</f>
        <v>2183753.669090393</v>
      </c>
      <c r="S189">
        <f t="shared" ref="S189" si="923">R189/100000</f>
        <v>21.837536690903931</v>
      </c>
      <c r="T189">
        <f t="shared" ref="T189" si="924">S189/1000</f>
        <v>2.1837536690903932E-2</v>
      </c>
    </row>
    <row r="190" spans="1:20" x14ac:dyDescent="0.25">
      <c r="A190" s="5">
        <v>44403</v>
      </c>
      <c r="B190">
        <v>8.3810000000000002</v>
      </c>
      <c r="C190">
        <v>10.471</v>
      </c>
      <c r="D190">
        <v>8.3439999999999994</v>
      </c>
      <c r="E190">
        <v>9.3339999999999996</v>
      </c>
      <c r="F190">
        <v>4780598.3320000004</v>
      </c>
      <c r="G190">
        <v>9.3339999999999996</v>
      </c>
      <c r="L190" t="s">
        <v>8</v>
      </c>
      <c r="M190" t="s">
        <v>8</v>
      </c>
      <c r="N190" t="s">
        <v>8</v>
      </c>
      <c r="P190">
        <f t="shared" ref="P190" si="925">IF(C190=D190,0,((E190-D190)-(C190-E190))/(C190-D190))</f>
        <v>-6.9111424541607985E-2</v>
      </c>
      <c r="Q190">
        <f t="shared" ref="Q190" si="926">F190*P190</f>
        <v>-330393.96088575502</v>
      </c>
      <c r="R190">
        <f t="shared" ref="R190" si="927">R191+Q190</f>
        <v>1986701.0538978374</v>
      </c>
      <c r="S190">
        <f t="shared" ref="S190" si="928">R190/100000</f>
        <v>19.867010538978374</v>
      </c>
      <c r="T190">
        <f t="shared" ref="T190" si="929">S190/1000</f>
        <v>1.9867010538978373E-2</v>
      </c>
    </row>
    <row r="191" spans="1:20" x14ac:dyDescent="0.25">
      <c r="A191" s="5">
        <v>44402</v>
      </c>
      <c r="B191">
        <v>8.6180000000000003</v>
      </c>
      <c r="C191">
        <v>8.6440000000000001</v>
      </c>
      <c r="D191">
        <v>8.0150000000000006</v>
      </c>
      <c r="E191">
        <v>8.3810000000000002</v>
      </c>
      <c r="F191">
        <v>1073567.155</v>
      </c>
      <c r="G191">
        <v>8.3810000000000002</v>
      </c>
      <c r="L191" t="s">
        <v>7</v>
      </c>
      <c r="M191" t="s">
        <v>8</v>
      </c>
      <c r="N191" t="s">
        <v>7</v>
      </c>
      <c r="P191">
        <f t="shared" ref="P191" si="930">IF(C191=D191,0,((E191-D191)-(C191-E191))/(C191-D191))</f>
        <v>0.16375198728139878</v>
      </c>
      <c r="Q191">
        <f t="shared" ref="Q191" si="931">F191*P191</f>
        <v>175798.75511128746</v>
      </c>
      <c r="R191">
        <f t="shared" ref="R191" si="932">R192+Q191</f>
        <v>2317095.0147835924</v>
      </c>
      <c r="S191">
        <f t="shared" ref="S191" si="933">R191/100000</f>
        <v>23.170950147835924</v>
      </c>
      <c r="T191">
        <f t="shared" ref="T191:T197" si="934">S191/1000</f>
        <v>2.3170950147835923E-2</v>
      </c>
    </row>
    <row r="192" spans="1:20" x14ac:dyDescent="0.25">
      <c r="A192" s="5">
        <v>44401</v>
      </c>
      <c r="B192">
        <v>8.7439999999999998</v>
      </c>
      <c r="C192">
        <v>8.7880000000000003</v>
      </c>
      <c r="D192">
        <v>8.3450000000000006</v>
      </c>
      <c r="E192">
        <v>8.6150000000000002</v>
      </c>
      <c r="F192">
        <v>1875084.95</v>
      </c>
      <c r="G192">
        <v>8.6150000000000002</v>
      </c>
      <c r="L192" t="s">
        <v>8</v>
      </c>
      <c r="M192" t="s">
        <v>8</v>
      </c>
      <c r="N192" t="s">
        <v>7</v>
      </c>
      <c r="P192">
        <f t="shared" ref="P192" si="935">IF(C192=D192,0,((E192-D192)-(C192-E192))/(C192-D192))</f>
        <v>0.21896162528216617</v>
      </c>
      <c r="Q192">
        <f t="shared" ref="Q192" si="936">F192*P192</f>
        <v>410571.64819412929</v>
      </c>
      <c r="R192">
        <f t="shared" ref="R192" si="937">R193+Q192</f>
        <v>2141296.2596723051</v>
      </c>
      <c r="S192">
        <f t="shared" ref="S192" si="938">R192/100000</f>
        <v>21.412962596723052</v>
      </c>
      <c r="T192">
        <f t="shared" si="934"/>
        <v>2.141296259672305E-2</v>
      </c>
    </row>
    <row r="193" spans="1:20" x14ac:dyDescent="0.25">
      <c r="A193" s="5">
        <v>44400</v>
      </c>
      <c r="B193">
        <v>8.5269999999999992</v>
      </c>
      <c r="C193">
        <v>8.9580000000000002</v>
      </c>
      <c r="D193">
        <v>8.0749999999999993</v>
      </c>
      <c r="E193">
        <v>8.7439999999999998</v>
      </c>
      <c r="F193">
        <v>1754556.882</v>
      </c>
      <c r="G193">
        <v>8.7439999999999998</v>
      </c>
      <c r="L193" t="s">
        <v>7</v>
      </c>
      <c r="M193" t="s">
        <v>8</v>
      </c>
      <c r="N193" t="s">
        <v>7</v>
      </c>
      <c r="P193">
        <f t="shared" ref="P193" si="939">IF(C193=D193,0,((E193-D193)-(C193-E193))/(C193-D193))</f>
        <v>0.51528878822197011</v>
      </c>
      <c r="Q193">
        <f t="shared" ref="Q193" si="940">F193*P193</f>
        <v>904103.48959229817</v>
      </c>
      <c r="R193">
        <f t="shared" ref="R193" si="941">R194+Q193</f>
        <v>1730724.6114781757</v>
      </c>
      <c r="S193">
        <f t="shared" ref="S193" si="942">R193/100000</f>
        <v>17.307246114781758</v>
      </c>
      <c r="T193">
        <f t="shared" si="934"/>
        <v>1.7307246114781759E-2</v>
      </c>
    </row>
    <row r="194" spans="1:20" x14ac:dyDescent="0.25">
      <c r="A194" s="5">
        <v>44399</v>
      </c>
      <c r="B194">
        <v>8.4849999999999994</v>
      </c>
      <c r="C194">
        <v>8.9499999999999993</v>
      </c>
      <c r="D194">
        <v>8.218</v>
      </c>
      <c r="E194">
        <v>8.52</v>
      </c>
      <c r="F194">
        <v>2305215.307</v>
      </c>
      <c r="G194">
        <v>8.52</v>
      </c>
      <c r="L194" t="s">
        <v>8</v>
      </c>
      <c r="M194" t="s">
        <v>8</v>
      </c>
      <c r="N194" t="s">
        <v>7</v>
      </c>
      <c r="P194">
        <f t="shared" ref="P194" si="943">IF(C194=D194,0,((E194-D194)-(C194-E194))/(C194-D194))</f>
        <v>-0.17486338797814238</v>
      </c>
      <c r="Q194">
        <f t="shared" ref="Q194" si="944">F194*P194</f>
        <v>-403097.75860109361</v>
      </c>
      <c r="R194">
        <f t="shared" ref="R194" si="945">R195+Q194</f>
        <v>826621.12188587757</v>
      </c>
      <c r="S194">
        <f t="shared" ref="S194" si="946">R194/100000</f>
        <v>8.2662112188587749</v>
      </c>
      <c r="T194">
        <f t="shared" si="934"/>
        <v>8.2662112188587756E-3</v>
      </c>
    </row>
    <row r="195" spans="1:20" x14ac:dyDescent="0.25">
      <c r="A195" s="5">
        <v>44398</v>
      </c>
      <c r="B195">
        <v>7.5549999999999997</v>
      </c>
      <c r="C195">
        <v>8.6110000000000007</v>
      </c>
      <c r="D195">
        <v>7.1420000000000003</v>
      </c>
      <c r="E195">
        <v>8.4849999999999994</v>
      </c>
      <c r="F195">
        <v>3521539.1540000001</v>
      </c>
      <c r="G195">
        <v>8.4849999999999994</v>
      </c>
      <c r="L195" t="s">
        <v>7</v>
      </c>
      <c r="M195" t="s">
        <v>8</v>
      </c>
      <c r="N195" t="s">
        <v>7</v>
      </c>
      <c r="P195">
        <f t="shared" ref="P195" si="947">IF(C195=D195,0,((E195-D195)-(C195-E195))/(C195-D195))</f>
        <v>0.82845473110959678</v>
      </c>
      <c r="Q195">
        <f t="shared" ref="Q195" si="948">F195*P195</f>
        <v>2917435.7729189871</v>
      </c>
      <c r="R195">
        <f t="shared" ref="R195" si="949">R196+Q195</f>
        <v>1229718.8804869712</v>
      </c>
      <c r="S195">
        <f t="shared" ref="S195" si="950">R195/100000</f>
        <v>12.297188804869712</v>
      </c>
      <c r="T195">
        <f t="shared" si="934"/>
        <v>1.2297188804869713E-2</v>
      </c>
    </row>
    <row r="196" spans="1:20" x14ac:dyDescent="0.25">
      <c r="A196" s="5">
        <v>44397</v>
      </c>
      <c r="B196">
        <v>8.19</v>
      </c>
      <c r="C196">
        <v>8.32</v>
      </c>
      <c r="D196">
        <v>7.25</v>
      </c>
      <c r="E196">
        <v>7.548</v>
      </c>
      <c r="F196">
        <v>1686780.9080000001</v>
      </c>
      <c r="G196">
        <v>7.548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-0.44299065420560757</v>
      </c>
      <c r="Q196">
        <f t="shared" ref="Q196" si="952">F196*P196</f>
        <v>-747228.17793644883</v>
      </c>
      <c r="R196">
        <f t="shared" ref="R196" si="953">R197+Q196</f>
        <v>-1687716.8924320159</v>
      </c>
      <c r="S196">
        <f t="shared" ref="S196" si="954">R196/100000</f>
        <v>-16.877168924320159</v>
      </c>
      <c r="T196">
        <f t="shared" si="934"/>
        <v>-1.687716892432016E-2</v>
      </c>
    </row>
    <row r="197" spans="1:20" x14ac:dyDescent="0.25">
      <c r="A197" s="5">
        <v>44396</v>
      </c>
      <c r="B197">
        <v>8.8789999999999996</v>
      </c>
      <c r="C197">
        <v>8.9290000000000003</v>
      </c>
      <c r="D197">
        <v>8.06</v>
      </c>
      <c r="E197">
        <v>8.1890000000000001</v>
      </c>
      <c r="F197">
        <v>1516714.9609999999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-0.70310701956271671</v>
      </c>
      <c r="Q197">
        <f t="shared" ref="Q197" si="956">F197*P197</f>
        <v>-1066412.935754892</v>
      </c>
      <c r="R197">
        <f t="shared" ref="R197" si="957">R198+Q197</f>
        <v>-940488.71449556714</v>
      </c>
      <c r="S197">
        <f t="shared" ref="S197" si="958">R197/100000</f>
        <v>-9.404887144955671</v>
      </c>
      <c r="T197">
        <f t="shared" si="934"/>
        <v>-9.4048871449556714E-3</v>
      </c>
    </row>
    <row r="198" spans="1:20" x14ac:dyDescent="0.25">
      <c r="A198" s="5">
        <v>44395</v>
      </c>
      <c r="B198">
        <v>8.8420000000000005</v>
      </c>
      <c r="C198">
        <v>9.4990000000000006</v>
      </c>
      <c r="D198">
        <v>8.8239999999999998</v>
      </c>
      <c r="E198">
        <v>8.8810000000000002</v>
      </c>
      <c r="F198">
        <v>1421139.969</v>
      </c>
      <c r="G198">
        <v>0</v>
      </c>
      <c r="L198" t="s">
        <v>8</v>
      </c>
      <c r="M198" t="s">
        <v>7</v>
      </c>
      <c r="N198" t="s">
        <v>7</v>
      </c>
      <c r="P198">
        <f t="shared" ref="P198:P261" si="959">IF(C198=D198,0,((E198-D198)-(C198-E198))/(C198-D198))</f>
        <v>-0.83111111111111013</v>
      </c>
      <c r="Q198">
        <f t="shared" ref="Q198:Q261" si="960">F198*P198</f>
        <v>-1181125.2186799985</v>
      </c>
      <c r="R198">
        <f t="shared" ref="R198:R261" si="961">R199+Q198</f>
        <v>125924.22125932481</v>
      </c>
      <c r="S198">
        <f t="shared" ref="S198:S261" si="962">R198/100000</f>
        <v>1.2592422125932481</v>
      </c>
      <c r="T198">
        <f t="shared" ref="T198:T261" si="963">S198/1000</f>
        <v>1.2592422125932482E-3</v>
      </c>
    </row>
    <row r="199" spans="1:20" x14ac:dyDescent="0.25">
      <c r="A199" s="5">
        <v>44394</v>
      </c>
      <c r="B199">
        <v>8.9030000000000005</v>
      </c>
      <c r="C199">
        <v>9.2230000000000008</v>
      </c>
      <c r="D199">
        <v>8.6709999999999994</v>
      </c>
      <c r="E199">
        <v>8.8460000000000001</v>
      </c>
      <c r="F199">
        <v>1343301.5090000001</v>
      </c>
      <c r="G199">
        <v>0</v>
      </c>
      <c r="L199" t="s">
        <v>7</v>
      </c>
      <c r="M199" t="s">
        <v>7</v>
      </c>
      <c r="N199" t="s">
        <v>7</v>
      </c>
      <c r="P199">
        <f t="shared" si="959"/>
        <v>-0.36594202898550626</v>
      </c>
      <c r="Q199">
        <f t="shared" si="960"/>
        <v>-491570.47974275233</v>
      </c>
      <c r="R199">
        <f t="shared" si="961"/>
        <v>1307049.4399393233</v>
      </c>
      <c r="S199">
        <f t="shared" si="962"/>
        <v>13.070494399393233</v>
      </c>
      <c r="T199">
        <f t="shared" si="963"/>
        <v>1.3070494399393234E-2</v>
      </c>
    </row>
    <row r="200" spans="1:20" x14ac:dyDescent="0.25">
      <c r="A200" s="5">
        <v>44393</v>
      </c>
      <c r="B200">
        <v>9.5890000000000004</v>
      </c>
      <c r="C200">
        <v>10.234</v>
      </c>
      <c r="D200">
        <v>8.8409999999999993</v>
      </c>
      <c r="E200">
        <v>8.9039999999999999</v>
      </c>
      <c r="F200">
        <v>2446675.8840000001</v>
      </c>
      <c r="G200">
        <v>0</v>
      </c>
      <c r="L200" t="s">
        <v>7</v>
      </c>
      <c r="M200" t="s">
        <v>7</v>
      </c>
      <c r="N200" t="s">
        <v>7</v>
      </c>
      <c r="P200">
        <f t="shared" si="959"/>
        <v>-0.9095477386934665</v>
      </c>
      <c r="Q200">
        <f t="shared" si="960"/>
        <v>-2225368.5176080381</v>
      </c>
      <c r="R200">
        <f t="shared" si="961"/>
        <v>1798619.9196820757</v>
      </c>
      <c r="S200">
        <f t="shared" si="962"/>
        <v>17.986199196820756</v>
      </c>
      <c r="T200">
        <f t="shared" si="963"/>
        <v>1.7986199196820755E-2</v>
      </c>
    </row>
    <row r="201" spans="1:20" x14ac:dyDescent="0.25">
      <c r="A201" s="5">
        <v>44392</v>
      </c>
      <c r="B201">
        <v>10.446</v>
      </c>
      <c r="C201">
        <v>10.807</v>
      </c>
      <c r="D201">
        <v>9.43</v>
      </c>
      <c r="E201">
        <v>9.5820000000000007</v>
      </c>
      <c r="F201">
        <v>3444540.9449999998</v>
      </c>
      <c r="G201">
        <v>0</v>
      </c>
      <c r="L201" t="s">
        <v>7</v>
      </c>
      <c r="M201" t="s">
        <v>7</v>
      </c>
      <c r="N201" t="s">
        <v>7</v>
      </c>
      <c r="P201">
        <f t="shared" si="959"/>
        <v>-0.77923021060275821</v>
      </c>
      <c r="Q201">
        <f t="shared" si="960"/>
        <v>-2684090.3660021736</v>
      </c>
      <c r="R201">
        <f t="shared" si="961"/>
        <v>4023988.4372901139</v>
      </c>
      <c r="S201">
        <f t="shared" si="962"/>
        <v>40.239884372901138</v>
      </c>
      <c r="T201">
        <f t="shared" si="963"/>
        <v>4.0239884372901137E-2</v>
      </c>
    </row>
    <row r="202" spans="1:20" x14ac:dyDescent="0.25">
      <c r="A202" s="5">
        <v>44391</v>
      </c>
      <c r="B202">
        <v>10.992000000000001</v>
      </c>
      <c r="C202">
        <v>11.118</v>
      </c>
      <c r="D202">
        <v>10.012</v>
      </c>
      <c r="E202">
        <v>10.454000000000001</v>
      </c>
      <c r="F202">
        <v>4734085.1610000003</v>
      </c>
      <c r="G202">
        <v>0</v>
      </c>
      <c r="L202" t="s">
        <v>7</v>
      </c>
      <c r="M202" t="s">
        <v>7</v>
      </c>
      <c r="N202" t="s">
        <v>8</v>
      </c>
      <c r="P202">
        <f t="shared" si="959"/>
        <v>-0.20072332730560538</v>
      </c>
      <c r="Q202">
        <f t="shared" si="960"/>
        <v>-950241.32526401256</v>
      </c>
      <c r="R202">
        <f t="shared" si="961"/>
        <v>6708078.8032922875</v>
      </c>
      <c r="S202">
        <f t="shared" si="962"/>
        <v>67.080788032922868</v>
      </c>
      <c r="T202">
        <f t="shared" si="963"/>
        <v>6.7080788032922861E-2</v>
      </c>
    </row>
    <row r="203" spans="1:20" x14ac:dyDescent="0.25">
      <c r="A203" s="5">
        <v>44390</v>
      </c>
      <c r="B203">
        <v>12.092000000000001</v>
      </c>
      <c r="C203">
        <v>12.238</v>
      </c>
      <c r="D203">
        <v>10.791</v>
      </c>
      <c r="E203">
        <v>10.997</v>
      </c>
      <c r="F203">
        <v>4533783.16</v>
      </c>
      <c r="G203">
        <v>0</v>
      </c>
      <c r="L203" t="s">
        <v>7</v>
      </c>
      <c r="M203" t="s">
        <v>7</v>
      </c>
      <c r="N203" t="s">
        <v>8</v>
      </c>
      <c r="P203">
        <f t="shared" si="959"/>
        <v>-0.7152729785763654</v>
      </c>
      <c r="Q203">
        <f t="shared" si="960"/>
        <v>-3242892.5850725663</v>
      </c>
      <c r="R203">
        <f t="shared" si="961"/>
        <v>7658320.1285563</v>
      </c>
      <c r="S203">
        <f t="shared" si="962"/>
        <v>76.583201285562993</v>
      </c>
      <c r="T203">
        <f t="shared" si="963"/>
        <v>7.6583201285562993E-2</v>
      </c>
    </row>
    <row r="204" spans="1:20" x14ac:dyDescent="0.25">
      <c r="A204" s="5">
        <v>44389</v>
      </c>
      <c r="B204">
        <v>12.423999999999999</v>
      </c>
      <c r="C204">
        <v>13.65</v>
      </c>
      <c r="D204">
        <v>12.039</v>
      </c>
      <c r="E204">
        <v>12.097</v>
      </c>
      <c r="F204">
        <v>5579603.7589999996</v>
      </c>
      <c r="G204">
        <v>0</v>
      </c>
      <c r="L204" t="s">
        <v>8</v>
      </c>
      <c r="M204" t="s">
        <v>8</v>
      </c>
      <c r="N204" t="s">
        <v>8</v>
      </c>
      <c r="P204">
        <f t="shared" si="959"/>
        <v>-0.92799503414028572</v>
      </c>
      <c r="Q204">
        <f t="shared" si="960"/>
        <v>-5177844.5808224715</v>
      </c>
      <c r="R204">
        <f t="shared" si="961"/>
        <v>10901212.713628866</v>
      </c>
      <c r="S204">
        <f t="shared" si="962"/>
        <v>109.01212713628865</v>
      </c>
      <c r="T204">
        <f t="shared" si="963"/>
        <v>0.10901212713628866</v>
      </c>
    </row>
    <row r="205" spans="1:20" x14ac:dyDescent="0.25">
      <c r="A205" s="5">
        <v>44388</v>
      </c>
      <c r="B205">
        <v>11.051</v>
      </c>
      <c r="C205">
        <v>12.89</v>
      </c>
      <c r="D205">
        <v>10.768000000000001</v>
      </c>
      <c r="E205">
        <v>12.425000000000001</v>
      </c>
      <c r="F205">
        <v>4545746.76</v>
      </c>
      <c r="G205">
        <v>0</v>
      </c>
      <c r="L205" t="s">
        <v>8</v>
      </c>
      <c r="M205" t="s">
        <v>8</v>
      </c>
      <c r="N205" t="s">
        <v>8</v>
      </c>
      <c r="P205">
        <f t="shared" si="959"/>
        <v>0.56173421300659765</v>
      </c>
      <c r="Q205">
        <f t="shared" si="960"/>
        <v>2553501.4787558909</v>
      </c>
      <c r="R205">
        <f t="shared" si="961"/>
        <v>16079057.294451337</v>
      </c>
      <c r="S205">
        <f t="shared" si="962"/>
        <v>160.79057294451337</v>
      </c>
      <c r="T205">
        <f t="shared" si="963"/>
        <v>0.16079057294451338</v>
      </c>
    </row>
    <row r="206" spans="1:20" x14ac:dyDescent="0.25">
      <c r="A206" s="5">
        <v>44387</v>
      </c>
      <c r="B206">
        <v>11.478</v>
      </c>
      <c r="C206">
        <v>11.957000000000001</v>
      </c>
      <c r="D206">
        <v>10.491</v>
      </c>
      <c r="E206">
        <v>11.039</v>
      </c>
      <c r="F206">
        <v>2813303.7319999998</v>
      </c>
      <c r="G206">
        <v>0</v>
      </c>
      <c r="L206" t="s">
        <v>8</v>
      </c>
      <c r="M206" t="s">
        <v>8</v>
      </c>
      <c r="N206" t="s">
        <v>8</v>
      </c>
      <c r="P206">
        <f t="shared" si="959"/>
        <v>-0.2523874488403825</v>
      </c>
      <c r="Q206">
        <f t="shared" si="960"/>
        <v>-710042.55173260707</v>
      </c>
      <c r="R206">
        <f t="shared" si="961"/>
        <v>13525555.815695446</v>
      </c>
      <c r="S206">
        <f t="shared" si="962"/>
        <v>135.25555815695446</v>
      </c>
      <c r="T206">
        <f t="shared" si="963"/>
        <v>0.13525555815695448</v>
      </c>
    </row>
    <row r="207" spans="1:20" x14ac:dyDescent="0.25">
      <c r="A207" s="5">
        <v>44386</v>
      </c>
      <c r="B207">
        <v>9.6189999999999998</v>
      </c>
      <c r="C207">
        <v>12.13</v>
      </c>
      <c r="D207">
        <v>9.173</v>
      </c>
      <c r="E207">
        <v>11.472</v>
      </c>
      <c r="F207">
        <v>7072411.398</v>
      </c>
      <c r="G207">
        <v>0</v>
      </c>
      <c r="L207" t="s">
        <v>7</v>
      </c>
      <c r="M207" t="s">
        <v>8</v>
      </c>
      <c r="N207" t="s">
        <v>8</v>
      </c>
      <c r="P207">
        <f t="shared" si="959"/>
        <v>0.55495434562056067</v>
      </c>
      <c r="Q207">
        <f t="shared" si="960"/>
        <v>3924865.4393364848</v>
      </c>
      <c r="R207">
        <f t="shared" si="961"/>
        <v>14235598.367428053</v>
      </c>
      <c r="S207">
        <f t="shared" si="962"/>
        <v>142.35598367428054</v>
      </c>
      <c r="T207">
        <f t="shared" si="963"/>
        <v>0.14235598367428054</v>
      </c>
    </row>
    <row r="208" spans="1:20" x14ac:dyDescent="0.25">
      <c r="A208" s="5">
        <v>44385</v>
      </c>
      <c r="B208">
        <v>10.766999999999999</v>
      </c>
      <c r="C208">
        <v>10.766999999999999</v>
      </c>
      <c r="D208">
        <v>9.3949999999999996</v>
      </c>
      <c r="E208">
        <v>9.6110000000000007</v>
      </c>
      <c r="F208">
        <v>2620445.8450000002</v>
      </c>
      <c r="G208">
        <v>0</v>
      </c>
      <c r="L208" t="s">
        <v>7</v>
      </c>
      <c r="M208" t="s">
        <v>7</v>
      </c>
      <c r="N208" t="s">
        <v>8</v>
      </c>
      <c r="P208">
        <f t="shared" si="959"/>
        <v>-0.68513119533527533</v>
      </c>
      <c r="Q208">
        <f t="shared" si="960"/>
        <v>-1795349.1940962058</v>
      </c>
      <c r="R208">
        <f t="shared" si="961"/>
        <v>10310732.928091569</v>
      </c>
      <c r="S208">
        <f t="shared" si="962"/>
        <v>103.10732928091569</v>
      </c>
      <c r="T208">
        <f t="shared" si="963"/>
        <v>0.10310732928091569</v>
      </c>
    </row>
    <row r="209" spans="1:20" x14ac:dyDescent="0.25">
      <c r="A209" s="5">
        <v>44384</v>
      </c>
      <c r="B209">
        <v>11.183999999999999</v>
      </c>
      <c r="C209">
        <v>11.858000000000001</v>
      </c>
      <c r="D209">
        <v>10.663</v>
      </c>
      <c r="E209">
        <v>10.771000000000001</v>
      </c>
      <c r="F209">
        <v>3327818.02</v>
      </c>
      <c r="G209">
        <v>0</v>
      </c>
      <c r="L209" t="s">
        <v>7</v>
      </c>
      <c r="M209" t="s">
        <v>7</v>
      </c>
      <c r="N209" t="s">
        <v>8</v>
      </c>
      <c r="P209">
        <f t="shared" si="959"/>
        <v>-0.81924686192468532</v>
      </c>
      <c r="Q209">
        <f t="shared" si="960"/>
        <v>-2726304.4699414195</v>
      </c>
      <c r="R209">
        <f t="shared" si="961"/>
        <v>12106082.122187775</v>
      </c>
      <c r="S209">
        <f t="shared" si="962"/>
        <v>121.06082122187775</v>
      </c>
      <c r="T209">
        <f t="shared" si="963"/>
        <v>0.12106082122187775</v>
      </c>
    </row>
    <row r="210" spans="1:20" x14ac:dyDescent="0.25">
      <c r="A210" s="5">
        <v>44383</v>
      </c>
      <c r="B210">
        <v>10.605</v>
      </c>
      <c r="C210">
        <v>12.746</v>
      </c>
      <c r="D210">
        <v>10.363</v>
      </c>
      <c r="E210">
        <v>11.194000000000001</v>
      </c>
      <c r="F210">
        <v>9844685.7589999996</v>
      </c>
      <c r="G210">
        <v>0</v>
      </c>
      <c r="L210" t="s">
        <v>8</v>
      </c>
      <c r="M210" t="s">
        <v>8</v>
      </c>
      <c r="N210" t="s">
        <v>8</v>
      </c>
      <c r="P210">
        <f t="shared" si="959"/>
        <v>-0.30255979857322618</v>
      </c>
      <c r="Q210">
        <f t="shared" si="960"/>
        <v>-2978606.1402597483</v>
      </c>
      <c r="R210">
        <f t="shared" si="961"/>
        <v>14832386.592129195</v>
      </c>
      <c r="S210">
        <f t="shared" si="962"/>
        <v>148.32386592129194</v>
      </c>
      <c r="T210">
        <f t="shared" si="963"/>
        <v>0.14832386592129193</v>
      </c>
    </row>
    <row r="211" spans="1:20" x14ac:dyDescent="0.25">
      <c r="A211" s="5">
        <v>44382</v>
      </c>
      <c r="B211">
        <v>8.5980000000000008</v>
      </c>
      <c r="C211">
        <v>11.499000000000001</v>
      </c>
      <c r="D211">
        <v>8.3699999999999992</v>
      </c>
      <c r="E211">
        <v>10.599</v>
      </c>
      <c r="F211">
        <v>11039477.530999999</v>
      </c>
      <c r="G211">
        <v>0</v>
      </c>
      <c r="L211" t="s">
        <v>8</v>
      </c>
      <c r="M211" t="s">
        <v>8</v>
      </c>
      <c r="N211" t="s">
        <v>8</v>
      </c>
      <c r="P211">
        <f t="shared" si="959"/>
        <v>0.42473633748801537</v>
      </c>
      <c r="Q211">
        <f t="shared" si="960"/>
        <v>4688867.2542981785</v>
      </c>
      <c r="R211">
        <f t="shared" si="961"/>
        <v>17810992.732388943</v>
      </c>
      <c r="S211">
        <f t="shared" si="962"/>
        <v>178.10992732388942</v>
      </c>
      <c r="T211">
        <f t="shared" si="963"/>
        <v>0.17810992732388942</v>
      </c>
    </row>
    <row r="212" spans="1:20" x14ac:dyDescent="0.25">
      <c r="A212" s="5">
        <v>44381</v>
      </c>
      <c r="B212">
        <v>7.2880000000000003</v>
      </c>
      <c r="C212">
        <v>8.9619999999999997</v>
      </c>
      <c r="D212">
        <v>7.0110000000000001</v>
      </c>
      <c r="E212">
        <v>8.5980000000000008</v>
      </c>
      <c r="F212">
        <v>2455817.659</v>
      </c>
      <c r="G212">
        <v>0</v>
      </c>
      <c r="L212" t="s">
        <v>8</v>
      </c>
      <c r="M212" t="s">
        <v>8</v>
      </c>
      <c r="N212" t="s">
        <v>8</v>
      </c>
      <c r="P212">
        <f t="shared" si="959"/>
        <v>0.62685802152742276</v>
      </c>
      <c r="Q212">
        <f t="shared" si="960"/>
        <v>1539448.998952847</v>
      </c>
      <c r="R212">
        <f t="shared" si="961"/>
        <v>13122125.478090765</v>
      </c>
      <c r="S212">
        <f t="shared" si="962"/>
        <v>131.22125478090766</v>
      </c>
      <c r="T212">
        <f t="shared" si="963"/>
        <v>0.13122125478090765</v>
      </c>
    </row>
    <row r="213" spans="1:20" x14ac:dyDescent="0.25">
      <c r="A213" s="5">
        <v>44380</v>
      </c>
      <c r="B213">
        <v>6.9109999999999996</v>
      </c>
      <c r="C213">
        <v>7.5</v>
      </c>
      <c r="D213">
        <v>6.7640000000000002</v>
      </c>
      <c r="E213">
        <v>7.2869999999999999</v>
      </c>
      <c r="F213">
        <v>755385.92700000003</v>
      </c>
      <c r="G213">
        <v>0</v>
      </c>
      <c r="L213" t="s">
        <v>8</v>
      </c>
      <c r="M213" t="s">
        <v>8</v>
      </c>
      <c r="N213" t="s">
        <v>8</v>
      </c>
      <c r="P213">
        <f t="shared" si="959"/>
        <v>0.42119565217391264</v>
      </c>
      <c r="Q213">
        <f t="shared" si="960"/>
        <v>318165.26816576056</v>
      </c>
      <c r="R213">
        <f t="shared" si="961"/>
        <v>11582676.479137918</v>
      </c>
      <c r="S213">
        <f t="shared" si="962"/>
        <v>115.82676479137918</v>
      </c>
      <c r="T213">
        <f t="shared" si="963"/>
        <v>0.11582676479137918</v>
      </c>
    </row>
    <row r="214" spans="1:20" x14ac:dyDescent="0.25">
      <c r="A214" s="5">
        <v>44379</v>
      </c>
      <c r="B214">
        <v>6.8289999999999997</v>
      </c>
      <c r="C214">
        <v>6.9480000000000004</v>
      </c>
      <c r="D214">
        <v>6.4189999999999996</v>
      </c>
      <c r="E214">
        <v>6.915</v>
      </c>
      <c r="F214">
        <v>555871.33900000004</v>
      </c>
      <c r="G214">
        <v>0</v>
      </c>
      <c r="L214" t="s">
        <v>7</v>
      </c>
      <c r="M214" t="s">
        <v>8</v>
      </c>
      <c r="N214" t="s">
        <v>8</v>
      </c>
      <c r="P214">
        <f t="shared" si="959"/>
        <v>0.87523629489602905</v>
      </c>
      <c r="Q214">
        <f t="shared" si="960"/>
        <v>486518.77118525456</v>
      </c>
      <c r="R214">
        <f t="shared" si="961"/>
        <v>11264511.210972158</v>
      </c>
      <c r="S214">
        <f t="shared" si="962"/>
        <v>112.64511210972158</v>
      </c>
      <c r="T214">
        <f t="shared" si="963"/>
        <v>0.11264511210972158</v>
      </c>
    </row>
    <row r="215" spans="1:20" x14ac:dyDescent="0.25">
      <c r="A215" s="5">
        <v>44378</v>
      </c>
      <c r="B215">
        <v>7.343</v>
      </c>
      <c r="C215">
        <v>7.3529999999999998</v>
      </c>
      <c r="D215">
        <v>6.6379999999999999</v>
      </c>
      <c r="E215">
        <v>6.8310000000000004</v>
      </c>
      <c r="F215">
        <v>798709.13600000006</v>
      </c>
      <c r="G215">
        <v>0</v>
      </c>
      <c r="L215" t="s">
        <v>8</v>
      </c>
      <c r="M215" t="s">
        <v>8</v>
      </c>
      <c r="N215" t="s">
        <v>8</v>
      </c>
      <c r="P215">
        <f t="shared" si="959"/>
        <v>-0.46013986013985864</v>
      </c>
      <c r="Q215">
        <f t="shared" si="960"/>
        <v>-367517.91013146733</v>
      </c>
      <c r="R215">
        <f t="shared" si="961"/>
        <v>10777992.439786904</v>
      </c>
      <c r="S215">
        <f t="shared" si="962"/>
        <v>107.77992439786904</v>
      </c>
      <c r="T215">
        <f t="shared" si="963"/>
        <v>0.10777992439786904</v>
      </c>
    </row>
    <row r="216" spans="1:20" x14ac:dyDescent="0.25">
      <c r="A216" s="5">
        <v>44377</v>
      </c>
      <c r="B216">
        <v>7.202</v>
      </c>
      <c r="C216">
        <v>7.3650000000000002</v>
      </c>
      <c r="D216">
        <v>6.6509999999999998</v>
      </c>
      <c r="E216">
        <v>7.3479999999999999</v>
      </c>
      <c r="F216">
        <v>966443.65</v>
      </c>
      <c r="G216">
        <v>0</v>
      </c>
      <c r="L216" t="s">
        <v>7</v>
      </c>
      <c r="M216" t="s">
        <v>8</v>
      </c>
      <c r="N216" t="s">
        <v>8</v>
      </c>
      <c r="P216">
        <f t="shared" si="959"/>
        <v>0.95238095238095144</v>
      </c>
      <c r="Q216">
        <f t="shared" si="960"/>
        <v>920422.52380952297</v>
      </c>
      <c r="R216">
        <f t="shared" si="961"/>
        <v>11145510.349918371</v>
      </c>
      <c r="S216">
        <f t="shared" si="962"/>
        <v>111.45510349918371</v>
      </c>
      <c r="T216">
        <f t="shared" si="963"/>
        <v>0.11145510349918371</v>
      </c>
    </row>
    <row r="217" spans="1:20" x14ac:dyDescent="0.25">
      <c r="A217" s="5">
        <v>44376</v>
      </c>
      <c r="B217">
        <v>7.0170000000000003</v>
      </c>
      <c r="C217">
        <v>7.4649999999999999</v>
      </c>
      <c r="D217">
        <v>6.9829999999999997</v>
      </c>
      <c r="E217">
        <v>7.2009999999999996</v>
      </c>
      <c r="F217">
        <v>1355498.909</v>
      </c>
      <c r="G217">
        <v>0</v>
      </c>
      <c r="L217" t="s">
        <v>8</v>
      </c>
      <c r="M217" t="s">
        <v>8</v>
      </c>
      <c r="N217" t="s">
        <v>8</v>
      </c>
      <c r="P217">
        <f t="shared" si="959"/>
        <v>-9.5435684647303412E-2</v>
      </c>
      <c r="Q217">
        <f t="shared" si="960"/>
        <v>-129362.96641908782</v>
      </c>
      <c r="R217">
        <f t="shared" si="961"/>
        <v>10225087.826108849</v>
      </c>
      <c r="S217">
        <f t="shared" si="962"/>
        <v>102.25087826108849</v>
      </c>
      <c r="T217">
        <f t="shared" si="963"/>
        <v>0.10225087826108849</v>
      </c>
    </row>
    <row r="218" spans="1:20" x14ac:dyDescent="0.25">
      <c r="A218" s="5">
        <v>44375</v>
      </c>
      <c r="B218">
        <v>6.4169999999999998</v>
      </c>
      <c r="C218">
        <v>7.1470000000000002</v>
      </c>
      <c r="D218">
        <v>6.3239999999999998</v>
      </c>
      <c r="E218">
        <v>7.0129999999999999</v>
      </c>
      <c r="F218">
        <v>1188664.6359999999</v>
      </c>
      <c r="G218">
        <v>0</v>
      </c>
      <c r="L218" t="s">
        <v>8</v>
      </c>
      <c r="M218" t="s">
        <v>8</v>
      </c>
      <c r="N218" t="s">
        <v>7</v>
      </c>
      <c r="P218">
        <f t="shared" si="959"/>
        <v>0.67436208991494462</v>
      </c>
      <c r="Q218">
        <f t="shared" si="960"/>
        <v>801590.36814094684</v>
      </c>
      <c r="R218">
        <f t="shared" si="961"/>
        <v>10354450.792527936</v>
      </c>
      <c r="S218">
        <f t="shared" si="962"/>
        <v>103.54450792527936</v>
      </c>
      <c r="T218">
        <f t="shared" si="963"/>
        <v>0.10354450792527936</v>
      </c>
    </row>
    <row r="219" spans="1:20" x14ac:dyDescent="0.25">
      <c r="A219" s="5">
        <v>44374</v>
      </c>
      <c r="B219">
        <v>5.9569999999999999</v>
      </c>
      <c r="C219">
        <v>6.42</v>
      </c>
      <c r="D219">
        <v>5.8159999999999998</v>
      </c>
      <c r="E219">
        <v>6.42</v>
      </c>
      <c r="F219">
        <v>942406.35</v>
      </c>
      <c r="G219">
        <v>0</v>
      </c>
      <c r="L219" t="s">
        <v>8</v>
      </c>
      <c r="M219" t="s">
        <v>7</v>
      </c>
      <c r="N219" t="s">
        <v>7</v>
      </c>
      <c r="P219">
        <f t="shared" si="959"/>
        <v>1</v>
      </c>
      <c r="Q219">
        <f t="shared" si="960"/>
        <v>942406.35</v>
      </c>
      <c r="R219">
        <f t="shared" si="961"/>
        <v>9552860.4243869893</v>
      </c>
      <c r="S219">
        <f t="shared" si="962"/>
        <v>95.528604243869893</v>
      </c>
      <c r="T219">
        <f t="shared" si="963"/>
        <v>9.55286042438699E-2</v>
      </c>
    </row>
    <row r="220" spans="1:20" x14ac:dyDescent="0.25">
      <c r="A220" s="5">
        <v>44373</v>
      </c>
      <c r="B220">
        <v>5.8079999999999998</v>
      </c>
      <c r="C220">
        <v>6.0220000000000002</v>
      </c>
      <c r="D220">
        <v>5.5579999999999998</v>
      </c>
      <c r="E220">
        <v>5.9560000000000004</v>
      </c>
      <c r="F220">
        <v>1163520.5319999999</v>
      </c>
      <c r="G220">
        <v>0</v>
      </c>
      <c r="L220" t="s">
        <v>7</v>
      </c>
      <c r="M220" t="s">
        <v>7</v>
      </c>
      <c r="N220" t="s">
        <v>7</v>
      </c>
      <c r="P220">
        <f t="shared" si="959"/>
        <v>0.71551724137931128</v>
      </c>
      <c r="Q220">
        <f t="shared" si="960"/>
        <v>832519.00134482863</v>
      </c>
      <c r="R220">
        <f t="shared" si="961"/>
        <v>8610454.0743869897</v>
      </c>
      <c r="S220">
        <f t="shared" si="962"/>
        <v>86.10454074386989</v>
      </c>
      <c r="T220">
        <f t="shared" si="963"/>
        <v>8.610454074386989E-2</v>
      </c>
    </row>
    <row r="221" spans="1:20" x14ac:dyDescent="0.25">
      <c r="A221" s="5">
        <v>44372</v>
      </c>
      <c r="B221">
        <v>6.6150000000000002</v>
      </c>
      <c r="C221">
        <v>6.72</v>
      </c>
      <c r="D221">
        <v>5.694</v>
      </c>
      <c r="E221">
        <v>5.8070000000000004</v>
      </c>
      <c r="F221">
        <v>2031181.94</v>
      </c>
      <c r="G221">
        <v>0</v>
      </c>
      <c r="L221" t="s">
        <v>7</v>
      </c>
      <c r="M221" t="s">
        <v>7</v>
      </c>
      <c r="N221" t="s">
        <v>7</v>
      </c>
      <c r="P221">
        <f t="shared" si="959"/>
        <v>-0.77972709551656827</v>
      </c>
      <c r="Q221">
        <f t="shared" si="960"/>
        <v>-1583767.5945419085</v>
      </c>
      <c r="R221">
        <f t="shared" si="961"/>
        <v>7777935.0730421608</v>
      </c>
      <c r="S221">
        <f t="shared" si="962"/>
        <v>77.779350730421612</v>
      </c>
      <c r="T221">
        <f t="shared" si="963"/>
        <v>7.7779350730421609E-2</v>
      </c>
    </row>
    <row r="222" spans="1:20" x14ac:dyDescent="0.25">
      <c r="A222" s="5">
        <v>44371</v>
      </c>
      <c r="B222">
        <v>6.657</v>
      </c>
      <c r="C222">
        <v>6.92</v>
      </c>
      <c r="D222">
        <v>6.2969999999999997</v>
      </c>
      <c r="E222">
        <v>6.6120000000000001</v>
      </c>
      <c r="F222">
        <v>1310364.284</v>
      </c>
      <c r="G222">
        <v>0</v>
      </c>
      <c r="L222" t="s">
        <v>7</v>
      </c>
      <c r="M222" t="s">
        <v>8</v>
      </c>
      <c r="N222" t="s">
        <v>7</v>
      </c>
      <c r="P222">
        <f t="shared" si="959"/>
        <v>1.1235955056180672E-2</v>
      </c>
      <c r="Q222">
        <f t="shared" si="960"/>
        <v>14723.194202248365</v>
      </c>
      <c r="R222">
        <f t="shared" si="961"/>
        <v>9361702.6675840691</v>
      </c>
      <c r="S222">
        <f t="shared" si="962"/>
        <v>93.617026675840691</v>
      </c>
      <c r="T222">
        <f t="shared" si="963"/>
        <v>9.3617026675840695E-2</v>
      </c>
    </row>
    <row r="223" spans="1:20" x14ac:dyDescent="0.25">
      <c r="A223" s="5">
        <v>44370</v>
      </c>
      <c r="B223">
        <v>6.3410000000000002</v>
      </c>
      <c r="C223">
        <v>7.1379999999999999</v>
      </c>
      <c r="D223">
        <v>6.0819999999999999</v>
      </c>
      <c r="E223">
        <v>6.6520000000000001</v>
      </c>
      <c r="F223">
        <v>1207982.1070000001</v>
      </c>
      <c r="G223">
        <v>0</v>
      </c>
      <c r="L223" t="s">
        <v>8</v>
      </c>
      <c r="M223" t="s">
        <v>8</v>
      </c>
      <c r="N223" t="s">
        <v>7</v>
      </c>
      <c r="P223">
        <f t="shared" si="959"/>
        <v>7.954545454545503E-2</v>
      </c>
      <c r="Q223">
        <f t="shared" si="960"/>
        <v>96089.485784091507</v>
      </c>
      <c r="R223">
        <f t="shared" si="961"/>
        <v>9346979.4733818211</v>
      </c>
      <c r="S223">
        <f t="shared" si="962"/>
        <v>93.469794733818205</v>
      </c>
      <c r="T223">
        <f t="shared" si="963"/>
        <v>9.3469794733818209E-2</v>
      </c>
    </row>
    <row r="224" spans="1:20" x14ac:dyDescent="0.25">
      <c r="A224" s="5">
        <v>44369</v>
      </c>
      <c r="B224">
        <v>6.548</v>
      </c>
      <c r="C224">
        <v>6.9980000000000002</v>
      </c>
      <c r="D224">
        <v>5.55</v>
      </c>
      <c r="E224">
        <v>6.343</v>
      </c>
      <c r="F224">
        <v>2592904.7370000002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9.5303867403314826E-2</v>
      </c>
      <c r="Q224">
        <f t="shared" si="960"/>
        <v>247113.84924447493</v>
      </c>
      <c r="R224">
        <f t="shared" si="961"/>
        <v>9250889.98759773</v>
      </c>
      <c r="S224">
        <f t="shared" si="962"/>
        <v>92.508899875977306</v>
      </c>
      <c r="T224">
        <f t="shared" si="963"/>
        <v>9.250889987597731E-2</v>
      </c>
    </row>
    <row r="225" spans="1:20" x14ac:dyDescent="0.25">
      <c r="A225" s="5">
        <v>44368</v>
      </c>
      <c r="B225">
        <v>8.4700000000000006</v>
      </c>
      <c r="C225">
        <v>8.5359999999999996</v>
      </c>
      <c r="D225">
        <v>6.4790000000000001</v>
      </c>
      <c r="E225">
        <v>6.55</v>
      </c>
      <c r="F225">
        <v>2145257.3539999998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-0.93096742829363177</v>
      </c>
      <c r="Q225">
        <f t="shared" si="960"/>
        <v>-1997164.721881381</v>
      </c>
      <c r="R225">
        <f t="shared" si="961"/>
        <v>9003776.1383532546</v>
      </c>
      <c r="S225">
        <f t="shared" si="962"/>
        <v>90.037761383532541</v>
      </c>
      <c r="T225">
        <f t="shared" si="963"/>
        <v>9.0037761383532547E-2</v>
      </c>
    </row>
    <row r="226" spans="1:20" x14ac:dyDescent="0.25">
      <c r="A226" s="5">
        <v>44367</v>
      </c>
      <c r="B226">
        <v>8.0779999999999994</v>
      </c>
      <c r="C226">
        <v>8.6539999999999999</v>
      </c>
      <c r="D226">
        <v>7.7489999999999997</v>
      </c>
      <c r="E226">
        <v>8.4700000000000006</v>
      </c>
      <c r="F226">
        <v>1223122.361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0.5933701657458581</v>
      </c>
      <c r="Q226">
        <f t="shared" si="960"/>
        <v>725764.31807403534</v>
      </c>
      <c r="R226">
        <f t="shared" si="961"/>
        <v>11000940.860234635</v>
      </c>
      <c r="S226">
        <f t="shared" si="962"/>
        <v>110.00940860234635</v>
      </c>
      <c r="T226">
        <f t="shared" si="963"/>
        <v>0.11000940860234636</v>
      </c>
    </row>
    <row r="227" spans="1:20" x14ac:dyDescent="0.25">
      <c r="A227" s="5">
        <v>44366</v>
      </c>
      <c r="B227">
        <v>8.3160000000000007</v>
      </c>
      <c r="C227">
        <v>8.6259999999999994</v>
      </c>
      <c r="D227">
        <v>8.0540000000000003</v>
      </c>
      <c r="E227">
        <v>8.0820000000000007</v>
      </c>
      <c r="F227">
        <v>802008.86499999999</v>
      </c>
      <c r="G227">
        <v>0</v>
      </c>
      <c r="L227" t="s">
        <v>8</v>
      </c>
      <c r="M227" t="s">
        <v>7</v>
      </c>
      <c r="N227" t="s">
        <v>7</v>
      </c>
      <c r="P227">
        <f t="shared" si="959"/>
        <v>-0.90209790209790031</v>
      </c>
      <c r="Q227">
        <f t="shared" si="960"/>
        <v>-723490.51458041812</v>
      </c>
      <c r="R227">
        <f t="shared" si="961"/>
        <v>10275176.5421606</v>
      </c>
      <c r="S227">
        <f t="shared" si="962"/>
        <v>102.75176542160601</v>
      </c>
      <c r="T227">
        <f t="shared" si="963"/>
        <v>0.10275176542160601</v>
      </c>
    </row>
    <row r="228" spans="1:20" x14ac:dyDescent="0.25">
      <c r="A228" s="5">
        <v>44365</v>
      </c>
      <c r="B228">
        <v>9.0109999999999992</v>
      </c>
      <c r="C228">
        <v>9.0239999999999991</v>
      </c>
      <c r="D228">
        <v>7.9130000000000003</v>
      </c>
      <c r="E228">
        <v>8.3170000000000002</v>
      </c>
      <c r="F228">
        <v>1095004.3049999999</v>
      </c>
      <c r="G228">
        <v>0</v>
      </c>
      <c r="L228" t="s">
        <v>7</v>
      </c>
      <c r="M228" t="s">
        <v>7</v>
      </c>
      <c r="N228" t="s">
        <v>7</v>
      </c>
      <c r="P228">
        <f t="shared" si="959"/>
        <v>-0.27272727272727215</v>
      </c>
      <c r="Q228">
        <f t="shared" si="960"/>
        <v>-298637.53772727208</v>
      </c>
      <c r="R228">
        <f t="shared" si="961"/>
        <v>10998667.056741018</v>
      </c>
      <c r="S228">
        <f t="shared" si="962"/>
        <v>109.98667056741017</v>
      </c>
      <c r="T228">
        <f t="shared" si="963"/>
        <v>0.10998667056741017</v>
      </c>
    </row>
    <row r="229" spans="1:20" x14ac:dyDescent="0.25">
      <c r="A229" s="5">
        <v>44364</v>
      </c>
      <c r="B229">
        <v>9.0670000000000002</v>
      </c>
      <c r="C229">
        <v>9.51</v>
      </c>
      <c r="D229">
        <v>8.7159999999999993</v>
      </c>
      <c r="E229">
        <v>9.0109999999999992</v>
      </c>
      <c r="F229">
        <v>819471.41799999995</v>
      </c>
      <c r="G229">
        <v>0</v>
      </c>
      <c r="L229" t="s">
        <v>7</v>
      </c>
      <c r="M229" t="s">
        <v>7</v>
      </c>
      <c r="N229" t="s">
        <v>7</v>
      </c>
      <c r="P229">
        <f t="shared" si="959"/>
        <v>-0.25692695214105854</v>
      </c>
      <c r="Q229">
        <f t="shared" si="960"/>
        <v>-210544.29379345136</v>
      </c>
      <c r="R229">
        <f t="shared" si="961"/>
        <v>11297304.59446829</v>
      </c>
      <c r="S229">
        <f t="shared" si="962"/>
        <v>112.97304594468289</v>
      </c>
      <c r="T229">
        <f t="shared" si="963"/>
        <v>0.1129730459446829</v>
      </c>
    </row>
    <row r="230" spans="1:20" x14ac:dyDescent="0.25">
      <c r="A230" s="5">
        <v>44363</v>
      </c>
      <c r="B230">
        <v>9.7230000000000008</v>
      </c>
      <c r="C230">
        <v>9.9280000000000008</v>
      </c>
      <c r="D230">
        <v>8.8879999999999999</v>
      </c>
      <c r="E230">
        <v>9.0679999999999996</v>
      </c>
      <c r="F230">
        <v>1132103.9369999999</v>
      </c>
      <c r="G230">
        <v>0</v>
      </c>
      <c r="L230" t="s">
        <v>7</v>
      </c>
      <c r="M230" t="s">
        <v>7</v>
      </c>
      <c r="N230" t="s">
        <v>7</v>
      </c>
      <c r="P230">
        <f t="shared" si="959"/>
        <v>-0.65384615384615474</v>
      </c>
      <c r="Q230">
        <f t="shared" si="960"/>
        <v>-740221.80496153946</v>
      </c>
      <c r="R230">
        <f t="shared" si="961"/>
        <v>11507848.888261741</v>
      </c>
      <c r="S230">
        <f t="shared" si="962"/>
        <v>115.07848888261741</v>
      </c>
      <c r="T230">
        <f t="shared" si="963"/>
        <v>0.1150784888826174</v>
      </c>
    </row>
    <row r="231" spans="1:20" x14ac:dyDescent="0.25">
      <c r="A231" s="5">
        <v>44362</v>
      </c>
      <c r="B231">
        <v>10.089</v>
      </c>
      <c r="C231">
        <v>10.461</v>
      </c>
      <c r="D231">
        <v>9.5280000000000005</v>
      </c>
      <c r="E231">
        <v>9.7249999999999996</v>
      </c>
      <c r="F231">
        <v>1717359.6429999999</v>
      </c>
      <c r="G231">
        <v>0</v>
      </c>
      <c r="L231" t="s">
        <v>8</v>
      </c>
      <c r="M231" t="s">
        <v>8</v>
      </c>
      <c r="N231" t="s">
        <v>7</v>
      </c>
      <c r="P231">
        <f t="shared" si="959"/>
        <v>-0.57770632368703279</v>
      </c>
      <c r="Q231">
        <f t="shared" si="960"/>
        <v>-992129.525806005</v>
      </c>
      <c r="R231">
        <f t="shared" si="961"/>
        <v>12248070.693223281</v>
      </c>
      <c r="S231">
        <f t="shared" si="962"/>
        <v>122.48070693223281</v>
      </c>
      <c r="T231">
        <f t="shared" si="963"/>
        <v>0.1224807069322328</v>
      </c>
    </row>
    <row r="232" spans="1:20" x14ac:dyDescent="0.25">
      <c r="A232" s="5">
        <v>44361</v>
      </c>
      <c r="B232">
        <v>9.1340000000000003</v>
      </c>
      <c r="C232">
        <v>10.095000000000001</v>
      </c>
      <c r="D232">
        <v>8.6679999999999993</v>
      </c>
      <c r="E232">
        <v>10.084</v>
      </c>
      <c r="F232">
        <v>1936843.331</v>
      </c>
      <c r="G232">
        <v>0</v>
      </c>
      <c r="L232" t="s">
        <v>8</v>
      </c>
      <c r="M232" t="s">
        <v>8</v>
      </c>
      <c r="N232" t="s">
        <v>7</v>
      </c>
      <c r="P232">
        <f t="shared" si="959"/>
        <v>0.98458304134547858</v>
      </c>
      <c r="Q232">
        <f t="shared" si="960"/>
        <v>1906983.0974456875</v>
      </c>
      <c r="R232">
        <f t="shared" si="961"/>
        <v>13240200.219029285</v>
      </c>
      <c r="S232">
        <f t="shared" si="962"/>
        <v>132.40200219029285</v>
      </c>
      <c r="T232">
        <f t="shared" si="963"/>
        <v>0.13240200219029286</v>
      </c>
    </row>
    <row r="233" spans="1:20" x14ac:dyDescent="0.25">
      <c r="A233" s="5">
        <v>44360</v>
      </c>
      <c r="B233">
        <v>8.468</v>
      </c>
      <c r="C233">
        <v>9.1880000000000006</v>
      </c>
      <c r="D233">
        <v>8.1129999999999995</v>
      </c>
      <c r="E233">
        <v>9.1370000000000005</v>
      </c>
      <c r="F233">
        <v>1318168.8700000001</v>
      </c>
      <c r="G233">
        <v>0</v>
      </c>
      <c r="L233" t="s">
        <v>8</v>
      </c>
      <c r="M233" t="s">
        <v>7</v>
      </c>
      <c r="N233" t="s">
        <v>7</v>
      </c>
      <c r="P233">
        <f t="shared" si="959"/>
        <v>0.90511627906976722</v>
      </c>
      <c r="Q233">
        <f t="shared" si="960"/>
        <v>1193096.1027999998</v>
      </c>
      <c r="R233">
        <f t="shared" si="961"/>
        <v>11333217.121583598</v>
      </c>
      <c r="S233">
        <f t="shared" si="962"/>
        <v>113.33217121583598</v>
      </c>
      <c r="T233">
        <f t="shared" si="963"/>
        <v>0.11333217121583598</v>
      </c>
    </row>
    <row r="234" spans="1:20" x14ac:dyDescent="0.25">
      <c r="A234" s="5">
        <v>44359</v>
      </c>
      <c r="B234">
        <v>8.6470000000000002</v>
      </c>
      <c r="C234">
        <v>8.7579999999999991</v>
      </c>
      <c r="D234">
        <v>7.91</v>
      </c>
      <c r="E234">
        <v>8.4710000000000001</v>
      </c>
      <c r="F234">
        <v>1783343.95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0.32311320754717127</v>
      </c>
      <c r="Q234">
        <f t="shared" si="960"/>
        <v>576221.98384434218</v>
      </c>
      <c r="R234">
        <f t="shared" si="961"/>
        <v>10140121.018783597</v>
      </c>
      <c r="S234">
        <f t="shared" si="962"/>
        <v>101.40121018783597</v>
      </c>
      <c r="T234">
        <f t="shared" si="963"/>
        <v>0.10140121018783597</v>
      </c>
    </row>
    <row r="235" spans="1:20" x14ac:dyDescent="0.25">
      <c r="A235" s="5">
        <v>44358</v>
      </c>
      <c r="B235">
        <v>9.9350000000000005</v>
      </c>
      <c r="C235">
        <v>10.06</v>
      </c>
      <c r="D235">
        <v>8.5359999999999996</v>
      </c>
      <c r="E235">
        <v>8.6430000000000007</v>
      </c>
      <c r="F235">
        <v>5474364.1210000003</v>
      </c>
      <c r="G235">
        <v>0</v>
      </c>
      <c r="L235" t="s">
        <v>7</v>
      </c>
      <c r="M235" t="s">
        <v>7</v>
      </c>
      <c r="N235" t="s">
        <v>7</v>
      </c>
      <c r="P235">
        <f t="shared" si="959"/>
        <v>-0.85958005249343694</v>
      </c>
      <c r="Q235">
        <f t="shared" si="960"/>
        <v>-4705654.198497368</v>
      </c>
      <c r="R235">
        <f t="shared" si="961"/>
        <v>9563899.0349392556</v>
      </c>
      <c r="S235">
        <f t="shared" si="962"/>
        <v>95.638990349392557</v>
      </c>
      <c r="T235">
        <f t="shared" si="963"/>
        <v>9.5638990349392564E-2</v>
      </c>
    </row>
    <row r="236" spans="1:20" x14ac:dyDescent="0.25">
      <c r="A236" s="5">
        <v>44357</v>
      </c>
      <c r="B236">
        <v>10.901999999999999</v>
      </c>
      <c r="C236">
        <v>10.97</v>
      </c>
      <c r="D236">
        <v>9.8339999999999996</v>
      </c>
      <c r="E236">
        <v>9.9250000000000007</v>
      </c>
      <c r="F236">
        <v>923786.99199999997</v>
      </c>
      <c r="G236">
        <v>0</v>
      </c>
      <c r="L236" t="s">
        <v>7</v>
      </c>
      <c r="M236" t="s">
        <v>7</v>
      </c>
      <c r="N236" t="s">
        <v>7</v>
      </c>
      <c r="P236">
        <f t="shared" si="959"/>
        <v>-0.83978873239436447</v>
      </c>
      <c r="Q236">
        <f t="shared" si="960"/>
        <v>-775785.90701408288</v>
      </c>
      <c r="R236">
        <f t="shared" si="961"/>
        <v>14269553.233436624</v>
      </c>
      <c r="S236">
        <f t="shared" si="962"/>
        <v>142.69553233436625</v>
      </c>
      <c r="T236">
        <f t="shared" si="963"/>
        <v>0.14269553233436624</v>
      </c>
    </row>
    <row r="237" spans="1:20" x14ac:dyDescent="0.25">
      <c r="A237" s="5">
        <v>44356</v>
      </c>
      <c r="B237">
        <v>10.411</v>
      </c>
      <c r="C237">
        <v>10.976000000000001</v>
      </c>
      <c r="D237">
        <v>9.8740000000000006</v>
      </c>
      <c r="E237">
        <v>10.891</v>
      </c>
      <c r="F237">
        <v>1166229.2949999999</v>
      </c>
      <c r="G237">
        <v>0</v>
      </c>
      <c r="L237" t="s">
        <v>8</v>
      </c>
      <c r="M237" t="s">
        <v>7</v>
      </c>
      <c r="N237" t="s">
        <v>7</v>
      </c>
      <c r="P237">
        <f t="shared" si="959"/>
        <v>0.84573502722322902</v>
      </c>
      <c r="Q237">
        <f t="shared" si="960"/>
        <v>986320.96455535211</v>
      </c>
      <c r="R237">
        <f t="shared" si="961"/>
        <v>15045339.140450707</v>
      </c>
      <c r="S237">
        <f t="shared" si="962"/>
        <v>150.45339140450707</v>
      </c>
      <c r="T237">
        <f t="shared" si="963"/>
        <v>0.15045339140450709</v>
      </c>
    </row>
    <row r="238" spans="1:20" x14ac:dyDescent="0.25">
      <c r="A238" s="5">
        <v>44355</v>
      </c>
      <c r="B238">
        <v>10.81</v>
      </c>
      <c r="C238">
        <v>11.022</v>
      </c>
      <c r="D238">
        <v>9.4429999999999996</v>
      </c>
      <c r="E238">
        <v>10.4</v>
      </c>
      <c r="F238">
        <v>1489393.422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0.21215959468017778</v>
      </c>
      <c r="Q238">
        <f t="shared" si="960"/>
        <v>315989.10473084298</v>
      </c>
      <c r="R238">
        <f t="shared" si="961"/>
        <v>14059018.175895354</v>
      </c>
      <c r="S238">
        <f t="shared" si="962"/>
        <v>140.59018175895355</v>
      </c>
      <c r="T238">
        <f t="shared" si="963"/>
        <v>0.14059018175895355</v>
      </c>
    </row>
    <row r="239" spans="1:20" x14ac:dyDescent="0.25">
      <c r="A239" s="5">
        <v>44354</v>
      </c>
      <c r="B239">
        <v>11.904999999999999</v>
      </c>
      <c r="C239">
        <v>12.331</v>
      </c>
      <c r="D239">
        <v>10.724</v>
      </c>
      <c r="E239">
        <v>10.821</v>
      </c>
      <c r="F239">
        <v>827061.179</v>
      </c>
      <c r="G239">
        <v>0</v>
      </c>
      <c r="L239" t="s">
        <v>7</v>
      </c>
      <c r="M239" t="s">
        <v>7</v>
      </c>
      <c r="N239" t="s">
        <v>7</v>
      </c>
      <c r="P239">
        <f t="shared" si="959"/>
        <v>-0.87927815805849463</v>
      </c>
      <c r="Q239">
        <f t="shared" si="960"/>
        <v>-727216.83007280692</v>
      </c>
      <c r="R239">
        <f t="shared" si="961"/>
        <v>13743029.071164511</v>
      </c>
      <c r="S239">
        <f t="shared" si="962"/>
        <v>137.43029071164511</v>
      </c>
      <c r="T239">
        <f t="shared" si="963"/>
        <v>0.13743029071164511</v>
      </c>
    </row>
    <row r="240" spans="1:20" x14ac:dyDescent="0.25">
      <c r="A240" s="5">
        <v>44353</v>
      </c>
      <c r="B240">
        <v>11.641</v>
      </c>
      <c r="C240">
        <v>12.183</v>
      </c>
      <c r="D240">
        <v>11.493</v>
      </c>
      <c r="E240">
        <v>11.913</v>
      </c>
      <c r="F240">
        <v>524636.56900000002</v>
      </c>
      <c r="G240">
        <v>0</v>
      </c>
      <c r="L240" t="s">
        <v>8</v>
      </c>
      <c r="M240" t="s">
        <v>7</v>
      </c>
      <c r="N240" t="s">
        <v>7</v>
      </c>
      <c r="P240">
        <f t="shared" si="959"/>
        <v>0.21739130434782675</v>
      </c>
      <c r="Q240">
        <f t="shared" si="960"/>
        <v>114051.42804347861</v>
      </c>
      <c r="R240">
        <f t="shared" si="961"/>
        <v>14470245.901237318</v>
      </c>
      <c r="S240">
        <f t="shared" si="962"/>
        <v>144.7024590123732</v>
      </c>
      <c r="T240">
        <f t="shared" si="963"/>
        <v>0.14470245901237319</v>
      </c>
    </row>
    <row r="241" spans="1:20" x14ac:dyDescent="0.25">
      <c r="A241" s="5">
        <v>44352</v>
      </c>
      <c r="B241">
        <v>12.2</v>
      </c>
      <c r="C241">
        <v>13.031000000000001</v>
      </c>
      <c r="D241">
        <v>11.355</v>
      </c>
      <c r="E241">
        <v>11.641</v>
      </c>
      <c r="F241">
        <v>761508.22699999996</v>
      </c>
      <c r="G241">
        <v>0</v>
      </c>
      <c r="L241" t="s">
        <v>7</v>
      </c>
      <c r="M241" t="s">
        <v>7</v>
      </c>
      <c r="N241" t="s">
        <v>7</v>
      </c>
      <c r="P241">
        <f t="shared" si="959"/>
        <v>-0.65871121718377146</v>
      </c>
      <c r="Q241">
        <f t="shared" si="960"/>
        <v>-501614.01110262569</v>
      </c>
      <c r="R241">
        <f t="shared" si="961"/>
        <v>14356194.473193839</v>
      </c>
      <c r="S241">
        <f t="shared" si="962"/>
        <v>143.56194473193838</v>
      </c>
      <c r="T241">
        <f t="shared" si="963"/>
        <v>0.1435619447319384</v>
      </c>
    </row>
    <row r="242" spans="1:20" x14ac:dyDescent="0.25">
      <c r="A242" s="5">
        <v>44351</v>
      </c>
      <c r="B242">
        <v>13.545</v>
      </c>
      <c r="C242">
        <v>13.584</v>
      </c>
      <c r="D242">
        <v>11.603</v>
      </c>
      <c r="E242">
        <v>12.215</v>
      </c>
      <c r="F242">
        <v>1015943.785</v>
      </c>
      <c r="G242">
        <v>0</v>
      </c>
      <c r="L242" t="s">
        <v>7</v>
      </c>
      <c r="M242" t="s">
        <v>7</v>
      </c>
      <c r="N242" t="s">
        <v>7</v>
      </c>
      <c r="P242">
        <f t="shared" si="959"/>
        <v>-0.38213023725391204</v>
      </c>
      <c r="Q242">
        <f t="shared" si="960"/>
        <v>-388222.83959868742</v>
      </c>
      <c r="R242">
        <f t="shared" si="961"/>
        <v>14857808.484296465</v>
      </c>
      <c r="S242">
        <f t="shared" si="962"/>
        <v>148.57808484296464</v>
      </c>
      <c r="T242">
        <f t="shared" si="963"/>
        <v>0.14857808484296464</v>
      </c>
    </row>
    <row r="243" spans="1:20" x14ac:dyDescent="0.25">
      <c r="A243" s="5">
        <v>44350</v>
      </c>
      <c r="B243">
        <v>12.821999999999999</v>
      </c>
      <c r="C243">
        <v>14.089</v>
      </c>
      <c r="D243">
        <v>12.603</v>
      </c>
      <c r="E243">
        <v>13.545999999999999</v>
      </c>
      <c r="F243">
        <v>1209124.5519999999</v>
      </c>
      <c r="G243">
        <v>0</v>
      </c>
      <c r="L243" t="s">
        <v>8</v>
      </c>
      <c r="M243" t="s">
        <v>8</v>
      </c>
      <c r="N243" t="s">
        <v>7</v>
      </c>
      <c r="P243">
        <f t="shared" si="959"/>
        <v>0.26917900403768397</v>
      </c>
      <c r="Q243">
        <f t="shared" si="960"/>
        <v>325470.94266487082</v>
      </c>
      <c r="R243">
        <f t="shared" si="961"/>
        <v>15246031.323895153</v>
      </c>
      <c r="S243">
        <f t="shared" si="962"/>
        <v>152.46031323895153</v>
      </c>
      <c r="T243">
        <f t="shared" si="963"/>
        <v>0.15246031323895154</v>
      </c>
    </row>
    <row r="244" spans="1:20" x14ac:dyDescent="0.25">
      <c r="A244" s="5">
        <v>44349</v>
      </c>
      <c r="B244">
        <v>12.686999999999999</v>
      </c>
      <c r="C244">
        <v>13.45</v>
      </c>
      <c r="D244">
        <v>12.151999999999999</v>
      </c>
      <c r="E244">
        <v>12.824</v>
      </c>
      <c r="F244">
        <v>668981.93099999998</v>
      </c>
      <c r="G244">
        <v>0</v>
      </c>
      <c r="L244" t="s">
        <v>7</v>
      </c>
      <c r="M244" t="s">
        <v>8</v>
      </c>
      <c r="N244" t="s">
        <v>7</v>
      </c>
      <c r="P244">
        <f t="shared" si="959"/>
        <v>3.5439137134053271E-2</v>
      </c>
      <c r="Q244">
        <f t="shared" si="960"/>
        <v>23708.142392912763</v>
      </c>
      <c r="R244">
        <f t="shared" si="961"/>
        <v>14920560.381230282</v>
      </c>
      <c r="S244">
        <f t="shared" si="962"/>
        <v>149.20560381230283</v>
      </c>
      <c r="T244">
        <f t="shared" si="963"/>
        <v>0.14920560381230283</v>
      </c>
    </row>
    <row r="245" spans="1:20" x14ac:dyDescent="0.25">
      <c r="A245" s="5">
        <v>44348</v>
      </c>
      <c r="B245">
        <v>13.311999999999999</v>
      </c>
      <c r="C245">
        <v>13.456</v>
      </c>
      <c r="D245">
        <v>12.12</v>
      </c>
      <c r="E245">
        <v>12.689</v>
      </c>
      <c r="F245">
        <v>756561.36499999999</v>
      </c>
      <c r="G245">
        <v>0</v>
      </c>
      <c r="L245" t="s">
        <v>8</v>
      </c>
      <c r="M245" t="s">
        <v>8</v>
      </c>
      <c r="N245" t="s">
        <v>7</v>
      </c>
      <c r="P245">
        <f t="shared" si="959"/>
        <v>-0.14820359281437021</v>
      </c>
      <c r="Q245">
        <f t="shared" si="960"/>
        <v>-112125.11247754411</v>
      </c>
      <c r="R245">
        <f t="shared" si="961"/>
        <v>14896852.238837369</v>
      </c>
      <c r="S245">
        <f t="shared" si="962"/>
        <v>148.96852238837369</v>
      </c>
      <c r="T245">
        <f t="shared" si="963"/>
        <v>0.14896852238837369</v>
      </c>
    </row>
    <row r="246" spans="1:20" x14ac:dyDescent="0.25">
      <c r="A246" s="5">
        <v>44347</v>
      </c>
      <c r="B246">
        <v>11.753</v>
      </c>
      <c r="C246">
        <v>13.33</v>
      </c>
      <c r="D246">
        <v>11.173999999999999</v>
      </c>
      <c r="E246">
        <v>13.316000000000001</v>
      </c>
      <c r="F246">
        <v>1059227.6850000001</v>
      </c>
      <c r="G246">
        <v>0</v>
      </c>
      <c r="L246" t="s">
        <v>8</v>
      </c>
      <c r="M246" t="s">
        <v>8</v>
      </c>
      <c r="N246" t="s">
        <v>7</v>
      </c>
      <c r="P246">
        <f t="shared" si="959"/>
        <v>0.98701298701298767</v>
      </c>
      <c r="Q246">
        <f t="shared" si="960"/>
        <v>1045471.4812987021</v>
      </c>
      <c r="R246">
        <f t="shared" si="961"/>
        <v>15008977.351314913</v>
      </c>
      <c r="S246">
        <f t="shared" si="962"/>
        <v>150.08977351314914</v>
      </c>
      <c r="T246">
        <f t="shared" si="963"/>
        <v>0.15008977351314914</v>
      </c>
    </row>
    <row r="247" spans="1:20" x14ac:dyDescent="0.25">
      <c r="A247" s="5">
        <v>44346</v>
      </c>
      <c r="B247">
        <v>10.917</v>
      </c>
      <c r="C247">
        <v>12.44</v>
      </c>
      <c r="D247">
        <v>10.273999999999999</v>
      </c>
      <c r="E247">
        <v>11.753</v>
      </c>
      <c r="F247">
        <v>849448.05200000003</v>
      </c>
      <c r="G247">
        <v>0</v>
      </c>
      <c r="L247" t="s">
        <v>7</v>
      </c>
      <c r="M247" t="s">
        <v>8</v>
      </c>
      <c r="N247" t="s">
        <v>7</v>
      </c>
      <c r="P247">
        <f t="shared" si="959"/>
        <v>0.36565096952908654</v>
      </c>
      <c r="Q247">
        <f t="shared" si="960"/>
        <v>310601.5037783939</v>
      </c>
      <c r="R247">
        <f t="shared" si="961"/>
        <v>13963505.870016212</v>
      </c>
      <c r="S247">
        <f t="shared" si="962"/>
        <v>139.63505870016212</v>
      </c>
      <c r="T247">
        <f t="shared" si="963"/>
        <v>0.13963505870016213</v>
      </c>
    </row>
    <row r="248" spans="1:20" x14ac:dyDescent="0.25">
      <c r="A248" s="5">
        <v>44345</v>
      </c>
      <c r="B248">
        <v>11.952</v>
      </c>
      <c r="C248">
        <v>12.532</v>
      </c>
      <c r="D248">
        <v>10.391999999999999</v>
      </c>
      <c r="E248">
        <v>10.901</v>
      </c>
      <c r="F248">
        <v>968871.50600000005</v>
      </c>
      <c r="G248">
        <v>0</v>
      </c>
      <c r="L248" t="s">
        <v>7</v>
      </c>
      <c r="M248" t="s">
        <v>7</v>
      </c>
      <c r="N248" t="s">
        <v>7</v>
      </c>
      <c r="P248">
        <f t="shared" si="959"/>
        <v>-0.52429906542056059</v>
      </c>
      <c r="Q248">
        <f t="shared" si="960"/>
        <v>-507978.42510841112</v>
      </c>
      <c r="R248">
        <f t="shared" si="961"/>
        <v>13652904.366237817</v>
      </c>
      <c r="S248">
        <f t="shared" si="962"/>
        <v>136.52904366237817</v>
      </c>
      <c r="T248">
        <f t="shared" si="963"/>
        <v>0.13652904366237817</v>
      </c>
    </row>
    <row r="249" spans="1:20" x14ac:dyDescent="0.25">
      <c r="A249" s="5">
        <v>44344</v>
      </c>
      <c r="B249">
        <v>13.351000000000001</v>
      </c>
      <c r="C249">
        <v>13.522</v>
      </c>
      <c r="D249">
        <v>11.065</v>
      </c>
      <c r="E249">
        <v>11.954000000000001</v>
      </c>
      <c r="F249">
        <v>1355753.098</v>
      </c>
      <c r="G249">
        <v>0</v>
      </c>
      <c r="L249" t="s">
        <v>7</v>
      </c>
      <c r="M249" t="s">
        <v>7</v>
      </c>
      <c r="N249" t="s">
        <v>8</v>
      </c>
      <c r="P249">
        <f t="shared" si="959"/>
        <v>-0.27635327635327567</v>
      </c>
      <c r="Q249">
        <f t="shared" si="960"/>
        <v>-374666.81055840361</v>
      </c>
      <c r="R249">
        <f t="shared" si="961"/>
        <v>14160882.791346228</v>
      </c>
      <c r="S249">
        <f t="shared" si="962"/>
        <v>141.60882791346228</v>
      </c>
      <c r="T249">
        <f t="shared" si="963"/>
        <v>0.14160882791346227</v>
      </c>
    </row>
    <row r="250" spans="1:20" x14ac:dyDescent="0.25">
      <c r="A250" s="5">
        <v>44343</v>
      </c>
      <c r="B250">
        <v>14.555999999999999</v>
      </c>
      <c r="C250">
        <v>14.576000000000001</v>
      </c>
      <c r="D250">
        <v>12.88</v>
      </c>
      <c r="E250">
        <v>13.346</v>
      </c>
      <c r="F250">
        <v>978653.58900000004</v>
      </c>
      <c r="G250">
        <v>0</v>
      </c>
      <c r="L250" t="s">
        <v>7</v>
      </c>
      <c r="M250" t="s">
        <v>8</v>
      </c>
      <c r="N250" t="s">
        <v>8</v>
      </c>
      <c r="P250">
        <f t="shared" si="959"/>
        <v>-0.45047169811320831</v>
      </c>
      <c r="Q250">
        <f t="shared" si="960"/>
        <v>-440855.74410141585</v>
      </c>
      <c r="R250">
        <f t="shared" si="961"/>
        <v>14535549.601904631</v>
      </c>
      <c r="S250">
        <f t="shared" si="962"/>
        <v>145.35549601904631</v>
      </c>
      <c r="T250">
        <f t="shared" si="963"/>
        <v>0.14535549601904632</v>
      </c>
    </row>
    <row r="251" spans="1:20" x14ac:dyDescent="0.25">
      <c r="A251" s="5">
        <v>44342</v>
      </c>
      <c r="B251">
        <v>13.625999999999999</v>
      </c>
      <c r="C251">
        <v>15.101000000000001</v>
      </c>
      <c r="D251">
        <v>13.396000000000001</v>
      </c>
      <c r="E251">
        <v>14.568</v>
      </c>
      <c r="F251">
        <v>1379266.074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0.37478005865102493</v>
      </c>
      <c r="Q251">
        <f t="shared" si="960"/>
        <v>516921.42010908888</v>
      </c>
      <c r="R251">
        <f t="shared" si="961"/>
        <v>14976405.346006047</v>
      </c>
      <c r="S251">
        <f t="shared" si="962"/>
        <v>149.76405346006047</v>
      </c>
      <c r="T251">
        <f t="shared" si="963"/>
        <v>0.14976405346006047</v>
      </c>
    </row>
    <row r="252" spans="1:20" x14ac:dyDescent="0.25">
      <c r="A252" s="5">
        <v>44341</v>
      </c>
      <c r="B252">
        <v>13.89</v>
      </c>
      <c r="C252">
        <v>14.651999999999999</v>
      </c>
      <c r="D252">
        <v>11.981999999999999</v>
      </c>
      <c r="E252">
        <v>13.628</v>
      </c>
      <c r="F252">
        <v>1834456.2309999999</v>
      </c>
      <c r="G252">
        <v>0</v>
      </c>
      <c r="L252" t="s">
        <v>7</v>
      </c>
      <c r="M252" t="s">
        <v>8</v>
      </c>
      <c r="N252" t="s">
        <v>8</v>
      </c>
      <c r="P252">
        <f t="shared" si="959"/>
        <v>0.23295880149812798</v>
      </c>
      <c r="Q252">
        <f t="shared" si="960"/>
        <v>427352.72497453296</v>
      </c>
      <c r="R252">
        <f t="shared" si="961"/>
        <v>14459483.925896958</v>
      </c>
      <c r="S252">
        <f t="shared" si="962"/>
        <v>144.59483925896959</v>
      </c>
      <c r="T252">
        <f t="shared" si="963"/>
        <v>0.1445948392589696</v>
      </c>
    </row>
    <row r="253" spans="1:20" x14ac:dyDescent="0.25">
      <c r="A253" s="5">
        <v>44340</v>
      </c>
      <c r="B253">
        <v>11.756</v>
      </c>
      <c r="C253">
        <v>14.567</v>
      </c>
      <c r="D253">
        <v>11.507</v>
      </c>
      <c r="E253">
        <v>13.903</v>
      </c>
      <c r="F253">
        <v>2499904.7680000002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0.56601307189542516</v>
      </c>
      <c r="Q253">
        <f t="shared" si="960"/>
        <v>1414978.7771817003</v>
      </c>
      <c r="R253">
        <f t="shared" si="961"/>
        <v>14032131.200922424</v>
      </c>
      <c r="S253">
        <f t="shared" si="962"/>
        <v>140.32131200922424</v>
      </c>
      <c r="T253">
        <f t="shared" si="963"/>
        <v>0.14032131200922424</v>
      </c>
    </row>
    <row r="254" spans="1:20" x14ac:dyDescent="0.25">
      <c r="A254" s="5">
        <v>44339</v>
      </c>
      <c r="B254">
        <v>14.94</v>
      </c>
      <c r="C254">
        <v>15.51</v>
      </c>
      <c r="D254">
        <v>9.4</v>
      </c>
      <c r="E254">
        <v>11.742000000000001</v>
      </c>
      <c r="F254">
        <v>4643354.3559999997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-0.23338788870703739</v>
      </c>
      <c r="Q254">
        <f t="shared" si="960"/>
        <v>-1083702.6696654651</v>
      </c>
      <c r="R254">
        <f t="shared" si="961"/>
        <v>12617152.423740724</v>
      </c>
      <c r="S254">
        <f t="shared" si="962"/>
        <v>126.17152423740724</v>
      </c>
      <c r="T254">
        <f t="shared" si="963"/>
        <v>0.12617152423740724</v>
      </c>
    </row>
    <row r="255" spans="1:20" x14ac:dyDescent="0.25">
      <c r="A255" s="5">
        <v>44338</v>
      </c>
      <c r="B255">
        <v>16.38</v>
      </c>
      <c r="C255">
        <v>17.64</v>
      </c>
      <c r="D255">
        <v>13.5</v>
      </c>
      <c r="E255">
        <v>14.923999999999999</v>
      </c>
      <c r="F255">
        <v>4767133.5690000001</v>
      </c>
      <c r="G255">
        <v>0</v>
      </c>
      <c r="L255" t="s">
        <v>7</v>
      </c>
      <c r="M255" t="s">
        <v>7</v>
      </c>
      <c r="N255" t="s">
        <v>7</v>
      </c>
      <c r="P255">
        <f t="shared" si="959"/>
        <v>-0.31207729468599066</v>
      </c>
      <c r="Q255">
        <f t="shared" si="960"/>
        <v>-1487714.1476202914</v>
      </c>
      <c r="R255">
        <f t="shared" si="961"/>
        <v>13700855.093406189</v>
      </c>
      <c r="S255">
        <f t="shared" si="962"/>
        <v>137.0085509340619</v>
      </c>
      <c r="T255">
        <f t="shared" si="963"/>
        <v>0.13700855093406189</v>
      </c>
    </row>
    <row r="256" spans="1:20" x14ac:dyDescent="0.25">
      <c r="A256" s="5">
        <v>44337</v>
      </c>
      <c r="B256">
        <v>16.186</v>
      </c>
      <c r="C256">
        <v>19.748000000000001</v>
      </c>
      <c r="D256">
        <v>13.401</v>
      </c>
      <c r="E256">
        <v>16.38</v>
      </c>
      <c r="F256">
        <v>6916995.8629999999</v>
      </c>
      <c r="G256">
        <v>0</v>
      </c>
      <c r="L256" t="s">
        <v>8</v>
      </c>
      <c r="M256" t="s">
        <v>8</v>
      </c>
      <c r="N256" t="s">
        <v>8</v>
      </c>
      <c r="P256">
        <f t="shared" si="959"/>
        <v>-6.1288797857255842E-2</v>
      </c>
      <c r="Q256">
        <f t="shared" si="960"/>
        <v>-423934.36122688191</v>
      </c>
      <c r="R256">
        <f t="shared" si="961"/>
        <v>15188569.241026482</v>
      </c>
      <c r="S256">
        <f t="shared" si="962"/>
        <v>151.88569241026482</v>
      </c>
      <c r="T256">
        <f t="shared" si="963"/>
        <v>0.15188569241026481</v>
      </c>
    </row>
    <row r="257" spans="1:20" x14ac:dyDescent="0.25">
      <c r="A257" s="5">
        <v>44336</v>
      </c>
      <c r="B257">
        <v>14.356</v>
      </c>
      <c r="C257">
        <v>18.43</v>
      </c>
      <c r="D257">
        <v>12.823</v>
      </c>
      <c r="E257">
        <v>16.184000000000001</v>
      </c>
      <c r="F257">
        <v>3833108.574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0.19885856964508689</v>
      </c>
      <c r="Q257">
        <f t="shared" si="960"/>
        <v>762246.48831995868</v>
      </c>
      <c r="R257">
        <f t="shared" si="961"/>
        <v>15612503.602253364</v>
      </c>
      <c r="S257">
        <f t="shared" si="962"/>
        <v>156.12503602253364</v>
      </c>
      <c r="T257">
        <f t="shared" si="963"/>
        <v>0.15612503602253364</v>
      </c>
    </row>
    <row r="258" spans="1:20" x14ac:dyDescent="0.25">
      <c r="A258" s="5">
        <v>44335</v>
      </c>
      <c r="B258">
        <v>23.381</v>
      </c>
      <c r="C258">
        <v>24.05</v>
      </c>
      <c r="D258">
        <v>10.664</v>
      </c>
      <c r="E258">
        <v>14.301</v>
      </c>
      <c r="F258">
        <v>7577436.7570000002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-0.45659644404601818</v>
      </c>
      <c r="Q258">
        <f t="shared" si="960"/>
        <v>-3459830.678229792</v>
      </c>
      <c r="R258">
        <f t="shared" si="961"/>
        <v>14850257.113933405</v>
      </c>
      <c r="S258">
        <f t="shared" si="962"/>
        <v>148.50257113933404</v>
      </c>
      <c r="T258">
        <f t="shared" si="963"/>
        <v>0.14850257113933404</v>
      </c>
    </row>
    <row r="259" spans="1:20" x14ac:dyDescent="0.25">
      <c r="A259" s="5">
        <v>44334</v>
      </c>
      <c r="B259">
        <v>20.452000000000002</v>
      </c>
      <c r="C259">
        <v>25.837</v>
      </c>
      <c r="D259">
        <v>20.209</v>
      </c>
      <c r="E259">
        <v>23.352</v>
      </c>
      <c r="F259">
        <v>6917240.8609999996</v>
      </c>
      <c r="G259">
        <v>0</v>
      </c>
      <c r="L259" t="s">
        <v>8</v>
      </c>
      <c r="M259" t="s">
        <v>8</v>
      </c>
      <c r="N259" t="s">
        <v>8</v>
      </c>
      <c r="P259">
        <f t="shared" si="959"/>
        <v>0.11691542288557236</v>
      </c>
      <c r="Q259">
        <f t="shared" si="960"/>
        <v>808732.14046517562</v>
      </c>
      <c r="R259">
        <f t="shared" si="961"/>
        <v>18310087.792163197</v>
      </c>
      <c r="S259">
        <f t="shared" si="962"/>
        <v>183.10087792163196</v>
      </c>
      <c r="T259">
        <f t="shared" si="963"/>
        <v>0.18310087792163196</v>
      </c>
    </row>
    <row r="260" spans="1:20" x14ac:dyDescent="0.25">
      <c r="A260" s="5">
        <v>44333</v>
      </c>
      <c r="B260">
        <v>18.86</v>
      </c>
      <c r="C260">
        <v>21.123000000000001</v>
      </c>
      <c r="D260">
        <v>16.600000000000001</v>
      </c>
      <c r="E260">
        <v>20.481999999999999</v>
      </c>
      <c r="F260">
        <v>4654373.1459999997</v>
      </c>
      <c r="G260">
        <v>0</v>
      </c>
      <c r="L260" t="s">
        <v>7</v>
      </c>
      <c r="M260" t="s">
        <v>7</v>
      </c>
      <c r="N260" t="s">
        <v>8</v>
      </c>
      <c r="P260">
        <f t="shared" si="959"/>
        <v>0.71655980543886721</v>
      </c>
      <c r="Q260">
        <f t="shared" si="960"/>
        <v>3335136.715937648</v>
      </c>
      <c r="R260">
        <f t="shared" si="961"/>
        <v>17501355.651698023</v>
      </c>
      <c r="S260">
        <f t="shared" si="962"/>
        <v>175.01355651698023</v>
      </c>
      <c r="T260">
        <f t="shared" si="963"/>
        <v>0.17501355651698022</v>
      </c>
    </row>
    <row r="261" spans="1:20" x14ac:dyDescent="0.25">
      <c r="A261" s="5">
        <v>44332</v>
      </c>
      <c r="B261">
        <v>19.225999999999999</v>
      </c>
      <c r="C261">
        <v>20.628</v>
      </c>
      <c r="D261">
        <v>17.234999999999999</v>
      </c>
      <c r="E261">
        <v>18.861999999999998</v>
      </c>
      <c r="F261">
        <v>2144554.588</v>
      </c>
      <c r="G261">
        <v>0</v>
      </c>
      <c r="L261" t="s">
        <v>7</v>
      </c>
      <c r="M261" t="s">
        <v>7</v>
      </c>
      <c r="N261" t="s">
        <v>8</v>
      </c>
      <c r="P261">
        <f t="shared" si="959"/>
        <v>-4.0966696139110775E-2</v>
      </c>
      <c r="Q261">
        <f t="shared" si="960"/>
        <v>-87855.316160331902</v>
      </c>
      <c r="R261">
        <f t="shared" si="961"/>
        <v>14166218.935760373</v>
      </c>
      <c r="S261">
        <f t="shared" si="962"/>
        <v>141.66218935760372</v>
      </c>
      <c r="T261">
        <f t="shared" si="963"/>
        <v>0.14166218935760372</v>
      </c>
    </row>
    <row r="262" spans="1:20" x14ac:dyDescent="0.25">
      <c r="A262" s="5">
        <v>44331</v>
      </c>
      <c r="B262">
        <v>21.15</v>
      </c>
      <c r="C262">
        <v>22.9</v>
      </c>
      <c r="D262">
        <v>19.041</v>
      </c>
      <c r="E262">
        <v>19.216000000000001</v>
      </c>
      <c r="F262">
        <v>3538184.8539999998</v>
      </c>
      <c r="G262">
        <v>0</v>
      </c>
      <c r="L262" t="s">
        <v>8</v>
      </c>
      <c r="M262" t="s">
        <v>8</v>
      </c>
      <c r="N262" t="s">
        <v>8</v>
      </c>
      <c r="P262">
        <f t="shared" ref="P262:P325" si="964">IF(C262=D262,0,((E262-D262)-(C262-E262))/(C262-D262))</f>
        <v>-0.90930292821974568</v>
      </c>
      <c r="Q262">
        <f t="shared" ref="Q262:Q325" si="965">F262*P262</f>
        <v>-3217281.8483249531</v>
      </c>
      <c r="R262">
        <f t="shared" ref="R262:R325" si="966">R263+Q262</f>
        <v>14254074.251920706</v>
      </c>
      <c r="S262">
        <f t="shared" ref="S262:S325" si="967">R262/100000</f>
        <v>142.54074251920704</v>
      </c>
      <c r="T262">
        <f t="shared" ref="T262:T325" si="968">S262/1000</f>
        <v>0.14254074251920704</v>
      </c>
    </row>
    <row r="263" spans="1:20" x14ac:dyDescent="0.25">
      <c r="A263" s="5">
        <v>44330</v>
      </c>
      <c r="B263">
        <v>18.484000000000002</v>
      </c>
      <c r="C263">
        <v>22.15</v>
      </c>
      <c r="D263">
        <v>18.268999999999998</v>
      </c>
      <c r="E263">
        <v>21.161999999999999</v>
      </c>
      <c r="F263">
        <v>5565301.2410000004</v>
      </c>
      <c r="G263">
        <v>0</v>
      </c>
      <c r="L263" t="s">
        <v>7</v>
      </c>
      <c r="M263" t="s">
        <v>7</v>
      </c>
      <c r="N263" t="s">
        <v>8</v>
      </c>
      <c r="P263">
        <f t="shared" si="964"/>
        <v>0.49085287297088404</v>
      </c>
      <c r="Q263">
        <f t="shared" si="965"/>
        <v>2731744.1030932763</v>
      </c>
      <c r="R263">
        <f t="shared" si="966"/>
        <v>17471356.100245658</v>
      </c>
      <c r="S263">
        <f t="shared" si="967"/>
        <v>174.71356100245657</v>
      </c>
      <c r="T263">
        <f t="shared" si="968"/>
        <v>0.17471356100245658</v>
      </c>
    </row>
    <row r="264" spans="1:20" x14ac:dyDescent="0.25">
      <c r="A264" s="5">
        <v>44329</v>
      </c>
      <c r="B264">
        <v>17.933</v>
      </c>
      <c r="C264">
        <v>23.141999999999999</v>
      </c>
      <c r="D264">
        <v>16.143999999999998</v>
      </c>
      <c r="E264">
        <v>18.494</v>
      </c>
      <c r="F264">
        <v>9201914.1359999999</v>
      </c>
      <c r="G264">
        <v>0</v>
      </c>
      <c r="L264" t="s">
        <v>8</v>
      </c>
      <c r="M264" t="s">
        <v>8</v>
      </c>
      <c r="N264" t="s">
        <v>8</v>
      </c>
      <c r="P264">
        <f t="shared" si="964"/>
        <v>-0.32837953701057415</v>
      </c>
      <c r="Q264">
        <f t="shared" si="965"/>
        <v>-3021720.3035907373</v>
      </c>
      <c r="R264">
        <f t="shared" si="966"/>
        <v>14739611.997152381</v>
      </c>
      <c r="S264">
        <f t="shared" si="967"/>
        <v>147.3961199715238</v>
      </c>
      <c r="T264">
        <f t="shared" si="968"/>
        <v>0.1473961199715238</v>
      </c>
    </row>
    <row r="265" spans="1:20" x14ac:dyDescent="0.25">
      <c r="A265" s="5">
        <v>44328</v>
      </c>
      <c r="B265">
        <v>18.398</v>
      </c>
      <c r="C265">
        <v>21.8</v>
      </c>
      <c r="D265">
        <v>17.399999999999999</v>
      </c>
      <c r="E265">
        <v>17.995000000000001</v>
      </c>
      <c r="F265">
        <v>7637651.898</v>
      </c>
      <c r="G265">
        <v>0</v>
      </c>
      <c r="L265" t="s">
        <v>8</v>
      </c>
      <c r="M265" t="s">
        <v>8</v>
      </c>
      <c r="N265" t="s">
        <v>8</v>
      </c>
      <c r="P265">
        <f t="shared" si="964"/>
        <v>-0.72954545454545361</v>
      </c>
      <c r="Q265">
        <f t="shared" si="965"/>
        <v>-5572014.2255863566</v>
      </c>
      <c r="R265">
        <f t="shared" si="966"/>
        <v>17761332.300743118</v>
      </c>
      <c r="S265">
        <f t="shared" si="967"/>
        <v>177.61332300743118</v>
      </c>
      <c r="T265">
        <f t="shared" si="968"/>
        <v>0.17761332300743118</v>
      </c>
    </row>
    <row r="266" spans="1:20" x14ac:dyDescent="0.25">
      <c r="A266" s="5">
        <v>44327</v>
      </c>
      <c r="B266">
        <v>16.248000000000001</v>
      </c>
      <c r="C266">
        <v>19</v>
      </c>
      <c r="D266">
        <v>15.815</v>
      </c>
      <c r="E266">
        <v>18.398</v>
      </c>
      <c r="F266">
        <v>1315014.253</v>
      </c>
      <c r="G266">
        <v>0</v>
      </c>
      <c r="L266" t="s">
        <v>8</v>
      </c>
      <c r="M266" t="s">
        <v>8</v>
      </c>
      <c r="N266" t="s">
        <v>8</v>
      </c>
      <c r="P266">
        <f t="shared" si="964"/>
        <v>0.62197802197802188</v>
      </c>
      <c r="Q266">
        <f t="shared" si="965"/>
        <v>817909.96395384602</v>
      </c>
      <c r="R266">
        <f t="shared" si="966"/>
        <v>23333346.526329476</v>
      </c>
      <c r="S266">
        <f t="shared" si="967"/>
        <v>233.33346526329476</v>
      </c>
      <c r="T266">
        <f t="shared" si="968"/>
        <v>0.23333346526329476</v>
      </c>
    </row>
    <row r="267" spans="1:20" x14ac:dyDescent="0.25">
      <c r="A267" s="5">
        <v>44326</v>
      </c>
      <c r="B267">
        <v>17.795999999999999</v>
      </c>
      <c r="C267">
        <v>18.279</v>
      </c>
      <c r="D267">
        <v>15.180999999999999</v>
      </c>
      <c r="E267">
        <v>16.257000000000001</v>
      </c>
      <c r="F267">
        <v>1442140.8089999999</v>
      </c>
      <c r="G267">
        <v>0</v>
      </c>
      <c r="L267" t="s">
        <v>7</v>
      </c>
      <c r="M267" t="s">
        <v>7</v>
      </c>
      <c r="N267" t="s">
        <v>8</v>
      </c>
      <c r="P267">
        <f t="shared" si="964"/>
        <v>-0.30535829567462747</v>
      </c>
      <c r="Q267">
        <f t="shared" si="965"/>
        <v>-440369.65955906844</v>
      </c>
      <c r="R267">
        <f t="shared" si="966"/>
        <v>22515436.562375631</v>
      </c>
      <c r="S267">
        <f t="shared" si="967"/>
        <v>225.15436562375632</v>
      </c>
      <c r="T267">
        <f t="shared" si="968"/>
        <v>0.22515436562375632</v>
      </c>
    </row>
    <row r="268" spans="1:20" x14ac:dyDescent="0.25">
      <c r="A268" s="5">
        <v>44325</v>
      </c>
      <c r="B268">
        <v>18.405000000000001</v>
      </c>
      <c r="C268">
        <v>18.552</v>
      </c>
      <c r="D268">
        <v>17.100000000000001</v>
      </c>
      <c r="E268">
        <v>17.803999999999998</v>
      </c>
      <c r="F268">
        <v>1042949.019</v>
      </c>
      <c r="G268">
        <v>0</v>
      </c>
      <c r="L268" t="s">
        <v>7</v>
      </c>
      <c r="M268" t="s">
        <v>8</v>
      </c>
      <c r="N268" t="s">
        <v>8</v>
      </c>
      <c r="P268">
        <f t="shared" si="964"/>
        <v>-3.0303030303033121E-2</v>
      </c>
      <c r="Q268">
        <f t="shared" si="965"/>
        <v>-31604.515727275666</v>
      </c>
      <c r="R268">
        <f t="shared" si="966"/>
        <v>22955806.221934699</v>
      </c>
      <c r="S268">
        <f t="shared" si="967"/>
        <v>229.55806221934699</v>
      </c>
      <c r="T268">
        <f t="shared" si="968"/>
        <v>0.22955806221934699</v>
      </c>
    </row>
    <row r="269" spans="1:20" x14ac:dyDescent="0.25">
      <c r="A269" s="5">
        <v>44324</v>
      </c>
      <c r="B269">
        <v>18.765999999999998</v>
      </c>
      <c r="C269">
        <v>19.141999999999999</v>
      </c>
      <c r="D269">
        <v>18.117000000000001</v>
      </c>
      <c r="E269">
        <v>18.402000000000001</v>
      </c>
      <c r="F269">
        <v>1249732.0330000001</v>
      </c>
      <c r="G269">
        <v>0</v>
      </c>
      <c r="L269" t="s">
        <v>7</v>
      </c>
      <c r="M269" t="s">
        <v>8</v>
      </c>
      <c r="N269" t="s">
        <v>8</v>
      </c>
      <c r="P269">
        <f t="shared" si="964"/>
        <v>-0.44390243902438919</v>
      </c>
      <c r="Q269">
        <f t="shared" si="965"/>
        <v>-554759.09757560852</v>
      </c>
      <c r="R269">
        <f t="shared" si="966"/>
        <v>22987410.737661973</v>
      </c>
      <c r="S269">
        <f t="shared" si="967"/>
        <v>229.87410737661972</v>
      </c>
      <c r="T269">
        <f t="shared" si="968"/>
        <v>0.22987410737661973</v>
      </c>
    </row>
    <row r="270" spans="1:20" x14ac:dyDescent="0.25">
      <c r="A270" s="5">
        <v>44323</v>
      </c>
      <c r="B270">
        <v>18.427</v>
      </c>
      <c r="C270">
        <v>20.518000000000001</v>
      </c>
      <c r="D270">
        <v>17.7</v>
      </c>
      <c r="E270">
        <v>18.771999999999998</v>
      </c>
      <c r="F270">
        <v>3575488.5950000002</v>
      </c>
      <c r="G270">
        <v>0</v>
      </c>
      <c r="L270" t="s">
        <v>8</v>
      </c>
      <c r="M270" t="s">
        <v>8</v>
      </c>
      <c r="N270" t="s">
        <v>8</v>
      </c>
      <c r="P270">
        <f t="shared" si="964"/>
        <v>-0.23917672107878024</v>
      </c>
      <c r="Q270">
        <f t="shared" si="965"/>
        <v>-855173.63840667484</v>
      </c>
      <c r="R270">
        <f t="shared" si="966"/>
        <v>23542169.835237581</v>
      </c>
      <c r="S270">
        <f t="shared" si="967"/>
        <v>235.42169835237581</v>
      </c>
      <c r="T270">
        <f t="shared" si="968"/>
        <v>0.23542169835237581</v>
      </c>
    </row>
    <row r="271" spans="1:20" x14ac:dyDescent="0.25">
      <c r="A271" s="5">
        <v>44322</v>
      </c>
      <c r="B271">
        <v>17.675999999999998</v>
      </c>
      <c r="C271">
        <v>18.846</v>
      </c>
      <c r="D271">
        <v>17.010000000000002</v>
      </c>
      <c r="E271">
        <v>18.427</v>
      </c>
      <c r="F271">
        <v>2015882.0930000001</v>
      </c>
      <c r="G271">
        <v>0</v>
      </c>
      <c r="L271" t="s">
        <v>8</v>
      </c>
      <c r="M271" t="s">
        <v>8</v>
      </c>
      <c r="N271" t="s">
        <v>8</v>
      </c>
      <c r="P271">
        <f t="shared" si="964"/>
        <v>0.54357298474945448</v>
      </c>
      <c r="Q271">
        <f t="shared" si="965"/>
        <v>1095779.0461949874</v>
      </c>
      <c r="R271">
        <f t="shared" si="966"/>
        <v>24397343.473644257</v>
      </c>
      <c r="S271">
        <f t="shared" si="967"/>
        <v>243.97343473644256</v>
      </c>
      <c r="T271">
        <f t="shared" si="968"/>
        <v>0.24397343473644256</v>
      </c>
    </row>
    <row r="272" spans="1:20" x14ac:dyDescent="0.25">
      <c r="A272" s="5">
        <v>44321</v>
      </c>
      <c r="B272">
        <v>16.472000000000001</v>
      </c>
      <c r="C272">
        <v>17.920000000000002</v>
      </c>
      <c r="D272">
        <v>16.266999999999999</v>
      </c>
      <c r="E272">
        <v>17.677</v>
      </c>
      <c r="F272">
        <v>1051345.9029999999</v>
      </c>
      <c r="G272">
        <v>0</v>
      </c>
      <c r="L272" t="s">
        <v>8</v>
      </c>
      <c r="M272" t="s">
        <v>8</v>
      </c>
      <c r="N272" t="s">
        <v>8</v>
      </c>
      <c r="P272">
        <f t="shared" si="964"/>
        <v>0.70598911070780179</v>
      </c>
      <c r="Q272">
        <f t="shared" si="965"/>
        <v>742238.75910526083</v>
      </c>
      <c r="R272">
        <f t="shared" si="966"/>
        <v>23301564.427449267</v>
      </c>
      <c r="S272">
        <f t="shared" si="967"/>
        <v>233.01564427449267</v>
      </c>
      <c r="T272">
        <f t="shared" si="968"/>
        <v>0.23301564427449267</v>
      </c>
    </row>
    <row r="273" spans="1:20" x14ac:dyDescent="0.25">
      <c r="A273" s="5">
        <v>44320</v>
      </c>
      <c r="B273">
        <v>18.863</v>
      </c>
      <c r="C273">
        <v>18.867999999999999</v>
      </c>
      <c r="D273">
        <v>16.193999999999999</v>
      </c>
      <c r="E273">
        <v>16.47</v>
      </c>
      <c r="F273">
        <v>1580478.206</v>
      </c>
      <c r="G273">
        <v>0</v>
      </c>
      <c r="L273" t="s">
        <v>7</v>
      </c>
      <c r="M273" t="s">
        <v>8</v>
      </c>
      <c r="N273" t="s">
        <v>8</v>
      </c>
      <c r="P273">
        <f t="shared" si="964"/>
        <v>-0.7935676888556471</v>
      </c>
      <c r="Q273">
        <f t="shared" si="965"/>
        <v>-1254216.4372221394</v>
      </c>
      <c r="R273">
        <f t="shared" si="966"/>
        <v>22559325.668344006</v>
      </c>
      <c r="S273">
        <f t="shared" si="967"/>
        <v>225.59325668344005</v>
      </c>
      <c r="T273">
        <f t="shared" si="968"/>
        <v>0.22559325668344005</v>
      </c>
    </row>
    <row r="274" spans="1:20" x14ac:dyDescent="0.25">
      <c r="A274" s="5">
        <v>44319</v>
      </c>
      <c r="B274">
        <v>17.332000000000001</v>
      </c>
      <c r="C274">
        <v>19.25</v>
      </c>
      <c r="D274">
        <v>17.228999999999999</v>
      </c>
      <c r="E274">
        <v>18.869</v>
      </c>
      <c r="F274">
        <v>1893508.223</v>
      </c>
      <c r="G274">
        <v>0</v>
      </c>
      <c r="L274" t="s">
        <v>8</v>
      </c>
      <c r="M274" t="s">
        <v>8</v>
      </c>
      <c r="N274" t="s">
        <v>8</v>
      </c>
      <c r="P274">
        <f t="shared" si="964"/>
        <v>0.62295893122216717</v>
      </c>
      <c r="Q274">
        <f t="shared" si="965"/>
        <v>1179577.858860465</v>
      </c>
      <c r="R274">
        <f t="shared" si="966"/>
        <v>23813542.105566144</v>
      </c>
      <c r="S274">
        <f t="shared" si="967"/>
        <v>238.13542105566145</v>
      </c>
      <c r="T274">
        <f t="shared" si="968"/>
        <v>0.23813542105566146</v>
      </c>
    </row>
    <row r="275" spans="1:20" x14ac:dyDescent="0.25">
      <c r="A275" s="5">
        <v>44318</v>
      </c>
      <c r="B275">
        <v>18.178000000000001</v>
      </c>
      <c r="C275">
        <v>18.309999999999999</v>
      </c>
      <c r="D275">
        <v>16.812999999999999</v>
      </c>
      <c r="E275">
        <v>17.332000000000001</v>
      </c>
      <c r="F275">
        <v>978431.98</v>
      </c>
      <c r="G275">
        <v>0</v>
      </c>
      <c r="L275" t="s">
        <v>7</v>
      </c>
      <c r="M275" t="s">
        <v>8</v>
      </c>
      <c r="N275" t="s">
        <v>8</v>
      </c>
      <c r="P275">
        <f t="shared" si="964"/>
        <v>-0.30661322645290323</v>
      </c>
      <c r="Q275">
        <f t="shared" si="965"/>
        <v>-300000.18625250249</v>
      </c>
      <c r="R275">
        <f t="shared" si="966"/>
        <v>22633964.246705677</v>
      </c>
      <c r="S275">
        <f t="shared" si="967"/>
        <v>226.33964246705676</v>
      </c>
      <c r="T275">
        <f t="shared" si="968"/>
        <v>0.22633964246705676</v>
      </c>
    </row>
    <row r="276" spans="1:20" x14ac:dyDescent="0.25">
      <c r="A276" s="5">
        <v>44317</v>
      </c>
      <c r="B276">
        <v>18.187000000000001</v>
      </c>
      <c r="C276">
        <v>18.61</v>
      </c>
      <c r="D276">
        <v>17.617999999999999</v>
      </c>
      <c r="E276">
        <v>18.170000000000002</v>
      </c>
      <c r="F276">
        <v>804756.73100000003</v>
      </c>
      <c r="G276">
        <v>0</v>
      </c>
      <c r="L276" t="s">
        <v>8</v>
      </c>
      <c r="M276" t="s">
        <v>8</v>
      </c>
      <c r="N276" t="s">
        <v>8</v>
      </c>
      <c r="P276">
        <f t="shared" si="964"/>
        <v>0.11290322580645698</v>
      </c>
      <c r="Q276">
        <f t="shared" si="965"/>
        <v>90859.630919359159</v>
      </c>
      <c r="R276">
        <f t="shared" si="966"/>
        <v>22933964.432958178</v>
      </c>
      <c r="S276">
        <f t="shared" si="967"/>
        <v>229.33964432958177</v>
      </c>
      <c r="T276">
        <f t="shared" si="968"/>
        <v>0.22933964432958176</v>
      </c>
    </row>
    <row r="277" spans="1:20" x14ac:dyDescent="0.25">
      <c r="A277" s="5">
        <v>44316</v>
      </c>
      <c r="B277">
        <v>17.7</v>
      </c>
      <c r="C277">
        <v>18.5</v>
      </c>
      <c r="D277">
        <v>17.361000000000001</v>
      </c>
      <c r="E277">
        <v>18.196999999999999</v>
      </c>
      <c r="F277">
        <v>921843.61800000002</v>
      </c>
      <c r="G277">
        <v>0</v>
      </c>
      <c r="L277" t="s">
        <v>8</v>
      </c>
      <c r="M277" t="s">
        <v>8</v>
      </c>
      <c r="N277" t="s">
        <v>8</v>
      </c>
      <c r="P277">
        <f t="shared" si="964"/>
        <v>0.46795434591746971</v>
      </c>
      <c r="Q277">
        <f t="shared" si="965"/>
        <v>431380.72729938378</v>
      </c>
      <c r="R277">
        <f t="shared" si="966"/>
        <v>22843104.802038819</v>
      </c>
      <c r="S277">
        <f t="shared" si="967"/>
        <v>228.43104802038818</v>
      </c>
      <c r="T277">
        <f t="shared" si="968"/>
        <v>0.22843104802038819</v>
      </c>
    </row>
    <row r="278" spans="1:20" x14ac:dyDescent="0.25">
      <c r="A278" s="5">
        <v>44315</v>
      </c>
      <c r="B278">
        <v>16.838999999999999</v>
      </c>
      <c r="C278">
        <v>17.850000000000001</v>
      </c>
      <c r="D278">
        <v>16.465</v>
      </c>
      <c r="E278">
        <v>17.702999999999999</v>
      </c>
      <c r="F278">
        <v>1038995.16</v>
      </c>
      <c r="G278">
        <v>0</v>
      </c>
      <c r="L278" t="s">
        <v>8</v>
      </c>
      <c r="M278" t="s">
        <v>8</v>
      </c>
      <c r="N278" t="s">
        <v>8</v>
      </c>
      <c r="P278">
        <f t="shared" si="964"/>
        <v>0.78772563176895039</v>
      </c>
      <c r="Q278">
        <f t="shared" si="965"/>
        <v>818443.11881588167</v>
      </c>
      <c r="R278">
        <f t="shared" si="966"/>
        <v>22411724.074739434</v>
      </c>
      <c r="S278">
        <f t="shared" si="967"/>
        <v>224.11724074739433</v>
      </c>
      <c r="T278">
        <f t="shared" si="968"/>
        <v>0.22411724074739434</v>
      </c>
    </row>
    <row r="279" spans="1:20" x14ac:dyDescent="0.25">
      <c r="A279" s="5">
        <v>44314</v>
      </c>
      <c r="B279">
        <v>17.12</v>
      </c>
      <c r="C279">
        <v>17.393000000000001</v>
      </c>
      <c r="D279">
        <v>15.933</v>
      </c>
      <c r="E279">
        <v>16.818000000000001</v>
      </c>
      <c r="F279">
        <v>871275.39099999995</v>
      </c>
      <c r="G279">
        <v>0</v>
      </c>
      <c r="L279" t="s">
        <v>8</v>
      </c>
      <c r="M279" t="s">
        <v>8</v>
      </c>
      <c r="N279" t="s">
        <v>7</v>
      </c>
      <c r="P279">
        <f t="shared" si="964"/>
        <v>0.2123287671232891</v>
      </c>
      <c r="Q279">
        <f t="shared" si="965"/>
        <v>184996.82959589164</v>
      </c>
      <c r="R279">
        <f t="shared" si="966"/>
        <v>21593280.955923554</v>
      </c>
      <c r="S279">
        <f t="shared" si="967"/>
        <v>215.93280955923552</v>
      </c>
      <c r="T279">
        <f t="shared" si="968"/>
        <v>0.21593280955923552</v>
      </c>
    </row>
    <row r="280" spans="1:20" x14ac:dyDescent="0.25">
      <c r="A280" s="5">
        <v>44313</v>
      </c>
      <c r="B280">
        <v>16.12</v>
      </c>
      <c r="C280">
        <v>17.228000000000002</v>
      </c>
      <c r="D280">
        <v>15.696</v>
      </c>
      <c r="E280">
        <v>17.12</v>
      </c>
      <c r="F280">
        <v>961270.99899999995</v>
      </c>
      <c r="G280">
        <v>0</v>
      </c>
      <c r="L280" t="s">
        <v>8</v>
      </c>
      <c r="M280" t="s">
        <v>8</v>
      </c>
      <c r="N280" t="s">
        <v>7</v>
      </c>
      <c r="P280">
        <f t="shared" si="964"/>
        <v>0.85900783289817173</v>
      </c>
      <c r="Q280">
        <f t="shared" si="965"/>
        <v>825739.31767885061</v>
      </c>
      <c r="R280">
        <f t="shared" si="966"/>
        <v>21408284.126327664</v>
      </c>
      <c r="S280">
        <f t="shared" si="967"/>
        <v>214.08284126327663</v>
      </c>
      <c r="T280">
        <f t="shared" si="968"/>
        <v>0.21408284126327665</v>
      </c>
    </row>
    <row r="281" spans="1:20" x14ac:dyDescent="0.25">
      <c r="A281" s="5">
        <v>44312</v>
      </c>
      <c r="B281">
        <v>14.128</v>
      </c>
      <c r="C281">
        <v>16.173999999999999</v>
      </c>
      <c r="D281">
        <v>13.974</v>
      </c>
      <c r="E281">
        <v>16.117999999999999</v>
      </c>
      <c r="F281">
        <v>1009789.709</v>
      </c>
      <c r="G281">
        <v>0</v>
      </c>
      <c r="L281" t="s">
        <v>8</v>
      </c>
      <c r="M281" t="s">
        <v>8</v>
      </c>
      <c r="N281" t="s">
        <v>7</v>
      </c>
      <c r="P281">
        <f t="shared" si="964"/>
        <v>0.94909090909090821</v>
      </c>
      <c r="Q281">
        <f t="shared" si="965"/>
        <v>958382.23290545365</v>
      </c>
      <c r="R281">
        <f t="shared" si="966"/>
        <v>20582544.808648814</v>
      </c>
      <c r="S281">
        <f t="shared" si="967"/>
        <v>205.82544808648814</v>
      </c>
      <c r="T281">
        <f t="shared" si="968"/>
        <v>0.20582544808648814</v>
      </c>
    </row>
    <row r="282" spans="1:20" x14ac:dyDescent="0.25">
      <c r="A282" s="5">
        <v>44311</v>
      </c>
      <c r="B282">
        <v>13.747</v>
      </c>
      <c r="C282">
        <v>14.8</v>
      </c>
      <c r="D282">
        <v>13.255000000000001</v>
      </c>
      <c r="E282">
        <v>14.127000000000001</v>
      </c>
      <c r="F282">
        <v>573817.07799999998</v>
      </c>
      <c r="G282">
        <v>0</v>
      </c>
      <c r="L282" t="s">
        <v>7</v>
      </c>
      <c r="M282" t="s">
        <v>7</v>
      </c>
      <c r="N282" t="s">
        <v>7</v>
      </c>
      <c r="P282">
        <f t="shared" si="964"/>
        <v>0.12880258899676367</v>
      </c>
      <c r="Q282">
        <f t="shared" si="965"/>
        <v>73909.125256957879</v>
      </c>
      <c r="R282">
        <f t="shared" si="966"/>
        <v>19624162.575743359</v>
      </c>
      <c r="S282">
        <f t="shared" si="967"/>
        <v>196.24162575743358</v>
      </c>
      <c r="T282">
        <f t="shared" si="968"/>
        <v>0.19624162575743359</v>
      </c>
    </row>
    <row r="283" spans="1:20" x14ac:dyDescent="0.25">
      <c r="A283" s="5">
        <v>44310</v>
      </c>
      <c r="B283">
        <v>14.894</v>
      </c>
      <c r="C283">
        <v>14.914</v>
      </c>
      <c r="D283">
        <v>13.452999999999999</v>
      </c>
      <c r="E283">
        <v>13.733000000000001</v>
      </c>
      <c r="F283">
        <v>727998.58499999996</v>
      </c>
      <c r="G283">
        <v>0</v>
      </c>
      <c r="L283" t="s">
        <v>8</v>
      </c>
      <c r="M283" t="s">
        <v>7</v>
      </c>
      <c r="N283" t="s">
        <v>7</v>
      </c>
      <c r="P283">
        <f t="shared" si="964"/>
        <v>-0.61670088980150439</v>
      </c>
      <c r="Q283">
        <f t="shared" si="965"/>
        <v>-448957.37514373608</v>
      </c>
      <c r="R283">
        <f t="shared" si="966"/>
        <v>19550253.450486399</v>
      </c>
      <c r="S283">
        <f t="shared" si="967"/>
        <v>195.502534504864</v>
      </c>
      <c r="T283">
        <f t="shared" si="968"/>
        <v>0.19550253450486399</v>
      </c>
    </row>
    <row r="284" spans="1:20" x14ac:dyDescent="0.25">
      <c r="A284" s="5">
        <v>44309</v>
      </c>
      <c r="B284">
        <v>15.286</v>
      </c>
      <c r="C284">
        <v>15.64</v>
      </c>
      <c r="D284">
        <v>12.991</v>
      </c>
      <c r="E284">
        <v>14.877000000000001</v>
      </c>
      <c r="F284">
        <v>2029762.37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0.42393355983389985</v>
      </c>
      <c r="Q284">
        <f t="shared" si="965"/>
        <v>860484.38713099342</v>
      </c>
      <c r="R284">
        <f t="shared" si="966"/>
        <v>19999210.825630136</v>
      </c>
      <c r="S284">
        <f t="shared" si="967"/>
        <v>199.99210825630135</v>
      </c>
      <c r="T284">
        <f t="shared" si="968"/>
        <v>0.19999210825630134</v>
      </c>
    </row>
    <row r="285" spans="1:20" x14ac:dyDescent="0.25">
      <c r="A285" s="5">
        <v>44308</v>
      </c>
      <c r="B285">
        <v>15.862</v>
      </c>
      <c r="C285">
        <v>17.776</v>
      </c>
      <c r="D285">
        <v>15</v>
      </c>
      <c r="E285">
        <v>15.289</v>
      </c>
      <c r="F285">
        <v>1680297.4620000001</v>
      </c>
      <c r="G285">
        <v>0</v>
      </c>
      <c r="L285" t="s">
        <v>8</v>
      </c>
      <c r="M285" t="s">
        <v>7</v>
      </c>
      <c r="N285" t="s">
        <v>7</v>
      </c>
      <c r="P285">
        <f t="shared" si="964"/>
        <v>-0.79178674351585032</v>
      </c>
      <c r="Q285">
        <f t="shared" si="965"/>
        <v>-1330437.2555749284</v>
      </c>
      <c r="R285">
        <f t="shared" si="966"/>
        <v>19138726.438499141</v>
      </c>
      <c r="S285">
        <f t="shared" si="967"/>
        <v>191.38726438499143</v>
      </c>
      <c r="T285">
        <f t="shared" si="968"/>
        <v>0.19138726438499143</v>
      </c>
    </row>
    <row r="286" spans="1:20" x14ac:dyDescent="0.25">
      <c r="A286" s="5">
        <v>44307</v>
      </c>
      <c r="B286">
        <v>16.8</v>
      </c>
      <c r="C286">
        <v>17.100000000000001</v>
      </c>
      <c r="D286">
        <v>15.577999999999999</v>
      </c>
      <c r="E286">
        <v>15.859</v>
      </c>
      <c r="F286">
        <v>1296260.4990000001</v>
      </c>
      <c r="G286">
        <v>0</v>
      </c>
      <c r="L286" t="s">
        <v>8</v>
      </c>
      <c r="M286" t="s">
        <v>7</v>
      </c>
      <c r="N286" t="s">
        <v>7</v>
      </c>
      <c r="P286">
        <f t="shared" si="964"/>
        <v>-0.63074901445466469</v>
      </c>
      <c r="Q286">
        <f t="shared" si="965"/>
        <v>-817615.03222076187</v>
      </c>
      <c r="R286">
        <f t="shared" si="966"/>
        <v>20469163.694074068</v>
      </c>
      <c r="S286">
        <f t="shared" si="967"/>
        <v>204.69163694074069</v>
      </c>
      <c r="T286">
        <f t="shared" si="968"/>
        <v>0.20469163694074069</v>
      </c>
    </row>
    <row r="287" spans="1:20" x14ac:dyDescent="0.25">
      <c r="A287" s="5">
        <v>44306</v>
      </c>
      <c r="B287">
        <v>15.992000000000001</v>
      </c>
      <c r="C287">
        <v>17.736999999999998</v>
      </c>
      <c r="D287">
        <v>14.7</v>
      </c>
      <c r="E287">
        <v>16.818000000000001</v>
      </c>
      <c r="F287">
        <v>1279546.42</v>
      </c>
      <c r="G287">
        <v>0</v>
      </c>
      <c r="L287" t="s">
        <v>7</v>
      </c>
      <c r="M287" t="s">
        <v>7</v>
      </c>
      <c r="N287" t="s">
        <v>7</v>
      </c>
      <c r="P287">
        <f t="shared" si="964"/>
        <v>0.39479749753045951</v>
      </c>
      <c r="Q287">
        <f t="shared" si="965"/>
        <v>505161.72459005826</v>
      </c>
      <c r="R287">
        <f t="shared" si="966"/>
        <v>21286778.72629483</v>
      </c>
      <c r="S287">
        <f t="shared" si="967"/>
        <v>212.8677872629483</v>
      </c>
      <c r="T287">
        <f t="shared" si="968"/>
        <v>0.2128677872629483</v>
      </c>
    </row>
    <row r="288" spans="1:20" x14ac:dyDescent="0.25">
      <c r="A288" s="5">
        <v>44305</v>
      </c>
      <c r="B288">
        <v>18.004000000000001</v>
      </c>
      <c r="C288">
        <v>18.288</v>
      </c>
      <c r="D288">
        <v>15.69</v>
      </c>
      <c r="E288">
        <v>15.981</v>
      </c>
      <c r="F288">
        <v>1344574.845</v>
      </c>
      <c r="G288">
        <v>0</v>
      </c>
      <c r="L288" t="s">
        <v>8</v>
      </c>
      <c r="M288" t="s">
        <v>8</v>
      </c>
      <c r="N288" t="s">
        <v>7</v>
      </c>
      <c r="P288">
        <f t="shared" si="964"/>
        <v>-0.77598152424942246</v>
      </c>
      <c r="Q288">
        <f t="shared" si="965"/>
        <v>-1043365.237690531</v>
      </c>
      <c r="R288">
        <f t="shared" si="966"/>
        <v>20781617.001704771</v>
      </c>
      <c r="S288">
        <f t="shared" si="967"/>
        <v>207.81617001704771</v>
      </c>
      <c r="T288">
        <f t="shared" si="968"/>
        <v>0.20781617001704772</v>
      </c>
    </row>
    <row r="289" spans="1:20" x14ac:dyDescent="0.25">
      <c r="A289" s="5">
        <v>44304</v>
      </c>
      <c r="B289">
        <v>20.236999999999998</v>
      </c>
      <c r="C289">
        <v>20.404</v>
      </c>
      <c r="D289">
        <v>14.795</v>
      </c>
      <c r="E289">
        <v>18.013999999999999</v>
      </c>
      <c r="F289">
        <v>2136872.3670000001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0.14779818149402726</v>
      </c>
      <c r="Q289">
        <f t="shared" si="965"/>
        <v>315825.84992743767</v>
      </c>
      <c r="R289">
        <f t="shared" si="966"/>
        <v>21824982.239395302</v>
      </c>
      <c r="S289">
        <f t="shared" si="967"/>
        <v>218.24982239395302</v>
      </c>
      <c r="T289">
        <f t="shared" si="968"/>
        <v>0.21824982239395302</v>
      </c>
    </row>
    <row r="290" spans="1:20" x14ac:dyDescent="0.25">
      <c r="A290" s="5">
        <v>44303</v>
      </c>
      <c r="B290">
        <v>20.882999999999999</v>
      </c>
      <c r="C290">
        <v>21.956</v>
      </c>
      <c r="D290">
        <v>20.209</v>
      </c>
      <c r="E290">
        <v>20.224</v>
      </c>
      <c r="F290">
        <v>987364.84400000004</v>
      </c>
      <c r="G290">
        <v>0</v>
      </c>
      <c r="L290" t="s">
        <v>7</v>
      </c>
      <c r="M290" t="s">
        <v>8</v>
      </c>
      <c r="N290" t="s">
        <v>8</v>
      </c>
      <c r="P290">
        <f t="shared" si="964"/>
        <v>-0.98282770463651914</v>
      </c>
      <c r="Q290">
        <f t="shared" si="965"/>
        <v>-970409.52326731489</v>
      </c>
      <c r="R290">
        <f t="shared" si="966"/>
        <v>21509156.389467865</v>
      </c>
      <c r="S290">
        <f t="shared" si="967"/>
        <v>215.09156389467864</v>
      </c>
      <c r="T290">
        <f t="shared" si="968"/>
        <v>0.21509156389467865</v>
      </c>
    </row>
    <row r="291" spans="1:20" x14ac:dyDescent="0.25">
      <c r="A291" s="5">
        <v>44302</v>
      </c>
      <c r="B291">
        <v>22.032</v>
      </c>
      <c r="C291">
        <v>23.122</v>
      </c>
      <c r="D291">
        <v>20.016999999999999</v>
      </c>
      <c r="E291">
        <v>20.850999999999999</v>
      </c>
      <c r="F291">
        <v>1667255.6359999999</v>
      </c>
      <c r="G291">
        <v>0</v>
      </c>
      <c r="L291" t="s">
        <v>8</v>
      </c>
      <c r="M291" t="s">
        <v>8</v>
      </c>
      <c r="N291" t="s">
        <v>8</v>
      </c>
      <c r="P291">
        <f t="shared" si="964"/>
        <v>-0.46280193236715006</v>
      </c>
      <c r="Q291">
        <f t="shared" si="965"/>
        <v>-771609.13009082177</v>
      </c>
      <c r="R291">
        <f t="shared" si="966"/>
        <v>22479565.912735179</v>
      </c>
      <c r="S291">
        <f t="shared" si="967"/>
        <v>224.7956591273518</v>
      </c>
      <c r="T291">
        <f t="shared" si="968"/>
        <v>0.2247956591273518</v>
      </c>
    </row>
    <row r="292" spans="1:20" x14ac:dyDescent="0.25">
      <c r="A292" s="5">
        <v>44301</v>
      </c>
      <c r="B292">
        <v>20.012</v>
      </c>
      <c r="C292">
        <v>22.61</v>
      </c>
      <c r="D292">
        <v>19.920999999999999</v>
      </c>
      <c r="E292">
        <v>22.024999999999999</v>
      </c>
      <c r="F292">
        <v>1851581.5959999999</v>
      </c>
      <c r="G292">
        <v>0</v>
      </c>
      <c r="L292" t="s">
        <v>8</v>
      </c>
      <c r="M292" t="s">
        <v>8</v>
      </c>
      <c r="N292" t="s">
        <v>8</v>
      </c>
      <c r="P292">
        <f t="shared" si="964"/>
        <v>0.56489401264410499</v>
      </c>
      <c r="Q292">
        <f t="shared" si="965"/>
        <v>1045947.357502416</v>
      </c>
      <c r="R292">
        <f t="shared" si="966"/>
        <v>23251175.042826001</v>
      </c>
      <c r="S292">
        <f t="shared" si="967"/>
        <v>232.51175042826</v>
      </c>
      <c r="T292">
        <f t="shared" si="968"/>
        <v>0.23251175042826</v>
      </c>
    </row>
    <row r="293" spans="1:20" x14ac:dyDescent="0.25">
      <c r="A293" s="5">
        <v>44300</v>
      </c>
      <c r="B293">
        <v>19.123999999999999</v>
      </c>
      <c r="C293">
        <v>21.876000000000001</v>
      </c>
      <c r="D293">
        <v>18.667999999999999</v>
      </c>
      <c r="E293">
        <v>20.023</v>
      </c>
      <c r="F293">
        <v>1984370.5079999999</v>
      </c>
      <c r="G293">
        <v>0</v>
      </c>
      <c r="L293" t="s">
        <v>8</v>
      </c>
      <c r="M293" t="s">
        <v>8</v>
      </c>
      <c r="N293" t="s">
        <v>8</v>
      </c>
      <c r="P293">
        <f t="shared" si="964"/>
        <v>-0.15523690773067356</v>
      </c>
      <c r="Q293">
        <f t="shared" si="965"/>
        <v>-308047.54145386582</v>
      </c>
      <c r="R293">
        <f t="shared" si="966"/>
        <v>22205227.685323585</v>
      </c>
      <c r="S293">
        <f t="shared" si="967"/>
        <v>222.05227685323584</v>
      </c>
      <c r="T293">
        <f t="shared" si="968"/>
        <v>0.22205227685323584</v>
      </c>
    </row>
    <row r="294" spans="1:20" x14ac:dyDescent="0.25">
      <c r="A294" s="5">
        <v>44299</v>
      </c>
      <c r="B294">
        <v>19.591999999999999</v>
      </c>
      <c r="C294">
        <v>20.2</v>
      </c>
      <c r="D294">
        <v>18.97</v>
      </c>
      <c r="E294">
        <v>19.114999999999998</v>
      </c>
      <c r="F294">
        <v>889667.42099999997</v>
      </c>
      <c r="G294">
        <v>0</v>
      </c>
      <c r="L294" t="s">
        <v>8</v>
      </c>
      <c r="M294" t="s">
        <v>7</v>
      </c>
      <c r="N294" t="s">
        <v>8</v>
      </c>
      <c r="P294">
        <f t="shared" si="964"/>
        <v>-0.76422764227642359</v>
      </c>
      <c r="Q294">
        <f t="shared" si="965"/>
        <v>-679908.43556097627</v>
      </c>
      <c r="R294">
        <f t="shared" si="966"/>
        <v>22513275.226777449</v>
      </c>
      <c r="S294">
        <f t="shared" si="967"/>
        <v>225.13275226777449</v>
      </c>
      <c r="T294">
        <f t="shared" si="968"/>
        <v>0.22513275226777449</v>
      </c>
    </row>
    <row r="295" spans="1:20" x14ac:dyDescent="0.25">
      <c r="A295" s="5">
        <v>44298</v>
      </c>
      <c r="B295">
        <v>18.978999999999999</v>
      </c>
      <c r="C295">
        <v>19.963000000000001</v>
      </c>
      <c r="D295">
        <v>18.5</v>
      </c>
      <c r="E295">
        <v>19.591000000000001</v>
      </c>
      <c r="F295">
        <v>1023059.523</v>
      </c>
      <c r="G295">
        <v>0</v>
      </c>
      <c r="L295" t="s">
        <v>8</v>
      </c>
      <c r="M295" t="s">
        <v>7</v>
      </c>
      <c r="N295" t="s">
        <v>8</v>
      </c>
      <c r="P295">
        <f t="shared" si="964"/>
        <v>0.49145591250854459</v>
      </c>
      <c r="Q295">
        <f t="shared" si="965"/>
        <v>502788.65142652136</v>
      </c>
      <c r="R295">
        <f t="shared" si="966"/>
        <v>23193183.662338424</v>
      </c>
      <c r="S295">
        <f t="shared" si="967"/>
        <v>231.93183662338424</v>
      </c>
      <c r="T295">
        <f t="shared" si="968"/>
        <v>0.23193183662338424</v>
      </c>
    </row>
    <row r="296" spans="1:20" x14ac:dyDescent="0.25">
      <c r="A296" s="5">
        <v>44297</v>
      </c>
      <c r="B296">
        <v>18.992999999999999</v>
      </c>
      <c r="C296">
        <v>19.318000000000001</v>
      </c>
      <c r="D296">
        <v>18.303000000000001</v>
      </c>
      <c r="E296">
        <v>18.989000000000001</v>
      </c>
      <c r="F296">
        <v>659689.91099999996</v>
      </c>
      <c r="G296">
        <v>0</v>
      </c>
      <c r="L296" t="s">
        <v>7</v>
      </c>
      <c r="M296" t="s">
        <v>7</v>
      </c>
      <c r="N296" t="s">
        <v>8</v>
      </c>
      <c r="P296">
        <f t="shared" si="964"/>
        <v>0.35172413793103363</v>
      </c>
      <c r="Q296">
        <f t="shared" si="965"/>
        <v>232028.86524827528</v>
      </c>
      <c r="R296">
        <f t="shared" si="966"/>
        <v>22690395.010911904</v>
      </c>
      <c r="S296">
        <f t="shared" si="967"/>
        <v>226.90395010911905</v>
      </c>
      <c r="T296">
        <f t="shared" si="968"/>
        <v>0.22690395010911904</v>
      </c>
    </row>
    <row r="297" spans="1:20" x14ac:dyDescent="0.25">
      <c r="A297" s="5">
        <v>44296</v>
      </c>
      <c r="B297">
        <v>19.422000000000001</v>
      </c>
      <c r="C297">
        <v>19.998999999999999</v>
      </c>
      <c r="D297">
        <v>18.579999999999998</v>
      </c>
      <c r="E297">
        <v>18.994</v>
      </c>
      <c r="F297">
        <v>653855.29799999995</v>
      </c>
      <c r="G297">
        <v>0</v>
      </c>
      <c r="L297" t="s">
        <v>7</v>
      </c>
      <c r="M297" t="s">
        <v>7</v>
      </c>
      <c r="N297" t="s">
        <v>8</v>
      </c>
      <c r="P297">
        <f t="shared" si="964"/>
        <v>-0.41649048625792623</v>
      </c>
      <c r="Q297">
        <f t="shared" si="965"/>
        <v>-272324.51100634126</v>
      </c>
      <c r="R297">
        <f t="shared" si="966"/>
        <v>22458366.14566363</v>
      </c>
      <c r="S297">
        <f t="shared" si="967"/>
        <v>224.58366145663629</v>
      </c>
      <c r="T297">
        <f t="shared" si="968"/>
        <v>0.2245836614566363</v>
      </c>
    </row>
    <row r="298" spans="1:20" x14ac:dyDescent="0.25">
      <c r="A298" s="5">
        <v>44295</v>
      </c>
      <c r="B298">
        <v>19.911000000000001</v>
      </c>
      <c r="C298">
        <v>20.404</v>
      </c>
      <c r="D298">
        <v>19.114000000000001</v>
      </c>
      <c r="E298">
        <v>19.420999999999999</v>
      </c>
      <c r="F298">
        <v>553692.69099999999</v>
      </c>
      <c r="G298">
        <v>0</v>
      </c>
      <c r="L298" t="s">
        <v>8</v>
      </c>
      <c r="M298" t="s">
        <v>7</v>
      </c>
      <c r="N298" t="s">
        <v>8</v>
      </c>
      <c r="P298">
        <f t="shared" si="964"/>
        <v>-0.52403100775193978</v>
      </c>
      <c r="Q298">
        <f t="shared" si="965"/>
        <v>-290152.13884961337</v>
      </c>
      <c r="R298">
        <f t="shared" si="966"/>
        <v>22730690.656669971</v>
      </c>
      <c r="S298">
        <f t="shared" si="967"/>
        <v>227.30690656669969</v>
      </c>
      <c r="T298">
        <f t="shared" si="968"/>
        <v>0.22730690656669969</v>
      </c>
    </row>
    <row r="299" spans="1:20" x14ac:dyDescent="0.25">
      <c r="A299" s="5">
        <v>44294</v>
      </c>
      <c r="B299">
        <v>19.393999999999998</v>
      </c>
      <c r="C299">
        <v>20.151</v>
      </c>
      <c r="D299">
        <v>18.984000000000002</v>
      </c>
      <c r="E299">
        <v>19.901</v>
      </c>
      <c r="F299">
        <v>621827.65800000005</v>
      </c>
      <c r="G299">
        <v>0</v>
      </c>
      <c r="L299" t="s">
        <v>8</v>
      </c>
      <c r="M299" t="s">
        <v>7</v>
      </c>
      <c r="N299" t="s">
        <v>8</v>
      </c>
      <c r="P299">
        <f t="shared" si="964"/>
        <v>0.57155098543273275</v>
      </c>
      <c r="Q299">
        <f t="shared" si="965"/>
        <v>355406.21069922834</v>
      </c>
      <c r="R299">
        <f t="shared" si="966"/>
        <v>23020842.795519583</v>
      </c>
      <c r="S299">
        <f t="shared" si="967"/>
        <v>230.20842795519582</v>
      </c>
      <c r="T299">
        <f t="shared" si="968"/>
        <v>0.2302084279551958</v>
      </c>
    </row>
    <row r="300" spans="1:20" x14ac:dyDescent="0.25">
      <c r="A300" s="5">
        <v>44293</v>
      </c>
      <c r="B300">
        <v>22.058</v>
      </c>
      <c r="C300">
        <v>22.321999999999999</v>
      </c>
      <c r="D300">
        <v>18.609000000000002</v>
      </c>
      <c r="E300">
        <v>19.393999999999998</v>
      </c>
      <c r="F300">
        <v>1259848.625</v>
      </c>
      <c r="G300">
        <v>0</v>
      </c>
      <c r="L300" t="s">
        <v>7</v>
      </c>
      <c r="M300" t="s">
        <v>7</v>
      </c>
      <c r="N300" t="s">
        <v>8</v>
      </c>
      <c r="P300">
        <f t="shared" si="964"/>
        <v>-0.57716132507406559</v>
      </c>
      <c r="Q300">
        <f t="shared" si="965"/>
        <v>-727135.90179773956</v>
      </c>
      <c r="R300">
        <f t="shared" si="966"/>
        <v>22665436.584820356</v>
      </c>
      <c r="S300">
        <f t="shared" si="967"/>
        <v>226.65436584820355</v>
      </c>
      <c r="T300">
        <f t="shared" si="968"/>
        <v>0.22665436584820356</v>
      </c>
    </row>
    <row r="301" spans="1:20" x14ac:dyDescent="0.25">
      <c r="A301" s="5">
        <v>44292</v>
      </c>
      <c r="B301">
        <v>20.73</v>
      </c>
      <c r="C301">
        <v>22.434000000000001</v>
      </c>
      <c r="D301">
        <v>20.626999999999999</v>
      </c>
      <c r="E301">
        <v>22.056000000000001</v>
      </c>
      <c r="F301">
        <v>1187831.47</v>
      </c>
      <c r="G301">
        <v>0</v>
      </c>
      <c r="L301" t="s">
        <v>8</v>
      </c>
      <c r="M301" t="s">
        <v>8</v>
      </c>
      <c r="N301" t="s">
        <v>8</v>
      </c>
      <c r="P301">
        <f t="shared" si="964"/>
        <v>0.58162700608743811</v>
      </c>
      <c r="Q301">
        <f t="shared" si="965"/>
        <v>690874.86163254059</v>
      </c>
      <c r="R301">
        <f t="shared" si="966"/>
        <v>23392572.486618094</v>
      </c>
      <c r="S301">
        <f t="shared" si="967"/>
        <v>233.92572486618093</v>
      </c>
      <c r="T301">
        <f t="shared" si="968"/>
        <v>0.23392572486618093</v>
      </c>
    </row>
    <row r="302" spans="1:20" x14ac:dyDescent="0.25">
      <c r="A302" s="5">
        <v>44291</v>
      </c>
      <c r="B302">
        <v>20.648</v>
      </c>
      <c r="C302">
        <v>21.140999999999998</v>
      </c>
      <c r="D302">
        <v>19.641999999999999</v>
      </c>
      <c r="E302">
        <v>20.738</v>
      </c>
      <c r="F302">
        <v>755351.43099999998</v>
      </c>
      <c r="G302">
        <v>0</v>
      </c>
      <c r="L302" t="s">
        <v>8</v>
      </c>
      <c r="M302" t="s">
        <v>8</v>
      </c>
      <c r="N302" t="s">
        <v>8</v>
      </c>
      <c r="P302">
        <f t="shared" si="964"/>
        <v>0.46230820547031487</v>
      </c>
      <c r="Q302">
        <f t="shared" si="965"/>
        <v>349205.16456504434</v>
      </c>
      <c r="R302">
        <f t="shared" si="966"/>
        <v>22701697.624985553</v>
      </c>
      <c r="S302">
        <f t="shared" si="967"/>
        <v>227.01697624985553</v>
      </c>
      <c r="T302">
        <f t="shared" si="968"/>
        <v>0.22701697624985553</v>
      </c>
    </row>
    <row r="303" spans="1:20" x14ac:dyDescent="0.25">
      <c r="A303" s="5">
        <v>44290</v>
      </c>
      <c r="B303">
        <v>19.271000000000001</v>
      </c>
      <c r="C303">
        <v>21.39</v>
      </c>
      <c r="D303">
        <v>19</v>
      </c>
      <c r="E303">
        <v>20.648</v>
      </c>
      <c r="F303">
        <v>746160.76</v>
      </c>
      <c r="G303">
        <v>0</v>
      </c>
      <c r="L303" t="s">
        <v>7</v>
      </c>
      <c r="M303" t="s">
        <v>8</v>
      </c>
      <c r="N303" t="s">
        <v>8</v>
      </c>
      <c r="P303">
        <f t="shared" si="964"/>
        <v>0.3790794979079492</v>
      </c>
      <c r="Q303">
        <f t="shared" si="965"/>
        <v>282854.24625941378</v>
      </c>
      <c r="R303">
        <f t="shared" si="966"/>
        <v>22352492.460420508</v>
      </c>
      <c r="S303">
        <f t="shared" si="967"/>
        <v>223.52492460420507</v>
      </c>
      <c r="T303">
        <f t="shared" si="968"/>
        <v>0.22352492460420506</v>
      </c>
    </row>
    <row r="304" spans="1:20" x14ac:dyDescent="0.25">
      <c r="A304" s="5">
        <v>44289</v>
      </c>
      <c r="B304">
        <v>21.428999999999998</v>
      </c>
      <c r="C304">
        <v>21.64</v>
      </c>
      <c r="D304">
        <v>19</v>
      </c>
      <c r="E304">
        <v>19.27</v>
      </c>
      <c r="F304">
        <v>996112.32799999998</v>
      </c>
      <c r="G304">
        <v>0</v>
      </c>
      <c r="L304" t="s">
        <v>8</v>
      </c>
      <c r="M304" t="s">
        <v>8</v>
      </c>
      <c r="N304" t="s">
        <v>8</v>
      </c>
      <c r="P304">
        <f t="shared" si="964"/>
        <v>-0.79545454545454586</v>
      </c>
      <c r="Q304">
        <f t="shared" si="965"/>
        <v>-792362.07909090945</v>
      </c>
      <c r="R304">
        <f t="shared" si="966"/>
        <v>22069638.214161094</v>
      </c>
      <c r="S304">
        <f t="shared" si="967"/>
        <v>220.69638214161094</v>
      </c>
      <c r="T304">
        <f t="shared" si="968"/>
        <v>0.22069638214161094</v>
      </c>
    </row>
    <row r="305" spans="1:20" x14ac:dyDescent="0.25">
      <c r="A305" s="5">
        <v>44288</v>
      </c>
      <c r="B305">
        <v>19.178999999999998</v>
      </c>
      <c r="C305">
        <v>21.46</v>
      </c>
      <c r="D305">
        <v>18.77</v>
      </c>
      <c r="E305">
        <v>21.414999999999999</v>
      </c>
      <c r="F305">
        <v>1572042.2420000001</v>
      </c>
      <c r="G305">
        <v>0</v>
      </c>
      <c r="L305" t="s">
        <v>8</v>
      </c>
      <c r="M305" t="s">
        <v>8</v>
      </c>
      <c r="N305" t="s">
        <v>8</v>
      </c>
      <c r="P305">
        <f t="shared" si="964"/>
        <v>0.96654275092936681</v>
      </c>
      <c r="Q305">
        <f t="shared" si="965"/>
        <v>1519446.0331598495</v>
      </c>
      <c r="R305">
        <f t="shared" si="966"/>
        <v>22862000.293252002</v>
      </c>
      <c r="S305">
        <f t="shared" si="967"/>
        <v>228.62000293252004</v>
      </c>
      <c r="T305">
        <f t="shared" si="968"/>
        <v>0.22862000293252005</v>
      </c>
    </row>
    <row r="306" spans="1:20" x14ac:dyDescent="0.25">
      <c r="A306" s="5">
        <v>44287</v>
      </c>
      <c r="B306">
        <v>17.652999999999999</v>
      </c>
      <c r="C306">
        <v>19.367999999999999</v>
      </c>
      <c r="D306">
        <v>17.588000000000001</v>
      </c>
      <c r="E306">
        <v>19.178999999999998</v>
      </c>
      <c r="F306">
        <v>1231589.3570000001</v>
      </c>
      <c r="G306">
        <v>0</v>
      </c>
      <c r="L306" t="s">
        <v>8</v>
      </c>
      <c r="M306" t="s">
        <v>8</v>
      </c>
      <c r="N306" t="s">
        <v>7</v>
      </c>
      <c r="P306">
        <f t="shared" si="964"/>
        <v>0.78764044943820188</v>
      </c>
      <c r="Q306">
        <f t="shared" si="965"/>
        <v>970049.59467078617</v>
      </c>
      <c r="R306">
        <f t="shared" si="966"/>
        <v>21342554.260092154</v>
      </c>
      <c r="S306">
        <f t="shared" si="967"/>
        <v>213.42554260092155</v>
      </c>
      <c r="T306">
        <f t="shared" si="968"/>
        <v>0.21342554260092156</v>
      </c>
    </row>
    <row r="307" spans="1:20" x14ac:dyDescent="0.25">
      <c r="A307" s="5">
        <v>44286</v>
      </c>
      <c r="B307">
        <v>17.547000000000001</v>
      </c>
      <c r="C307">
        <v>17.89</v>
      </c>
      <c r="D307">
        <v>16.547999999999998</v>
      </c>
      <c r="E307">
        <v>17.658000000000001</v>
      </c>
      <c r="F307">
        <v>736177.38800000004</v>
      </c>
      <c r="G307">
        <v>0</v>
      </c>
      <c r="L307" t="s">
        <v>7</v>
      </c>
      <c r="M307" t="s">
        <v>7</v>
      </c>
      <c r="N307" t="s">
        <v>7</v>
      </c>
      <c r="P307">
        <f t="shared" si="964"/>
        <v>0.65424739195231163</v>
      </c>
      <c r="Q307">
        <f t="shared" si="965"/>
        <v>481642.13611326501</v>
      </c>
      <c r="R307">
        <f t="shared" si="966"/>
        <v>20372504.665421367</v>
      </c>
      <c r="S307">
        <f t="shared" si="967"/>
        <v>203.72504665421366</v>
      </c>
      <c r="T307">
        <f t="shared" si="968"/>
        <v>0.20372504665421365</v>
      </c>
    </row>
    <row r="308" spans="1:20" x14ac:dyDescent="0.25">
      <c r="A308" s="5">
        <v>44285</v>
      </c>
      <c r="B308">
        <v>17.791</v>
      </c>
      <c r="C308">
        <v>18</v>
      </c>
      <c r="D308">
        <v>17.260000000000002</v>
      </c>
      <c r="E308">
        <v>17.533000000000001</v>
      </c>
      <c r="F308">
        <v>540118.88199999998</v>
      </c>
      <c r="G308">
        <v>0</v>
      </c>
      <c r="L308" t="s">
        <v>8</v>
      </c>
      <c r="M308" t="s">
        <v>7</v>
      </c>
      <c r="N308" t="s">
        <v>7</v>
      </c>
      <c r="P308">
        <f t="shared" si="964"/>
        <v>-0.26216216216216143</v>
      </c>
      <c r="Q308">
        <f t="shared" si="965"/>
        <v>-141598.73392972932</v>
      </c>
      <c r="R308">
        <f t="shared" si="966"/>
        <v>19890862.529308103</v>
      </c>
      <c r="S308">
        <f t="shared" si="967"/>
        <v>198.90862529308103</v>
      </c>
      <c r="T308">
        <f t="shared" si="968"/>
        <v>0.19890862529308104</v>
      </c>
    </row>
    <row r="309" spans="1:20" x14ac:dyDescent="0.25">
      <c r="A309" s="5">
        <v>44284</v>
      </c>
      <c r="B309">
        <v>16.469000000000001</v>
      </c>
      <c r="C309">
        <v>17.834</v>
      </c>
      <c r="D309">
        <v>16.289000000000001</v>
      </c>
      <c r="E309">
        <v>17.78</v>
      </c>
      <c r="F309">
        <v>763146.353</v>
      </c>
      <c r="G309">
        <v>0</v>
      </c>
      <c r="L309" t="s">
        <v>8</v>
      </c>
      <c r="M309" t="s">
        <v>7</v>
      </c>
      <c r="N309" t="s">
        <v>7</v>
      </c>
      <c r="P309">
        <f t="shared" si="964"/>
        <v>0.93009708737864261</v>
      </c>
      <c r="Q309">
        <f t="shared" si="965"/>
        <v>709800.20016893349</v>
      </c>
      <c r="R309">
        <f t="shared" si="966"/>
        <v>20032461.263237834</v>
      </c>
      <c r="S309">
        <f t="shared" si="967"/>
        <v>200.32461263237835</v>
      </c>
      <c r="T309">
        <f t="shared" si="968"/>
        <v>0.20032461263237836</v>
      </c>
    </row>
    <row r="310" spans="1:20" x14ac:dyDescent="0.25">
      <c r="A310" s="5">
        <v>44283</v>
      </c>
      <c r="B310">
        <v>17.134</v>
      </c>
      <c r="C310">
        <v>17.312000000000001</v>
      </c>
      <c r="D310">
        <v>16.373999999999999</v>
      </c>
      <c r="E310">
        <v>16.469000000000001</v>
      </c>
      <c r="F310">
        <v>594852.66899999999</v>
      </c>
      <c r="G310">
        <v>0</v>
      </c>
      <c r="L310" t="s">
        <v>8</v>
      </c>
      <c r="M310" t="s">
        <v>7</v>
      </c>
      <c r="N310" t="s">
        <v>7</v>
      </c>
      <c r="P310">
        <f t="shared" si="964"/>
        <v>-0.79744136460553905</v>
      </c>
      <c r="Q310">
        <f t="shared" si="965"/>
        <v>-474360.12410660705</v>
      </c>
      <c r="R310">
        <f t="shared" si="966"/>
        <v>19322661.0630689</v>
      </c>
      <c r="S310">
        <f t="shared" si="967"/>
        <v>193.22661063068901</v>
      </c>
      <c r="T310">
        <f t="shared" si="968"/>
        <v>0.19322661063068902</v>
      </c>
    </row>
    <row r="311" spans="1:20" x14ac:dyDescent="0.25">
      <c r="A311" s="5">
        <v>44282</v>
      </c>
      <c r="B311">
        <v>17.478999999999999</v>
      </c>
      <c r="C311">
        <v>17.645</v>
      </c>
      <c r="D311">
        <v>16.713000000000001</v>
      </c>
      <c r="E311">
        <v>17.135999999999999</v>
      </c>
      <c r="F311">
        <v>512313.37099999998</v>
      </c>
      <c r="G311">
        <v>0</v>
      </c>
      <c r="L311" t="s">
        <v>8</v>
      </c>
      <c r="M311" t="s">
        <v>7</v>
      </c>
      <c r="N311" t="s">
        <v>7</v>
      </c>
      <c r="P311">
        <f t="shared" si="964"/>
        <v>-9.2274678111590347E-2</v>
      </c>
      <c r="Q311">
        <f t="shared" si="965"/>
        <v>-47273.551401288765</v>
      </c>
      <c r="R311">
        <f t="shared" si="966"/>
        <v>19797021.187175509</v>
      </c>
      <c r="S311">
        <f t="shared" si="967"/>
        <v>197.97021187175508</v>
      </c>
      <c r="T311">
        <f t="shared" si="968"/>
        <v>0.19797021187175509</v>
      </c>
    </row>
    <row r="312" spans="1:20" x14ac:dyDescent="0.25">
      <c r="A312" s="5">
        <v>44281</v>
      </c>
      <c r="B312">
        <v>16.119</v>
      </c>
      <c r="C312">
        <v>17.600000000000001</v>
      </c>
      <c r="D312">
        <v>16.088000000000001</v>
      </c>
      <c r="E312">
        <v>17.469000000000001</v>
      </c>
      <c r="F312">
        <v>542004.22400000005</v>
      </c>
      <c r="G312">
        <v>0</v>
      </c>
      <c r="L312" t="s">
        <v>8</v>
      </c>
      <c r="M312" t="s">
        <v>7</v>
      </c>
      <c r="N312" t="s">
        <v>7</v>
      </c>
      <c r="P312">
        <f t="shared" si="964"/>
        <v>0.82671957671957652</v>
      </c>
      <c r="Q312">
        <f t="shared" si="965"/>
        <v>448085.50264550257</v>
      </c>
      <c r="R312">
        <f t="shared" si="966"/>
        <v>19844294.738576796</v>
      </c>
      <c r="S312">
        <f t="shared" si="967"/>
        <v>198.44294738576795</v>
      </c>
      <c r="T312">
        <f t="shared" si="968"/>
        <v>0.19844294738576795</v>
      </c>
    </row>
    <row r="313" spans="1:20" x14ac:dyDescent="0.25">
      <c r="A313" s="5">
        <v>44280</v>
      </c>
      <c r="B313">
        <v>16.106999999999999</v>
      </c>
      <c r="C313">
        <v>17.067</v>
      </c>
      <c r="D313">
        <v>15.419</v>
      </c>
      <c r="E313">
        <v>16.12</v>
      </c>
      <c r="F313">
        <v>838480.37899999996</v>
      </c>
      <c r="G313">
        <v>0</v>
      </c>
      <c r="L313" t="s">
        <v>8</v>
      </c>
      <c r="M313" t="s">
        <v>7</v>
      </c>
      <c r="N313" t="s">
        <v>7</v>
      </c>
      <c r="P313">
        <f t="shared" si="964"/>
        <v>-0.14927184466019339</v>
      </c>
      <c r="Q313">
        <f t="shared" si="965"/>
        <v>-125161.51288470808</v>
      </c>
      <c r="R313">
        <f t="shared" si="966"/>
        <v>19396209.235931292</v>
      </c>
      <c r="S313">
        <f t="shared" si="967"/>
        <v>193.96209235931292</v>
      </c>
      <c r="T313">
        <f t="shared" si="968"/>
        <v>0.19396209235931292</v>
      </c>
    </row>
    <row r="314" spans="1:20" x14ac:dyDescent="0.25">
      <c r="A314" s="5">
        <v>44279</v>
      </c>
      <c r="B314">
        <v>17.422000000000001</v>
      </c>
      <c r="C314">
        <v>18.254999999999999</v>
      </c>
      <c r="D314">
        <v>15.528</v>
      </c>
      <c r="E314">
        <v>16.094999999999999</v>
      </c>
      <c r="F314">
        <v>948962.228</v>
      </c>
      <c r="G314">
        <v>0</v>
      </c>
      <c r="L314" t="s">
        <v>7</v>
      </c>
      <c r="M314" t="s">
        <v>7</v>
      </c>
      <c r="N314" t="s">
        <v>7</v>
      </c>
      <c r="P314">
        <f t="shared" si="964"/>
        <v>-0.58415841584158512</v>
      </c>
      <c r="Q314">
        <f t="shared" si="965"/>
        <v>-554344.27180198114</v>
      </c>
      <c r="R314">
        <f t="shared" si="966"/>
        <v>19521370.748815998</v>
      </c>
      <c r="S314">
        <f t="shared" si="967"/>
        <v>195.21370748816</v>
      </c>
      <c r="T314">
        <f t="shared" si="968"/>
        <v>0.19521370748816</v>
      </c>
    </row>
    <row r="315" spans="1:20" x14ac:dyDescent="0.25">
      <c r="A315" s="5">
        <v>44278</v>
      </c>
      <c r="B315">
        <v>18.024000000000001</v>
      </c>
      <c r="C315">
        <v>18.327999999999999</v>
      </c>
      <c r="D315">
        <v>17.221</v>
      </c>
      <c r="E315">
        <v>17.422000000000001</v>
      </c>
      <c r="F315">
        <v>737017.93500000006</v>
      </c>
      <c r="G315">
        <v>0</v>
      </c>
      <c r="L315" t="s">
        <v>7</v>
      </c>
      <c r="M315" t="s">
        <v>7</v>
      </c>
      <c r="N315" t="s">
        <v>7</v>
      </c>
      <c r="P315">
        <f t="shared" si="964"/>
        <v>-0.63685636856368444</v>
      </c>
      <c r="Q315">
        <f t="shared" si="965"/>
        <v>-469374.56565040565</v>
      </c>
      <c r="R315">
        <f t="shared" si="966"/>
        <v>20075715.020617981</v>
      </c>
      <c r="S315">
        <f t="shared" si="967"/>
        <v>200.7571502061798</v>
      </c>
      <c r="T315">
        <f t="shared" si="968"/>
        <v>0.20075715020617979</v>
      </c>
    </row>
    <row r="316" spans="1:20" x14ac:dyDescent="0.25">
      <c r="A316" s="5">
        <v>44277</v>
      </c>
      <c r="B316">
        <v>19.521000000000001</v>
      </c>
      <c r="C316">
        <v>20.021999999999998</v>
      </c>
      <c r="D316">
        <v>17.747</v>
      </c>
      <c r="E316">
        <v>18.027000000000001</v>
      </c>
      <c r="F316">
        <v>736174.76199999999</v>
      </c>
      <c r="G316">
        <v>0</v>
      </c>
      <c r="L316" t="s">
        <v>7</v>
      </c>
      <c r="M316" t="s">
        <v>7</v>
      </c>
      <c r="N316" t="s">
        <v>8</v>
      </c>
      <c r="P316">
        <f t="shared" si="964"/>
        <v>-0.75384615384615272</v>
      </c>
      <c r="Q316">
        <f t="shared" si="965"/>
        <v>-554962.5128923069</v>
      </c>
      <c r="R316">
        <f t="shared" si="966"/>
        <v>20545089.586268388</v>
      </c>
      <c r="S316">
        <f t="shared" si="967"/>
        <v>205.45089586268386</v>
      </c>
      <c r="T316">
        <f t="shared" si="968"/>
        <v>0.20545089586268386</v>
      </c>
    </row>
    <row r="317" spans="1:20" x14ac:dyDescent="0.25">
      <c r="A317" s="5">
        <v>44276</v>
      </c>
      <c r="B317">
        <v>19.814</v>
      </c>
      <c r="C317">
        <v>20.081</v>
      </c>
      <c r="D317">
        <v>19.085999999999999</v>
      </c>
      <c r="E317">
        <v>19.523</v>
      </c>
      <c r="F317">
        <v>550256.20799999998</v>
      </c>
      <c r="G317">
        <v>0</v>
      </c>
      <c r="L317" t="s">
        <v>7</v>
      </c>
      <c r="M317" t="s">
        <v>7</v>
      </c>
      <c r="N317" t="s">
        <v>8</v>
      </c>
      <c r="P317">
        <f t="shared" si="964"/>
        <v>-0.12160804020100356</v>
      </c>
      <c r="Q317">
        <f t="shared" si="965"/>
        <v>-66915.579063315774</v>
      </c>
      <c r="R317">
        <f t="shared" si="966"/>
        <v>21100052.099160694</v>
      </c>
      <c r="S317">
        <f t="shared" si="967"/>
        <v>211.00052099160695</v>
      </c>
      <c r="T317">
        <f t="shared" si="968"/>
        <v>0.21100052099160696</v>
      </c>
    </row>
    <row r="318" spans="1:20" x14ac:dyDescent="0.25">
      <c r="A318" s="5">
        <v>44275</v>
      </c>
      <c r="B318">
        <v>19.855</v>
      </c>
      <c r="C318">
        <v>21.471</v>
      </c>
      <c r="D318">
        <v>19.763000000000002</v>
      </c>
      <c r="E318">
        <v>19.792000000000002</v>
      </c>
      <c r="F318">
        <v>861507.84600000002</v>
      </c>
      <c r="G318">
        <v>0</v>
      </c>
      <c r="L318" t="s">
        <v>8</v>
      </c>
      <c r="M318" t="s">
        <v>7</v>
      </c>
      <c r="N318" t="s">
        <v>8</v>
      </c>
      <c r="P318">
        <f t="shared" si="964"/>
        <v>-0.9660421545667448</v>
      </c>
      <c r="Q318">
        <f t="shared" si="965"/>
        <v>-832252.89572599542</v>
      </c>
      <c r="R318">
        <f t="shared" si="966"/>
        <v>21166967.678224009</v>
      </c>
      <c r="S318">
        <f t="shared" si="967"/>
        <v>211.66967678224009</v>
      </c>
      <c r="T318">
        <f t="shared" si="968"/>
        <v>0.21166967678224008</v>
      </c>
    </row>
    <row r="319" spans="1:20" x14ac:dyDescent="0.25">
      <c r="A319" s="5">
        <v>44274</v>
      </c>
      <c r="B319">
        <v>18.567</v>
      </c>
      <c r="C319">
        <v>20.411999999999999</v>
      </c>
      <c r="D319">
        <v>18.175000000000001</v>
      </c>
      <c r="E319">
        <v>19.870999999999999</v>
      </c>
      <c r="F319">
        <v>639266.59</v>
      </c>
      <c r="G319">
        <v>0</v>
      </c>
      <c r="L319" t="s">
        <v>8</v>
      </c>
      <c r="M319" t="s">
        <v>7</v>
      </c>
      <c r="N319" t="s">
        <v>8</v>
      </c>
      <c r="P319">
        <f t="shared" si="964"/>
        <v>0.51631649530621304</v>
      </c>
      <c r="Q319">
        <f t="shared" si="965"/>
        <v>330063.88531515381</v>
      </c>
      <c r="R319">
        <f t="shared" si="966"/>
        <v>21999220.573950004</v>
      </c>
      <c r="S319">
        <f t="shared" si="967"/>
        <v>219.99220573950004</v>
      </c>
      <c r="T319">
        <f t="shared" si="968"/>
        <v>0.21999220573950004</v>
      </c>
    </row>
    <row r="320" spans="1:20" x14ac:dyDescent="0.25">
      <c r="A320" s="5">
        <v>44273</v>
      </c>
      <c r="B320">
        <v>19.22</v>
      </c>
      <c r="C320">
        <v>19.442</v>
      </c>
      <c r="D320">
        <v>18.510999999999999</v>
      </c>
      <c r="E320">
        <v>18.552</v>
      </c>
      <c r="F320">
        <v>557034.90500000003</v>
      </c>
      <c r="G320">
        <v>0</v>
      </c>
      <c r="L320" t="s">
        <v>8</v>
      </c>
      <c r="M320" t="s">
        <v>7</v>
      </c>
      <c r="N320" t="s">
        <v>8</v>
      </c>
      <c r="P320">
        <f t="shared" si="964"/>
        <v>-0.91192266380236231</v>
      </c>
      <c r="Q320">
        <f t="shared" si="965"/>
        <v>-507972.75439849583</v>
      </c>
      <c r="R320">
        <f t="shared" si="966"/>
        <v>21669156.68863485</v>
      </c>
      <c r="S320">
        <f t="shared" si="967"/>
        <v>216.69156688634851</v>
      </c>
      <c r="T320">
        <f t="shared" si="968"/>
        <v>0.21669156688634852</v>
      </c>
    </row>
    <row r="321" spans="1:20" x14ac:dyDescent="0.25">
      <c r="A321" s="5">
        <v>44272</v>
      </c>
      <c r="B321">
        <v>18.73</v>
      </c>
      <c r="C321">
        <v>19.297000000000001</v>
      </c>
      <c r="D321">
        <v>17.818999999999999</v>
      </c>
      <c r="E321">
        <v>19.202999999999999</v>
      </c>
      <c r="F321">
        <v>628632.38300000003</v>
      </c>
      <c r="G321">
        <v>0</v>
      </c>
      <c r="L321" t="s">
        <v>7</v>
      </c>
      <c r="M321" t="s">
        <v>7</v>
      </c>
      <c r="N321" t="s">
        <v>8</v>
      </c>
      <c r="P321">
        <f t="shared" si="964"/>
        <v>0.87280108254397681</v>
      </c>
      <c r="Q321">
        <f t="shared" si="965"/>
        <v>548671.02440459991</v>
      </c>
      <c r="R321">
        <f t="shared" si="966"/>
        <v>22177129.443033345</v>
      </c>
      <c r="S321">
        <f t="shared" si="967"/>
        <v>221.77129443033346</v>
      </c>
      <c r="T321">
        <f t="shared" si="968"/>
        <v>0.22177129443033344</v>
      </c>
    </row>
    <row r="322" spans="1:20" x14ac:dyDescent="0.25">
      <c r="A322" s="5">
        <v>44271</v>
      </c>
      <c r="B322">
        <v>18.919</v>
      </c>
      <c r="C322">
        <v>19.146999999999998</v>
      </c>
      <c r="D322">
        <v>18.117000000000001</v>
      </c>
      <c r="E322">
        <v>18.727</v>
      </c>
      <c r="F322">
        <v>579357.93099999998</v>
      </c>
      <c r="G322">
        <v>0</v>
      </c>
      <c r="L322" t="s">
        <v>7</v>
      </c>
      <c r="M322" t="s">
        <v>7</v>
      </c>
      <c r="N322" t="s">
        <v>8</v>
      </c>
      <c r="P322">
        <f t="shared" si="964"/>
        <v>0.18446601941747739</v>
      </c>
      <c r="Q322">
        <f t="shared" si="965"/>
        <v>106871.85134951552</v>
      </c>
      <c r="R322">
        <f t="shared" si="966"/>
        <v>21628458.418628745</v>
      </c>
      <c r="S322">
        <f t="shared" si="967"/>
        <v>216.28458418628745</v>
      </c>
      <c r="T322">
        <f t="shared" si="968"/>
        <v>0.21628458418628746</v>
      </c>
    </row>
    <row r="323" spans="1:20" x14ac:dyDescent="0.25">
      <c r="A323" s="5">
        <v>44270</v>
      </c>
      <c r="B323">
        <v>19.393000000000001</v>
      </c>
      <c r="C323">
        <v>19.98</v>
      </c>
      <c r="D323">
        <v>18.202000000000002</v>
      </c>
      <c r="E323">
        <v>18.919</v>
      </c>
      <c r="F323">
        <v>677423.27899999998</v>
      </c>
      <c r="G323">
        <v>0</v>
      </c>
      <c r="L323" t="s">
        <v>7</v>
      </c>
      <c r="M323" t="s">
        <v>7</v>
      </c>
      <c r="N323" t="s">
        <v>8</v>
      </c>
      <c r="P323">
        <f t="shared" si="964"/>
        <v>-0.19347581552306042</v>
      </c>
      <c r="Q323">
        <f t="shared" si="965"/>
        <v>-131065.02135883069</v>
      </c>
      <c r="R323">
        <f t="shared" si="966"/>
        <v>21521586.567279231</v>
      </c>
      <c r="S323">
        <f t="shared" si="967"/>
        <v>215.21586567279232</v>
      </c>
      <c r="T323">
        <f t="shared" si="968"/>
        <v>0.21521586567279233</v>
      </c>
    </row>
    <row r="324" spans="1:20" x14ac:dyDescent="0.25">
      <c r="A324" s="5">
        <v>44269</v>
      </c>
      <c r="B324">
        <v>20.488</v>
      </c>
      <c r="C324">
        <v>20.579000000000001</v>
      </c>
      <c r="D324">
        <v>19.184999999999999</v>
      </c>
      <c r="E324">
        <v>19.395</v>
      </c>
      <c r="F324">
        <v>707279.13399999996</v>
      </c>
      <c r="G324">
        <v>0</v>
      </c>
      <c r="L324" t="s">
        <v>7</v>
      </c>
      <c r="M324" t="s">
        <v>7</v>
      </c>
      <c r="N324" t="s">
        <v>8</v>
      </c>
      <c r="P324">
        <f t="shared" si="964"/>
        <v>-0.69870875179339953</v>
      </c>
      <c r="Q324">
        <f t="shared" si="965"/>
        <v>-494182.12088665651</v>
      </c>
      <c r="R324">
        <f t="shared" si="966"/>
        <v>21652651.58863806</v>
      </c>
      <c r="S324">
        <f t="shared" si="967"/>
        <v>216.52651588638059</v>
      </c>
      <c r="T324">
        <f t="shared" si="968"/>
        <v>0.21652651588638058</v>
      </c>
    </row>
    <row r="325" spans="1:20" x14ac:dyDescent="0.25">
      <c r="A325" s="5">
        <v>44268</v>
      </c>
      <c r="B325">
        <v>19.471</v>
      </c>
      <c r="C325">
        <v>20.864000000000001</v>
      </c>
      <c r="D325">
        <v>18.805</v>
      </c>
      <c r="E325">
        <v>20.469000000000001</v>
      </c>
      <c r="F325">
        <v>697704.647</v>
      </c>
      <c r="G325">
        <v>0</v>
      </c>
      <c r="L325" t="s">
        <v>8</v>
      </c>
      <c r="M325" t="s">
        <v>7</v>
      </c>
      <c r="N325" t="s">
        <v>8</v>
      </c>
      <c r="P325">
        <f t="shared" si="964"/>
        <v>0.61631860126274951</v>
      </c>
      <c r="Q325">
        <f t="shared" si="965"/>
        <v>430008.3521335604</v>
      </c>
      <c r="R325">
        <f t="shared" si="966"/>
        <v>22146833.709524717</v>
      </c>
      <c r="S325">
        <f t="shared" si="967"/>
        <v>221.46833709524716</v>
      </c>
      <c r="T325">
        <f t="shared" si="968"/>
        <v>0.22146833709524716</v>
      </c>
    </row>
    <row r="326" spans="1:20" x14ac:dyDescent="0.25">
      <c r="A326" s="5">
        <v>44267</v>
      </c>
      <c r="B326">
        <v>20.827000000000002</v>
      </c>
      <c r="C326">
        <v>20.988</v>
      </c>
      <c r="D326">
        <v>18.829999999999998</v>
      </c>
      <c r="E326">
        <v>19.452999999999999</v>
      </c>
      <c r="F326">
        <v>1210470.3400000001</v>
      </c>
      <c r="G326">
        <v>0</v>
      </c>
      <c r="L326" t="s">
        <v>7</v>
      </c>
      <c r="M326" t="s">
        <v>7</v>
      </c>
      <c r="N326" t="s">
        <v>8</v>
      </c>
      <c r="P326">
        <f t="shared" ref="P326:P389" si="969">IF(C326=D326,0,((E326-D326)-(C326-E326))/(C326-D326))</f>
        <v>-0.42261353104726529</v>
      </c>
      <c r="Q326">
        <f t="shared" ref="Q326:Q389" si="970">F326*P326</f>
        <v>-511561.14461538382</v>
      </c>
      <c r="R326">
        <f t="shared" ref="R326:R389" si="971">R327+Q326</f>
        <v>21716825.357391156</v>
      </c>
      <c r="S326">
        <f t="shared" ref="S326:S389" si="972">R326/100000</f>
        <v>217.16825357391156</v>
      </c>
      <c r="T326">
        <f t="shared" ref="T326:T389" si="973">S326/1000</f>
        <v>0.21716825357391156</v>
      </c>
    </row>
    <row r="327" spans="1:20" x14ac:dyDescent="0.25">
      <c r="A327" s="5">
        <v>44266</v>
      </c>
      <c r="B327">
        <v>21.622</v>
      </c>
      <c r="C327">
        <v>22.305</v>
      </c>
      <c r="D327">
        <v>20.687000000000001</v>
      </c>
      <c r="E327">
        <v>20.82</v>
      </c>
      <c r="F327">
        <v>947264.16200000001</v>
      </c>
      <c r="G327">
        <v>0</v>
      </c>
      <c r="L327" t="s">
        <v>7</v>
      </c>
      <c r="M327" t="s">
        <v>7</v>
      </c>
      <c r="N327" t="s">
        <v>8</v>
      </c>
      <c r="P327">
        <f t="shared" si="969"/>
        <v>-0.83559950556242368</v>
      </c>
      <c r="Q327">
        <f t="shared" si="970"/>
        <v>-791533.46540420363</v>
      </c>
      <c r="R327">
        <f t="shared" si="971"/>
        <v>22228386.502006538</v>
      </c>
      <c r="S327">
        <f t="shared" si="972"/>
        <v>222.28386502006538</v>
      </c>
      <c r="T327">
        <f t="shared" si="973"/>
        <v>0.22228386502006539</v>
      </c>
    </row>
    <row r="328" spans="1:20" x14ac:dyDescent="0.25">
      <c r="A328" s="5">
        <v>44265</v>
      </c>
      <c r="B328">
        <v>22.629000000000001</v>
      </c>
      <c r="C328">
        <v>23.396000000000001</v>
      </c>
      <c r="D328">
        <v>21.353999999999999</v>
      </c>
      <c r="E328">
        <v>21.609000000000002</v>
      </c>
      <c r="F328">
        <v>880572.92</v>
      </c>
      <c r="G328">
        <v>0</v>
      </c>
      <c r="L328" t="s">
        <v>8</v>
      </c>
      <c r="M328" t="s">
        <v>7</v>
      </c>
      <c r="N328" t="s">
        <v>8</v>
      </c>
      <c r="P328">
        <f t="shared" si="969"/>
        <v>-0.75024485798236795</v>
      </c>
      <c r="Q328">
        <f t="shared" si="970"/>
        <v>-660645.30530851905</v>
      </c>
      <c r="R328">
        <f t="shared" si="971"/>
        <v>23019919.967410743</v>
      </c>
      <c r="S328">
        <f t="shared" si="972"/>
        <v>230.19919967410743</v>
      </c>
      <c r="T328">
        <f t="shared" si="973"/>
        <v>0.23019919967410743</v>
      </c>
    </row>
    <row r="329" spans="1:20" x14ac:dyDescent="0.25">
      <c r="A329" s="5">
        <v>44264</v>
      </c>
      <c r="B329">
        <v>21.89</v>
      </c>
      <c r="C329">
        <v>22.751999999999999</v>
      </c>
      <c r="D329">
        <v>21.388000000000002</v>
      </c>
      <c r="E329">
        <v>22.658999999999999</v>
      </c>
      <c r="F329">
        <v>647455.56599999999</v>
      </c>
      <c r="G329">
        <v>0</v>
      </c>
      <c r="L329" t="s">
        <v>8</v>
      </c>
      <c r="M329" t="s">
        <v>7</v>
      </c>
      <c r="N329" t="s">
        <v>8</v>
      </c>
      <c r="P329">
        <f t="shared" si="969"/>
        <v>0.86363636363636342</v>
      </c>
      <c r="Q329">
        <f t="shared" si="970"/>
        <v>559166.17063636344</v>
      </c>
      <c r="R329">
        <f t="shared" si="971"/>
        <v>23680565.272719264</v>
      </c>
      <c r="S329">
        <f t="shared" si="972"/>
        <v>236.80565272719264</v>
      </c>
      <c r="T329">
        <f t="shared" si="973"/>
        <v>0.23680565272719264</v>
      </c>
    </row>
    <row r="330" spans="1:20" x14ac:dyDescent="0.25">
      <c r="A330" s="5">
        <v>44263</v>
      </c>
      <c r="B330">
        <v>21.722000000000001</v>
      </c>
      <c r="C330">
        <v>21.925000000000001</v>
      </c>
      <c r="D330">
        <v>20.719000000000001</v>
      </c>
      <c r="E330">
        <v>21.873000000000001</v>
      </c>
      <c r="F330">
        <v>473308</v>
      </c>
      <c r="G330">
        <v>0</v>
      </c>
      <c r="L330" t="s">
        <v>8</v>
      </c>
      <c r="M330" t="s">
        <v>7</v>
      </c>
      <c r="N330" t="s">
        <v>8</v>
      </c>
      <c r="P330">
        <f t="shared" si="969"/>
        <v>0.91376451077943677</v>
      </c>
      <c r="Q330">
        <f t="shared" si="970"/>
        <v>432492.05306799366</v>
      </c>
      <c r="R330">
        <f t="shared" si="971"/>
        <v>23121399.102082901</v>
      </c>
      <c r="S330">
        <f t="shared" si="972"/>
        <v>231.21399102082901</v>
      </c>
      <c r="T330">
        <f t="shared" si="973"/>
        <v>0.23121399102082901</v>
      </c>
    </row>
    <row r="331" spans="1:20" x14ac:dyDescent="0.25">
      <c r="A331" s="5">
        <v>44262</v>
      </c>
      <c r="B331">
        <v>21.271999999999998</v>
      </c>
      <c r="C331">
        <v>21.782</v>
      </c>
      <c r="D331">
        <v>20.513000000000002</v>
      </c>
      <c r="E331">
        <v>21.73</v>
      </c>
      <c r="F331">
        <v>508532.93599999999</v>
      </c>
      <c r="G331">
        <v>0</v>
      </c>
      <c r="L331" t="s">
        <v>8</v>
      </c>
      <c r="M331" t="s">
        <v>7</v>
      </c>
      <c r="N331" t="s">
        <v>8</v>
      </c>
      <c r="P331">
        <f t="shared" si="969"/>
        <v>0.91804570527974838</v>
      </c>
      <c r="Q331">
        <f t="shared" si="970"/>
        <v>466856.47788810113</v>
      </c>
      <c r="R331">
        <f t="shared" si="971"/>
        <v>22688907.049014907</v>
      </c>
      <c r="S331">
        <f t="shared" si="972"/>
        <v>226.88907049014907</v>
      </c>
      <c r="T331">
        <f t="shared" si="973"/>
        <v>0.22688907049014906</v>
      </c>
    </row>
    <row r="332" spans="1:20" x14ac:dyDescent="0.25">
      <c r="A332" s="5">
        <v>44261</v>
      </c>
      <c r="B332">
        <v>20.738</v>
      </c>
      <c r="C332">
        <v>21.434000000000001</v>
      </c>
      <c r="D332">
        <v>20.111000000000001</v>
      </c>
      <c r="E332">
        <v>21.244</v>
      </c>
      <c r="F332">
        <v>440190.42700000003</v>
      </c>
      <c r="G332">
        <v>0</v>
      </c>
      <c r="L332" t="s">
        <v>7</v>
      </c>
      <c r="M332" t="s">
        <v>7</v>
      </c>
      <c r="N332" t="s">
        <v>8</v>
      </c>
      <c r="P332">
        <f t="shared" si="969"/>
        <v>0.71277399848828238</v>
      </c>
      <c r="Q332">
        <f t="shared" si="970"/>
        <v>313756.2907490544</v>
      </c>
      <c r="R332">
        <f t="shared" si="971"/>
        <v>22222050.571126807</v>
      </c>
      <c r="S332">
        <f t="shared" si="972"/>
        <v>222.22050571126806</v>
      </c>
      <c r="T332">
        <f t="shared" si="973"/>
        <v>0.22222050571126806</v>
      </c>
    </row>
    <row r="333" spans="1:20" x14ac:dyDescent="0.25">
      <c r="A333" s="5">
        <v>44260</v>
      </c>
      <c r="B333">
        <v>21.466999999999999</v>
      </c>
      <c r="C333">
        <v>21.472999999999999</v>
      </c>
      <c r="D333">
        <v>20.036000000000001</v>
      </c>
      <c r="E333">
        <v>20.745000000000001</v>
      </c>
      <c r="F333">
        <v>692329.62199999997</v>
      </c>
      <c r="G333">
        <v>0</v>
      </c>
      <c r="L333" t="s">
        <v>7</v>
      </c>
      <c r="M333" t="s">
        <v>7</v>
      </c>
      <c r="N333" t="s">
        <v>8</v>
      </c>
      <c r="P333">
        <f t="shared" si="969"/>
        <v>-1.3221990257479738E-2</v>
      </c>
      <c r="Q333">
        <f t="shared" si="970"/>
        <v>-9153.9755170486296</v>
      </c>
      <c r="R333">
        <f t="shared" si="971"/>
        <v>21908294.280377753</v>
      </c>
      <c r="S333">
        <f t="shared" si="972"/>
        <v>219.08294280377754</v>
      </c>
      <c r="T333">
        <f t="shared" si="973"/>
        <v>0.21908294280377755</v>
      </c>
    </row>
    <row r="334" spans="1:20" x14ac:dyDescent="0.25">
      <c r="A334" s="5">
        <v>44259</v>
      </c>
      <c r="B334">
        <v>22.556000000000001</v>
      </c>
      <c r="C334">
        <v>24.39</v>
      </c>
      <c r="D334">
        <v>21.123000000000001</v>
      </c>
      <c r="E334">
        <v>21.472999999999999</v>
      </c>
      <c r="F334">
        <v>1278868.0279999999</v>
      </c>
      <c r="G334">
        <v>0</v>
      </c>
      <c r="L334" t="s">
        <v>8</v>
      </c>
      <c r="M334" t="s">
        <v>8</v>
      </c>
      <c r="N334" t="s">
        <v>8</v>
      </c>
      <c r="P334">
        <f t="shared" si="969"/>
        <v>-0.78573614937251424</v>
      </c>
      <c r="Q334">
        <f t="shared" si="970"/>
        <v>-1004852.8398763407</v>
      </c>
      <c r="R334">
        <f t="shared" si="971"/>
        <v>21917448.255894803</v>
      </c>
      <c r="S334">
        <f t="shared" si="972"/>
        <v>219.17448255894803</v>
      </c>
      <c r="T334">
        <f t="shared" si="973"/>
        <v>0.21917448255894803</v>
      </c>
    </row>
    <row r="335" spans="1:20" x14ac:dyDescent="0.25">
      <c r="A335" s="5">
        <v>44258</v>
      </c>
      <c r="B335">
        <v>22.459</v>
      </c>
      <c r="C335">
        <v>24.068000000000001</v>
      </c>
      <c r="D335">
        <v>22.094999999999999</v>
      </c>
      <c r="E335">
        <v>22.538</v>
      </c>
      <c r="F335">
        <v>890515.34900000005</v>
      </c>
      <c r="G335">
        <v>0</v>
      </c>
      <c r="L335" t="s">
        <v>8</v>
      </c>
      <c r="M335" t="s">
        <v>8</v>
      </c>
      <c r="N335" t="s">
        <v>8</v>
      </c>
      <c r="P335">
        <f t="shared" si="969"/>
        <v>-0.55093765838824038</v>
      </c>
      <c r="Q335">
        <f t="shared" si="970"/>
        <v>-490618.44113684667</v>
      </c>
      <c r="R335">
        <f t="shared" si="971"/>
        <v>22922301.095771141</v>
      </c>
      <c r="S335">
        <f t="shared" si="972"/>
        <v>229.22301095771141</v>
      </c>
      <c r="T335">
        <f t="shared" si="973"/>
        <v>0.22922301095771141</v>
      </c>
    </row>
    <row r="336" spans="1:20" x14ac:dyDescent="0.25">
      <c r="A336" s="5">
        <v>44257</v>
      </c>
      <c r="B336">
        <v>20.686</v>
      </c>
      <c r="C336">
        <v>23.36</v>
      </c>
      <c r="D336">
        <v>20.664999999999999</v>
      </c>
      <c r="E336">
        <v>22.45</v>
      </c>
      <c r="F336">
        <v>1682656.916</v>
      </c>
      <c r="G336">
        <v>0</v>
      </c>
      <c r="L336" t="s">
        <v>8</v>
      </c>
      <c r="M336" t="s">
        <v>8</v>
      </c>
      <c r="N336" t="s">
        <v>8</v>
      </c>
      <c r="P336">
        <f t="shared" si="969"/>
        <v>0.32467532467532462</v>
      </c>
      <c r="Q336">
        <f t="shared" si="970"/>
        <v>546317.18051948037</v>
      </c>
      <c r="R336">
        <f t="shared" si="971"/>
        <v>23412919.53690799</v>
      </c>
      <c r="S336">
        <f t="shared" si="972"/>
        <v>234.12919536907989</v>
      </c>
      <c r="T336">
        <f t="shared" si="973"/>
        <v>0.23412919536907989</v>
      </c>
    </row>
    <row r="337" spans="1:20" x14ac:dyDescent="0.25">
      <c r="A337" s="5">
        <v>44256</v>
      </c>
      <c r="B337">
        <v>18.719000000000001</v>
      </c>
      <c r="C337">
        <v>21.146999999999998</v>
      </c>
      <c r="D337">
        <v>18.718</v>
      </c>
      <c r="E337">
        <v>20.670999999999999</v>
      </c>
      <c r="F337">
        <v>1200912.6969999999</v>
      </c>
      <c r="G337">
        <v>0</v>
      </c>
      <c r="L337" t="s">
        <v>8</v>
      </c>
      <c r="M337" t="s">
        <v>8</v>
      </c>
      <c r="N337" t="s">
        <v>8</v>
      </c>
      <c r="P337">
        <f t="shared" si="969"/>
        <v>0.60806916426513014</v>
      </c>
      <c r="Q337">
        <f t="shared" si="970"/>
        <v>730237.98002017336</v>
      </c>
      <c r="R337">
        <f t="shared" si="971"/>
        <v>22866602.356388509</v>
      </c>
      <c r="S337">
        <f t="shared" si="972"/>
        <v>228.66602356388509</v>
      </c>
      <c r="T337">
        <f t="shared" si="973"/>
        <v>0.2286660235638851</v>
      </c>
    </row>
    <row r="338" spans="1:20" x14ac:dyDescent="0.25">
      <c r="A338" s="5">
        <v>44255</v>
      </c>
      <c r="B338">
        <v>18.789000000000001</v>
      </c>
      <c r="C338">
        <v>19.311</v>
      </c>
      <c r="D338">
        <v>16.29</v>
      </c>
      <c r="E338">
        <v>18.727</v>
      </c>
      <c r="F338">
        <v>1222929.3089999999</v>
      </c>
      <c r="G338">
        <v>0</v>
      </c>
      <c r="L338" t="s">
        <v>7</v>
      </c>
      <c r="M338" t="s">
        <v>7</v>
      </c>
      <c r="N338" t="s">
        <v>8</v>
      </c>
      <c r="P338">
        <f t="shared" si="969"/>
        <v>0.61337305527970909</v>
      </c>
      <c r="Q338">
        <f t="shared" si="970"/>
        <v>750111.88665243343</v>
      </c>
      <c r="R338">
        <f t="shared" si="971"/>
        <v>22136364.376368336</v>
      </c>
      <c r="S338">
        <f t="shared" si="972"/>
        <v>221.36364376368337</v>
      </c>
      <c r="T338">
        <f t="shared" si="973"/>
        <v>0.22136364376368337</v>
      </c>
    </row>
    <row r="339" spans="1:20" x14ac:dyDescent="0.25">
      <c r="A339" s="5">
        <v>44254</v>
      </c>
      <c r="B339">
        <v>18.018000000000001</v>
      </c>
      <c r="C339">
        <v>20.41</v>
      </c>
      <c r="D339">
        <v>17.943000000000001</v>
      </c>
      <c r="E339">
        <v>18.783999999999999</v>
      </c>
      <c r="F339">
        <v>1064422.9509999999</v>
      </c>
      <c r="G339">
        <v>0</v>
      </c>
      <c r="L339" t="s">
        <v>8</v>
      </c>
      <c r="M339" t="s">
        <v>8</v>
      </c>
      <c r="N339" t="s">
        <v>8</v>
      </c>
      <c r="P339">
        <f t="shared" si="969"/>
        <v>-0.31820024321037865</v>
      </c>
      <c r="Q339">
        <f t="shared" si="970"/>
        <v>-338699.64188690891</v>
      </c>
      <c r="R339">
        <f t="shared" si="971"/>
        <v>21386252.489715904</v>
      </c>
      <c r="S339">
        <f t="shared" si="972"/>
        <v>213.86252489715903</v>
      </c>
      <c r="T339">
        <f t="shared" si="973"/>
        <v>0.21386252489715904</v>
      </c>
    </row>
    <row r="340" spans="1:20" x14ac:dyDescent="0.25">
      <c r="A340" s="5">
        <v>44253</v>
      </c>
      <c r="B340">
        <v>18.308</v>
      </c>
      <c r="C340">
        <v>19.861999999999998</v>
      </c>
      <c r="D340">
        <v>16.88</v>
      </c>
      <c r="E340">
        <v>17.997</v>
      </c>
      <c r="F340">
        <v>1545998.7039999999</v>
      </c>
      <c r="G340">
        <v>0</v>
      </c>
      <c r="L340" t="s">
        <v>7</v>
      </c>
      <c r="M340" t="s">
        <v>7</v>
      </c>
      <c r="N340" t="s">
        <v>8</v>
      </c>
      <c r="P340">
        <f t="shared" si="969"/>
        <v>-0.25083836351441907</v>
      </c>
      <c r="Q340">
        <f t="shared" si="970"/>
        <v>-387795.78490677272</v>
      </c>
      <c r="R340">
        <f t="shared" si="971"/>
        <v>21724952.131602813</v>
      </c>
      <c r="S340">
        <f t="shared" si="972"/>
        <v>217.24952131602814</v>
      </c>
      <c r="T340">
        <f t="shared" si="973"/>
        <v>0.21724952131602815</v>
      </c>
    </row>
    <row r="341" spans="1:20" x14ac:dyDescent="0.25">
      <c r="A341" s="5">
        <v>44252</v>
      </c>
      <c r="B341">
        <v>19.152999999999999</v>
      </c>
      <c r="C341">
        <v>21.978999999999999</v>
      </c>
      <c r="D341">
        <v>18.134</v>
      </c>
      <c r="E341">
        <v>18.309000000000001</v>
      </c>
      <c r="F341">
        <v>1607047.3</v>
      </c>
      <c r="G341">
        <v>0</v>
      </c>
      <c r="L341" t="s">
        <v>8</v>
      </c>
      <c r="M341" t="s">
        <v>8</v>
      </c>
      <c r="N341" t="s">
        <v>8</v>
      </c>
      <c r="P341">
        <f t="shared" si="969"/>
        <v>-0.90897269180754192</v>
      </c>
      <c r="Q341">
        <f t="shared" si="970"/>
        <v>-1460762.1101430424</v>
      </c>
      <c r="R341">
        <f t="shared" si="971"/>
        <v>22112747.916509584</v>
      </c>
      <c r="S341">
        <f t="shared" si="972"/>
        <v>221.12747916509585</v>
      </c>
      <c r="T341">
        <f t="shared" si="973"/>
        <v>0.22112747916509584</v>
      </c>
    </row>
    <row r="342" spans="1:20" x14ac:dyDescent="0.25">
      <c r="A342" s="5">
        <v>44251</v>
      </c>
      <c r="B342">
        <v>18.181999999999999</v>
      </c>
      <c r="C342">
        <v>20.928999999999998</v>
      </c>
      <c r="D342">
        <v>17.266999999999999</v>
      </c>
      <c r="E342">
        <v>19.16</v>
      </c>
      <c r="F342">
        <v>1563507.39</v>
      </c>
      <c r="G342">
        <v>0</v>
      </c>
      <c r="L342" t="s">
        <v>8</v>
      </c>
      <c r="M342" t="s">
        <v>8</v>
      </c>
      <c r="N342" t="s">
        <v>8</v>
      </c>
      <c r="P342">
        <f t="shared" si="969"/>
        <v>3.3861277990169955E-2</v>
      </c>
      <c r="Q342">
        <f t="shared" si="970"/>
        <v>52942.358372475072</v>
      </c>
      <c r="R342">
        <f t="shared" si="971"/>
        <v>23573510.026652627</v>
      </c>
      <c r="S342">
        <f t="shared" si="972"/>
        <v>235.73510026652627</v>
      </c>
      <c r="T342">
        <f t="shared" si="973"/>
        <v>0.23573510026652628</v>
      </c>
    </row>
    <row r="343" spans="1:20" x14ac:dyDescent="0.25">
      <c r="A343" s="5">
        <v>44250</v>
      </c>
      <c r="B343">
        <v>21.007999999999999</v>
      </c>
      <c r="C343">
        <v>21.17</v>
      </c>
      <c r="D343">
        <v>13.9</v>
      </c>
      <c r="E343">
        <v>18.158000000000001</v>
      </c>
      <c r="F343">
        <v>3687284.8909999998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0.17138927097661627</v>
      </c>
      <c r="Q343">
        <f t="shared" si="970"/>
        <v>631961.06935158197</v>
      </c>
      <c r="R343">
        <f t="shared" si="971"/>
        <v>23520567.668280151</v>
      </c>
      <c r="S343">
        <f t="shared" si="972"/>
        <v>235.20567668280151</v>
      </c>
      <c r="T343">
        <f t="shared" si="973"/>
        <v>0.23520567668280151</v>
      </c>
    </row>
    <row r="344" spans="1:20" x14ac:dyDescent="0.25">
      <c r="A344" s="5">
        <v>44249</v>
      </c>
      <c r="B344">
        <v>22.835000000000001</v>
      </c>
      <c r="C344">
        <v>22.928000000000001</v>
      </c>
      <c r="D344">
        <v>17.3</v>
      </c>
      <c r="E344">
        <v>20.992000000000001</v>
      </c>
      <c r="F344">
        <v>2036290.4269999999</v>
      </c>
      <c r="G344">
        <v>0</v>
      </c>
      <c r="L344" t="s">
        <v>7</v>
      </c>
      <c r="M344" t="s">
        <v>7</v>
      </c>
      <c r="N344" t="s">
        <v>7</v>
      </c>
      <c r="P344">
        <f t="shared" si="969"/>
        <v>0.3120113717128643</v>
      </c>
      <c r="Q344">
        <f t="shared" si="970"/>
        <v>635345.76933404419</v>
      </c>
      <c r="R344">
        <f t="shared" si="971"/>
        <v>22888606.598928567</v>
      </c>
      <c r="S344">
        <f t="shared" si="972"/>
        <v>228.88606598928567</v>
      </c>
      <c r="T344">
        <f t="shared" si="973"/>
        <v>0.22888606598928568</v>
      </c>
    </row>
    <row r="345" spans="1:20" x14ac:dyDescent="0.25">
      <c r="A345" s="5">
        <v>44248</v>
      </c>
      <c r="B345">
        <v>23.154</v>
      </c>
      <c r="C345">
        <v>23.696999999999999</v>
      </c>
      <c r="D345">
        <v>22.181000000000001</v>
      </c>
      <c r="E345">
        <v>22.827999999999999</v>
      </c>
      <c r="F345">
        <v>1018199.018</v>
      </c>
      <c r="G345">
        <v>0</v>
      </c>
      <c r="L345" t="s">
        <v>7</v>
      </c>
      <c r="M345" t="s">
        <v>8</v>
      </c>
      <c r="N345" t="s">
        <v>7</v>
      </c>
      <c r="P345">
        <f t="shared" si="969"/>
        <v>-0.14643799472295618</v>
      </c>
      <c r="Q345">
        <f t="shared" si="970"/>
        <v>-149103.02242480317</v>
      </c>
      <c r="R345">
        <f t="shared" si="971"/>
        <v>22253260.829594523</v>
      </c>
      <c r="S345">
        <f t="shared" si="972"/>
        <v>222.53260829594524</v>
      </c>
      <c r="T345">
        <f t="shared" si="973"/>
        <v>0.22253260829594523</v>
      </c>
    </row>
    <row r="346" spans="1:20" x14ac:dyDescent="0.25">
      <c r="A346" s="5">
        <v>44247</v>
      </c>
      <c r="B346">
        <v>22.298999999999999</v>
      </c>
      <c r="C346">
        <v>25.529</v>
      </c>
      <c r="D346">
        <v>21.353000000000002</v>
      </c>
      <c r="E346">
        <v>23.193999999999999</v>
      </c>
      <c r="F346">
        <v>2328411.5430000001</v>
      </c>
      <c r="G346">
        <v>0</v>
      </c>
      <c r="L346" t="s">
        <v>8</v>
      </c>
      <c r="M346" t="s">
        <v>8</v>
      </c>
      <c r="N346" t="s">
        <v>7</v>
      </c>
      <c r="P346">
        <f t="shared" si="969"/>
        <v>-0.11829501915708897</v>
      </c>
      <c r="Q346">
        <f t="shared" si="970"/>
        <v>-275439.48808477208</v>
      </c>
      <c r="R346">
        <f t="shared" si="971"/>
        <v>22402363.852019325</v>
      </c>
      <c r="S346">
        <f t="shared" si="972"/>
        <v>224.02363852019326</v>
      </c>
      <c r="T346">
        <f t="shared" si="973"/>
        <v>0.22402363852019325</v>
      </c>
    </row>
    <row r="347" spans="1:20" x14ac:dyDescent="0.25">
      <c r="A347" s="5">
        <v>44246</v>
      </c>
      <c r="B347">
        <v>23.184000000000001</v>
      </c>
      <c r="C347">
        <v>23.6</v>
      </c>
      <c r="D347">
        <v>21.417999999999999</v>
      </c>
      <c r="E347">
        <v>22.292000000000002</v>
      </c>
      <c r="F347">
        <v>1492736.79</v>
      </c>
      <c r="G347">
        <v>0</v>
      </c>
      <c r="L347" t="s">
        <v>7</v>
      </c>
      <c r="M347" t="s">
        <v>7</v>
      </c>
      <c r="N347" t="s">
        <v>7</v>
      </c>
      <c r="P347">
        <f t="shared" si="969"/>
        <v>-0.19890009165902708</v>
      </c>
      <c r="Q347">
        <f t="shared" si="970"/>
        <v>-296905.48435380188</v>
      </c>
      <c r="R347">
        <f t="shared" si="971"/>
        <v>22677803.340104096</v>
      </c>
      <c r="S347">
        <f t="shared" si="972"/>
        <v>226.77803340104094</v>
      </c>
      <c r="T347">
        <f t="shared" si="973"/>
        <v>0.22677803340104094</v>
      </c>
    </row>
    <row r="348" spans="1:20" x14ac:dyDescent="0.25">
      <c r="A348" s="5">
        <v>44245</v>
      </c>
      <c r="B348">
        <v>24.292999999999999</v>
      </c>
      <c r="C348">
        <v>24.637</v>
      </c>
      <c r="D348">
        <v>22.768999999999998</v>
      </c>
      <c r="E348">
        <v>23.155000000000001</v>
      </c>
      <c r="F348">
        <v>1145262.551</v>
      </c>
      <c r="G348">
        <v>0</v>
      </c>
      <c r="L348" t="s">
        <v>8</v>
      </c>
      <c r="M348" t="s">
        <v>7</v>
      </c>
      <c r="N348" t="s">
        <v>7</v>
      </c>
      <c r="P348">
        <f t="shared" si="969"/>
        <v>-0.58672376873661414</v>
      </c>
      <c r="Q348">
        <f t="shared" si="970"/>
        <v>-671952.76011562871</v>
      </c>
      <c r="R348">
        <f t="shared" si="971"/>
        <v>22974708.824457899</v>
      </c>
      <c r="S348">
        <f t="shared" si="972"/>
        <v>229.74708824457898</v>
      </c>
      <c r="T348">
        <f t="shared" si="973"/>
        <v>0.22974708824457898</v>
      </c>
    </row>
    <row r="349" spans="1:20" x14ac:dyDescent="0.25">
      <c r="A349" s="5">
        <v>44244</v>
      </c>
      <c r="B349">
        <v>24.074000000000002</v>
      </c>
      <c r="C349">
        <v>24.524999999999999</v>
      </c>
      <c r="D349">
        <v>22.221</v>
      </c>
      <c r="E349">
        <v>24.254999999999999</v>
      </c>
      <c r="F349">
        <v>1491465.4620000001</v>
      </c>
      <c r="G349">
        <v>0</v>
      </c>
      <c r="L349" t="s">
        <v>7</v>
      </c>
      <c r="M349" t="s">
        <v>7</v>
      </c>
      <c r="N349" t="s">
        <v>7</v>
      </c>
      <c r="P349">
        <f t="shared" si="969"/>
        <v>0.76562500000000022</v>
      </c>
      <c r="Q349">
        <f t="shared" si="970"/>
        <v>1141903.2443437504</v>
      </c>
      <c r="R349">
        <f t="shared" si="971"/>
        <v>23646661.584573526</v>
      </c>
      <c r="S349">
        <f t="shared" si="972"/>
        <v>236.46661584573525</v>
      </c>
      <c r="T349">
        <f t="shared" si="973"/>
        <v>0.23646661584573525</v>
      </c>
    </row>
    <row r="350" spans="1:20" x14ac:dyDescent="0.25">
      <c r="A350" s="5">
        <v>44243</v>
      </c>
      <c r="B350">
        <v>24.61</v>
      </c>
      <c r="C350">
        <v>26.5</v>
      </c>
      <c r="D350">
        <v>23.134</v>
      </c>
      <c r="E350">
        <v>24.071999999999999</v>
      </c>
      <c r="F350">
        <v>1526684.5959999999</v>
      </c>
      <c r="G350">
        <v>0</v>
      </c>
      <c r="L350" t="s">
        <v>8</v>
      </c>
      <c r="M350" t="s">
        <v>8</v>
      </c>
      <c r="N350" t="s">
        <v>7</v>
      </c>
      <c r="P350">
        <f t="shared" si="969"/>
        <v>-0.4426619132501492</v>
      </c>
      <c r="Q350">
        <f t="shared" si="970"/>
        <v>-675805.12419489108</v>
      </c>
      <c r="R350">
        <f t="shared" si="971"/>
        <v>22504758.340229776</v>
      </c>
      <c r="S350">
        <f t="shared" si="972"/>
        <v>225.04758340229776</v>
      </c>
      <c r="T350">
        <f t="shared" si="973"/>
        <v>0.22504758340229777</v>
      </c>
    </row>
    <row r="351" spans="1:20" x14ac:dyDescent="0.25">
      <c r="A351" s="5">
        <v>44242</v>
      </c>
      <c r="B351">
        <v>25.048999999999999</v>
      </c>
      <c r="C351">
        <v>26.91</v>
      </c>
      <c r="D351">
        <v>21</v>
      </c>
      <c r="E351">
        <v>24.597000000000001</v>
      </c>
      <c r="F351">
        <v>1833928.527</v>
      </c>
      <c r="G351">
        <v>0</v>
      </c>
      <c r="L351" t="s">
        <v>7</v>
      </c>
      <c r="M351" t="s">
        <v>7</v>
      </c>
      <c r="N351" t="s">
        <v>7</v>
      </c>
      <c r="P351">
        <f t="shared" si="969"/>
        <v>0.21725888324873138</v>
      </c>
      <c r="Q351">
        <f t="shared" si="970"/>
        <v>398437.26373401092</v>
      </c>
      <c r="R351">
        <f t="shared" si="971"/>
        <v>23180563.464424666</v>
      </c>
      <c r="S351">
        <f t="shared" si="972"/>
        <v>231.80563464424665</v>
      </c>
      <c r="T351">
        <f t="shared" si="973"/>
        <v>0.23180563464424664</v>
      </c>
    </row>
    <row r="352" spans="1:20" x14ac:dyDescent="0.25">
      <c r="A352" s="5">
        <v>44241</v>
      </c>
      <c r="B352">
        <v>26.399000000000001</v>
      </c>
      <c r="C352">
        <v>28.981000000000002</v>
      </c>
      <c r="D352">
        <v>24.300999999999998</v>
      </c>
      <c r="E352">
        <v>25.02</v>
      </c>
      <c r="F352">
        <v>1695365.236</v>
      </c>
      <c r="G352">
        <v>0</v>
      </c>
      <c r="L352" t="s">
        <v>8</v>
      </c>
      <c r="M352" t="s">
        <v>8</v>
      </c>
      <c r="N352" t="s">
        <v>8</v>
      </c>
      <c r="P352">
        <f t="shared" si="969"/>
        <v>-0.69273504273504249</v>
      </c>
      <c r="Q352">
        <f t="shared" si="970"/>
        <v>-1174438.9092119655</v>
      </c>
      <c r="R352">
        <f t="shared" si="971"/>
        <v>22782126.200690657</v>
      </c>
      <c r="S352">
        <f t="shared" si="972"/>
        <v>227.82126200690658</v>
      </c>
      <c r="T352">
        <f t="shared" si="973"/>
        <v>0.22782126200690658</v>
      </c>
    </row>
    <row r="353" spans="1:20" x14ac:dyDescent="0.25">
      <c r="A353" s="5">
        <v>44240</v>
      </c>
      <c r="B353">
        <v>27.141999999999999</v>
      </c>
      <c r="C353">
        <v>28.1</v>
      </c>
      <c r="D353">
        <v>24.620999999999999</v>
      </c>
      <c r="E353">
        <v>26.353000000000002</v>
      </c>
      <c r="F353">
        <v>1522103.949</v>
      </c>
      <c r="G353">
        <v>0</v>
      </c>
      <c r="L353" t="s">
        <v>7</v>
      </c>
      <c r="M353" t="s">
        <v>8</v>
      </c>
      <c r="N353" t="s">
        <v>8</v>
      </c>
      <c r="P353">
        <f t="shared" si="969"/>
        <v>-4.3115837884440946E-3</v>
      </c>
      <c r="Q353">
        <f t="shared" si="970"/>
        <v>-6562.6787108351373</v>
      </c>
      <c r="R353">
        <f t="shared" si="971"/>
        <v>23956565.109902624</v>
      </c>
      <c r="S353">
        <f t="shared" si="972"/>
        <v>239.56565109902624</v>
      </c>
      <c r="T353">
        <f t="shared" si="973"/>
        <v>0.23956565109902625</v>
      </c>
    </row>
    <row r="354" spans="1:20" x14ac:dyDescent="0.25">
      <c r="A354" s="5">
        <v>44239</v>
      </c>
      <c r="B354">
        <v>26.129000000000001</v>
      </c>
      <c r="C354">
        <v>28.245000000000001</v>
      </c>
      <c r="D354">
        <v>25.25</v>
      </c>
      <c r="E354">
        <v>27.132000000000001</v>
      </c>
      <c r="F354">
        <v>1673797.9369999999</v>
      </c>
      <c r="G354">
        <v>0</v>
      </c>
      <c r="L354" t="s">
        <v>8</v>
      </c>
      <c r="M354" t="s">
        <v>8</v>
      </c>
      <c r="N354" t="s">
        <v>8</v>
      </c>
      <c r="P354">
        <f t="shared" si="969"/>
        <v>0.25676126878130273</v>
      </c>
      <c r="Q354">
        <f t="shared" si="970"/>
        <v>429766.48198764701</v>
      </c>
      <c r="R354">
        <f t="shared" si="971"/>
        <v>23963127.788613461</v>
      </c>
      <c r="S354">
        <f t="shared" si="972"/>
        <v>239.6312778861346</v>
      </c>
      <c r="T354">
        <f t="shared" si="973"/>
        <v>0.23963127788613459</v>
      </c>
    </row>
    <row r="355" spans="1:20" x14ac:dyDescent="0.25">
      <c r="A355" s="5">
        <v>44238</v>
      </c>
      <c r="B355">
        <v>25.084</v>
      </c>
      <c r="C355">
        <v>26.824999999999999</v>
      </c>
      <c r="D355">
        <v>24.35</v>
      </c>
      <c r="E355">
        <v>26.085999999999999</v>
      </c>
      <c r="F355">
        <v>1807251.3629999999</v>
      </c>
      <c r="G355">
        <v>0</v>
      </c>
      <c r="L355" t="s">
        <v>8</v>
      </c>
      <c r="M355" t="s">
        <v>8</v>
      </c>
      <c r="N355" t="s">
        <v>8</v>
      </c>
      <c r="P355">
        <f t="shared" si="969"/>
        <v>0.4028282828282817</v>
      </c>
      <c r="Q355">
        <f t="shared" si="970"/>
        <v>728011.96319636155</v>
      </c>
      <c r="R355">
        <f t="shared" si="971"/>
        <v>23533361.306625813</v>
      </c>
      <c r="S355">
        <f t="shared" si="972"/>
        <v>235.33361306625812</v>
      </c>
      <c r="T355">
        <f t="shared" si="973"/>
        <v>0.23533361306625813</v>
      </c>
    </row>
    <row r="356" spans="1:20" x14ac:dyDescent="0.25">
      <c r="A356" s="5">
        <v>44237</v>
      </c>
      <c r="B356">
        <v>24.617999999999999</v>
      </c>
      <c r="C356">
        <v>27.7</v>
      </c>
      <c r="D356">
        <v>23.032</v>
      </c>
      <c r="E356">
        <v>25.077999999999999</v>
      </c>
      <c r="F356">
        <v>3048192.9330000002</v>
      </c>
      <c r="G356">
        <v>0</v>
      </c>
      <c r="L356" t="s">
        <v>7</v>
      </c>
      <c r="M356" t="s">
        <v>8</v>
      </c>
      <c r="N356" t="s">
        <v>8</v>
      </c>
      <c r="P356">
        <f t="shared" si="969"/>
        <v>-0.12339331619537287</v>
      </c>
      <c r="Q356">
        <f t="shared" si="970"/>
        <v>-376126.63440617005</v>
      </c>
      <c r="R356">
        <f t="shared" si="971"/>
        <v>22805349.34342945</v>
      </c>
      <c r="S356">
        <f t="shared" si="972"/>
        <v>228.0534934342945</v>
      </c>
      <c r="T356">
        <f t="shared" si="973"/>
        <v>0.22805349343429449</v>
      </c>
    </row>
    <row r="357" spans="1:20" x14ac:dyDescent="0.25">
      <c r="A357" s="5">
        <v>44236</v>
      </c>
      <c r="B357">
        <v>21.32</v>
      </c>
      <c r="C357">
        <v>27.4</v>
      </c>
      <c r="D357">
        <v>20.8</v>
      </c>
      <c r="E357">
        <v>24.617999999999999</v>
      </c>
      <c r="F357">
        <v>3004137.585</v>
      </c>
      <c r="G357">
        <v>0</v>
      </c>
      <c r="L357" t="s">
        <v>8</v>
      </c>
      <c r="M357" t="s">
        <v>8</v>
      </c>
      <c r="N357" t="s">
        <v>8</v>
      </c>
      <c r="P357">
        <f t="shared" si="969"/>
        <v>0.15696969696969668</v>
      </c>
      <c r="Q357">
        <f t="shared" si="970"/>
        <v>471558.5663727264</v>
      </c>
      <c r="R357">
        <f t="shared" si="971"/>
        <v>23181475.977835622</v>
      </c>
      <c r="S357">
        <f t="shared" si="972"/>
        <v>231.8147597783562</v>
      </c>
      <c r="T357">
        <f t="shared" si="973"/>
        <v>0.23181475977835619</v>
      </c>
    </row>
    <row r="358" spans="1:20" x14ac:dyDescent="0.25">
      <c r="A358" s="5">
        <v>44235</v>
      </c>
      <c r="B358">
        <v>20.09</v>
      </c>
      <c r="C358">
        <v>22.37</v>
      </c>
      <c r="D358">
        <v>19.523</v>
      </c>
      <c r="E358">
        <v>21.331</v>
      </c>
      <c r="F358">
        <v>2053697.1429999999</v>
      </c>
      <c r="G358">
        <v>0</v>
      </c>
      <c r="L358" t="s">
        <v>8</v>
      </c>
      <c r="M358" t="s">
        <v>8</v>
      </c>
      <c r="N358" t="s">
        <v>8</v>
      </c>
      <c r="P358">
        <f t="shared" si="969"/>
        <v>0.27010888654724202</v>
      </c>
      <c r="Q358">
        <f t="shared" si="970"/>
        <v>554721.84860098211</v>
      </c>
      <c r="R358">
        <f t="shared" si="971"/>
        <v>22709917.411462896</v>
      </c>
      <c r="S358">
        <f t="shared" si="972"/>
        <v>227.09917411462897</v>
      </c>
      <c r="T358">
        <f t="shared" si="973"/>
        <v>0.22709917411462896</v>
      </c>
    </row>
    <row r="359" spans="1:20" x14ac:dyDescent="0.25">
      <c r="A359" s="5">
        <v>44234</v>
      </c>
      <c r="B359">
        <v>21.027000000000001</v>
      </c>
      <c r="C359">
        <v>21.491</v>
      </c>
      <c r="D359">
        <v>17.888000000000002</v>
      </c>
      <c r="E359">
        <v>20.050999999999998</v>
      </c>
      <c r="F359">
        <v>1697833.4739999999</v>
      </c>
      <c r="G359">
        <v>0</v>
      </c>
      <c r="L359" t="s">
        <v>7</v>
      </c>
      <c r="M359" t="s">
        <v>7</v>
      </c>
      <c r="N359" t="s">
        <v>8</v>
      </c>
      <c r="P359">
        <f t="shared" si="969"/>
        <v>0.20066611157368744</v>
      </c>
      <c r="Q359">
        <f t="shared" si="970"/>
        <v>340697.64132722531</v>
      </c>
      <c r="R359">
        <f t="shared" si="971"/>
        <v>22155195.562861912</v>
      </c>
      <c r="S359">
        <f t="shared" si="972"/>
        <v>221.55195562861911</v>
      </c>
      <c r="T359">
        <f t="shared" si="973"/>
        <v>0.22155195562861912</v>
      </c>
    </row>
    <row r="360" spans="1:20" x14ac:dyDescent="0.25">
      <c r="A360" s="5">
        <v>44233</v>
      </c>
      <c r="B360">
        <v>23.614999999999998</v>
      </c>
      <c r="C360">
        <v>24.245999999999999</v>
      </c>
      <c r="D360">
        <v>19.637</v>
      </c>
      <c r="E360">
        <v>21.07</v>
      </c>
      <c r="F360">
        <v>2472839</v>
      </c>
      <c r="G360">
        <v>0</v>
      </c>
      <c r="L360" t="s">
        <v>8</v>
      </c>
      <c r="M360" t="s">
        <v>8</v>
      </c>
      <c r="N360" t="s">
        <v>8</v>
      </c>
      <c r="P360">
        <f t="shared" si="969"/>
        <v>-0.37817313950965487</v>
      </c>
      <c r="Q360">
        <f t="shared" si="970"/>
        <v>-935161.28813191538</v>
      </c>
      <c r="R360">
        <f t="shared" si="971"/>
        <v>21814497.921534687</v>
      </c>
      <c r="S360">
        <f t="shared" si="972"/>
        <v>218.14497921534686</v>
      </c>
      <c r="T360">
        <f t="shared" si="973"/>
        <v>0.21814497921534687</v>
      </c>
    </row>
    <row r="361" spans="1:20" x14ac:dyDescent="0.25">
      <c r="A361" s="5">
        <v>44232</v>
      </c>
      <c r="B361">
        <v>19.661000000000001</v>
      </c>
      <c r="C361">
        <v>23.687000000000001</v>
      </c>
      <c r="D361">
        <v>19.518000000000001</v>
      </c>
      <c r="E361">
        <v>23.61</v>
      </c>
      <c r="F361">
        <v>3255593.7379999999</v>
      </c>
      <c r="G361">
        <v>0</v>
      </c>
      <c r="L361" t="s">
        <v>8</v>
      </c>
      <c r="M361" t="s">
        <v>8</v>
      </c>
      <c r="N361" t="s">
        <v>8</v>
      </c>
      <c r="P361">
        <f t="shared" si="969"/>
        <v>0.96306068601583028</v>
      </c>
      <c r="Q361">
        <f t="shared" si="970"/>
        <v>3135334.3387071211</v>
      </c>
      <c r="R361">
        <f t="shared" si="971"/>
        <v>22749659.209666602</v>
      </c>
      <c r="S361">
        <f t="shared" si="972"/>
        <v>227.49659209666603</v>
      </c>
      <c r="T361">
        <f t="shared" si="973"/>
        <v>0.22749659209666603</v>
      </c>
    </row>
    <row r="362" spans="1:20" x14ac:dyDescent="0.25">
      <c r="A362" s="5">
        <v>44231</v>
      </c>
      <c r="B362">
        <v>17.129000000000001</v>
      </c>
      <c r="C362">
        <v>21.169</v>
      </c>
      <c r="D362">
        <v>16.489999999999998</v>
      </c>
      <c r="E362">
        <v>19.643999999999998</v>
      </c>
      <c r="F362">
        <v>4055004.0070000002</v>
      </c>
      <c r="G362">
        <v>0</v>
      </c>
      <c r="L362" t="s">
        <v>8</v>
      </c>
      <c r="M362" t="s">
        <v>8</v>
      </c>
      <c r="N362" t="s">
        <v>8</v>
      </c>
      <c r="P362">
        <f t="shared" si="969"/>
        <v>0.34815131438341462</v>
      </c>
      <c r="Q362">
        <f t="shared" si="970"/>
        <v>1411754.9748670631</v>
      </c>
      <c r="R362">
        <f t="shared" si="971"/>
        <v>19614324.870959479</v>
      </c>
      <c r="S362">
        <f t="shared" si="972"/>
        <v>196.14324870959479</v>
      </c>
      <c r="T362">
        <f t="shared" si="973"/>
        <v>0.19614324870959479</v>
      </c>
    </row>
    <row r="363" spans="1:20" x14ac:dyDescent="0.25">
      <c r="A363" s="5">
        <v>44230</v>
      </c>
      <c r="B363">
        <v>17.056999999999999</v>
      </c>
      <c r="C363">
        <v>18.001999999999999</v>
      </c>
      <c r="D363">
        <v>16.809999999999999</v>
      </c>
      <c r="E363">
        <v>17.129000000000001</v>
      </c>
      <c r="F363">
        <v>1406055.7690000001</v>
      </c>
      <c r="G363">
        <v>0</v>
      </c>
      <c r="L363" t="s">
        <v>8</v>
      </c>
      <c r="M363" t="s">
        <v>8</v>
      </c>
      <c r="N363" t="s">
        <v>8</v>
      </c>
      <c r="P363">
        <f t="shared" si="969"/>
        <v>-0.46476510067113663</v>
      </c>
      <c r="Q363">
        <f t="shared" si="970"/>
        <v>-653485.65102851752</v>
      </c>
      <c r="R363">
        <f t="shared" si="971"/>
        <v>18202569.896092415</v>
      </c>
      <c r="S363">
        <f t="shared" si="972"/>
        <v>182.02569896092416</v>
      </c>
      <c r="T363">
        <f t="shared" si="973"/>
        <v>0.18202569896092416</v>
      </c>
    </row>
    <row r="364" spans="1:20" x14ac:dyDescent="0.25">
      <c r="A364" s="5">
        <v>44229</v>
      </c>
      <c r="B364">
        <v>17.54</v>
      </c>
      <c r="C364">
        <v>17.571000000000002</v>
      </c>
      <c r="D364">
        <v>16.379000000000001</v>
      </c>
      <c r="E364">
        <v>17.032</v>
      </c>
      <c r="F364">
        <v>1520394.17</v>
      </c>
      <c r="G364">
        <v>0</v>
      </c>
      <c r="L364" t="s">
        <v>7</v>
      </c>
      <c r="M364" t="s">
        <v>8</v>
      </c>
      <c r="N364" t="s">
        <v>8</v>
      </c>
      <c r="P364">
        <f t="shared" si="969"/>
        <v>9.5637583892615105E-2</v>
      </c>
      <c r="Q364">
        <f t="shared" si="970"/>
        <v>145406.8249832179</v>
      </c>
      <c r="R364">
        <f t="shared" si="971"/>
        <v>18856055.547120932</v>
      </c>
      <c r="S364">
        <f t="shared" si="972"/>
        <v>188.56055547120931</v>
      </c>
      <c r="T364">
        <f t="shared" si="973"/>
        <v>0.18856055547120931</v>
      </c>
    </row>
    <row r="365" spans="1:20" x14ac:dyDescent="0.25">
      <c r="A365" s="5">
        <v>44228</v>
      </c>
      <c r="B365">
        <v>17.196999999999999</v>
      </c>
      <c r="C365">
        <v>17.902000000000001</v>
      </c>
      <c r="D365">
        <v>16.817</v>
      </c>
      <c r="E365">
        <v>17.54</v>
      </c>
      <c r="F365">
        <v>1307827.2990000001</v>
      </c>
      <c r="G365">
        <v>0</v>
      </c>
      <c r="L365" t="s">
        <v>7</v>
      </c>
      <c r="M365" t="s">
        <v>8</v>
      </c>
      <c r="N365" t="s">
        <v>8</v>
      </c>
      <c r="P365">
        <f t="shared" si="969"/>
        <v>0.33271889400921367</v>
      </c>
      <c r="Q365">
        <f t="shared" si="970"/>
        <v>435138.85247833724</v>
      </c>
      <c r="R365">
        <f t="shared" si="971"/>
        <v>18710648.722137716</v>
      </c>
      <c r="S365">
        <f t="shared" si="972"/>
        <v>187.10648722137717</v>
      </c>
      <c r="T365">
        <f t="shared" si="973"/>
        <v>0.18710648722137715</v>
      </c>
    </row>
    <row r="366" spans="1:20" x14ac:dyDescent="0.25">
      <c r="A366" s="5">
        <v>44227</v>
      </c>
      <c r="B366">
        <v>17.87</v>
      </c>
      <c r="C366">
        <v>19.600000000000001</v>
      </c>
      <c r="D366">
        <v>17.067</v>
      </c>
      <c r="E366">
        <v>17.193999999999999</v>
      </c>
      <c r="F366">
        <v>2041854.706</v>
      </c>
      <c r="G366">
        <v>0</v>
      </c>
      <c r="L366" t="s">
        <v>8</v>
      </c>
      <c r="M366" t="s">
        <v>8</v>
      </c>
      <c r="N366" t="s">
        <v>8</v>
      </c>
      <c r="P366">
        <f t="shared" si="969"/>
        <v>-0.89972364784840198</v>
      </c>
      <c r="Q366">
        <f t="shared" si="970"/>
        <v>-1837104.9644587464</v>
      </c>
      <c r="R366">
        <f t="shared" si="971"/>
        <v>18275509.869659379</v>
      </c>
      <c r="S366">
        <f t="shared" si="972"/>
        <v>182.75509869659379</v>
      </c>
      <c r="T366">
        <f t="shared" si="973"/>
        <v>0.18275509869659379</v>
      </c>
    </row>
    <row r="367" spans="1:20" x14ac:dyDescent="0.25">
      <c r="A367" s="5">
        <v>44226</v>
      </c>
      <c r="B367">
        <v>17.024000000000001</v>
      </c>
      <c r="C367">
        <v>18.66</v>
      </c>
      <c r="D367">
        <v>16.388999999999999</v>
      </c>
      <c r="E367">
        <v>17.859000000000002</v>
      </c>
      <c r="F367">
        <v>1650599.08</v>
      </c>
      <c r="G367">
        <v>0</v>
      </c>
      <c r="L367" t="s">
        <v>8</v>
      </c>
      <c r="M367" t="s">
        <v>8</v>
      </c>
      <c r="N367" t="s">
        <v>8</v>
      </c>
      <c r="P367">
        <f t="shared" si="969"/>
        <v>0.29458388375165295</v>
      </c>
      <c r="Q367">
        <f t="shared" si="970"/>
        <v>486239.88750330533</v>
      </c>
      <c r="R367">
        <f t="shared" si="971"/>
        <v>20112614.834118124</v>
      </c>
      <c r="S367">
        <f t="shared" si="972"/>
        <v>201.12614834118125</v>
      </c>
      <c r="T367">
        <f t="shared" si="973"/>
        <v>0.20112614834118125</v>
      </c>
    </row>
    <row r="368" spans="1:20" x14ac:dyDescent="0.25">
      <c r="A368" s="5">
        <v>44225</v>
      </c>
      <c r="B368">
        <v>16.898</v>
      </c>
      <c r="C368">
        <v>17.492000000000001</v>
      </c>
      <c r="D368">
        <v>16.010000000000002</v>
      </c>
      <c r="E368">
        <v>17.024999999999999</v>
      </c>
      <c r="F368">
        <v>1851639.753</v>
      </c>
      <c r="G368">
        <v>0</v>
      </c>
      <c r="L368" t="s">
        <v>7</v>
      </c>
      <c r="M368" t="s">
        <v>8</v>
      </c>
      <c r="N368" t="s">
        <v>8</v>
      </c>
      <c r="P368">
        <f t="shared" si="969"/>
        <v>0.36977058029689269</v>
      </c>
      <c r="Q368">
        <f t="shared" si="970"/>
        <v>684681.90596760507</v>
      </c>
      <c r="R368">
        <f t="shared" si="971"/>
        <v>19626374.946614821</v>
      </c>
      <c r="S368">
        <f t="shared" si="972"/>
        <v>196.2637494661482</v>
      </c>
      <c r="T368">
        <f t="shared" si="973"/>
        <v>0.19626374946614819</v>
      </c>
    </row>
    <row r="369" spans="1:20" x14ac:dyDescent="0.25">
      <c r="A369" s="5">
        <v>44224</v>
      </c>
      <c r="B369">
        <v>15.266</v>
      </c>
      <c r="C369">
        <v>17.960999999999999</v>
      </c>
      <c r="D369">
        <v>14.849</v>
      </c>
      <c r="E369">
        <v>16.891999999999999</v>
      </c>
      <c r="F369">
        <v>1962708.3459999999</v>
      </c>
      <c r="G369">
        <v>0</v>
      </c>
      <c r="L369" t="s">
        <v>8</v>
      </c>
      <c r="M369" t="s">
        <v>8</v>
      </c>
      <c r="N369" t="s">
        <v>8</v>
      </c>
      <c r="P369">
        <f t="shared" si="969"/>
        <v>0.31298200514138841</v>
      </c>
      <c r="Q369">
        <f t="shared" si="970"/>
        <v>614292.39363881794</v>
      </c>
      <c r="R369">
        <f t="shared" si="971"/>
        <v>18941693.040647216</v>
      </c>
      <c r="S369">
        <f t="shared" si="972"/>
        <v>189.41693040647215</v>
      </c>
      <c r="T369">
        <f t="shared" si="973"/>
        <v>0.18941693040647214</v>
      </c>
    </row>
    <row r="370" spans="1:20" x14ac:dyDescent="0.25">
      <c r="A370" s="5">
        <v>44223</v>
      </c>
      <c r="B370">
        <v>16.86</v>
      </c>
      <c r="C370">
        <v>17.428000000000001</v>
      </c>
      <c r="D370">
        <v>14.717000000000001</v>
      </c>
      <c r="E370">
        <v>15.265000000000001</v>
      </c>
      <c r="F370">
        <v>2302171.8620000002</v>
      </c>
      <c r="G370">
        <v>0</v>
      </c>
      <c r="L370" t="s">
        <v>8</v>
      </c>
      <c r="M370" t="s">
        <v>7</v>
      </c>
      <c r="N370" t="s">
        <v>8</v>
      </c>
      <c r="P370">
        <f t="shared" si="969"/>
        <v>-0.59572113611213573</v>
      </c>
      <c r="Q370">
        <f t="shared" si="970"/>
        <v>-1371452.4371560311</v>
      </c>
      <c r="R370">
        <f t="shared" si="971"/>
        <v>18327400.647008397</v>
      </c>
      <c r="S370">
        <f t="shared" si="972"/>
        <v>183.27400647008398</v>
      </c>
      <c r="T370">
        <f t="shared" si="973"/>
        <v>0.18327400647008399</v>
      </c>
    </row>
    <row r="371" spans="1:20" x14ac:dyDescent="0.25">
      <c r="A371" s="5">
        <v>44222</v>
      </c>
      <c r="B371">
        <v>15.47</v>
      </c>
      <c r="C371">
        <v>17.23</v>
      </c>
      <c r="D371">
        <v>14.766</v>
      </c>
      <c r="E371">
        <v>16.875</v>
      </c>
      <c r="F371">
        <v>1646278.378</v>
      </c>
      <c r="G371">
        <v>0</v>
      </c>
      <c r="L371" t="s">
        <v>7</v>
      </c>
      <c r="M371" t="s">
        <v>7</v>
      </c>
      <c r="N371" t="s">
        <v>8</v>
      </c>
      <c r="P371">
        <f t="shared" si="969"/>
        <v>0.71185064935064901</v>
      </c>
      <c r="Q371">
        <f t="shared" si="970"/>
        <v>1171904.3323912332</v>
      </c>
      <c r="R371">
        <f t="shared" si="971"/>
        <v>19698853.084164429</v>
      </c>
      <c r="S371">
        <f t="shared" si="972"/>
        <v>196.98853084164429</v>
      </c>
      <c r="T371">
        <f t="shared" si="973"/>
        <v>0.1969885308416443</v>
      </c>
    </row>
    <row r="372" spans="1:20" x14ac:dyDescent="0.25">
      <c r="A372" s="5">
        <v>44221</v>
      </c>
      <c r="B372">
        <v>17.484000000000002</v>
      </c>
      <c r="C372">
        <v>18.25</v>
      </c>
      <c r="D372">
        <v>15.393000000000001</v>
      </c>
      <c r="E372">
        <v>15.47</v>
      </c>
      <c r="F372">
        <v>2284257.0580000002</v>
      </c>
      <c r="G372">
        <v>0</v>
      </c>
      <c r="L372" t="s">
        <v>8</v>
      </c>
      <c r="M372" t="s">
        <v>8</v>
      </c>
      <c r="N372" t="s">
        <v>8</v>
      </c>
      <c r="P372">
        <f t="shared" si="969"/>
        <v>-0.94609730486524324</v>
      </c>
      <c r="Q372">
        <f t="shared" si="970"/>
        <v>-2161129.4461932098</v>
      </c>
      <c r="R372">
        <f t="shared" si="971"/>
        <v>18526948.751773197</v>
      </c>
      <c r="S372">
        <f t="shared" si="972"/>
        <v>185.26948751773196</v>
      </c>
      <c r="T372">
        <f t="shared" si="973"/>
        <v>0.18526948751773195</v>
      </c>
    </row>
    <row r="373" spans="1:20" x14ac:dyDescent="0.25">
      <c r="A373" s="5">
        <v>44220</v>
      </c>
      <c r="B373">
        <v>14.608000000000001</v>
      </c>
      <c r="C373">
        <v>17.835000000000001</v>
      </c>
      <c r="D373">
        <v>14.439</v>
      </c>
      <c r="E373">
        <v>17.5</v>
      </c>
      <c r="F373">
        <v>2674480.3420000002</v>
      </c>
      <c r="G373">
        <v>0</v>
      </c>
      <c r="L373" t="s">
        <v>8</v>
      </c>
      <c r="M373" t="s">
        <v>8</v>
      </c>
      <c r="N373" t="s">
        <v>8</v>
      </c>
      <c r="P373">
        <f t="shared" si="969"/>
        <v>0.80270906949352139</v>
      </c>
      <c r="Q373">
        <f t="shared" si="970"/>
        <v>2146829.6267055352</v>
      </c>
      <c r="R373">
        <f t="shared" si="971"/>
        <v>20688078.197966408</v>
      </c>
      <c r="S373">
        <f t="shared" si="972"/>
        <v>206.88078197966408</v>
      </c>
      <c r="T373">
        <f t="shared" si="973"/>
        <v>0.20688078197966409</v>
      </c>
    </row>
    <row r="374" spans="1:20" x14ac:dyDescent="0.25">
      <c r="A374" s="5">
        <v>44219</v>
      </c>
      <c r="B374">
        <v>14.207000000000001</v>
      </c>
      <c r="C374">
        <v>15.496</v>
      </c>
      <c r="D374">
        <v>13.933</v>
      </c>
      <c r="E374">
        <v>14.608000000000001</v>
      </c>
      <c r="F374">
        <v>1133571.905</v>
      </c>
      <c r="G374">
        <v>0</v>
      </c>
      <c r="L374" t="s">
        <v>8</v>
      </c>
      <c r="M374" t="s">
        <v>8</v>
      </c>
      <c r="N374" t="s">
        <v>7</v>
      </c>
      <c r="P374">
        <f t="shared" si="969"/>
        <v>-0.13627639155470192</v>
      </c>
      <c r="Q374">
        <f t="shared" si="970"/>
        <v>-154479.08878118938</v>
      </c>
      <c r="R374">
        <f t="shared" si="971"/>
        <v>18541248.571260873</v>
      </c>
      <c r="S374">
        <f t="shared" si="972"/>
        <v>185.41248571260874</v>
      </c>
      <c r="T374">
        <f t="shared" si="973"/>
        <v>0.18541248571260874</v>
      </c>
    </row>
    <row r="375" spans="1:20" x14ac:dyDescent="0.25">
      <c r="A375" s="5">
        <v>44218</v>
      </c>
      <c r="B375">
        <v>12.317</v>
      </c>
      <c r="C375">
        <v>15.13</v>
      </c>
      <c r="D375">
        <v>11.263</v>
      </c>
      <c r="E375">
        <v>14.228</v>
      </c>
      <c r="F375">
        <v>1860102.5379999999</v>
      </c>
      <c r="G375">
        <v>0</v>
      </c>
      <c r="L375" t="s">
        <v>7</v>
      </c>
      <c r="M375" t="s">
        <v>7</v>
      </c>
      <c r="N375" t="s">
        <v>7</v>
      </c>
      <c r="P375">
        <f t="shared" si="969"/>
        <v>0.53348849237134688</v>
      </c>
      <c r="Q375">
        <f t="shared" si="970"/>
        <v>992343.2986537359</v>
      </c>
      <c r="R375">
        <f t="shared" si="971"/>
        <v>18695727.660042062</v>
      </c>
      <c r="S375">
        <f t="shared" si="972"/>
        <v>186.95727660042061</v>
      </c>
      <c r="T375">
        <f t="shared" si="973"/>
        <v>0.18695727660042061</v>
      </c>
    </row>
    <row r="376" spans="1:20" x14ac:dyDescent="0.25">
      <c r="A376" s="5">
        <v>44217</v>
      </c>
      <c r="B376">
        <v>15.718</v>
      </c>
      <c r="C376">
        <v>15.8</v>
      </c>
      <c r="D376">
        <v>11.611000000000001</v>
      </c>
      <c r="E376">
        <v>12.337</v>
      </c>
      <c r="F376">
        <v>2004281.936</v>
      </c>
      <c r="G376">
        <v>0</v>
      </c>
      <c r="L376" t="s">
        <v>7</v>
      </c>
      <c r="M376" t="s">
        <v>7</v>
      </c>
      <c r="N376" t="s">
        <v>7</v>
      </c>
      <c r="P376">
        <f t="shared" si="969"/>
        <v>-0.65337789448555783</v>
      </c>
      <c r="Q376">
        <f t="shared" si="970"/>
        <v>-1309553.5112991175</v>
      </c>
      <c r="R376">
        <f t="shared" si="971"/>
        <v>17703384.361388326</v>
      </c>
      <c r="S376">
        <f t="shared" si="972"/>
        <v>177.03384361388325</v>
      </c>
      <c r="T376">
        <f t="shared" si="973"/>
        <v>0.17703384361388325</v>
      </c>
    </row>
    <row r="377" spans="1:20" x14ac:dyDescent="0.25">
      <c r="A377" s="5">
        <v>44216</v>
      </c>
      <c r="B377">
        <v>15.15</v>
      </c>
      <c r="C377">
        <v>15.8</v>
      </c>
      <c r="D377">
        <v>13.763999999999999</v>
      </c>
      <c r="E377">
        <v>15.734</v>
      </c>
      <c r="F377">
        <v>1188542.6629999999</v>
      </c>
      <c r="G377">
        <v>0</v>
      </c>
      <c r="L377" t="s">
        <v>7</v>
      </c>
      <c r="M377" t="s">
        <v>7</v>
      </c>
      <c r="N377" t="s">
        <v>8</v>
      </c>
      <c r="P377">
        <f t="shared" si="969"/>
        <v>0.93516699410608972</v>
      </c>
      <c r="Q377">
        <f t="shared" si="970"/>
        <v>1111485.8695245571</v>
      </c>
      <c r="R377">
        <f t="shared" si="971"/>
        <v>19012937.872687444</v>
      </c>
      <c r="S377">
        <f t="shared" si="972"/>
        <v>190.12937872687445</v>
      </c>
      <c r="T377">
        <f t="shared" si="973"/>
        <v>0.19012937872687444</v>
      </c>
    </row>
    <row r="378" spans="1:20" x14ac:dyDescent="0.25">
      <c r="A378" s="5">
        <v>44215</v>
      </c>
      <c r="B378">
        <v>15.582000000000001</v>
      </c>
      <c r="C378">
        <v>16.79</v>
      </c>
      <c r="D378">
        <v>15.15</v>
      </c>
      <c r="E378">
        <v>15.151</v>
      </c>
      <c r="F378">
        <v>1611731.2830000001</v>
      </c>
      <c r="G378">
        <v>0</v>
      </c>
      <c r="L378" t="s">
        <v>8</v>
      </c>
      <c r="M378" t="s">
        <v>7</v>
      </c>
      <c r="N378" t="s">
        <v>8</v>
      </c>
      <c r="P378">
        <f t="shared" si="969"/>
        <v>-0.99878048780487871</v>
      </c>
      <c r="Q378">
        <f t="shared" si="970"/>
        <v>-1609765.757045123</v>
      </c>
      <c r="R378">
        <f t="shared" si="971"/>
        <v>17901452.003162887</v>
      </c>
      <c r="S378">
        <f t="shared" si="972"/>
        <v>179.01452003162888</v>
      </c>
      <c r="T378">
        <f t="shared" si="973"/>
        <v>0.17901452003162888</v>
      </c>
    </row>
    <row r="379" spans="1:20" x14ac:dyDescent="0.25">
      <c r="A379" s="5">
        <v>44214</v>
      </c>
      <c r="B379">
        <v>15.676</v>
      </c>
      <c r="C379">
        <v>15.757999999999999</v>
      </c>
      <c r="D379">
        <v>14.85</v>
      </c>
      <c r="E379">
        <v>15.582000000000001</v>
      </c>
      <c r="F379">
        <v>1052776.6089999999</v>
      </c>
      <c r="G379">
        <v>0</v>
      </c>
      <c r="L379" t="s">
        <v>8</v>
      </c>
      <c r="M379" t="s">
        <v>7</v>
      </c>
      <c r="N379" t="s">
        <v>8</v>
      </c>
      <c r="P379">
        <f t="shared" si="969"/>
        <v>0.61233480176211785</v>
      </c>
      <c r="Q379">
        <f t="shared" si="970"/>
        <v>644651.75617180963</v>
      </c>
      <c r="R379">
        <f t="shared" si="971"/>
        <v>19511217.760208011</v>
      </c>
      <c r="S379">
        <f t="shared" si="972"/>
        <v>195.1121776020801</v>
      </c>
      <c r="T379">
        <f t="shared" si="973"/>
        <v>0.19511217760208011</v>
      </c>
    </row>
    <row r="380" spans="1:20" x14ac:dyDescent="0.25">
      <c r="A380" s="5">
        <v>44213</v>
      </c>
      <c r="B380">
        <v>15.541</v>
      </c>
      <c r="C380">
        <v>16.350000000000001</v>
      </c>
      <c r="D380">
        <v>14.414999999999999</v>
      </c>
      <c r="E380">
        <v>15.68</v>
      </c>
      <c r="F380">
        <v>1580400.8030000001</v>
      </c>
      <c r="G380">
        <v>0</v>
      </c>
      <c r="L380" t="s">
        <v>7</v>
      </c>
      <c r="M380" t="s">
        <v>7</v>
      </c>
      <c r="N380" t="s">
        <v>8</v>
      </c>
      <c r="P380">
        <f t="shared" si="969"/>
        <v>0.30749354005167862</v>
      </c>
      <c r="Q380">
        <f t="shared" si="970"/>
        <v>485963.03761498554</v>
      </c>
      <c r="R380">
        <f t="shared" si="971"/>
        <v>18866566.004036199</v>
      </c>
      <c r="S380">
        <f t="shared" si="972"/>
        <v>188.66566004036198</v>
      </c>
      <c r="T380">
        <f t="shared" si="973"/>
        <v>0.18866566004036198</v>
      </c>
    </row>
    <row r="381" spans="1:20" x14ac:dyDescent="0.25">
      <c r="A381" s="5">
        <v>44212</v>
      </c>
      <c r="B381">
        <v>15.128</v>
      </c>
      <c r="C381">
        <v>17.149999999999999</v>
      </c>
      <c r="D381">
        <v>14.933</v>
      </c>
      <c r="E381">
        <v>15.56</v>
      </c>
      <c r="F381">
        <v>2626903.821</v>
      </c>
      <c r="G381">
        <v>0</v>
      </c>
      <c r="L381" t="s">
        <v>8</v>
      </c>
      <c r="M381" t="s">
        <v>8</v>
      </c>
      <c r="N381" t="s">
        <v>8</v>
      </c>
      <c r="P381">
        <f t="shared" si="969"/>
        <v>-0.43437077131258367</v>
      </c>
      <c r="Q381">
        <f t="shared" si="970"/>
        <v>-1141050.2388917431</v>
      </c>
      <c r="R381">
        <f t="shared" si="971"/>
        <v>18380602.966421213</v>
      </c>
      <c r="S381">
        <f t="shared" si="972"/>
        <v>183.80602966421213</v>
      </c>
      <c r="T381">
        <f t="shared" si="973"/>
        <v>0.18380602966421214</v>
      </c>
    </row>
    <row r="382" spans="1:20" x14ac:dyDescent="0.25">
      <c r="A382" s="5">
        <v>44211</v>
      </c>
      <c r="B382">
        <v>14.683</v>
      </c>
      <c r="C382">
        <v>15.538</v>
      </c>
      <c r="D382">
        <v>13.15</v>
      </c>
      <c r="E382">
        <v>15.127000000000001</v>
      </c>
      <c r="F382">
        <v>2527268.0750000002</v>
      </c>
      <c r="G382">
        <v>0</v>
      </c>
      <c r="L382" t="s">
        <v>7</v>
      </c>
      <c r="M382" t="s">
        <v>7</v>
      </c>
      <c r="N382" t="s">
        <v>8</v>
      </c>
      <c r="P382">
        <f t="shared" si="969"/>
        <v>0.65577889447236215</v>
      </c>
      <c r="Q382">
        <f t="shared" si="970"/>
        <v>1657329.064258795</v>
      </c>
      <c r="R382">
        <f t="shared" si="971"/>
        <v>19521653.205312956</v>
      </c>
      <c r="S382">
        <f t="shared" si="972"/>
        <v>195.21653205312955</v>
      </c>
      <c r="T382">
        <f t="shared" si="973"/>
        <v>0.19521653205312955</v>
      </c>
    </row>
    <row r="383" spans="1:20" x14ac:dyDescent="0.25">
      <c r="A383" s="5">
        <v>44210</v>
      </c>
      <c r="B383">
        <v>15.51</v>
      </c>
      <c r="C383">
        <v>16</v>
      </c>
      <c r="D383">
        <v>14.045999999999999</v>
      </c>
      <c r="E383">
        <v>14.711</v>
      </c>
      <c r="F383">
        <v>2397410.9249999998</v>
      </c>
      <c r="G383">
        <v>0</v>
      </c>
      <c r="L383" t="s">
        <v>7</v>
      </c>
      <c r="M383" t="s">
        <v>8</v>
      </c>
      <c r="N383" t="s">
        <v>8</v>
      </c>
      <c r="P383">
        <f t="shared" si="969"/>
        <v>-0.3193449334698048</v>
      </c>
      <c r="Q383">
        <f t="shared" si="970"/>
        <v>-765601.0323439081</v>
      </c>
      <c r="R383">
        <f t="shared" si="971"/>
        <v>17864324.141054161</v>
      </c>
      <c r="S383">
        <f t="shared" si="972"/>
        <v>178.64324141054161</v>
      </c>
      <c r="T383">
        <f t="shared" si="973"/>
        <v>0.17864324141054161</v>
      </c>
    </row>
    <row r="384" spans="1:20" x14ac:dyDescent="0.25">
      <c r="A384" s="5">
        <v>44209</v>
      </c>
      <c r="B384">
        <v>14.881</v>
      </c>
      <c r="C384">
        <v>16.504999999999999</v>
      </c>
      <c r="D384">
        <v>13.8</v>
      </c>
      <c r="E384">
        <v>15.500999999999999</v>
      </c>
      <c r="F384">
        <v>3961223.5759999999</v>
      </c>
      <c r="G384">
        <v>0</v>
      </c>
      <c r="L384" t="s">
        <v>8</v>
      </c>
      <c r="M384" t="s">
        <v>8</v>
      </c>
      <c r="N384" t="s">
        <v>8</v>
      </c>
      <c r="P384">
        <f t="shared" si="969"/>
        <v>0.25767097966728264</v>
      </c>
      <c r="Q384">
        <f t="shared" si="970"/>
        <v>1020692.3595090566</v>
      </c>
      <c r="R384">
        <f t="shared" si="971"/>
        <v>18629925.17339807</v>
      </c>
      <c r="S384">
        <f t="shared" si="972"/>
        <v>186.2992517339807</v>
      </c>
      <c r="T384">
        <f t="shared" si="973"/>
        <v>0.18629925173398071</v>
      </c>
    </row>
    <row r="385" spans="1:20" x14ac:dyDescent="0.25">
      <c r="A385" s="5">
        <v>44208</v>
      </c>
      <c r="B385">
        <v>12.888999999999999</v>
      </c>
      <c r="C385">
        <v>16</v>
      </c>
      <c r="D385">
        <v>12.17</v>
      </c>
      <c r="E385">
        <v>14.888</v>
      </c>
      <c r="F385">
        <v>4284927.4620000003</v>
      </c>
      <c r="G385">
        <v>0</v>
      </c>
      <c r="L385" t="s">
        <v>8</v>
      </c>
      <c r="M385" t="s">
        <v>8</v>
      </c>
      <c r="N385" t="s">
        <v>8</v>
      </c>
      <c r="P385">
        <f t="shared" si="969"/>
        <v>0.41932114882506522</v>
      </c>
      <c r="Q385">
        <f t="shared" si="970"/>
        <v>1796760.705997911</v>
      </c>
      <c r="R385">
        <f t="shared" si="971"/>
        <v>17609232.813889012</v>
      </c>
      <c r="S385">
        <f t="shared" si="972"/>
        <v>176.09232813889011</v>
      </c>
      <c r="T385">
        <f t="shared" si="973"/>
        <v>0.17609232813889011</v>
      </c>
    </row>
    <row r="386" spans="1:20" x14ac:dyDescent="0.25">
      <c r="A386" s="5">
        <v>44207</v>
      </c>
      <c r="B386">
        <v>14.114000000000001</v>
      </c>
      <c r="C386">
        <v>14.186</v>
      </c>
      <c r="D386">
        <v>10.407999999999999</v>
      </c>
      <c r="E386">
        <v>12.891</v>
      </c>
      <c r="F386">
        <v>3097037.6090000002</v>
      </c>
      <c r="G386">
        <v>0</v>
      </c>
      <c r="L386" t="s">
        <v>7</v>
      </c>
      <c r="M386" t="s">
        <v>7</v>
      </c>
      <c r="N386" t="s">
        <v>7</v>
      </c>
      <c r="P386">
        <f t="shared" si="969"/>
        <v>0.31445209105346755</v>
      </c>
      <c r="Q386">
        <f t="shared" si="970"/>
        <v>973869.95222128148</v>
      </c>
      <c r="R386">
        <f t="shared" si="971"/>
        <v>15812472.107891101</v>
      </c>
      <c r="S386">
        <f t="shared" si="972"/>
        <v>158.12472107891102</v>
      </c>
      <c r="T386">
        <f t="shared" si="973"/>
        <v>0.15812472107891101</v>
      </c>
    </row>
    <row r="387" spans="1:20" x14ac:dyDescent="0.25">
      <c r="A387" s="5">
        <v>44206</v>
      </c>
      <c r="B387">
        <v>13.1</v>
      </c>
      <c r="C387">
        <v>14.8</v>
      </c>
      <c r="D387">
        <v>12.196999999999999</v>
      </c>
      <c r="E387">
        <v>14.116</v>
      </c>
      <c r="F387">
        <v>2781331.3990000002</v>
      </c>
      <c r="G387">
        <v>0</v>
      </c>
      <c r="L387" t="s">
        <v>8</v>
      </c>
      <c r="M387" t="s">
        <v>8</v>
      </c>
      <c r="N387" t="s">
        <v>8</v>
      </c>
      <c r="P387">
        <f t="shared" si="969"/>
        <v>0.47445255474452502</v>
      </c>
      <c r="Q387">
        <f t="shared" si="970"/>
        <v>1319609.787846714</v>
      </c>
      <c r="R387">
        <f t="shared" si="971"/>
        <v>14838602.15566982</v>
      </c>
      <c r="S387">
        <f t="shared" si="972"/>
        <v>148.38602155669818</v>
      </c>
      <c r="T387">
        <f t="shared" si="973"/>
        <v>0.14838602155669819</v>
      </c>
    </row>
    <row r="388" spans="1:20" x14ac:dyDescent="0.25">
      <c r="A388" s="5">
        <v>44205</v>
      </c>
      <c r="B388">
        <v>11.805</v>
      </c>
      <c r="C388">
        <v>13.887</v>
      </c>
      <c r="D388">
        <v>11.05</v>
      </c>
      <c r="E388">
        <v>13.1</v>
      </c>
      <c r="F388">
        <v>1838219.0390000001</v>
      </c>
      <c r="G388">
        <v>0</v>
      </c>
      <c r="L388" t="s">
        <v>8</v>
      </c>
      <c r="M388" t="s">
        <v>8</v>
      </c>
      <c r="N388" t="s">
        <v>8</v>
      </c>
      <c r="P388">
        <f t="shared" si="969"/>
        <v>0.44518857948537127</v>
      </c>
      <c r="Q388">
        <f t="shared" si="970"/>
        <v>818354.12275537429</v>
      </c>
      <c r="R388">
        <f t="shared" si="971"/>
        <v>13518992.367823105</v>
      </c>
      <c r="S388">
        <f t="shared" si="972"/>
        <v>135.18992367823105</v>
      </c>
      <c r="T388">
        <f t="shared" si="973"/>
        <v>0.13518992367823104</v>
      </c>
    </row>
    <row r="389" spans="1:20" x14ac:dyDescent="0.25">
      <c r="A389" s="5">
        <v>44204</v>
      </c>
      <c r="B389">
        <v>11.593999999999999</v>
      </c>
      <c r="C389">
        <v>12.885</v>
      </c>
      <c r="D389">
        <v>9.8000000000000007</v>
      </c>
      <c r="E389">
        <v>11.804</v>
      </c>
      <c r="F389">
        <v>2008319.15</v>
      </c>
      <c r="G389">
        <v>0</v>
      </c>
      <c r="L389" t="s">
        <v>7</v>
      </c>
      <c r="M389" t="s">
        <v>7</v>
      </c>
      <c r="N389" t="s">
        <v>7</v>
      </c>
      <c r="P389">
        <f t="shared" si="969"/>
        <v>0.29918962722852521</v>
      </c>
      <c r="Q389">
        <f t="shared" si="970"/>
        <v>600868.25784440862</v>
      </c>
      <c r="R389">
        <f t="shared" si="971"/>
        <v>12700638.245067731</v>
      </c>
      <c r="S389">
        <f t="shared" si="972"/>
        <v>127.00638245067731</v>
      </c>
      <c r="T389">
        <f t="shared" si="973"/>
        <v>0.1270063824506773</v>
      </c>
    </row>
    <row r="390" spans="1:20" x14ac:dyDescent="0.25">
      <c r="A390" s="5">
        <v>44203</v>
      </c>
      <c r="B390">
        <v>12.112</v>
      </c>
      <c r="C390">
        <v>13.2</v>
      </c>
      <c r="D390">
        <v>11.1</v>
      </c>
      <c r="E390">
        <v>11.579000000000001</v>
      </c>
      <c r="F390">
        <v>1700489.2660000001</v>
      </c>
      <c r="G390">
        <v>0</v>
      </c>
      <c r="L390" t="s">
        <v>7</v>
      </c>
      <c r="M390" t="s">
        <v>7</v>
      </c>
      <c r="N390" t="s">
        <v>8</v>
      </c>
      <c r="P390">
        <f t="shared" ref="P390:P453" si="974">IF(C390=D390,0,((E390-D390)-(C390-E390))/(C390-D390))</f>
        <v>-0.54380952380952274</v>
      </c>
      <c r="Q390">
        <f t="shared" ref="Q390:Q453" si="975">F390*P390</f>
        <v>-924742.25798666489</v>
      </c>
      <c r="R390">
        <f t="shared" ref="R390:R453" si="976">R391+Q390</f>
        <v>12099769.987223322</v>
      </c>
      <c r="S390">
        <f t="shared" ref="S390:S453" si="977">R390/100000</f>
        <v>120.99769987223321</v>
      </c>
      <c r="T390">
        <f t="shared" ref="T390:T453" si="978">S390/1000</f>
        <v>0.12099769987223322</v>
      </c>
    </row>
    <row r="391" spans="1:20" x14ac:dyDescent="0.25">
      <c r="A391" s="5">
        <v>44202</v>
      </c>
      <c r="B391">
        <v>12.401999999999999</v>
      </c>
      <c r="C391">
        <v>13.3</v>
      </c>
      <c r="D391">
        <v>11.461</v>
      </c>
      <c r="E391">
        <v>12.129</v>
      </c>
      <c r="F391">
        <v>1899386.0330000001</v>
      </c>
      <c r="G391">
        <v>0</v>
      </c>
      <c r="L391" t="s">
        <v>7</v>
      </c>
      <c r="M391" t="s">
        <v>7</v>
      </c>
      <c r="N391" t="s">
        <v>8</v>
      </c>
      <c r="P391">
        <f t="shared" si="974"/>
        <v>-0.27351821642196944</v>
      </c>
      <c r="Q391">
        <f t="shared" si="975"/>
        <v>-519516.68004295998</v>
      </c>
      <c r="R391">
        <f t="shared" si="976"/>
        <v>13024512.245209986</v>
      </c>
      <c r="S391">
        <f t="shared" si="977"/>
        <v>130.24512245209985</v>
      </c>
      <c r="T391">
        <f t="shared" si="978"/>
        <v>0.13024512245209985</v>
      </c>
    </row>
    <row r="392" spans="1:20" x14ac:dyDescent="0.25">
      <c r="A392" s="5">
        <v>44201</v>
      </c>
      <c r="B392">
        <v>11.462999999999999</v>
      </c>
      <c r="C392">
        <v>13.38</v>
      </c>
      <c r="D392">
        <v>10.458</v>
      </c>
      <c r="E392">
        <v>12.381</v>
      </c>
      <c r="F392">
        <v>3127299.8709999998</v>
      </c>
      <c r="G392">
        <v>0</v>
      </c>
      <c r="L392" t="s">
        <v>8</v>
      </c>
      <c r="M392" t="s">
        <v>8</v>
      </c>
      <c r="N392" t="s">
        <v>8</v>
      </c>
      <c r="P392">
        <f t="shared" si="974"/>
        <v>0.31622176591375745</v>
      </c>
      <c r="Q392">
        <f t="shared" si="975"/>
        <v>988920.28774948581</v>
      </c>
      <c r="R392">
        <f t="shared" si="976"/>
        <v>13544028.925252946</v>
      </c>
      <c r="S392">
        <f t="shared" si="977"/>
        <v>135.44028925252945</v>
      </c>
      <c r="T392">
        <f t="shared" si="978"/>
        <v>0.13544028925252946</v>
      </c>
    </row>
    <row r="393" spans="1:20" x14ac:dyDescent="0.25">
      <c r="A393" s="5">
        <v>44200</v>
      </c>
      <c r="B393">
        <v>9.5269999999999992</v>
      </c>
      <c r="C393">
        <v>11.497999999999999</v>
      </c>
      <c r="D393">
        <v>8.4</v>
      </c>
      <c r="E393">
        <v>11.492000000000001</v>
      </c>
      <c r="F393">
        <v>2839117.5060000001</v>
      </c>
      <c r="G393">
        <v>0</v>
      </c>
      <c r="L393" t="s">
        <v>8</v>
      </c>
      <c r="M393" t="s">
        <v>8</v>
      </c>
      <c r="N393" t="s">
        <v>8</v>
      </c>
      <c r="P393">
        <f t="shared" si="974"/>
        <v>0.99612653324725731</v>
      </c>
      <c r="Q393">
        <f t="shared" si="975"/>
        <v>2828120.2787333792</v>
      </c>
      <c r="R393">
        <f t="shared" si="976"/>
        <v>12555108.63750346</v>
      </c>
      <c r="S393">
        <f t="shared" si="977"/>
        <v>125.5510863750346</v>
      </c>
      <c r="T393">
        <f t="shared" si="978"/>
        <v>0.12555108637503459</v>
      </c>
    </row>
    <row r="394" spans="1:20" x14ac:dyDescent="0.25">
      <c r="A394" s="5">
        <v>44199</v>
      </c>
      <c r="B394">
        <v>8.1920000000000002</v>
      </c>
      <c r="C394">
        <v>9.625</v>
      </c>
      <c r="D394">
        <v>7.9969999999999999</v>
      </c>
      <c r="E394">
        <v>9.5389999999999997</v>
      </c>
      <c r="F394">
        <v>1854105.1440000001</v>
      </c>
      <c r="G394">
        <v>0</v>
      </c>
      <c r="L394" t="s">
        <v>8</v>
      </c>
      <c r="M394" t="s">
        <v>8</v>
      </c>
      <c r="N394" t="s">
        <v>8</v>
      </c>
      <c r="P394">
        <f t="shared" si="974"/>
        <v>0.89434889434889397</v>
      </c>
      <c r="Q394">
        <f t="shared" si="975"/>
        <v>1658216.8855429969</v>
      </c>
      <c r="R394">
        <f t="shared" si="976"/>
        <v>9726988.3587700818</v>
      </c>
      <c r="S394">
        <f t="shared" si="977"/>
        <v>97.269883587700818</v>
      </c>
      <c r="T394">
        <f t="shared" si="978"/>
        <v>9.726988358770082E-2</v>
      </c>
    </row>
    <row r="395" spans="1:20" x14ac:dyDescent="0.25">
      <c r="A395" s="5">
        <v>44198</v>
      </c>
      <c r="B395">
        <v>8.3140000000000001</v>
      </c>
      <c r="C395">
        <v>8.6180000000000003</v>
      </c>
      <c r="D395">
        <v>7.9809999999999999</v>
      </c>
      <c r="E395">
        <v>8.1920000000000002</v>
      </c>
      <c r="F395">
        <v>1196084.7169999999</v>
      </c>
      <c r="G395">
        <v>0</v>
      </c>
      <c r="L395" t="s">
        <v>7</v>
      </c>
      <c r="M395" t="s">
        <v>8</v>
      </c>
      <c r="N395" t="s">
        <v>8</v>
      </c>
      <c r="P395">
        <f t="shared" si="974"/>
        <v>-0.33751962323390849</v>
      </c>
      <c r="Q395">
        <f t="shared" si="975"/>
        <v>-403702.06303767604</v>
      </c>
      <c r="R395">
        <f t="shared" si="976"/>
        <v>8068771.4732270846</v>
      </c>
      <c r="S395">
        <f t="shared" si="977"/>
        <v>80.687714732270848</v>
      </c>
      <c r="T395">
        <f t="shared" si="978"/>
        <v>8.0687714732270849E-2</v>
      </c>
    </row>
    <row r="396" spans="1:20" x14ac:dyDescent="0.25">
      <c r="A396" s="5">
        <v>44197</v>
      </c>
      <c r="B396">
        <v>7.23</v>
      </c>
      <c r="C396">
        <v>8.5559999999999992</v>
      </c>
      <c r="D396">
        <v>7.1539999999999999</v>
      </c>
      <c r="E396">
        <v>8.3079999999999998</v>
      </c>
      <c r="F396">
        <v>1946257.453</v>
      </c>
      <c r="G396">
        <v>0</v>
      </c>
      <c r="L396" t="s">
        <v>8</v>
      </c>
      <c r="M396" t="s">
        <v>7</v>
      </c>
      <c r="N396" t="s">
        <v>8</v>
      </c>
      <c r="P396">
        <f t="shared" si="974"/>
        <v>0.6462196861626256</v>
      </c>
      <c r="Q396">
        <f t="shared" si="975"/>
        <v>1257709.8804693311</v>
      </c>
      <c r="R396">
        <f t="shared" si="976"/>
        <v>8472473.5362647604</v>
      </c>
      <c r="S396">
        <f t="shared" si="977"/>
        <v>84.724735362647607</v>
      </c>
      <c r="T396">
        <f t="shared" si="978"/>
        <v>8.4724735362647602E-2</v>
      </c>
    </row>
    <row r="397" spans="1:20" x14ac:dyDescent="0.25">
      <c r="A397" s="5">
        <v>44196</v>
      </c>
      <c r="B397">
        <v>7.327</v>
      </c>
      <c r="C397">
        <v>7.8470000000000004</v>
      </c>
      <c r="D397">
        <v>7.0419999999999998</v>
      </c>
      <c r="E397">
        <v>7.23</v>
      </c>
      <c r="F397">
        <v>1306081.625</v>
      </c>
      <c r="G397">
        <v>0</v>
      </c>
      <c r="L397" t="s">
        <v>7</v>
      </c>
      <c r="M397" t="s">
        <v>7</v>
      </c>
      <c r="N397" t="s">
        <v>8</v>
      </c>
      <c r="P397">
        <f t="shared" si="974"/>
        <v>-0.53291925465838397</v>
      </c>
      <c r="Q397">
        <f t="shared" si="975"/>
        <v>-696036.046118011</v>
      </c>
      <c r="R397">
        <f t="shared" si="976"/>
        <v>7214763.6557954289</v>
      </c>
      <c r="S397">
        <f t="shared" si="977"/>
        <v>72.147636557954286</v>
      </c>
      <c r="T397">
        <f t="shared" si="978"/>
        <v>7.2147636557954281E-2</v>
      </c>
    </row>
    <row r="398" spans="1:20" x14ac:dyDescent="0.25">
      <c r="A398" s="5">
        <v>44195</v>
      </c>
      <c r="B398">
        <v>7.78</v>
      </c>
      <c r="C398">
        <v>7.96</v>
      </c>
      <c r="D398">
        <v>7.2350000000000003</v>
      </c>
      <c r="E398">
        <v>7.327</v>
      </c>
      <c r="F398">
        <v>1276681.2069999999</v>
      </c>
      <c r="G398">
        <v>0</v>
      </c>
      <c r="L398" t="s">
        <v>7</v>
      </c>
      <c r="M398" t="s">
        <v>7</v>
      </c>
      <c r="N398" t="s">
        <v>8</v>
      </c>
      <c r="P398">
        <f t="shared" si="974"/>
        <v>-0.74620689655172501</v>
      </c>
      <c r="Q398">
        <f t="shared" si="975"/>
        <v>-952668.3213613804</v>
      </c>
      <c r="R398">
        <f t="shared" si="976"/>
        <v>7910799.7019134397</v>
      </c>
      <c r="S398">
        <f t="shared" si="977"/>
        <v>79.107997019134402</v>
      </c>
      <c r="T398">
        <f t="shared" si="978"/>
        <v>7.9107997019134402E-2</v>
      </c>
    </row>
    <row r="399" spans="1:20" x14ac:dyDescent="0.25">
      <c r="A399" s="5">
        <v>44194</v>
      </c>
      <c r="B399">
        <v>7.9989999999999997</v>
      </c>
      <c r="C399">
        <v>8.157</v>
      </c>
      <c r="D399">
        <v>7.35</v>
      </c>
      <c r="E399">
        <v>7.7859999999999996</v>
      </c>
      <c r="F399">
        <v>1509588.0859999999</v>
      </c>
      <c r="G399">
        <v>0</v>
      </c>
      <c r="L399" t="s">
        <v>7</v>
      </c>
      <c r="M399" t="s">
        <v>7</v>
      </c>
      <c r="N399" t="s">
        <v>8</v>
      </c>
      <c r="P399">
        <f t="shared" si="974"/>
        <v>8.054522924411335E-2</v>
      </c>
      <c r="Q399">
        <f t="shared" si="975"/>
        <v>121590.11845105229</v>
      </c>
      <c r="R399">
        <f t="shared" si="976"/>
        <v>8863468.0232748203</v>
      </c>
      <c r="S399">
        <f t="shared" si="977"/>
        <v>88.63468023274821</v>
      </c>
      <c r="T399">
        <f t="shared" si="978"/>
        <v>8.8634680232748203E-2</v>
      </c>
    </row>
    <row r="400" spans="1:20" x14ac:dyDescent="0.25">
      <c r="A400" s="5">
        <v>44193</v>
      </c>
      <c r="B400">
        <v>8.0579999999999998</v>
      </c>
      <c r="C400">
        <v>8.4619999999999997</v>
      </c>
      <c r="D400">
        <v>7.82</v>
      </c>
      <c r="E400">
        <v>8</v>
      </c>
      <c r="F400">
        <v>2152979.0380000002</v>
      </c>
      <c r="G400">
        <v>0</v>
      </c>
      <c r="L400" t="s">
        <v>8</v>
      </c>
      <c r="M400" t="s">
        <v>7</v>
      </c>
      <c r="N400" t="s">
        <v>8</v>
      </c>
      <c r="P400">
        <f t="shared" si="974"/>
        <v>-0.43925233644859857</v>
      </c>
      <c r="Q400">
        <f t="shared" si="975"/>
        <v>-945701.07276635617</v>
      </c>
      <c r="R400">
        <f t="shared" si="976"/>
        <v>8741877.9048237689</v>
      </c>
      <c r="S400">
        <f t="shared" si="977"/>
        <v>87.418779048237695</v>
      </c>
      <c r="T400">
        <f t="shared" si="978"/>
        <v>8.7418779048237694E-2</v>
      </c>
    </row>
    <row r="401" spans="1:20" x14ac:dyDescent="0.25">
      <c r="A401" s="5">
        <v>44192</v>
      </c>
      <c r="B401">
        <v>8.0259999999999998</v>
      </c>
      <c r="C401">
        <v>8.5250000000000004</v>
      </c>
      <c r="D401">
        <v>7.34</v>
      </c>
      <c r="E401">
        <v>8.0690000000000008</v>
      </c>
      <c r="F401">
        <v>3098202.9580000001</v>
      </c>
      <c r="G401">
        <v>0</v>
      </c>
      <c r="L401" t="s">
        <v>7</v>
      </c>
      <c r="M401" t="s">
        <v>7</v>
      </c>
      <c r="N401" t="s">
        <v>8</v>
      </c>
      <c r="P401">
        <f t="shared" si="974"/>
        <v>0.23037974683544418</v>
      </c>
      <c r="Q401">
        <f t="shared" si="975"/>
        <v>713763.21310886438</v>
      </c>
      <c r="R401">
        <f t="shared" si="976"/>
        <v>9687578.9775901251</v>
      </c>
      <c r="S401">
        <f t="shared" si="977"/>
        <v>96.875789775901254</v>
      </c>
      <c r="T401">
        <f t="shared" si="978"/>
        <v>9.687578977590125E-2</v>
      </c>
    </row>
    <row r="402" spans="1:20" x14ac:dyDescent="0.25">
      <c r="A402" s="5">
        <v>44191</v>
      </c>
      <c r="B402">
        <v>7.35</v>
      </c>
      <c r="C402">
        <v>8.7710000000000008</v>
      </c>
      <c r="D402">
        <v>7.2830000000000004</v>
      </c>
      <c r="E402">
        <v>8.0220000000000002</v>
      </c>
      <c r="F402">
        <v>4044716.8769999999</v>
      </c>
      <c r="G402">
        <v>0</v>
      </c>
      <c r="L402" t="s">
        <v>8</v>
      </c>
      <c r="M402" t="s">
        <v>8</v>
      </c>
      <c r="N402" t="s">
        <v>8</v>
      </c>
      <c r="P402">
        <f t="shared" si="974"/>
        <v>-6.7204301075273337E-3</v>
      </c>
      <c r="Q402">
        <f t="shared" si="975"/>
        <v>-27182.237076614729</v>
      </c>
      <c r="R402">
        <f t="shared" si="976"/>
        <v>8973815.7644812614</v>
      </c>
      <c r="S402">
        <f t="shared" si="977"/>
        <v>89.738157644812617</v>
      </c>
      <c r="T402">
        <f t="shared" si="978"/>
        <v>8.9738157644812619E-2</v>
      </c>
    </row>
    <row r="403" spans="1:20" x14ac:dyDescent="0.25">
      <c r="A403" s="5">
        <v>44190</v>
      </c>
      <c r="B403">
        <v>7.4790000000000001</v>
      </c>
      <c r="C403">
        <v>7.98</v>
      </c>
      <c r="D403">
        <v>7.0279999999999996</v>
      </c>
      <c r="E403">
        <v>7.3410000000000002</v>
      </c>
      <c r="F403">
        <v>1909442.0390000001</v>
      </c>
      <c r="G403">
        <v>0</v>
      </c>
      <c r="L403" t="s">
        <v>8</v>
      </c>
      <c r="M403" t="s">
        <v>8</v>
      </c>
      <c r="N403" t="s">
        <v>8</v>
      </c>
      <c r="P403">
        <f t="shared" si="974"/>
        <v>-0.34243697478991525</v>
      </c>
      <c r="Q403">
        <f t="shared" si="975"/>
        <v>-653863.55537184735</v>
      </c>
      <c r="R403">
        <f t="shared" si="976"/>
        <v>9000998.0015578754</v>
      </c>
      <c r="S403">
        <f t="shared" si="977"/>
        <v>90.009980015578748</v>
      </c>
      <c r="T403">
        <f t="shared" si="978"/>
        <v>9.000998001557875E-2</v>
      </c>
    </row>
    <row r="404" spans="1:20" x14ac:dyDescent="0.25">
      <c r="A404" s="5">
        <v>44189</v>
      </c>
      <c r="B404">
        <v>7.11</v>
      </c>
      <c r="C404">
        <v>7.7880000000000003</v>
      </c>
      <c r="D404">
        <v>6.5810000000000004</v>
      </c>
      <c r="E404">
        <v>7.48</v>
      </c>
      <c r="F404">
        <v>2788244.5959999999</v>
      </c>
      <c r="G404">
        <v>0</v>
      </c>
      <c r="L404" t="s">
        <v>7</v>
      </c>
      <c r="M404" t="s">
        <v>7</v>
      </c>
      <c r="N404" t="s">
        <v>8</v>
      </c>
      <c r="P404">
        <f t="shared" si="974"/>
        <v>0.48964374482187262</v>
      </c>
      <c r="Q404">
        <f t="shared" si="975"/>
        <v>1365246.5254647892</v>
      </c>
      <c r="R404">
        <f t="shared" si="976"/>
        <v>9654861.5569297224</v>
      </c>
      <c r="S404">
        <f t="shared" si="977"/>
        <v>96.548615569297226</v>
      </c>
      <c r="T404">
        <f t="shared" si="978"/>
        <v>9.6548615569297225E-2</v>
      </c>
    </row>
    <row r="405" spans="1:20" x14ac:dyDescent="0.25">
      <c r="A405" s="5">
        <v>44188</v>
      </c>
      <c r="B405">
        <v>7.2030000000000003</v>
      </c>
      <c r="C405">
        <v>8.48</v>
      </c>
      <c r="D405">
        <v>6.2880000000000003</v>
      </c>
      <c r="E405">
        <v>7.1150000000000002</v>
      </c>
      <c r="F405">
        <v>6856208.1720000003</v>
      </c>
      <c r="G405">
        <v>0</v>
      </c>
      <c r="L405" t="s">
        <v>8</v>
      </c>
      <c r="M405" t="s">
        <v>8</v>
      </c>
      <c r="N405" t="s">
        <v>8</v>
      </c>
      <c r="P405">
        <f t="shared" si="974"/>
        <v>-0.24543795620437966</v>
      </c>
      <c r="Q405">
        <f t="shared" si="975"/>
        <v>-1682773.7210474461</v>
      </c>
      <c r="R405">
        <f t="shared" si="976"/>
        <v>8289615.0314649325</v>
      </c>
      <c r="S405">
        <f t="shared" si="977"/>
        <v>82.896150314649319</v>
      </c>
      <c r="T405">
        <f t="shared" si="978"/>
        <v>8.2896150314649322E-2</v>
      </c>
    </row>
    <row r="406" spans="1:20" x14ac:dyDescent="0.25">
      <c r="A406" s="5">
        <v>44187</v>
      </c>
      <c r="B406">
        <v>6.14</v>
      </c>
      <c r="C406">
        <v>7.74</v>
      </c>
      <c r="D406">
        <v>5.7039999999999997</v>
      </c>
      <c r="E406">
        <v>7.202</v>
      </c>
      <c r="F406">
        <v>5217299.47</v>
      </c>
      <c r="G406">
        <v>0</v>
      </c>
      <c r="L406" t="s">
        <v>8</v>
      </c>
      <c r="M406" t="s">
        <v>8</v>
      </c>
      <c r="N406" t="s">
        <v>8</v>
      </c>
      <c r="P406">
        <f t="shared" si="974"/>
        <v>0.47151277013752441</v>
      </c>
      <c r="Q406">
        <f t="shared" si="975"/>
        <v>2460023.3257367378</v>
      </c>
      <c r="R406">
        <f t="shared" si="976"/>
        <v>9972388.7525123786</v>
      </c>
      <c r="S406">
        <f t="shared" si="977"/>
        <v>99.723887525123786</v>
      </c>
      <c r="T406">
        <f t="shared" si="978"/>
        <v>9.9723887525123789E-2</v>
      </c>
    </row>
    <row r="407" spans="1:20" x14ac:dyDescent="0.25">
      <c r="A407" s="5">
        <v>44186</v>
      </c>
      <c r="B407">
        <v>5.9569999999999999</v>
      </c>
      <c r="C407">
        <v>6.4240000000000004</v>
      </c>
      <c r="D407">
        <v>5.6379999999999999</v>
      </c>
      <c r="E407">
        <v>6.1360000000000001</v>
      </c>
      <c r="F407">
        <v>1494943.4650000001</v>
      </c>
      <c r="G407">
        <v>0</v>
      </c>
      <c r="L407" t="s">
        <v>7</v>
      </c>
      <c r="M407" t="s">
        <v>8</v>
      </c>
      <c r="N407" t="s">
        <v>8</v>
      </c>
      <c r="P407">
        <f t="shared" si="974"/>
        <v>0.26717557251908375</v>
      </c>
      <c r="Q407">
        <f t="shared" si="975"/>
        <v>399412.37614503788</v>
      </c>
      <c r="R407">
        <f t="shared" si="976"/>
        <v>7512365.4267756408</v>
      </c>
      <c r="S407">
        <f t="shared" si="977"/>
        <v>75.123654267756407</v>
      </c>
      <c r="T407">
        <f t="shared" si="978"/>
        <v>7.5123654267756412E-2</v>
      </c>
    </row>
    <row r="408" spans="1:20" x14ac:dyDescent="0.25">
      <c r="A408" s="5">
        <v>44185</v>
      </c>
      <c r="B408">
        <v>6.125</v>
      </c>
      <c r="C408">
        <v>6.3849999999999998</v>
      </c>
      <c r="D408">
        <v>5.78</v>
      </c>
      <c r="E408">
        <v>5.9630000000000001</v>
      </c>
      <c r="F408">
        <v>1076828.2779999999</v>
      </c>
      <c r="G408">
        <v>0</v>
      </c>
      <c r="L408" t="s">
        <v>7</v>
      </c>
      <c r="M408" t="s">
        <v>8</v>
      </c>
      <c r="N408" t="s">
        <v>8</v>
      </c>
      <c r="P408">
        <f t="shared" si="974"/>
        <v>-0.3950413223140497</v>
      </c>
      <c r="Q408">
        <f t="shared" si="975"/>
        <v>-425391.66684628109</v>
      </c>
      <c r="R408">
        <f t="shared" si="976"/>
        <v>7112953.050630603</v>
      </c>
      <c r="S408">
        <f t="shared" si="977"/>
        <v>71.129530506306025</v>
      </c>
      <c r="T408">
        <f t="shared" si="978"/>
        <v>7.1129530506306021E-2</v>
      </c>
    </row>
    <row r="409" spans="1:20" x14ac:dyDescent="0.25">
      <c r="A409" s="5">
        <v>44184</v>
      </c>
      <c r="B409">
        <v>6.117</v>
      </c>
      <c r="C409">
        <v>6.5110000000000001</v>
      </c>
      <c r="D409">
        <v>5.92</v>
      </c>
      <c r="E409">
        <v>6.125</v>
      </c>
      <c r="F409">
        <v>1801769.845</v>
      </c>
      <c r="G409">
        <v>0</v>
      </c>
      <c r="L409" t="s">
        <v>7</v>
      </c>
      <c r="M409" t="s">
        <v>8</v>
      </c>
      <c r="N409" t="s">
        <v>8</v>
      </c>
      <c r="P409">
        <f t="shared" si="974"/>
        <v>-0.30626057529610828</v>
      </c>
      <c r="Q409">
        <f t="shared" si="975"/>
        <v>-551811.0692808798</v>
      </c>
      <c r="R409">
        <f t="shared" si="976"/>
        <v>7538344.7174768839</v>
      </c>
      <c r="S409">
        <f t="shared" si="977"/>
        <v>75.383447174768833</v>
      </c>
      <c r="T409">
        <f t="shared" si="978"/>
        <v>7.5383447174768831E-2</v>
      </c>
    </row>
    <row r="410" spans="1:20" x14ac:dyDescent="0.25">
      <c r="A410" s="5">
        <v>44183</v>
      </c>
      <c r="B410">
        <v>5.2969999999999997</v>
      </c>
      <c r="C410">
        <v>6.617</v>
      </c>
      <c r="D410">
        <v>5.16</v>
      </c>
      <c r="E410">
        <v>6.12</v>
      </c>
      <c r="F410">
        <v>3902427.7149999999</v>
      </c>
      <c r="G410">
        <v>0</v>
      </c>
      <c r="L410" t="s">
        <v>8</v>
      </c>
      <c r="M410" t="s">
        <v>8</v>
      </c>
      <c r="N410" t="s">
        <v>8</v>
      </c>
      <c r="P410">
        <f t="shared" si="974"/>
        <v>0.31777625257378184</v>
      </c>
      <c r="Q410">
        <f t="shared" si="975"/>
        <v>1240098.8552127662</v>
      </c>
      <c r="R410">
        <f t="shared" si="976"/>
        <v>8090155.7867577635</v>
      </c>
      <c r="S410">
        <f t="shared" si="977"/>
        <v>80.901557867577637</v>
      </c>
      <c r="T410">
        <f t="shared" si="978"/>
        <v>8.0901557867577634E-2</v>
      </c>
    </row>
    <row r="411" spans="1:20" x14ac:dyDescent="0.25">
      <c r="A411" s="5">
        <v>44182</v>
      </c>
      <c r="B411">
        <v>5.2709999999999999</v>
      </c>
      <c r="C411">
        <v>5.6</v>
      </c>
      <c r="D411">
        <v>5.0460000000000003</v>
      </c>
      <c r="E411">
        <v>5.2939999999999996</v>
      </c>
      <c r="F411">
        <v>2068099.622</v>
      </c>
      <c r="G411">
        <v>0</v>
      </c>
      <c r="L411" t="s">
        <v>8</v>
      </c>
      <c r="M411" t="s">
        <v>8</v>
      </c>
      <c r="N411" t="s">
        <v>8</v>
      </c>
      <c r="P411">
        <f t="shared" si="974"/>
        <v>-0.10469314079422525</v>
      </c>
      <c r="Q411">
        <f t="shared" si="975"/>
        <v>-216515.84490252999</v>
      </c>
      <c r="R411">
        <f t="shared" si="976"/>
        <v>6850056.9315449968</v>
      </c>
      <c r="S411">
        <f t="shared" si="977"/>
        <v>68.500569315449965</v>
      </c>
      <c r="T411">
        <f t="shared" si="978"/>
        <v>6.8500569315449969E-2</v>
      </c>
    </row>
    <row r="412" spans="1:20" x14ac:dyDescent="0.25">
      <c r="A412" s="5">
        <v>44181</v>
      </c>
      <c r="B412">
        <v>5.4690000000000003</v>
      </c>
      <c r="C412">
        <v>5.476</v>
      </c>
      <c r="D412">
        <v>4.9269999999999996</v>
      </c>
      <c r="E412">
        <v>5.2759999999999998</v>
      </c>
      <c r="F412">
        <v>1642088.375</v>
      </c>
      <c r="G412">
        <v>0</v>
      </c>
      <c r="L412" t="s">
        <v>7</v>
      </c>
      <c r="M412" t="s">
        <v>8</v>
      </c>
      <c r="N412" t="s">
        <v>8</v>
      </c>
      <c r="P412">
        <f t="shared" si="974"/>
        <v>0.27140255009107456</v>
      </c>
      <c r="Q412">
        <f t="shared" si="975"/>
        <v>445666.97244990873</v>
      </c>
      <c r="R412">
        <f t="shared" si="976"/>
        <v>7066572.7764475271</v>
      </c>
      <c r="S412">
        <f t="shared" si="977"/>
        <v>70.665727764475278</v>
      </c>
      <c r="T412">
        <f t="shared" si="978"/>
        <v>7.0665727764475272E-2</v>
      </c>
    </row>
    <row r="413" spans="1:20" x14ac:dyDescent="0.25">
      <c r="A413" s="5">
        <v>44180</v>
      </c>
      <c r="B413">
        <v>5.2510000000000003</v>
      </c>
      <c r="C413">
        <v>5.6</v>
      </c>
      <c r="D413">
        <v>5.1820000000000004</v>
      </c>
      <c r="E413">
        <v>5.4690000000000003</v>
      </c>
      <c r="F413">
        <v>2380803.4360000002</v>
      </c>
      <c r="G413">
        <v>0</v>
      </c>
      <c r="L413" t="s">
        <v>8</v>
      </c>
      <c r="M413" t="s">
        <v>8</v>
      </c>
      <c r="N413" t="s">
        <v>8</v>
      </c>
      <c r="P413">
        <f t="shared" si="974"/>
        <v>0.37320574162679632</v>
      </c>
      <c r="Q413">
        <f t="shared" si="975"/>
        <v>888529.51200000499</v>
      </c>
      <c r="R413">
        <f t="shared" si="976"/>
        <v>6620905.8039976181</v>
      </c>
      <c r="S413">
        <f t="shared" si="977"/>
        <v>66.209058039976185</v>
      </c>
      <c r="T413">
        <f t="shared" si="978"/>
        <v>6.620905803997619E-2</v>
      </c>
    </row>
    <row r="414" spans="1:20" x14ac:dyDescent="0.25">
      <c r="A414" s="5">
        <v>44179</v>
      </c>
      <c r="B414">
        <v>4.7480000000000002</v>
      </c>
      <c r="C414">
        <v>5.4420000000000002</v>
      </c>
      <c r="D414">
        <v>4.5999999999999996</v>
      </c>
      <c r="E414">
        <v>5.25</v>
      </c>
      <c r="F414">
        <v>1574445.2169999999</v>
      </c>
      <c r="G414">
        <v>0</v>
      </c>
      <c r="L414" t="s">
        <v>8</v>
      </c>
      <c r="M414" t="s">
        <v>8</v>
      </c>
      <c r="N414" t="s">
        <v>8</v>
      </c>
      <c r="P414">
        <f t="shared" si="974"/>
        <v>0.54394299287410919</v>
      </c>
      <c r="Q414">
        <f t="shared" si="975"/>
        <v>856408.44345130632</v>
      </c>
      <c r="R414">
        <f t="shared" si="976"/>
        <v>5732376.2919976134</v>
      </c>
      <c r="S414">
        <f t="shared" si="977"/>
        <v>57.323762919976133</v>
      </c>
      <c r="T414">
        <f t="shared" si="978"/>
        <v>5.732376291997613E-2</v>
      </c>
    </row>
    <row r="415" spans="1:20" x14ac:dyDescent="0.25">
      <c r="A415" s="5">
        <v>44178</v>
      </c>
      <c r="B415">
        <v>4.4669999999999996</v>
      </c>
      <c r="C415">
        <v>4.79</v>
      </c>
      <c r="D415">
        <v>4.3879999999999999</v>
      </c>
      <c r="E415">
        <v>4.7510000000000003</v>
      </c>
      <c r="F415">
        <v>423604.27500000002</v>
      </c>
      <c r="G415">
        <v>0</v>
      </c>
      <c r="L415" t="s">
        <v>8</v>
      </c>
      <c r="M415" t="s">
        <v>7</v>
      </c>
      <c r="N415" t="s">
        <v>8</v>
      </c>
      <c r="P415">
        <f t="shared" si="974"/>
        <v>0.80597014925373289</v>
      </c>
      <c r="Q415">
        <f t="shared" si="975"/>
        <v>341412.40074626933</v>
      </c>
      <c r="R415">
        <f t="shared" si="976"/>
        <v>4875967.8485463075</v>
      </c>
      <c r="S415">
        <f t="shared" si="977"/>
        <v>48.759678485463077</v>
      </c>
      <c r="T415">
        <f t="shared" si="978"/>
        <v>4.875967848546308E-2</v>
      </c>
    </row>
    <row r="416" spans="1:20" x14ac:dyDescent="0.25">
      <c r="A416" s="5">
        <v>44177</v>
      </c>
      <c r="B416">
        <v>4.3540000000000001</v>
      </c>
      <c r="C416">
        <v>4.6360000000000001</v>
      </c>
      <c r="D416">
        <v>4.3369999999999997</v>
      </c>
      <c r="E416">
        <v>4.4580000000000002</v>
      </c>
      <c r="F416">
        <v>544968.25899999996</v>
      </c>
      <c r="G416">
        <v>0</v>
      </c>
      <c r="L416" t="s">
        <v>8</v>
      </c>
      <c r="M416" t="s">
        <v>7</v>
      </c>
      <c r="N416" t="s">
        <v>8</v>
      </c>
      <c r="P416">
        <f t="shared" si="974"/>
        <v>-0.19063545150501479</v>
      </c>
      <c r="Q416">
        <f t="shared" si="975"/>
        <v>-103890.27011036684</v>
      </c>
      <c r="R416">
        <f t="shared" si="976"/>
        <v>4534555.4478000384</v>
      </c>
      <c r="S416">
        <f t="shared" si="977"/>
        <v>45.345554478000381</v>
      </c>
      <c r="T416">
        <f t="shared" si="978"/>
        <v>4.5345554478000379E-2</v>
      </c>
    </row>
    <row r="417" spans="1:20" x14ac:dyDescent="0.25">
      <c r="A417" s="5">
        <v>44176</v>
      </c>
      <c r="B417">
        <v>4.6310000000000002</v>
      </c>
      <c r="C417">
        <v>4.6660000000000004</v>
      </c>
      <c r="D417">
        <v>4.1260000000000003</v>
      </c>
      <c r="E417">
        <v>4.3479999999999999</v>
      </c>
      <c r="F417">
        <v>811202.54799999995</v>
      </c>
      <c r="G417">
        <v>0</v>
      </c>
      <c r="L417" t="s">
        <v>7</v>
      </c>
      <c r="M417" t="s">
        <v>7</v>
      </c>
      <c r="N417" t="s">
        <v>8</v>
      </c>
      <c r="P417">
        <f t="shared" si="974"/>
        <v>-0.17777777777777956</v>
      </c>
      <c r="Q417">
        <f t="shared" si="975"/>
        <v>-144213.78631111255</v>
      </c>
      <c r="R417">
        <f t="shared" si="976"/>
        <v>4638445.7179104052</v>
      </c>
      <c r="S417">
        <f t="shared" si="977"/>
        <v>46.384457179104054</v>
      </c>
      <c r="T417">
        <f t="shared" si="978"/>
        <v>4.6384457179104055E-2</v>
      </c>
    </row>
    <row r="418" spans="1:20" x14ac:dyDescent="0.25">
      <c r="A418" s="5">
        <v>44175</v>
      </c>
      <c r="B418">
        <v>4.8540000000000001</v>
      </c>
      <c r="C418">
        <v>4.8789999999999996</v>
      </c>
      <c r="D418">
        <v>4.4480000000000004</v>
      </c>
      <c r="E418">
        <v>4.6230000000000002</v>
      </c>
      <c r="F418">
        <v>846645.68599999999</v>
      </c>
      <c r="G418">
        <v>0</v>
      </c>
      <c r="L418" t="s">
        <v>8</v>
      </c>
      <c r="M418" t="s">
        <v>7</v>
      </c>
      <c r="N418" t="s">
        <v>8</v>
      </c>
      <c r="P418">
        <f t="shared" si="974"/>
        <v>-0.18793503480278348</v>
      </c>
      <c r="Q418">
        <f t="shared" si="975"/>
        <v>-159114.38646403648</v>
      </c>
      <c r="R418">
        <f t="shared" si="976"/>
        <v>4782659.5042215176</v>
      </c>
      <c r="S418">
        <f t="shared" si="977"/>
        <v>47.826595042215175</v>
      </c>
      <c r="T418">
        <f t="shared" si="978"/>
        <v>4.7826595042215175E-2</v>
      </c>
    </row>
    <row r="419" spans="1:20" x14ac:dyDescent="0.25">
      <c r="A419" s="5">
        <v>44174</v>
      </c>
      <c r="B419">
        <v>4.6669999999999998</v>
      </c>
      <c r="C419">
        <v>4.9340000000000002</v>
      </c>
      <c r="D419">
        <v>4.2850000000000001</v>
      </c>
      <c r="E419">
        <v>4.859</v>
      </c>
      <c r="F419">
        <v>1811975.7</v>
      </c>
      <c r="G419">
        <v>0</v>
      </c>
      <c r="L419" t="s">
        <v>7</v>
      </c>
      <c r="M419" t="s">
        <v>7</v>
      </c>
      <c r="N419" t="s">
        <v>8</v>
      </c>
      <c r="P419">
        <f t="shared" si="974"/>
        <v>0.76887519260400561</v>
      </c>
      <c r="Q419">
        <f t="shared" si="975"/>
        <v>1393183.1653312778</v>
      </c>
      <c r="R419">
        <f t="shared" si="976"/>
        <v>4941773.8906855537</v>
      </c>
      <c r="S419">
        <f t="shared" si="977"/>
        <v>49.41773890685554</v>
      </c>
      <c r="T419">
        <f t="shared" si="978"/>
        <v>4.9417738906855538E-2</v>
      </c>
    </row>
    <row r="420" spans="1:20" x14ac:dyDescent="0.25">
      <c r="A420" s="5">
        <v>44173</v>
      </c>
      <c r="B420">
        <v>5.2</v>
      </c>
      <c r="C420">
        <v>5.4930000000000003</v>
      </c>
      <c r="D420">
        <v>4.5339999999999998</v>
      </c>
      <c r="E420">
        <v>4.6710000000000003</v>
      </c>
      <c r="F420">
        <v>2004257.7039999999</v>
      </c>
      <c r="G420">
        <v>0</v>
      </c>
      <c r="L420" t="s">
        <v>8</v>
      </c>
      <c r="M420" t="s">
        <v>7</v>
      </c>
      <c r="N420" t="s">
        <v>8</v>
      </c>
      <c r="P420">
        <f t="shared" si="974"/>
        <v>-0.71428571428571352</v>
      </c>
      <c r="Q420">
        <f t="shared" si="975"/>
        <v>-1431612.6457142842</v>
      </c>
      <c r="R420">
        <f t="shared" si="976"/>
        <v>3548590.7253542757</v>
      </c>
      <c r="S420">
        <f t="shared" si="977"/>
        <v>35.485907253542756</v>
      </c>
      <c r="T420">
        <f t="shared" si="978"/>
        <v>3.5485907253542753E-2</v>
      </c>
    </row>
    <row r="421" spans="1:20" x14ac:dyDescent="0.25">
      <c r="A421" s="5">
        <v>44172</v>
      </c>
      <c r="B421">
        <v>5.1529999999999996</v>
      </c>
      <c r="C421">
        <v>5.3449999999999998</v>
      </c>
      <c r="D421">
        <v>5.0250000000000004</v>
      </c>
      <c r="E421">
        <v>5.2</v>
      </c>
      <c r="F421">
        <v>858648.59499999997</v>
      </c>
      <c r="G421">
        <v>0</v>
      </c>
      <c r="L421" t="s">
        <v>8</v>
      </c>
      <c r="M421" t="s">
        <v>8</v>
      </c>
      <c r="N421" t="s">
        <v>8</v>
      </c>
      <c r="P421">
        <f t="shared" si="974"/>
        <v>9.3750000000000958E-2</v>
      </c>
      <c r="Q421">
        <f t="shared" si="975"/>
        <v>80498.30578125082</v>
      </c>
      <c r="R421">
        <f t="shared" si="976"/>
        <v>4980203.3710685596</v>
      </c>
      <c r="S421">
        <f t="shared" si="977"/>
        <v>49.802033710685599</v>
      </c>
      <c r="T421">
        <f t="shared" si="978"/>
        <v>4.9802033710685596E-2</v>
      </c>
    </row>
    <row r="422" spans="1:20" x14ac:dyDescent="0.25">
      <c r="A422" s="5">
        <v>44171</v>
      </c>
      <c r="B422">
        <v>5.2140000000000004</v>
      </c>
      <c r="C422">
        <v>5.3789999999999996</v>
      </c>
      <c r="D422">
        <v>4.9409999999999998</v>
      </c>
      <c r="E422">
        <v>5.1520000000000001</v>
      </c>
      <c r="F422">
        <v>882850.78</v>
      </c>
      <c r="G422">
        <v>0</v>
      </c>
      <c r="L422" t="s">
        <v>8</v>
      </c>
      <c r="M422" t="s">
        <v>8</v>
      </c>
      <c r="N422" t="s">
        <v>8</v>
      </c>
      <c r="P422">
        <f t="shared" si="974"/>
        <v>-3.6529680365294831E-2</v>
      </c>
      <c r="Q422">
        <f t="shared" si="975"/>
        <v>-32250.256803651228</v>
      </c>
      <c r="R422">
        <f t="shared" si="976"/>
        <v>4899705.0652873088</v>
      </c>
      <c r="S422">
        <f t="shared" si="977"/>
        <v>48.997050652873085</v>
      </c>
      <c r="T422">
        <f t="shared" si="978"/>
        <v>4.8997050652873082E-2</v>
      </c>
    </row>
    <row r="423" spans="1:20" x14ac:dyDescent="0.25">
      <c r="A423" s="5">
        <v>44170</v>
      </c>
      <c r="B423">
        <v>4.95</v>
      </c>
      <c r="C423">
        <v>5.36</v>
      </c>
      <c r="D423">
        <v>4.7670000000000003</v>
      </c>
      <c r="E423">
        <v>5.218</v>
      </c>
      <c r="F423">
        <v>1388279.2509999999</v>
      </c>
      <c r="G423">
        <v>0</v>
      </c>
      <c r="L423" t="s">
        <v>7</v>
      </c>
      <c r="M423" t="s">
        <v>8</v>
      </c>
      <c r="N423" t="s">
        <v>8</v>
      </c>
      <c r="P423">
        <f t="shared" si="974"/>
        <v>0.5210792580101169</v>
      </c>
      <c r="Q423">
        <f t="shared" si="975"/>
        <v>723403.52202192077</v>
      </c>
      <c r="R423">
        <f t="shared" si="976"/>
        <v>4931955.3220909601</v>
      </c>
      <c r="S423">
        <f t="shared" si="977"/>
        <v>49.319553220909604</v>
      </c>
      <c r="T423">
        <f t="shared" si="978"/>
        <v>4.9319553220909605E-2</v>
      </c>
    </row>
    <row r="424" spans="1:20" x14ac:dyDescent="0.25">
      <c r="A424" s="5">
        <v>44169</v>
      </c>
      <c r="B424">
        <v>5.2380000000000004</v>
      </c>
      <c r="C424">
        <v>5.359</v>
      </c>
      <c r="D424">
        <v>4.8280000000000003</v>
      </c>
      <c r="E424">
        <v>4.9509999999999996</v>
      </c>
      <c r="F424">
        <v>1621681.588</v>
      </c>
      <c r="G424">
        <v>0</v>
      </c>
      <c r="L424" t="s">
        <v>7</v>
      </c>
      <c r="M424" t="s">
        <v>8</v>
      </c>
      <c r="N424" t="s">
        <v>8</v>
      </c>
      <c r="P424">
        <f t="shared" si="974"/>
        <v>-0.53672316384181018</v>
      </c>
      <c r="Q424">
        <f t="shared" si="975"/>
        <v>-870394.07265537092</v>
      </c>
      <c r="R424">
        <f t="shared" si="976"/>
        <v>4208551.8000690397</v>
      </c>
      <c r="S424">
        <f t="shared" si="977"/>
        <v>42.085518000690399</v>
      </c>
      <c r="T424">
        <f t="shared" si="978"/>
        <v>4.2085518000690401E-2</v>
      </c>
    </row>
    <row r="425" spans="1:20" x14ac:dyDescent="0.25">
      <c r="A425" s="5">
        <v>44168</v>
      </c>
      <c r="B425">
        <v>5.266</v>
      </c>
      <c r="C425">
        <v>5.3</v>
      </c>
      <c r="D425">
        <v>5.0129999999999999</v>
      </c>
      <c r="E425">
        <v>5.2380000000000004</v>
      </c>
      <c r="F425">
        <v>837082.054</v>
      </c>
      <c r="G425">
        <v>0</v>
      </c>
      <c r="L425" t="s">
        <v>7</v>
      </c>
      <c r="M425" t="s">
        <v>8</v>
      </c>
      <c r="N425" t="s">
        <v>8</v>
      </c>
      <c r="P425">
        <f t="shared" si="974"/>
        <v>0.56794425087108424</v>
      </c>
      <c r="Q425">
        <f t="shared" si="975"/>
        <v>475415.9400766585</v>
      </c>
      <c r="R425">
        <f t="shared" si="976"/>
        <v>5078945.8727244101</v>
      </c>
      <c r="S425">
        <f t="shared" si="977"/>
        <v>50.789458727244103</v>
      </c>
      <c r="T425">
        <f t="shared" si="978"/>
        <v>5.0789458727244101E-2</v>
      </c>
    </row>
    <row r="426" spans="1:20" x14ac:dyDescent="0.25">
      <c r="A426" s="5">
        <v>44167</v>
      </c>
      <c r="B426">
        <v>4.7450000000000001</v>
      </c>
      <c r="C426">
        <v>5.4829999999999997</v>
      </c>
      <c r="D426">
        <v>4.6790000000000003</v>
      </c>
      <c r="E426">
        <v>5.2649999999999997</v>
      </c>
      <c r="F426">
        <v>1403573.0730000001</v>
      </c>
      <c r="G426">
        <v>0</v>
      </c>
      <c r="L426" t="s">
        <v>8</v>
      </c>
      <c r="M426" t="s">
        <v>8</v>
      </c>
      <c r="N426" t="s">
        <v>8</v>
      </c>
      <c r="P426">
        <f t="shared" si="974"/>
        <v>0.45771144278606929</v>
      </c>
      <c r="Q426">
        <f t="shared" si="975"/>
        <v>642431.45629850705</v>
      </c>
      <c r="R426">
        <f t="shared" si="976"/>
        <v>4603529.9326477516</v>
      </c>
      <c r="S426">
        <f t="shared" si="977"/>
        <v>46.035299326477514</v>
      </c>
      <c r="T426">
        <f t="shared" si="978"/>
        <v>4.6035299326477513E-2</v>
      </c>
    </row>
    <row r="427" spans="1:20" x14ac:dyDescent="0.25">
      <c r="A427" s="5">
        <v>44166</v>
      </c>
      <c r="B427">
        <v>4.7530000000000001</v>
      </c>
      <c r="C427">
        <v>5.2679999999999998</v>
      </c>
      <c r="D427">
        <v>4.5309999999999997</v>
      </c>
      <c r="E427">
        <v>4.7439999999999998</v>
      </c>
      <c r="F427">
        <v>1470103.4580000001</v>
      </c>
      <c r="G427">
        <v>0</v>
      </c>
      <c r="L427" t="s">
        <v>8</v>
      </c>
      <c r="M427" t="s">
        <v>8</v>
      </c>
      <c r="N427" t="s">
        <v>8</v>
      </c>
      <c r="P427">
        <f t="shared" si="974"/>
        <v>-0.42198100407055616</v>
      </c>
      <c r="Q427">
        <f t="shared" si="975"/>
        <v>-620355.73329443671</v>
      </c>
      <c r="R427">
        <f t="shared" si="976"/>
        <v>3961098.4763492448</v>
      </c>
      <c r="S427">
        <f t="shared" si="977"/>
        <v>39.610984763492446</v>
      </c>
      <c r="T427">
        <f t="shared" si="978"/>
        <v>3.9610984763492445E-2</v>
      </c>
    </row>
    <row r="428" spans="1:20" x14ac:dyDescent="0.25">
      <c r="A428" s="5">
        <v>44165</v>
      </c>
      <c r="B428">
        <v>4.5620000000000003</v>
      </c>
      <c r="C428">
        <v>4.95</v>
      </c>
      <c r="D428">
        <v>4.5620000000000003</v>
      </c>
      <c r="E428">
        <v>4.74</v>
      </c>
      <c r="F428">
        <v>1324477.791</v>
      </c>
      <c r="G428">
        <v>0</v>
      </c>
      <c r="L428" t="s">
        <v>8</v>
      </c>
      <c r="M428" t="s">
        <v>8</v>
      </c>
      <c r="N428" t="s">
        <v>8</v>
      </c>
      <c r="P428">
        <f t="shared" si="974"/>
        <v>-8.2474226804123807E-2</v>
      </c>
      <c r="Q428">
        <f t="shared" si="975"/>
        <v>-109235.28173195889</v>
      </c>
      <c r="R428">
        <f t="shared" si="976"/>
        <v>4581454.2096436815</v>
      </c>
      <c r="S428">
        <f t="shared" si="977"/>
        <v>45.814542096436817</v>
      </c>
      <c r="T428">
        <f t="shared" si="978"/>
        <v>4.5814542096436817E-2</v>
      </c>
    </row>
    <row r="429" spans="1:20" x14ac:dyDescent="0.25">
      <c r="A429" s="5">
        <v>44164</v>
      </c>
      <c r="B429">
        <v>4.2640000000000002</v>
      </c>
      <c r="C429">
        <v>4.5720000000000001</v>
      </c>
      <c r="D429">
        <v>4.1189999999999998</v>
      </c>
      <c r="E429">
        <v>4.5510000000000002</v>
      </c>
      <c r="F429">
        <v>839995.99699999997</v>
      </c>
      <c r="G429">
        <v>0</v>
      </c>
      <c r="L429" t="s">
        <v>8</v>
      </c>
      <c r="M429" t="s">
        <v>8</v>
      </c>
      <c r="N429" t="s">
        <v>8</v>
      </c>
      <c r="P429">
        <f t="shared" si="974"/>
        <v>0.90728476821192094</v>
      </c>
      <c r="Q429">
        <f t="shared" si="975"/>
        <v>762115.57343708642</v>
      </c>
      <c r="R429">
        <f t="shared" si="976"/>
        <v>4690689.49137564</v>
      </c>
      <c r="S429">
        <f t="shared" si="977"/>
        <v>46.906894913756403</v>
      </c>
      <c r="T429">
        <f t="shared" si="978"/>
        <v>4.6906894913756401E-2</v>
      </c>
    </row>
    <row r="430" spans="1:20" x14ac:dyDescent="0.25">
      <c r="A430" s="5">
        <v>44163</v>
      </c>
      <c r="B430">
        <v>4.1269999999999998</v>
      </c>
      <c r="C430">
        <v>4.4480000000000004</v>
      </c>
      <c r="D430">
        <v>4</v>
      </c>
      <c r="E430">
        <v>4.2640000000000002</v>
      </c>
      <c r="F430">
        <v>840083.31799999997</v>
      </c>
      <c r="G430">
        <v>0</v>
      </c>
      <c r="L430" t="s">
        <v>7</v>
      </c>
      <c r="M430" t="s">
        <v>8</v>
      </c>
      <c r="N430" t="s">
        <v>8</v>
      </c>
      <c r="P430">
        <f t="shared" si="974"/>
        <v>0.17857142857142858</v>
      </c>
      <c r="Q430">
        <f t="shared" si="975"/>
        <v>150014.87821428571</v>
      </c>
      <c r="R430">
        <f t="shared" si="976"/>
        <v>3928573.9179385533</v>
      </c>
      <c r="S430">
        <f t="shared" si="977"/>
        <v>39.28573917938553</v>
      </c>
      <c r="T430">
        <f t="shared" si="978"/>
        <v>3.9285739179385527E-2</v>
      </c>
    </row>
    <row r="431" spans="1:20" x14ac:dyDescent="0.25">
      <c r="A431" s="5">
        <v>44162</v>
      </c>
      <c r="B431">
        <v>4.3360000000000003</v>
      </c>
      <c r="C431">
        <v>4.5990000000000002</v>
      </c>
      <c r="D431">
        <v>3.9039999999999999</v>
      </c>
      <c r="E431">
        <v>4.1239999999999997</v>
      </c>
      <c r="F431">
        <v>1506551.425</v>
      </c>
      <c r="G431">
        <v>0</v>
      </c>
      <c r="L431" t="s">
        <v>8</v>
      </c>
      <c r="M431" t="s">
        <v>8</v>
      </c>
      <c r="N431" t="s">
        <v>8</v>
      </c>
      <c r="P431">
        <f t="shared" si="974"/>
        <v>-0.36690647482014488</v>
      </c>
      <c r="Q431">
        <f t="shared" si="975"/>
        <v>-552763.47248201596</v>
      </c>
      <c r="R431">
        <f t="shared" si="976"/>
        <v>3778559.0397242676</v>
      </c>
      <c r="S431">
        <f t="shared" si="977"/>
        <v>37.785590397242679</v>
      </c>
      <c r="T431">
        <f t="shared" si="978"/>
        <v>3.7785590397242677E-2</v>
      </c>
    </row>
    <row r="432" spans="1:20" x14ac:dyDescent="0.25">
      <c r="A432" s="5">
        <v>44161</v>
      </c>
      <c r="B432">
        <v>4.8239999999999998</v>
      </c>
      <c r="C432">
        <v>4.8490000000000002</v>
      </c>
      <c r="D432">
        <v>3.3849999999999998</v>
      </c>
      <c r="E432">
        <v>4.3339999999999996</v>
      </c>
      <c r="F432">
        <v>4172683.0219999999</v>
      </c>
      <c r="G432">
        <v>0</v>
      </c>
      <c r="L432" t="s">
        <v>7</v>
      </c>
      <c r="M432" t="s">
        <v>7</v>
      </c>
      <c r="N432" t="s">
        <v>7</v>
      </c>
      <c r="P432">
        <f t="shared" si="974"/>
        <v>0.29644808743169343</v>
      </c>
      <c r="Q432">
        <f t="shared" si="975"/>
        <v>1236983.9013305986</v>
      </c>
      <c r="R432">
        <f t="shared" si="976"/>
        <v>4331322.5122062834</v>
      </c>
      <c r="S432">
        <f t="shared" si="977"/>
        <v>43.313225122062832</v>
      </c>
      <c r="T432">
        <f t="shared" si="978"/>
        <v>4.3313225122062829E-2</v>
      </c>
    </row>
    <row r="433" spans="1:20" x14ac:dyDescent="0.25">
      <c r="A433" s="5">
        <v>44160</v>
      </c>
      <c r="B433">
        <v>5.2389999999999999</v>
      </c>
      <c r="C433">
        <v>5.3620000000000001</v>
      </c>
      <c r="D433">
        <v>4.5650000000000004</v>
      </c>
      <c r="E433">
        <v>4.8230000000000004</v>
      </c>
      <c r="F433">
        <v>1239580.389</v>
      </c>
      <c r="G433">
        <v>0</v>
      </c>
      <c r="L433" t="s">
        <v>7</v>
      </c>
      <c r="M433" t="s">
        <v>7</v>
      </c>
      <c r="N433" t="s">
        <v>8</v>
      </c>
      <c r="P433">
        <f t="shared" si="974"/>
        <v>-0.35257214554579647</v>
      </c>
      <c r="Q433">
        <f t="shared" si="975"/>
        <v>-437041.51732622297</v>
      </c>
      <c r="R433">
        <f t="shared" si="976"/>
        <v>3094338.6108756848</v>
      </c>
      <c r="S433">
        <f t="shared" si="977"/>
        <v>30.943386108756847</v>
      </c>
      <c r="T433">
        <f t="shared" si="978"/>
        <v>3.0943386108756847E-2</v>
      </c>
    </row>
    <row r="434" spans="1:20" x14ac:dyDescent="0.25">
      <c r="A434" s="5">
        <v>44159</v>
      </c>
      <c r="B434">
        <v>5.4509999999999996</v>
      </c>
      <c r="C434">
        <v>5.83</v>
      </c>
      <c r="D434">
        <v>5.0999999999999996</v>
      </c>
      <c r="E434">
        <v>5.2389999999999999</v>
      </c>
      <c r="F434">
        <v>1353258.655</v>
      </c>
      <c r="G434">
        <v>0</v>
      </c>
      <c r="L434" t="s">
        <v>8</v>
      </c>
      <c r="M434" t="s">
        <v>8</v>
      </c>
      <c r="N434" t="s">
        <v>8</v>
      </c>
      <c r="P434">
        <f t="shared" si="974"/>
        <v>-0.61917808219178039</v>
      </c>
      <c r="Q434">
        <f t="shared" si="975"/>
        <v>-837908.09871232824</v>
      </c>
      <c r="R434">
        <f t="shared" si="976"/>
        <v>3531380.128201908</v>
      </c>
      <c r="S434">
        <f t="shared" si="977"/>
        <v>35.313801282019078</v>
      </c>
      <c r="T434">
        <f t="shared" si="978"/>
        <v>3.5313801282019081E-2</v>
      </c>
    </row>
    <row r="435" spans="1:20" x14ac:dyDescent="0.25">
      <c r="A435" s="5">
        <v>44158</v>
      </c>
      <c r="B435">
        <v>5.0030000000000001</v>
      </c>
      <c r="C435">
        <v>5.56</v>
      </c>
      <c r="D435">
        <v>4.9420000000000002</v>
      </c>
      <c r="E435">
        <v>5.452</v>
      </c>
      <c r="F435">
        <v>1129884.1599999999</v>
      </c>
      <c r="G435">
        <v>0</v>
      </c>
      <c r="L435" t="s">
        <v>8</v>
      </c>
      <c r="M435" t="s">
        <v>8</v>
      </c>
      <c r="N435" t="s">
        <v>8</v>
      </c>
      <c r="P435">
        <f t="shared" si="974"/>
        <v>0.6504854368932047</v>
      </c>
      <c r="Q435">
        <f t="shared" si="975"/>
        <v>734973.1914563115</v>
      </c>
      <c r="R435">
        <f t="shared" si="976"/>
        <v>4369288.2269142363</v>
      </c>
      <c r="S435">
        <f t="shared" si="977"/>
        <v>43.692882269142366</v>
      </c>
      <c r="T435">
        <f t="shared" si="978"/>
        <v>4.3692882269142364E-2</v>
      </c>
    </row>
    <row r="436" spans="1:20" x14ac:dyDescent="0.25">
      <c r="A436" s="5">
        <v>44157</v>
      </c>
      <c r="B436">
        <v>5.2539999999999996</v>
      </c>
      <c r="C436">
        <v>5.34</v>
      </c>
      <c r="D436">
        <v>4.617</v>
      </c>
      <c r="E436">
        <v>5.0019999999999998</v>
      </c>
      <c r="F436">
        <v>1494824.27</v>
      </c>
      <c r="G436">
        <v>0</v>
      </c>
      <c r="L436" t="s">
        <v>7</v>
      </c>
      <c r="M436" t="s">
        <v>7</v>
      </c>
      <c r="N436" t="s">
        <v>8</v>
      </c>
      <c r="P436">
        <f t="shared" si="974"/>
        <v>6.5006915629321871E-2</v>
      </c>
      <c r="Q436">
        <f t="shared" si="975"/>
        <v>97173.915200552656</v>
      </c>
      <c r="R436">
        <f t="shared" si="976"/>
        <v>3634315.0354579245</v>
      </c>
      <c r="S436">
        <f t="shared" si="977"/>
        <v>36.343150354579244</v>
      </c>
      <c r="T436">
        <f t="shared" si="978"/>
        <v>3.6343150354579246E-2</v>
      </c>
    </row>
    <row r="437" spans="1:20" x14ac:dyDescent="0.25">
      <c r="A437" s="5">
        <v>44156</v>
      </c>
      <c r="B437">
        <v>5.1369999999999996</v>
      </c>
      <c r="C437">
        <v>5.5890000000000004</v>
      </c>
      <c r="D437">
        <v>5.069</v>
      </c>
      <c r="E437">
        <v>5.2549999999999999</v>
      </c>
      <c r="F437">
        <v>1081983.352</v>
      </c>
      <c r="G437">
        <v>0</v>
      </c>
      <c r="L437" t="s">
        <v>7</v>
      </c>
      <c r="M437" t="s">
        <v>8</v>
      </c>
      <c r="N437" t="s">
        <v>8</v>
      </c>
      <c r="P437">
        <f t="shared" si="974"/>
        <v>-0.28461538461538549</v>
      </c>
      <c r="Q437">
        <f t="shared" si="975"/>
        <v>-307949.10787692404</v>
      </c>
      <c r="R437">
        <f t="shared" si="976"/>
        <v>3537141.120257372</v>
      </c>
      <c r="S437">
        <f t="shared" si="977"/>
        <v>35.371411202573718</v>
      </c>
      <c r="T437">
        <f t="shared" si="978"/>
        <v>3.537141120257372E-2</v>
      </c>
    </row>
    <row r="438" spans="1:20" x14ac:dyDescent="0.25">
      <c r="A438" s="5">
        <v>44155</v>
      </c>
      <c r="B438">
        <v>4.99</v>
      </c>
      <c r="C438">
        <v>5.7</v>
      </c>
      <c r="D438">
        <v>4.7850000000000001</v>
      </c>
      <c r="E438">
        <v>5.13</v>
      </c>
      <c r="F438">
        <v>1980266.0060000001</v>
      </c>
      <c r="G438">
        <v>0</v>
      </c>
      <c r="L438" t="s">
        <v>8</v>
      </c>
      <c r="M438" t="s">
        <v>8</v>
      </c>
      <c r="N438" t="s">
        <v>8</v>
      </c>
      <c r="P438">
        <f t="shared" si="974"/>
        <v>-0.24590163934426287</v>
      </c>
      <c r="Q438">
        <f t="shared" si="975"/>
        <v>-486950.65721311589</v>
      </c>
      <c r="R438">
        <f t="shared" si="976"/>
        <v>3845090.2281342959</v>
      </c>
      <c r="S438">
        <f t="shared" si="977"/>
        <v>38.450902281342962</v>
      </c>
      <c r="T438">
        <f t="shared" si="978"/>
        <v>3.8450902281342965E-2</v>
      </c>
    </row>
    <row r="439" spans="1:20" x14ac:dyDescent="0.25">
      <c r="A439" s="5">
        <v>44154</v>
      </c>
      <c r="B439">
        <v>4.8719999999999999</v>
      </c>
      <c r="C439">
        <v>5.2649999999999997</v>
      </c>
      <c r="D439">
        <v>4.5599999999999996</v>
      </c>
      <c r="E439">
        <v>4.992</v>
      </c>
      <c r="F439">
        <v>1514198.0889999999</v>
      </c>
      <c r="G439">
        <v>0</v>
      </c>
      <c r="L439" t="s">
        <v>8</v>
      </c>
      <c r="M439" t="s">
        <v>8</v>
      </c>
      <c r="N439" t="s">
        <v>8</v>
      </c>
      <c r="P439">
        <f t="shared" si="974"/>
        <v>0.22553191489361799</v>
      </c>
      <c r="Q439">
        <f t="shared" si="975"/>
        <v>341499.994540427</v>
      </c>
      <c r="R439">
        <f t="shared" si="976"/>
        <v>4332040.885347412</v>
      </c>
      <c r="S439">
        <f t="shared" si="977"/>
        <v>43.32040885347412</v>
      </c>
      <c r="T439">
        <f t="shared" si="978"/>
        <v>4.3320408853474122E-2</v>
      </c>
    </row>
    <row r="440" spans="1:20" x14ac:dyDescent="0.25">
      <c r="A440" s="5">
        <v>44153</v>
      </c>
      <c r="B440">
        <v>5.0810000000000004</v>
      </c>
      <c r="C440">
        <v>5.19</v>
      </c>
      <c r="D440">
        <v>4.4640000000000004</v>
      </c>
      <c r="E440">
        <v>4.875</v>
      </c>
      <c r="F440">
        <v>1667268.9720000001</v>
      </c>
      <c r="G440">
        <v>0</v>
      </c>
      <c r="L440" t="s">
        <v>7</v>
      </c>
      <c r="M440" t="s">
        <v>7</v>
      </c>
      <c r="N440" t="s">
        <v>8</v>
      </c>
      <c r="P440">
        <f t="shared" si="974"/>
        <v>0.13223140495867658</v>
      </c>
      <c r="Q440">
        <f t="shared" si="975"/>
        <v>220465.31861156842</v>
      </c>
      <c r="R440">
        <f t="shared" si="976"/>
        <v>3990540.8908069846</v>
      </c>
      <c r="S440">
        <f t="shared" si="977"/>
        <v>39.905408908069845</v>
      </c>
      <c r="T440">
        <f t="shared" si="978"/>
        <v>3.9905408908069845E-2</v>
      </c>
    </row>
    <row r="441" spans="1:20" x14ac:dyDescent="0.25">
      <c r="A441" s="5">
        <v>44152</v>
      </c>
      <c r="B441">
        <v>4.4260000000000002</v>
      </c>
      <c r="C441">
        <v>5.423</v>
      </c>
      <c r="D441">
        <v>4.415</v>
      </c>
      <c r="E441">
        <v>5.0739999999999998</v>
      </c>
      <c r="F441">
        <v>2305541.753</v>
      </c>
      <c r="G441">
        <v>0</v>
      </c>
      <c r="L441" t="s">
        <v>8</v>
      </c>
      <c r="M441" t="s">
        <v>8</v>
      </c>
      <c r="N441" t="s">
        <v>8</v>
      </c>
      <c r="P441">
        <f t="shared" si="974"/>
        <v>0.30753968253968217</v>
      </c>
      <c r="Q441">
        <f t="shared" si="975"/>
        <v>709045.57879960234</v>
      </c>
      <c r="R441">
        <f t="shared" si="976"/>
        <v>3770075.5721954163</v>
      </c>
      <c r="S441">
        <f t="shared" si="977"/>
        <v>37.700755721954167</v>
      </c>
      <c r="T441">
        <f t="shared" si="978"/>
        <v>3.7700755721954166E-2</v>
      </c>
    </row>
    <row r="442" spans="1:20" x14ac:dyDescent="0.25">
      <c r="A442" s="5">
        <v>44151</v>
      </c>
      <c r="B442">
        <v>4.1369999999999996</v>
      </c>
      <c r="C442">
        <v>4.57</v>
      </c>
      <c r="D442">
        <v>4.0650000000000004</v>
      </c>
      <c r="E442">
        <v>4.423</v>
      </c>
      <c r="F442">
        <v>1212076.1599999999</v>
      </c>
      <c r="G442">
        <v>0</v>
      </c>
      <c r="L442" t="s">
        <v>7</v>
      </c>
      <c r="M442" t="s">
        <v>8</v>
      </c>
      <c r="N442" t="s">
        <v>8</v>
      </c>
      <c r="P442">
        <f t="shared" si="974"/>
        <v>0.41782178217821675</v>
      </c>
      <c r="Q442">
        <f t="shared" si="975"/>
        <v>506431.82130692934</v>
      </c>
      <c r="R442">
        <f t="shared" si="976"/>
        <v>3061029.9933958142</v>
      </c>
      <c r="S442">
        <f t="shared" si="977"/>
        <v>30.610299933958142</v>
      </c>
      <c r="T442">
        <f t="shared" si="978"/>
        <v>3.0610299933958144E-2</v>
      </c>
    </row>
    <row r="443" spans="1:20" x14ac:dyDescent="0.25">
      <c r="A443" s="5">
        <v>44150</v>
      </c>
      <c r="B443">
        <v>4.3129999999999997</v>
      </c>
      <c r="C443">
        <v>4.5789999999999997</v>
      </c>
      <c r="D443">
        <v>3.956</v>
      </c>
      <c r="E443">
        <v>4.125</v>
      </c>
      <c r="F443">
        <v>1930288.301</v>
      </c>
      <c r="G443">
        <v>0</v>
      </c>
      <c r="L443" t="s">
        <v>8</v>
      </c>
      <c r="M443" t="s">
        <v>8</v>
      </c>
      <c r="N443" t="s">
        <v>8</v>
      </c>
      <c r="P443">
        <f t="shared" si="974"/>
        <v>-0.45746388443017627</v>
      </c>
      <c r="Q443">
        <f t="shared" si="975"/>
        <v>-883037.18424558535</v>
      </c>
      <c r="R443">
        <f t="shared" si="976"/>
        <v>2554598.1720888847</v>
      </c>
      <c r="S443">
        <f t="shared" si="977"/>
        <v>25.545981720888847</v>
      </c>
      <c r="T443">
        <f t="shared" si="978"/>
        <v>2.5545981720888847E-2</v>
      </c>
    </row>
    <row r="444" spans="1:20" x14ac:dyDescent="0.25">
      <c r="A444" s="5">
        <v>44149</v>
      </c>
      <c r="B444">
        <v>4.2220000000000004</v>
      </c>
      <c r="C444">
        <v>4.5</v>
      </c>
      <c r="D444">
        <v>3.86</v>
      </c>
      <c r="E444">
        <v>4.3099999999999996</v>
      </c>
      <c r="F444">
        <v>1523228.7579999999</v>
      </c>
      <c r="G444">
        <v>0</v>
      </c>
      <c r="L444" t="s">
        <v>7</v>
      </c>
      <c r="M444" t="s">
        <v>8</v>
      </c>
      <c r="N444" t="s">
        <v>8</v>
      </c>
      <c r="P444">
        <f t="shared" si="974"/>
        <v>0.40624999999999889</v>
      </c>
      <c r="Q444">
        <f t="shared" si="975"/>
        <v>618811.68293749832</v>
      </c>
      <c r="R444">
        <f t="shared" si="976"/>
        <v>3437635.3563344702</v>
      </c>
      <c r="S444">
        <f t="shared" si="977"/>
        <v>34.376353563344701</v>
      </c>
      <c r="T444">
        <f t="shared" si="978"/>
        <v>3.4376353563344703E-2</v>
      </c>
    </row>
    <row r="445" spans="1:20" x14ac:dyDescent="0.25">
      <c r="A445" s="5">
        <v>44148</v>
      </c>
      <c r="B445">
        <v>3.762</v>
      </c>
      <c r="C445">
        <v>4.4630000000000001</v>
      </c>
      <c r="D445">
        <v>3.7509999999999999</v>
      </c>
      <c r="E445">
        <v>4.2220000000000004</v>
      </c>
      <c r="F445">
        <v>1844935.7760000001</v>
      </c>
      <c r="G445">
        <v>0</v>
      </c>
      <c r="L445" t="s">
        <v>8</v>
      </c>
      <c r="M445" t="s">
        <v>8</v>
      </c>
      <c r="N445" t="s">
        <v>8</v>
      </c>
      <c r="P445">
        <f t="shared" si="974"/>
        <v>0.32303370786516966</v>
      </c>
      <c r="Q445">
        <f t="shared" si="975"/>
        <v>595976.44449438411</v>
      </c>
      <c r="R445">
        <f t="shared" si="976"/>
        <v>2818823.673396972</v>
      </c>
      <c r="S445">
        <f t="shared" si="977"/>
        <v>28.18823673396972</v>
      </c>
      <c r="T445">
        <f t="shared" si="978"/>
        <v>2.818823673396972E-2</v>
      </c>
    </row>
    <row r="446" spans="1:20" x14ac:dyDescent="0.25">
      <c r="A446" s="5">
        <v>44147</v>
      </c>
      <c r="B446">
        <v>3.9969999999999999</v>
      </c>
      <c r="C446">
        <v>4.2709999999999999</v>
      </c>
      <c r="D446">
        <v>3.7120000000000002</v>
      </c>
      <c r="E446">
        <v>3.762</v>
      </c>
      <c r="F446">
        <v>1320927.75</v>
      </c>
      <c r="G446">
        <v>0</v>
      </c>
      <c r="L446" t="s">
        <v>7</v>
      </c>
      <c r="M446" t="s">
        <v>7</v>
      </c>
      <c r="N446" t="s">
        <v>8</v>
      </c>
      <c r="P446">
        <f t="shared" si="974"/>
        <v>-0.82110912343470532</v>
      </c>
      <c r="Q446">
        <f t="shared" si="975"/>
        <v>-1084625.8269230775</v>
      </c>
      <c r="R446">
        <f t="shared" si="976"/>
        <v>2222847.2289025881</v>
      </c>
      <c r="S446">
        <f t="shared" si="977"/>
        <v>22.228472289025881</v>
      </c>
      <c r="T446">
        <f t="shared" si="978"/>
        <v>2.2228472289025882E-2</v>
      </c>
    </row>
    <row r="447" spans="1:20" x14ac:dyDescent="0.25">
      <c r="A447" s="5">
        <v>44146</v>
      </c>
      <c r="B447">
        <v>4.67</v>
      </c>
      <c r="C447">
        <v>4.7729999999999997</v>
      </c>
      <c r="D447">
        <v>3.9820000000000002</v>
      </c>
      <c r="E447">
        <v>3.9969999999999999</v>
      </c>
      <c r="F447">
        <v>1149973.0020000001</v>
      </c>
      <c r="G447">
        <v>0</v>
      </c>
      <c r="L447" t="s">
        <v>7</v>
      </c>
      <c r="M447" t="s">
        <v>7</v>
      </c>
      <c r="N447" t="s">
        <v>8</v>
      </c>
      <c r="P447">
        <f t="shared" si="974"/>
        <v>-0.96207332490518405</v>
      </c>
      <c r="Q447">
        <f t="shared" si="975"/>
        <v>-1106358.3495853359</v>
      </c>
      <c r="R447">
        <f t="shared" si="976"/>
        <v>3307473.0558256656</v>
      </c>
      <c r="S447">
        <f t="shared" si="977"/>
        <v>33.074730558256654</v>
      </c>
      <c r="T447">
        <f t="shared" si="978"/>
        <v>3.3074730558256653E-2</v>
      </c>
    </row>
    <row r="448" spans="1:20" x14ac:dyDescent="0.25">
      <c r="A448" s="5">
        <v>44145</v>
      </c>
      <c r="B448">
        <v>4.2409999999999997</v>
      </c>
      <c r="C448">
        <v>4.9400000000000004</v>
      </c>
      <c r="D448">
        <v>4.117</v>
      </c>
      <c r="E448">
        <v>4.6719999999999997</v>
      </c>
      <c r="F448">
        <v>1528016.3629999999</v>
      </c>
      <c r="G448">
        <v>0</v>
      </c>
      <c r="L448" t="s">
        <v>8</v>
      </c>
      <c r="M448" t="s">
        <v>8</v>
      </c>
      <c r="N448" t="s">
        <v>8</v>
      </c>
      <c r="P448">
        <f t="shared" si="974"/>
        <v>0.34872417982988929</v>
      </c>
      <c r="Q448">
        <f t="shared" si="975"/>
        <v>532856.2529538254</v>
      </c>
      <c r="R448">
        <f t="shared" si="976"/>
        <v>4413831.4054110013</v>
      </c>
      <c r="S448">
        <f t="shared" si="977"/>
        <v>44.138314054110012</v>
      </c>
      <c r="T448">
        <f t="shared" si="978"/>
        <v>4.4138314054110013E-2</v>
      </c>
    </row>
    <row r="449" spans="1:20" x14ac:dyDescent="0.25">
      <c r="A449" s="5">
        <v>44144</v>
      </c>
      <c r="B449">
        <v>4.4109999999999996</v>
      </c>
      <c r="C449">
        <v>4.5979999999999999</v>
      </c>
      <c r="D449">
        <v>3.956</v>
      </c>
      <c r="E449">
        <v>4.2430000000000003</v>
      </c>
      <c r="F449">
        <v>1772084.9739999999</v>
      </c>
      <c r="G449">
        <v>0</v>
      </c>
      <c r="L449" t="s">
        <v>8</v>
      </c>
      <c r="M449" t="s">
        <v>8</v>
      </c>
      <c r="N449" t="s">
        <v>8</v>
      </c>
      <c r="P449">
        <f t="shared" si="974"/>
        <v>-0.10591900311526352</v>
      </c>
      <c r="Q449">
        <f t="shared" si="975"/>
        <v>-187697.47388161765</v>
      </c>
      <c r="R449">
        <f t="shared" si="976"/>
        <v>3880975.1524571762</v>
      </c>
      <c r="S449">
        <f t="shared" si="977"/>
        <v>38.809751524571766</v>
      </c>
      <c r="T449">
        <f t="shared" si="978"/>
        <v>3.8809751524571764E-2</v>
      </c>
    </row>
    <row r="450" spans="1:20" x14ac:dyDescent="0.25">
      <c r="A450" s="5">
        <v>44143</v>
      </c>
      <c r="B450">
        <v>3.7629999999999999</v>
      </c>
      <c r="C450">
        <v>4.5549999999999997</v>
      </c>
      <c r="D450">
        <v>3.7</v>
      </c>
      <c r="E450">
        <v>4.4089999999999998</v>
      </c>
      <c r="F450">
        <v>2183652.304</v>
      </c>
      <c r="G450">
        <v>0</v>
      </c>
      <c r="L450" t="s">
        <v>7</v>
      </c>
      <c r="M450" t="s">
        <v>7</v>
      </c>
      <c r="N450" t="s">
        <v>8</v>
      </c>
      <c r="P450">
        <f t="shared" si="974"/>
        <v>0.65847953216374278</v>
      </c>
      <c r="Q450">
        <f t="shared" si="975"/>
        <v>1437890.3475461991</v>
      </c>
      <c r="R450">
        <f t="shared" si="976"/>
        <v>4068672.6263387939</v>
      </c>
      <c r="S450">
        <f t="shared" si="977"/>
        <v>40.686726263387939</v>
      </c>
      <c r="T450">
        <f t="shared" si="978"/>
        <v>4.0686726263387936E-2</v>
      </c>
    </row>
    <row r="451" spans="1:20" x14ac:dyDescent="0.25">
      <c r="A451" s="5">
        <v>44142</v>
      </c>
      <c r="B451">
        <v>3.536</v>
      </c>
      <c r="C451">
        <v>4.68</v>
      </c>
      <c r="D451">
        <v>3.5249999999999999</v>
      </c>
      <c r="E451">
        <v>3.7610000000000001</v>
      </c>
      <c r="F451">
        <v>3145744.4279999998</v>
      </c>
      <c r="G451">
        <v>0</v>
      </c>
      <c r="L451" t="s">
        <v>8</v>
      </c>
      <c r="M451" t="s">
        <v>8</v>
      </c>
      <c r="N451" t="s">
        <v>8</v>
      </c>
      <c r="P451">
        <f t="shared" si="974"/>
        <v>-0.59134199134199095</v>
      </c>
      <c r="Q451">
        <f t="shared" si="975"/>
        <v>-1860210.7743064922</v>
      </c>
      <c r="R451">
        <f t="shared" si="976"/>
        <v>2630782.2787925946</v>
      </c>
      <c r="S451">
        <f t="shared" si="977"/>
        <v>26.307822787925947</v>
      </c>
      <c r="T451">
        <f t="shared" si="978"/>
        <v>2.6307822787925948E-2</v>
      </c>
    </row>
    <row r="452" spans="1:20" x14ac:dyDescent="0.25">
      <c r="A452" s="5">
        <v>44141</v>
      </c>
      <c r="B452">
        <v>3.1629999999999998</v>
      </c>
      <c r="C452">
        <v>3.7</v>
      </c>
      <c r="D452">
        <v>3.1469999999999998</v>
      </c>
      <c r="E452">
        <v>3.5350000000000001</v>
      </c>
      <c r="F452">
        <v>2183386.7519999999</v>
      </c>
      <c r="G452">
        <v>0</v>
      </c>
      <c r="L452" t="s">
        <v>8</v>
      </c>
      <c r="M452" t="s">
        <v>8</v>
      </c>
      <c r="N452" t="s">
        <v>8</v>
      </c>
      <c r="P452">
        <f t="shared" si="974"/>
        <v>0.40325497287522633</v>
      </c>
      <c r="Q452">
        <f t="shared" si="975"/>
        <v>880461.5654538885</v>
      </c>
      <c r="R452">
        <f t="shared" si="976"/>
        <v>4490993.0530990865</v>
      </c>
      <c r="S452">
        <f t="shared" si="977"/>
        <v>44.909930530990863</v>
      </c>
      <c r="T452">
        <f t="shared" si="978"/>
        <v>4.4909930530990863E-2</v>
      </c>
    </row>
    <row r="453" spans="1:20" x14ac:dyDescent="0.25">
      <c r="A453" s="5">
        <v>44140</v>
      </c>
      <c r="B453">
        <v>2.7290000000000001</v>
      </c>
      <c r="C453">
        <v>3.29</v>
      </c>
      <c r="D453">
        <v>2.5470000000000002</v>
      </c>
      <c r="E453">
        <v>3.161</v>
      </c>
      <c r="F453">
        <v>1621875.4469999999</v>
      </c>
      <c r="G453">
        <v>0</v>
      </c>
      <c r="L453" t="s">
        <v>8</v>
      </c>
      <c r="M453" t="s">
        <v>8</v>
      </c>
      <c r="N453" t="s">
        <v>7</v>
      </c>
      <c r="P453">
        <f t="shared" si="974"/>
        <v>0.65275908479138622</v>
      </c>
      <c r="Q453">
        <f t="shared" si="975"/>
        <v>1058693.9324293404</v>
      </c>
      <c r="R453">
        <f t="shared" si="976"/>
        <v>3610531.4876451977</v>
      </c>
      <c r="S453">
        <f t="shared" si="977"/>
        <v>36.105314876451978</v>
      </c>
      <c r="T453">
        <f t="shared" si="978"/>
        <v>3.610531487645198E-2</v>
      </c>
    </row>
    <row r="454" spans="1:20" x14ac:dyDescent="0.25">
      <c r="A454" s="5">
        <v>44139</v>
      </c>
      <c r="B454">
        <v>2.5760000000000001</v>
      </c>
      <c r="C454">
        <v>2.7679999999999998</v>
      </c>
      <c r="D454">
        <v>2.4710000000000001</v>
      </c>
      <c r="E454">
        <v>2.7269999999999999</v>
      </c>
      <c r="F454">
        <v>489714.08100000001</v>
      </c>
      <c r="G454">
        <v>0</v>
      </c>
      <c r="L454" t="s">
        <v>8</v>
      </c>
      <c r="M454" t="s">
        <v>7</v>
      </c>
      <c r="N454" t="s">
        <v>7</v>
      </c>
      <c r="P454">
        <f t="shared" ref="P454:P517" si="979">IF(C454=D454,0,((E454-D454)-(C454-E454))/(C454-D454))</f>
        <v>0.72390572390572416</v>
      </c>
      <c r="Q454">
        <f t="shared" ref="Q454:Q517" si="980">F454*P454</f>
        <v>354506.82631313143</v>
      </c>
      <c r="R454">
        <f t="shared" ref="R454:R517" si="981">R455+Q454</f>
        <v>2551837.5552158575</v>
      </c>
      <c r="S454">
        <f t="shared" ref="S454:S517" si="982">R454/100000</f>
        <v>25.518375552158574</v>
      </c>
      <c r="T454">
        <f t="shared" ref="T454:T517" si="983">S454/1000</f>
        <v>2.5518375552158575E-2</v>
      </c>
    </row>
    <row r="455" spans="1:20" x14ac:dyDescent="0.25">
      <c r="A455" s="5">
        <v>44138</v>
      </c>
      <c r="B455">
        <v>2.62</v>
      </c>
      <c r="C455">
        <v>2.62</v>
      </c>
      <c r="D455">
        <v>2.4700000000000002</v>
      </c>
      <c r="E455">
        <v>2.5710000000000002</v>
      </c>
      <c r="F455">
        <v>481063.54300000001</v>
      </c>
      <c r="G455">
        <v>0</v>
      </c>
      <c r="L455" t="s">
        <v>7</v>
      </c>
      <c r="M455" t="s">
        <v>7</v>
      </c>
      <c r="N455" t="s">
        <v>7</v>
      </c>
      <c r="P455">
        <f t="shared" si="979"/>
        <v>0.34666666666666718</v>
      </c>
      <c r="Q455">
        <f t="shared" si="980"/>
        <v>166768.6949066669</v>
      </c>
      <c r="R455">
        <f t="shared" si="981"/>
        <v>2197330.728902726</v>
      </c>
      <c r="S455">
        <f t="shared" si="982"/>
        <v>21.973307289027261</v>
      </c>
      <c r="T455">
        <f t="shared" si="983"/>
        <v>2.1973307289027261E-2</v>
      </c>
    </row>
    <row r="456" spans="1:20" x14ac:dyDescent="0.25">
      <c r="A456" s="5">
        <v>44137</v>
      </c>
      <c r="B456">
        <v>2.9060000000000001</v>
      </c>
      <c r="C456">
        <v>3.008</v>
      </c>
      <c r="D456">
        <v>2.61</v>
      </c>
      <c r="E456">
        <v>2.6120000000000001</v>
      </c>
      <c r="F456">
        <v>693942.05500000005</v>
      </c>
      <c r="G456">
        <v>0</v>
      </c>
      <c r="L456" t="s">
        <v>7</v>
      </c>
      <c r="M456" t="s">
        <v>7</v>
      </c>
      <c r="N456" t="s">
        <v>7</v>
      </c>
      <c r="P456">
        <f t="shared" si="979"/>
        <v>-0.98994974874371744</v>
      </c>
      <c r="Q456">
        <f t="shared" si="980"/>
        <v>-686967.76298994897</v>
      </c>
      <c r="R456">
        <f t="shared" si="981"/>
        <v>2030562.0339960591</v>
      </c>
      <c r="S456">
        <f t="shared" si="982"/>
        <v>20.305620339960591</v>
      </c>
      <c r="T456">
        <f t="shared" si="983"/>
        <v>2.0305620339960591E-2</v>
      </c>
    </row>
    <row r="457" spans="1:20" x14ac:dyDescent="0.25">
      <c r="A457" s="5">
        <v>44136</v>
      </c>
      <c r="B457">
        <v>3.0139999999999998</v>
      </c>
      <c r="C457">
        <v>3.036</v>
      </c>
      <c r="D457">
        <v>2.718</v>
      </c>
      <c r="E457">
        <v>2.9039999999999999</v>
      </c>
      <c r="F457">
        <v>703209.24</v>
      </c>
      <c r="G457">
        <v>0</v>
      </c>
      <c r="L457" t="s">
        <v>7</v>
      </c>
      <c r="M457" t="s">
        <v>7</v>
      </c>
      <c r="N457" t="s">
        <v>7</v>
      </c>
      <c r="P457">
        <f t="shared" si="979"/>
        <v>0.16981132075471639</v>
      </c>
      <c r="Q457">
        <f t="shared" si="980"/>
        <v>119412.88981132033</v>
      </c>
      <c r="R457">
        <f t="shared" si="981"/>
        <v>2717529.7969860081</v>
      </c>
      <c r="S457">
        <f t="shared" si="982"/>
        <v>27.175297969860079</v>
      </c>
      <c r="T457">
        <f t="shared" si="983"/>
        <v>2.7175297969860079E-2</v>
      </c>
    </row>
    <row r="458" spans="1:20" x14ac:dyDescent="0.25">
      <c r="A458" s="5">
        <v>44135</v>
      </c>
      <c r="B458">
        <v>3.105</v>
      </c>
      <c r="C458">
        <v>3.14</v>
      </c>
      <c r="D458">
        <v>3.0089999999999999</v>
      </c>
      <c r="E458">
        <v>3.0169999999999999</v>
      </c>
      <c r="F458">
        <v>226084.554</v>
      </c>
      <c r="G458">
        <v>0</v>
      </c>
      <c r="L458" t="s">
        <v>7</v>
      </c>
      <c r="M458" t="s">
        <v>7</v>
      </c>
      <c r="N458" t="s">
        <v>7</v>
      </c>
      <c r="P458">
        <f t="shared" si="979"/>
        <v>-0.87786259541984746</v>
      </c>
      <c r="Q458">
        <f t="shared" si="980"/>
        <v>-198471.17335877867</v>
      </c>
      <c r="R458">
        <f t="shared" si="981"/>
        <v>2598116.9071746878</v>
      </c>
      <c r="S458">
        <f t="shared" si="982"/>
        <v>25.98116907174688</v>
      </c>
      <c r="T458">
        <f t="shared" si="983"/>
        <v>2.5981169071746881E-2</v>
      </c>
    </row>
    <row r="459" spans="1:20" x14ac:dyDescent="0.25">
      <c r="A459" s="5">
        <v>44134</v>
      </c>
      <c r="B459">
        <v>3.2360000000000002</v>
      </c>
      <c r="C459">
        <v>3.2490000000000001</v>
      </c>
      <c r="D459">
        <v>2.9350000000000001</v>
      </c>
      <c r="E459">
        <v>3.1019999999999999</v>
      </c>
      <c r="F459">
        <v>1023138.758</v>
      </c>
      <c r="G459">
        <v>0</v>
      </c>
      <c r="L459" t="s">
        <v>7</v>
      </c>
      <c r="M459" t="s">
        <v>7</v>
      </c>
      <c r="N459" t="s">
        <v>7</v>
      </c>
      <c r="P459">
        <f t="shared" si="979"/>
        <v>6.3694267515922193E-2</v>
      </c>
      <c r="Q459">
        <f t="shared" si="980"/>
        <v>65168.073757960381</v>
      </c>
      <c r="R459">
        <f t="shared" si="981"/>
        <v>2796588.0805334663</v>
      </c>
      <c r="S459">
        <f t="shared" si="982"/>
        <v>27.965880805334663</v>
      </c>
      <c r="T459">
        <f t="shared" si="983"/>
        <v>2.7965880805334662E-2</v>
      </c>
    </row>
    <row r="460" spans="1:20" x14ac:dyDescent="0.25">
      <c r="A460" s="5">
        <v>44133</v>
      </c>
      <c r="B460">
        <v>3.597</v>
      </c>
      <c r="C460">
        <v>3.7949999999999999</v>
      </c>
      <c r="D460">
        <v>3.2269999999999999</v>
      </c>
      <c r="E460">
        <v>3.24</v>
      </c>
      <c r="F460">
        <v>771755.18500000006</v>
      </c>
      <c r="G460">
        <v>0</v>
      </c>
      <c r="L460" t="s">
        <v>7</v>
      </c>
      <c r="M460" t="s">
        <v>7</v>
      </c>
      <c r="N460" t="s">
        <v>7</v>
      </c>
      <c r="P460">
        <f t="shared" si="979"/>
        <v>-0.9542253521126749</v>
      </c>
      <c r="Q460">
        <f t="shared" si="980"/>
        <v>-736428.36315140757</v>
      </c>
      <c r="R460">
        <f t="shared" si="981"/>
        <v>2731420.0067755058</v>
      </c>
      <c r="S460">
        <f t="shared" si="982"/>
        <v>27.31420006775506</v>
      </c>
      <c r="T460">
        <f t="shared" si="983"/>
        <v>2.7314200067755059E-2</v>
      </c>
    </row>
    <row r="461" spans="1:20" x14ac:dyDescent="0.25">
      <c r="A461" s="5">
        <v>44132</v>
      </c>
      <c r="B461">
        <v>3.56</v>
      </c>
      <c r="C461">
        <v>3.8490000000000002</v>
      </c>
      <c r="D461">
        <v>3.339</v>
      </c>
      <c r="E461">
        <v>3.5910000000000002</v>
      </c>
      <c r="F461">
        <v>909679.99699999997</v>
      </c>
      <c r="G461">
        <v>0</v>
      </c>
      <c r="L461" t="s">
        <v>7</v>
      </c>
      <c r="M461" t="s">
        <v>7</v>
      </c>
      <c r="N461" t="s">
        <v>7</v>
      </c>
      <c r="P461">
        <f t="shared" si="979"/>
        <v>-1.1764705882352511E-2</v>
      </c>
      <c r="Q461">
        <f t="shared" si="980"/>
        <v>-10702.117611764314</v>
      </c>
      <c r="R461">
        <f t="shared" si="981"/>
        <v>3467848.3699269136</v>
      </c>
      <c r="S461">
        <f t="shared" si="982"/>
        <v>34.678483699269137</v>
      </c>
      <c r="T461">
        <f t="shared" si="983"/>
        <v>3.4678483699269139E-2</v>
      </c>
    </row>
    <row r="462" spans="1:20" x14ac:dyDescent="0.25">
      <c r="A462" s="5">
        <v>44131</v>
      </c>
      <c r="B462">
        <v>3.5369999999999999</v>
      </c>
      <c r="C462">
        <v>3.694</v>
      </c>
      <c r="D462">
        <v>3.45</v>
      </c>
      <c r="E462">
        <v>3.5510000000000002</v>
      </c>
      <c r="F462">
        <v>460280.152</v>
      </c>
      <c r="G462">
        <v>0</v>
      </c>
      <c r="L462" t="s">
        <v>7</v>
      </c>
      <c r="M462" t="s">
        <v>8</v>
      </c>
      <c r="N462" t="s">
        <v>7</v>
      </c>
      <c r="P462">
        <f t="shared" si="979"/>
        <v>-0.17213114754098302</v>
      </c>
      <c r="Q462">
        <f t="shared" si="980"/>
        <v>-79228.550754098091</v>
      </c>
      <c r="R462">
        <f t="shared" si="981"/>
        <v>3478550.4875386781</v>
      </c>
      <c r="S462">
        <f t="shared" si="982"/>
        <v>34.785504875386778</v>
      </c>
      <c r="T462">
        <f t="shared" si="983"/>
        <v>3.4785504875386779E-2</v>
      </c>
    </row>
    <row r="463" spans="1:20" x14ac:dyDescent="0.25">
      <c r="A463" s="5">
        <v>44130</v>
      </c>
      <c r="B463">
        <v>3.66</v>
      </c>
      <c r="C463">
        <v>3.73</v>
      </c>
      <c r="D463">
        <v>3.45</v>
      </c>
      <c r="E463">
        <v>3.5430000000000001</v>
      </c>
      <c r="F463">
        <v>570338.18299999996</v>
      </c>
      <c r="G463">
        <v>0</v>
      </c>
      <c r="L463" t="s">
        <v>7</v>
      </c>
      <c r="M463" t="s">
        <v>8</v>
      </c>
      <c r="N463" t="s">
        <v>7</v>
      </c>
      <c r="P463">
        <f t="shared" si="979"/>
        <v>-0.33571428571428547</v>
      </c>
      <c r="Q463">
        <f t="shared" si="980"/>
        <v>-191470.67572142842</v>
      </c>
      <c r="R463">
        <f t="shared" si="981"/>
        <v>3557779.0382927763</v>
      </c>
      <c r="S463">
        <f t="shared" si="982"/>
        <v>35.577790382927766</v>
      </c>
      <c r="T463">
        <f t="shared" si="983"/>
        <v>3.5577790382927764E-2</v>
      </c>
    </row>
    <row r="464" spans="1:20" x14ac:dyDescent="0.25">
      <c r="A464" s="5">
        <v>44129</v>
      </c>
      <c r="B464">
        <v>3.7749999999999999</v>
      </c>
      <c r="C464">
        <v>3.7839999999999998</v>
      </c>
      <c r="D464">
        <v>3.5550000000000002</v>
      </c>
      <c r="E464">
        <v>3.6549999999999998</v>
      </c>
      <c r="F464">
        <v>351657.66100000002</v>
      </c>
      <c r="G464">
        <v>0</v>
      </c>
      <c r="L464" t="s">
        <v>7</v>
      </c>
      <c r="M464" t="s">
        <v>8</v>
      </c>
      <c r="N464" t="s">
        <v>7</v>
      </c>
      <c r="P464">
        <f t="shared" si="979"/>
        <v>-0.1266375545851546</v>
      </c>
      <c r="Q464">
        <f t="shared" si="980"/>
        <v>-44533.0662401753</v>
      </c>
      <c r="R464">
        <f t="shared" si="981"/>
        <v>3749249.7140142047</v>
      </c>
      <c r="S464">
        <f t="shared" si="982"/>
        <v>37.492497140142049</v>
      </c>
      <c r="T464">
        <f t="shared" si="983"/>
        <v>3.749249714014205E-2</v>
      </c>
    </row>
    <row r="465" spans="1:20" x14ac:dyDescent="0.25">
      <c r="A465" s="5">
        <v>44128</v>
      </c>
      <c r="B465">
        <v>3.8</v>
      </c>
      <c r="C465">
        <v>3.8820000000000001</v>
      </c>
      <c r="D465">
        <v>3.7069999999999999</v>
      </c>
      <c r="E465">
        <v>3.774</v>
      </c>
      <c r="F465">
        <v>245384.147</v>
      </c>
      <c r="G465">
        <v>0</v>
      </c>
      <c r="L465" t="s">
        <v>7</v>
      </c>
      <c r="M465" t="s">
        <v>8</v>
      </c>
      <c r="N465" t="s">
        <v>7</v>
      </c>
      <c r="P465">
        <f t="shared" si="979"/>
        <v>-0.23428571428571351</v>
      </c>
      <c r="Q465">
        <f t="shared" si="980"/>
        <v>-57490.000154285524</v>
      </c>
      <c r="R465">
        <f t="shared" si="981"/>
        <v>3793782.7802543798</v>
      </c>
      <c r="S465">
        <f t="shared" si="982"/>
        <v>37.937827802543801</v>
      </c>
      <c r="T465">
        <f t="shared" si="983"/>
        <v>3.7937827802543803E-2</v>
      </c>
    </row>
    <row r="466" spans="1:20" x14ac:dyDescent="0.25">
      <c r="A466" s="5">
        <v>44127</v>
      </c>
      <c r="B466">
        <v>3.9009999999999998</v>
      </c>
      <c r="C466">
        <v>3.94</v>
      </c>
      <c r="D466">
        <v>3.6640000000000001</v>
      </c>
      <c r="E466">
        <v>3.802</v>
      </c>
      <c r="F466">
        <v>471731.065</v>
      </c>
      <c r="G466">
        <v>0</v>
      </c>
      <c r="L466" t="s">
        <v>7</v>
      </c>
      <c r="M466" t="s">
        <v>8</v>
      </c>
      <c r="N466" t="s">
        <v>7</v>
      </c>
      <c r="P466">
        <f t="shared" si="979"/>
        <v>0</v>
      </c>
      <c r="Q466">
        <f t="shared" si="980"/>
        <v>0</v>
      </c>
      <c r="R466">
        <f t="shared" si="981"/>
        <v>3851272.7804086655</v>
      </c>
      <c r="S466">
        <f t="shared" si="982"/>
        <v>38.512727804086659</v>
      </c>
      <c r="T466">
        <f t="shared" si="983"/>
        <v>3.8512727804086662E-2</v>
      </c>
    </row>
    <row r="467" spans="1:20" x14ac:dyDescent="0.25">
      <c r="A467" s="5">
        <v>44126</v>
      </c>
      <c r="B467">
        <v>3.5169999999999999</v>
      </c>
      <c r="C467">
        <v>4.0919999999999996</v>
      </c>
      <c r="D467">
        <v>3.51</v>
      </c>
      <c r="E467">
        <v>3.8940000000000001</v>
      </c>
      <c r="F467">
        <v>884670.62100000004</v>
      </c>
      <c r="G467">
        <v>0</v>
      </c>
      <c r="L467" t="s">
        <v>8</v>
      </c>
      <c r="M467" t="s">
        <v>8</v>
      </c>
      <c r="N467" t="s">
        <v>7</v>
      </c>
      <c r="P467">
        <f t="shared" si="979"/>
        <v>0.31958762886598091</v>
      </c>
      <c r="Q467">
        <f t="shared" si="980"/>
        <v>282729.7860927849</v>
      </c>
      <c r="R467">
        <f t="shared" si="981"/>
        <v>3851272.7804086655</v>
      </c>
      <c r="S467">
        <f t="shared" si="982"/>
        <v>38.512727804086659</v>
      </c>
      <c r="T467">
        <f t="shared" si="983"/>
        <v>3.8512727804086662E-2</v>
      </c>
    </row>
    <row r="468" spans="1:20" x14ac:dyDescent="0.25">
      <c r="A468" s="5">
        <v>44125</v>
      </c>
      <c r="B468">
        <v>3.7080000000000002</v>
      </c>
      <c r="C468">
        <v>3.7959999999999998</v>
      </c>
      <c r="D468">
        <v>3.476</v>
      </c>
      <c r="E468">
        <v>3.5169999999999999</v>
      </c>
      <c r="F468">
        <v>855196.48499999999</v>
      </c>
      <c r="G468">
        <v>0</v>
      </c>
      <c r="L468" t="s">
        <v>8</v>
      </c>
      <c r="M468" t="s">
        <v>7</v>
      </c>
      <c r="N468" t="s">
        <v>7</v>
      </c>
      <c r="P468">
        <f t="shared" si="979"/>
        <v>-0.74375000000000036</v>
      </c>
      <c r="Q468">
        <f t="shared" si="980"/>
        <v>-636052.3857187503</v>
      </c>
      <c r="R468">
        <f t="shared" si="981"/>
        <v>3568542.9943158808</v>
      </c>
      <c r="S468">
        <f t="shared" si="982"/>
        <v>35.685429943158809</v>
      </c>
      <c r="T468">
        <f t="shared" si="983"/>
        <v>3.5685429943158806E-2</v>
      </c>
    </row>
    <row r="469" spans="1:20" x14ac:dyDescent="0.25">
      <c r="A469" s="5">
        <v>44124</v>
      </c>
      <c r="B469">
        <v>3.7189999999999999</v>
      </c>
      <c r="C469">
        <v>3.7290000000000001</v>
      </c>
      <c r="D469">
        <v>3.343</v>
      </c>
      <c r="E469">
        <v>3.702</v>
      </c>
      <c r="F469">
        <v>824491.58299999998</v>
      </c>
      <c r="G469">
        <v>0</v>
      </c>
      <c r="L469" t="s">
        <v>7</v>
      </c>
      <c r="M469" t="s">
        <v>7</v>
      </c>
      <c r="N469" t="s">
        <v>7</v>
      </c>
      <c r="P469">
        <f t="shared" si="979"/>
        <v>0.86010362694300457</v>
      </c>
      <c r="Q469">
        <f t="shared" si="980"/>
        <v>709148.20092227927</v>
      </c>
      <c r="R469">
        <f t="shared" si="981"/>
        <v>4204595.3800346311</v>
      </c>
      <c r="S469">
        <f t="shared" si="982"/>
        <v>42.045953800346311</v>
      </c>
      <c r="T469">
        <f t="shared" si="983"/>
        <v>4.2045953800346314E-2</v>
      </c>
    </row>
    <row r="470" spans="1:20" x14ac:dyDescent="0.25">
      <c r="A470" s="5">
        <v>44123</v>
      </c>
      <c r="B470">
        <v>3.964</v>
      </c>
      <c r="C470">
        <v>3.97</v>
      </c>
      <c r="D470">
        <v>3.6920000000000002</v>
      </c>
      <c r="E470">
        <v>3.7250000000000001</v>
      </c>
      <c r="F470">
        <v>364282.43699999998</v>
      </c>
      <c r="G470">
        <v>0</v>
      </c>
      <c r="L470" t="s">
        <v>7</v>
      </c>
      <c r="M470" t="s">
        <v>7</v>
      </c>
      <c r="N470" t="s">
        <v>7</v>
      </c>
      <c r="P470">
        <f t="shared" si="979"/>
        <v>-0.76258992805755454</v>
      </c>
      <c r="Q470">
        <f t="shared" si="980"/>
        <v>-277798.11742446065</v>
      </c>
      <c r="R470">
        <f t="shared" si="981"/>
        <v>3495447.1791123515</v>
      </c>
      <c r="S470">
        <f t="shared" si="982"/>
        <v>34.954471791123517</v>
      </c>
      <c r="T470">
        <f t="shared" si="983"/>
        <v>3.4954471791123515E-2</v>
      </c>
    </row>
    <row r="471" spans="1:20" x14ac:dyDescent="0.25">
      <c r="A471" s="5">
        <v>44122</v>
      </c>
      <c r="B471">
        <v>3.9580000000000002</v>
      </c>
      <c r="C471">
        <v>4.0289999999999999</v>
      </c>
      <c r="D471">
        <v>3.8889999999999998</v>
      </c>
      <c r="E471">
        <v>3.9569999999999999</v>
      </c>
      <c r="F471">
        <v>220924.70199999999</v>
      </c>
      <c r="G471">
        <v>0</v>
      </c>
      <c r="L471" t="s">
        <v>8</v>
      </c>
      <c r="M471" t="s">
        <v>7</v>
      </c>
      <c r="N471" t="s">
        <v>7</v>
      </c>
      <c r="P471">
        <f t="shared" si="979"/>
        <v>-2.8571428571428571E-2</v>
      </c>
      <c r="Q471">
        <f t="shared" si="980"/>
        <v>-6312.1343428571427</v>
      </c>
      <c r="R471">
        <f t="shared" si="981"/>
        <v>3773245.2965368121</v>
      </c>
      <c r="S471">
        <f t="shared" si="982"/>
        <v>37.732452965368118</v>
      </c>
      <c r="T471">
        <f t="shared" si="983"/>
        <v>3.7732452965368118E-2</v>
      </c>
    </row>
    <row r="472" spans="1:20" x14ac:dyDescent="0.25">
      <c r="A472" s="5">
        <v>44121</v>
      </c>
      <c r="B472">
        <v>3.9140000000000001</v>
      </c>
      <c r="C472">
        <v>4.0339999999999998</v>
      </c>
      <c r="D472">
        <v>3.8279999999999998</v>
      </c>
      <c r="E472">
        <v>3.96</v>
      </c>
      <c r="F472">
        <v>162450.79699999999</v>
      </c>
      <c r="G472">
        <v>0</v>
      </c>
      <c r="L472" t="s">
        <v>8</v>
      </c>
      <c r="M472" t="s">
        <v>7</v>
      </c>
      <c r="N472" t="s">
        <v>7</v>
      </c>
      <c r="P472">
        <f t="shared" si="979"/>
        <v>0.2815533980582538</v>
      </c>
      <c r="Q472">
        <f t="shared" si="980"/>
        <v>45738.573912621578</v>
      </c>
      <c r="R472">
        <f t="shared" si="981"/>
        <v>3779557.4308796693</v>
      </c>
      <c r="S472">
        <f t="shared" si="982"/>
        <v>37.795574308796695</v>
      </c>
      <c r="T472">
        <f t="shared" si="983"/>
        <v>3.7795574308796695E-2</v>
      </c>
    </row>
    <row r="473" spans="1:20" x14ac:dyDescent="0.25">
      <c r="A473" s="5">
        <v>44120</v>
      </c>
      <c r="B473">
        <v>3.907</v>
      </c>
      <c r="C473">
        <v>4.1449999999999996</v>
      </c>
      <c r="D473">
        <v>3.72</v>
      </c>
      <c r="E473">
        <v>3.9129999999999998</v>
      </c>
      <c r="F473">
        <v>627588.60199999996</v>
      </c>
      <c r="G473">
        <v>0</v>
      </c>
      <c r="L473" t="s">
        <v>7</v>
      </c>
      <c r="M473" t="s">
        <v>7</v>
      </c>
      <c r="N473" t="s">
        <v>7</v>
      </c>
      <c r="P473">
        <f t="shared" si="979"/>
        <v>-9.1764705882353415E-2</v>
      </c>
      <c r="Q473">
        <f t="shared" si="980"/>
        <v>-57590.483477647351</v>
      </c>
      <c r="R473">
        <f t="shared" si="981"/>
        <v>3733818.8569670478</v>
      </c>
      <c r="S473">
        <f t="shared" si="982"/>
        <v>37.338188569670479</v>
      </c>
      <c r="T473">
        <f t="shared" si="983"/>
        <v>3.7338188569670479E-2</v>
      </c>
    </row>
    <row r="474" spans="1:20" x14ac:dyDescent="0.25">
      <c r="A474" s="5">
        <v>44119</v>
      </c>
      <c r="B474">
        <v>4.2690000000000001</v>
      </c>
      <c r="C474">
        <v>4.2850000000000001</v>
      </c>
      <c r="D474">
        <v>3.871</v>
      </c>
      <c r="E474">
        <v>3.9119999999999999</v>
      </c>
      <c r="F474">
        <v>753749.505</v>
      </c>
      <c r="G474">
        <v>0</v>
      </c>
      <c r="L474" t="s">
        <v>7</v>
      </c>
      <c r="M474" t="s">
        <v>7</v>
      </c>
      <c r="N474" t="s">
        <v>7</v>
      </c>
      <c r="P474">
        <f t="shared" si="979"/>
        <v>-0.80193236714975891</v>
      </c>
      <c r="Q474">
        <f t="shared" si="980"/>
        <v>-604456.12478260905</v>
      </c>
      <c r="R474">
        <f t="shared" si="981"/>
        <v>3791409.3404446952</v>
      </c>
      <c r="S474">
        <f t="shared" si="982"/>
        <v>37.914093404446952</v>
      </c>
      <c r="T474">
        <f t="shared" si="983"/>
        <v>3.7914093404446951E-2</v>
      </c>
    </row>
    <row r="475" spans="1:20" x14ac:dyDescent="0.25">
      <c r="A475" s="5">
        <v>44118</v>
      </c>
      <c r="B475">
        <v>4.5129999999999999</v>
      </c>
      <c r="C475">
        <v>4.5990000000000002</v>
      </c>
      <c r="D475">
        <v>4.2350000000000003</v>
      </c>
      <c r="E475">
        <v>4.2729999999999997</v>
      </c>
      <c r="F475">
        <v>450562.777</v>
      </c>
      <c r="G475">
        <v>0</v>
      </c>
      <c r="L475" t="s">
        <v>7</v>
      </c>
      <c r="M475" t="s">
        <v>8</v>
      </c>
      <c r="N475" t="s">
        <v>7</v>
      </c>
      <c r="P475">
        <f t="shared" si="979"/>
        <v>-0.79120879120879462</v>
      </c>
      <c r="Q475">
        <f t="shared" si="980"/>
        <v>-356489.23015384772</v>
      </c>
      <c r="R475">
        <f t="shared" si="981"/>
        <v>4395865.465227304</v>
      </c>
      <c r="S475">
        <f t="shared" si="982"/>
        <v>43.95865465227304</v>
      </c>
      <c r="T475">
        <f t="shared" si="983"/>
        <v>4.3958654652273041E-2</v>
      </c>
    </row>
    <row r="476" spans="1:20" x14ac:dyDescent="0.25">
      <c r="A476" s="5">
        <v>44117</v>
      </c>
      <c r="B476">
        <v>4.6399999999999997</v>
      </c>
      <c r="C476">
        <v>4.7300000000000004</v>
      </c>
      <c r="D476">
        <v>4.3440000000000003</v>
      </c>
      <c r="E476">
        <v>4.5060000000000002</v>
      </c>
      <c r="F476">
        <v>522618.07900000003</v>
      </c>
      <c r="G476">
        <v>0</v>
      </c>
      <c r="L476" t="s">
        <v>7</v>
      </c>
      <c r="M476" t="s">
        <v>8</v>
      </c>
      <c r="N476" t="s">
        <v>7</v>
      </c>
      <c r="P476">
        <f t="shared" si="979"/>
        <v>-0.16062176165803174</v>
      </c>
      <c r="Q476">
        <f t="shared" si="980"/>
        <v>-83943.836523316408</v>
      </c>
      <c r="R476">
        <f t="shared" si="981"/>
        <v>4752354.6953811515</v>
      </c>
      <c r="S476">
        <f t="shared" si="982"/>
        <v>47.523546953811518</v>
      </c>
      <c r="T476">
        <f t="shared" si="983"/>
        <v>4.7523546953811516E-2</v>
      </c>
    </row>
    <row r="477" spans="1:20" x14ac:dyDescent="0.25">
      <c r="A477" s="5">
        <v>44116</v>
      </c>
      <c r="B477">
        <v>4.1719999999999997</v>
      </c>
      <c r="C477">
        <v>4.7990000000000004</v>
      </c>
      <c r="D477">
        <v>4.0810000000000004</v>
      </c>
      <c r="E477">
        <v>4.6369999999999996</v>
      </c>
      <c r="F477">
        <v>865419.46100000001</v>
      </c>
      <c r="G477">
        <v>0</v>
      </c>
      <c r="L477" t="s">
        <v>8</v>
      </c>
      <c r="M477" t="s">
        <v>8</v>
      </c>
      <c r="N477" t="s">
        <v>7</v>
      </c>
      <c r="P477">
        <f t="shared" si="979"/>
        <v>0.54874651810584729</v>
      </c>
      <c r="Q477">
        <f t="shared" si="980"/>
        <v>474895.91592478909</v>
      </c>
      <c r="R477">
        <f t="shared" si="981"/>
        <v>4836298.5319044683</v>
      </c>
      <c r="S477">
        <f t="shared" si="982"/>
        <v>48.362985319044682</v>
      </c>
      <c r="T477">
        <f t="shared" si="983"/>
        <v>4.8362985319044684E-2</v>
      </c>
    </row>
    <row r="478" spans="1:20" x14ac:dyDescent="0.25">
      <c r="A478" s="5">
        <v>44115</v>
      </c>
      <c r="B478">
        <v>4.2960000000000003</v>
      </c>
      <c r="C478">
        <v>4.3129999999999997</v>
      </c>
      <c r="D478">
        <v>4.0350000000000001</v>
      </c>
      <c r="E478">
        <v>4.1719999999999997</v>
      </c>
      <c r="F478">
        <v>505700.64299999998</v>
      </c>
      <c r="G478">
        <v>0</v>
      </c>
      <c r="L478" t="s">
        <v>7</v>
      </c>
      <c r="M478" t="s">
        <v>8</v>
      </c>
      <c r="N478" t="s">
        <v>7</v>
      </c>
      <c r="P478">
        <f t="shared" si="979"/>
        <v>-1.4388489208634725E-2</v>
      </c>
      <c r="Q478">
        <f t="shared" si="980"/>
        <v>-7276.2682446051413</v>
      </c>
      <c r="R478">
        <f t="shared" si="981"/>
        <v>4361402.6159796789</v>
      </c>
      <c r="S478">
        <f t="shared" si="982"/>
        <v>43.614026159796786</v>
      </c>
      <c r="T478">
        <f t="shared" si="983"/>
        <v>4.3614026159796787E-2</v>
      </c>
    </row>
    <row r="479" spans="1:20" x14ac:dyDescent="0.25">
      <c r="A479" s="5">
        <v>44114</v>
      </c>
      <c r="B479">
        <v>4.2930000000000001</v>
      </c>
      <c r="C479">
        <v>4.5</v>
      </c>
      <c r="D479">
        <v>4.1779999999999999</v>
      </c>
      <c r="E479">
        <v>4.2960000000000003</v>
      </c>
      <c r="F479">
        <v>619966.88199999998</v>
      </c>
      <c r="G479">
        <v>0</v>
      </c>
      <c r="L479" t="s">
        <v>8</v>
      </c>
      <c r="M479" t="s">
        <v>8</v>
      </c>
      <c r="N479" t="s">
        <v>7</v>
      </c>
      <c r="P479">
        <f t="shared" si="979"/>
        <v>-0.26708074534161302</v>
      </c>
      <c r="Q479">
        <f t="shared" si="980"/>
        <v>-165581.21693167585</v>
      </c>
      <c r="R479">
        <f t="shared" si="981"/>
        <v>4368678.8842242844</v>
      </c>
      <c r="S479">
        <f t="shared" si="982"/>
        <v>43.686788842242848</v>
      </c>
      <c r="T479">
        <f t="shared" si="983"/>
        <v>4.3686788842242849E-2</v>
      </c>
    </row>
    <row r="480" spans="1:20" x14ac:dyDescent="0.25">
      <c r="A480" s="5">
        <v>44113</v>
      </c>
      <c r="B480">
        <v>3.9540000000000002</v>
      </c>
      <c r="C480">
        <v>4.3890000000000002</v>
      </c>
      <c r="D480">
        <v>3.758</v>
      </c>
      <c r="E480">
        <v>4.2939999999999996</v>
      </c>
      <c r="F480">
        <v>1113337.8370000001</v>
      </c>
      <c r="G480">
        <v>0</v>
      </c>
      <c r="L480" t="s">
        <v>8</v>
      </c>
      <c r="M480" t="s">
        <v>8</v>
      </c>
      <c r="N480" t="s">
        <v>7</v>
      </c>
      <c r="P480">
        <f t="shared" si="979"/>
        <v>0.69889064976228021</v>
      </c>
      <c r="Q480">
        <f t="shared" si="980"/>
        <v>778101.40430586168</v>
      </c>
      <c r="R480">
        <f t="shared" si="981"/>
        <v>4534260.10115596</v>
      </c>
      <c r="S480">
        <f t="shared" si="982"/>
        <v>45.342601011559601</v>
      </c>
      <c r="T480">
        <f t="shared" si="983"/>
        <v>4.5342601011559604E-2</v>
      </c>
    </row>
    <row r="481" spans="1:20" x14ac:dyDescent="0.25">
      <c r="A481" s="5">
        <v>44112</v>
      </c>
      <c r="B481">
        <v>3.9359999999999999</v>
      </c>
      <c r="C481">
        <v>4.0659999999999998</v>
      </c>
      <c r="D481">
        <v>3.6339999999999999</v>
      </c>
      <c r="E481">
        <v>3.9569999999999999</v>
      </c>
      <c r="F481">
        <v>982727.40899999999</v>
      </c>
      <c r="G481">
        <v>0</v>
      </c>
      <c r="L481" t="s">
        <v>8</v>
      </c>
      <c r="M481" t="s">
        <v>7</v>
      </c>
      <c r="N481" t="s">
        <v>7</v>
      </c>
      <c r="P481">
        <f t="shared" si="979"/>
        <v>0.49537037037037035</v>
      </c>
      <c r="Q481">
        <f t="shared" si="980"/>
        <v>486814.04056944442</v>
      </c>
      <c r="R481">
        <f t="shared" si="981"/>
        <v>3756158.6968500987</v>
      </c>
      <c r="S481">
        <f t="shared" si="982"/>
        <v>37.56158696850099</v>
      </c>
      <c r="T481">
        <f t="shared" si="983"/>
        <v>3.7561586968500989E-2</v>
      </c>
    </row>
    <row r="482" spans="1:20" x14ac:dyDescent="0.25">
      <c r="A482" s="5">
        <v>44111</v>
      </c>
      <c r="B482">
        <v>3.6269999999999998</v>
      </c>
      <c r="C482">
        <v>3.9550000000000001</v>
      </c>
      <c r="D482">
        <v>3.4849999999999999</v>
      </c>
      <c r="E482">
        <v>3.9409999999999998</v>
      </c>
      <c r="F482">
        <v>834932.39300000004</v>
      </c>
      <c r="G482">
        <v>0</v>
      </c>
      <c r="L482" t="s">
        <v>7</v>
      </c>
      <c r="M482" t="s">
        <v>7</v>
      </c>
      <c r="N482" t="s">
        <v>7</v>
      </c>
      <c r="P482">
        <f t="shared" si="979"/>
        <v>0.94042553191489264</v>
      </c>
      <c r="Q482">
        <f t="shared" si="980"/>
        <v>785191.73979999917</v>
      </c>
      <c r="R482">
        <f t="shared" si="981"/>
        <v>3269344.656280654</v>
      </c>
      <c r="S482">
        <f t="shared" si="982"/>
        <v>32.693446562806542</v>
      </c>
      <c r="T482">
        <f t="shared" si="983"/>
        <v>3.2693446562806545E-2</v>
      </c>
    </row>
    <row r="483" spans="1:20" x14ac:dyDescent="0.25">
      <c r="A483" s="5">
        <v>44110</v>
      </c>
      <c r="B483">
        <v>4.1900000000000004</v>
      </c>
      <c r="C483">
        <v>4.2050000000000001</v>
      </c>
      <c r="D483">
        <v>3.5790000000000002</v>
      </c>
      <c r="E483">
        <v>3.6349999999999998</v>
      </c>
      <c r="F483">
        <v>1002414.2709999999</v>
      </c>
      <c r="G483">
        <v>0</v>
      </c>
      <c r="L483" t="s">
        <v>7</v>
      </c>
      <c r="M483" t="s">
        <v>7</v>
      </c>
      <c r="N483" t="s">
        <v>7</v>
      </c>
      <c r="P483">
        <f t="shared" si="979"/>
        <v>-0.8210862619808319</v>
      </c>
      <c r="Q483">
        <f t="shared" si="980"/>
        <v>-823068.58673163061</v>
      </c>
      <c r="R483">
        <f t="shared" si="981"/>
        <v>2484152.9164806549</v>
      </c>
      <c r="S483">
        <f t="shared" si="982"/>
        <v>24.841529164806548</v>
      </c>
      <c r="T483">
        <f t="shared" si="983"/>
        <v>2.4841529164806548E-2</v>
      </c>
    </row>
    <row r="484" spans="1:20" x14ac:dyDescent="0.25">
      <c r="A484" s="5">
        <v>44109</v>
      </c>
      <c r="B484">
        <v>4.3810000000000002</v>
      </c>
      <c r="C484">
        <v>4.508</v>
      </c>
      <c r="D484">
        <v>4.1319999999999997</v>
      </c>
      <c r="E484">
        <v>4.1859999999999999</v>
      </c>
      <c r="F484">
        <v>266656.84999999998</v>
      </c>
      <c r="G484">
        <v>0</v>
      </c>
      <c r="L484" t="s">
        <v>7</v>
      </c>
      <c r="M484" t="s">
        <v>7</v>
      </c>
      <c r="N484" t="s">
        <v>8</v>
      </c>
      <c r="P484">
        <f t="shared" si="979"/>
        <v>-0.71276595744680737</v>
      </c>
      <c r="Q484">
        <f t="shared" si="980"/>
        <v>-190063.92499999967</v>
      </c>
      <c r="R484">
        <f t="shared" si="981"/>
        <v>3307221.5032122857</v>
      </c>
      <c r="S484">
        <f t="shared" si="982"/>
        <v>33.072215032122855</v>
      </c>
      <c r="T484">
        <f t="shared" si="983"/>
        <v>3.3072215032122855E-2</v>
      </c>
    </row>
    <row r="485" spans="1:20" x14ac:dyDescent="0.25">
      <c r="A485" s="5">
        <v>44108</v>
      </c>
      <c r="B485">
        <v>4.3760000000000003</v>
      </c>
      <c r="C485">
        <v>4.5540000000000003</v>
      </c>
      <c r="D485">
        <v>4.266</v>
      </c>
      <c r="E485">
        <v>4.383</v>
      </c>
      <c r="F485">
        <v>411909.45699999999</v>
      </c>
      <c r="G485">
        <v>0</v>
      </c>
      <c r="L485" t="s">
        <v>8</v>
      </c>
      <c r="M485" t="s">
        <v>7</v>
      </c>
      <c r="N485" t="s">
        <v>8</v>
      </c>
      <c r="P485">
        <f t="shared" si="979"/>
        <v>-0.18750000000000078</v>
      </c>
      <c r="Q485">
        <f t="shared" si="980"/>
        <v>-77233.023187500323</v>
      </c>
      <c r="R485">
        <f t="shared" si="981"/>
        <v>3497285.4282122855</v>
      </c>
      <c r="S485">
        <f t="shared" si="982"/>
        <v>34.972854282122853</v>
      </c>
      <c r="T485">
        <f t="shared" si="983"/>
        <v>3.4972854282122851E-2</v>
      </c>
    </row>
    <row r="486" spans="1:20" x14ac:dyDescent="0.25">
      <c r="A486" s="5">
        <v>44107</v>
      </c>
      <c r="B486">
        <v>4.4130000000000003</v>
      </c>
      <c r="C486">
        <v>4.5890000000000004</v>
      </c>
      <c r="D486">
        <v>4.367</v>
      </c>
      <c r="E486">
        <v>4.38</v>
      </c>
      <c r="F486">
        <v>282412.48499999999</v>
      </c>
      <c r="G486">
        <v>0</v>
      </c>
      <c r="L486" t="s">
        <v>8</v>
      </c>
      <c r="M486" t="s">
        <v>7</v>
      </c>
      <c r="N486" t="s">
        <v>8</v>
      </c>
      <c r="P486">
        <f t="shared" si="979"/>
        <v>-0.88288288288288397</v>
      </c>
      <c r="Q486">
        <f t="shared" si="980"/>
        <v>-249337.14891891921</v>
      </c>
      <c r="R486">
        <f t="shared" si="981"/>
        <v>3574518.4513997859</v>
      </c>
      <c r="S486">
        <f t="shared" si="982"/>
        <v>35.745184513997856</v>
      </c>
      <c r="T486">
        <f t="shared" si="983"/>
        <v>3.5745184513997857E-2</v>
      </c>
    </row>
    <row r="487" spans="1:20" x14ac:dyDescent="0.25">
      <c r="A487" s="5">
        <v>44106</v>
      </c>
      <c r="B487">
        <v>4.6929999999999996</v>
      </c>
      <c r="C487">
        <v>4.6929999999999996</v>
      </c>
      <c r="D487">
        <v>3.9729999999999999</v>
      </c>
      <c r="E487">
        <v>4.4130000000000003</v>
      </c>
      <c r="F487">
        <v>911075.67500000005</v>
      </c>
      <c r="G487">
        <v>0</v>
      </c>
      <c r="L487" t="s">
        <v>7</v>
      </c>
      <c r="M487" t="s">
        <v>7</v>
      </c>
      <c r="N487" t="s">
        <v>8</v>
      </c>
      <c r="P487">
        <f t="shared" si="979"/>
        <v>0.22222222222222374</v>
      </c>
      <c r="Q487">
        <f t="shared" si="980"/>
        <v>202461.26111111252</v>
      </c>
      <c r="R487">
        <f t="shared" si="981"/>
        <v>3823855.6003187052</v>
      </c>
      <c r="S487">
        <f t="shared" si="982"/>
        <v>38.23855600318705</v>
      </c>
      <c r="T487">
        <f t="shared" si="983"/>
        <v>3.8238556003187048E-2</v>
      </c>
    </row>
    <row r="488" spans="1:20" x14ac:dyDescent="0.25">
      <c r="A488" s="5">
        <v>44105</v>
      </c>
      <c r="B488">
        <v>4.734</v>
      </c>
      <c r="C488">
        <v>4.9939999999999998</v>
      </c>
      <c r="D488">
        <v>4.367</v>
      </c>
      <c r="E488">
        <v>4.6920000000000002</v>
      </c>
      <c r="F488">
        <v>768270.93299999996</v>
      </c>
      <c r="G488">
        <v>0</v>
      </c>
      <c r="L488" t="s">
        <v>8</v>
      </c>
      <c r="M488" t="s">
        <v>7</v>
      </c>
      <c r="N488" t="s">
        <v>8</v>
      </c>
      <c r="P488">
        <f t="shared" si="979"/>
        <v>3.6682615629984983E-2</v>
      </c>
      <c r="Q488">
        <f t="shared" si="980"/>
        <v>28182.187334928945</v>
      </c>
      <c r="R488">
        <f t="shared" si="981"/>
        <v>3621394.3392075929</v>
      </c>
      <c r="S488">
        <f t="shared" si="982"/>
        <v>36.213943392075926</v>
      </c>
      <c r="T488">
        <f t="shared" si="983"/>
        <v>3.6213943392075926E-2</v>
      </c>
    </row>
    <row r="489" spans="1:20" x14ac:dyDescent="0.25">
      <c r="A489" s="5">
        <v>44104</v>
      </c>
      <c r="B489">
        <v>4.9729999999999999</v>
      </c>
      <c r="C489">
        <v>4.99</v>
      </c>
      <c r="D489">
        <v>4.4009999999999998</v>
      </c>
      <c r="E489">
        <v>4.7380000000000004</v>
      </c>
      <c r="F489">
        <v>957436.147</v>
      </c>
      <c r="G489">
        <v>0</v>
      </c>
      <c r="L489" t="s">
        <v>7</v>
      </c>
      <c r="M489" t="s">
        <v>7</v>
      </c>
      <c r="N489" t="s">
        <v>8</v>
      </c>
      <c r="P489">
        <f t="shared" si="979"/>
        <v>0.144312393887947</v>
      </c>
      <c r="Q489">
        <f t="shared" si="980"/>
        <v>138169.90236842234</v>
      </c>
      <c r="R489">
        <f t="shared" si="981"/>
        <v>3593212.1518726638</v>
      </c>
      <c r="S489">
        <f t="shared" si="982"/>
        <v>35.932121518726639</v>
      </c>
      <c r="T489">
        <f t="shared" si="983"/>
        <v>3.5932121518726642E-2</v>
      </c>
    </row>
    <row r="490" spans="1:20" x14ac:dyDescent="0.25">
      <c r="A490" s="5">
        <v>44103</v>
      </c>
      <c r="B490">
        <v>4.9340000000000002</v>
      </c>
      <c r="C490">
        <v>5.0519999999999996</v>
      </c>
      <c r="D490">
        <v>4.7</v>
      </c>
      <c r="E490">
        <v>4.968</v>
      </c>
      <c r="F490">
        <v>673416.59499999997</v>
      </c>
      <c r="G490">
        <v>0</v>
      </c>
      <c r="L490" t="s">
        <v>7</v>
      </c>
      <c r="M490" t="s">
        <v>8</v>
      </c>
      <c r="N490" t="s">
        <v>8</v>
      </c>
      <c r="P490">
        <f t="shared" si="979"/>
        <v>0.52272727272727404</v>
      </c>
      <c r="Q490">
        <f t="shared" si="980"/>
        <v>352013.22011363722</v>
      </c>
      <c r="R490">
        <f t="shared" si="981"/>
        <v>3455042.2495042416</v>
      </c>
      <c r="S490">
        <f t="shared" si="982"/>
        <v>34.550422495042419</v>
      </c>
      <c r="T490">
        <f t="shared" si="983"/>
        <v>3.4550422495042421E-2</v>
      </c>
    </row>
    <row r="491" spans="1:20" x14ac:dyDescent="0.25">
      <c r="A491" s="5">
        <v>44102</v>
      </c>
      <c r="B491">
        <v>5.157</v>
      </c>
      <c r="C491">
        <v>5.4950000000000001</v>
      </c>
      <c r="D491">
        <v>4.8070000000000004</v>
      </c>
      <c r="E491">
        <v>4.9400000000000004</v>
      </c>
      <c r="F491">
        <v>1286025.439</v>
      </c>
      <c r="G491">
        <v>0</v>
      </c>
      <c r="L491" t="s">
        <v>8</v>
      </c>
      <c r="M491" t="s">
        <v>8</v>
      </c>
      <c r="N491" t="s">
        <v>8</v>
      </c>
      <c r="P491">
        <f t="shared" si="979"/>
        <v>-0.61337209302325568</v>
      </c>
      <c r="Q491">
        <f t="shared" si="980"/>
        <v>-788812.11520058126</v>
      </c>
      <c r="R491">
        <f t="shared" si="981"/>
        <v>3103029.0293906042</v>
      </c>
      <c r="S491">
        <f t="shared" si="982"/>
        <v>31.030290293906042</v>
      </c>
      <c r="T491">
        <f t="shared" si="983"/>
        <v>3.103029029390604E-2</v>
      </c>
    </row>
    <row r="492" spans="1:20" x14ac:dyDescent="0.25">
      <c r="A492" s="5">
        <v>44101</v>
      </c>
      <c r="B492">
        <v>5.22</v>
      </c>
      <c r="C492">
        <v>5.49</v>
      </c>
      <c r="D492">
        <v>4.59</v>
      </c>
      <c r="E492">
        <v>5.157</v>
      </c>
      <c r="F492">
        <v>1647357.63</v>
      </c>
      <c r="G492">
        <v>0</v>
      </c>
      <c r="L492" t="s">
        <v>8</v>
      </c>
      <c r="M492" t="s">
        <v>8</v>
      </c>
      <c r="N492" t="s">
        <v>8</v>
      </c>
      <c r="P492">
        <f t="shared" si="979"/>
        <v>0.2599999999999999</v>
      </c>
      <c r="Q492">
        <f t="shared" si="980"/>
        <v>428312.98379999981</v>
      </c>
      <c r="R492">
        <f t="shared" si="981"/>
        <v>3891841.1445911853</v>
      </c>
      <c r="S492">
        <f t="shared" si="982"/>
        <v>38.91841144591185</v>
      </c>
      <c r="T492">
        <f t="shared" si="983"/>
        <v>3.8918411445911849E-2</v>
      </c>
    </row>
    <row r="493" spans="1:20" x14ac:dyDescent="0.25">
      <c r="A493" s="5">
        <v>44100</v>
      </c>
      <c r="B493">
        <v>4.9059999999999997</v>
      </c>
      <c r="C493">
        <v>5.3570000000000002</v>
      </c>
      <c r="D493">
        <v>4.7770000000000001</v>
      </c>
      <c r="E493">
        <v>5.2210000000000001</v>
      </c>
      <c r="F493">
        <v>836235.16200000001</v>
      </c>
      <c r="G493">
        <v>0</v>
      </c>
      <c r="L493" t="s">
        <v>8</v>
      </c>
      <c r="M493" t="s">
        <v>8</v>
      </c>
      <c r="N493" t="s">
        <v>8</v>
      </c>
      <c r="P493">
        <f t="shared" si="979"/>
        <v>0.53103448275862031</v>
      </c>
      <c r="Q493">
        <f t="shared" si="980"/>
        <v>444069.70671724109</v>
      </c>
      <c r="R493">
        <f t="shared" si="981"/>
        <v>3463528.1607911857</v>
      </c>
      <c r="S493">
        <f t="shared" si="982"/>
        <v>34.635281607911857</v>
      </c>
      <c r="T493">
        <f t="shared" si="983"/>
        <v>3.4635281607911857E-2</v>
      </c>
    </row>
    <row r="494" spans="1:20" x14ac:dyDescent="0.25">
      <c r="A494" s="5">
        <v>44099</v>
      </c>
      <c r="B494">
        <v>4.4029999999999996</v>
      </c>
      <c r="C494">
        <v>5.2</v>
      </c>
      <c r="D494">
        <v>4.2939999999999996</v>
      </c>
      <c r="E494">
        <v>4.915</v>
      </c>
      <c r="F494">
        <v>1892859.1540000001</v>
      </c>
      <c r="G494">
        <v>0</v>
      </c>
      <c r="L494" t="s">
        <v>8</v>
      </c>
      <c r="M494" t="s">
        <v>8</v>
      </c>
      <c r="N494" t="s">
        <v>8</v>
      </c>
      <c r="P494">
        <f t="shared" si="979"/>
        <v>0.370860927152318</v>
      </c>
      <c r="Q494">
        <f t="shared" si="980"/>
        <v>701987.50082119228</v>
      </c>
      <c r="R494">
        <f t="shared" si="981"/>
        <v>3019458.4540739446</v>
      </c>
      <c r="S494">
        <f t="shared" si="982"/>
        <v>30.194584540739445</v>
      </c>
      <c r="T494">
        <f t="shared" si="983"/>
        <v>3.0194584540739446E-2</v>
      </c>
    </row>
    <row r="495" spans="1:20" x14ac:dyDescent="0.25">
      <c r="A495" s="5">
        <v>44098</v>
      </c>
      <c r="B495">
        <v>3.702</v>
      </c>
      <c r="C495">
        <v>4.4800000000000004</v>
      </c>
      <c r="D495">
        <v>3.6709999999999998</v>
      </c>
      <c r="E495">
        <v>4.407</v>
      </c>
      <c r="F495">
        <v>1405462.013</v>
      </c>
      <c r="G495">
        <v>0</v>
      </c>
      <c r="L495" t="s">
        <v>7</v>
      </c>
      <c r="M495" t="s">
        <v>7</v>
      </c>
      <c r="N495" t="s">
        <v>7</v>
      </c>
      <c r="P495">
        <f t="shared" si="979"/>
        <v>0.81953028430160613</v>
      </c>
      <c r="Q495">
        <f t="shared" si="980"/>
        <v>1151818.6830889976</v>
      </c>
      <c r="R495">
        <f t="shared" si="981"/>
        <v>2317470.9532527523</v>
      </c>
      <c r="S495">
        <f t="shared" si="982"/>
        <v>23.174709532527523</v>
      </c>
      <c r="T495">
        <f t="shared" si="983"/>
        <v>2.3174709532527524E-2</v>
      </c>
    </row>
    <row r="496" spans="1:20" x14ac:dyDescent="0.25">
      <c r="A496" s="5">
        <v>44097</v>
      </c>
      <c r="B496">
        <v>4.282</v>
      </c>
      <c r="C496">
        <v>4.42</v>
      </c>
      <c r="D496">
        <v>3.67</v>
      </c>
      <c r="E496">
        <v>3.7</v>
      </c>
      <c r="F496">
        <v>1121904.946</v>
      </c>
      <c r="G496">
        <v>0</v>
      </c>
      <c r="L496" t="s">
        <v>8</v>
      </c>
      <c r="M496" t="s">
        <v>8</v>
      </c>
      <c r="N496" t="s">
        <v>7</v>
      </c>
      <c r="P496">
        <f t="shared" si="979"/>
        <v>-0.91999999999999937</v>
      </c>
      <c r="Q496">
        <f t="shared" si="980"/>
        <v>-1032152.5503199993</v>
      </c>
      <c r="R496">
        <f t="shared" si="981"/>
        <v>1165652.2701637549</v>
      </c>
      <c r="S496">
        <f t="shared" si="982"/>
        <v>11.656522701637549</v>
      </c>
      <c r="T496">
        <f t="shared" si="983"/>
        <v>1.1656522701637549E-2</v>
      </c>
    </row>
    <row r="497" spans="1:20" x14ac:dyDescent="0.25">
      <c r="A497" s="5">
        <v>44096</v>
      </c>
      <c r="B497">
        <v>3.6179999999999999</v>
      </c>
      <c r="C497">
        <v>4.3170000000000002</v>
      </c>
      <c r="D497">
        <v>3.5710000000000002</v>
      </c>
      <c r="E497">
        <v>4.282</v>
      </c>
      <c r="F497">
        <v>1109046.2960000001</v>
      </c>
      <c r="G497">
        <v>0</v>
      </c>
      <c r="L497" t="s">
        <v>8</v>
      </c>
      <c r="M497" t="s">
        <v>8</v>
      </c>
      <c r="N497" t="s">
        <v>7</v>
      </c>
      <c r="P497">
        <f t="shared" si="979"/>
        <v>0.9061662198391417</v>
      </c>
      <c r="Q497">
        <f t="shared" si="980"/>
        <v>1004980.2896729219</v>
      </c>
      <c r="R497">
        <f t="shared" si="981"/>
        <v>2197804.8204837544</v>
      </c>
      <c r="S497">
        <f t="shared" si="982"/>
        <v>21.978048204837545</v>
      </c>
      <c r="T497">
        <f t="shared" si="983"/>
        <v>2.1978048204837546E-2</v>
      </c>
    </row>
    <row r="498" spans="1:20" x14ac:dyDescent="0.25">
      <c r="A498" s="5">
        <v>44095</v>
      </c>
      <c r="B498">
        <v>4.1859999999999999</v>
      </c>
      <c r="C498">
        <v>4.258</v>
      </c>
      <c r="D498">
        <v>3.4609999999999999</v>
      </c>
      <c r="E498">
        <v>3.6179999999999999</v>
      </c>
      <c r="F498">
        <v>1979892.817</v>
      </c>
      <c r="G498">
        <v>0</v>
      </c>
      <c r="L498" t="s">
        <v>7</v>
      </c>
      <c r="M498" t="s">
        <v>7</v>
      </c>
      <c r="N498" t="s">
        <v>7</v>
      </c>
      <c r="P498">
        <f t="shared" si="979"/>
        <v>-0.60602258469259729</v>
      </c>
      <c r="Q498">
        <f t="shared" si="980"/>
        <v>-1199859.7623726476</v>
      </c>
      <c r="R498">
        <f t="shared" si="981"/>
        <v>1192824.5308108327</v>
      </c>
      <c r="S498">
        <f t="shared" si="982"/>
        <v>11.928245308108327</v>
      </c>
      <c r="T498">
        <f t="shared" si="983"/>
        <v>1.1928245308108328E-2</v>
      </c>
    </row>
    <row r="499" spans="1:20" x14ac:dyDescent="0.25">
      <c r="A499" s="5">
        <v>44094</v>
      </c>
      <c r="B499">
        <v>4.2949999999999999</v>
      </c>
      <c r="C499">
        <v>4.548</v>
      </c>
      <c r="D499">
        <v>4.0709999999999997</v>
      </c>
      <c r="E499">
        <v>4.1900000000000004</v>
      </c>
      <c r="F499">
        <v>762806.33</v>
      </c>
      <c r="G499">
        <v>0</v>
      </c>
      <c r="L499" t="s">
        <v>7</v>
      </c>
      <c r="M499" t="s">
        <v>7</v>
      </c>
      <c r="N499" t="s">
        <v>7</v>
      </c>
      <c r="P499">
        <f t="shared" si="979"/>
        <v>-0.50104821802934763</v>
      </c>
      <c r="Q499">
        <f t="shared" si="980"/>
        <v>-382202.75234800647</v>
      </c>
      <c r="R499">
        <f t="shared" si="981"/>
        <v>2392684.2931834804</v>
      </c>
      <c r="S499">
        <f t="shared" si="982"/>
        <v>23.926842931834805</v>
      </c>
      <c r="T499">
        <f t="shared" si="983"/>
        <v>2.3926842931834804E-2</v>
      </c>
    </row>
    <row r="500" spans="1:20" x14ac:dyDescent="0.25">
      <c r="A500" s="5">
        <v>44093</v>
      </c>
      <c r="B500">
        <v>4.5579999999999998</v>
      </c>
      <c r="C500">
        <v>4.569</v>
      </c>
      <c r="D500">
        <v>4.2</v>
      </c>
      <c r="E500">
        <v>4.2990000000000004</v>
      </c>
      <c r="F500">
        <v>1077505.673</v>
      </c>
      <c r="G500">
        <v>0</v>
      </c>
      <c r="L500" t="s">
        <v>7</v>
      </c>
      <c r="M500" t="s">
        <v>7</v>
      </c>
      <c r="N500" t="s">
        <v>7</v>
      </c>
      <c r="P500">
        <f t="shared" si="979"/>
        <v>-0.46341463414634004</v>
      </c>
      <c r="Q500">
        <f t="shared" si="980"/>
        <v>-499331.89724390086</v>
      </c>
      <c r="R500">
        <f t="shared" si="981"/>
        <v>2774887.0455314866</v>
      </c>
      <c r="S500">
        <f t="shared" si="982"/>
        <v>27.748870455314865</v>
      </c>
      <c r="T500">
        <f t="shared" si="983"/>
        <v>2.7748870455314864E-2</v>
      </c>
    </row>
    <row r="501" spans="1:20" x14ac:dyDescent="0.25">
      <c r="A501" s="5">
        <v>44092</v>
      </c>
      <c r="B501">
        <v>4.4829999999999997</v>
      </c>
      <c r="C501">
        <v>4.7450000000000001</v>
      </c>
      <c r="D501">
        <v>4.3330000000000002</v>
      </c>
      <c r="E501">
        <v>4.5540000000000003</v>
      </c>
      <c r="F501">
        <v>1166923.237</v>
      </c>
      <c r="G501">
        <v>0</v>
      </c>
      <c r="L501" t="s">
        <v>7</v>
      </c>
      <c r="M501" t="s">
        <v>8</v>
      </c>
      <c r="N501" t="s">
        <v>7</v>
      </c>
      <c r="P501">
        <f t="shared" si="979"/>
        <v>7.2815533980583144E-2</v>
      </c>
      <c r="Q501">
        <f t="shared" si="980"/>
        <v>84970.138616505574</v>
      </c>
      <c r="R501">
        <f t="shared" si="981"/>
        <v>3274218.9427753873</v>
      </c>
      <c r="S501">
        <f t="shared" si="982"/>
        <v>32.742189427753871</v>
      </c>
      <c r="T501">
        <f t="shared" si="983"/>
        <v>3.2742189427753872E-2</v>
      </c>
    </row>
    <row r="502" spans="1:20" x14ac:dyDescent="0.25">
      <c r="A502" s="5">
        <v>44091</v>
      </c>
      <c r="B502">
        <v>4.7939999999999996</v>
      </c>
      <c r="C502">
        <v>5.0389999999999997</v>
      </c>
      <c r="D502">
        <v>4.3360000000000003</v>
      </c>
      <c r="E502">
        <v>4.4870000000000001</v>
      </c>
      <c r="F502">
        <v>1402164.564</v>
      </c>
      <c r="G502">
        <v>0</v>
      </c>
      <c r="L502" t="s">
        <v>8</v>
      </c>
      <c r="M502" t="s">
        <v>8</v>
      </c>
      <c r="N502" t="s">
        <v>7</v>
      </c>
      <c r="P502">
        <f t="shared" si="979"/>
        <v>-0.57041251778093904</v>
      </c>
      <c r="Q502">
        <f t="shared" si="980"/>
        <v>-799812.21929445269</v>
      </c>
      <c r="R502">
        <f t="shared" si="981"/>
        <v>3189248.8041588818</v>
      </c>
      <c r="S502">
        <f t="shared" si="982"/>
        <v>31.892488041588816</v>
      </c>
      <c r="T502">
        <f t="shared" si="983"/>
        <v>3.1892488041588819E-2</v>
      </c>
    </row>
    <row r="503" spans="1:20" x14ac:dyDescent="0.25">
      <c r="A503" s="5">
        <v>44090</v>
      </c>
      <c r="B503">
        <v>4.4930000000000003</v>
      </c>
      <c r="C503">
        <v>4.9779999999999998</v>
      </c>
      <c r="D503">
        <v>4.1310000000000002</v>
      </c>
      <c r="E503">
        <v>4.7939999999999996</v>
      </c>
      <c r="F503">
        <v>1940547.341</v>
      </c>
      <c r="G503">
        <v>0</v>
      </c>
      <c r="L503" t="s">
        <v>7</v>
      </c>
      <c r="M503" t="s">
        <v>7</v>
      </c>
      <c r="N503" t="s">
        <v>7</v>
      </c>
      <c r="P503">
        <f t="shared" si="979"/>
        <v>0.56552538370720129</v>
      </c>
      <c r="Q503">
        <f t="shared" si="980"/>
        <v>1097428.7796210141</v>
      </c>
      <c r="R503">
        <f t="shared" si="981"/>
        <v>3989061.0234533343</v>
      </c>
      <c r="S503">
        <f t="shared" si="982"/>
        <v>39.890610234533341</v>
      </c>
      <c r="T503">
        <f t="shared" si="983"/>
        <v>3.9890610234533344E-2</v>
      </c>
    </row>
    <row r="504" spans="1:20" x14ac:dyDescent="0.25">
      <c r="A504" s="5">
        <v>44089</v>
      </c>
      <c r="B504">
        <v>5.1879999999999997</v>
      </c>
      <c r="C504">
        <v>5.5170000000000003</v>
      </c>
      <c r="D504">
        <v>4.444</v>
      </c>
      <c r="E504">
        <v>4.492</v>
      </c>
      <c r="F504">
        <v>1554469.65</v>
      </c>
      <c r="G504">
        <v>0</v>
      </c>
      <c r="L504" t="s">
        <v>7</v>
      </c>
      <c r="M504" t="s">
        <v>7</v>
      </c>
      <c r="N504" t="s">
        <v>7</v>
      </c>
      <c r="P504">
        <f t="shared" si="979"/>
        <v>-0.91053122087604843</v>
      </c>
      <c r="Q504">
        <f t="shared" si="980"/>
        <v>-1415393.1482292637</v>
      </c>
      <c r="R504">
        <f t="shared" si="981"/>
        <v>2891632.24383232</v>
      </c>
      <c r="S504">
        <f t="shared" si="982"/>
        <v>28.916322438323199</v>
      </c>
      <c r="T504">
        <f t="shared" si="983"/>
        <v>2.8916322438323198E-2</v>
      </c>
    </row>
    <row r="505" spans="1:20" x14ac:dyDescent="0.25">
      <c r="A505" s="5">
        <v>44088</v>
      </c>
      <c r="B505">
        <v>5.38</v>
      </c>
      <c r="C505">
        <v>5.5469999999999997</v>
      </c>
      <c r="D505">
        <v>5.1079999999999997</v>
      </c>
      <c r="E505">
        <v>5.1879999999999997</v>
      </c>
      <c r="F505">
        <v>784157.43200000003</v>
      </c>
      <c r="G505">
        <v>0</v>
      </c>
      <c r="L505" t="s">
        <v>7</v>
      </c>
      <c r="M505" t="s">
        <v>7</v>
      </c>
      <c r="N505" t="s">
        <v>8</v>
      </c>
      <c r="P505">
        <f t="shared" si="979"/>
        <v>-0.63553530751708398</v>
      </c>
      <c r="Q505">
        <f t="shared" si="980"/>
        <v>-498359.73468792689</v>
      </c>
      <c r="R505">
        <f t="shared" si="981"/>
        <v>4307025.3920615837</v>
      </c>
      <c r="S505">
        <f t="shared" si="982"/>
        <v>43.070253920615833</v>
      </c>
      <c r="T505">
        <f t="shared" si="983"/>
        <v>4.3070253920615836E-2</v>
      </c>
    </row>
    <row r="506" spans="1:20" x14ac:dyDescent="0.25">
      <c r="A506" s="5">
        <v>44087</v>
      </c>
      <c r="B506">
        <v>6.14</v>
      </c>
      <c r="C506">
        <v>6.2859999999999996</v>
      </c>
      <c r="D506">
        <v>5.0599999999999996</v>
      </c>
      <c r="E506">
        <v>5.3879999999999999</v>
      </c>
      <c r="F506">
        <v>1233257.4609999999</v>
      </c>
      <c r="G506">
        <v>0</v>
      </c>
      <c r="L506" t="s">
        <v>8</v>
      </c>
      <c r="M506" t="s">
        <v>7</v>
      </c>
      <c r="N506" t="s">
        <v>8</v>
      </c>
      <c r="P506">
        <f t="shared" si="979"/>
        <v>-0.46492659053833557</v>
      </c>
      <c r="Q506">
        <f t="shared" si="980"/>
        <v>-573374.1865986943</v>
      </c>
      <c r="R506">
        <f t="shared" si="981"/>
        <v>4805385.1267495109</v>
      </c>
      <c r="S506">
        <f t="shared" si="982"/>
        <v>48.053851267495112</v>
      </c>
      <c r="T506">
        <f t="shared" si="983"/>
        <v>4.8053851267495111E-2</v>
      </c>
    </row>
    <row r="507" spans="1:20" x14ac:dyDescent="0.25">
      <c r="A507" s="5">
        <v>44086</v>
      </c>
      <c r="B507">
        <v>5.9850000000000003</v>
      </c>
      <c r="C507">
        <v>6.1779999999999999</v>
      </c>
      <c r="D507">
        <v>5.6120000000000001</v>
      </c>
      <c r="E507">
        <v>6.1310000000000002</v>
      </c>
      <c r="F507">
        <v>891986.15700000001</v>
      </c>
      <c r="G507">
        <v>0</v>
      </c>
      <c r="L507" t="s">
        <v>8</v>
      </c>
      <c r="M507" t="s">
        <v>8</v>
      </c>
      <c r="N507" t="s">
        <v>8</v>
      </c>
      <c r="P507">
        <f t="shared" si="979"/>
        <v>0.83392226148409987</v>
      </c>
      <c r="Q507">
        <f t="shared" si="980"/>
        <v>743847.11325795134</v>
      </c>
      <c r="R507">
        <f t="shared" si="981"/>
        <v>5378759.3133482048</v>
      </c>
      <c r="S507">
        <f t="shared" si="982"/>
        <v>53.787593133482048</v>
      </c>
      <c r="T507">
        <f t="shared" si="983"/>
        <v>5.3787593133482046E-2</v>
      </c>
    </row>
    <row r="508" spans="1:20" x14ac:dyDescent="0.25">
      <c r="A508" s="5">
        <v>44085</v>
      </c>
      <c r="B508">
        <v>5.7249999999999996</v>
      </c>
      <c r="C508">
        <v>5.9980000000000002</v>
      </c>
      <c r="D508">
        <v>5.3570000000000002</v>
      </c>
      <c r="E508">
        <v>5.9850000000000003</v>
      </c>
      <c r="F508">
        <v>1224261.3799999999</v>
      </c>
      <c r="G508">
        <v>0</v>
      </c>
      <c r="L508" t="s">
        <v>8</v>
      </c>
      <c r="M508" t="s">
        <v>8</v>
      </c>
      <c r="N508" t="s">
        <v>8</v>
      </c>
      <c r="P508">
        <f t="shared" si="979"/>
        <v>0.95943837753510175</v>
      </c>
      <c r="Q508">
        <f t="shared" si="980"/>
        <v>1174603.3521060846</v>
      </c>
      <c r="R508">
        <f t="shared" si="981"/>
        <v>4634912.2000902537</v>
      </c>
      <c r="S508">
        <f t="shared" si="982"/>
        <v>46.34912200090254</v>
      </c>
      <c r="T508">
        <f t="shared" si="983"/>
        <v>4.6349122000902541E-2</v>
      </c>
    </row>
    <row r="509" spans="1:20" x14ac:dyDescent="0.25">
      <c r="A509" s="5">
        <v>44084</v>
      </c>
      <c r="B509">
        <v>5</v>
      </c>
      <c r="C509">
        <v>5.87</v>
      </c>
      <c r="D509">
        <v>4.9859999999999998</v>
      </c>
      <c r="E509">
        <v>5.7249999999999996</v>
      </c>
      <c r="F509">
        <v>1274741.3259999999</v>
      </c>
      <c r="G509">
        <v>0</v>
      </c>
      <c r="L509" t="s">
        <v>8</v>
      </c>
      <c r="M509" t="s">
        <v>8</v>
      </c>
      <c r="N509" t="s">
        <v>8</v>
      </c>
      <c r="P509">
        <f t="shared" si="979"/>
        <v>0.67194570135746512</v>
      </c>
      <c r="Q509">
        <f t="shared" si="980"/>
        <v>856556.95434841502</v>
      </c>
      <c r="R509">
        <f t="shared" si="981"/>
        <v>3460308.8479841691</v>
      </c>
      <c r="S509">
        <f t="shared" si="982"/>
        <v>34.603088479841695</v>
      </c>
      <c r="T509">
        <f t="shared" si="983"/>
        <v>3.4603088479841698E-2</v>
      </c>
    </row>
    <row r="510" spans="1:20" x14ac:dyDescent="0.25">
      <c r="A510" s="5">
        <v>44083</v>
      </c>
      <c r="B510">
        <v>4.2480000000000002</v>
      </c>
      <c r="C510">
        <v>5.25</v>
      </c>
      <c r="D510">
        <v>4.173</v>
      </c>
      <c r="E510">
        <v>4.9939999999999998</v>
      </c>
      <c r="F510">
        <v>1371731.473</v>
      </c>
      <c r="G510">
        <v>0</v>
      </c>
      <c r="L510" t="s">
        <v>8</v>
      </c>
      <c r="M510" t="s">
        <v>8</v>
      </c>
      <c r="N510" t="s">
        <v>8</v>
      </c>
      <c r="P510">
        <f t="shared" si="979"/>
        <v>0.52460538532961887</v>
      </c>
      <c r="Q510">
        <f t="shared" si="980"/>
        <v>719617.71796193067</v>
      </c>
      <c r="R510">
        <f t="shared" si="981"/>
        <v>2603751.893635754</v>
      </c>
      <c r="S510">
        <f t="shared" si="982"/>
        <v>26.037518936357539</v>
      </c>
      <c r="T510">
        <f t="shared" si="983"/>
        <v>2.6037518936357539E-2</v>
      </c>
    </row>
    <row r="511" spans="1:20" x14ac:dyDescent="0.25">
      <c r="A511" s="5">
        <v>44082</v>
      </c>
      <c r="B511">
        <v>4.6349999999999998</v>
      </c>
      <c r="C511">
        <v>4.7149999999999999</v>
      </c>
      <c r="D511">
        <v>4.0279999999999996</v>
      </c>
      <c r="E511">
        <v>4.2460000000000004</v>
      </c>
      <c r="F511">
        <v>960831.20799999998</v>
      </c>
      <c r="G511">
        <v>0</v>
      </c>
      <c r="L511" t="s">
        <v>7</v>
      </c>
      <c r="M511" t="s">
        <v>7</v>
      </c>
      <c r="N511" t="s">
        <v>8</v>
      </c>
      <c r="P511">
        <f t="shared" si="979"/>
        <v>-0.36535662299854216</v>
      </c>
      <c r="Q511">
        <f t="shared" si="980"/>
        <v>-351046.04542648984</v>
      </c>
      <c r="R511">
        <f t="shared" si="981"/>
        <v>1884134.1756738233</v>
      </c>
      <c r="S511">
        <f t="shared" si="982"/>
        <v>18.841341756738235</v>
      </c>
      <c r="T511">
        <f t="shared" si="983"/>
        <v>1.8841341756738236E-2</v>
      </c>
    </row>
    <row r="512" spans="1:20" x14ac:dyDescent="0.25">
      <c r="A512" s="5">
        <v>44081</v>
      </c>
      <c r="B512">
        <v>4.9509999999999996</v>
      </c>
      <c r="C512">
        <v>5.0650000000000004</v>
      </c>
      <c r="D512">
        <v>4.1040000000000001</v>
      </c>
      <c r="E512">
        <v>4.6440000000000001</v>
      </c>
      <c r="F512">
        <v>1166952.7549999999</v>
      </c>
      <c r="G512">
        <v>0</v>
      </c>
      <c r="L512" t="s">
        <v>7</v>
      </c>
      <c r="M512" t="s">
        <v>7</v>
      </c>
      <c r="N512" t="s">
        <v>8</v>
      </c>
      <c r="P512">
        <f t="shared" si="979"/>
        <v>0.12382934443288214</v>
      </c>
      <c r="Q512">
        <f t="shared" si="980"/>
        <v>144502.99463579571</v>
      </c>
      <c r="R512">
        <f t="shared" si="981"/>
        <v>2235180.2211003131</v>
      </c>
      <c r="S512">
        <f t="shared" si="982"/>
        <v>22.351802211003132</v>
      </c>
      <c r="T512">
        <f t="shared" si="983"/>
        <v>2.2351802211003132E-2</v>
      </c>
    </row>
    <row r="513" spans="1:20" x14ac:dyDescent="0.25">
      <c r="A513" s="5">
        <v>44080</v>
      </c>
      <c r="B513">
        <v>4.4770000000000003</v>
      </c>
      <c r="C513">
        <v>5.2119999999999997</v>
      </c>
      <c r="D513">
        <v>4.0999999999999996</v>
      </c>
      <c r="E513">
        <v>4.9550000000000001</v>
      </c>
      <c r="F513">
        <v>1719299.5160000001</v>
      </c>
      <c r="G513">
        <v>0</v>
      </c>
      <c r="L513" t="s">
        <v>8</v>
      </c>
      <c r="M513" t="s">
        <v>8</v>
      </c>
      <c r="N513" t="s">
        <v>8</v>
      </c>
      <c r="P513">
        <f t="shared" si="979"/>
        <v>0.53776978417266252</v>
      </c>
      <c r="Q513">
        <f t="shared" si="980"/>
        <v>924587.32964748319</v>
      </c>
      <c r="R513">
        <f t="shared" si="981"/>
        <v>2090677.2264645174</v>
      </c>
      <c r="S513">
        <f t="shared" si="982"/>
        <v>20.906772264645173</v>
      </c>
      <c r="T513">
        <f t="shared" si="983"/>
        <v>2.0906772264645174E-2</v>
      </c>
    </row>
    <row r="514" spans="1:20" x14ac:dyDescent="0.25">
      <c r="A514" s="5">
        <v>44079</v>
      </c>
      <c r="B514">
        <v>5.3209999999999997</v>
      </c>
      <c r="C514">
        <v>7</v>
      </c>
      <c r="D514">
        <v>3.65</v>
      </c>
      <c r="E514">
        <v>4.4720000000000004</v>
      </c>
      <c r="F514">
        <v>2327734.699</v>
      </c>
      <c r="G514">
        <v>0</v>
      </c>
      <c r="L514" t="s">
        <v>7</v>
      </c>
      <c r="M514" t="s">
        <v>7</v>
      </c>
      <c r="N514" t="s">
        <v>7</v>
      </c>
      <c r="P514">
        <f t="shared" si="979"/>
        <v>-0.50925373134328333</v>
      </c>
      <c r="Q514">
        <f t="shared" si="980"/>
        <v>-1185407.5810429845</v>
      </c>
      <c r="R514">
        <f t="shared" si="981"/>
        <v>1166089.8968170341</v>
      </c>
      <c r="S514">
        <f t="shared" si="982"/>
        <v>11.660898968170342</v>
      </c>
      <c r="T514">
        <f t="shared" si="983"/>
        <v>1.1660898968170342E-2</v>
      </c>
    </row>
    <row r="515" spans="1:20" x14ac:dyDescent="0.25">
      <c r="A515" s="5">
        <v>44078</v>
      </c>
      <c r="B515">
        <v>5.2560000000000002</v>
      </c>
      <c r="C515">
        <v>5.7880000000000003</v>
      </c>
      <c r="D515">
        <v>4.7060000000000004</v>
      </c>
      <c r="E515">
        <v>5.3319999999999999</v>
      </c>
      <c r="F515">
        <v>1518282.101</v>
      </c>
      <c r="G515">
        <v>0</v>
      </c>
      <c r="L515" t="s">
        <v>7</v>
      </c>
      <c r="M515" t="s">
        <v>7</v>
      </c>
      <c r="N515" t="s">
        <v>7</v>
      </c>
      <c r="P515">
        <f t="shared" si="979"/>
        <v>0.15711645101663499</v>
      </c>
      <c r="Q515">
        <f t="shared" si="980"/>
        <v>238547.09535120017</v>
      </c>
      <c r="R515">
        <f t="shared" si="981"/>
        <v>2351497.4778600186</v>
      </c>
      <c r="S515">
        <f t="shared" si="982"/>
        <v>23.514974778600187</v>
      </c>
      <c r="T515">
        <f t="shared" si="983"/>
        <v>2.3514974778600189E-2</v>
      </c>
    </row>
    <row r="516" spans="1:20" x14ac:dyDescent="0.25">
      <c r="A516" s="5">
        <v>44077</v>
      </c>
      <c r="B516">
        <v>6.3730000000000002</v>
      </c>
      <c r="C516">
        <v>6.585</v>
      </c>
      <c r="D516">
        <v>5.0279999999999996</v>
      </c>
      <c r="E516">
        <v>5.2549999999999999</v>
      </c>
      <c r="F516">
        <v>1770506.304</v>
      </c>
      <c r="G516">
        <v>0</v>
      </c>
      <c r="L516" t="s">
        <v>7</v>
      </c>
      <c r="M516" t="s">
        <v>7</v>
      </c>
      <c r="N516" t="s">
        <v>7</v>
      </c>
      <c r="P516">
        <f t="shared" si="979"/>
        <v>-0.70841361592806651</v>
      </c>
      <c r="Q516">
        <f t="shared" si="980"/>
        <v>-1254250.7728400766</v>
      </c>
      <c r="R516">
        <f t="shared" si="981"/>
        <v>2112950.3825088185</v>
      </c>
      <c r="S516">
        <f t="shared" si="982"/>
        <v>21.129503825088186</v>
      </c>
      <c r="T516">
        <f t="shared" si="983"/>
        <v>2.1129503825088186E-2</v>
      </c>
    </row>
    <row r="517" spans="1:20" x14ac:dyDescent="0.25">
      <c r="A517" s="5">
        <v>44076</v>
      </c>
      <c r="B517">
        <v>7.1029999999999998</v>
      </c>
      <c r="C517">
        <v>7.2</v>
      </c>
      <c r="D517">
        <v>5.9</v>
      </c>
      <c r="E517">
        <v>6.383</v>
      </c>
      <c r="F517">
        <v>1645387.152</v>
      </c>
      <c r="G517">
        <v>0</v>
      </c>
      <c r="L517" t="s">
        <v>7</v>
      </c>
      <c r="M517" t="s">
        <v>7</v>
      </c>
      <c r="N517" t="s">
        <v>8</v>
      </c>
      <c r="P517">
        <f t="shared" si="979"/>
        <v>-0.25692307692307736</v>
      </c>
      <c r="Q517">
        <f t="shared" si="980"/>
        <v>-422737.9298215392</v>
      </c>
      <c r="R517">
        <f t="shared" si="981"/>
        <v>3367201.1553488951</v>
      </c>
      <c r="S517">
        <f t="shared" si="982"/>
        <v>33.67201155348895</v>
      </c>
      <c r="T517">
        <f t="shared" si="983"/>
        <v>3.3672011553488951E-2</v>
      </c>
    </row>
    <row r="518" spans="1:20" x14ac:dyDescent="0.25">
      <c r="A518" s="5">
        <v>44075</v>
      </c>
      <c r="B518">
        <v>7.3360000000000003</v>
      </c>
      <c r="C518">
        <v>7.88</v>
      </c>
      <c r="D518">
        <v>7.0839999999999996</v>
      </c>
      <c r="E518">
        <v>7.1040000000000001</v>
      </c>
      <c r="F518">
        <v>2063482.5719999999</v>
      </c>
      <c r="G518">
        <v>0</v>
      </c>
      <c r="L518" t="s">
        <v>8</v>
      </c>
      <c r="M518" t="s">
        <v>8</v>
      </c>
      <c r="N518" t="s">
        <v>8</v>
      </c>
      <c r="P518">
        <f t="shared" ref="P518:P581" si="984">IF(C518=D518,0,((E518-D518)-(C518-E518))/(C518-D518))</f>
        <v>-0.94974874371859186</v>
      </c>
      <c r="Q518">
        <f t="shared" ref="Q518:Q581" si="985">F518*P518</f>
        <v>-1959789.9804422087</v>
      </c>
      <c r="R518">
        <f t="shared" ref="R518:R581" si="986">R519+Q518</f>
        <v>3789939.0851704343</v>
      </c>
      <c r="S518">
        <f t="shared" ref="S518:S581" si="987">R518/100000</f>
        <v>37.899390851704347</v>
      </c>
      <c r="T518">
        <f t="shared" ref="T518:T581" si="988">S518/1000</f>
        <v>3.7899390851704344E-2</v>
      </c>
    </row>
    <row r="519" spans="1:20" x14ac:dyDescent="0.25">
      <c r="A519" s="5">
        <v>44074</v>
      </c>
      <c r="B519">
        <v>7.3</v>
      </c>
      <c r="C519">
        <v>7.5679999999999996</v>
      </c>
      <c r="D519">
        <v>6.907</v>
      </c>
      <c r="E519">
        <v>7.3360000000000003</v>
      </c>
      <c r="F519">
        <v>1843068.0419999999</v>
      </c>
      <c r="G519">
        <v>0</v>
      </c>
      <c r="L519" t="s">
        <v>8</v>
      </c>
      <c r="M519" t="s">
        <v>8</v>
      </c>
      <c r="N519" t="s">
        <v>8</v>
      </c>
      <c r="P519">
        <f t="shared" si="984"/>
        <v>0.2980332829046915</v>
      </c>
      <c r="Q519">
        <f t="shared" si="985"/>
        <v>549295.61917398183</v>
      </c>
      <c r="R519">
        <f t="shared" si="986"/>
        <v>5749729.065612643</v>
      </c>
      <c r="S519">
        <f t="shared" si="987"/>
        <v>57.497290656126431</v>
      </c>
      <c r="T519">
        <f t="shared" si="988"/>
        <v>5.749729065612643E-2</v>
      </c>
    </row>
    <row r="520" spans="1:20" x14ac:dyDescent="0.25">
      <c r="A520" s="5">
        <v>44073</v>
      </c>
      <c r="B520">
        <v>6.52</v>
      </c>
      <c r="C520">
        <v>7.415</v>
      </c>
      <c r="D520">
        <v>6.5</v>
      </c>
      <c r="E520">
        <v>7.3010000000000002</v>
      </c>
      <c r="F520">
        <v>1749192.3330000001</v>
      </c>
      <c r="G520">
        <v>0</v>
      </c>
      <c r="L520" t="s">
        <v>8</v>
      </c>
      <c r="M520" t="s">
        <v>8</v>
      </c>
      <c r="N520" t="s">
        <v>8</v>
      </c>
      <c r="P520">
        <f t="shared" si="984"/>
        <v>0.75081967213114786</v>
      </c>
      <c r="Q520">
        <f t="shared" si="985"/>
        <v>1313328.0139573778</v>
      </c>
      <c r="R520">
        <f t="shared" si="986"/>
        <v>5200433.4464386608</v>
      </c>
      <c r="S520">
        <f t="shared" si="987"/>
        <v>52.004334464386609</v>
      </c>
      <c r="T520">
        <f t="shared" si="988"/>
        <v>5.2004334464386612E-2</v>
      </c>
    </row>
    <row r="521" spans="1:20" x14ac:dyDescent="0.25">
      <c r="A521" s="5">
        <v>44072</v>
      </c>
      <c r="B521">
        <v>6.8659999999999997</v>
      </c>
      <c r="C521">
        <v>7</v>
      </c>
      <c r="D521">
        <v>6.4660000000000002</v>
      </c>
      <c r="E521">
        <v>6.5289999999999999</v>
      </c>
      <c r="F521">
        <v>970916.603</v>
      </c>
      <c r="G521">
        <v>0</v>
      </c>
      <c r="L521" t="s">
        <v>7</v>
      </c>
      <c r="M521" t="s">
        <v>8</v>
      </c>
      <c r="N521" t="s">
        <v>7</v>
      </c>
      <c r="P521">
        <f t="shared" si="984"/>
        <v>-0.7640449438202257</v>
      </c>
      <c r="Q521">
        <f t="shared" si="985"/>
        <v>-741823.92139325943</v>
      </c>
      <c r="R521">
        <f t="shared" si="986"/>
        <v>3887105.4324812833</v>
      </c>
      <c r="S521">
        <f t="shared" si="987"/>
        <v>38.871054324812832</v>
      </c>
      <c r="T521">
        <f t="shared" si="988"/>
        <v>3.8871054324812832E-2</v>
      </c>
    </row>
    <row r="522" spans="1:20" x14ac:dyDescent="0.25">
      <c r="A522" s="5">
        <v>44071</v>
      </c>
      <c r="B522">
        <v>6.0919999999999996</v>
      </c>
      <c r="C522">
        <v>7.1120000000000001</v>
      </c>
      <c r="D522">
        <v>6.0039999999999996</v>
      </c>
      <c r="E522">
        <v>6.8659999999999997</v>
      </c>
      <c r="F522">
        <v>2318789.9709999999</v>
      </c>
      <c r="G522">
        <v>0</v>
      </c>
      <c r="L522" t="s">
        <v>8</v>
      </c>
      <c r="M522" t="s">
        <v>8</v>
      </c>
      <c r="N522" t="s">
        <v>7</v>
      </c>
      <c r="P522">
        <f t="shared" si="984"/>
        <v>0.55595667870036047</v>
      </c>
      <c r="Q522">
        <f t="shared" si="985"/>
        <v>1289146.7708808652</v>
      </c>
      <c r="R522">
        <f t="shared" si="986"/>
        <v>4628929.3538745428</v>
      </c>
      <c r="S522">
        <f t="shared" si="987"/>
        <v>46.289293538745426</v>
      </c>
      <c r="T522">
        <f t="shared" si="988"/>
        <v>4.6289293538745425E-2</v>
      </c>
    </row>
    <row r="523" spans="1:20" x14ac:dyDescent="0.25">
      <c r="A523" s="5">
        <v>44070</v>
      </c>
      <c r="B523">
        <v>6.1210000000000004</v>
      </c>
      <c r="C523">
        <v>6.43</v>
      </c>
      <c r="D523">
        <v>5.86</v>
      </c>
      <c r="E523">
        <v>6.093</v>
      </c>
      <c r="F523">
        <v>1294103.666</v>
      </c>
      <c r="G523">
        <v>0</v>
      </c>
      <c r="L523" t="s">
        <v>8</v>
      </c>
      <c r="M523" t="s">
        <v>8</v>
      </c>
      <c r="N523" t="s">
        <v>7</v>
      </c>
      <c r="P523">
        <f t="shared" si="984"/>
        <v>-0.18245614035087754</v>
      </c>
      <c r="Q523">
        <f t="shared" si="985"/>
        <v>-236117.16011228116</v>
      </c>
      <c r="R523">
        <f t="shared" si="986"/>
        <v>3339782.5829936774</v>
      </c>
      <c r="S523">
        <f t="shared" si="987"/>
        <v>33.397825829936771</v>
      </c>
      <c r="T523">
        <f t="shared" si="988"/>
        <v>3.3397825829936771E-2</v>
      </c>
    </row>
    <row r="524" spans="1:20" x14ac:dyDescent="0.25">
      <c r="A524" s="5">
        <v>44069</v>
      </c>
      <c r="B524">
        <v>5.859</v>
      </c>
      <c r="C524">
        <v>6.45</v>
      </c>
      <c r="D524">
        <v>5.8230000000000004</v>
      </c>
      <c r="E524">
        <v>6.1210000000000004</v>
      </c>
      <c r="F524">
        <v>1219594.4850000001</v>
      </c>
      <c r="G524">
        <v>0</v>
      </c>
      <c r="L524" t="s">
        <v>7</v>
      </c>
      <c r="M524" t="s">
        <v>8</v>
      </c>
      <c r="N524" t="s">
        <v>7</v>
      </c>
      <c r="P524">
        <f t="shared" si="984"/>
        <v>-4.9441786283891079E-2</v>
      </c>
      <c r="Q524">
        <f t="shared" si="985"/>
        <v>-60298.929880382209</v>
      </c>
      <c r="R524">
        <f t="shared" si="986"/>
        <v>3575899.7431059587</v>
      </c>
      <c r="S524">
        <f t="shared" si="987"/>
        <v>35.758997431059584</v>
      </c>
      <c r="T524">
        <f t="shared" si="988"/>
        <v>3.5758997431059585E-2</v>
      </c>
    </row>
    <row r="525" spans="1:20" x14ac:dyDescent="0.25">
      <c r="A525" s="5">
        <v>44068</v>
      </c>
      <c r="B525">
        <v>6.2389999999999999</v>
      </c>
      <c r="C525">
        <v>6.57</v>
      </c>
      <c r="D525">
        <v>5.5</v>
      </c>
      <c r="E525">
        <v>5.867</v>
      </c>
      <c r="F525">
        <v>1379764.4410000001</v>
      </c>
      <c r="G525">
        <v>0</v>
      </c>
      <c r="L525" t="s">
        <v>8</v>
      </c>
      <c r="M525" t="s">
        <v>8</v>
      </c>
      <c r="N525" t="s">
        <v>7</v>
      </c>
      <c r="P525">
        <f t="shared" si="984"/>
        <v>-0.31401869158878526</v>
      </c>
      <c r="Q525">
        <f t="shared" si="985"/>
        <v>-433271.82446355175</v>
      </c>
      <c r="R525">
        <f t="shared" si="986"/>
        <v>3636198.6729863407</v>
      </c>
      <c r="S525">
        <f t="shared" si="987"/>
        <v>36.361986729863411</v>
      </c>
      <c r="T525">
        <f t="shared" si="988"/>
        <v>3.6361986729863412E-2</v>
      </c>
    </row>
    <row r="526" spans="1:20" x14ac:dyDescent="0.25">
      <c r="A526" s="5">
        <v>44067</v>
      </c>
      <c r="B526">
        <v>5.6879999999999997</v>
      </c>
      <c r="C526">
        <v>6.3</v>
      </c>
      <c r="D526">
        <v>5.5350000000000001</v>
      </c>
      <c r="E526">
        <v>6.2309999999999999</v>
      </c>
      <c r="F526">
        <v>937828.1</v>
      </c>
      <c r="G526">
        <v>0</v>
      </c>
      <c r="L526" t="s">
        <v>8</v>
      </c>
      <c r="M526" t="s">
        <v>8</v>
      </c>
      <c r="N526" t="s">
        <v>7</v>
      </c>
      <c r="P526">
        <f t="shared" si="984"/>
        <v>0.81960784313725499</v>
      </c>
      <c r="Q526">
        <f t="shared" si="985"/>
        <v>768651.26627450984</v>
      </c>
      <c r="R526">
        <f t="shared" si="986"/>
        <v>4069470.4974498926</v>
      </c>
      <c r="S526">
        <f t="shared" si="987"/>
        <v>40.694704974498926</v>
      </c>
      <c r="T526">
        <f t="shared" si="988"/>
        <v>4.0694704974498924E-2</v>
      </c>
    </row>
    <row r="527" spans="1:20" x14ac:dyDescent="0.25">
      <c r="A527" s="5">
        <v>44066</v>
      </c>
      <c r="B527">
        <v>5.8289999999999997</v>
      </c>
      <c r="C527">
        <v>5.891</v>
      </c>
      <c r="D527">
        <v>5.3440000000000003</v>
      </c>
      <c r="E527">
        <v>5.6779999999999999</v>
      </c>
      <c r="F527">
        <v>794637.67200000002</v>
      </c>
      <c r="G527">
        <v>0</v>
      </c>
      <c r="L527" t="s">
        <v>8</v>
      </c>
      <c r="M527" t="s">
        <v>7</v>
      </c>
      <c r="N527" t="s">
        <v>7</v>
      </c>
      <c r="P527">
        <f t="shared" si="984"/>
        <v>0.22120658135283294</v>
      </c>
      <c r="Q527">
        <f t="shared" si="985"/>
        <v>175779.0828372938</v>
      </c>
      <c r="R527">
        <f t="shared" si="986"/>
        <v>3300819.2311753826</v>
      </c>
      <c r="S527">
        <f t="shared" si="987"/>
        <v>33.008192311753824</v>
      </c>
      <c r="T527">
        <f t="shared" si="988"/>
        <v>3.3008192311753823E-2</v>
      </c>
    </row>
    <row r="528" spans="1:20" x14ac:dyDescent="0.25">
      <c r="A528" s="5">
        <v>44065</v>
      </c>
      <c r="B528">
        <v>5.3239999999999998</v>
      </c>
      <c r="C528">
        <v>6.048</v>
      </c>
      <c r="D528">
        <v>5.1059999999999999</v>
      </c>
      <c r="E528">
        <v>5.8310000000000004</v>
      </c>
      <c r="F528">
        <v>1029008.0209999999</v>
      </c>
      <c r="G528">
        <v>0</v>
      </c>
      <c r="L528" t="s">
        <v>7</v>
      </c>
      <c r="M528" t="s">
        <v>7</v>
      </c>
      <c r="N528" t="s">
        <v>7</v>
      </c>
      <c r="P528">
        <f t="shared" si="984"/>
        <v>0.53927813163482041</v>
      </c>
      <c r="Q528">
        <f t="shared" si="985"/>
        <v>554921.52300212404</v>
      </c>
      <c r="R528">
        <f t="shared" si="986"/>
        <v>3125040.1483380888</v>
      </c>
      <c r="S528">
        <f t="shared" si="987"/>
        <v>31.250401483380887</v>
      </c>
      <c r="T528">
        <f t="shared" si="988"/>
        <v>3.1250401483380888E-2</v>
      </c>
    </row>
    <row r="529" spans="1:20" x14ac:dyDescent="0.25">
      <c r="A529" s="5">
        <v>44064</v>
      </c>
      <c r="B529">
        <v>6.1760000000000002</v>
      </c>
      <c r="C529">
        <v>6.27</v>
      </c>
      <c r="D529">
        <v>5.21</v>
      </c>
      <c r="E529">
        <v>5.3150000000000004</v>
      </c>
      <c r="F529">
        <v>1307457.175</v>
      </c>
      <c r="G529">
        <v>0</v>
      </c>
      <c r="L529" t="s">
        <v>7</v>
      </c>
      <c r="M529" t="s">
        <v>7</v>
      </c>
      <c r="N529" t="s">
        <v>7</v>
      </c>
      <c r="P529">
        <f t="shared" si="984"/>
        <v>-0.80188679245282934</v>
      </c>
      <c r="Q529">
        <f t="shared" si="985"/>
        <v>-1048432.6403301876</v>
      </c>
      <c r="R529">
        <f t="shared" si="986"/>
        <v>2570118.6253359648</v>
      </c>
      <c r="S529">
        <f t="shared" si="987"/>
        <v>25.701186253359648</v>
      </c>
      <c r="T529">
        <f t="shared" si="988"/>
        <v>2.5701186253359647E-2</v>
      </c>
    </row>
    <row r="530" spans="1:20" x14ac:dyDescent="0.25">
      <c r="A530" s="5">
        <v>44063</v>
      </c>
      <c r="B530">
        <v>6.0919999999999996</v>
      </c>
      <c r="C530">
        <v>6.77</v>
      </c>
      <c r="D530">
        <v>6.0609999999999999</v>
      </c>
      <c r="E530">
        <v>6.1749999999999998</v>
      </c>
      <c r="F530">
        <v>1595979.8929999999</v>
      </c>
      <c r="G530">
        <v>0</v>
      </c>
      <c r="L530" t="s">
        <v>8</v>
      </c>
      <c r="M530" t="s">
        <v>8</v>
      </c>
      <c r="N530" t="s">
        <v>7</v>
      </c>
      <c r="P530">
        <f t="shared" si="984"/>
        <v>-0.67842031029619199</v>
      </c>
      <c r="Q530">
        <f t="shared" si="985"/>
        <v>-1082745.1742355432</v>
      </c>
      <c r="R530">
        <f t="shared" si="986"/>
        <v>3618551.2656661524</v>
      </c>
      <c r="S530">
        <f t="shared" si="987"/>
        <v>36.185512656661523</v>
      </c>
      <c r="T530">
        <f t="shared" si="988"/>
        <v>3.618551265666152E-2</v>
      </c>
    </row>
    <row r="531" spans="1:20" x14ac:dyDescent="0.25">
      <c r="A531" s="5">
        <v>44062</v>
      </c>
      <c r="B531">
        <v>6.1459999999999999</v>
      </c>
      <c r="C531">
        <v>6.4089999999999998</v>
      </c>
      <c r="D531">
        <v>5.4</v>
      </c>
      <c r="E531">
        <v>6.0910000000000002</v>
      </c>
      <c r="F531">
        <v>1880672.801</v>
      </c>
      <c r="G531">
        <v>0</v>
      </c>
      <c r="L531" t="s">
        <v>7</v>
      </c>
      <c r="M531" t="s">
        <v>7</v>
      </c>
      <c r="N531" t="s">
        <v>7</v>
      </c>
      <c r="P531">
        <f t="shared" si="984"/>
        <v>0.36967294350842461</v>
      </c>
      <c r="Q531">
        <f t="shared" si="985"/>
        <v>695233.8501219037</v>
      </c>
      <c r="R531">
        <f t="shared" si="986"/>
        <v>4701296.4399016956</v>
      </c>
      <c r="S531">
        <f t="shared" si="987"/>
        <v>47.012964399016958</v>
      </c>
      <c r="T531">
        <f t="shared" si="988"/>
        <v>4.7012964399016956E-2</v>
      </c>
    </row>
    <row r="532" spans="1:20" x14ac:dyDescent="0.25">
      <c r="A532" s="5">
        <v>44061</v>
      </c>
      <c r="B532">
        <v>6.1559999999999997</v>
      </c>
      <c r="C532">
        <v>6.68</v>
      </c>
      <c r="D532">
        <v>5.5190000000000001</v>
      </c>
      <c r="E532">
        <v>6.1449999999999996</v>
      </c>
      <c r="F532">
        <v>1375748.4539999999</v>
      </c>
      <c r="G532">
        <v>0</v>
      </c>
      <c r="L532" t="s">
        <v>7</v>
      </c>
      <c r="M532" t="s">
        <v>7</v>
      </c>
      <c r="N532" t="s">
        <v>7</v>
      </c>
      <c r="P532">
        <f t="shared" si="984"/>
        <v>7.8380706287682456E-2</v>
      </c>
      <c r="Q532">
        <f t="shared" si="985"/>
        <v>107832.13549870721</v>
      </c>
      <c r="R532">
        <f t="shared" si="986"/>
        <v>4006062.5897797919</v>
      </c>
      <c r="S532">
        <f t="shared" si="987"/>
        <v>40.060625897797919</v>
      </c>
      <c r="T532">
        <f t="shared" si="988"/>
        <v>4.0060625897797922E-2</v>
      </c>
    </row>
    <row r="533" spans="1:20" x14ac:dyDescent="0.25">
      <c r="A533" s="5">
        <v>44060</v>
      </c>
      <c r="B533">
        <v>6.3979999999999997</v>
      </c>
      <c r="C533">
        <v>6.875</v>
      </c>
      <c r="D533">
        <v>6.0720000000000001</v>
      </c>
      <c r="E533">
        <v>6.1769999999999996</v>
      </c>
      <c r="F533">
        <v>1206308.7139999999</v>
      </c>
      <c r="G533">
        <v>0</v>
      </c>
      <c r="L533" t="s">
        <v>8</v>
      </c>
      <c r="M533" t="s">
        <v>7</v>
      </c>
      <c r="N533" t="s">
        <v>8</v>
      </c>
      <c r="P533">
        <f t="shared" si="984"/>
        <v>-0.73848069738480815</v>
      </c>
      <c r="Q533">
        <f t="shared" si="985"/>
        <v>-890835.70037609106</v>
      </c>
      <c r="R533">
        <f t="shared" si="986"/>
        <v>3898230.4542810847</v>
      </c>
      <c r="S533">
        <f t="shared" si="987"/>
        <v>38.982304542810844</v>
      </c>
      <c r="T533">
        <f t="shared" si="988"/>
        <v>3.8982304542810847E-2</v>
      </c>
    </row>
    <row r="534" spans="1:20" x14ac:dyDescent="0.25">
      <c r="A534" s="5">
        <v>44059</v>
      </c>
      <c r="B534">
        <v>6.859</v>
      </c>
      <c r="C534">
        <v>6.8869999999999996</v>
      </c>
      <c r="D534">
        <v>6.1</v>
      </c>
      <c r="E534">
        <v>6.4050000000000002</v>
      </c>
      <c r="F534">
        <v>1016350.406</v>
      </c>
      <c r="G534">
        <v>0</v>
      </c>
      <c r="L534" t="s">
        <v>7</v>
      </c>
      <c r="M534" t="s">
        <v>7</v>
      </c>
      <c r="N534" t="s">
        <v>8</v>
      </c>
      <c r="P534">
        <f t="shared" si="984"/>
        <v>-0.22490470139771121</v>
      </c>
      <c r="Q534">
        <f t="shared" si="985"/>
        <v>-228581.98457687255</v>
      </c>
      <c r="R534">
        <f t="shared" si="986"/>
        <v>4789066.1546571758</v>
      </c>
      <c r="S534">
        <f t="shared" si="987"/>
        <v>47.890661546571756</v>
      </c>
      <c r="T534">
        <f t="shared" si="988"/>
        <v>4.7890661546571754E-2</v>
      </c>
    </row>
    <row r="535" spans="1:20" x14ac:dyDescent="0.25">
      <c r="A535" s="5">
        <v>44058</v>
      </c>
      <c r="B535">
        <v>6.1459999999999999</v>
      </c>
      <c r="C535">
        <v>7.46</v>
      </c>
      <c r="D535">
        <v>5.9</v>
      </c>
      <c r="E535">
        <v>6.859</v>
      </c>
      <c r="F535">
        <v>3868282.0529999998</v>
      </c>
      <c r="G535">
        <v>0</v>
      </c>
      <c r="L535" t="s">
        <v>8</v>
      </c>
      <c r="M535" t="s">
        <v>8</v>
      </c>
      <c r="N535" t="s">
        <v>8</v>
      </c>
      <c r="P535">
        <f t="shared" si="984"/>
        <v>0.22948717948717931</v>
      </c>
      <c r="Q535">
        <f t="shared" si="985"/>
        <v>887721.13780384546</v>
      </c>
      <c r="R535">
        <f t="shared" si="986"/>
        <v>5017648.1392340483</v>
      </c>
      <c r="S535">
        <f t="shared" si="987"/>
        <v>50.176481392340484</v>
      </c>
      <c r="T535">
        <f t="shared" si="988"/>
        <v>5.0176481392340481E-2</v>
      </c>
    </row>
    <row r="536" spans="1:20" x14ac:dyDescent="0.25">
      <c r="A536" s="5">
        <v>44057</v>
      </c>
      <c r="B536">
        <v>5.07</v>
      </c>
      <c r="C536">
        <v>6.4950000000000001</v>
      </c>
      <c r="D536">
        <v>4.93</v>
      </c>
      <c r="E536">
        <v>6.15</v>
      </c>
      <c r="F536">
        <v>2240420.4049999998</v>
      </c>
      <c r="G536">
        <v>0</v>
      </c>
      <c r="L536" t="s">
        <v>8</v>
      </c>
      <c r="M536" t="s">
        <v>8</v>
      </c>
      <c r="N536" t="s">
        <v>8</v>
      </c>
      <c r="P536">
        <f t="shared" si="984"/>
        <v>0.55910543130990453</v>
      </c>
      <c r="Q536">
        <f t="shared" si="985"/>
        <v>1252631.2168530358</v>
      </c>
      <c r="R536">
        <f t="shared" si="986"/>
        <v>4129927.0014302032</v>
      </c>
      <c r="S536">
        <f t="shared" si="987"/>
        <v>41.299270014302031</v>
      </c>
      <c r="T536">
        <f t="shared" si="988"/>
        <v>4.1299270014302031E-2</v>
      </c>
    </row>
    <row r="537" spans="1:20" x14ac:dyDescent="0.25">
      <c r="A537" s="5">
        <v>44056</v>
      </c>
      <c r="B537">
        <v>5.6440000000000001</v>
      </c>
      <c r="C537">
        <v>6</v>
      </c>
      <c r="D537">
        <v>4.7359999999999998</v>
      </c>
      <c r="E537">
        <v>5.0720000000000001</v>
      </c>
      <c r="F537">
        <v>1690119.639</v>
      </c>
      <c r="G537">
        <v>0</v>
      </c>
      <c r="L537" t="s">
        <v>8</v>
      </c>
      <c r="M537" t="s">
        <v>7</v>
      </c>
      <c r="N537" t="s">
        <v>8</v>
      </c>
      <c r="P537">
        <f t="shared" si="984"/>
        <v>-0.46835443037974644</v>
      </c>
      <c r="Q537">
        <f t="shared" si="985"/>
        <v>-791575.02079746767</v>
      </c>
      <c r="R537">
        <f t="shared" si="986"/>
        <v>2877295.7845771671</v>
      </c>
      <c r="S537">
        <f t="shared" si="987"/>
        <v>28.772957845771671</v>
      </c>
      <c r="T537">
        <f t="shared" si="988"/>
        <v>2.877295784577167E-2</v>
      </c>
    </row>
    <row r="538" spans="1:20" x14ac:dyDescent="0.25">
      <c r="A538" s="5">
        <v>44055</v>
      </c>
      <c r="B538">
        <v>4.8789999999999996</v>
      </c>
      <c r="C538">
        <v>5.9210000000000003</v>
      </c>
      <c r="D538">
        <v>4.8470000000000004</v>
      </c>
      <c r="E538">
        <v>5.6429999999999998</v>
      </c>
      <c r="F538">
        <v>1561796.6329999999</v>
      </c>
      <c r="G538">
        <v>0</v>
      </c>
      <c r="L538" t="s">
        <v>8</v>
      </c>
      <c r="M538" t="s">
        <v>8</v>
      </c>
      <c r="N538" t="s">
        <v>8</v>
      </c>
      <c r="P538">
        <f t="shared" si="984"/>
        <v>0.48230912476722437</v>
      </c>
      <c r="Q538">
        <f t="shared" si="985"/>
        <v>753268.76712662785</v>
      </c>
      <c r="R538">
        <f t="shared" si="986"/>
        <v>3668870.8053746349</v>
      </c>
      <c r="S538">
        <f t="shared" si="987"/>
        <v>36.688708053746346</v>
      </c>
      <c r="T538">
        <f t="shared" si="988"/>
        <v>3.6688708053746348E-2</v>
      </c>
    </row>
    <row r="539" spans="1:20" x14ac:dyDescent="0.25">
      <c r="A539" s="5">
        <v>44054</v>
      </c>
      <c r="B539">
        <v>4.8170000000000002</v>
      </c>
      <c r="C539">
        <v>4.899</v>
      </c>
      <c r="D539">
        <v>4.17</v>
      </c>
      <c r="E539">
        <v>4.8789999999999996</v>
      </c>
      <c r="F539">
        <v>703164.11399999994</v>
      </c>
      <c r="G539">
        <v>0</v>
      </c>
      <c r="L539" t="s">
        <v>7</v>
      </c>
      <c r="M539" t="s">
        <v>7</v>
      </c>
      <c r="N539" t="s">
        <v>8</v>
      </c>
      <c r="P539">
        <f t="shared" si="984"/>
        <v>0.9451303155006846</v>
      </c>
      <c r="Q539">
        <f t="shared" si="985"/>
        <v>664581.72091357934</v>
      </c>
      <c r="R539">
        <f t="shared" si="986"/>
        <v>2915602.0382480072</v>
      </c>
      <c r="S539">
        <f t="shared" si="987"/>
        <v>29.156020382480072</v>
      </c>
      <c r="T539">
        <f t="shared" si="988"/>
        <v>2.9156020382480073E-2</v>
      </c>
    </row>
    <row r="540" spans="1:20" x14ac:dyDescent="0.25">
      <c r="A540" s="5">
        <v>44053</v>
      </c>
      <c r="B540">
        <v>4.2430000000000003</v>
      </c>
      <c r="C540">
        <v>5.0389999999999997</v>
      </c>
      <c r="D540">
        <v>4.2430000000000003</v>
      </c>
      <c r="E540">
        <v>4.8220000000000001</v>
      </c>
      <c r="F540">
        <v>851456.17200000002</v>
      </c>
      <c r="G540">
        <v>0</v>
      </c>
      <c r="L540" t="s">
        <v>8</v>
      </c>
      <c r="M540" t="s">
        <v>8</v>
      </c>
      <c r="N540" t="s">
        <v>8</v>
      </c>
      <c r="P540">
        <f t="shared" si="984"/>
        <v>0.45477386934673414</v>
      </c>
      <c r="Q540">
        <f t="shared" si="985"/>
        <v>387220.01791959838</v>
      </c>
      <c r="R540">
        <f t="shared" si="986"/>
        <v>2251020.317334428</v>
      </c>
      <c r="S540">
        <f t="shared" si="987"/>
        <v>22.51020317334428</v>
      </c>
      <c r="T540">
        <f t="shared" si="988"/>
        <v>2.2510203173344279E-2</v>
      </c>
    </row>
    <row r="541" spans="1:20" x14ac:dyDescent="0.25">
      <c r="A541" s="5">
        <v>44052</v>
      </c>
      <c r="B541">
        <v>4.3440000000000003</v>
      </c>
      <c r="C541">
        <v>4.383</v>
      </c>
      <c r="D541">
        <v>4.1749999999999998</v>
      </c>
      <c r="E541">
        <v>4.2409999999999997</v>
      </c>
      <c r="F541">
        <v>383272.29</v>
      </c>
      <c r="G541">
        <v>0</v>
      </c>
      <c r="L541" t="s">
        <v>8</v>
      </c>
      <c r="M541" t="s">
        <v>8</v>
      </c>
      <c r="N541" t="s">
        <v>8</v>
      </c>
      <c r="P541">
        <f t="shared" si="984"/>
        <v>-0.36538461538461753</v>
      </c>
      <c r="Q541">
        <f t="shared" si="985"/>
        <v>-140041.79826923157</v>
      </c>
      <c r="R541">
        <f t="shared" si="986"/>
        <v>1863800.2994148296</v>
      </c>
      <c r="S541">
        <f t="shared" si="987"/>
        <v>18.638002994148295</v>
      </c>
      <c r="T541">
        <f t="shared" si="988"/>
        <v>1.8638002994148296E-2</v>
      </c>
    </row>
    <row r="542" spans="1:20" x14ac:dyDescent="0.25">
      <c r="A542" s="5">
        <v>44051</v>
      </c>
      <c r="B542">
        <v>4.2969999999999997</v>
      </c>
      <c r="C542">
        <v>4.45</v>
      </c>
      <c r="D542">
        <v>4.2</v>
      </c>
      <c r="E542">
        <v>4.3490000000000002</v>
      </c>
      <c r="F542">
        <v>292458.027</v>
      </c>
      <c r="G542">
        <v>0</v>
      </c>
      <c r="L542" t="s">
        <v>8</v>
      </c>
      <c r="M542" t="s">
        <v>8</v>
      </c>
      <c r="N542" t="s">
        <v>8</v>
      </c>
      <c r="P542">
        <f t="shared" si="984"/>
        <v>0.19200000000000017</v>
      </c>
      <c r="Q542">
        <f t="shared" si="985"/>
        <v>56151.941184000047</v>
      </c>
      <c r="R542">
        <f t="shared" si="986"/>
        <v>2003842.0976840612</v>
      </c>
      <c r="S542">
        <f t="shared" si="987"/>
        <v>20.038420976840612</v>
      </c>
      <c r="T542">
        <f t="shared" si="988"/>
        <v>2.0038420976840613E-2</v>
      </c>
    </row>
    <row r="543" spans="1:20" x14ac:dyDescent="0.25">
      <c r="A543" s="5">
        <v>44050</v>
      </c>
      <c r="B543">
        <v>4.4509999999999996</v>
      </c>
      <c r="C543">
        <v>4.6269999999999998</v>
      </c>
      <c r="D543">
        <v>4.13</v>
      </c>
      <c r="E543">
        <v>4.2969999999999997</v>
      </c>
      <c r="F543">
        <v>331415.652</v>
      </c>
      <c r="G543">
        <v>0</v>
      </c>
      <c r="L543" t="s">
        <v>7</v>
      </c>
      <c r="M543" t="s">
        <v>8</v>
      </c>
      <c r="N543" t="s">
        <v>8</v>
      </c>
      <c r="P543">
        <f t="shared" si="984"/>
        <v>-0.32796780684104687</v>
      </c>
      <c r="Q543">
        <f t="shared" si="985"/>
        <v>-108693.66453923561</v>
      </c>
      <c r="R543">
        <f t="shared" si="986"/>
        <v>1947690.156500061</v>
      </c>
      <c r="S543">
        <f t="shared" si="987"/>
        <v>19.47690156500061</v>
      </c>
      <c r="T543">
        <f t="shared" si="988"/>
        <v>1.947690156500061E-2</v>
      </c>
    </row>
    <row r="544" spans="1:20" x14ac:dyDescent="0.25">
      <c r="A544" s="5">
        <v>44049</v>
      </c>
      <c r="B544">
        <v>4.3390000000000004</v>
      </c>
      <c r="C544">
        <v>4.74</v>
      </c>
      <c r="D544">
        <v>4.2919999999999998</v>
      </c>
      <c r="E544">
        <v>4.45</v>
      </c>
      <c r="F544">
        <v>420306.83100000001</v>
      </c>
      <c r="G544">
        <v>0</v>
      </c>
      <c r="L544" t="s">
        <v>7</v>
      </c>
      <c r="M544" t="s">
        <v>8</v>
      </c>
      <c r="N544" t="s">
        <v>8</v>
      </c>
      <c r="P544">
        <f t="shared" si="984"/>
        <v>-0.29464285714285615</v>
      </c>
      <c r="Q544">
        <f t="shared" si="985"/>
        <v>-123840.40556249958</v>
      </c>
      <c r="R544">
        <f t="shared" si="986"/>
        <v>2056383.8210392967</v>
      </c>
      <c r="S544">
        <f t="shared" si="987"/>
        <v>20.563838210392966</v>
      </c>
      <c r="T544">
        <f t="shared" si="988"/>
        <v>2.0563838210392964E-2</v>
      </c>
    </row>
    <row r="545" spans="1:20" x14ac:dyDescent="0.25">
      <c r="A545" s="5">
        <v>44048</v>
      </c>
      <c r="B545">
        <v>4.4610000000000003</v>
      </c>
      <c r="C545">
        <v>4.6900000000000004</v>
      </c>
      <c r="D545">
        <v>4.28</v>
      </c>
      <c r="E545">
        <v>4.3390000000000004</v>
      </c>
      <c r="F545">
        <v>456892.4</v>
      </c>
      <c r="G545">
        <v>0</v>
      </c>
      <c r="L545" t="s">
        <v>8</v>
      </c>
      <c r="M545" t="s">
        <v>8</v>
      </c>
      <c r="N545" t="s">
        <v>8</v>
      </c>
      <c r="P545">
        <f t="shared" si="984"/>
        <v>-0.71219512195121881</v>
      </c>
      <c r="Q545">
        <f t="shared" si="985"/>
        <v>-325396.53853658505</v>
      </c>
      <c r="R545">
        <f t="shared" si="986"/>
        <v>2180224.2266017962</v>
      </c>
      <c r="S545">
        <f t="shared" si="987"/>
        <v>21.802242266017963</v>
      </c>
      <c r="T545">
        <f t="shared" si="988"/>
        <v>2.1802242266017964E-2</v>
      </c>
    </row>
    <row r="546" spans="1:20" x14ac:dyDescent="0.25">
      <c r="A546" s="5">
        <v>44047</v>
      </c>
      <c r="B546">
        <v>4.1479999999999997</v>
      </c>
      <c r="C546">
        <v>4.5629999999999997</v>
      </c>
      <c r="D546">
        <v>4.1360000000000001</v>
      </c>
      <c r="E546">
        <v>4.47</v>
      </c>
      <c r="F546">
        <v>1021141.2169999999</v>
      </c>
      <c r="G546">
        <v>0</v>
      </c>
      <c r="L546" t="s">
        <v>8</v>
      </c>
      <c r="M546" t="s">
        <v>8</v>
      </c>
      <c r="N546" t="s">
        <v>8</v>
      </c>
      <c r="P546">
        <f t="shared" si="984"/>
        <v>0.56440281030444939</v>
      </c>
      <c r="Q546">
        <f t="shared" si="985"/>
        <v>576334.97259250551</v>
      </c>
      <c r="R546">
        <f t="shared" si="986"/>
        <v>2505620.7651383812</v>
      </c>
      <c r="S546">
        <f t="shared" si="987"/>
        <v>25.056207651383811</v>
      </c>
      <c r="T546">
        <f t="shared" si="988"/>
        <v>2.5056207651383812E-2</v>
      </c>
    </row>
    <row r="547" spans="1:20" x14ac:dyDescent="0.25">
      <c r="A547" s="5">
        <v>44046</v>
      </c>
      <c r="B547">
        <v>4.266</v>
      </c>
      <c r="C547">
        <v>4.3869999999999996</v>
      </c>
      <c r="D547">
        <v>3.89</v>
      </c>
      <c r="E547">
        <v>4.1479999999999997</v>
      </c>
      <c r="F547">
        <v>877651.95700000005</v>
      </c>
      <c r="G547">
        <v>0</v>
      </c>
      <c r="L547" t="s">
        <v>7</v>
      </c>
      <c r="M547" t="s">
        <v>8</v>
      </c>
      <c r="N547" t="s">
        <v>8</v>
      </c>
      <c r="P547">
        <f t="shared" si="984"/>
        <v>3.8229376257544675E-2</v>
      </c>
      <c r="Q547">
        <f t="shared" si="985"/>
        <v>33552.086887323421</v>
      </c>
      <c r="R547">
        <f t="shared" si="986"/>
        <v>1929285.7925458755</v>
      </c>
      <c r="S547">
        <f t="shared" si="987"/>
        <v>19.292857925458755</v>
      </c>
      <c r="T547">
        <f t="shared" si="988"/>
        <v>1.9292857925458755E-2</v>
      </c>
    </row>
    <row r="548" spans="1:20" x14ac:dyDescent="0.25">
      <c r="A548" s="5">
        <v>44045</v>
      </c>
      <c r="B548">
        <v>3.7919999999999998</v>
      </c>
      <c r="C548">
        <v>4.4370000000000003</v>
      </c>
      <c r="D548">
        <v>3.5</v>
      </c>
      <c r="E548">
        <v>4.266</v>
      </c>
      <c r="F548">
        <v>1298727.7080000001</v>
      </c>
      <c r="G548">
        <v>0</v>
      </c>
      <c r="L548" t="s">
        <v>8</v>
      </c>
      <c r="M548" t="s">
        <v>8</v>
      </c>
      <c r="N548" t="s">
        <v>8</v>
      </c>
      <c r="P548">
        <f t="shared" si="984"/>
        <v>0.63500533617929522</v>
      </c>
      <c r="Q548">
        <f t="shared" si="985"/>
        <v>824699.02482390567</v>
      </c>
      <c r="R548">
        <f t="shared" si="986"/>
        <v>1895733.705658552</v>
      </c>
      <c r="S548">
        <f t="shared" si="987"/>
        <v>18.957337056585519</v>
      </c>
      <c r="T548">
        <f t="shared" si="988"/>
        <v>1.8957337056585519E-2</v>
      </c>
    </row>
    <row r="549" spans="1:20" x14ac:dyDescent="0.25">
      <c r="A549" s="5">
        <v>44044</v>
      </c>
      <c r="B549">
        <v>3.9510000000000001</v>
      </c>
      <c r="C549">
        <v>4.1109999999999998</v>
      </c>
      <c r="D549">
        <v>3.577</v>
      </c>
      <c r="E549">
        <v>3.7930000000000001</v>
      </c>
      <c r="F549">
        <v>1223189.4790000001</v>
      </c>
      <c r="G549">
        <v>0</v>
      </c>
      <c r="L549" t="s">
        <v>8</v>
      </c>
      <c r="M549" t="s">
        <v>8</v>
      </c>
      <c r="N549" t="s">
        <v>8</v>
      </c>
      <c r="P549">
        <f t="shared" si="984"/>
        <v>-0.19101123595505518</v>
      </c>
      <c r="Q549">
        <f t="shared" si="985"/>
        <v>-233642.93419101002</v>
      </c>
      <c r="R549">
        <f t="shared" si="986"/>
        <v>1071034.6808346463</v>
      </c>
      <c r="S549">
        <f t="shared" si="987"/>
        <v>10.710346808346463</v>
      </c>
      <c r="T549">
        <f t="shared" si="988"/>
        <v>1.0710346808346463E-2</v>
      </c>
    </row>
    <row r="550" spans="1:20" x14ac:dyDescent="0.25">
      <c r="A550" s="5">
        <v>44043</v>
      </c>
      <c r="B550">
        <v>3.5470000000000002</v>
      </c>
      <c r="C550">
        <v>3.9649999999999999</v>
      </c>
      <c r="D550">
        <v>3.4860000000000002</v>
      </c>
      <c r="E550">
        <v>3.952</v>
      </c>
      <c r="F550">
        <v>971801.45499999996</v>
      </c>
      <c r="G550">
        <v>0</v>
      </c>
      <c r="L550" t="s">
        <v>8</v>
      </c>
      <c r="M550" t="s">
        <v>8</v>
      </c>
      <c r="N550" t="s">
        <v>8</v>
      </c>
      <c r="P550">
        <f t="shared" si="984"/>
        <v>0.94572025052192099</v>
      </c>
      <c r="Q550">
        <f t="shared" si="985"/>
        <v>919052.31548016728</v>
      </c>
      <c r="R550">
        <f t="shared" si="986"/>
        <v>1304677.6150256563</v>
      </c>
      <c r="S550">
        <f t="shared" si="987"/>
        <v>13.046776150256562</v>
      </c>
      <c r="T550">
        <f t="shared" si="988"/>
        <v>1.3046776150256562E-2</v>
      </c>
    </row>
    <row r="551" spans="1:20" x14ac:dyDescent="0.25">
      <c r="A551" s="5">
        <v>44042</v>
      </c>
      <c r="B551">
        <v>3.2730000000000001</v>
      </c>
      <c r="C551">
        <v>3.6829999999999998</v>
      </c>
      <c r="D551">
        <v>3.2650000000000001</v>
      </c>
      <c r="E551">
        <v>3.5470000000000002</v>
      </c>
      <c r="F551">
        <v>825362.16099999996</v>
      </c>
      <c r="G551">
        <v>0</v>
      </c>
      <c r="L551" t="s">
        <v>8</v>
      </c>
      <c r="M551" t="s">
        <v>8</v>
      </c>
      <c r="N551" t="s">
        <v>7</v>
      </c>
      <c r="P551">
        <f t="shared" si="984"/>
        <v>0.3492822966507188</v>
      </c>
      <c r="Q551">
        <f t="shared" si="985"/>
        <v>288284.39116268035</v>
      </c>
      <c r="R551">
        <f t="shared" si="986"/>
        <v>385625.29954548914</v>
      </c>
      <c r="S551">
        <f t="shared" si="987"/>
        <v>3.8562529954548914</v>
      </c>
      <c r="T551">
        <f t="shared" si="988"/>
        <v>3.8562529954548914E-3</v>
      </c>
    </row>
    <row r="552" spans="1:20" x14ac:dyDescent="0.25">
      <c r="A552" s="5">
        <v>44041</v>
      </c>
      <c r="B552">
        <v>3.3719999999999999</v>
      </c>
      <c r="C552">
        <v>3.3860000000000001</v>
      </c>
      <c r="D552">
        <v>3.07</v>
      </c>
      <c r="E552">
        <v>3.2730000000000001</v>
      </c>
      <c r="F552">
        <v>542519.37699999998</v>
      </c>
      <c r="G552">
        <v>0</v>
      </c>
      <c r="L552" t="s">
        <v>7</v>
      </c>
      <c r="M552" t="s">
        <v>8</v>
      </c>
      <c r="N552" t="s">
        <v>7</v>
      </c>
      <c r="P552">
        <f t="shared" si="984"/>
        <v>0.28481012658227917</v>
      </c>
      <c r="Q552">
        <f t="shared" si="985"/>
        <v>154515.01243670922</v>
      </c>
      <c r="R552">
        <f t="shared" si="986"/>
        <v>97340.908382808761</v>
      </c>
      <c r="S552">
        <f t="shared" si="987"/>
        <v>0.97340908382808755</v>
      </c>
      <c r="T552">
        <f t="shared" si="988"/>
        <v>9.7340908382808754E-4</v>
      </c>
    </row>
    <row r="553" spans="1:20" x14ac:dyDescent="0.25">
      <c r="A553" s="5">
        <v>44040</v>
      </c>
      <c r="B553">
        <v>2.8690000000000002</v>
      </c>
      <c r="C553">
        <v>3.48</v>
      </c>
      <c r="D553">
        <v>2.8690000000000002</v>
      </c>
      <c r="E553">
        <v>3.3719999999999999</v>
      </c>
      <c r="F553">
        <v>869146.27</v>
      </c>
      <c r="G553">
        <v>0</v>
      </c>
      <c r="L553" t="s">
        <v>8</v>
      </c>
      <c r="M553" t="s">
        <v>8</v>
      </c>
      <c r="N553" t="s">
        <v>7</v>
      </c>
      <c r="P553">
        <f t="shared" si="984"/>
        <v>0.64648117839607155</v>
      </c>
      <c r="Q553">
        <f t="shared" si="985"/>
        <v>561886.70482815022</v>
      </c>
      <c r="R553">
        <f t="shared" si="986"/>
        <v>-57174.104053900461</v>
      </c>
      <c r="S553">
        <f t="shared" si="987"/>
        <v>-0.57174104053900465</v>
      </c>
      <c r="T553">
        <f t="shared" si="988"/>
        <v>-5.7174104053900462E-4</v>
      </c>
    </row>
    <row r="554" spans="1:20" x14ac:dyDescent="0.25">
      <c r="A554" s="5">
        <v>44039</v>
      </c>
      <c r="B554">
        <v>3.1539999999999999</v>
      </c>
      <c r="C554">
        <v>3.22</v>
      </c>
      <c r="D554">
        <v>2.67</v>
      </c>
      <c r="E554">
        <v>2.8690000000000002</v>
      </c>
      <c r="F554">
        <v>958131.72100000002</v>
      </c>
      <c r="G554">
        <v>0</v>
      </c>
      <c r="L554" t="s">
        <v>7</v>
      </c>
      <c r="M554" t="s">
        <v>7</v>
      </c>
      <c r="N554" t="s">
        <v>7</v>
      </c>
      <c r="P554">
        <f t="shared" si="984"/>
        <v>-0.27636363636363565</v>
      </c>
      <c r="Q554">
        <f t="shared" si="985"/>
        <v>-264792.76653090841</v>
      </c>
      <c r="R554">
        <f t="shared" si="986"/>
        <v>-619060.80888205068</v>
      </c>
      <c r="S554">
        <f t="shared" si="987"/>
        <v>-6.1906080888205066</v>
      </c>
      <c r="T554">
        <f t="shared" si="988"/>
        <v>-6.1906080888205067E-3</v>
      </c>
    </row>
    <row r="555" spans="1:20" x14ac:dyDescent="0.25">
      <c r="A555" s="5">
        <v>44038</v>
      </c>
      <c r="B555">
        <v>3.5419999999999998</v>
      </c>
      <c r="C555">
        <v>3.5649999999999999</v>
      </c>
      <c r="D555">
        <v>3</v>
      </c>
      <c r="E555">
        <v>3.1549999999999998</v>
      </c>
      <c r="F555">
        <v>658936.94799999997</v>
      </c>
      <c r="G555">
        <v>0</v>
      </c>
      <c r="L555" t="s">
        <v>7</v>
      </c>
      <c r="M555" t="s">
        <v>7</v>
      </c>
      <c r="N555" t="s">
        <v>7</v>
      </c>
      <c r="P555">
        <f t="shared" si="984"/>
        <v>-0.45132743362831923</v>
      </c>
      <c r="Q555">
        <f t="shared" si="985"/>
        <v>-297396.32166371722</v>
      </c>
      <c r="R555">
        <f t="shared" si="986"/>
        <v>-354268.04235114227</v>
      </c>
      <c r="S555">
        <f t="shared" si="987"/>
        <v>-3.5426804235114226</v>
      </c>
      <c r="T555">
        <f t="shared" si="988"/>
        <v>-3.5426804235114229E-3</v>
      </c>
    </row>
    <row r="556" spans="1:20" x14ac:dyDescent="0.25">
      <c r="A556" s="5">
        <v>44037</v>
      </c>
      <c r="B556">
        <v>3.3370000000000002</v>
      </c>
      <c r="C556">
        <v>3.7210000000000001</v>
      </c>
      <c r="D556">
        <v>3.2959999999999998</v>
      </c>
      <c r="E556">
        <v>3.5409999999999999</v>
      </c>
      <c r="F556">
        <v>347211.69400000002</v>
      </c>
      <c r="G556">
        <v>0</v>
      </c>
      <c r="L556" t="s">
        <v>8</v>
      </c>
      <c r="M556" t="s">
        <v>7</v>
      </c>
      <c r="N556" t="s">
        <v>7</v>
      </c>
      <c r="P556">
        <f t="shared" si="984"/>
        <v>0.15294117647058803</v>
      </c>
      <c r="Q556">
        <f t="shared" si="985"/>
        <v>53102.96496470581</v>
      </c>
      <c r="R556">
        <f t="shared" si="986"/>
        <v>-56871.720687425084</v>
      </c>
      <c r="S556">
        <f t="shared" si="987"/>
        <v>-0.56871720687425087</v>
      </c>
      <c r="T556">
        <f t="shared" si="988"/>
        <v>-5.6871720687425085E-4</v>
      </c>
    </row>
    <row r="557" spans="1:20" x14ac:dyDescent="0.25">
      <c r="A557" s="5">
        <v>44036</v>
      </c>
      <c r="B557">
        <v>3.3460000000000001</v>
      </c>
      <c r="C557">
        <v>3.6269999999999998</v>
      </c>
      <c r="D557">
        <v>3.2349999999999999</v>
      </c>
      <c r="E557">
        <v>3.3370000000000002</v>
      </c>
      <c r="F557">
        <v>543597.80900000001</v>
      </c>
      <c r="G557">
        <v>0</v>
      </c>
      <c r="L557" t="s">
        <v>8</v>
      </c>
      <c r="M557" t="s">
        <v>7</v>
      </c>
      <c r="N557" t="s">
        <v>7</v>
      </c>
      <c r="P557">
        <f t="shared" si="984"/>
        <v>-0.47959183673469213</v>
      </c>
      <c r="Q557">
        <f t="shared" si="985"/>
        <v>-260705.07166326436</v>
      </c>
      <c r="R557">
        <f t="shared" si="986"/>
        <v>-109974.68565213089</v>
      </c>
      <c r="S557">
        <f t="shared" si="987"/>
        <v>-1.0997468565213089</v>
      </c>
      <c r="T557">
        <f t="shared" si="988"/>
        <v>-1.0997468565213089E-3</v>
      </c>
    </row>
    <row r="558" spans="1:20" x14ac:dyDescent="0.25">
      <c r="A558" s="5">
        <v>44035</v>
      </c>
      <c r="B558">
        <v>3.4790000000000001</v>
      </c>
      <c r="C558">
        <v>3.62</v>
      </c>
      <c r="D558">
        <v>3.1</v>
      </c>
      <c r="E558">
        <v>3.35</v>
      </c>
      <c r="F558">
        <v>420492.04800000001</v>
      </c>
      <c r="G558">
        <v>0</v>
      </c>
      <c r="L558" t="s">
        <v>7</v>
      </c>
      <c r="M558" t="s">
        <v>7</v>
      </c>
      <c r="N558" t="s">
        <v>7</v>
      </c>
      <c r="P558">
        <f t="shared" si="984"/>
        <v>-3.8461538461538491E-2</v>
      </c>
      <c r="Q558">
        <f t="shared" si="985"/>
        <v>-16172.771076923091</v>
      </c>
      <c r="R558">
        <f t="shared" si="986"/>
        <v>150730.38601113347</v>
      </c>
      <c r="S558">
        <f t="shared" si="987"/>
        <v>1.5073038601113347</v>
      </c>
      <c r="T558">
        <f t="shared" si="988"/>
        <v>1.5073038601113346E-3</v>
      </c>
    </row>
    <row r="559" spans="1:20" x14ac:dyDescent="0.25">
      <c r="A559" s="5">
        <v>44034</v>
      </c>
      <c r="B559">
        <v>3.4790000000000001</v>
      </c>
      <c r="C559">
        <v>3.79</v>
      </c>
      <c r="D559">
        <v>3.351</v>
      </c>
      <c r="E559">
        <v>3.4790000000000001</v>
      </c>
      <c r="F559">
        <v>393948.78499999997</v>
      </c>
      <c r="G559">
        <v>0</v>
      </c>
      <c r="L559" t="s">
        <v>8</v>
      </c>
      <c r="M559" t="s">
        <v>7</v>
      </c>
      <c r="N559" t="s">
        <v>8</v>
      </c>
      <c r="P559">
        <f t="shared" si="984"/>
        <v>-0.41685649202733444</v>
      </c>
      <c r="Q559">
        <f t="shared" si="985"/>
        <v>-164220.10855353059</v>
      </c>
      <c r="R559">
        <f t="shared" si="986"/>
        <v>166903.15708805656</v>
      </c>
      <c r="S559">
        <f t="shared" si="987"/>
        <v>1.6690315708805656</v>
      </c>
      <c r="T559">
        <f t="shared" si="988"/>
        <v>1.6690315708805656E-3</v>
      </c>
    </row>
    <row r="560" spans="1:20" x14ac:dyDescent="0.25">
      <c r="A560" s="5">
        <v>44033</v>
      </c>
      <c r="B560">
        <v>3.84</v>
      </c>
      <c r="C560">
        <v>4.0289999999999999</v>
      </c>
      <c r="D560">
        <v>3.3410000000000002</v>
      </c>
      <c r="E560">
        <v>3.4790000000000001</v>
      </c>
      <c r="F560">
        <v>737082.14899999998</v>
      </c>
      <c r="G560">
        <v>0</v>
      </c>
      <c r="L560" t="s">
        <v>7</v>
      </c>
      <c r="M560" t="s">
        <v>7</v>
      </c>
      <c r="N560" t="s">
        <v>8</v>
      </c>
      <c r="P560">
        <f t="shared" si="984"/>
        <v>-0.59883720930232576</v>
      </c>
      <c r="Q560">
        <f t="shared" si="985"/>
        <v>-441392.21713372105</v>
      </c>
      <c r="R560">
        <f t="shared" si="986"/>
        <v>331123.26564158715</v>
      </c>
      <c r="S560">
        <f t="shared" si="987"/>
        <v>3.3112326564158714</v>
      </c>
      <c r="T560">
        <f t="shared" si="988"/>
        <v>3.3112326564158712E-3</v>
      </c>
    </row>
    <row r="561" spans="1:104" x14ac:dyDescent="0.25">
      <c r="A561" s="5">
        <v>44032</v>
      </c>
      <c r="B561">
        <v>3.2989999999999999</v>
      </c>
      <c r="C561">
        <v>4.1989999999999998</v>
      </c>
      <c r="D561">
        <v>3.27</v>
      </c>
      <c r="E561">
        <v>3.8490000000000002</v>
      </c>
      <c r="F561">
        <v>1475062.96</v>
      </c>
      <c r="G561">
        <v>0</v>
      </c>
      <c r="L561" t="s">
        <v>8</v>
      </c>
      <c r="M561" t="s">
        <v>8</v>
      </c>
      <c r="N561" t="s">
        <v>8</v>
      </c>
      <c r="P561">
        <f t="shared" si="984"/>
        <v>0.24650161463939782</v>
      </c>
      <c r="Q561">
        <f t="shared" si="985"/>
        <v>363605.4013347695</v>
      </c>
      <c r="R561">
        <f t="shared" si="986"/>
        <v>772515.48277530819</v>
      </c>
      <c r="S561">
        <f t="shared" si="987"/>
        <v>7.7251548277530819</v>
      </c>
      <c r="T561">
        <f t="shared" si="988"/>
        <v>7.7251548277530819E-3</v>
      </c>
      <c r="CZ561" t="s">
        <v>7</v>
      </c>
    </row>
    <row r="562" spans="1:104" x14ac:dyDescent="0.25">
      <c r="A562" s="5">
        <v>44031</v>
      </c>
      <c r="B562">
        <v>3.3809999999999998</v>
      </c>
      <c r="C562">
        <v>3.5350000000000001</v>
      </c>
      <c r="D562">
        <v>3.2879999999999998</v>
      </c>
      <c r="E562">
        <v>3.2970000000000002</v>
      </c>
      <c r="F562">
        <v>369647.946</v>
      </c>
      <c r="G562">
        <v>0</v>
      </c>
      <c r="L562" t="s">
        <v>8</v>
      </c>
      <c r="M562" t="s">
        <v>8</v>
      </c>
      <c r="N562" t="s">
        <v>8</v>
      </c>
      <c r="P562">
        <f t="shared" si="984"/>
        <v>-0.92712550607287181</v>
      </c>
      <c r="Q562">
        <f t="shared" si="985"/>
        <v>-342710.03900404758</v>
      </c>
      <c r="R562">
        <f t="shared" si="986"/>
        <v>408910.08144053869</v>
      </c>
      <c r="S562">
        <f t="shared" si="987"/>
        <v>4.0891008144053869</v>
      </c>
      <c r="T562">
        <f t="shared" si="988"/>
        <v>4.0891008144053869E-3</v>
      </c>
      <c r="CZ562" t="s">
        <v>7</v>
      </c>
    </row>
    <row r="563" spans="1:104" x14ac:dyDescent="0.25">
      <c r="A563" s="5">
        <v>44030</v>
      </c>
      <c r="B563">
        <v>3.3069999999999999</v>
      </c>
      <c r="C563">
        <v>3.52</v>
      </c>
      <c r="D563">
        <v>3.169</v>
      </c>
      <c r="E563">
        <v>3.371</v>
      </c>
      <c r="F563">
        <v>381798.32900000003</v>
      </c>
      <c r="G563">
        <v>0</v>
      </c>
      <c r="L563" t="s">
        <v>7</v>
      </c>
      <c r="M563" t="s">
        <v>8</v>
      </c>
      <c r="N563" t="s">
        <v>8</v>
      </c>
      <c r="P563">
        <f t="shared" si="984"/>
        <v>0.15099715099715083</v>
      </c>
      <c r="Q563">
        <f t="shared" si="985"/>
        <v>57650.459934472878</v>
      </c>
      <c r="R563">
        <f t="shared" si="986"/>
        <v>751620.12044458627</v>
      </c>
      <c r="S563">
        <f t="shared" si="987"/>
        <v>7.5162012044458626</v>
      </c>
      <c r="T563">
        <f t="shared" si="988"/>
        <v>7.5162012044458623E-3</v>
      </c>
      <c r="CZ563" t="s">
        <v>7</v>
      </c>
    </row>
    <row r="564" spans="1:104" x14ac:dyDescent="0.25">
      <c r="A564" s="5">
        <v>44029</v>
      </c>
      <c r="B564">
        <v>3.097</v>
      </c>
      <c r="C564">
        <v>3.6</v>
      </c>
      <c r="D564">
        <v>3.0529999999999999</v>
      </c>
      <c r="E564">
        <v>3.3079999999999998</v>
      </c>
      <c r="F564">
        <v>838226.63600000006</v>
      </c>
      <c r="G564">
        <v>0</v>
      </c>
      <c r="L564" t="s">
        <v>8</v>
      </c>
      <c r="M564" t="s">
        <v>8</v>
      </c>
      <c r="N564" t="s">
        <v>8</v>
      </c>
      <c r="P564">
        <f t="shared" si="984"/>
        <v>-6.7641681901280351E-2</v>
      </c>
      <c r="Q564">
        <f t="shared" si="985"/>
        <v>-56699.059473492314</v>
      </c>
      <c r="R564">
        <f t="shared" si="986"/>
        <v>693969.66051011335</v>
      </c>
      <c r="S564">
        <f t="shared" si="987"/>
        <v>6.9396966051011333</v>
      </c>
      <c r="T564">
        <f t="shared" si="988"/>
        <v>6.9396966051011337E-3</v>
      </c>
    </row>
    <row r="565" spans="1:104" x14ac:dyDescent="0.25">
      <c r="A565" s="5">
        <v>44028</v>
      </c>
      <c r="B565">
        <v>3.05</v>
      </c>
      <c r="C565">
        <v>3.25</v>
      </c>
      <c r="D565">
        <v>2.782</v>
      </c>
      <c r="E565">
        <v>3.097</v>
      </c>
      <c r="F565">
        <v>791153.52599999995</v>
      </c>
      <c r="G565">
        <v>0</v>
      </c>
      <c r="L565" t="s">
        <v>8</v>
      </c>
      <c r="M565" t="s">
        <v>8</v>
      </c>
      <c r="N565" t="s">
        <v>8</v>
      </c>
      <c r="P565">
        <f t="shared" si="984"/>
        <v>0.34615384615384603</v>
      </c>
      <c r="Q565">
        <f t="shared" si="985"/>
        <v>273860.83592307684</v>
      </c>
      <c r="R565">
        <f t="shared" si="986"/>
        <v>750668.71998360567</v>
      </c>
      <c r="S565">
        <f t="shared" si="987"/>
        <v>7.5066871998360565</v>
      </c>
      <c r="T565">
        <f t="shared" si="988"/>
        <v>7.5066871998360563E-3</v>
      </c>
    </row>
    <row r="566" spans="1:104" x14ac:dyDescent="0.25">
      <c r="A566" s="5">
        <v>44027</v>
      </c>
      <c r="B566">
        <v>2.7469999999999999</v>
      </c>
      <c r="C566">
        <v>3.15</v>
      </c>
      <c r="D566">
        <v>2.7040000000000002</v>
      </c>
      <c r="E566">
        <v>3.05</v>
      </c>
      <c r="F566">
        <v>708397.18700000003</v>
      </c>
      <c r="G566">
        <v>0</v>
      </c>
      <c r="L566" t="s">
        <v>8</v>
      </c>
      <c r="M566" t="s">
        <v>8</v>
      </c>
      <c r="N566" t="s">
        <v>8</v>
      </c>
      <c r="P566">
        <f t="shared" si="984"/>
        <v>0.55156950672645677</v>
      </c>
      <c r="Q566">
        <f t="shared" si="985"/>
        <v>390730.28699999955</v>
      </c>
      <c r="R566">
        <f t="shared" si="986"/>
        <v>476807.88406052883</v>
      </c>
      <c r="S566">
        <f t="shared" si="987"/>
        <v>4.7680788406052885</v>
      </c>
      <c r="T566">
        <f t="shared" si="988"/>
        <v>4.7680788406052887E-3</v>
      </c>
    </row>
    <row r="567" spans="1:104" x14ac:dyDescent="0.25">
      <c r="A567" s="5">
        <v>44026</v>
      </c>
      <c r="B567">
        <v>2.5379999999999998</v>
      </c>
      <c r="C567">
        <v>2.75</v>
      </c>
      <c r="D567">
        <v>2.3839999999999999</v>
      </c>
      <c r="E567">
        <v>2.7469999999999999</v>
      </c>
      <c r="F567">
        <v>469580.08100000001</v>
      </c>
      <c r="G567">
        <v>0</v>
      </c>
      <c r="L567" t="s">
        <v>7</v>
      </c>
      <c r="M567" t="s">
        <v>7</v>
      </c>
      <c r="N567" t="s">
        <v>8</v>
      </c>
      <c r="P567">
        <f t="shared" si="984"/>
        <v>0.98360655737704861</v>
      </c>
      <c r="Q567">
        <f t="shared" si="985"/>
        <v>461882.04688524565</v>
      </c>
      <c r="R567">
        <f t="shared" si="986"/>
        <v>86077.597060529282</v>
      </c>
      <c r="S567">
        <f t="shared" si="987"/>
        <v>0.86077597060529287</v>
      </c>
      <c r="T567">
        <f t="shared" si="988"/>
        <v>8.607759706052929E-4</v>
      </c>
    </row>
    <row r="568" spans="1:104" x14ac:dyDescent="0.25">
      <c r="A568" s="5">
        <v>44025</v>
      </c>
      <c r="B568">
        <v>2.78</v>
      </c>
      <c r="C568">
        <v>2.84</v>
      </c>
      <c r="D568">
        <v>2.5</v>
      </c>
      <c r="E568">
        <v>2.5409999999999999</v>
      </c>
      <c r="F568">
        <v>420242.13099999999</v>
      </c>
      <c r="G568">
        <v>0</v>
      </c>
      <c r="L568" t="s">
        <v>7</v>
      </c>
      <c r="M568" t="s">
        <v>7</v>
      </c>
      <c r="N568" t="s">
        <v>8</v>
      </c>
      <c r="P568">
        <f t="shared" si="984"/>
        <v>-0.75882352941176501</v>
      </c>
      <c r="Q568">
        <f t="shared" si="985"/>
        <v>-318889.61705294129</v>
      </c>
      <c r="R568">
        <f t="shared" si="986"/>
        <v>-375804.44982471637</v>
      </c>
      <c r="S568">
        <f t="shared" si="987"/>
        <v>-3.7580444982471639</v>
      </c>
      <c r="T568">
        <f t="shared" si="988"/>
        <v>-3.7580444982471639E-3</v>
      </c>
    </row>
    <row r="569" spans="1:104" x14ac:dyDescent="0.25">
      <c r="A569" s="5">
        <v>44024</v>
      </c>
      <c r="B569">
        <v>2.806</v>
      </c>
      <c r="C569">
        <v>2.843</v>
      </c>
      <c r="D569">
        <v>2.73</v>
      </c>
      <c r="E569">
        <v>2.78</v>
      </c>
      <c r="F569">
        <v>267451.59700000001</v>
      </c>
      <c r="G569">
        <v>0</v>
      </c>
      <c r="L569" t="s">
        <v>7</v>
      </c>
      <c r="M569" t="s">
        <v>8</v>
      </c>
      <c r="N569" t="s">
        <v>8</v>
      </c>
      <c r="P569">
        <f t="shared" si="984"/>
        <v>-0.11504424778761368</v>
      </c>
      <c r="Q569">
        <f t="shared" si="985"/>
        <v>-30768.767796460997</v>
      </c>
      <c r="R569">
        <f t="shared" si="986"/>
        <v>-56914.832771775065</v>
      </c>
      <c r="S569">
        <f t="shared" si="987"/>
        <v>-0.5691483277177507</v>
      </c>
      <c r="T569">
        <f t="shared" si="988"/>
        <v>-5.6914832771775073E-4</v>
      </c>
    </row>
    <row r="570" spans="1:104" x14ac:dyDescent="0.25">
      <c r="A570" s="5">
        <v>44023</v>
      </c>
      <c r="B570">
        <v>2.9209999999999998</v>
      </c>
      <c r="C570">
        <v>2.927</v>
      </c>
      <c r="D570">
        <v>2.6539999999999999</v>
      </c>
      <c r="E570">
        <v>2.8090000000000002</v>
      </c>
      <c r="F570">
        <v>285697.14799999999</v>
      </c>
      <c r="G570">
        <v>0</v>
      </c>
      <c r="L570" t="s">
        <v>7</v>
      </c>
      <c r="M570" t="s">
        <v>8</v>
      </c>
      <c r="N570" t="s">
        <v>8</v>
      </c>
      <c r="P570">
        <f t="shared" si="984"/>
        <v>0.1355311355311368</v>
      </c>
      <c r="Q570">
        <f t="shared" si="985"/>
        <v>38720.858886447248</v>
      </c>
      <c r="R570">
        <f t="shared" si="986"/>
        <v>-26146.064975314068</v>
      </c>
      <c r="S570">
        <f t="shared" si="987"/>
        <v>-0.26146064975314071</v>
      </c>
      <c r="T570">
        <f t="shared" si="988"/>
        <v>-2.614606497531407E-4</v>
      </c>
    </row>
    <row r="571" spans="1:104" x14ac:dyDescent="0.25">
      <c r="A571" s="5">
        <v>44022</v>
      </c>
      <c r="B571">
        <v>2.956</v>
      </c>
      <c r="C571">
        <v>2.9740000000000002</v>
      </c>
      <c r="D571">
        <v>2.7629999999999999</v>
      </c>
      <c r="E571">
        <v>2.9209999999999998</v>
      </c>
      <c r="F571">
        <v>336121.94799999997</v>
      </c>
      <c r="G571">
        <v>0</v>
      </c>
      <c r="L571" t="s">
        <v>8</v>
      </c>
      <c r="M571" t="s">
        <v>8</v>
      </c>
      <c r="N571" t="s">
        <v>8</v>
      </c>
      <c r="P571">
        <f t="shared" si="984"/>
        <v>0.49763033175355159</v>
      </c>
      <c r="Q571">
        <f t="shared" si="985"/>
        <v>167264.47649289001</v>
      </c>
      <c r="R571">
        <f t="shared" si="986"/>
        <v>-64866.923861761315</v>
      </c>
      <c r="S571">
        <f t="shared" si="987"/>
        <v>-0.64866923861761316</v>
      </c>
      <c r="T571">
        <f t="shared" si="988"/>
        <v>-6.4866923861761313E-4</v>
      </c>
    </row>
    <row r="572" spans="1:104" x14ac:dyDescent="0.25">
      <c r="A572" s="5">
        <v>44021</v>
      </c>
      <c r="B572">
        <v>2.8929999999999998</v>
      </c>
      <c r="C572">
        <v>3.3980000000000001</v>
      </c>
      <c r="D572">
        <v>2.71</v>
      </c>
      <c r="E572">
        <v>2.956</v>
      </c>
      <c r="F572">
        <v>814828.58900000004</v>
      </c>
      <c r="G572">
        <v>0</v>
      </c>
      <c r="P572">
        <f t="shared" si="984"/>
        <v>-0.28488372093023273</v>
      </c>
      <c r="Q572">
        <f t="shared" si="985"/>
        <v>-232131.40035465133</v>
      </c>
      <c r="R572">
        <f t="shared" si="986"/>
        <v>-232131.40035465133</v>
      </c>
      <c r="S572">
        <f t="shared" si="987"/>
        <v>-2.3213140035465134</v>
      </c>
      <c r="T572">
        <f t="shared" si="988"/>
        <v>-2.3213140035465134E-3</v>
      </c>
    </row>
    <row r="573" spans="1:104" x14ac:dyDescent="0.25">
      <c r="A573" s="5"/>
      <c r="C573"/>
      <c r="D573"/>
      <c r="P573">
        <f t="shared" si="984"/>
        <v>0</v>
      </c>
      <c r="Q573">
        <f t="shared" si="985"/>
        <v>0</v>
      </c>
      <c r="R573">
        <f t="shared" si="986"/>
        <v>0</v>
      </c>
      <c r="S573">
        <f t="shared" si="987"/>
        <v>0</v>
      </c>
      <c r="T573">
        <f t="shared" si="988"/>
        <v>0</v>
      </c>
    </row>
    <row r="574" spans="1:104" x14ac:dyDescent="0.25">
      <c r="A574" s="5"/>
      <c r="C574"/>
      <c r="D574"/>
      <c r="P574">
        <f t="shared" si="984"/>
        <v>0</v>
      </c>
      <c r="Q574">
        <f t="shared" si="985"/>
        <v>0</v>
      </c>
      <c r="R574">
        <f t="shared" si="986"/>
        <v>0</v>
      </c>
      <c r="S574">
        <f t="shared" si="987"/>
        <v>0</v>
      </c>
      <c r="T574">
        <f t="shared" si="988"/>
        <v>0</v>
      </c>
    </row>
    <row r="575" spans="1:104" x14ac:dyDescent="0.25">
      <c r="A575" s="5"/>
      <c r="C575"/>
      <c r="D575"/>
      <c r="P575">
        <f t="shared" si="984"/>
        <v>0</v>
      </c>
      <c r="Q575">
        <f t="shared" si="985"/>
        <v>0</v>
      </c>
      <c r="R575">
        <f t="shared" si="986"/>
        <v>0</v>
      </c>
      <c r="S575">
        <f t="shared" si="987"/>
        <v>0</v>
      </c>
      <c r="T575">
        <f t="shared" si="988"/>
        <v>0</v>
      </c>
    </row>
    <row r="576" spans="1:104" x14ac:dyDescent="0.25">
      <c r="A576" s="5"/>
      <c r="C576"/>
      <c r="D576"/>
      <c r="P576">
        <f t="shared" si="984"/>
        <v>0</v>
      </c>
      <c r="Q576">
        <f t="shared" si="985"/>
        <v>0</v>
      </c>
      <c r="R576">
        <f t="shared" si="986"/>
        <v>0</v>
      </c>
      <c r="S576">
        <f t="shared" si="987"/>
        <v>0</v>
      </c>
      <c r="T576">
        <f t="shared" si="988"/>
        <v>0</v>
      </c>
    </row>
    <row r="577" spans="1:20" x14ac:dyDescent="0.25">
      <c r="A577" s="5"/>
      <c r="C577"/>
      <c r="D577"/>
      <c r="P577">
        <f t="shared" si="984"/>
        <v>0</v>
      </c>
      <c r="Q577">
        <f t="shared" si="985"/>
        <v>0</v>
      </c>
      <c r="R577">
        <f t="shared" si="986"/>
        <v>0</v>
      </c>
      <c r="S577">
        <f t="shared" si="987"/>
        <v>0</v>
      </c>
      <c r="T577">
        <f t="shared" si="988"/>
        <v>0</v>
      </c>
    </row>
    <row r="578" spans="1:20" x14ac:dyDescent="0.25">
      <c r="A578" s="5"/>
      <c r="C578"/>
      <c r="D578"/>
      <c r="P578">
        <f t="shared" si="984"/>
        <v>0</v>
      </c>
      <c r="Q578">
        <f t="shared" si="985"/>
        <v>0</v>
      </c>
      <c r="R578">
        <f t="shared" si="986"/>
        <v>0</v>
      </c>
      <c r="S578">
        <f t="shared" si="987"/>
        <v>0</v>
      </c>
      <c r="T578">
        <f t="shared" si="988"/>
        <v>0</v>
      </c>
    </row>
    <row r="579" spans="1:20" x14ac:dyDescent="0.25">
      <c r="A579" s="5"/>
      <c r="C579"/>
      <c r="D579"/>
      <c r="P579">
        <f t="shared" si="984"/>
        <v>0</v>
      </c>
      <c r="Q579">
        <f t="shared" si="985"/>
        <v>0</v>
      </c>
      <c r="R579">
        <f t="shared" si="986"/>
        <v>0</v>
      </c>
      <c r="S579">
        <f t="shared" si="987"/>
        <v>0</v>
      </c>
      <c r="T579">
        <f t="shared" si="988"/>
        <v>0</v>
      </c>
    </row>
    <row r="580" spans="1:20" x14ac:dyDescent="0.25">
      <c r="A580" s="5"/>
      <c r="C580"/>
      <c r="D580"/>
      <c r="P580">
        <f t="shared" si="984"/>
        <v>0</v>
      </c>
      <c r="Q580">
        <f t="shared" si="985"/>
        <v>0</v>
      </c>
      <c r="R580">
        <f t="shared" si="986"/>
        <v>0</v>
      </c>
      <c r="S580">
        <f t="shared" si="987"/>
        <v>0</v>
      </c>
      <c r="T580">
        <f t="shared" si="988"/>
        <v>0</v>
      </c>
    </row>
    <row r="581" spans="1:20" x14ac:dyDescent="0.25">
      <c r="A581" s="5"/>
      <c r="C581"/>
      <c r="D581"/>
      <c r="P581">
        <f t="shared" si="984"/>
        <v>0</v>
      </c>
      <c r="Q581">
        <f t="shared" si="985"/>
        <v>0</v>
      </c>
      <c r="R581">
        <f t="shared" si="986"/>
        <v>0</v>
      </c>
      <c r="S581">
        <f t="shared" si="987"/>
        <v>0</v>
      </c>
      <c r="T581">
        <f t="shared" si="988"/>
        <v>0</v>
      </c>
    </row>
    <row r="582" spans="1:20" x14ac:dyDescent="0.25">
      <c r="A582" s="5"/>
      <c r="C582"/>
      <c r="D582"/>
      <c r="P582">
        <f t="shared" ref="P582:P645" si="989">IF(C582=D582,0,((E582-D582)-(C582-E582))/(C582-D582))</f>
        <v>0</v>
      </c>
      <c r="Q582">
        <f t="shared" ref="Q582:Q645" si="990">F582*P582</f>
        <v>0</v>
      </c>
      <c r="R582">
        <f t="shared" ref="R582:R645" si="991">R583+Q582</f>
        <v>0</v>
      </c>
      <c r="S582">
        <f t="shared" ref="S582:S645" si="992">R582/100000</f>
        <v>0</v>
      </c>
      <c r="T582">
        <f t="shared" ref="T582:T645" si="993">S582/1000</f>
        <v>0</v>
      </c>
    </row>
    <row r="583" spans="1:20" x14ac:dyDescent="0.25">
      <c r="A583" s="5"/>
      <c r="C583"/>
      <c r="D583"/>
      <c r="P583">
        <f t="shared" si="989"/>
        <v>0</v>
      </c>
      <c r="Q583">
        <f t="shared" si="990"/>
        <v>0</v>
      </c>
      <c r="R583">
        <f t="shared" si="991"/>
        <v>0</v>
      </c>
      <c r="S583">
        <f t="shared" si="992"/>
        <v>0</v>
      </c>
      <c r="T583">
        <f t="shared" si="993"/>
        <v>0</v>
      </c>
    </row>
    <row r="584" spans="1:20" x14ac:dyDescent="0.25">
      <c r="A584" s="5"/>
      <c r="C584"/>
      <c r="D584"/>
      <c r="P584">
        <f t="shared" si="989"/>
        <v>0</v>
      </c>
      <c r="Q584">
        <f t="shared" si="990"/>
        <v>0</v>
      </c>
      <c r="R584">
        <f t="shared" si="991"/>
        <v>0</v>
      </c>
      <c r="S584">
        <f t="shared" si="992"/>
        <v>0</v>
      </c>
      <c r="T584">
        <f t="shared" si="993"/>
        <v>0</v>
      </c>
    </row>
    <row r="585" spans="1:20" x14ac:dyDescent="0.25">
      <c r="A585" s="5"/>
      <c r="C585"/>
      <c r="D585"/>
      <c r="P585">
        <f t="shared" si="989"/>
        <v>0</v>
      </c>
      <c r="Q585">
        <f t="shared" si="990"/>
        <v>0</v>
      </c>
      <c r="R585">
        <f t="shared" si="991"/>
        <v>0</v>
      </c>
      <c r="S585">
        <f t="shared" si="992"/>
        <v>0</v>
      </c>
      <c r="T585">
        <f t="shared" si="993"/>
        <v>0</v>
      </c>
    </row>
    <row r="586" spans="1:20" x14ac:dyDescent="0.25">
      <c r="A586" s="5"/>
      <c r="C586"/>
      <c r="D586"/>
      <c r="P586">
        <f t="shared" si="989"/>
        <v>0</v>
      </c>
      <c r="Q586">
        <f t="shared" si="990"/>
        <v>0</v>
      </c>
      <c r="R586">
        <f t="shared" si="991"/>
        <v>0</v>
      </c>
      <c r="S586">
        <f t="shared" si="992"/>
        <v>0</v>
      </c>
      <c r="T586">
        <f t="shared" si="993"/>
        <v>0</v>
      </c>
    </row>
    <row r="587" spans="1:20" x14ac:dyDescent="0.25">
      <c r="A587" s="5"/>
      <c r="C587"/>
      <c r="D587"/>
      <c r="P587">
        <f t="shared" si="989"/>
        <v>0</v>
      </c>
      <c r="Q587">
        <f t="shared" si="990"/>
        <v>0</v>
      </c>
      <c r="R587">
        <f t="shared" si="991"/>
        <v>0</v>
      </c>
      <c r="S587">
        <f t="shared" si="992"/>
        <v>0</v>
      </c>
      <c r="T587">
        <f t="shared" si="993"/>
        <v>0</v>
      </c>
    </row>
    <row r="588" spans="1:20" x14ac:dyDescent="0.25">
      <c r="A588" s="5"/>
      <c r="C588"/>
      <c r="D588"/>
      <c r="P588">
        <f t="shared" si="989"/>
        <v>0</v>
      </c>
      <c r="Q588">
        <f t="shared" si="990"/>
        <v>0</v>
      </c>
      <c r="R588">
        <f t="shared" si="991"/>
        <v>0</v>
      </c>
      <c r="S588">
        <f t="shared" si="992"/>
        <v>0</v>
      </c>
      <c r="T588">
        <f t="shared" si="993"/>
        <v>0</v>
      </c>
    </row>
    <row r="589" spans="1:20" x14ac:dyDescent="0.25">
      <c r="A589" s="5"/>
      <c r="C589"/>
      <c r="D589"/>
      <c r="P589">
        <f t="shared" si="989"/>
        <v>0</v>
      </c>
      <c r="Q589">
        <f t="shared" si="990"/>
        <v>0</v>
      </c>
      <c r="R589">
        <f t="shared" si="991"/>
        <v>0</v>
      </c>
      <c r="S589">
        <f t="shared" si="992"/>
        <v>0</v>
      </c>
      <c r="T589">
        <f t="shared" si="993"/>
        <v>0</v>
      </c>
    </row>
    <row r="590" spans="1:20" x14ac:dyDescent="0.25">
      <c r="A590" s="5"/>
      <c r="C590"/>
      <c r="D590"/>
      <c r="P590">
        <f t="shared" si="989"/>
        <v>0</v>
      </c>
      <c r="Q590">
        <f t="shared" si="990"/>
        <v>0</v>
      </c>
      <c r="R590">
        <f t="shared" si="991"/>
        <v>0</v>
      </c>
      <c r="S590">
        <f t="shared" si="992"/>
        <v>0</v>
      </c>
      <c r="T590">
        <f t="shared" si="993"/>
        <v>0</v>
      </c>
    </row>
    <row r="591" spans="1:20" x14ac:dyDescent="0.25">
      <c r="A591" s="5"/>
      <c r="C591"/>
      <c r="D591"/>
      <c r="P591">
        <f t="shared" si="989"/>
        <v>0</v>
      </c>
      <c r="Q591">
        <f t="shared" si="990"/>
        <v>0</v>
      </c>
      <c r="R591">
        <f t="shared" si="991"/>
        <v>0</v>
      </c>
      <c r="S591">
        <f t="shared" si="992"/>
        <v>0</v>
      </c>
      <c r="T591">
        <f t="shared" si="993"/>
        <v>0</v>
      </c>
    </row>
    <row r="592" spans="1:20" x14ac:dyDescent="0.25">
      <c r="A592" s="5"/>
      <c r="C592"/>
      <c r="D592"/>
      <c r="P592">
        <f t="shared" si="989"/>
        <v>0</v>
      </c>
      <c r="Q592">
        <f t="shared" si="990"/>
        <v>0</v>
      </c>
      <c r="R592">
        <f t="shared" si="991"/>
        <v>0</v>
      </c>
      <c r="S592">
        <f t="shared" si="992"/>
        <v>0</v>
      </c>
      <c r="T592">
        <f t="shared" si="993"/>
        <v>0</v>
      </c>
    </row>
    <row r="593" spans="1:20" x14ac:dyDescent="0.25">
      <c r="A593" s="5"/>
      <c r="C593"/>
      <c r="D593"/>
      <c r="P593">
        <f t="shared" si="989"/>
        <v>0</v>
      </c>
      <c r="Q593">
        <f t="shared" si="990"/>
        <v>0</v>
      </c>
      <c r="R593">
        <f t="shared" si="991"/>
        <v>0</v>
      </c>
      <c r="S593">
        <f t="shared" si="992"/>
        <v>0</v>
      </c>
      <c r="T593">
        <f t="shared" si="993"/>
        <v>0</v>
      </c>
    </row>
    <row r="594" spans="1:20" x14ac:dyDescent="0.25">
      <c r="A594" s="5"/>
      <c r="C594"/>
      <c r="D594"/>
      <c r="P594">
        <f t="shared" si="989"/>
        <v>0</v>
      </c>
      <c r="Q594">
        <f t="shared" si="990"/>
        <v>0</v>
      </c>
      <c r="R594">
        <f t="shared" si="991"/>
        <v>0</v>
      </c>
      <c r="S594">
        <f t="shared" si="992"/>
        <v>0</v>
      </c>
      <c r="T594">
        <f t="shared" si="993"/>
        <v>0</v>
      </c>
    </row>
    <row r="595" spans="1:20" x14ac:dyDescent="0.25">
      <c r="A595" s="5"/>
      <c r="C595"/>
      <c r="D595"/>
      <c r="P595">
        <f t="shared" si="989"/>
        <v>0</v>
      </c>
      <c r="Q595">
        <f t="shared" si="990"/>
        <v>0</v>
      </c>
      <c r="R595">
        <f t="shared" si="991"/>
        <v>0</v>
      </c>
      <c r="S595">
        <f t="shared" si="992"/>
        <v>0</v>
      </c>
      <c r="T595">
        <f t="shared" si="993"/>
        <v>0</v>
      </c>
    </row>
    <row r="596" spans="1:20" x14ac:dyDescent="0.25">
      <c r="A596" s="5"/>
      <c r="C596"/>
      <c r="D596"/>
      <c r="P596">
        <f t="shared" si="989"/>
        <v>0</v>
      </c>
      <c r="Q596">
        <f t="shared" si="990"/>
        <v>0</v>
      </c>
      <c r="R596">
        <f t="shared" si="991"/>
        <v>0</v>
      </c>
      <c r="S596">
        <f t="shared" si="992"/>
        <v>0</v>
      </c>
      <c r="T596">
        <f t="shared" si="993"/>
        <v>0</v>
      </c>
    </row>
    <row r="597" spans="1:20" x14ac:dyDescent="0.25">
      <c r="A597" s="5"/>
      <c r="C597"/>
      <c r="D597"/>
      <c r="P597">
        <f t="shared" si="989"/>
        <v>0</v>
      </c>
      <c r="Q597">
        <f t="shared" si="990"/>
        <v>0</v>
      </c>
      <c r="R597">
        <f t="shared" si="991"/>
        <v>0</v>
      </c>
      <c r="S597">
        <f t="shared" si="992"/>
        <v>0</v>
      </c>
      <c r="T597">
        <f t="shared" si="993"/>
        <v>0</v>
      </c>
    </row>
    <row r="598" spans="1:20" x14ac:dyDescent="0.25">
      <c r="A598" s="5"/>
      <c r="C598"/>
      <c r="D598"/>
      <c r="P598">
        <f t="shared" si="989"/>
        <v>0</v>
      </c>
      <c r="Q598">
        <f t="shared" si="990"/>
        <v>0</v>
      </c>
      <c r="R598">
        <f t="shared" si="991"/>
        <v>0</v>
      </c>
      <c r="S598">
        <f t="shared" si="992"/>
        <v>0</v>
      </c>
      <c r="T598">
        <f t="shared" si="993"/>
        <v>0</v>
      </c>
    </row>
    <row r="599" spans="1:20" x14ac:dyDescent="0.25">
      <c r="A599" s="5"/>
      <c r="C599"/>
      <c r="D599"/>
      <c r="P599">
        <f t="shared" si="989"/>
        <v>0</v>
      </c>
      <c r="Q599">
        <f t="shared" si="990"/>
        <v>0</v>
      </c>
      <c r="R599">
        <f t="shared" si="991"/>
        <v>0</v>
      </c>
      <c r="S599">
        <f t="shared" si="992"/>
        <v>0</v>
      </c>
      <c r="T599">
        <f t="shared" si="993"/>
        <v>0</v>
      </c>
    </row>
    <row r="600" spans="1:20" x14ac:dyDescent="0.25">
      <c r="A600" s="5"/>
      <c r="C600"/>
      <c r="D600"/>
      <c r="P600">
        <f t="shared" si="989"/>
        <v>0</v>
      </c>
      <c r="Q600">
        <f t="shared" si="990"/>
        <v>0</v>
      </c>
      <c r="R600">
        <f t="shared" si="991"/>
        <v>0</v>
      </c>
      <c r="S600">
        <f t="shared" si="992"/>
        <v>0</v>
      </c>
      <c r="T600">
        <f t="shared" si="993"/>
        <v>0</v>
      </c>
    </row>
    <row r="601" spans="1:20" x14ac:dyDescent="0.25">
      <c r="A601" s="5"/>
      <c r="C601"/>
      <c r="D601"/>
      <c r="P601">
        <f t="shared" si="989"/>
        <v>0</v>
      </c>
      <c r="Q601">
        <f t="shared" si="990"/>
        <v>0</v>
      </c>
      <c r="R601">
        <f t="shared" si="991"/>
        <v>0</v>
      </c>
      <c r="S601">
        <f t="shared" si="992"/>
        <v>0</v>
      </c>
      <c r="T601">
        <f t="shared" si="993"/>
        <v>0</v>
      </c>
    </row>
    <row r="602" spans="1:20" x14ac:dyDescent="0.25">
      <c r="A602" s="5"/>
      <c r="C602"/>
      <c r="D602"/>
      <c r="P602">
        <f t="shared" si="989"/>
        <v>0</v>
      </c>
      <c r="Q602">
        <f t="shared" si="990"/>
        <v>0</v>
      </c>
      <c r="R602">
        <f t="shared" si="991"/>
        <v>0</v>
      </c>
      <c r="S602">
        <f t="shared" si="992"/>
        <v>0</v>
      </c>
      <c r="T602">
        <f t="shared" si="993"/>
        <v>0</v>
      </c>
    </row>
    <row r="603" spans="1:20" x14ac:dyDescent="0.25">
      <c r="A603" s="5"/>
      <c r="C603"/>
      <c r="D603"/>
      <c r="P603">
        <f t="shared" si="989"/>
        <v>0</v>
      </c>
      <c r="Q603">
        <f t="shared" si="990"/>
        <v>0</v>
      </c>
      <c r="R603">
        <f t="shared" si="991"/>
        <v>0</v>
      </c>
      <c r="S603">
        <f t="shared" si="992"/>
        <v>0</v>
      </c>
      <c r="T603">
        <f t="shared" si="993"/>
        <v>0</v>
      </c>
    </row>
    <row r="604" spans="1:20" x14ac:dyDescent="0.25">
      <c r="A604" s="5"/>
      <c r="C604"/>
      <c r="D604"/>
      <c r="P604">
        <f t="shared" si="989"/>
        <v>0</v>
      </c>
      <c r="Q604">
        <f t="shared" si="990"/>
        <v>0</v>
      </c>
      <c r="R604">
        <f t="shared" si="991"/>
        <v>0</v>
      </c>
      <c r="S604">
        <f t="shared" si="992"/>
        <v>0</v>
      </c>
      <c r="T604">
        <f t="shared" si="993"/>
        <v>0</v>
      </c>
    </row>
    <row r="605" spans="1:20" x14ac:dyDescent="0.25">
      <c r="A605" s="5"/>
      <c r="C605"/>
      <c r="D605"/>
      <c r="P605">
        <f t="shared" si="989"/>
        <v>0</v>
      </c>
      <c r="Q605">
        <f t="shared" si="990"/>
        <v>0</v>
      </c>
      <c r="R605">
        <f t="shared" si="991"/>
        <v>0</v>
      </c>
      <c r="S605">
        <f t="shared" si="992"/>
        <v>0</v>
      </c>
      <c r="T605">
        <f t="shared" si="993"/>
        <v>0</v>
      </c>
    </row>
    <row r="606" spans="1:20" x14ac:dyDescent="0.25">
      <c r="A606" s="5"/>
      <c r="C606"/>
      <c r="D606"/>
      <c r="P606">
        <f t="shared" si="989"/>
        <v>0</v>
      </c>
      <c r="Q606">
        <f t="shared" si="990"/>
        <v>0</v>
      </c>
      <c r="R606">
        <f t="shared" si="991"/>
        <v>0</v>
      </c>
      <c r="S606">
        <f t="shared" si="992"/>
        <v>0</v>
      </c>
      <c r="T606">
        <f t="shared" si="993"/>
        <v>0</v>
      </c>
    </row>
    <row r="607" spans="1:20" x14ac:dyDescent="0.25">
      <c r="A607" s="5"/>
      <c r="C607"/>
      <c r="D607"/>
      <c r="P607">
        <f t="shared" si="989"/>
        <v>0</v>
      </c>
      <c r="Q607">
        <f t="shared" si="990"/>
        <v>0</v>
      </c>
      <c r="R607">
        <f t="shared" si="991"/>
        <v>0</v>
      </c>
      <c r="S607">
        <f t="shared" si="992"/>
        <v>0</v>
      </c>
      <c r="T607">
        <f t="shared" si="993"/>
        <v>0</v>
      </c>
    </row>
    <row r="608" spans="1:20" x14ac:dyDescent="0.25">
      <c r="A608" s="5"/>
      <c r="C608"/>
      <c r="D608"/>
      <c r="P608">
        <f t="shared" si="989"/>
        <v>0</v>
      </c>
      <c r="Q608">
        <f t="shared" si="990"/>
        <v>0</v>
      </c>
      <c r="R608">
        <f t="shared" si="991"/>
        <v>0</v>
      </c>
      <c r="S608">
        <f t="shared" si="992"/>
        <v>0</v>
      </c>
      <c r="T608">
        <f t="shared" si="993"/>
        <v>0</v>
      </c>
    </row>
    <row r="609" spans="1:20" x14ac:dyDescent="0.25">
      <c r="A609" s="5"/>
      <c r="C609"/>
      <c r="D609"/>
      <c r="P609">
        <f t="shared" si="989"/>
        <v>0</v>
      </c>
      <c r="Q609">
        <f t="shared" si="990"/>
        <v>0</v>
      </c>
      <c r="R609">
        <f t="shared" si="991"/>
        <v>0</v>
      </c>
      <c r="S609">
        <f t="shared" si="992"/>
        <v>0</v>
      </c>
      <c r="T609">
        <f t="shared" si="993"/>
        <v>0</v>
      </c>
    </row>
    <row r="610" spans="1:20" x14ac:dyDescent="0.25">
      <c r="A610" s="5"/>
      <c r="C610"/>
      <c r="D610"/>
      <c r="P610">
        <f t="shared" si="989"/>
        <v>0</v>
      </c>
      <c r="Q610">
        <f t="shared" si="990"/>
        <v>0</v>
      </c>
      <c r="R610">
        <f t="shared" si="991"/>
        <v>0</v>
      </c>
      <c r="S610">
        <f t="shared" si="992"/>
        <v>0</v>
      </c>
      <c r="T610">
        <f t="shared" si="993"/>
        <v>0</v>
      </c>
    </row>
    <row r="611" spans="1:20" x14ac:dyDescent="0.25">
      <c r="A611" s="5"/>
      <c r="C611"/>
      <c r="D611"/>
      <c r="P611">
        <f t="shared" si="989"/>
        <v>0</v>
      </c>
      <c r="Q611">
        <f t="shared" si="990"/>
        <v>0</v>
      </c>
      <c r="R611">
        <f t="shared" si="991"/>
        <v>0</v>
      </c>
      <c r="S611">
        <f t="shared" si="992"/>
        <v>0</v>
      </c>
      <c r="T611">
        <f t="shared" si="993"/>
        <v>0</v>
      </c>
    </row>
    <row r="612" spans="1:20" x14ac:dyDescent="0.25">
      <c r="A612" s="5"/>
      <c r="C612"/>
      <c r="D612"/>
      <c r="P612">
        <f t="shared" si="989"/>
        <v>0</v>
      </c>
      <c r="Q612">
        <f t="shared" si="990"/>
        <v>0</v>
      </c>
      <c r="R612">
        <f t="shared" si="991"/>
        <v>0</v>
      </c>
      <c r="S612">
        <f t="shared" si="992"/>
        <v>0</v>
      </c>
      <c r="T612">
        <f t="shared" si="993"/>
        <v>0</v>
      </c>
    </row>
    <row r="613" spans="1:20" x14ac:dyDescent="0.25">
      <c r="A613" s="5"/>
      <c r="C613"/>
      <c r="D613"/>
      <c r="P613">
        <f t="shared" si="989"/>
        <v>0</v>
      </c>
      <c r="Q613">
        <f t="shared" si="990"/>
        <v>0</v>
      </c>
      <c r="R613">
        <f t="shared" si="991"/>
        <v>0</v>
      </c>
      <c r="S613">
        <f t="shared" si="992"/>
        <v>0</v>
      </c>
      <c r="T613">
        <f t="shared" si="993"/>
        <v>0</v>
      </c>
    </row>
    <row r="614" spans="1:20" x14ac:dyDescent="0.25">
      <c r="A614" s="5"/>
      <c r="C614"/>
      <c r="D614"/>
      <c r="P614">
        <f t="shared" si="989"/>
        <v>0</v>
      </c>
      <c r="Q614">
        <f t="shared" si="990"/>
        <v>0</v>
      </c>
      <c r="R614">
        <f t="shared" si="991"/>
        <v>0</v>
      </c>
      <c r="S614">
        <f t="shared" si="992"/>
        <v>0</v>
      </c>
      <c r="T614">
        <f t="shared" si="993"/>
        <v>0</v>
      </c>
    </row>
    <row r="615" spans="1:20" x14ac:dyDescent="0.25">
      <c r="A615" s="5"/>
      <c r="C615"/>
      <c r="D615"/>
      <c r="P615">
        <f t="shared" si="989"/>
        <v>0</v>
      </c>
      <c r="Q615">
        <f t="shared" si="990"/>
        <v>0</v>
      </c>
      <c r="R615">
        <f t="shared" si="991"/>
        <v>0</v>
      </c>
      <c r="S615">
        <f t="shared" si="992"/>
        <v>0</v>
      </c>
      <c r="T615">
        <f t="shared" si="993"/>
        <v>0</v>
      </c>
    </row>
    <row r="616" spans="1:20" x14ac:dyDescent="0.25">
      <c r="A616" s="5"/>
      <c r="C616"/>
      <c r="D616"/>
      <c r="P616">
        <f t="shared" si="989"/>
        <v>0</v>
      </c>
      <c r="Q616">
        <f t="shared" si="990"/>
        <v>0</v>
      </c>
      <c r="R616">
        <f t="shared" si="991"/>
        <v>0</v>
      </c>
      <c r="S616">
        <f t="shared" si="992"/>
        <v>0</v>
      </c>
      <c r="T616">
        <f t="shared" si="993"/>
        <v>0</v>
      </c>
    </row>
    <row r="617" spans="1:20" x14ac:dyDescent="0.25">
      <c r="A617" s="5"/>
      <c r="C617"/>
      <c r="D617"/>
      <c r="P617">
        <f t="shared" si="989"/>
        <v>0</v>
      </c>
      <c r="Q617">
        <f t="shared" si="990"/>
        <v>0</v>
      </c>
      <c r="R617">
        <f t="shared" si="991"/>
        <v>0</v>
      </c>
      <c r="S617">
        <f t="shared" si="992"/>
        <v>0</v>
      </c>
      <c r="T617">
        <f t="shared" si="993"/>
        <v>0</v>
      </c>
    </row>
    <row r="618" spans="1:20" x14ac:dyDescent="0.25">
      <c r="A618" s="5"/>
      <c r="C618"/>
      <c r="D618"/>
      <c r="P618">
        <f t="shared" si="989"/>
        <v>0</v>
      </c>
      <c r="Q618">
        <f t="shared" si="990"/>
        <v>0</v>
      </c>
      <c r="R618">
        <f t="shared" si="991"/>
        <v>0</v>
      </c>
      <c r="S618">
        <f t="shared" si="992"/>
        <v>0</v>
      </c>
      <c r="T618">
        <f t="shared" si="993"/>
        <v>0</v>
      </c>
    </row>
    <row r="619" spans="1:20" x14ac:dyDescent="0.25">
      <c r="A619" s="5"/>
      <c r="C619"/>
      <c r="D619"/>
      <c r="P619">
        <f t="shared" si="989"/>
        <v>0</v>
      </c>
      <c r="Q619">
        <f t="shared" si="990"/>
        <v>0</v>
      </c>
      <c r="R619">
        <f t="shared" si="991"/>
        <v>0</v>
      </c>
      <c r="S619">
        <f t="shared" si="992"/>
        <v>0</v>
      </c>
      <c r="T619">
        <f t="shared" si="993"/>
        <v>0</v>
      </c>
    </row>
    <row r="620" spans="1:20" x14ac:dyDescent="0.25">
      <c r="A620" s="5"/>
      <c r="C620"/>
      <c r="D620"/>
      <c r="P620">
        <f t="shared" si="989"/>
        <v>0</v>
      </c>
      <c r="Q620">
        <f t="shared" si="990"/>
        <v>0</v>
      </c>
      <c r="R620">
        <f t="shared" si="991"/>
        <v>0</v>
      </c>
      <c r="S620">
        <f t="shared" si="992"/>
        <v>0</v>
      </c>
      <c r="T620">
        <f t="shared" si="993"/>
        <v>0</v>
      </c>
    </row>
    <row r="621" spans="1:20" x14ac:dyDescent="0.25">
      <c r="A621" s="5"/>
      <c r="C621"/>
      <c r="D621"/>
      <c r="P621">
        <f t="shared" si="989"/>
        <v>0</v>
      </c>
      <c r="Q621">
        <f t="shared" si="990"/>
        <v>0</v>
      </c>
      <c r="R621">
        <f t="shared" si="991"/>
        <v>0</v>
      </c>
      <c r="S621">
        <f t="shared" si="992"/>
        <v>0</v>
      </c>
      <c r="T621">
        <f t="shared" si="993"/>
        <v>0</v>
      </c>
    </row>
    <row r="622" spans="1:20" x14ac:dyDescent="0.25">
      <c r="A622" s="5"/>
      <c r="C622"/>
      <c r="D622"/>
      <c r="P622">
        <f t="shared" si="989"/>
        <v>0</v>
      </c>
      <c r="Q622">
        <f t="shared" si="990"/>
        <v>0</v>
      </c>
      <c r="R622">
        <f t="shared" si="991"/>
        <v>0</v>
      </c>
      <c r="S622">
        <f t="shared" si="992"/>
        <v>0</v>
      </c>
      <c r="T622">
        <f t="shared" si="993"/>
        <v>0</v>
      </c>
    </row>
    <row r="623" spans="1:20" x14ac:dyDescent="0.25">
      <c r="A623" s="5"/>
      <c r="C623"/>
      <c r="D623"/>
      <c r="P623">
        <f t="shared" si="989"/>
        <v>0</v>
      </c>
      <c r="Q623">
        <f t="shared" si="990"/>
        <v>0</v>
      </c>
      <c r="R623">
        <f t="shared" si="991"/>
        <v>0</v>
      </c>
      <c r="S623">
        <f t="shared" si="992"/>
        <v>0</v>
      </c>
      <c r="T623">
        <f t="shared" si="993"/>
        <v>0</v>
      </c>
    </row>
    <row r="624" spans="1:20" x14ac:dyDescent="0.25">
      <c r="A624" s="5"/>
      <c r="C624"/>
      <c r="D624"/>
      <c r="P624">
        <f t="shared" si="989"/>
        <v>0</v>
      </c>
      <c r="Q624">
        <f t="shared" si="990"/>
        <v>0</v>
      </c>
      <c r="R624">
        <f t="shared" si="991"/>
        <v>0</v>
      </c>
      <c r="S624">
        <f t="shared" si="992"/>
        <v>0</v>
      </c>
      <c r="T624">
        <f t="shared" si="993"/>
        <v>0</v>
      </c>
    </row>
    <row r="625" spans="1:20" x14ac:dyDescent="0.25">
      <c r="A625" s="5"/>
      <c r="C625"/>
      <c r="D625"/>
      <c r="P625">
        <f t="shared" si="989"/>
        <v>0</v>
      </c>
      <c r="Q625">
        <f t="shared" si="990"/>
        <v>0</v>
      </c>
      <c r="R625">
        <f t="shared" si="991"/>
        <v>0</v>
      </c>
      <c r="S625">
        <f t="shared" si="992"/>
        <v>0</v>
      </c>
      <c r="T625">
        <f t="shared" si="993"/>
        <v>0</v>
      </c>
    </row>
    <row r="626" spans="1:20" x14ac:dyDescent="0.25">
      <c r="A626" s="5"/>
      <c r="C626"/>
      <c r="D626"/>
      <c r="P626">
        <f t="shared" si="989"/>
        <v>0</v>
      </c>
      <c r="Q626">
        <f t="shared" si="990"/>
        <v>0</v>
      </c>
      <c r="R626">
        <f t="shared" si="991"/>
        <v>0</v>
      </c>
      <c r="S626">
        <f t="shared" si="992"/>
        <v>0</v>
      </c>
      <c r="T626">
        <f t="shared" si="993"/>
        <v>0</v>
      </c>
    </row>
    <row r="627" spans="1:20" x14ac:dyDescent="0.25">
      <c r="A627" s="5"/>
      <c r="C627"/>
      <c r="D627"/>
      <c r="P627">
        <f t="shared" si="989"/>
        <v>0</v>
      </c>
      <c r="Q627">
        <f t="shared" si="990"/>
        <v>0</v>
      </c>
      <c r="R627">
        <f t="shared" si="991"/>
        <v>0</v>
      </c>
      <c r="S627">
        <f t="shared" si="992"/>
        <v>0</v>
      </c>
      <c r="T627">
        <f t="shared" si="993"/>
        <v>0</v>
      </c>
    </row>
    <row r="628" spans="1:20" x14ac:dyDescent="0.25">
      <c r="A628" s="5"/>
      <c r="C628"/>
      <c r="D628"/>
      <c r="P628">
        <f t="shared" si="989"/>
        <v>0</v>
      </c>
      <c r="Q628">
        <f t="shared" si="990"/>
        <v>0</v>
      </c>
      <c r="R628">
        <f t="shared" si="991"/>
        <v>0</v>
      </c>
      <c r="S628">
        <f t="shared" si="992"/>
        <v>0</v>
      </c>
      <c r="T628">
        <f t="shared" si="993"/>
        <v>0</v>
      </c>
    </row>
    <row r="629" spans="1:20" x14ac:dyDescent="0.25">
      <c r="A629" s="5"/>
      <c r="C629"/>
      <c r="D629"/>
      <c r="P629">
        <f t="shared" si="989"/>
        <v>0</v>
      </c>
      <c r="Q629">
        <f t="shared" si="990"/>
        <v>0</v>
      </c>
      <c r="R629">
        <f t="shared" si="991"/>
        <v>0</v>
      </c>
      <c r="S629">
        <f t="shared" si="992"/>
        <v>0</v>
      </c>
      <c r="T629">
        <f t="shared" si="993"/>
        <v>0</v>
      </c>
    </row>
    <row r="630" spans="1:20" x14ac:dyDescent="0.25">
      <c r="A630" s="5"/>
      <c r="C630"/>
      <c r="D630"/>
      <c r="P630">
        <f t="shared" si="989"/>
        <v>0</v>
      </c>
      <c r="Q630">
        <f t="shared" si="990"/>
        <v>0</v>
      </c>
      <c r="R630">
        <f t="shared" si="991"/>
        <v>0</v>
      </c>
      <c r="S630">
        <f t="shared" si="992"/>
        <v>0</v>
      </c>
      <c r="T630">
        <f t="shared" si="993"/>
        <v>0</v>
      </c>
    </row>
    <row r="631" spans="1:20" x14ac:dyDescent="0.25">
      <c r="A631" s="5"/>
      <c r="C631"/>
      <c r="D631"/>
      <c r="P631">
        <f t="shared" si="989"/>
        <v>0</v>
      </c>
      <c r="Q631">
        <f t="shared" si="990"/>
        <v>0</v>
      </c>
      <c r="R631">
        <f t="shared" si="991"/>
        <v>0</v>
      </c>
      <c r="S631">
        <f t="shared" si="992"/>
        <v>0</v>
      </c>
      <c r="T631">
        <f t="shared" si="993"/>
        <v>0</v>
      </c>
    </row>
    <row r="632" spans="1:20" x14ac:dyDescent="0.25">
      <c r="A632" s="5"/>
      <c r="C632"/>
      <c r="D632"/>
      <c r="P632">
        <f t="shared" si="989"/>
        <v>0</v>
      </c>
      <c r="Q632">
        <f t="shared" si="990"/>
        <v>0</v>
      </c>
      <c r="R632">
        <f t="shared" si="991"/>
        <v>0</v>
      </c>
      <c r="S632">
        <f t="shared" si="992"/>
        <v>0</v>
      </c>
      <c r="T632">
        <f t="shared" si="993"/>
        <v>0</v>
      </c>
    </row>
    <row r="633" spans="1:20" x14ac:dyDescent="0.25">
      <c r="A633" s="5"/>
      <c r="C633"/>
      <c r="D633"/>
      <c r="P633">
        <f t="shared" si="989"/>
        <v>0</v>
      </c>
      <c r="Q633">
        <f t="shared" si="990"/>
        <v>0</v>
      </c>
      <c r="R633">
        <f t="shared" si="991"/>
        <v>0</v>
      </c>
      <c r="S633">
        <f t="shared" si="992"/>
        <v>0</v>
      </c>
      <c r="T633">
        <f t="shared" si="993"/>
        <v>0</v>
      </c>
    </row>
    <row r="634" spans="1:20" x14ac:dyDescent="0.25">
      <c r="A634" s="5"/>
      <c r="C634"/>
      <c r="D634"/>
      <c r="P634">
        <f t="shared" si="989"/>
        <v>0</v>
      </c>
      <c r="Q634">
        <f t="shared" si="990"/>
        <v>0</v>
      </c>
      <c r="R634">
        <f t="shared" si="991"/>
        <v>0</v>
      </c>
      <c r="S634">
        <f t="shared" si="992"/>
        <v>0</v>
      </c>
      <c r="T634">
        <f t="shared" si="993"/>
        <v>0</v>
      </c>
    </row>
    <row r="635" spans="1:20" x14ac:dyDescent="0.25">
      <c r="A635" s="5"/>
      <c r="C635"/>
      <c r="D635"/>
      <c r="P635">
        <f t="shared" si="989"/>
        <v>0</v>
      </c>
      <c r="Q635">
        <f t="shared" si="990"/>
        <v>0</v>
      </c>
      <c r="R635">
        <f t="shared" si="991"/>
        <v>0</v>
      </c>
      <c r="S635">
        <f t="shared" si="992"/>
        <v>0</v>
      </c>
      <c r="T635">
        <f t="shared" si="993"/>
        <v>0</v>
      </c>
    </row>
    <row r="636" spans="1:20" x14ac:dyDescent="0.25">
      <c r="A636" s="5"/>
      <c r="C636"/>
      <c r="D636"/>
      <c r="P636">
        <f t="shared" si="989"/>
        <v>0</v>
      </c>
      <c r="Q636">
        <f t="shared" si="990"/>
        <v>0</v>
      </c>
      <c r="R636">
        <f t="shared" si="991"/>
        <v>0</v>
      </c>
      <c r="S636">
        <f t="shared" si="992"/>
        <v>0</v>
      </c>
      <c r="T636">
        <f t="shared" si="993"/>
        <v>0</v>
      </c>
    </row>
    <row r="637" spans="1:20" x14ac:dyDescent="0.25">
      <c r="A637" s="5"/>
      <c r="C637"/>
      <c r="D637"/>
      <c r="P637">
        <f t="shared" si="989"/>
        <v>0</v>
      </c>
      <c r="Q637">
        <f t="shared" si="990"/>
        <v>0</v>
      </c>
      <c r="R637">
        <f t="shared" si="991"/>
        <v>0</v>
      </c>
      <c r="S637">
        <f t="shared" si="992"/>
        <v>0</v>
      </c>
      <c r="T637">
        <f t="shared" si="993"/>
        <v>0</v>
      </c>
    </row>
    <row r="638" spans="1:20" x14ac:dyDescent="0.25">
      <c r="A638" s="5"/>
      <c r="C638"/>
      <c r="D638"/>
      <c r="P638">
        <f t="shared" si="989"/>
        <v>0</v>
      </c>
      <c r="Q638">
        <f t="shared" si="990"/>
        <v>0</v>
      </c>
      <c r="R638">
        <f t="shared" si="991"/>
        <v>0</v>
      </c>
      <c r="S638">
        <f t="shared" si="992"/>
        <v>0</v>
      </c>
      <c r="T638">
        <f t="shared" si="993"/>
        <v>0</v>
      </c>
    </row>
    <row r="639" spans="1:20" x14ac:dyDescent="0.25">
      <c r="A639" s="5"/>
      <c r="C639"/>
      <c r="D639"/>
      <c r="P639">
        <f t="shared" si="989"/>
        <v>0</v>
      </c>
      <c r="Q639">
        <f t="shared" si="990"/>
        <v>0</v>
      </c>
      <c r="R639">
        <f t="shared" si="991"/>
        <v>0</v>
      </c>
      <c r="S639">
        <f t="shared" si="992"/>
        <v>0</v>
      </c>
      <c r="T639">
        <f t="shared" si="993"/>
        <v>0</v>
      </c>
    </row>
    <row r="640" spans="1:20" x14ac:dyDescent="0.25">
      <c r="A640" s="5"/>
      <c r="C640"/>
      <c r="D640"/>
      <c r="P640">
        <f t="shared" si="989"/>
        <v>0</v>
      </c>
      <c r="Q640">
        <f t="shared" si="990"/>
        <v>0</v>
      </c>
      <c r="R640">
        <f t="shared" si="991"/>
        <v>0</v>
      </c>
      <c r="S640">
        <f t="shared" si="992"/>
        <v>0</v>
      </c>
      <c r="T640">
        <f t="shared" si="993"/>
        <v>0</v>
      </c>
    </row>
    <row r="641" spans="1:20" x14ac:dyDescent="0.25">
      <c r="A641" s="5"/>
      <c r="C641"/>
      <c r="D641"/>
      <c r="P641">
        <f t="shared" si="989"/>
        <v>0</v>
      </c>
      <c r="Q641">
        <f t="shared" si="990"/>
        <v>0</v>
      </c>
      <c r="R641">
        <f t="shared" si="991"/>
        <v>0</v>
      </c>
      <c r="S641">
        <f t="shared" si="992"/>
        <v>0</v>
      </c>
      <c r="T641">
        <f t="shared" si="993"/>
        <v>0</v>
      </c>
    </row>
    <row r="642" spans="1:20" x14ac:dyDescent="0.25">
      <c r="A642" s="5"/>
      <c r="C642"/>
      <c r="D642"/>
      <c r="P642">
        <f t="shared" si="989"/>
        <v>0</v>
      </c>
      <c r="Q642">
        <f t="shared" si="990"/>
        <v>0</v>
      </c>
      <c r="R642">
        <f t="shared" si="991"/>
        <v>0</v>
      </c>
      <c r="S642">
        <f t="shared" si="992"/>
        <v>0</v>
      </c>
      <c r="T642">
        <f t="shared" si="993"/>
        <v>0</v>
      </c>
    </row>
    <row r="643" spans="1:20" x14ac:dyDescent="0.25">
      <c r="A643" s="5"/>
      <c r="C643"/>
      <c r="D643"/>
      <c r="P643">
        <f t="shared" si="989"/>
        <v>0</v>
      </c>
      <c r="Q643">
        <f t="shared" si="990"/>
        <v>0</v>
      </c>
      <c r="R643">
        <f t="shared" si="991"/>
        <v>0</v>
      </c>
      <c r="S643">
        <f t="shared" si="992"/>
        <v>0</v>
      </c>
      <c r="T643">
        <f t="shared" si="993"/>
        <v>0</v>
      </c>
    </row>
    <row r="644" spans="1:20" x14ac:dyDescent="0.25">
      <c r="A644" s="5"/>
      <c r="C644"/>
      <c r="D644"/>
      <c r="P644">
        <f t="shared" si="989"/>
        <v>0</v>
      </c>
      <c r="Q644">
        <f t="shared" si="990"/>
        <v>0</v>
      </c>
      <c r="R644">
        <f t="shared" si="991"/>
        <v>0</v>
      </c>
      <c r="S644">
        <f t="shared" si="992"/>
        <v>0</v>
      </c>
      <c r="T644">
        <f t="shared" si="993"/>
        <v>0</v>
      </c>
    </row>
    <row r="645" spans="1:20" x14ac:dyDescent="0.25">
      <c r="A645" s="5"/>
      <c r="C645"/>
      <c r="D645"/>
      <c r="P645">
        <f t="shared" si="989"/>
        <v>0</v>
      </c>
      <c r="Q645">
        <f t="shared" si="990"/>
        <v>0</v>
      </c>
      <c r="R645">
        <f t="shared" si="991"/>
        <v>0</v>
      </c>
      <c r="S645">
        <f t="shared" si="992"/>
        <v>0</v>
      </c>
      <c r="T645">
        <f t="shared" si="993"/>
        <v>0</v>
      </c>
    </row>
    <row r="646" spans="1:20" x14ac:dyDescent="0.25">
      <c r="A646" s="5"/>
      <c r="C646"/>
      <c r="D646"/>
      <c r="P646">
        <f t="shared" ref="P646:P709" si="994">IF(C646=D646,0,((E646-D646)-(C646-E646))/(C646-D646))</f>
        <v>0</v>
      </c>
      <c r="Q646">
        <f t="shared" ref="Q646:Q709" si="995">F646*P646</f>
        <v>0</v>
      </c>
      <c r="R646">
        <f t="shared" ref="R646:R709" si="996">R647+Q646</f>
        <v>0</v>
      </c>
      <c r="S646">
        <f t="shared" ref="S646:S709" si="997">R646/100000</f>
        <v>0</v>
      </c>
      <c r="T646">
        <f t="shared" ref="T646:T709" si="998">S646/1000</f>
        <v>0</v>
      </c>
    </row>
    <row r="647" spans="1:20" x14ac:dyDescent="0.25">
      <c r="A647" s="5"/>
      <c r="C647"/>
      <c r="D647"/>
      <c r="P647">
        <f t="shared" si="994"/>
        <v>0</v>
      </c>
      <c r="Q647">
        <f t="shared" si="995"/>
        <v>0</v>
      </c>
      <c r="R647">
        <f t="shared" si="996"/>
        <v>0</v>
      </c>
      <c r="S647">
        <f t="shared" si="997"/>
        <v>0</v>
      </c>
      <c r="T647">
        <f t="shared" si="998"/>
        <v>0</v>
      </c>
    </row>
    <row r="648" spans="1:20" x14ac:dyDescent="0.25">
      <c r="A648" s="5"/>
      <c r="C648"/>
      <c r="D648"/>
      <c r="P648">
        <f t="shared" si="994"/>
        <v>0</v>
      </c>
      <c r="Q648">
        <f t="shared" si="995"/>
        <v>0</v>
      </c>
      <c r="R648">
        <f t="shared" si="996"/>
        <v>0</v>
      </c>
      <c r="S648">
        <f t="shared" si="997"/>
        <v>0</v>
      </c>
      <c r="T648">
        <f t="shared" si="998"/>
        <v>0</v>
      </c>
    </row>
    <row r="649" spans="1:20" x14ac:dyDescent="0.25">
      <c r="A649" s="5"/>
      <c r="C649"/>
      <c r="D649"/>
      <c r="P649">
        <f t="shared" si="994"/>
        <v>0</v>
      </c>
      <c r="Q649">
        <f t="shared" si="995"/>
        <v>0</v>
      </c>
      <c r="R649">
        <f t="shared" si="996"/>
        <v>0</v>
      </c>
      <c r="S649">
        <f t="shared" si="997"/>
        <v>0</v>
      </c>
      <c r="T649">
        <f t="shared" si="998"/>
        <v>0</v>
      </c>
    </row>
    <row r="650" spans="1:20" x14ac:dyDescent="0.25">
      <c r="A650" s="5"/>
      <c r="C650"/>
      <c r="D650"/>
      <c r="P650">
        <f t="shared" si="994"/>
        <v>0</v>
      </c>
      <c r="Q650">
        <f t="shared" si="995"/>
        <v>0</v>
      </c>
      <c r="R650">
        <f t="shared" si="996"/>
        <v>0</v>
      </c>
      <c r="S650">
        <f t="shared" si="997"/>
        <v>0</v>
      </c>
      <c r="T650">
        <f t="shared" si="998"/>
        <v>0</v>
      </c>
    </row>
    <row r="651" spans="1:20" x14ac:dyDescent="0.25">
      <c r="A651" s="5"/>
      <c r="C651"/>
      <c r="D651"/>
      <c r="P651">
        <f t="shared" si="994"/>
        <v>0</v>
      </c>
      <c r="Q651">
        <f t="shared" si="995"/>
        <v>0</v>
      </c>
      <c r="R651">
        <f t="shared" si="996"/>
        <v>0</v>
      </c>
      <c r="S651">
        <f t="shared" si="997"/>
        <v>0</v>
      </c>
      <c r="T651">
        <f t="shared" si="998"/>
        <v>0</v>
      </c>
    </row>
    <row r="652" spans="1:20" x14ac:dyDescent="0.25">
      <c r="A652" s="5"/>
      <c r="C652"/>
      <c r="D652"/>
      <c r="P652">
        <f t="shared" si="994"/>
        <v>0</v>
      </c>
      <c r="Q652">
        <f t="shared" si="995"/>
        <v>0</v>
      </c>
      <c r="R652">
        <f t="shared" si="996"/>
        <v>0</v>
      </c>
      <c r="S652">
        <f t="shared" si="997"/>
        <v>0</v>
      </c>
      <c r="T652">
        <f t="shared" si="998"/>
        <v>0</v>
      </c>
    </row>
    <row r="653" spans="1:20" x14ac:dyDescent="0.25">
      <c r="A653" s="5"/>
      <c r="C653"/>
      <c r="D653"/>
      <c r="P653">
        <f t="shared" si="994"/>
        <v>0</v>
      </c>
      <c r="Q653">
        <f t="shared" si="995"/>
        <v>0</v>
      </c>
      <c r="R653">
        <f t="shared" si="996"/>
        <v>0</v>
      </c>
      <c r="S653">
        <f t="shared" si="997"/>
        <v>0</v>
      </c>
      <c r="T653">
        <f t="shared" si="998"/>
        <v>0</v>
      </c>
    </row>
    <row r="654" spans="1:20" x14ac:dyDescent="0.25">
      <c r="A654" s="5"/>
      <c r="C654"/>
      <c r="D654"/>
      <c r="P654">
        <f t="shared" si="994"/>
        <v>0</v>
      </c>
      <c r="Q654">
        <f t="shared" si="995"/>
        <v>0</v>
      </c>
      <c r="R654">
        <f t="shared" si="996"/>
        <v>0</v>
      </c>
      <c r="S654">
        <f t="shared" si="997"/>
        <v>0</v>
      </c>
      <c r="T654">
        <f t="shared" si="998"/>
        <v>0</v>
      </c>
    </row>
    <row r="655" spans="1:20" x14ac:dyDescent="0.25">
      <c r="A655" s="5"/>
      <c r="C655"/>
      <c r="D655"/>
      <c r="P655">
        <f t="shared" si="994"/>
        <v>0</v>
      </c>
      <c r="Q655">
        <f t="shared" si="995"/>
        <v>0</v>
      </c>
      <c r="R655">
        <f t="shared" si="996"/>
        <v>0</v>
      </c>
      <c r="S655">
        <f t="shared" si="997"/>
        <v>0</v>
      </c>
      <c r="T655">
        <f t="shared" si="998"/>
        <v>0</v>
      </c>
    </row>
    <row r="656" spans="1:20" x14ac:dyDescent="0.25">
      <c r="A656" s="5"/>
      <c r="C656"/>
      <c r="D656"/>
      <c r="P656">
        <f t="shared" si="994"/>
        <v>0</v>
      </c>
      <c r="Q656">
        <f t="shared" si="995"/>
        <v>0</v>
      </c>
      <c r="R656">
        <f t="shared" si="996"/>
        <v>0</v>
      </c>
      <c r="S656">
        <f t="shared" si="997"/>
        <v>0</v>
      </c>
      <c r="T656">
        <f t="shared" si="998"/>
        <v>0</v>
      </c>
    </row>
    <row r="657" spans="1:20" x14ac:dyDescent="0.25">
      <c r="A657" s="5"/>
      <c r="C657"/>
      <c r="D657"/>
      <c r="P657">
        <f t="shared" si="994"/>
        <v>0</v>
      </c>
      <c r="Q657">
        <f t="shared" si="995"/>
        <v>0</v>
      </c>
      <c r="R657">
        <f t="shared" si="996"/>
        <v>0</v>
      </c>
      <c r="S657">
        <f t="shared" si="997"/>
        <v>0</v>
      </c>
      <c r="T657">
        <f t="shared" si="998"/>
        <v>0</v>
      </c>
    </row>
    <row r="658" spans="1:20" x14ac:dyDescent="0.25">
      <c r="A658" s="5"/>
      <c r="C658"/>
      <c r="D658"/>
      <c r="P658">
        <f t="shared" si="994"/>
        <v>0</v>
      </c>
      <c r="Q658">
        <f t="shared" si="995"/>
        <v>0</v>
      </c>
      <c r="R658">
        <f t="shared" si="996"/>
        <v>0</v>
      </c>
      <c r="S658">
        <f t="shared" si="997"/>
        <v>0</v>
      </c>
      <c r="T658">
        <f t="shared" si="998"/>
        <v>0</v>
      </c>
    </row>
    <row r="659" spans="1:20" x14ac:dyDescent="0.25">
      <c r="A659" s="5"/>
      <c r="C659"/>
      <c r="D659"/>
      <c r="P659">
        <f t="shared" si="994"/>
        <v>0</v>
      </c>
      <c r="Q659">
        <f t="shared" si="995"/>
        <v>0</v>
      </c>
      <c r="R659">
        <f t="shared" si="996"/>
        <v>0</v>
      </c>
      <c r="S659">
        <f t="shared" si="997"/>
        <v>0</v>
      </c>
      <c r="T659">
        <f t="shared" si="998"/>
        <v>0</v>
      </c>
    </row>
    <row r="660" spans="1:20" x14ac:dyDescent="0.25">
      <c r="A660" s="5"/>
      <c r="C660"/>
      <c r="D660"/>
      <c r="P660">
        <f t="shared" si="994"/>
        <v>0</v>
      </c>
      <c r="Q660">
        <f t="shared" si="995"/>
        <v>0</v>
      </c>
      <c r="R660">
        <f t="shared" si="996"/>
        <v>0</v>
      </c>
      <c r="S660">
        <f t="shared" si="997"/>
        <v>0</v>
      </c>
      <c r="T660">
        <f t="shared" si="998"/>
        <v>0</v>
      </c>
    </row>
    <row r="661" spans="1:20" x14ac:dyDescent="0.25">
      <c r="A661" s="5"/>
      <c r="P661">
        <f t="shared" si="994"/>
        <v>0</v>
      </c>
      <c r="Q661">
        <f t="shared" si="995"/>
        <v>0</v>
      </c>
      <c r="R661">
        <f t="shared" si="996"/>
        <v>0</v>
      </c>
      <c r="S661">
        <f t="shared" si="997"/>
        <v>0</v>
      </c>
      <c r="T661">
        <f t="shared" si="998"/>
        <v>0</v>
      </c>
    </row>
    <row r="662" spans="1:20" x14ac:dyDescent="0.25">
      <c r="A662" s="5"/>
      <c r="P662">
        <f t="shared" si="994"/>
        <v>0</v>
      </c>
      <c r="Q662">
        <f t="shared" si="995"/>
        <v>0</v>
      </c>
      <c r="R662">
        <f t="shared" si="996"/>
        <v>0</v>
      </c>
      <c r="S662">
        <f t="shared" si="997"/>
        <v>0</v>
      </c>
      <c r="T662">
        <f t="shared" si="998"/>
        <v>0</v>
      </c>
    </row>
    <row r="663" spans="1:20" x14ac:dyDescent="0.25">
      <c r="A663" s="5"/>
      <c r="P663">
        <f t="shared" si="994"/>
        <v>0</v>
      </c>
      <c r="Q663">
        <f t="shared" si="995"/>
        <v>0</v>
      </c>
      <c r="R663">
        <f t="shared" si="996"/>
        <v>0</v>
      </c>
      <c r="S663">
        <f t="shared" si="997"/>
        <v>0</v>
      </c>
      <c r="T663">
        <f t="shared" si="998"/>
        <v>0</v>
      </c>
    </row>
    <row r="664" spans="1:20" x14ac:dyDescent="0.25">
      <c r="A664" s="5"/>
      <c r="C664" s="4"/>
      <c r="D664" s="4"/>
      <c r="P664">
        <f t="shared" si="994"/>
        <v>0</v>
      </c>
      <c r="Q664">
        <f t="shared" si="995"/>
        <v>0</v>
      </c>
      <c r="R664">
        <f t="shared" si="996"/>
        <v>0</v>
      </c>
      <c r="S664">
        <f t="shared" si="997"/>
        <v>0</v>
      </c>
      <c r="T664">
        <f t="shared" si="998"/>
        <v>0</v>
      </c>
    </row>
    <row r="665" spans="1:20" x14ac:dyDescent="0.25">
      <c r="A665" s="5"/>
      <c r="C665" s="4"/>
      <c r="D665" s="4"/>
      <c r="P665">
        <f t="shared" si="994"/>
        <v>0</v>
      </c>
      <c r="Q665">
        <f t="shared" si="995"/>
        <v>0</v>
      </c>
      <c r="R665">
        <f t="shared" si="996"/>
        <v>0</v>
      </c>
      <c r="S665">
        <f t="shared" si="997"/>
        <v>0</v>
      </c>
      <c r="T665">
        <f t="shared" si="998"/>
        <v>0</v>
      </c>
    </row>
    <row r="666" spans="1:20" x14ac:dyDescent="0.25">
      <c r="A666" s="5"/>
      <c r="C666" s="4"/>
      <c r="D666" s="4"/>
      <c r="P666">
        <f t="shared" si="994"/>
        <v>0</v>
      </c>
      <c r="Q666">
        <f t="shared" si="995"/>
        <v>0</v>
      </c>
      <c r="R666">
        <f t="shared" si="996"/>
        <v>0</v>
      </c>
      <c r="S666">
        <f t="shared" si="997"/>
        <v>0</v>
      </c>
      <c r="T666">
        <f t="shared" si="998"/>
        <v>0</v>
      </c>
    </row>
    <row r="667" spans="1:20" x14ac:dyDescent="0.25">
      <c r="A667" s="5"/>
      <c r="C667" s="4"/>
      <c r="D667" s="4"/>
      <c r="P667">
        <f t="shared" si="994"/>
        <v>0</v>
      </c>
      <c r="Q667">
        <f t="shared" si="995"/>
        <v>0</v>
      </c>
      <c r="R667">
        <f t="shared" si="996"/>
        <v>0</v>
      </c>
      <c r="S667">
        <f t="shared" si="997"/>
        <v>0</v>
      </c>
      <c r="T667">
        <f t="shared" si="998"/>
        <v>0</v>
      </c>
    </row>
    <row r="668" spans="1:20" x14ac:dyDescent="0.25">
      <c r="A668" s="5"/>
      <c r="C668" s="4"/>
      <c r="D668" s="4"/>
      <c r="P668">
        <f t="shared" si="994"/>
        <v>0</v>
      </c>
      <c r="Q668">
        <f t="shared" si="995"/>
        <v>0</v>
      </c>
      <c r="R668">
        <f t="shared" si="996"/>
        <v>0</v>
      </c>
      <c r="S668">
        <f t="shared" si="997"/>
        <v>0</v>
      </c>
      <c r="T668">
        <f t="shared" si="998"/>
        <v>0</v>
      </c>
    </row>
    <row r="669" spans="1:20" x14ac:dyDescent="0.25">
      <c r="A669" s="5"/>
      <c r="C669" s="4"/>
      <c r="D669" s="4"/>
      <c r="P669">
        <f t="shared" si="994"/>
        <v>0</v>
      </c>
      <c r="Q669">
        <f t="shared" si="995"/>
        <v>0</v>
      </c>
      <c r="R669">
        <f t="shared" si="996"/>
        <v>0</v>
      </c>
      <c r="S669">
        <f t="shared" si="997"/>
        <v>0</v>
      </c>
      <c r="T669">
        <f t="shared" si="998"/>
        <v>0</v>
      </c>
    </row>
    <row r="670" spans="1:20" x14ac:dyDescent="0.25">
      <c r="A670" s="5"/>
      <c r="C670" s="4"/>
      <c r="D670" s="4"/>
      <c r="P670">
        <f t="shared" si="994"/>
        <v>0</v>
      </c>
      <c r="Q670">
        <f t="shared" si="995"/>
        <v>0</v>
      </c>
      <c r="R670">
        <f t="shared" si="996"/>
        <v>0</v>
      </c>
      <c r="S670">
        <f t="shared" si="997"/>
        <v>0</v>
      </c>
      <c r="T670">
        <f t="shared" si="998"/>
        <v>0</v>
      </c>
    </row>
    <row r="671" spans="1:20" x14ac:dyDescent="0.25">
      <c r="A671" s="5"/>
      <c r="C671" s="4"/>
      <c r="D671" s="4"/>
      <c r="P671">
        <f t="shared" si="994"/>
        <v>0</v>
      </c>
      <c r="Q671">
        <f t="shared" si="995"/>
        <v>0</v>
      </c>
      <c r="R671">
        <f t="shared" si="996"/>
        <v>0</v>
      </c>
      <c r="S671">
        <f t="shared" si="997"/>
        <v>0</v>
      </c>
      <c r="T671">
        <f t="shared" si="998"/>
        <v>0</v>
      </c>
    </row>
    <row r="672" spans="1:20" x14ac:dyDescent="0.25">
      <c r="A672" s="5"/>
      <c r="C672" s="4"/>
      <c r="D672" s="4"/>
      <c r="P672">
        <f t="shared" si="994"/>
        <v>0</v>
      </c>
      <c r="Q672">
        <f t="shared" si="995"/>
        <v>0</v>
      </c>
      <c r="R672">
        <f t="shared" si="996"/>
        <v>0</v>
      </c>
      <c r="S672">
        <f t="shared" si="997"/>
        <v>0</v>
      </c>
      <c r="T672">
        <f t="shared" si="998"/>
        <v>0</v>
      </c>
    </row>
    <row r="673" spans="1:20" x14ac:dyDescent="0.25">
      <c r="A673" s="5"/>
      <c r="C673" s="4"/>
      <c r="D673" s="4"/>
      <c r="P673">
        <f t="shared" si="994"/>
        <v>0</v>
      </c>
      <c r="Q673">
        <f t="shared" si="995"/>
        <v>0</v>
      </c>
      <c r="R673">
        <f t="shared" si="996"/>
        <v>0</v>
      </c>
      <c r="S673">
        <f t="shared" si="997"/>
        <v>0</v>
      </c>
      <c r="T673">
        <f t="shared" si="998"/>
        <v>0</v>
      </c>
    </row>
    <row r="674" spans="1:20" x14ac:dyDescent="0.25">
      <c r="A674" s="5"/>
      <c r="C674" s="4"/>
      <c r="D674" s="4"/>
      <c r="P674">
        <f t="shared" si="994"/>
        <v>0</v>
      </c>
      <c r="Q674">
        <f t="shared" si="995"/>
        <v>0</v>
      </c>
      <c r="R674">
        <f t="shared" si="996"/>
        <v>0</v>
      </c>
      <c r="S674">
        <f t="shared" si="997"/>
        <v>0</v>
      </c>
      <c r="T674">
        <f t="shared" si="998"/>
        <v>0</v>
      </c>
    </row>
    <row r="675" spans="1:20" x14ac:dyDescent="0.25">
      <c r="A675" s="5"/>
      <c r="C675" s="4"/>
      <c r="D675" s="4"/>
      <c r="P675">
        <f t="shared" si="994"/>
        <v>0</v>
      </c>
      <c r="Q675">
        <f t="shared" si="995"/>
        <v>0</v>
      </c>
      <c r="R675">
        <f t="shared" si="996"/>
        <v>0</v>
      </c>
      <c r="S675">
        <f t="shared" si="997"/>
        <v>0</v>
      </c>
      <c r="T675">
        <f t="shared" si="998"/>
        <v>0</v>
      </c>
    </row>
    <row r="676" spans="1:20" x14ac:dyDescent="0.25">
      <c r="A676" s="5"/>
      <c r="C676" s="4"/>
      <c r="D676" s="4"/>
      <c r="P676">
        <f t="shared" si="994"/>
        <v>0</v>
      </c>
      <c r="Q676">
        <f t="shared" si="995"/>
        <v>0</v>
      </c>
      <c r="R676">
        <f t="shared" si="996"/>
        <v>0</v>
      </c>
      <c r="S676">
        <f t="shared" si="997"/>
        <v>0</v>
      </c>
      <c r="T676">
        <f t="shared" si="998"/>
        <v>0</v>
      </c>
    </row>
    <row r="677" spans="1:20" x14ac:dyDescent="0.25">
      <c r="A677" s="5"/>
      <c r="C677" s="4"/>
      <c r="D677" s="4"/>
      <c r="P677">
        <f t="shared" si="994"/>
        <v>0</v>
      </c>
      <c r="Q677">
        <f t="shared" si="995"/>
        <v>0</v>
      </c>
      <c r="R677">
        <f t="shared" si="996"/>
        <v>0</v>
      </c>
      <c r="S677">
        <f t="shared" si="997"/>
        <v>0</v>
      </c>
      <c r="T677">
        <f t="shared" si="998"/>
        <v>0</v>
      </c>
    </row>
    <row r="678" spans="1:20" x14ac:dyDescent="0.25">
      <c r="A678" s="5"/>
      <c r="C678" s="4"/>
      <c r="D678" s="4"/>
      <c r="P678">
        <f t="shared" si="994"/>
        <v>0</v>
      </c>
      <c r="Q678">
        <f t="shared" si="995"/>
        <v>0</v>
      </c>
      <c r="R678">
        <f t="shared" si="996"/>
        <v>0</v>
      </c>
      <c r="S678">
        <f t="shared" si="997"/>
        <v>0</v>
      </c>
      <c r="T678">
        <f t="shared" si="998"/>
        <v>0</v>
      </c>
    </row>
    <row r="679" spans="1:20" x14ac:dyDescent="0.25">
      <c r="A679" s="5"/>
      <c r="C679" s="4"/>
      <c r="D679" s="4"/>
      <c r="P679">
        <f t="shared" si="994"/>
        <v>0</v>
      </c>
      <c r="Q679">
        <f t="shared" si="995"/>
        <v>0</v>
      </c>
      <c r="R679">
        <f t="shared" si="996"/>
        <v>0</v>
      </c>
      <c r="S679">
        <f t="shared" si="997"/>
        <v>0</v>
      </c>
      <c r="T679">
        <f t="shared" si="998"/>
        <v>0</v>
      </c>
    </row>
    <row r="680" spans="1:20" x14ac:dyDescent="0.25">
      <c r="A680" s="5"/>
      <c r="C680" s="4"/>
      <c r="D680" s="4"/>
      <c r="P680">
        <f t="shared" si="994"/>
        <v>0</v>
      </c>
      <c r="Q680">
        <f t="shared" si="995"/>
        <v>0</v>
      </c>
      <c r="R680">
        <f t="shared" si="996"/>
        <v>0</v>
      </c>
      <c r="S680">
        <f t="shared" si="997"/>
        <v>0</v>
      </c>
      <c r="T680">
        <f t="shared" si="998"/>
        <v>0</v>
      </c>
    </row>
    <row r="681" spans="1:20" x14ac:dyDescent="0.25">
      <c r="A681" s="5"/>
      <c r="C681" s="4"/>
      <c r="D681" s="4"/>
      <c r="P681">
        <f t="shared" si="994"/>
        <v>0</v>
      </c>
      <c r="Q681">
        <f t="shared" si="995"/>
        <v>0</v>
      </c>
      <c r="R681">
        <f t="shared" si="996"/>
        <v>0</v>
      </c>
      <c r="S681">
        <f t="shared" si="997"/>
        <v>0</v>
      </c>
      <c r="T681">
        <f t="shared" si="998"/>
        <v>0</v>
      </c>
    </row>
    <row r="682" spans="1:20" x14ac:dyDescent="0.25">
      <c r="A682" s="5"/>
      <c r="C682" s="4"/>
      <c r="D682" s="4"/>
      <c r="P682">
        <f t="shared" si="994"/>
        <v>0</v>
      </c>
      <c r="Q682">
        <f t="shared" si="995"/>
        <v>0</v>
      </c>
      <c r="R682">
        <f t="shared" si="996"/>
        <v>0</v>
      </c>
      <c r="S682">
        <f t="shared" si="997"/>
        <v>0</v>
      </c>
      <c r="T682">
        <f t="shared" si="998"/>
        <v>0</v>
      </c>
    </row>
    <row r="683" spans="1:20" x14ac:dyDescent="0.25">
      <c r="A683" s="5"/>
      <c r="C683" s="4"/>
      <c r="D683" s="4"/>
      <c r="P683">
        <f t="shared" si="994"/>
        <v>0</v>
      </c>
      <c r="Q683">
        <f t="shared" si="995"/>
        <v>0</v>
      </c>
      <c r="R683">
        <f t="shared" si="996"/>
        <v>0</v>
      </c>
      <c r="S683">
        <f t="shared" si="997"/>
        <v>0</v>
      </c>
      <c r="T683">
        <f t="shared" si="998"/>
        <v>0</v>
      </c>
    </row>
    <row r="684" spans="1:20" x14ac:dyDescent="0.25">
      <c r="A684" s="5"/>
      <c r="C684" s="4"/>
      <c r="D684" s="4"/>
      <c r="P684">
        <f t="shared" si="994"/>
        <v>0</v>
      </c>
      <c r="Q684">
        <f t="shared" si="995"/>
        <v>0</v>
      </c>
      <c r="R684">
        <f t="shared" si="996"/>
        <v>0</v>
      </c>
      <c r="S684">
        <f t="shared" si="997"/>
        <v>0</v>
      </c>
      <c r="T684">
        <f t="shared" si="998"/>
        <v>0</v>
      </c>
    </row>
    <row r="685" spans="1:20" x14ac:dyDescent="0.25">
      <c r="A685" s="5"/>
      <c r="C685" s="4"/>
      <c r="D685" s="4"/>
      <c r="P685">
        <f t="shared" si="994"/>
        <v>0</v>
      </c>
      <c r="Q685">
        <f t="shared" si="995"/>
        <v>0</v>
      </c>
      <c r="R685">
        <f t="shared" si="996"/>
        <v>0</v>
      </c>
      <c r="S685">
        <f t="shared" si="997"/>
        <v>0</v>
      </c>
      <c r="T685">
        <f t="shared" si="998"/>
        <v>0</v>
      </c>
    </row>
    <row r="686" spans="1:20" x14ac:dyDescent="0.25">
      <c r="A686" s="5"/>
      <c r="C686" s="4"/>
      <c r="D686" s="4"/>
      <c r="P686">
        <f t="shared" si="994"/>
        <v>0</v>
      </c>
      <c r="Q686">
        <f t="shared" si="995"/>
        <v>0</v>
      </c>
      <c r="R686">
        <f t="shared" si="996"/>
        <v>0</v>
      </c>
      <c r="S686">
        <f t="shared" si="997"/>
        <v>0</v>
      </c>
      <c r="T686">
        <f t="shared" si="998"/>
        <v>0</v>
      </c>
    </row>
    <row r="687" spans="1:20" x14ac:dyDescent="0.25">
      <c r="A687" s="5"/>
      <c r="C687" s="4"/>
      <c r="D687" s="4"/>
      <c r="P687">
        <f t="shared" si="994"/>
        <v>0</v>
      </c>
      <c r="Q687">
        <f t="shared" si="995"/>
        <v>0</v>
      </c>
      <c r="R687">
        <f t="shared" si="996"/>
        <v>0</v>
      </c>
      <c r="S687">
        <f t="shared" si="997"/>
        <v>0</v>
      </c>
      <c r="T687">
        <f t="shared" si="998"/>
        <v>0</v>
      </c>
    </row>
    <row r="688" spans="1:20" x14ac:dyDescent="0.25">
      <c r="A688" s="5"/>
      <c r="C688" s="4"/>
      <c r="D688" s="4"/>
      <c r="P688">
        <f t="shared" si="994"/>
        <v>0</v>
      </c>
      <c r="Q688">
        <f t="shared" si="995"/>
        <v>0</v>
      </c>
      <c r="R688">
        <f t="shared" si="996"/>
        <v>0</v>
      </c>
      <c r="S688">
        <f t="shared" si="997"/>
        <v>0</v>
      </c>
      <c r="T688">
        <f t="shared" si="998"/>
        <v>0</v>
      </c>
    </row>
    <row r="689" spans="1:20" x14ac:dyDescent="0.25">
      <c r="A689" s="5"/>
      <c r="C689" s="4"/>
      <c r="D689" s="4"/>
      <c r="P689">
        <f t="shared" si="994"/>
        <v>0</v>
      </c>
      <c r="Q689">
        <f t="shared" si="995"/>
        <v>0</v>
      </c>
      <c r="R689">
        <f t="shared" si="996"/>
        <v>0</v>
      </c>
      <c r="S689">
        <f t="shared" si="997"/>
        <v>0</v>
      </c>
      <c r="T689">
        <f t="shared" si="998"/>
        <v>0</v>
      </c>
    </row>
    <row r="690" spans="1:20" x14ac:dyDescent="0.25">
      <c r="A690" s="5"/>
      <c r="C690" s="4"/>
      <c r="D690" s="4"/>
      <c r="P690">
        <f t="shared" si="994"/>
        <v>0</v>
      </c>
      <c r="Q690">
        <f t="shared" si="995"/>
        <v>0</v>
      </c>
      <c r="R690">
        <f t="shared" si="996"/>
        <v>0</v>
      </c>
      <c r="S690">
        <f t="shared" si="997"/>
        <v>0</v>
      </c>
      <c r="T690">
        <f t="shared" si="998"/>
        <v>0</v>
      </c>
    </row>
    <row r="691" spans="1:20" x14ac:dyDescent="0.25">
      <c r="A691" s="5"/>
      <c r="C691" s="4"/>
      <c r="D691" s="4"/>
      <c r="P691">
        <f t="shared" si="994"/>
        <v>0</v>
      </c>
      <c r="Q691">
        <f t="shared" si="995"/>
        <v>0</v>
      </c>
      <c r="R691">
        <f t="shared" si="996"/>
        <v>0</v>
      </c>
      <c r="S691">
        <f t="shared" si="997"/>
        <v>0</v>
      </c>
      <c r="T691">
        <f t="shared" si="998"/>
        <v>0</v>
      </c>
    </row>
    <row r="692" spans="1:20" x14ac:dyDescent="0.25">
      <c r="A692" s="5"/>
      <c r="C692" s="4"/>
      <c r="D692" s="4"/>
      <c r="P692">
        <f t="shared" si="994"/>
        <v>0</v>
      </c>
      <c r="Q692">
        <f t="shared" si="995"/>
        <v>0</v>
      </c>
      <c r="R692">
        <f t="shared" si="996"/>
        <v>0</v>
      </c>
      <c r="S692">
        <f t="shared" si="997"/>
        <v>0</v>
      </c>
      <c r="T692">
        <f t="shared" si="998"/>
        <v>0</v>
      </c>
    </row>
    <row r="693" spans="1:20" x14ac:dyDescent="0.25">
      <c r="A693" s="5"/>
      <c r="C693" s="4"/>
      <c r="D693" s="4"/>
      <c r="P693">
        <f t="shared" si="994"/>
        <v>0</v>
      </c>
      <c r="Q693">
        <f t="shared" si="995"/>
        <v>0</v>
      </c>
      <c r="R693">
        <f t="shared" si="996"/>
        <v>0</v>
      </c>
      <c r="S693">
        <f t="shared" si="997"/>
        <v>0</v>
      </c>
      <c r="T693">
        <f t="shared" si="998"/>
        <v>0</v>
      </c>
    </row>
    <row r="694" spans="1:20" x14ac:dyDescent="0.25">
      <c r="A694" s="5"/>
      <c r="C694" s="4"/>
      <c r="D694" s="4"/>
      <c r="P694">
        <f t="shared" si="994"/>
        <v>0</v>
      </c>
      <c r="Q694">
        <f t="shared" si="995"/>
        <v>0</v>
      </c>
      <c r="R694">
        <f t="shared" si="996"/>
        <v>0</v>
      </c>
      <c r="S694">
        <f t="shared" si="997"/>
        <v>0</v>
      </c>
      <c r="T694">
        <f t="shared" si="998"/>
        <v>0</v>
      </c>
    </row>
    <row r="695" spans="1:20" x14ac:dyDescent="0.25">
      <c r="A695" s="5"/>
      <c r="C695" s="4"/>
      <c r="D695" s="4"/>
      <c r="P695">
        <f t="shared" si="994"/>
        <v>0</v>
      </c>
      <c r="Q695">
        <f t="shared" si="995"/>
        <v>0</v>
      </c>
      <c r="R695">
        <f t="shared" si="996"/>
        <v>0</v>
      </c>
      <c r="S695">
        <f t="shared" si="997"/>
        <v>0</v>
      </c>
      <c r="T695">
        <f t="shared" si="998"/>
        <v>0</v>
      </c>
    </row>
    <row r="696" spans="1:20" x14ac:dyDescent="0.25">
      <c r="A696" s="5"/>
      <c r="C696" s="4"/>
      <c r="D696" s="4"/>
      <c r="P696">
        <f t="shared" si="994"/>
        <v>0</v>
      </c>
      <c r="Q696">
        <f t="shared" si="995"/>
        <v>0</v>
      </c>
      <c r="R696">
        <f t="shared" si="996"/>
        <v>0</v>
      </c>
      <c r="S696">
        <f t="shared" si="997"/>
        <v>0</v>
      </c>
      <c r="T696">
        <f t="shared" si="998"/>
        <v>0</v>
      </c>
    </row>
    <row r="697" spans="1:20" x14ac:dyDescent="0.25">
      <c r="A697" s="5"/>
      <c r="C697" s="4"/>
      <c r="D697" s="4"/>
      <c r="P697">
        <f t="shared" si="994"/>
        <v>0</v>
      </c>
      <c r="Q697">
        <f t="shared" si="995"/>
        <v>0</v>
      </c>
      <c r="R697">
        <f t="shared" si="996"/>
        <v>0</v>
      </c>
      <c r="S697">
        <f t="shared" si="997"/>
        <v>0</v>
      </c>
      <c r="T697">
        <f t="shared" si="998"/>
        <v>0</v>
      </c>
    </row>
    <row r="698" spans="1:20" x14ac:dyDescent="0.25">
      <c r="A698" s="5"/>
      <c r="C698" s="4"/>
      <c r="D698" s="4"/>
      <c r="P698">
        <f t="shared" si="994"/>
        <v>0</v>
      </c>
      <c r="Q698">
        <f t="shared" si="995"/>
        <v>0</v>
      </c>
      <c r="R698">
        <f t="shared" si="996"/>
        <v>0</v>
      </c>
      <c r="S698">
        <f t="shared" si="997"/>
        <v>0</v>
      </c>
      <c r="T698">
        <f t="shared" si="998"/>
        <v>0</v>
      </c>
    </row>
    <row r="699" spans="1:20" x14ac:dyDescent="0.25">
      <c r="A699" s="5"/>
      <c r="C699" s="4"/>
      <c r="D699" s="4"/>
      <c r="P699">
        <f t="shared" si="994"/>
        <v>0</v>
      </c>
      <c r="Q699">
        <f t="shared" si="995"/>
        <v>0</v>
      </c>
      <c r="R699">
        <f t="shared" si="996"/>
        <v>0</v>
      </c>
      <c r="S699">
        <f t="shared" si="997"/>
        <v>0</v>
      </c>
      <c r="T699">
        <f t="shared" si="998"/>
        <v>0</v>
      </c>
    </row>
    <row r="700" spans="1:20" x14ac:dyDescent="0.25">
      <c r="A700" s="5"/>
      <c r="C700" s="4"/>
      <c r="D700" s="4"/>
      <c r="P700">
        <f t="shared" si="994"/>
        <v>0</v>
      </c>
      <c r="Q700">
        <f t="shared" si="995"/>
        <v>0</v>
      </c>
      <c r="R700">
        <f t="shared" si="996"/>
        <v>0</v>
      </c>
      <c r="S700">
        <f t="shared" si="997"/>
        <v>0</v>
      </c>
      <c r="T700">
        <f t="shared" si="998"/>
        <v>0</v>
      </c>
    </row>
    <row r="701" spans="1:20" x14ac:dyDescent="0.25">
      <c r="A701" s="5"/>
      <c r="C701" s="4"/>
      <c r="D701" s="4"/>
      <c r="P701">
        <f t="shared" si="994"/>
        <v>0</v>
      </c>
      <c r="Q701">
        <f t="shared" si="995"/>
        <v>0</v>
      </c>
      <c r="R701">
        <f t="shared" si="996"/>
        <v>0</v>
      </c>
      <c r="S701">
        <f t="shared" si="997"/>
        <v>0</v>
      </c>
      <c r="T701">
        <f t="shared" si="998"/>
        <v>0</v>
      </c>
    </row>
    <row r="702" spans="1:20" x14ac:dyDescent="0.25">
      <c r="A702" s="5"/>
      <c r="C702" s="4"/>
      <c r="D702" s="4"/>
      <c r="P702">
        <f t="shared" si="994"/>
        <v>0</v>
      </c>
      <c r="Q702">
        <f t="shared" si="995"/>
        <v>0</v>
      </c>
      <c r="R702">
        <f t="shared" si="996"/>
        <v>0</v>
      </c>
      <c r="S702">
        <f t="shared" si="997"/>
        <v>0</v>
      </c>
      <c r="T702">
        <f t="shared" si="998"/>
        <v>0</v>
      </c>
    </row>
    <row r="703" spans="1:20" x14ac:dyDescent="0.25">
      <c r="A703" s="5"/>
      <c r="C703" s="4"/>
      <c r="D703" s="4"/>
      <c r="P703">
        <f t="shared" si="994"/>
        <v>0</v>
      </c>
      <c r="Q703">
        <f t="shared" si="995"/>
        <v>0</v>
      </c>
      <c r="R703">
        <f t="shared" si="996"/>
        <v>0</v>
      </c>
      <c r="S703">
        <f t="shared" si="997"/>
        <v>0</v>
      </c>
      <c r="T703">
        <f t="shared" si="998"/>
        <v>0</v>
      </c>
    </row>
    <row r="704" spans="1:20" x14ac:dyDescent="0.25">
      <c r="A704" s="5"/>
      <c r="C704" s="4"/>
      <c r="D704" s="4"/>
      <c r="P704">
        <f t="shared" si="994"/>
        <v>0</v>
      </c>
      <c r="Q704">
        <f t="shared" si="995"/>
        <v>0</v>
      </c>
      <c r="R704">
        <f t="shared" si="996"/>
        <v>0</v>
      </c>
      <c r="S704">
        <f t="shared" si="997"/>
        <v>0</v>
      </c>
      <c r="T704">
        <f t="shared" si="998"/>
        <v>0</v>
      </c>
    </row>
    <row r="705" spans="1:20" x14ac:dyDescent="0.25">
      <c r="A705" s="5"/>
      <c r="C705" s="4"/>
      <c r="D705" s="4"/>
      <c r="P705">
        <f t="shared" si="994"/>
        <v>0</v>
      </c>
      <c r="Q705">
        <f t="shared" si="995"/>
        <v>0</v>
      </c>
      <c r="R705">
        <f t="shared" si="996"/>
        <v>0</v>
      </c>
      <c r="S705">
        <f t="shared" si="997"/>
        <v>0</v>
      </c>
      <c r="T705">
        <f t="shared" si="998"/>
        <v>0</v>
      </c>
    </row>
    <row r="706" spans="1:20" x14ac:dyDescent="0.25">
      <c r="A706" s="5"/>
      <c r="C706" s="4"/>
      <c r="D706" s="4"/>
      <c r="P706">
        <f t="shared" si="994"/>
        <v>0</v>
      </c>
      <c r="Q706">
        <f t="shared" si="995"/>
        <v>0</v>
      </c>
      <c r="R706">
        <f t="shared" si="996"/>
        <v>0</v>
      </c>
      <c r="S706">
        <f t="shared" si="997"/>
        <v>0</v>
      </c>
      <c r="T706">
        <f t="shared" si="998"/>
        <v>0</v>
      </c>
    </row>
    <row r="707" spans="1:20" x14ac:dyDescent="0.25">
      <c r="A707" s="5"/>
      <c r="C707" s="4"/>
      <c r="D707" s="4"/>
      <c r="P707">
        <f t="shared" si="994"/>
        <v>0</v>
      </c>
      <c r="Q707">
        <f t="shared" si="995"/>
        <v>0</v>
      </c>
      <c r="R707">
        <f t="shared" si="996"/>
        <v>0</v>
      </c>
      <c r="S707">
        <f t="shared" si="997"/>
        <v>0</v>
      </c>
      <c r="T707">
        <f t="shared" si="998"/>
        <v>0</v>
      </c>
    </row>
    <row r="708" spans="1:20" x14ac:dyDescent="0.25">
      <c r="A708" s="5"/>
      <c r="C708" s="4"/>
      <c r="D708" s="4"/>
      <c r="P708">
        <f t="shared" si="994"/>
        <v>0</v>
      </c>
      <c r="Q708">
        <f t="shared" si="995"/>
        <v>0</v>
      </c>
      <c r="R708">
        <f t="shared" si="996"/>
        <v>0</v>
      </c>
      <c r="S708">
        <f t="shared" si="997"/>
        <v>0</v>
      </c>
      <c r="T708">
        <f t="shared" si="998"/>
        <v>0</v>
      </c>
    </row>
    <row r="709" spans="1:20" x14ac:dyDescent="0.25">
      <c r="A709" s="5"/>
      <c r="C709" s="4"/>
      <c r="D709" s="4"/>
      <c r="P709">
        <f t="shared" si="994"/>
        <v>0</v>
      </c>
      <c r="Q709">
        <f t="shared" si="995"/>
        <v>0</v>
      </c>
      <c r="R709">
        <f t="shared" si="996"/>
        <v>0</v>
      </c>
      <c r="S709">
        <f t="shared" si="997"/>
        <v>0</v>
      </c>
      <c r="T709">
        <f t="shared" si="998"/>
        <v>0</v>
      </c>
    </row>
    <row r="710" spans="1:20" x14ac:dyDescent="0.25">
      <c r="A710" s="5"/>
      <c r="C710" s="4"/>
      <c r="D710" s="4"/>
      <c r="P710">
        <f t="shared" ref="P710:P766" si="999">IF(C710=D710,0,((E710-D710)-(C710-E710))/(C710-D710))</f>
        <v>0</v>
      </c>
      <c r="Q710">
        <f t="shared" ref="Q710:Q766" si="1000">F710*P710</f>
        <v>0</v>
      </c>
      <c r="R710">
        <f t="shared" ref="R710:R766" si="1001">R711+Q710</f>
        <v>0</v>
      </c>
      <c r="S710">
        <f t="shared" ref="S710:S766" si="1002">R710/100000</f>
        <v>0</v>
      </c>
      <c r="T710">
        <f t="shared" ref="T710:T766" si="1003">S710/1000</f>
        <v>0</v>
      </c>
    </row>
    <row r="711" spans="1:20" x14ac:dyDescent="0.25">
      <c r="A711" s="5"/>
      <c r="C711" s="4"/>
      <c r="D711" s="4"/>
      <c r="P711">
        <f t="shared" si="999"/>
        <v>0</v>
      </c>
      <c r="Q711">
        <f t="shared" si="1000"/>
        <v>0</v>
      </c>
      <c r="R711">
        <f t="shared" si="1001"/>
        <v>0</v>
      </c>
      <c r="S711">
        <f t="shared" si="1002"/>
        <v>0</v>
      </c>
      <c r="T711">
        <f t="shared" si="1003"/>
        <v>0</v>
      </c>
    </row>
    <row r="712" spans="1:20" x14ac:dyDescent="0.25">
      <c r="A712" s="5"/>
      <c r="C712" s="4"/>
      <c r="D712" s="4"/>
      <c r="P712">
        <f t="shared" si="999"/>
        <v>0</v>
      </c>
      <c r="Q712">
        <f t="shared" si="1000"/>
        <v>0</v>
      </c>
      <c r="R712">
        <f t="shared" si="1001"/>
        <v>0</v>
      </c>
      <c r="S712">
        <f t="shared" si="1002"/>
        <v>0</v>
      </c>
      <c r="T712">
        <f t="shared" si="1003"/>
        <v>0</v>
      </c>
    </row>
    <row r="713" spans="1:20" x14ac:dyDescent="0.25">
      <c r="A713" s="5"/>
      <c r="C713" s="4"/>
      <c r="D713" s="4"/>
      <c r="P713">
        <f t="shared" si="999"/>
        <v>0</v>
      </c>
      <c r="Q713">
        <f t="shared" si="1000"/>
        <v>0</v>
      </c>
      <c r="R713">
        <f t="shared" si="1001"/>
        <v>0</v>
      </c>
      <c r="S713">
        <f t="shared" si="1002"/>
        <v>0</v>
      </c>
      <c r="T713">
        <f t="shared" si="1003"/>
        <v>0</v>
      </c>
    </row>
    <row r="714" spans="1:20" x14ac:dyDescent="0.25">
      <c r="A714" s="5"/>
      <c r="C714" s="4"/>
      <c r="D714" s="4"/>
      <c r="P714">
        <f t="shared" si="999"/>
        <v>0</v>
      </c>
      <c r="Q714">
        <f t="shared" si="1000"/>
        <v>0</v>
      </c>
      <c r="R714">
        <f t="shared" si="1001"/>
        <v>0</v>
      </c>
      <c r="S714">
        <f t="shared" si="1002"/>
        <v>0</v>
      </c>
      <c r="T714">
        <f t="shared" si="1003"/>
        <v>0</v>
      </c>
    </row>
    <row r="715" spans="1:20" x14ac:dyDescent="0.25">
      <c r="A715" s="5"/>
      <c r="C715" s="4"/>
      <c r="D715" s="4"/>
      <c r="P715">
        <f t="shared" si="999"/>
        <v>0</v>
      </c>
      <c r="Q715">
        <f t="shared" si="1000"/>
        <v>0</v>
      </c>
      <c r="R715">
        <f t="shared" si="1001"/>
        <v>0</v>
      </c>
      <c r="S715">
        <f t="shared" si="1002"/>
        <v>0</v>
      </c>
      <c r="T715">
        <f t="shared" si="1003"/>
        <v>0</v>
      </c>
    </row>
    <row r="716" spans="1:20" x14ac:dyDescent="0.25">
      <c r="A716" s="5"/>
      <c r="C716" s="4"/>
      <c r="D716" s="4"/>
      <c r="P716">
        <f t="shared" si="999"/>
        <v>0</v>
      </c>
      <c r="Q716">
        <f t="shared" si="1000"/>
        <v>0</v>
      </c>
      <c r="R716">
        <f t="shared" si="1001"/>
        <v>0</v>
      </c>
      <c r="S716">
        <f t="shared" si="1002"/>
        <v>0</v>
      </c>
      <c r="T716">
        <f t="shared" si="1003"/>
        <v>0</v>
      </c>
    </row>
    <row r="717" spans="1:20" x14ac:dyDescent="0.25">
      <c r="A717" s="5"/>
      <c r="C717" s="4"/>
      <c r="D717" s="4"/>
      <c r="P717">
        <f t="shared" si="999"/>
        <v>0</v>
      </c>
      <c r="Q717">
        <f t="shared" si="1000"/>
        <v>0</v>
      </c>
      <c r="R717">
        <f t="shared" si="1001"/>
        <v>0</v>
      </c>
      <c r="S717">
        <f t="shared" si="1002"/>
        <v>0</v>
      </c>
      <c r="T717">
        <f t="shared" si="1003"/>
        <v>0</v>
      </c>
    </row>
    <row r="718" spans="1:20" x14ac:dyDescent="0.25">
      <c r="A718" s="5"/>
      <c r="C718" s="4"/>
      <c r="D718" s="4"/>
      <c r="P718">
        <f t="shared" si="999"/>
        <v>0</v>
      </c>
      <c r="Q718">
        <f t="shared" si="1000"/>
        <v>0</v>
      </c>
      <c r="R718">
        <f t="shared" si="1001"/>
        <v>0</v>
      </c>
      <c r="S718">
        <f t="shared" si="1002"/>
        <v>0</v>
      </c>
      <c r="T718">
        <f t="shared" si="1003"/>
        <v>0</v>
      </c>
    </row>
    <row r="719" spans="1:20" x14ac:dyDescent="0.25">
      <c r="A719" s="5"/>
      <c r="C719" s="4"/>
      <c r="D719" s="4"/>
      <c r="P719">
        <f t="shared" si="999"/>
        <v>0</v>
      </c>
      <c r="Q719">
        <f t="shared" si="1000"/>
        <v>0</v>
      </c>
      <c r="R719">
        <f t="shared" si="1001"/>
        <v>0</v>
      </c>
      <c r="S719">
        <f t="shared" si="1002"/>
        <v>0</v>
      </c>
      <c r="T719">
        <f t="shared" si="1003"/>
        <v>0</v>
      </c>
    </row>
    <row r="720" spans="1:20" x14ac:dyDescent="0.25">
      <c r="A720" s="5"/>
      <c r="C720" s="4"/>
      <c r="D720" s="4"/>
      <c r="P720">
        <f t="shared" si="999"/>
        <v>0</v>
      </c>
      <c r="Q720">
        <f t="shared" si="1000"/>
        <v>0</v>
      </c>
      <c r="R720">
        <f t="shared" si="1001"/>
        <v>0</v>
      </c>
      <c r="S720">
        <f t="shared" si="1002"/>
        <v>0</v>
      </c>
      <c r="T720">
        <f t="shared" si="1003"/>
        <v>0</v>
      </c>
    </row>
    <row r="721" spans="1:20" x14ac:dyDescent="0.25">
      <c r="A721" s="5"/>
      <c r="C721" s="4"/>
      <c r="D721" s="4"/>
      <c r="P721">
        <f t="shared" si="999"/>
        <v>0</v>
      </c>
      <c r="Q721">
        <f t="shared" si="1000"/>
        <v>0</v>
      </c>
      <c r="R721">
        <f t="shared" si="1001"/>
        <v>0</v>
      </c>
      <c r="S721">
        <f t="shared" si="1002"/>
        <v>0</v>
      </c>
      <c r="T721">
        <f t="shared" si="1003"/>
        <v>0</v>
      </c>
    </row>
    <row r="722" spans="1:20" x14ac:dyDescent="0.25">
      <c r="A722" s="5"/>
      <c r="C722" s="4"/>
      <c r="D722" s="4"/>
      <c r="P722">
        <f t="shared" si="999"/>
        <v>0</v>
      </c>
      <c r="Q722">
        <f t="shared" si="1000"/>
        <v>0</v>
      </c>
      <c r="R722">
        <f t="shared" si="1001"/>
        <v>0</v>
      </c>
      <c r="S722">
        <f t="shared" si="1002"/>
        <v>0</v>
      </c>
      <c r="T722">
        <f t="shared" si="1003"/>
        <v>0</v>
      </c>
    </row>
    <row r="723" spans="1:20" x14ac:dyDescent="0.25">
      <c r="A723" s="5"/>
      <c r="C723" s="4"/>
      <c r="D723" s="4"/>
      <c r="P723">
        <f t="shared" si="999"/>
        <v>0</v>
      </c>
      <c r="Q723">
        <f t="shared" si="1000"/>
        <v>0</v>
      </c>
      <c r="R723">
        <f t="shared" si="1001"/>
        <v>0</v>
      </c>
      <c r="S723">
        <f t="shared" si="1002"/>
        <v>0</v>
      </c>
      <c r="T723">
        <f t="shared" si="1003"/>
        <v>0</v>
      </c>
    </row>
    <row r="724" spans="1:20" x14ac:dyDescent="0.25">
      <c r="A724" s="5"/>
      <c r="C724" s="4"/>
      <c r="D724" s="4"/>
      <c r="P724">
        <f t="shared" si="999"/>
        <v>0</v>
      </c>
      <c r="Q724">
        <f t="shared" si="1000"/>
        <v>0</v>
      </c>
      <c r="R724">
        <f t="shared" si="1001"/>
        <v>0</v>
      </c>
      <c r="S724">
        <f t="shared" si="1002"/>
        <v>0</v>
      </c>
      <c r="T724">
        <f t="shared" si="1003"/>
        <v>0</v>
      </c>
    </row>
    <row r="725" spans="1:20" x14ac:dyDescent="0.25">
      <c r="A725" s="5"/>
      <c r="C725" s="4"/>
      <c r="D725" s="4"/>
      <c r="P725">
        <f t="shared" si="999"/>
        <v>0</v>
      </c>
      <c r="Q725">
        <f t="shared" si="1000"/>
        <v>0</v>
      </c>
      <c r="R725">
        <f t="shared" si="1001"/>
        <v>0</v>
      </c>
      <c r="S725">
        <f t="shared" si="1002"/>
        <v>0</v>
      </c>
      <c r="T725">
        <f t="shared" si="1003"/>
        <v>0</v>
      </c>
    </row>
    <row r="726" spans="1:20" x14ac:dyDescent="0.25">
      <c r="A726" s="5"/>
      <c r="C726" s="4"/>
      <c r="D726" s="4"/>
      <c r="P726">
        <f t="shared" si="999"/>
        <v>0</v>
      </c>
      <c r="Q726">
        <f t="shared" si="1000"/>
        <v>0</v>
      </c>
      <c r="R726">
        <f t="shared" si="1001"/>
        <v>0</v>
      </c>
      <c r="S726">
        <f t="shared" si="1002"/>
        <v>0</v>
      </c>
      <c r="T726">
        <f t="shared" si="1003"/>
        <v>0</v>
      </c>
    </row>
    <row r="727" spans="1:20" x14ac:dyDescent="0.25">
      <c r="A727" s="5"/>
      <c r="C727" s="4"/>
      <c r="D727" s="4"/>
      <c r="P727">
        <f t="shared" si="999"/>
        <v>0</v>
      </c>
      <c r="Q727">
        <f t="shared" si="1000"/>
        <v>0</v>
      </c>
      <c r="R727">
        <f t="shared" si="1001"/>
        <v>0</v>
      </c>
      <c r="S727">
        <f t="shared" si="1002"/>
        <v>0</v>
      </c>
      <c r="T727">
        <f t="shared" si="1003"/>
        <v>0</v>
      </c>
    </row>
    <row r="728" spans="1:20" x14ac:dyDescent="0.25">
      <c r="A728" s="5"/>
      <c r="C728" s="4"/>
      <c r="D728" s="4"/>
      <c r="P728">
        <f t="shared" si="999"/>
        <v>0</v>
      </c>
      <c r="Q728">
        <f t="shared" si="1000"/>
        <v>0</v>
      </c>
      <c r="R728">
        <f t="shared" si="1001"/>
        <v>0</v>
      </c>
      <c r="S728">
        <f t="shared" si="1002"/>
        <v>0</v>
      </c>
      <c r="T728">
        <f t="shared" si="1003"/>
        <v>0</v>
      </c>
    </row>
    <row r="729" spans="1:20" x14ac:dyDescent="0.25">
      <c r="A729" s="5"/>
      <c r="C729" s="4"/>
      <c r="D729" s="4"/>
      <c r="P729">
        <f t="shared" si="999"/>
        <v>0</v>
      </c>
      <c r="Q729">
        <f t="shared" si="1000"/>
        <v>0</v>
      </c>
      <c r="R729">
        <f t="shared" si="1001"/>
        <v>0</v>
      </c>
      <c r="S729">
        <f t="shared" si="1002"/>
        <v>0</v>
      </c>
      <c r="T729">
        <f t="shared" si="1003"/>
        <v>0</v>
      </c>
    </row>
    <row r="730" spans="1:20" x14ac:dyDescent="0.25">
      <c r="A730" s="5"/>
      <c r="C730" s="4"/>
      <c r="D730" s="4"/>
      <c r="P730">
        <f t="shared" si="999"/>
        <v>0</v>
      </c>
      <c r="Q730">
        <f t="shared" si="1000"/>
        <v>0</v>
      </c>
      <c r="R730">
        <f t="shared" si="1001"/>
        <v>0</v>
      </c>
      <c r="S730">
        <f t="shared" si="1002"/>
        <v>0</v>
      </c>
      <c r="T730">
        <f t="shared" si="1003"/>
        <v>0</v>
      </c>
    </row>
    <row r="731" spans="1:20" x14ac:dyDescent="0.25">
      <c r="A731" s="5"/>
      <c r="C731" s="4"/>
      <c r="D731" s="4"/>
      <c r="P731">
        <f t="shared" si="999"/>
        <v>0</v>
      </c>
      <c r="Q731">
        <f t="shared" si="1000"/>
        <v>0</v>
      </c>
      <c r="R731">
        <f t="shared" si="1001"/>
        <v>0</v>
      </c>
      <c r="S731">
        <f t="shared" si="1002"/>
        <v>0</v>
      </c>
      <c r="T731">
        <f t="shared" si="1003"/>
        <v>0</v>
      </c>
    </row>
    <row r="732" spans="1:20" x14ac:dyDescent="0.25">
      <c r="A732" s="5"/>
      <c r="C732" s="4"/>
      <c r="D732" s="4"/>
      <c r="P732">
        <f t="shared" si="999"/>
        <v>0</v>
      </c>
      <c r="Q732">
        <f t="shared" si="1000"/>
        <v>0</v>
      </c>
      <c r="R732">
        <f t="shared" si="1001"/>
        <v>0</v>
      </c>
      <c r="S732">
        <f t="shared" si="1002"/>
        <v>0</v>
      </c>
      <c r="T732">
        <f t="shared" si="1003"/>
        <v>0</v>
      </c>
    </row>
    <row r="733" spans="1:20" x14ac:dyDescent="0.25">
      <c r="A733" s="5"/>
      <c r="C733" s="4"/>
      <c r="D733" s="4"/>
      <c r="P733">
        <f t="shared" si="999"/>
        <v>0</v>
      </c>
      <c r="Q733">
        <f t="shared" si="1000"/>
        <v>0</v>
      </c>
      <c r="R733">
        <f t="shared" si="1001"/>
        <v>0</v>
      </c>
      <c r="S733">
        <f t="shared" si="1002"/>
        <v>0</v>
      </c>
      <c r="T733">
        <f t="shared" si="1003"/>
        <v>0</v>
      </c>
    </row>
    <row r="734" spans="1:20" x14ac:dyDescent="0.25">
      <c r="A734" s="5"/>
      <c r="C734" s="4"/>
      <c r="D734" s="4"/>
      <c r="P734">
        <f t="shared" si="999"/>
        <v>0</v>
      </c>
      <c r="Q734">
        <f t="shared" si="1000"/>
        <v>0</v>
      </c>
      <c r="R734">
        <f t="shared" si="1001"/>
        <v>0</v>
      </c>
      <c r="S734">
        <f t="shared" si="1002"/>
        <v>0</v>
      </c>
      <c r="T734">
        <f t="shared" si="1003"/>
        <v>0</v>
      </c>
    </row>
    <row r="735" spans="1:20" x14ac:dyDescent="0.25">
      <c r="A735" s="5"/>
      <c r="C735" s="4"/>
      <c r="D735" s="4"/>
      <c r="P735">
        <f t="shared" si="999"/>
        <v>0</v>
      </c>
      <c r="Q735">
        <f t="shared" si="1000"/>
        <v>0</v>
      </c>
      <c r="R735">
        <f t="shared" si="1001"/>
        <v>0</v>
      </c>
      <c r="S735">
        <f t="shared" si="1002"/>
        <v>0</v>
      </c>
      <c r="T735">
        <f t="shared" si="1003"/>
        <v>0</v>
      </c>
    </row>
    <row r="736" spans="1:20" x14ac:dyDescent="0.25">
      <c r="A736" s="5"/>
      <c r="C736" s="4"/>
      <c r="D736" s="4"/>
      <c r="P736">
        <f t="shared" si="999"/>
        <v>0</v>
      </c>
      <c r="Q736">
        <f t="shared" si="1000"/>
        <v>0</v>
      </c>
      <c r="R736">
        <f t="shared" si="1001"/>
        <v>0</v>
      </c>
      <c r="S736">
        <f t="shared" si="1002"/>
        <v>0</v>
      </c>
      <c r="T736">
        <f t="shared" si="1003"/>
        <v>0</v>
      </c>
    </row>
    <row r="737" spans="1:20" x14ac:dyDescent="0.25">
      <c r="A737" s="5"/>
      <c r="C737" s="4"/>
      <c r="D737" s="4"/>
      <c r="P737">
        <f t="shared" si="999"/>
        <v>0</v>
      </c>
      <c r="Q737">
        <f t="shared" si="1000"/>
        <v>0</v>
      </c>
      <c r="R737">
        <f t="shared" si="1001"/>
        <v>0</v>
      </c>
      <c r="S737">
        <f t="shared" si="1002"/>
        <v>0</v>
      </c>
      <c r="T737">
        <f t="shared" si="1003"/>
        <v>0</v>
      </c>
    </row>
    <row r="738" spans="1:20" x14ac:dyDescent="0.25">
      <c r="A738" s="5"/>
      <c r="C738" s="4"/>
      <c r="D738" s="4"/>
      <c r="P738">
        <f t="shared" si="999"/>
        <v>0</v>
      </c>
      <c r="Q738">
        <f t="shared" si="1000"/>
        <v>0</v>
      </c>
      <c r="R738">
        <f t="shared" si="1001"/>
        <v>0</v>
      </c>
      <c r="S738">
        <f t="shared" si="1002"/>
        <v>0</v>
      </c>
      <c r="T738">
        <f t="shared" si="1003"/>
        <v>0</v>
      </c>
    </row>
    <row r="739" spans="1:20" x14ac:dyDescent="0.25">
      <c r="A739" s="5"/>
      <c r="C739" s="4"/>
      <c r="D739" s="4"/>
      <c r="P739">
        <f t="shared" si="999"/>
        <v>0</v>
      </c>
      <c r="Q739">
        <f t="shared" si="1000"/>
        <v>0</v>
      </c>
      <c r="R739">
        <f t="shared" si="1001"/>
        <v>0</v>
      </c>
      <c r="S739">
        <f t="shared" si="1002"/>
        <v>0</v>
      </c>
      <c r="T739">
        <f t="shared" si="1003"/>
        <v>0</v>
      </c>
    </row>
    <row r="740" spans="1:20" x14ac:dyDescent="0.25">
      <c r="A740" s="5"/>
      <c r="C740" s="4"/>
      <c r="D740" s="4"/>
      <c r="P740">
        <f t="shared" si="999"/>
        <v>0</v>
      </c>
      <c r="Q740">
        <f t="shared" si="1000"/>
        <v>0</v>
      </c>
      <c r="R740">
        <f t="shared" si="1001"/>
        <v>0</v>
      </c>
      <c r="S740">
        <f t="shared" si="1002"/>
        <v>0</v>
      </c>
      <c r="T740">
        <f t="shared" si="1003"/>
        <v>0</v>
      </c>
    </row>
    <row r="741" spans="1:20" x14ac:dyDescent="0.25">
      <c r="A741" s="5"/>
      <c r="C741" s="4"/>
      <c r="D741" s="4"/>
      <c r="P741">
        <f t="shared" si="999"/>
        <v>0</v>
      </c>
      <c r="Q741">
        <f t="shared" si="1000"/>
        <v>0</v>
      </c>
      <c r="R741">
        <f t="shared" si="1001"/>
        <v>0</v>
      </c>
      <c r="S741">
        <f t="shared" si="1002"/>
        <v>0</v>
      </c>
      <c r="T741">
        <f t="shared" si="1003"/>
        <v>0</v>
      </c>
    </row>
    <row r="742" spans="1:20" x14ac:dyDescent="0.25">
      <c r="A742" s="5"/>
      <c r="C742" s="4"/>
      <c r="D742" s="4"/>
      <c r="P742">
        <f t="shared" si="999"/>
        <v>0</v>
      </c>
      <c r="Q742">
        <f t="shared" si="1000"/>
        <v>0</v>
      </c>
      <c r="R742">
        <f t="shared" si="1001"/>
        <v>0</v>
      </c>
      <c r="S742">
        <f t="shared" si="1002"/>
        <v>0</v>
      </c>
      <c r="T742">
        <f t="shared" si="1003"/>
        <v>0</v>
      </c>
    </row>
    <row r="743" spans="1:20" x14ac:dyDescent="0.25">
      <c r="A743" s="5"/>
      <c r="C743" s="4"/>
      <c r="D743" s="4"/>
      <c r="P743">
        <f t="shared" si="999"/>
        <v>0</v>
      </c>
      <c r="Q743">
        <f t="shared" si="1000"/>
        <v>0</v>
      </c>
      <c r="R743">
        <f t="shared" si="1001"/>
        <v>0</v>
      </c>
      <c r="S743">
        <f t="shared" si="1002"/>
        <v>0</v>
      </c>
      <c r="T743">
        <f t="shared" si="1003"/>
        <v>0</v>
      </c>
    </row>
    <row r="744" spans="1:20" x14ac:dyDescent="0.25">
      <c r="A744" s="5"/>
      <c r="C744" s="4"/>
      <c r="D744" s="4"/>
      <c r="P744">
        <f t="shared" si="999"/>
        <v>0</v>
      </c>
      <c r="Q744">
        <f t="shared" si="1000"/>
        <v>0</v>
      </c>
      <c r="R744">
        <f t="shared" si="1001"/>
        <v>0</v>
      </c>
      <c r="S744">
        <f t="shared" si="1002"/>
        <v>0</v>
      </c>
      <c r="T744">
        <f t="shared" si="1003"/>
        <v>0</v>
      </c>
    </row>
    <row r="745" spans="1:20" x14ac:dyDescent="0.25">
      <c r="A745" s="5"/>
      <c r="C745" s="4"/>
      <c r="D745" s="4"/>
      <c r="P745">
        <f t="shared" si="999"/>
        <v>0</v>
      </c>
      <c r="Q745">
        <f t="shared" si="1000"/>
        <v>0</v>
      </c>
      <c r="R745">
        <f t="shared" si="1001"/>
        <v>0</v>
      </c>
      <c r="S745">
        <f t="shared" si="1002"/>
        <v>0</v>
      </c>
      <c r="T745">
        <f t="shared" si="1003"/>
        <v>0</v>
      </c>
    </row>
    <row r="746" spans="1:20" x14ac:dyDescent="0.25">
      <c r="A746" s="5"/>
      <c r="C746" s="4"/>
      <c r="D746" s="4"/>
      <c r="P746">
        <f t="shared" si="999"/>
        <v>0</v>
      </c>
      <c r="Q746">
        <f t="shared" si="1000"/>
        <v>0</v>
      </c>
      <c r="R746">
        <f t="shared" si="1001"/>
        <v>0</v>
      </c>
      <c r="S746">
        <f t="shared" si="1002"/>
        <v>0</v>
      </c>
      <c r="T746">
        <f t="shared" si="1003"/>
        <v>0</v>
      </c>
    </row>
    <row r="747" spans="1:20" x14ac:dyDescent="0.25">
      <c r="A747" s="5"/>
      <c r="C747" s="4"/>
      <c r="D747" s="4"/>
      <c r="P747">
        <f t="shared" si="999"/>
        <v>0</v>
      </c>
      <c r="Q747">
        <f t="shared" si="1000"/>
        <v>0</v>
      </c>
      <c r="R747">
        <f t="shared" si="1001"/>
        <v>0</v>
      </c>
      <c r="S747">
        <f t="shared" si="1002"/>
        <v>0</v>
      </c>
      <c r="T747">
        <f t="shared" si="1003"/>
        <v>0</v>
      </c>
    </row>
    <row r="748" spans="1:20" x14ac:dyDescent="0.25">
      <c r="A748" s="5"/>
      <c r="C748" s="4"/>
      <c r="D748" s="4"/>
      <c r="P748">
        <f t="shared" si="999"/>
        <v>0</v>
      </c>
      <c r="Q748">
        <f t="shared" si="1000"/>
        <v>0</v>
      </c>
      <c r="R748">
        <f t="shared" si="1001"/>
        <v>0</v>
      </c>
      <c r="S748">
        <f t="shared" si="1002"/>
        <v>0</v>
      </c>
      <c r="T748">
        <f t="shared" si="1003"/>
        <v>0</v>
      </c>
    </row>
    <row r="749" spans="1:20" x14ac:dyDescent="0.25">
      <c r="A749" s="5"/>
      <c r="C749" s="4"/>
      <c r="D749" s="4"/>
      <c r="P749">
        <f t="shared" si="999"/>
        <v>0</v>
      </c>
      <c r="Q749">
        <f t="shared" si="1000"/>
        <v>0</v>
      </c>
      <c r="R749">
        <f t="shared" si="1001"/>
        <v>0</v>
      </c>
      <c r="S749">
        <f t="shared" si="1002"/>
        <v>0</v>
      </c>
      <c r="T749">
        <f t="shared" si="1003"/>
        <v>0</v>
      </c>
    </row>
    <row r="750" spans="1:20" x14ac:dyDescent="0.25">
      <c r="A750" s="5"/>
      <c r="C750" s="4"/>
      <c r="D750" s="4"/>
      <c r="P750">
        <f t="shared" si="999"/>
        <v>0</v>
      </c>
      <c r="Q750">
        <f t="shared" si="1000"/>
        <v>0</v>
      </c>
      <c r="R750">
        <f t="shared" si="1001"/>
        <v>0</v>
      </c>
      <c r="S750">
        <f t="shared" si="1002"/>
        <v>0</v>
      </c>
      <c r="T750">
        <f t="shared" si="1003"/>
        <v>0</v>
      </c>
    </row>
    <row r="751" spans="1:20" x14ac:dyDescent="0.25">
      <c r="A751" s="5"/>
      <c r="C751" s="4"/>
      <c r="D751" s="4"/>
      <c r="P751">
        <f t="shared" si="999"/>
        <v>0</v>
      </c>
      <c r="Q751">
        <f t="shared" si="1000"/>
        <v>0</v>
      </c>
      <c r="R751">
        <f t="shared" si="1001"/>
        <v>0</v>
      </c>
      <c r="S751">
        <f t="shared" si="1002"/>
        <v>0</v>
      </c>
      <c r="T751">
        <f t="shared" si="1003"/>
        <v>0</v>
      </c>
    </row>
    <row r="752" spans="1:20" x14ac:dyDescent="0.25">
      <c r="A752" s="5"/>
      <c r="C752" s="4"/>
      <c r="D752" s="4"/>
      <c r="P752">
        <f t="shared" si="999"/>
        <v>0</v>
      </c>
      <c r="Q752">
        <f t="shared" si="1000"/>
        <v>0</v>
      </c>
      <c r="R752">
        <f t="shared" si="1001"/>
        <v>0</v>
      </c>
      <c r="S752">
        <f t="shared" si="1002"/>
        <v>0</v>
      </c>
      <c r="T752">
        <f t="shared" si="1003"/>
        <v>0</v>
      </c>
    </row>
    <row r="753" spans="1:20" x14ac:dyDescent="0.25">
      <c r="A753" s="5"/>
      <c r="C753" s="4"/>
      <c r="D753" s="4"/>
      <c r="P753">
        <f t="shared" si="999"/>
        <v>0</v>
      </c>
      <c r="Q753">
        <f t="shared" si="1000"/>
        <v>0</v>
      </c>
      <c r="R753">
        <f t="shared" si="1001"/>
        <v>0</v>
      </c>
      <c r="S753">
        <f t="shared" si="1002"/>
        <v>0</v>
      </c>
      <c r="T753">
        <f t="shared" si="1003"/>
        <v>0</v>
      </c>
    </row>
    <row r="754" spans="1:20" x14ac:dyDescent="0.25">
      <c r="A754" s="5"/>
      <c r="C754" s="4"/>
      <c r="D754" s="4"/>
      <c r="P754">
        <f t="shared" si="999"/>
        <v>0</v>
      </c>
      <c r="Q754">
        <f t="shared" si="1000"/>
        <v>0</v>
      </c>
      <c r="R754">
        <f t="shared" si="1001"/>
        <v>0</v>
      </c>
      <c r="S754">
        <f t="shared" si="1002"/>
        <v>0</v>
      </c>
      <c r="T754">
        <f t="shared" si="1003"/>
        <v>0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JR511" sqref="JR511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$A$510</v>
      </c>
      <c r="D111" s="1" t="str">
        <f>ADDRESS(C121-1,D121,1,1)</f>
        <v>$JR$510</v>
      </c>
      <c r="E111"/>
    </row>
    <row r="112" spans="1:5" x14ac:dyDescent="0.25">
      <c r="A112" s="7">
        <v>12164.144957890772</v>
      </c>
      <c r="C112" s="1" t="str">
        <f>ADDRESS(C121,1,1,1)</f>
        <v>$A$511</v>
      </c>
      <c r="D112" s="1" t="str">
        <f>ADDRESS(C121,D121-1,1,1)</f>
        <v>$JQ$511</v>
      </c>
      <c r="E112"/>
    </row>
    <row r="113" spans="1:5" x14ac:dyDescent="0.25">
      <c r="A113" s="7">
        <v>11925.63231165762</v>
      </c>
      <c r="C113" s="1" t="str">
        <f>ADDRESS(C121+1,1,1,1)</f>
        <v>$A$512</v>
      </c>
      <c r="D113" s="1" t="str">
        <f>ADDRESS(C121-1,D121+1,1,1)</f>
        <v>$JS$510</v>
      </c>
    </row>
    <row r="114" spans="1:5" x14ac:dyDescent="0.25">
      <c r="A114" s="7">
        <v>11691.796383978059</v>
      </c>
      <c r="C114" s="1" t="str">
        <f>ADDRESS(C121,D121,1,1)</f>
        <v>$JR$511</v>
      </c>
      <c r="D114" s="1" t="str">
        <f>ADDRESS(C121+1,D121+1,1,1)</f>
        <v>$JS$512</v>
      </c>
    </row>
    <row r="115" spans="1:5" x14ac:dyDescent="0.25">
      <c r="A115" s="7">
        <v>11462.545474488292</v>
      </c>
      <c r="C115" s="1" t="str">
        <f>ADDRESS(C121+1,D121,1,1)</f>
        <v>$JR$512</v>
      </c>
    </row>
    <row r="116" spans="1:5" x14ac:dyDescent="0.25">
      <c r="A116" s="7">
        <v>11237.789680870874</v>
      </c>
      <c r="C116" s="1">
        <f>C117-1</f>
        <v>510</v>
      </c>
    </row>
    <row r="117" spans="1:5" x14ac:dyDescent="0.25">
      <c r="A117" s="7">
        <v>11017.440863598895</v>
      </c>
      <c r="C117" s="1">
        <f>C121</f>
        <v>511</v>
      </c>
      <c r="D117" s="1">
        <f>D121</f>
        <v>278</v>
      </c>
    </row>
    <row r="118" spans="1:5" x14ac:dyDescent="0.25">
      <c r="A118" s="7">
        <v>10801.412611371465</v>
      </c>
      <c r="C118" s="1">
        <f>C117+1</f>
        <v>512</v>
      </c>
      <c r="D118" s="1">
        <f>D117+1</f>
        <v>279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511</v>
      </c>
      <c r="D121" s="19">
        <v>278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R511</v>
      </c>
      <c r="D123" s="1" t="str">
        <f>"C"&amp;D121</f>
        <v>C278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4.5041521642302227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160" x14ac:dyDescent="0.25">
      <c r="A417" s="7">
        <v>28.975383953883185</v>
      </c>
      <c r="B417"/>
      <c r="C417"/>
      <c r="D417"/>
      <c r="E417"/>
      <c r="DI417" s="27" t="s">
        <v>8</v>
      </c>
    </row>
    <row r="418" spans="1:160" x14ac:dyDescent="0.25">
      <c r="A418" s="7">
        <v>28.407239170473709</v>
      </c>
      <c r="B418"/>
      <c r="C418"/>
      <c r="D418"/>
      <c r="E418"/>
      <c r="DI418" s="27" t="s">
        <v>8</v>
      </c>
      <c r="DJ418" s="27" t="s">
        <v>7</v>
      </c>
    </row>
    <row r="419" spans="1:160" x14ac:dyDescent="0.25">
      <c r="A419" s="7">
        <v>27.850234480856578</v>
      </c>
      <c r="B419"/>
      <c r="C419"/>
      <c r="D419"/>
      <c r="E419"/>
      <c r="DG419" s="27" t="s">
        <v>8</v>
      </c>
      <c r="DI419" s="27" t="s">
        <v>8</v>
      </c>
      <c r="DJ419" s="27" t="s">
        <v>7</v>
      </c>
    </row>
    <row r="420" spans="1:160" x14ac:dyDescent="0.25">
      <c r="A420" s="7">
        <v>27.304151451820175</v>
      </c>
      <c r="B420"/>
      <c r="C420"/>
      <c r="D420"/>
      <c r="E420"/>
      <c r="DE420" s="27" t="s">
        <v>8</v>
      </c>
      <c r="DG420" s="27" t="s">
        <v>8</v>
      </c>
      <c r="DH420" s="27" t="s">
        <v>7</v>
      </c>
      <c r="DI420" s="27" t="s">
        <v>8</v>
      </c>
      <c r="DJ420" s="27" t="s">
        <v>7</v>
      </c>
    </row>
    <row r="421" spans="1:160" x14ac:dyDescent="0.25">
      <c r="A421" s="7">
        <v>26.768775933157034</v>
      </c>
      <c r="B421"/>
      <c r="C421"/>
      <c r="D421"/>
      <c r="E421"/>
      <c r="DE421" s="27" t="s">
        <v>8</v>
      </c>
      <c r="DF421" s="27" t="s">
        <v>7</v>
      </c>
      <c r="DG421" s="27" t="s">
        <v>8</v>
      </c>
      <c r="DH421" s="27" t="s">
        <v>7</v>
      </c>
      <c r="DI421" s="27" t="s">
        <v>8</v>
      </c>
      <c r="DJ421" s="27" t="s">
        <v>7</v>
      </c>
    </row>
    <row r="422" spans="1:160" x14ac:dyDescent="0.25">
      <c r="A422" s="7">
        <v>26.243897973683367</v>
      </c>
      <c r="B422"/>
      <c r="C422"/>
      <c r="D422"/>
      <c r="E422"/>
      <c r="DE422" s="27" t="s">
        <v>8</v>
      </c>
      <c r="DF422" s="27" t="s">
        <v>7</v>
      </c>
      <c r="DG422" s="27" t="s">
        <v>8</v>
      </c>
      <c r="DH422" s="27" t="s">
        <v>7</v>
      </c>
      <c r="DI422" s="27" t="s">
        <v>8</v>
      </c>
      <c r="DJ422" s="27" t="s">
        <v>7</v>
      </c>
      <c r="DK422" s="27" t="s">
        <v>8</v>
      </c>
    </row>
    <row r="423" spans="1:160" x14ac:dyDescent="0.25">
      <c r="A423" s="7">
        <v>25.729311738905263</v>
      </c>
      <c r="B423"/>
      <c r="C423"/>
      <c r="D423"/>
      <c r="E423"/>
      <c r="DE423" s="27" t="s">
        <v>8</v>
      </c>
      <c r="DF423" s="27" t="s">
        <v>7</v>
      </c>
      <c r="DG423" s="27" t="s">
        <v>8</v>
      </c>
      <c r="DH423" s="27" t="s">
        <v>7</v>
      </c>
      <c r="DI423" s="27" t="s">
        <v>8</v>
      </c>
      <c r="DJ423" s="27" t="s">
        <v>7</v>
      </c>
      <c r="DK423" s="27" t="s">
        <v>8</v>
      </c>
      <c r="DL423" s="27" t="s">
        <v>7</v>
      </c>
      <c r="FC423" s="27" t="s">
        <v>8</v>
      </c>
    </row>
    <row r="424" spans="1:160" x14ac:dyDescent="0.25">
      <c r="A424" s="7">
        <v>25.224815430299277</v>
      </c>
      <c r="B424"/>
      <c r="C424"/>
      <c r="D424"/>
      <c r="E424"/>
      <c r="DE424" s="27" t="s">
        <v>8</v>
      </c>
      <c r="DF424" s="27" t="s">
        <v>7</v>
      </c>
      <c r="DG424" s="27" t="s">
        <v>8</v>
      </c>
      <c r="DH424" s="27" t="s">
        <v>7</v>
      </c>
      <c r="DI424" s="27" t="s">
        <v>8</v>
      </c>
      <c r="DJ424" s="27" t="s">
        <v>7</v>
      </c>
      <c r="DK424" s="27" t="s">
        <v>8</v>
      </c>
      <c r="DL424" s="27" t="s">
        <v>7</v>
      </c>
      <c r="DO424" s="27" t="s">
        <v>8</v>
      </c>
      <c r="FC424" s="27" t="s">
        <v>8</v>
      </c>
      <c r="FD424" s="27" t="s">
        <v>7</v>
      </c>
    </row>
    <row r="425" spans="1:160" x14ac:dyDescent="0.25">
      <c r="A425" s="7">
        <v>24.73021120617576</v>
      </c>
      <c r="B425"/>
      <c r="C425"/>
      <c r="D425"/>
      <c r="E425"/>
      <c r="DE425" s="27" t="s">
        <v>8</v>
      </c>
      <c r="DF425" s="27" t="s">
        <v>7</v>
      </c>
      <c r="DG425" s="27" t="s">
        <v>8</v>
      </c>
      <c r="DH425" s="27" t="s">
        <v>7</v>
      </c>
      <c r="DJ425" s="27" t="s">
        <v>7</v>
      </c>
      <c r="DK425" s="27" t="s">
        <v>8</v>
      </c>
      <c r="DL425" s="27" t="s">
        <v>7</v>
      </c>
      <c r="DO425" s="27" t="s">
        <v>8</v>
      </c>
      <c r="DP425" s="27" t="s">
        <v>7</v>
      </c>
      <c r="FC425" s="27" t="s">
        <v>8</v>
      </c>
      <c r="FD425" s="27" t="s">
        <v>7</v>
      </c>
    </row>
    <row r="426" spans="1:160" x14ac:dyDescent="0.25">
      <c r="A426" s="7">
        <v>24.24530510409388</v>
      </c>
      <c r="B426"/>
      <c r="C426"/>
      <c r="D426"/>
      <c r="E426"/>
      <c r="DC426" s="27" t="s">
        <v>8</v>
      </c>
      <c r="DE426" s="27" t="s">
        <v>8</v>
      </c>
      <c r="DF426" s="27" t="s">
        <v>7</v>
      </c>
      <c r="DG426" s="27" t="s">
        <v>8</v>
      </c>
      <c r="DJ426" s="27" t="s">
        <v>7</v>
      </c>
      <c r="DK426" s="27" t="s">
        <v>8</v>
      </c>
      <c r="DL426" s="27" t="s">
        <v>7</v>
      </c>
      <c r="DM426" s="27" t="s">
        <v>8</v>
      </c>
      <c r="DO426" s="27" t="s">
        <v>8</v>
      </c>
      <c r="DP426" s="27" t="s">
        <v>7</v>
      </c>
      <c r="DU426" s="27" t="s">
        <v>8</v>
      </c>
      <c r="FC426" s="27" t="s">
        <v>8</v>
      </c>
      <c r="FD426" s="27" t="s">
        <v>7</v>
      </c>
    </row>
    <row r="427" spans="1:160" x14ac:dyDescent="0.25">
      <c r="A427" s="7">
        <v>23.769906964797922</v>
      </c>
      <c r="B427"/>
      <c r="C427"/>
      <c r="D427"/>
      <c r="E427"/>
      <c r="DC427" s="27" t="s">
        <v>8</v>
      </c>
      <c r="DD427" s="27" t="s">
        <v>7</v>
      </c>
      <c r="DE427" s="27" t="s">
        <v>8</v>
      </c>
      <c r="DF427" s="27" t="s">
        <v>7</v>
      </c>
      <c r="DG427" s="27" t="s">
        <v>8</v>
      </c>
      <c r="DJ427" s="27" t="s">
        <v>7</v>
      </c>
      <c r="DK427" s="27" t="s">
        <v>8</v>
      </c>
      <c r="DL427" s="27" t="s">
        <v>7</v>
      </c>
      <c r="DM427" s="27" t="s">
        <v>8</v>
      </c>
      <c r="DN427" s="27" t="s">
        <v>7</v>
      </c>
      <c r="DO427" s="27" t="s">
        <v>8</v>
      </c>
      <c r="DP427" s="27" t="s">
        <v>7</v>
      </c>
      <c r="DU427" s="27" t="s">
        <v>8</v>
      </c>
      <c r="DV427" s="27" t="s">
        <v>7</v>
      </c>
      <c r="FC427" s="27" t="s">
        <v>8</v>
      </c>
      <c r="FD427" s="27" t="s">
        <v>7</v>
      </c>
    </row>
    <row r="428" spans="1:160" x14ac:dyDescent="0.25">
      <c r="A428" s="7">
        <v>23.303830357645023</v>
      </c>
      <c r="B428"/>
      <c r="C428"/>
      <c r="D428"/>
      <c r="E428"/>
      <c r="DC428" s="27" t="s">
        <v>8</v>
      </c>
      <c r="DD428" s="27" t="s">
        <v>7</v>
      </c>
      <c r="DE428" s="27" t="s">
        <v>8</v>
      </c>
      <c r="DF428" s="27" t="s">
        <v>7</v>
      </c>
      <c r="DJ428" s="27" t="s">
        <v>7</v>
      </c>
      <c r="DK428" s="27" t="s">
        <v>8</v>
      </c>
      <c r="DL428" s="27" t="s">
        <v>7</v>
      </c>
      <c r="DM428" s="27" t="s">
        <v>8</v>
      </c>
      <c r="DN428" s="27" t="s">
        <v>7</v>
      </c>
      <c r="DO428" s="27" t="s">
        <v>8</v>
      </c>
      <c r="DP428" s="27" t="s">
        <v>7</v>
      </c>
      <c r="DU428" s="27" t="s">
        <v>8</v>
      </c>
      <c r="DV428" s="27" t="s">
        <v>7</v>
      </c>
      <c r="DW428" s="27" t="s">
        <v>8</v>
      </c>
      <c r="FC428" s="27" t="s">
        <v>8</v>
      </c>
      <c r="FD428" s="27" t="s">
        <v>7</v>
      </c>
    </row>
    <row r="429" spans="1:160" x14ac:dyDescent="0.25">
      <c r="A429" s="7">
        <v>22.84689250749512</v>
      </c>
      <c r="B429"/>
      <c r="C429"/>
      <c r="D429"/>
      <c r="E429"/>
      <c r="DC429" s="27" t="s">
        <v>8</v>
      </c>
      <c r="DD429" s="27" t="s">
        <v>7</v>
      </c>
      <c r="DE429" s="27" t="s">
        <v>8</v>
      </c>
      <c r="DJ429" s="27" t="s">
        <v>7</v>
      </c>
      <c r="DK429" s="27" t="s">
        <v>8</v>
      </c>
      <c r="DL429" s="27" t="s">
        <v>7</v>
      </c>
      <c r="DM429" s="27" t="s">
        <v>8</v>
      </c>
      <c r="DN429" s="27" t="s">
        <v>7</v>
      </c>
      <c r="DO429" s="27" t="s">
        <v>8</v>
      </c>
      <c r="DP429" s="27" t="s">
        <v>7</v>
      </c>
      <c r="DU429" s="27" t="s">
        <v>8</v>
      </c>
      <c r="DV429" s="27" t="s">
        <v>7</v>
      </c>
      <c r="DW429" s="27" t="s">
        <v>8</v>
      </c>
      <c r="DX429" s="27" t="s">
        <v>7</v>
      </c>
      <c r="EK429" s="27" t="s">
        <v>8</v>
      </c>
      <c r="EY429" s="27" t="s">
        <v>8</v>
      </c>
      <c r="FA429" s="27" t="s">
        <v>8</v>
      </c>
      <c r="FC429" s="27" t="s">
        <v>8</v>
      </c>
      <c r="FD429" s="27" t="s">
        <v>7</v>
      </c>
    </row>
    <row r="430" spans="1:160" x14ac:dyDescent="0.25">
      <c r="A430" s="7">
        <v>22.398914223034431</v>
      </c>
      <c r="B430"/>
      <c r="C430"/>
      <c r="D430"/>
      <c r="E430"/>
      <c r="DC430" s="27" t="s">
        <v>8</v>
      </c>
      <c r="DD430" s="27" t="s">
        <v>7</v>
      </c>
      <c r="DE430" s="27" t="s">
        <v>8</v>
      </c>
      <c r="DJ430" s="27" t="s">
        <v>7</v>
      </c>
      <c r="DK430" s="27" t="s">
        <v>8</v>
      </c>
      <c r="DL430" s="27" t="s">
        <v>7</v>
      </c>
      <c r="DN430" s="27" t="s">
        <v>7</v>
      </c>
      <c r="DO430" s="27" t="s">
        <v>8</v>
      </c>
      <c r="DP430" s="27" t="s">
        <v>7</v>
      </c>
      <c r="DU430" s="27" t="s">
        <v>8</v>
      </c>
      <c r="DV430" s="27" t="s">
        <v>7</v>
      </c>
      <c r="DW430" s="27" t="s">
        <v>8</v>
      </c>
      <c r="DX430" s="27" t="s">
        <v>7</v>
      </c>
      <c r="EG430" s="27" t="s">
        <v>8</v>
      </c>
      <c r="EK430" s="27" t="s">
        <v>8</v>
      </c>
      <c r="EL430" s="27" t="s">
        <v>7</v>
      </c>
      <c r="EY430" s="27" t="s">
        <v>8</v>
      </c>
      <c r="EZ430" s="27" t="s">
        <v>7</v>
      </c>
      <c r="FA430" s="27" t="s">
        <v>8</v>
      </c>
      <c r="FB430" s="27" t="s">
        <v>7</v>
      </c>
      <c r="FC430" s="27" t="s">
        <v>8</v>
      </c>
      <c r="FD430" s="27" t="s">
        <v>7</v>
      </c>
    </row>
    <row r="431" spans="1:160" x14ac:dyDescent="0.25">
      <c r="A431" s="7">
        <v>21.959719826504344</v>
      </c>
      <c r="B431"/>
      <c r="C431"/>
      <c r="D431"/>
      <c r="E431"/>
      <c r="DC431" s="27" t="s">
        <v>8</v>
      </c>
      <c r="DD431" s="27" t="s">
        <v>7</v>
      </c>
      <c r="DE431" s="27" t="s">
        <v>8</v>
      </c>
      <c r="DJ431" s="27" t="s">
        <v>7</v>
      </c>
      <c r="DK431" s="27" t="s">
        <v>8</v>
      </c>
      <c r="DN431" s="27" t="s">
        <v>7</v>
      </c>
      <c r="DO431" s="27" t="s">
        <v>8</v>
      </c>
      <c r="DP431" s="27" t="s">
        <v>7</v>
      </c>
      <c r="DQ431" s="27" t="s">
        <v>8</v>
      </c>
      <c r="DU431" s="27" t="s">
        <v>8</v>
      </c>
      <c r="DV431" s="27" t="s">
        <v>7</v>
      </c>
      <c r="DW431" s="27" t="s">
        <v>8</v>
      </c>
      <c r="DX431" s="27" t="s">
        <v>7</v>
      </c>
      <c r="EG431" s="27" t="s">
        <v>8</v>
      </c>
      <c r="EH431" s="27" t="s">
        <v>7</v>
      </c>
      <c r="EK431" s="27" t="s">
        <v>8</v>
      </c>
      <c r="EL431" s="27" t="s">
        <v>7</v>
      </c>
      <c r="EY431" s="27" t="s">
        <v>8</v>
      </c>
      <c r="EZ431" s="27" t="s">
        <v>7</v>
      </c>
      <c r="FA431" s="27" t="s">
        <v>8</v>
      </c>
      <c r="FB431" s="27" t="s">
        <v>7</v>
      </c>
      <c r="FC431" s="27" t="s">
        <v>8</v>
      </c>
      <c r="FD431" s="27" t="s">
        <v>7</v>
      </c>
    </row>
    <row r="432" spans="1:160" x14ac:dyDescent="0.25">
      <c r="A432" s="7">
        <v>21.52913708480818</v>
      </c>
      <c r="B432"/>
      <c r="C432"/>
      <c r="D432"/>
      <c r="E432"/>
      <c r="DC432" s="27" t="s">
        <v>8</v>
      </c>
      <c r="DD432" s="27" t="s">
        <v>7</v>
      </c>
      <c r="DE432" s="27" t="s">
        <v>8</v>
      </c>
      <c r="DJ432" s="27" t="s">
        <v>7</v>
      </c>
      <c r="DK432" s="27" t="s">
        <v>8</v>
      </c>
      <c r="DN432" s="27" t="s">
        <v>7</v>
      </c>
      <c r="DP432" s="27" t="s">
        <v>7</v>
      </c>
      <c r="DQ432" s="27" t="s">
        <v>8</v>
      </c>
      <c r="DR432" s="27" t="s">
        <v>7</v>
      </c>
      <c r="DU432" s="27" t="s">
        <v>8</v>
      </c>
      <c r="DV432" s="27" t="s">
        <v>7</v>
      </c>
      <c r="DW432" s="27" t="s">
        <v>8</v>
      </c>
      <c r="DX432" s="27" t="s">
        <v>7</v>
      </c>
      <c r="EE432" s="27" t="s">
        <v>8</v>
      </c>
      <c r="EG432" s="27" t="s">
        <v>8</v>
      </c>
      <c r="EH432" s="27" t="s">
        <v>7</v>
      </c>
      <c r="EK432" s="27" t="s">
        <v>8</v>
      </c>
      <c r="EL432" s="27" t="s">
        <v>7</v>
      </c>
      <c r="EY432" s="27" t="s">
        <v>8</v>
      </c>
      <c r="EZ432" s="27" t="s">
        <v>7</v>
      </c>
      <c r="FA432" s="27" t="s">
        <v>8</v>
      </c>
      <c r="FB432" s="27" t="s">
        <v>7</v>
      </c>
      <c r="FC432" s="27" t="s">
        <v>8</v>
      </c>
      <c r="FD432" s="27" t="s">
        <v>7</v>
      </c>
    </row>
    <row r="433" spans="1:221" x14ac:dyDescent="0.25">
      <c r="A433" s="7">
        <v>21.106997141968804</v>
      </c>
      <c r="B433"/>
      <c r="C433"/>
      <c r="D433"/>
      <c r="E433"/>
      <c r="DC433" s="27" t="s">
        <v>8</v>
      </c>
      <c r="DD433" s="27" t="s">
        <v>7</v>
      </c>
      <c r="DE433" s="27" t="s">
        <v>8</v>
      </c>
      <c r="DJ433" s="27" t="s">
        <v>7</v>
      </c>
      <c r="DP433" s="27" t="s">
        <v>7</v>
      </c>
      <c r="DQ433" s="27" t="s">
        <v>8</v>
      </c>
      <c r="DR433" s="27" t="s">
        <v>7</v>
      </c>
      <c r="DU433" s="27" t="s">
        <v>8</v>
      </c>
      <c r="DV433" s="27" t="s">
        <v>7</v>
      </c>
      <c r="DW433" s="27" t="s">
        <v>8</v>
      </c>
      <c r="DX433" s="27" t="s">
        <v>7</v>
      </c>
      <c r="EA433" s="27" t="s">
        <v>8</v>
      </c>
      <c r="EE433" s="27" t="s">
        <v>8</v>
      </c>
      <c r="EF433" s="27" t="s">
        <v>7</v>
      </c>
      <c r="EG433" s="27" t="s">
        <v>8</v>
      </c>
      <c r="EH433" s="27" t="s">
        <v>7</v>
      </c>
      <c r="EK433" s="27" t="s">
        <v>8</v>
      </c>
      <c r="EL433" s="27" t="s">
        <v>7</v>
      </c>
      <c r="EY433" s="27" t="s">
        <v>8</v>
      </c>
      <c r="EZ433" s="27" t="s">
        <v>7</v>
      </c>
      <c r="FA433" s="27" t="s">
        <v>8</v>
      </c>
      <c r="FB433" s="27" t="s">
        <v>7</v>
      </c>
      <c r="FC433" s="27" t="s">
        <v>8</v>
      </c>
      <c r="FD433" s="27" t="s">
        <v>7</v>
      </c>
    </row>
    <row r="434" spans="1:221" x14ac:dyDescent="0.25">
      <c r="A434" s="7">
        <v>20.693134452910591</v>
      </c>
      <c r="B434"/>
      <c r="C434"/>
      <c r="D434"/>
      <c r="E434"/>
      <c r="DC434" s="27" t="s">
        <v>8</v>
      </c>
      <c r="DD434" s="27" t="s">
        <v>7</v>
      </c>
      <c r="DE434" s="27" t="s">
        <v>8</v>
      </c>
      <c r="DP434" s="27" t="s">
        <v>7</v>
      </c>
      <c r="DQ434" s="27" t="s">
        <v>8</v>
      </c>
      <c r="DR434" s="27" t="s">
        <v>7</v>
      </c>
      <c r="DU434" s="27" t="s">
        <v>8</v>
      </c>
      <c r="DV434" s="27" t="s">
        <v>7</v>
      </c>
      <c r="DW434" s="27" t="s">
        <v>8</v>
      </c>
      <c r="DX434" s="27" t="s">
        <v>7</v>
      </c>
      <c r="DY434" s="27" t="s">
        <v>8</v>
      </c>
      <c r="EA434" s="27" t="s">
        <v>8</v>
      </c>
      <c r="EB434" s="27" t="s">
        <v>7</v>
      </c>
      <c r="EE434" s="27" t="s">
        <v>8</v>
      </c>
      <c r="EF434" s="27" t="s">
        <v>7</v>
      </c>
      <c r="EG434" s="27" t="s">
        <v>8</v>
      </c>
      <c r="EH434" s="27" t="s">
        <v>7</v>
      </c>
      <c r="EK434" s="27" t="s">
        <v>8</v>
      </c>
      <c r="EL434" s="27" t="s">
        <v>7</v>
      </c>
      <c r="EY434" s="27" t="s">
        <v>8</v>
      </c>
      <c r="EZ434" s="27" t="s">
        <v>7</v>
      </c>
      <c r="FA434" s="27" t="s">
        <v>8</v>
      </c>
      <c r="FB434" s="27" t="s">
        <v>7</v>
      </c>
      <c r="FC434" s="27" t="s">
        <v>8</v>
      </c>
      <c r="FD434" s="27" t="s">
        <v>7</v>
      </c>
    </row>
    <row r="435" spans="1:221" x14ac:dyDescent="0.25">
      <c r="A435" s="7">
        <v>20.287386718539796</v>
      </c>
      <c r="B435"/>
      <c r="C435"/>
      <c r="D435"/>
      <c r="E435"/>
      <c r="DC435" s="27" t="s">
        <v>8</v>
      </c>
      <c r="DD435" s="27" t="s">
        <v>7</v>
      </c>
      <c r="DE435" s="27" t="s">
        <v>8</v>
      </c>
      <c r="DP435" s="27" t="s">
        <v>7</v>
      </c>
      <c r="DQ435" s="27" t="s">
        <v>8</v>
      </c>
      <c r="DR435" s="27" t="s">
        <v>7</v>
      </c>
      <c r="DS435" s="27" t="s">
        <v>8</v>
      </c>
      <c r="DU435" s="27" t="s">
        <v>8</v>
      </c>
      <c r="DV435" s="27" t="s">
        <v>7</v>
      </c>
      <c r="DX435" s="27" t="s">
        <v>7</v>
      </c>
      <c r="DY435" s="27" t="s">
        <v>8</v>
      </c>
      <c r="DZ435" s="27" t="s">
        <v>7</v>
      </c>
      <c r="EA435" s="27" t="s">
        <v>8</v>
      </c>
      <c r="EB435" s="27" t="s">
        <v>7</v>
      </c>
      <c r="EE435" s="27" t="s">
        <v>8</v>
      </c>
      <c r="EF435" s="27" t="s">
        <v>7</v>
      </c>
      <c r="EG435" s="27" t="s">
        <v>8</v>
      </c>
      <c r="EH435" s="27" t="s">
        <v>7</v>
      </c>
      <c r="EI435" s="27" t="s">
        <v>8</v>
      </c>
      <c r="EK435" s="27" t="s">
        <v>8</v>
      </c>
      <c r="EL435" s="27" t="s">
        <v>7</v>
      </c>
      <c r="EW435" s="27" t="s">
        <v>8</v>
      </c>
      <c r="EY435" s="27" t="s">
        <v>8</v>
      </c>
      <c r="EZ435" s="27" t="s">
        <v>7</v>
      </c>
      <c r="FA435" s="27" t="s">
        <v>8</v>
      </c>
      <c r="FB435" s="27" t="s">
        <v>7</v>
      </c>
      <c r="FC435" s="27" t="s">
        <v>8</v>
      </c>
      <c r="FD435" s="27" t="s">
        <v>7</v>
      </c>
    </row>
    <row r="436" spans="1:221" x14ac:dyDescent="0.25">
      <c r="A436" s="7">
        <v>19.889594822097838</v>
      </c>
      <c r="B436"/>
      <c r="C436"/>
      <c r="D436"/>
      <c r="E436"/>
      <c r="DC436" s="27" t="s">
        <v>8</v>
      </c>
      <c r="DD436" s="27" t="s">
        <v>7</v>
      </c>
      <c r="DE436" s="27" t="s">
        <v>8</v>
      </c>
      <c r="DP436" s="27" t="s">
        <v>7</v>
      </c>
      <c r="DQ436" s="27" t="s">
        <v>8</v>
      </c>
      <c r="DR436" s="27" t="s">
        <v>7</v>
      </c>
      <c r="DS436" s="27" t="s">
        <v>8</v>
      </c>
      <c r="DT436" s="27" t="s">
        <v>7</v>
      </c>
      <c r="DU436" s="27" t="s">
        <v>8</v>
      </c>
      <c r="DX436" s="27" t="s">
        <v>7</v>
      </c>
      <c r="DY436" s="27" t="s">
        <v>8</v>
      </c>
      <c r="DZ436" s="27" t="s">
        <v>7</v>
      </c>
      <c r="EA436" s="27" t="s">
        <v>8</v>
      </c>
      <c r="EB436" s="27" t="s">
        <v>7</v>
      </c>
      <c r="EE436" s="27" t="s">
        <v>8</v>
      </c>
      <c r="EF436" s="27" t="s">
        <v>7</v>
      </c>
      <c r="EG436" s="27" t="s">
        <v>8</v>
      </c>
      <c r="EH436" s="27" t="s">
        <v>7</v>
      </c>
      <c r="EI436" s="27" t="s">
        <v>8</v>
      </c>
      <c r="EJ436" s="27" t="s">
        <v>7</v>
      </c>
      <c r="EK436" s="27" t="s">
        <v>8</v>
      </c>
      <c r="EL436" s="27" t="s">
        <v>7</v>
      </c>
      <c r="EW436" s="27" t="s">
        <v>8</v>
      </c>
      <c r="EX436" s="27" t="s">
        <v>7</v>
      </c>
      <c r="EY436" s="27" t="s">
        <v>8</v>
      </c>
      <c r="EZ436" s="27" t="s">
        <v>7</v>
      </c>
      <c r="FA436" s="27" t="s">
        <v>8</v>
      </c>
      <c r="FB436" s="27" t="s">
        <v>7</v>
      </c>
      <c r="FC436" s="27" t="s">
        <v>8</v>
      </c>
      <c r="FD436" s="27" t="s">
        <v>7</v>
      </c>
    </row>
    <row r="437" spans="1:221" x14ac:dyDescent="0.25">
      <c r="A437" s="7">
        <v>19.499602766762585</v>
      </c>
      <c r="B437"/>
      <c r="C437"/>
      <c r="D437"/>
      <c r="E437"/>
      <c r="DA437" s="27" t="s">
        <v>8</v>
      </c>
      <c r="DC437" s="27" t="s">
        <v>8</v>
      </c>
      <c r="DD437" s="27" t="s">
        <v>7</v>
      </c>
      <c r="DE437" s="27" t="s">
        <v>8</v>
      </c>
      <c r="DP437" s="27" t="s">
        <v>7</v>
      </c>
      <c r="DQ437" s="27" t="s">
        <v>8</v>
      </c>
      <c r="DR437" s="27" t="s">
        <v>7</v>
      </c>
      <c r="DS437" s="27" t="s">
        <v>8</v>
      </c>
      <c r="DT437" s="27" t="s">
        <v>7</v>
      </c>
      <c r="DU437" s="27" t="s">
        <v>8</v>
      </c>
      <c r="DX437" s="27" t="s">
        <v>7</v>
      </c>
      <c r="DY437" s="27" t="s">
        <v>8</v>
      </c>
      <c r="DZ437" s="27" t="s">
        <v>7</v>
      </c>
      <c r="EA437" s="27" t="s">
        <v>8</v>
      </c>
      <c r="EB437" s="27" t="s">
        <v>7</v>
      </c>
      <c r="EE437" s="27" t="s">
        <v>8</v>
      </c>
      <c r="EF437" s="27" t="s">
        <v>7</v>
      </c>
      <c r="EG437" s="27" t="s">
        <v>8</v>
      </c>
      <c r="EH437" s="27" t="s">
        <v>7</v>
      </c>
      <c r="EI437" s="27" t="s">
        <v>8</v>
      </c>
      <c r="EJ437" s="27" t="s">
        <v>7</v>
      </c>
      <c r="EK437" s="27" t="s">
        <v>8</v>
      </c>
      <c r="EL437" s="27" t="s">
        <v>7</v>
      </c>
      <c r="EW437" s="27" t="s">
        <v>8</v>
      </c>
      <c r="EX437" s="27" t="s">
        <v>7</v>
      </c>
      <c r="EY437" s="27" t="s">
        <v>8</v>
      </c>
      <c r="EZ437" s="27" t="s">
        <v>7</v>
      </c>
      <c r="FA437" s="27" t="s">
        <v>8</v>
      </c>
      <c r="FB437" s="27" t="s">
        <v>7</v>
      </c>
      <c r="FC437" s="27" t="s">
        <v>8</v>
      </c>
      <c r="FD437" s="27" t="s">
        <v>7</v>
      </c>
      <c r="FE437" s="27" t="s">
        <v>8</v>
      </c>
    </row>
    <row r="438" spans="1:221" x14ac:dyDescent="0.25">
      <c r="A438" s="7">
        <v>19.117257614473122</v>
      </c>
      <c r="B438"/>
      <c r="C438"/>
      <c r="D438"/>
      <c r="E438"/>
      <c r="DA438" s="27" t="s">
        <v>8</v>
      </c>
      <c r="DB438" s="27" t="s">
        <v>7</v>
      </c>
      <c r="DC438" s="27" t="s">
        <v>8</v>
      </c>
      <c r="DD438" s="27" t="s">
        <v>7</v>
      </c>
      <c r="DE438" s="27" t="s">
        <v>8</v>
      </c>
      <c r="DP438" s="27" t="s">
        <v>7</v>
      </c>
      <c r="DQ438" s="27" t="s">
        <v>8</v>
      </c>
      <c r="DR438" s="27" t="s">
        <v>7</v>
      </c>
      <c r="DS438" s="27" t="s">
        <v>8</v>
      </c>
      <c r="DT438" s="27" t="s">
        <v>7</v>
      </c>
      <c r="DU438" s="27" t="s">
        <v>8</v>
      </c>
      <c r="DX438" s="27" t="s">
        <v>7</v>
      </c>
      <c r="DZ438" s="27" t="s">
        <v>7</v>
      </c>
      <c r="EA438" s="27" t="s">
        <v>8</v>
      </c>
      <c r="EB438" s="27" t="s">
        <v>7</v>
      </c>
      <c r="EE438" s="27" t="s">
        <v>8</v>
      </c>
      <c r="EF438" s="27" t="s">
        <v>7</v>
      </c>
      <c r="EH438" s="27" t="s">
        <v>7</v>
      </c>
      <c r="EI438" s="27" t="s">
        <v>8</v>
      </c>
      <c r="EJ438" s="27" t="s">
        <v>7</v>
      </c>
      <c r="EK438" s="27" t="s">
        <v>8</v>
      </c>
      <c r="EL438" s="27" t="s">
        <v>7</v>
      </c>
      <c r="EU438" s="27" t="s">
        <v>8</v>
      </c>
      <c r="EW438" s="27" t="s">
        <v>8</v>
      </c>
      <c r="EX438" s="27" t="s">
        <v>7</v>
      </c>
      <c r="EY438" s="27" t="s">
        <v>8</v>
      </c>
      <c r="EZ438" s="27" t="s">
        <v>7</v>
      </c>
      <c r="FA438" s="27" t="s">
        <v>8</v>
      </c>
      <c r="FB438" s="27" t="s">
        <v>7</v>
      </c>
      <c r="FC438" s="27" t="s">
        <v>8</v>
      </c>
      <c r="FD438" s="27" t="s">
        <v>7</v>
      </c>
      <c r="FE438" s="27" t="s">
        <v>8</v>
      </c>
      <c r="FF438" s="27" t="s">
        <v>7</v>
      </c>
    </row>
    <row r="439" spans="1:221" x14ac:dyDescent="0.25">
      <c r="A439" s="7">
        <v>18.74240942595404</v>
      </c>
      <c r="B439"/>
      <c r="C439"/>
      <c r="D439"/>
      <c r="E439"/>
      <c r="DA439" s="27" t="s">
        <v>8</v>
      </c>
      <c r="DB439" s="27" t="s">
        <v>7</v>
      </c>
      <c r="DC439" s="27" t="s">
        <v>8</v>
      </c>
      <c r="DD439" s="27" t="s">
        <v>7</v>
      </c>
      <c r="DE439" s="27" t="s">
        <v>8</v>
      </c>
      <c r="DP439" s="27" t="s">
        <v>7</v>
      </c>
      <c r="DQ439" s="27" t="s">
        <v>8</v>
      </c>
      <c r="DR439" s="27" t="s">
        <v>7</v>
      </c>
      <c r="DS439" s="27" t="s">
        <v>8</v>
      </c>
      <c r="DT439" s="27" t="s">
        <v>7</v>
      </c>
      <c r="DU439" s="27" t="s">
        <v>8</v>
      </c>
      <c r="DZ439" s="27" t="s">
        <v>7</v>
      </c>
      <c r="EA439" s="27" t="s">
        <v>8</v>
      </c>
      <c r="EB439" s="27" t="s">
        <v>7</v>
      </c>
      <c r="EE439" s="27" t="s">
        <v>8</v>
      </c>
      <c r="EH439" s="27" t="s">
        <v>7</v>
      </c>
      <c r="EJ439" s="27" t="s">
        <v>7</v>
      </c>
      <c r="EK439" s="27" t="s">
        <v>8</v>
      </c>
      <c r="EL439" s="27" t="s">
        <v>7</v>
      </c>
      <c r="EU439" s="27" t="s">
        <v>8</v>
      </c>
      <c r="EV439" s="27" t="s">
        <v>7</v>
      </c>
      <c r="EW439" s="27" t="s">
        <v>8</v>
      </c>
      <c r="EX439" s="27" t="s">
        <v>7</v>
      </c>
      <c r="EY439" s="27" t="s">
        <v>8</v>
      </c>
      <c r="EZ439" s="27" t="s">
        <v>7</v>
      </c>
      <c r="FA439" s="27" t="s">
        <v>8</v>
      </c>
      <c r="FB439" s="27" t="s">
        <v>7</v>
      </c>
      <c r="FC439" s="27" t="s">
        <v>8</v>
      </c>
      <c r="FD439" s="27" t="s">
        <v>7</v>
      </c>
      <c r="FE439" s="27" t="s">
        <v>8</v>
      </c>
      <c r="FF439" s="27" t="s">
        <v>7</v>
      </c>
    </row>
    <row r="440" spans="1:221" x14ac:dyDescent="0.25">
      <c r="A440" s="7">
        <v>18.374911201915726</v>
      </c>
      <c r="B440"/>
      <c r="C440"/>
      <c r="D440"/>
      <c r="E440"/>
      <c r="DA440" s="27" t="s">
        <v>8</v>
      </c>
      <c r="DB440" s="27" t="s">
        <v>7</v>
      </c>
      <c r="DC440" s="27" t="s">
        <v>8</v>
      </c>
      <c r="DD440" s="27" t="s">
        <v>7</v>
      </c>
      <c r="DE440" s="27" t="s">
        <v>8</v>
      </c>
      <c r="DP440" s="27" t="s">
        <v>7</v>
      </c>
      <c r="DQ440" s="27" t="s">
        <v>8</v>
      </c>
      <c r="DR440" s="27" t="s">
        <v>7</v>
      </c>
      <c r="DS440" s="27" t="s">
        <v>8</v>
      </c>
      <c r="DT440" s="27" t="s">
        <v>7</v>
      </c>
      <c r="DU440" s="27" t="s">
        <v>8</v>
      </c>
      <c r="DZ440" s="27" t="s">
        <v>7</v>
      </c>
      <c r="EA440" s="27" t="s">
        <v>8</v>
      </c>
      <c r="EB440" s="27" t="s">
        <v>7</v>
      </c>
      <c r="EE440" s="27" t="s">
        <v>8</v>
      </c>
      <c r="EJ440" s="27" t="s">
        <v>7</v>
      </c>
      <c r="EL440" s="27" t="s">
        <v>7</v>
      </c>
      <c r="ES440" s="27" t="s">
        <v>8</v>
      </c>
      <c r="EU440" s="27" t="s">
        <v>8</v>
      </c>
      <c r="EV440" s="27" t="s">
        <v>7</v>
      </c>
      <c r="EW440" s="27" t="s">
        <v>8</v>
      </c>
      <c r="EX440" s="27" t="s">
        <v>7</v>
      </c>
      <c r="EY440" s="27" t="s">
        <v>8</v>
      </c>
      <c r="EZ440" s="27" t="s">
        <v>7</v>
      </c>
      <c r="FB440" s="27" t="s">
        <v>7</v>
      </c>
      <c r="FC440" s="27" t="s">
        <v>8</v>
      </c>
      <c r="FD440" s="27" t="s">
        <v>7</v>
      </c>
      <c r="FE440" s="27" t="s">
        <v>8</v>
      </c>
      <c r="FF440" s="27" t="s">
        <v>7</v>
      </c>
    </row>
    <row r="441" spans="1:221" x14ac:dyDescent="0.25">
      <c r="A441" s="7">
        <v>18.014618825407574</v>
      </c>
      <c r="B441"/>
      <c r="C441"/>
      <c r="D441"/>
      <c r="E441"/>
      <c r="CW441" s="27" t="s">
        <v>8</v>
      </c>
      <c r="DA441" s="27" t="s">
        <v>8</v>
      </c>
      <c r="DB441" s="27" t="s">
        <v>7</v>
      </c>
      <c r="DC441" s="27" t="s">
        <v>8</v>
      </c>
      <c r="DD441" s="27" t="s">
        <v>7</v>
      </c>
      <c r="DP441" s="27" t="s">
        <v>7</v>
      </c>
      <c r="DQ441" s="27" t="s">
        <v>8</v>
      </c>
      <c r="DR441" s="27" t="s">
        <v>7</v>
      </c>
      <c r="DS441" s="27" t="s">
        <v>8</v>
      </c>
      <c r="DT441" s="27" t="s">
        <v>7</v>
      </c>
      <c r="DU441" s="27" t="s">
        <v>8</v>
      </c>
      <c r="DZ441" s="27" t="s">
        <v>7</v>
      </c>
      <c r="EB441" s="27" t="s">
        <v>7</v>
      </c>
      <c r="EE441" s="27" t="s">
        <v>8</v>
      </c>
      <c r="EL441" s="27" t="s">
        <v>7</v>
      </c>
      <c r="EM441" s="27" t="s">
        <v>8</v>
      </c>
      <c r="ES441" s="27" t="s">
        <v>8</v>
      </c>
      <c r="ET441" s="27" t="s">
        <v>7</v>
      </c>
      <c r="EU441" s="27" t="s">
        <v>8</v>
      </c>
      <c r="EV441" s="27" t="s">
        <v>7</v>
      </c>
      <c r="EW441" s="27" t="s">
        <v>8</v>
      </c>
      <c r="EX441" s="27" t="s">
        <v>7</v>
      </c>
      <c r="EY441" s="27" t="s">
        <v>8</v>
      </c>
      <c r="FB441" s="27" t="s">
        <v>7</v>
      </c>
      <c r="FC441" s="27" t="s">
        <v>8</v>
      </c>
      <c r="FD441" s="27" t="s">
        <v>7</v>
      </c>
      <c r="FE441" s="27" t="s">
        <v>8</v>
      </c>
      <c r="FF441" s="27" t="s">
        <v>7</v>
      </c>
    </row>
    <row r="442" spans="1:221" x14ac:dyDescent="0.25">
      <c r="A442" s="7">
        <v>17.661391005301542</v>
      </c>
      <c r="B442"/>
      <c r="C442"/>
      <c r="D442"/>
      <c r="E442"/>
      <c r="CW442" s="27" t="s">
        <v>8</v>
      </c>
      <c r="CX442" s="27" t="s">
        <v>7</v>
      </c>
      <c r="CY442" s="27" t="s">
        <v>8</v>
      </c>
      <c r="DA442" s="27" t="s">
        <v>8</v>
      </c>
      <c r="DB442" s="27" t="s">
        <v>7</v>
      </c>
      <c r="DC442" s="27" t="s">
        <v>8</v>
      </c>
      <c r="DP442" s="27" t="s">
        <v>7</v>
      </c>
      <c r="DQ442" s="27" t="s">
        <v>8</v>
      </c>
      <c r="DR442" s="27" t="s">
        <v>7</v>
      </c>
      <c r="DS442" s="27" t="s">
        <v>8</v>
      </c>
      <c r="DT442" s="27" t="s">
        <v>7</v>
      </c>
      <c r="DU442" s="27" t="s">
        <v>8</v>
      </c>
      <c r="EB442" s="27" t="s">
        <v>7</v>
      </c>
      <c r="EC442" s="27" t="s">
        <v>8</v>
      </c>
      <c r="EE442" s="27" t="s">
        <v>8</v>
      </c>
      <c r="EL442" s="27" t="s">
        <v>7</v>
      </c>
      <c r="EM442" s="27" t="s">
        <v>8</v>
      </c>
      <c r="EN442" s="27" t="s">
        <v>7</v>
      </c>
      <c r="EO442" s="27" t="s">
        <v>8</v>
      </c>
      <c r="ES442" s="27" t="s">
        <v>8</v>
      </c>
      <c r="ET442" s="27" t="s">
        <v>7</v>
      </c>
      <c r="EU442" s="27" t="s">
        <v>8</v>
      </c>
      <c r="EV442" s="27" t="s">
        <v>7</v>
      </c>
      <c r="EW442" s="27" t="s">
        <v>8</v>
      </c>
      <c r="EX442" s="27" t="s">
        <v>7</v>
      </c>
      <c r="EY442" s="27" t="s">
        <v>8</v>
      </c>
      <c r="FB442" s="27" t="s">
        <v>7</v>
      </c>
      <c r="FC442" s="27" t="s">
        <v>8</v>
      </c>
      <c r="FD442" s="27" t="s">
        <v>7</v>
      </c>
      <c r="FE442" s="27" t="s">
        <v>8</v>
      </c>
      <c r="FF442" s="27" t="s">
        <v>7</v>
      </c>
    </row>
    <row r="443" spans="1:221" x14ac:dyDescent="0.25">
      <c r="A443" s="7">
        <v>17.315089220883866</v>
      </c>
      <c r="B443"/>
      <c r="C443"/>
      <c r="D443"/>
      <c r="E443"/>
      <c r="CW443" s="27" t="s">
        <v>8</v>
      </c>
      <c r="CX443" s="27" t="s">
        <v>7</v>
      </c>
      <c r="CY443" s="27" t="s">
        <v>8</v>
      </c>
      <c r="CZ443" s="27" t="s">
        <v>7</v>
      </c>
      <c r="DA443" s="27" t="s">
        <v>8</v>
      </c>
      <c r="DB443" s="27" t="s">
        <v>7</v>
      </c>
      <c r="DC443" s="27" t="s">
        <v>8</v>
      </c>
      <c r="DP443" s="27" t="s">
        <v>7</v>
      </c>
      <c r="DQ443" s="27" t="s">
        <v>8</v>
      </c>
      <c r="DR443" s="27" t="s">
        <v>7</v>
      </c>
      <c r="DS443" s="27" t="s">
        <v>8</v>
      </c>
      <c r="DT443" s="27" t="s">
        <v>7</v>
      </c>
      <c r="DU443" s="27" t="s">
        <v>8</v>
      </c>
      <c r="EB443" s="27" t="s">
        <v>7</v>
      </c>
      <c r="EC443" s="27" t="s">
        <v>8</v>
      </c>
      <c r="ED443" s="27" t="s">
        <v>7</v>
      </c>
      <c r="EE443" s="27" t="s">
        <v>8</v>
      </c>
      <c r="EL443" s="27" t="s">
        <v>7</v>
      </c>
      <c r="EM443" s="27" t="s">
        <v>8</v>
      </c>
      <c r="EN443" s="27" t="s">
        <v>7</v>
      </c>
      <c r="EO443" s="27" t="s">
        <v>8</v>
      </c>
      <c r="EP443" s="27" t="s">
        <v>7</v>
      </c>
      <c r="ES443" s="27" t="s">
        <v>8</v>
      </c>
      <c r="ET443" s="27" t="s">
        <v>7</v>
      </c>
      <c r="EU443" s="27" t="s">
        <v>8</v>
      </c>
      <c r="EV443" s="27" t="s">
        <v>7</v>
      </c>
      <c r="EW443" s="27" t="s">
        <v>8</v>
      </c>
      <c r="EX443" s="27" t="s">
        <v>7</v>
      </c>
      <c r="EY443" s="27" t="s">
        <v>8</v>
      </c>
      <c r="FB443" s="27" t="s">
        <v>7</v>
      </c>
      <c r="FC443" s="27" t="s">
        <v>8</v>
      </c>
      <c r="FD443" s="27" t="s">
        <v>7</v>
      </c>
      <c r="FE443" s="27" t="s">
        <v>8</v>
      </c>
      <c r="FF443" s="27" t="s">
        <v>7</v>
      </c>
    </row>
    <row r="444" spans="1:221" x14ac:dyDescent="0.25">
      <c r="A444" s="7">
        <v>16.975577667533202</v>
      </c>
      <c r="B444"/>
      <c r="C444"/>
      <c r="D444"/>
      <c r="E444"/>
      <c r="CS444" s="27" t="s">
        <v>8</v>
      </c>
      <c r="CW444" s="27" t="s">
        <v>8</v>
      </c>
      <c r="CX444" s="27" t="s">
        <v>7</v>
      </c>
      <c r="CY444" s="27" t="s">
        <v>8</v>
      </c>
      <c r="CZ444" s="27" t="s">
        <v>7</v>
      </c>
      <c r="DA444" s="27" t="s">
        <v>8</v>
      </c>
      <c r="DB444" s="27" t="s">
        <v>7</v>
      </c>
      <c r="DC444" s="27" t="s">
        <v>8</v>
      </c>
      <c r="DP444" s="27" t="s">
        <v>7</v>
      </c>
      <c r="DQ444" s="27" t="s">
        <v>8</v>
      </c>
      <c r="DR444" s="27" t="s">
        <v>7</v>
      </c>
      <c r="DT444" s="27" t="s">
        <v>7</v>
      </c>
      <c r="DU444" s="27" t="s">
        <v>8</v>
      </c>
      <c r="EB444" s="27" t="s">
        <v>7</v>
      </c>
      <c r="EC444" s="27" t="s">
        <v>8</v>
      </c>
      <c r="ED444" s="27" t="s">
        <v>7</v>
      </c>
      <c r="EE444" s="27" t="s">
        <v>8</v>
      </c>
      <c r="EL444" s="27" t="s">
        <v>7</v>
      </c>
      <c r="EM444" s="27" t="s">
        <v>8</v>
      </c>
      <c r="EN444" s="27" t="s">
        <v>7</v>
      </c>
      <c r="EO444" s="27" t="s">
        <v>8</v>
      </c>
      <c r="EP444" s="27" t="s">
        <v>7</v>
      </c>
      <c r="ES444" s="27" t="s">
        <v>8</v>
      </c>
      <c r="ET444" s="27" t="s">
        <v>7</v>
      </c>
      <c r="EV444" s="27" t="s">
        <v>7</v>
      </c>
      <c r="EW444" s="27" t="s">
        <v>8</v>
      </c>
      <c r="EX444" s="27" t="s">
        <v>7</v>
      </c>
      <c r="EY444" s="27" t="s">
        <v>8</v>
      </c>
      <c r="FB444" s="27" t="s">
        <v>7</v>
      </c>
      <c r="FC444" s="27" t="s">
        <v>8</v>
      </c>
      <c r="FD444" s="27" t="s">
        <v>7</v>
      </c>
      <c r="FE444" s="27" t="s">
        <v>8</v>
      </c>
      <c r="FF444" s="27" t="s">
        <v>7</v>
      </c>
    </row>
    <row r="445" spans="1:221" x14ac:dyDescent="0.25">
      <c r="A445" s="7">
        <v>16.642723203463923</v>
      </c>
      <c r="B445"/>
      <c r="C445"/>
      <c r="D445"/>
      <c r="E445"/>
      <c r="CS445" s="27" t="s">
        <v>8</v>
      </c>
      <c r="CT445" s="27" t="s">
        <v>7</v>
      </c>
      <c r="CU445" s="27" t="s">
        <v>8</v>
      </c>
      <c r="CW445" s="27" t="s">
        <v>8</v>
      </c>
      <c r="CX445" s="27" t="s">
        <v>7</v>
      </c>
      <c r="CY445" s="27" t="s">
        <v>8</v>
      </c>
      <c r="CZ445" s="27" t="s">
        <v>7</v>
      </c>
      <c r="DA445" s="27" t="s">
        <v>8</v>
      </c>
      <c r="DB445" s="27" t="s">
        <v>7</v>
      </c>
      <c r="DP445" s="27" t="s">
        <v>7</v>
      </c>
      <c r="DQ445" s="27" t="s">
        <v>8</v>
      </c>
      <c r="DT445" s="27" t="s">
        <v>7</v>
      </c>
      <c r="DU445" s="27" t="s">
        <v>8</v>
      </c>
      <c r="EB445" s="27" t="s">
        <v>7</v>
      </c>
      <c r="EC445" s="27" t="s">
        <v>8</v>
      </c>
      <c r="ED445" s="27" t="s">
        <v>7</v>
      </c>
      <c r="EL445" s="27" t="s">
        <v>7</v>
      </c>
      <c r="EM445" s="27" t="s">
        <v>8</v>
      </c>
      <c r="EN445" s="27" t="s">
        <v>7</v>
      </c>
      <c r="EO445" s="27" t="s">
        <v>8</v>
      </c>
      <c r="EP445" s="27" t="s">
        <v>7</v>
      </c>
      <c r="ES445" s="27" t="s">
        <v>8</v>
      </c>
      <c r="EV445" s="27" t="s">
        <v>7</v>
      </c>
      <c r="EW445" s="27" t="s">
        <v>8</v>
      </c>
      <c r="EX445" s="27" t="s">
        <v>7</v>
      </c>
      <c r="EY445" s="27" t="s">
        <v>8</v>
      </c>
      <c r="FB445" s="27" t="s">
        <v>7</v>
      </c>
      <c r="FD445" s="27" t="s">
        <v>7</v>
      </c>
      <c r="FE445" s="27" t="s">
        <v>8</v>
      </c>
      <c r="FF445" s="27" t="s">
        <v>7</v>
      </c>
    </row>
    <row r="446" spans="1:221" x14ac:dyDescent="0.25">
      <c r="A446" s="7">
        <v>16.316395297513651</v>
      </c>
      <c r="B446"/>
      <c r="C446"/>
      <c r="D446"/>
      <c r="E446"/>
      <c r="CQ446" s="27" t="s">
        <v>8</v>
      </c>
      <c r="CS446" s="27" t="s">
        <v>8</v>
      </c>
      <c r="CT446" s="27" t="s">
        <v>7</v>
      </c>
      <c r="CU446" s="27" t="s">
        <v>8</v>
      </c>
      <c r="CV446" s="27" t="s">
        <v>7</v>
      </c>
      <c r="CW446" s="27" t="s">
        <v>8</v>
      </c>
      <c r="CX446" s="27" t="s">
        <v>7</v>
      </c>
      <c r="CY446" s="27" t="s">
        <v>8</v>
      </c>
      <c r="CZ446" s="27" t="s">
        <v>7</v>
      </c>
      <c r="DP446" s="27" t="s">
        <v>7</v>
      </c>
      <c r="DQ446" s="27" t="s">
        <v>8</v>
      </c>
      <c r="DT446" s="27" t="s">
        <v>7</v>
      </c>
      <c r="EB446" s="27" t="s">
        <v>7</v>
      </c>
      <c r="EC446" s="27" t="s">
        <v>8</v>
      </c>
      <c r="EL446" s="27" t="s">
        <v>7</v>
      </c>
      <c r="EM446" s="27" t="s">
        <v>8</v>
      </c>
      <c r="EN446" s="27" t="s">
        <v>7</v>
      </c>
      <c r="EO446" s="27" t="s">
        <v>8</v>
      </c>
      <c r="EP446" s="27" t="s">
        <v>7</v>
      </c>
      <c r="ES446" s="27" t="s">
        <v>8</v>
      </c>
      <c r="EV446" s="27" t="s">
        <v>7</v>
      </c>
      <c r="EX446" s="27" t="s">
        <v>7</v>
      </c>
      <c r="EY446" s="27" t="s">
        <v>8</v>
      </c>
      <c r="FD446" s="27" t="s">
        <v>7</v>
      </c>
      <c r="FE446" s="27" t="s">
        <v>8</v>
      </c>
      <c r="FF446" s="27" t="s">
        <v>7</v>
      </c>
    </row>
    <row r="447" spans="1:221" x14ac:dyDescent="0.25">
      <c r="A447" s="7">
        <v>15.996465977954561</v>
      </c>
      <c r="B447"/>
      <c r="C447"/>
      <c r="D447"/>
      <c r="E447"/>
      <c r="CQ447" s="27" t="s">
        <v>8</v>
      </c>
      <c r="CR447" s="27" t="s">
        <v>7</v>
      </c>
      <c r="CS447" s="27" t="s">
        <v>8</v>
      </c>
      <c r="CT447" s="27" t="s">
        <v>7</v>
      </c>
      <c r="CU447" s="27" t="s">
        <v>8</v>
      </c>
      <c r="CV447" s="27" t="s">
        <v>7</v>
      </c>
      <c r="CW447" s="27" t="s">
        <v>8</v>
      </c>
      <c r="CX447" s="27" t="s">
        <v>7</v>
      </c>
      <c r="CY447" s="27" t="s">
        <v>8</v>
      </c>
      <c r="DP447" s="27" t="s">
        <v>7</v>
      </c>
      <c r="DQ447" s="27" t="s">
        <v>8</v>
      </c>
      <c r="EB447" s="27" t="s">
        <v>7</v>
      </c>
      <c r="EC447" s="27" t="s">
        <v>8</v>
      </c>
      <c r="EL447" s="27" t="s">
        <v>7</v>
      </c>
      <c r="EM447" s="27" t="s">
        <v>8</v>
      </c>
      <c r="EN447" s="27" t="s">
        <v>7</v>
      </c>
      <c r="EO447" s="27" t="s">
        <v>8</v>
      </c>
      <c r="EP447" s="27" t="s">
        <v>7</v>
      </c>
      <c r="ES447" s="27" t="s">
        <v>8</v>
      </c>
      <c r="EX447" s="27" t="s">
        <v>7</v>
      </c>
      <c r="EY447" s="27" t="s">
        <v>8</v>
      </c>
      <c r="FD447" s="27" t="s">
        <v>7</v>
      </c>
      <c r="FE447" s="27" t="s">
        <v>8</v>
      </c>
      <c r="FF447" s="27" t="s">
        <v>7</v>
      </c>
    </row>
    <row r="448" spans="1:221" x14ac:dyDescent="0.25">
      <c r="A448" s="7">
        <v>15.682809782308393</v>
      </c>
      <c r="B448"/>
      <c r="C448"/>
      <c r="D448"/>
      <c r="E448"/>
      <c r="CQ448" s="27" t="s">
        <v>8</v>
      </c>
      <c r="CR448" s="27" t="s">
        <v>7</v>
      </c>
      <c r="CS448" s="27" t="s">
        <v>8</v>
      </c>
      <c r="CT448" s="27" t="s">
        <v>7</v>
      </c>
      <c r="CU448" s="27" t="s">
        <v>8</v>
      </c>
      <c r="CV448" s="27" t="s">
        <v>7</v>
      </c>
      <c r="CW448" s="27" t="s">
        <v>8</v>
      </c>
      <c r="CX448" s="27" t="s">
        <v>7</v>
      </c>
      <c r="CY448" s="27" t="s">
        <v>8</v>
      </c>
      <c r="DP448" s="27" t="s">
        <v>7</v>
      </c>
      <c r="DQ448" s="27" t="s">
        <v>8</v>
      </c>
      <c r="EB448" s="27" t="s">
        <v>7</v>
      </c>
      <c r="EL448" s="27" t="s">
        <v>7</v>
      </c>
      <c r="EM448" s="27" t="s">
        <v>8</v>
      </c>
      <c r="EN448" s="27" t="s">
        <v>7</v>
      </c>
      <c r="EO448" s="27" t="s">
        <v>8</v>
      </c>
      <c r="EP448" s="27" t="s">
        <v>7</v>
      </c>
      <c r="ES448" s="27" t="s">
        <v>8</v>
      </c>
      <c r="EX448" s="27" t="s">
        <v>7</v>
      </c>
      <c r="EY448" s="27" t="s">
        <v>8</v>
      </c>
      <c r="FD448" s="27" t="s">
        <v>7</v>
      </c>
      <c r="FE448" s="27" t="s">
        <v>8</v>
      </c>
      <c r="FF448" s="27" t="s">
        <v>7</v>
      </c>
      <c r="HM448" s="27" t="s">
        <v>8</v>
      </c>
    </row>
    <row r="449" spans="1:242" x14ac:dyDescent="0.25">
      <c r="A449" s="7">
        <v>15.375303708145482</v>
      </c>
      <c r="B449"/>
      <c r="C449"/>
      <c r="D449"/>
      <c r="E449"/>
      <c r="CQ449" s="27" t="s">
        <v>8</v>
      </c>
      <c r="CR449" s="27" t="s">
        <v>7</v>
      </c>
      <c r="CS449" s="27" t="s">
        <v>8</v>
      </c>
      <c r="CT449" s="27" t="s">
        <v>7</v>
      </c>
      <c r="CU449" s="27" t="s">
        <v>8</v>
      </c>
      <c r="CV449" s="27" t="s">
        <v>7</v>
      </c>
      <c r="CW449" s="27" t="s">
        <v>8</v>
      </c>
      <c r="CX449" s="27" t="s">
        <v>7</v>
      </c>
      <c r="CY449" s="27" t="s">
        <v>8</v>
      </c>
      <c r="DP449" s="27" t="s">
        <v>7</v>
      </c>
      <c r="DQ449" s="27" t="s">
        <v>8</v>
      </c>
      <c r="EL449" s="27" t="s">
        <v>7</v>
      </c>
      <c r="EM449" s="27" t="s">
        <v>8</v>
      </c>
      <c r="EN449" s="27" t="s">
        <v>7</v>
      </c>
      <c r="EO449" s="27" t="s">
        <v>8</v>
      </c>
      <c r="EP449" s="27" t="s">
        <v>7</v>
      </c>
      <c r="ES449" s="27" t="s">
        <v>8</v>
      </c>
      <c r="EX449" s="27" t="s">
        <v>7</v>
      </c>
      <c r="FD449" s="27" t="s">
        <v>7</v>
      </c>
      <c r="FE449" s="27" t="s">
        <v>8</v>
      </c>
      <c r="FF449" s="27" t="s">
        <v>7</v>
      </c>
      <c r="HM449" s="27" t="s">
        <v>8</v>
      </c>
      <c r="HN449" s="27" t="s">
        <v>7</v>
      </c>
    </row>
    <row r="450" spans="1:242" x14ac:dyDescent="0.25">
      <c r="A450" s="7">
        <v>15.073827164848511</v>
      </c>
      <c r="B450"/>
      <c r="C450"/>
      <c r="D450"/>
      <c r="E450"/>
      <c r="CQ450" s="27" t="s">
        <v>8</v>
      </c>
      <c r="CR450" s="27" t="s">
        <v>7</v>
      </c>
      <c r="CS450" s="27" t="s">
        <v>8</v>
      </c>
      <c r="CT450" s="27" t="s">
        <v>7</v>
      </c>
      <c r="CU450" s="27" t="s">
        <v>8</v>
      </c>
      <c r="CV450" s="27" t="s">
        <v>7</v>
      </c>
      <c r="CW450" s="27" t="s">
        <v>8</v>
      </c>
      <c r="CX450" s="27" t="s">
        <v>7</v>
      </c>
      <c r="CY450" s="27" t="s">
        <v>8</v>
      </c>
      <c r="DP450" s="27" t="s">
        <v>7</v>
      </c>
      <c r="DQ450" s="27" t="s">
        <v>8</v>
      </c>
      <c r="EL450" s="27" t="s">
        <v>7</v>
      </c>
      <c r="EN450" s="27" t="s">
        <v>7</v>
      </c>
      <c r="EO450" s="27" t="s">
        <v>8</v>
      </c>
      <c r="EP450" s="27" t="s">
        <v>7</v>
      </c>
      <c r="ES450" s="27" t="s">
        <v>8</v>
      </c>
      <c r="FD450" s="27" t="s">
        <v>7</v>
      </c>
      <c r="FE450" s="27" t="s">
        <v>8</v>
      </c>
      <c r="FF450" s="27" t="s">
        <v>7</v>
      </c>
      <c r="FI450" s="27" t="s">
        <v>8</v>
      </c>
      <c r="HM450" s="27" t="s">
        <v>8</v>
      </c>
      <c r="HN450" s="27" t="s">
        <v>7</v>
      </c>
    </row>
    <row r="451" spans="1:242" x14ac:dyDescent="0.25">
      <c r="A451" s="7">
        <v>14.77826192632207</v>
      </c>
      <c r="B451"/>
      <c r="C451"/>
      <c r="D451"/>
      <c r="E451"/>
      <c r="CO451" s="27" t="s">
        <v>8</v>
      </c>
      <c r="CQ451" s="27" t="s">
        <v>8</v>
      </c>
      <c r="CR451" s="27" t="s">
        <v>7</v>
      </c>
      <c r="CS451" s="27" t="s">
        <v>8</v>
      </c>
      <c r="CT451" s="27" t="s">
        <v>7</v>
      </c>
      <c r="CU451" s="27" t="s">
        <v>8</v>
      </c>
      <c r="CV451" s="27" t="s">
        <v>7</v>
      </c>
      <c r="CW451" s="27" t="s">
        <v>8</v>
      </c>
      <c r="CX451" s="27" t="s">
        <v>7</v>
      </c>
      <c r="DP451" s="27" t="s">
        <v>7</v>
      </c>
      <c r="DQ451" s="27" t="s">
        <v>8</v>
      </c>
      <c r="EN451" s="27" t="s">
        <v>7</v>
      </c>
      <c r="EP451" s="27" t="s">
        <v>7</v>
      </c>
      <c r="EQ451" s="27" t="s">
        <v>8</v>
      </c>
      <c r="ES451" s="27" t="s">
        <v>8</v>
      </c>
      <c r="FD451" s="27" t="s">
        <v>7</v>
      </c>
      <c r="FE451" s="27" t="s">
        <v>8</v>
      </c>
      <c r="FF451" s="27" t="s">
        <v>7</v>
      </c>
      <c r="FI451" s="27" t="s">
        <v>8</v>
      </c>
      <c r="FJ451" s="27" t="s">
        <v>7</v>
      </c>
      <c r="HM451" s="27" t="s">
        <v>8</v>
      </c>
      <c r="HN451" s="27" t="s">
        <v>7</v>
      </c>
    </row>
    <row r="452" spans="1:242" x14ac:dyDescent="0.25">
      <c r="A452" s="7">
        <v>14.488492084629481</v>
      </c>
      <c r="B452"/>
      <c r="C452"/>
      <c r="D452"/>
      <c r="E452"/>
      <c r="CO452" s="27" t="s">
        <v>8</v>
      </c>
      <c r="CP452" s="27" t="s">
        <v>7</v>
      </c>
      <c r="CQ452" s="27" t="s">
        <v>8</v>
      </c>
      <c r="CR452" s="27" t="s">
        <v>7</v>
      </c>
      <c r="CS452" s="27" t="s">
        <v>8</v>
      </c>
      <c r="CT452" s="27" t="s">
        <v>7</v>
      </c>
      <c r="CV452" s="27" t="s">
        <v>7</v>
      </c>
      <c r="CW452" s="27" t="s">
        <v>8</v>
      </c>
      <c r="DP452" s="27" t="s">
        <v>7</v>
      </c>
      <c r="DQ452" s="27" t="s">
        <v>8</v>
      </c>
      <c r="EP452" s="27" t="s">
        <v>7</v>
      </c>
      <c r="EQ452" s="27" t="s">
        <v>8</v>
      </c>
      <c r="ER452" s="27" t="s">
        <v>7</v>
      </c>
      <c r="ES452" s="27" t="s">
        <v>8</v>
      </c>
      <c r="FD452" s="27" t="s">
        <v>7</v>
      </c>
      <c r="FE452" s="27" t="s">
        <v>8</v>
      </c>
      <c r="FF452" s="27" t="s">
        <v>7</v>
      </c>
      <c r="FG452" s="27" t="s">
        <v>8</v>
      </c>
      <c r="FI452" s="27" t="s">
        <v>8</v>
      </c>
      <c r="FJ452" s="27" t="s">
        <v>7</v>
      </c>
      <c r="HA452" s="27" t="s">
        <v>8</v>
      </c>
      <c r="HM452" s="27" t="s">
        <v>8</v>
      </c>
      <c r="HN452" s="27" t="s">
        <v>7</v>
      </c>
    </row>
    <row r="453" spans="1:242" x14ac:dyDescent="0.25">
      <c r="A453" s="7">
        <v>14.204404004538707</v>
      </c>
      <c r="B453"/>
      <c r="C453"/>
      <c r="D453"/>
      <c r="E453"/>
      <c r="CO453" s="27" t="s">
        <v>8</v>
      </c>
      <c r="CP453" s="27" t="s">
        <v>7</v>
      </c>
      <c r="CQ453" s="27" t="s">
        <v>8</v>
      </c>
      <c r="CR453" s="27" t="s">
        <v>7</v>
      </c>
      <c r="CS453" s="27" t="s">
        <v>8</v>
      </c>
      <c r="CV453" s="27" t="s">
        <v>7</v>
      </c>
      <c r="CW453" s="27" t="s">
        <v>8</v>
      </c>
      <c r="DP453" s="27" t="s">
        <v>7</v>
      </c>
      <c r="DQ453" s="27" t="s">
        <v>8</v>
      </c>
      <c r="EP453" s="27" t="s">
        <v>7</v>
      </c>
      <c r="EQ453" s="27" t="s">
        <v>8</v>
      </c>
      <c r="ER453" s="27" t="s">
        <v>7</v>
      </c>
      <c r="ES453" s="27" t="s">
        <v>8</v>
      </c>
      <c r="FD453" s="27" t="s">
        <v>7</v>
      </c>
      <c r="FE453" s="27" t="s">
        <v>8</v>
      </c>
      <c r="FF453" s="27" t="s">
        <v>7</v>
      </c>
      <c r="FG453" s="27" t="s">
        <v>8</v>
      </c>
      <c r="FH453" s="27" t="s">
        <v>7</v>
      </c>
      <c r="FI453" s="27" t="s">
        <v>8</v>
      </c>
      <c r="FJ453" s="27" t="s">
        <v>7</v>
      </c>
      <c r="HA453" s="27" t="s">
        <v>8</v>
      </c>
      <c r="HB453" s="27" t="s">
        <v>7</v>
      </c>
      <c r="HC453" s="27" t="s">
        <v>8</v>
      </c>
      <c r="HI453" s="27" t="s">
        <v>8</v>
      </c>
      <c r="HM453" s="27" t="s">
        <v>8</v>
      </c>
      <c r="HN453" s="27" t="s">
        <v>7</v>
      </c>
    </row>
    <row r="454" spans="1:242" x14ac:dyDescent="0.25">
      <c r="A454" s="7">
        <v>13.925886278959517</v>
      </c>
      <c r="B454"/>
      <c r="C454"/>
      <c r="D454"/>
      <c r="E454"/>
      <c r="CO454" s="27" t="s">
        <v>8</v>
      </c>
      <c r="CP454" s="27" t="s">
        <v>7</v>
      </c>
      <c r="CQ454" s="27" t="s">
        <v>8</v>
      </c>
      <c r="CR454" s="27" t="s">
        <v>7</v>
      </c>
      <c r="CS454" s="27" t="s">
        <v>8</v>
      </c>
      <c r="CV454" s="27" t="s">
        <v>7</v>
      </c>
      <c r="CW454" s="27" t="s">
        <v>8</v>
      </c>
      <c r="DP454" s="27" t="s">
        <v>7</v>
      </c>
      <c r="EP454" s="27" t="s">
        <v>7</v>
      </c>
      <c r="EQ454" s="27" t="s">
        <v>8</v>
      </c>
      <c r="ER454" s="27" t="s">
        <v>7</v>
      </c>
      <c r="ES454" s="27" t="s">
        <v>8</v>
      </c>
      <c r="FD454" s="27" t="s">
        <v>7</v>
      </c>
      <c r="FE454" s="27" t="s">
        <v>8</v>
      </c>
      <c r="FF454" s="27" t="s">
        <v>7</v>
      </c>
      <c r="FG454" s="27" t="s">
        <v>8</v>
      </c>
      <c r="FH454" s="27" t="s">
        <v>7</v>
      </c>
      <c r="FI454" s="27" t="s">
        <v>8</v>
      </c>
      <c r="FJ454" s="27" t="s">
        <v>7</v>
      </c>
      <c r="FM454" s="27" t="s">
        <v>8</v>
      </c>
      <c r="HA454" s="27" t="s">
        <v>8</v>
      </c>
      <c r="HB454" s="27" t="s">
        <v>7</v>
      </c>
      <c r="HC454" s="27" t="s">
        <v>8</v>
      </c>
      <c r="HD454" s="27" t="s">
        <v>7</v>
      </c>
      <c r="HI454" s="27" t="s">
        <v>8</v>
      </c>
      <c r="HJ454" s="27" t="s">
        <v>7</v>
      </c>
      <c r="HM454" s="27" t="s">
        <v>8</v>
      </c>
      <c r="HN454" s="27" t="s">
        <v>7</v>
      </c>
    </row>
    <row r="455" spans="1:242" x14ac:dyDescent="0.25">
      <c r="A455" s="7">
        <v>13.652829685254428</v>
      </c>
      <c r="B455"/>
      <c r="C455"/>
      <c r="D455"/>
      <c r="E455"/>
      <c r="CO455" s="27" t="s">
        <v>8</v>
      </c>
      <c r="CP455" s="27" t="s">
        <v>7</v>
      </c>
      <c r="CQ455" s="27" t="s">
        <v>8</v>
      </c>
      <c r="CR455" s="27" t="s">
        <v>7</v>
      </c>
      <c r="CS455" s="27" t="s">
        <v>8</v>
      </c>
      <c r="CV455" s="27" t="s">
        <v>7</v>
      </c>
      <c r="CW455" s="27" t="s">
        <v>8</v>
      </c>
      <c r="EP455" s="27" t="s">
        <v>7</v>
      </c>
      <c r="EQ455" s="27" t="s">
        <v>8</v>
      </c>
      <c r="ER455" s="27" t="s">
        <v>7</v>
      </c>
      <c r="ES455" s="27" t="s">
        <v>8</v>
      </c>
      <c r="FD455" s="27" t="s">
        <v>7</v>
      </c>
      <c r="FE455" s="27" t="s">
        <v>8</v>
      </c>
      <c r="FF455" s="27" t="s">
        <v>7</v>
      </c>
      <c r="FG455" s="27" t="s">
        <v>8</v>
      </c>
      <c r="FH455" s="27" t="s">
        <v>7</v>
      </c>
      <c r="FI455" s="27" t="s">
        <v>8</v>
      </c>
      <c r="FJ455" s="27" t="s">
        <v>7</v>
      </c>
      <c r="FM455" s="27" t="s">
        <v>8</v>
      </c>
      <c r="FN455" s="27" t="s">
        <v>7</v>
      </c>
      <c r="HA455" s="27" t="s">
        <v>8</v>
      </c>
      <c r="HB455" s="27" t="s">
        <v>7</v>
      </c>
      <c r="HC455" s="27" t="s">
        <v>8</v>
      </c>
      <c r="HD455" s="27" t="s">
        <v>7</v>
      </c>
      <c r="HI455" s="27" t="s">
        <v>8</v>
      </c>
      <c r="HJ455" s="27" t="s">
        <v>7</v>
      </c>
      <c r="HM455" s="27" t="s">
        <v>8</v>
      </c>
      <c r="HN455" s="27" t="s">
        <v>7</v>
      </c>
    </row>
    <row r="456" spans="1:242" x14ac:dyDescent="0.25">
      <c r="A456" s="7">
        <v>13.385127142406303</v>
      </c>
      <c r="B456"/>
      <c r="C456"/>
      <c r="D456"/>
      <c r="E456"/>
      <c r="CO456" s="27" t="s">
        <v>8</v>
      </c>
      <c r="CP456" s="27" t="s">
        <v>7</v>
      </c>
      <c r="CQ456" s="27" t="s">
        <v>8</v>
      </c>
      <c r="CR456" s="27" t="s">
        <v>7</v>
      </c>
      <c r="CV456" s="27" t="s">
        <v>7</v>
      </c>
      <c r="CW456" s="27" t="s">
        <v>8</v>
      </c>
      <c r="EP456" s="27" t="s">
        <v>7</v>
      </c>
      <c r="EQ456" s="27" t="s">
        <v>8</v>
      </c>
      <c r="ER456" s="27" t="s">
        <v>7</v>
      </c>
      <c r="FD456" s="27" t="s">
        <v>7</v>
      </c>
      <c r="FE456" s="27" t="s">
        <v>8</v>
      </c>
      <c r="FF456" s="27" t="s">
        <v>7</v>
      </c>
      <c r="FG456" s="27" t="s">
        <v>8</v>
      </c>
      <c r="FH456" s="27" t="s">
        <v>7</v>
      </c>
      <c r="FI456" s="27" t="s">
        <v>8</v>
      </c>
      <c r="FJ456" s="27" t="s">
        <v>7</v>
      </c>
      <c r="FK456" s="27" t="s">
        <v>8</v>
      </c>
      <c r="FM456" s="27" t="s">
        <v>8</v>
      </c>
      <c r="FN456" s="27" t="s">
        <v>7</v>
      </c>
      <c r="GE456" s="27" t="s">
        <v>8</v>
      </c>
      <c r="GY456" s="27" t="s">
        <v>8</v>
      </c>
      <c r="HA456" s="27" t="s">
        <v>8</v>
      </c>
      <c r="HB456" s="27" t="s">
        <v>7</v>
      </c>
      <c r="HC456" s="27" t="s">
        <v>8</v>
      </c>
      <c r="HD456" s="27" t="s">
        <v>7</v>
      </c>
      <c r="HI456" s="27" t="s">
        <v>8</v>
      </c>
      <c r="HJ456" s="27" t="s">
        <v>7</v>
      </c>
      <c r="HM456" s="27" t="s">
        <v>8</v>
      </c>
      <c r="HN456" s="27" t="s">
        <v>7</v>
      </c>
    </row>
    <row r="457" spans="1:242" x14ac:dyDescent="0.25">
      <c r="A457" s="7">
        <v>13.122673669025787</v>
      </c>
      <c r="B457"/>
      <c r="C457"/>
      <c r="D457"/>
      <c r="E457"/>
      <c r="CM457" s="27" t="s">
        <v>8</v>
      </c>
      <c r="CO457" s="27" t="s">
        <v>8</v>
      </c>
      <c r="CP457" s="27" t="s">
        <v>7</v>
      </c>
      <c r="CQ457" s="27" t="s">
        <v>8</v>
      </c>
      <c r="CV457" s="27" t="s">
        <v>7</v>
      </c>
      <c r="CW457" s="27" t="s">
        <v>8</v>
      </c>
      <c r="EP457" s="27" t="s">
        <v>7</v>
      </c>
      <c r="FD457" s="27" t="s">
        <v>7</v>
      </c>
      <c r="FE457" s="27" t="s">
        <v>8</v>
      </c>
      <c r="FF457" s="27" t="s">
        <v>7</v>
      </c>
      <c r="FG457" s="27" t="s">
        <v>8</v>
      </c>
      <c r="FH457" s="27" t="s">
        <v>7</v>
      </c>
      <c r="FI457" s="27" t="s">
        <v>8</v>
      </c>
      <c r="FJ457" s="27" t="s">
        <v>7</v>
      </c>
      <c r="FK457" s="27" t="s">
        <v>8</v>
      </c>
      <c r="FL457" s="27" t="s">
        <v>7</v>
      </c>
      <c r="FM457" s="27" t="s">
        <v>8</v>
      </c>
      <c r="FN457" s="27" t="s">
        <v>7</v>
      </c>
      <c r="GE457" s="27" t="s">
        <v>8</v>
      </c>
      <c r="GF457" s="27" t="s">
        <v>7</v>
      </c>
      <c r="GY457" s="27" t="s">
        <v>8</v>
      </c>
      <c r="GZ457" s="27" t="s">
        <v>7</v>
      </c>
      <c r="HA457" s="27" t="s">
        <v>8</v>
      </c>
      <c r="HB457" s="27" t="s">
        <v>7</v>
      </c>
      <c r="HD457" s="27" t="s">
        <v>7</v>
      </c>
      <c r="HI457" s="27" t="s">
        <v>8</v>
      </c>
      <c r="HJ457" s="27" t="s">
        <v>7</v>
      </c>
      <c r="HM457" s="27" t="s">
        <v>8</v>
      </c>
      <c r="HN457" s="27" t="s">
        <v>7</v>
      </c>
    </row>
    <row r="458" spans="1:242" x14ac:dyDescent="0.25">
      <c r="A458" s="7">
        <v>12.865366342182144</v>
      </c>
      <c r="B458"/>
      <c r="C458"/>
      <c r="D458"/>
      <c r="E458"/>
      <c r="CM458" s="27" t="s">
        <v>8</v>
      </c>
      <c r="CN458" s="27" t="s">
        <v>7</v>
      </c>
      <c r="CO458" s="27" t="s">
        <v>8</v>
      </c>
      <c r="CP458" s="27" t="s">
        <v>7</v>
      </c>
      <c r="CQ458" s="27" t="s">
        <v>8</v>
      </c>
      <c r="CV458" s="27" t="s">
        <v>7</v>
      </c>
      <c r="CW458" s="27" t="s">
        <v>8</v>
      </c>
      <c r="FD458" s="27" t="s">
        <v>7</v>
      </c>
      <c r="FE458" s="27" t="s">
        <v>8</v>
      </c>
      <c r="FF458" s="27" t="s">
        <v>7</v>
      </c>
      <c r="FG458" s="27" t="s">
        <v>8</v>
      </c>
      <c r="FH458" s="27" t="s">
        <v>7</v>
      </c>
      <c r="FI458" s="27" t="s">
        <v>8</v>
      </c>
      <c r="FJ458" s="27" t="s">
        <v>7</v>
      </c>
      <c r="FK458" s="27" t="s">
        <v>8</v>
      </c>
      <c r="FL458" s="27" t="s">
        <v>7</v>
      </c>
      <c r="FM458" s="27" t="s">
        <v>8</v>
      </c>
      <c r="FN458" s="27" t="s">
        <v>7</v>
      </c>
      <c r="GE458" s="27" t="s">
        <v>8</v>
      </c>
      <c r="GF458" s="27" t="s">
        <v>7</v>
      </c>
      <c r="GY458" s="27" t="s">
        <v>8</v>
      </c>
      <c r="GZ458" s="27" t="s">
        <v>7</v>
      </c>
      <c r="HA458" s="27" t="s">
        <v>8</v>
      </c>
      <c r="HD458" s="27" t="s">
        <v>7</v>
      </c>
      <c r="HG458" s="27" t="s">
        <v>8</v>
      </c>
      <c r="HI458" s="27" t="s">
        <v>8</v>
      </c>
      <c r="HJ458" s="27" t="s">
        <v>7</v>
      </c>
      <c r="HM458" s="27" t="s">
        <v>8</v>
      </c>
      <c r="HN458" s="27" t="s">
        <v>7</v>
      </c>
    </row>
    <row r="459" spans="1:242" x14ac:dyDescent="0.25">
      <c r="A459" s="7">
        <v>12.613104257041318</v>
      </c>
      <c r="B459"/>
      <c r="C459"/>
      <c r="D459"/>
      <c r="E459"/>
      <c r="CM459" s="27" t="s">
        <v>8</v>
      </c>
      <c r="CN459" s="27" t="s">
        <v>7</v>
      </c>
      <c r="CO459" s="27" t="s">
        <v>8</v>
      </c>
      <c r="CP459" s="27" t="s">
        <v>7</v>
      </c>
      <c r="CQ459" s="27" t="s">
        <v>8</v>
      </c>
      <c r="CV459" s="27" t="s">
        <v>7</v>
      </c>
      <c r="CW459" s="27" t="s">
        <v>8</v>
      </c>
      <c r="FD459" s="27" t="s">
        <v>7</v>
      </c>
      <c r="FE459" s="27" t="s">
        <v>8</v>
      </c>
      <c r="FF459" s="27" t="s">
        <v>7</v>
      </c>
      <c r="FG459" s="27" t="s">
        <v>8</v>
      </c>
      <c r="FH459" s="27" t="s">
        <v>7</v>
      </c>
      <c r="FI459" s="27" t="s">
        <v>8</v>
      </c>
      <c r="FJ459" s="27" t="s">
        <v>7</v>
      </c>
      <c r="FK459" s="27" t="s">
        <v>8</v>
      </c>
      <c r="FL459" s="27" t="s">
        <v>7</v>
      </c>
      <c r="FM459" s="27" t="s">
        <v>8</v>
      </c>
      <c r="FN459" s="27" t="s">
        <v>7</v>
      </c>
      <c r="GC459" s="27" t="s">
        <v>8</v>
      </c>
      <c r="GE459" s="27" t="s">
        <v>8</v>
      </c>
      <c r="GF459" s="27" t="s">
        <v>7</v>
      </c>
      <c r="GY459" s="27" t="s">
        <v>8</v>
      </c>
      <c r="GZ459" s="27" t="s">
        <v>7</v>
      </c>
      <c r="HA459" s="27" t="s">
        <v>8</v>
      </c>
      <c r="HD459" s="27" t="s">
        <v>7</v>
      </c>
      <c r="HG459" s="27" t="s">
        <v>8</v>
      </c>
      <c r="HH459" s="27" t="s">
        <v>7</v>
      </c>
      <c r="HI459" s="27" t="s">
        <v>8</v>
      </c>
      <c r="HJ459" s="27" t="s">
        <v>7</v>
      </c>
      <c r="HM459" s="27" t="s">
        <v>8</v>
      </c>
      <c r="HN459" s="27" t="s">
        <v>7</v>
      </c>
    </row>
    <row r="460" spans="1:242" x14ac:dyDescent="0.25">
      <c r="A460" s="7">
        <v>12.36578848729541</v>
      </c>
      <c r="B460"/>
      <c r="C460"/>
      <c r="D460"/>
      <c r="E460"/>
      <c r="CM460" s="27" t="s">
        <v>8</v>
      </c>
      <c r="CN460" s="27" t="s">
        <v>7</v>
      </c>
      <c r="CO460" s="27" t="s">
        <v>8</v>
      </c>
      <c r="CP460" s="27" t="s">
        <v>7</v>
      </c>
      <c r="CQ460" s="27" t="s">
        <v>8</v>
      </c>
      <c r="CV460" s="27" t="s">
        <v>7</v>
      </c>
      <c r="CW460" s="27" t="s">
        <v>8</v>
      </c>
      <c r="FD460" s="27" t="s">
        <v>7</v>
      </c>
      <c r="FE460" s="27" t="s">
        <v>8</v>
      </c>
      <c r="FF460" s="27" t="s">
        <v>7</v>
      </c>
      <c r="FG460" s="27" t="s">
        <v>8</v>
      </c>
      <c r="FH460" s="27" t="s">
        <v>7</v>
      </c>
      <c r="FI460" s="27" t="s">
        <v>8</v>
      </c>
      <c r="FJ460" s="27" t="s">
        <v>7</v>
      </c>
      <c r="FK460" s="27" t="s">
        <v>8</v>
      </c>
      <c r="FL460" s="27" t="s">
        <v>7</v>
      </c>
      <c r="FN460" s="27" t="s">
        <v>7</v>
      </c>
      <c r="GC460" s="27" t="s">
        <v>8</v>
      </c>
      <c r="GD460" s="27" t="s">
        <v>7</v>
      </c>
      <c r="GE460" s="27" t="s">
        <v>8</v>
      </c>
      <c r="GF460" s="27" t="s">
        <v>7</v>
      </c>
      <c r="GY460" s="27" t="s">
        <v>8</v>
      </c>
      <c r="GZ460" s="27" t="s">
        <v>7</v>
      </c>
      <c r="HA460" s="27" t="s">
        <v>8</v>
      </c>
      <c r="HD460" s="27" t="s">
        <v>7</v>
      </c>
      <c r="HE460" s="27" t="s">
        <v>8</v>
      </c>
      <c r="HG460" s="27" t="s">
        <v>8</v>
      </c>
      <c r="HH460" s="27" t="s">
        <v>7</v>
      </c>
      <c r="HI460" s="27" t="s">
        <v>8</v>
      </c>
      <c r="HJ460" s="27" t="s">
        <v>7</v>
      </c>
      <c r="HM460" s="27" t="s">
        <v>8</v>
      </c>
      <c r="HN460" s="27" t="s">
        <v>7</v>
      </c>
    </row>
    <row r="461" spans="1:242" x14ac:dyDescent="0.25">
      <c r="A461" s="7">
        <v>12.123322046368049</v>
      </c>
      <c r="B461"/>
      <c r="C461"/>
      <c r="D461"/>
      <c r="E461"/>
      <c r="CM461" s="27" t="s">
        <v>8</v>
      </c>
      <c r="CN461" s="27" t="s">
        <v>7</v>
      </c>
      <c r="CO461" s="27" t="s">
        <v>8</v>
      </c>
      <c r="CP461" s="27" t="s">
        <v>7</v>
      </c>
      <c r="CQ461" s="27" t="s">
        <v>8</v>
      </c>
      <c r="CV461" s="27" t="s">
        <v>7</v>
      </c>
      <c r="CW461" s="27" t="s">
        <v>8</v>
      </c>
      <c r="FD461" s="27" t="s">
        <v>7</v>
      </c>
      <c r="FE461" s="27" t="s">
        <v>8</v>
      </c>
      <c r="FF461" s="27" t="s">
        <v>7</v>
      </c>
      <c r="FG461" s="27" t="s">
        <v>8</v>
      </c>
      <c r="FH461" s="27" t="s">
        <v>7</v>
      </c>
      <c r="FJ461" s="27" t="s">
        <v>7</v>
      </c>
      <c r="FK461" s="27" t="s">
        <v>8</v>
      </c>
      <c r="FN461" s="27" t="s">
        <v>7</v>
      </c>
      <c r="FO461" s="27" t="s">
        <v>8</v>
      </c>
      <c r="GC461" s="27" t="s">
        <v>8</v>
      </c>
      <c r="GD461" s="27" t="s">
        <v>7</v>
      </c>
      <c r="GE461" s="27" t="s">
        <v>8</v>
      </c>
      <c r="GF461" s="27" t="s">
        <v>7</v>
      </c>
      <c r="GY461" s="27" t="s">
        <v>8</v>
      </c>
      <c r="GZ461" s="27" t="s">
        <v>7</v>
      </c>
      <c r="HA461" s="27" t="s">
        <v>8</v>
      </c>
      <c r="HD461" s="27" t="s">
        <v>7</v>
      </c>
      <c r="HE461" s="27" t="s">
        <v>8</v>
      </c>
      <c r="HF461" s="27" t="s">
        <v>7</v>
      </c>
      <c r="HG461" s="27" t="s">
        <v>8</v>
      </c>
      <c r="HH461" s="27" t="s">
        <v>7</v>
      </c>
      <c r="HJ461" s="27" t="s">
        <v>7</v>
      </c>
      <c r="HM461" s="27" t="s">
        <v>8</v>
      </c>
      <c r="HN461" s="27" t="s">
        <v>7</v>
      </c>
    </row>
    <row r="462" spans="1:242" x14ac:dyDescent="0.25">
      <c r="A462" s="7">
        <v>11.88560984938044</v>
      </c>
      <c r="B462"/>
      <c r="C462"/>
      <c r="D462"/>
      <c r="E462"/>
      <c r="CM462" s="27" t="s">
        <v>8</v>
      </c>
      <c r="CN462" s="27" t="s">
        <v>7</v>
      </c>
      <c r="CO462" s="27" t="s">
        <v>8</v>
      </c>
      <c r="CP462" s="27" t="s">
        <v>7</v>
      </c>
      <c r="CQ462" s="27" t="s">
        <v>8</v>
      </c>
      <c r="CV462" s="27" t="s">
        <v>7</v>
      </c>
      <c r="CW462" s="27" t="s">
        <v>8</v>
      </c>
      <c r="FD462" s="27" t="s">
        <v>7</v>
      </c>
      <c r="FE462" s="27" t="s">
        <v>8</v>
      </c>
      <c r="FF462" s="27" t="s">
        <v>7</v>
      </c>
      <c r="FG462" s="27" t="s">
        <v>8</v>
      </c>
      <c r="FJ462" s="27" t="s">
        <v>7</v>
      </c>
      <c r="FK462" s="27" t="s">
        <v>8</v>
      </c>
      <c r="FN462" s="27" t="s">
        <v>7</v>
      </c>
      <c r="FO462" s="27" t="s">
        <v>8</v>
      </c>
      <c r="FP462" s="27" t="s">
        <v>7</v>
      </c>
      <c r="GC462" s="27" t="s">
        <v>8</v>
      </c>
      <c r="GD462" s="27" t="s">
        <v>7</v>
      </c>
      <c r="GE462" s="27" t="s">
        <v>8</v>
      </c>
      <c r="GF462" s="27" t="s">
        <v>7</v>
      </c>
      <c r="GY462" s="27" t="s">
        <v>8</v>
      </c>
      <c r="GZ462" s="27" t="s">
        <v>7</v>
      </c>
      <c r="HA462" s="27" t="s">
        <v>8</v>
      </c>
      <c r="HD462" s="27" t="s">
        <v>7</v>
      </c>
      <c r="HE462" s="27" t="s">
        <v>8</v>
      </c>
      <c r="HF462" s="27" t="s">
        <v>7</v>
      </c>
      <c r="HG462" s="27" t="s">
        <v>8</v>
      </c>
      <c r="HJ462" s="27" t="s">
        <v>7</v>
      </c>
      <c r="HM462" s="27" t="s">
        <v>8</v>
      </c>
      <c r="HN462" s="27" t="s">
        <v>7</v>
      </c>
      <c r="HO462" s="27" t="s">
        <v>8</v>
      </c>
    </row>
    <row r="463" spans="1:242" x14ac:dyDescent="0.25">
      <c r="A463" s="7">
        <v>11.652558675863176</v>
      </c>
      <c r="B463"/>
      <c r="C463"/>
      <c r="D463"/>
      <c r="E463"/>
      <c r="CM463" s="27" t="s">
        <v>8</v>
      </c>
      <c r="CN463" s="27" t="s">
        <v>7</v>
      </c>
      <c r="CO463" s="27" t="s">
        <v>8</v>
      </c>
      <c r="CP463" s="27" t="s">
        <v>7</v>
      </c>
      <c r="CQ463" s="27" t="s">
        <v>8</v>
      </c>
      <c r="CV463" s="27" t="s">
        <v>7</v>
      </c>
      <c r="CW463" s="27" t="s">
        <v>8</v>
      </c>
      <c r="FD463" s="27" t="s">
        <v>7</v>
      </c>
      <c r="FE463" s="27" t="s">
        <v>8</v>
      </c>
      <c r="FF463" s="27" t="s">
        <v>7</v>
      </c>
      <c r="FG463" s="27" t="s">
        <v>8</v>
      </c>
      <c r="FJ463" s="27" t="s">
        <v>7</v>
      </c>
      <c r="FK463" s="27" t="s">
        <v>8</v>
      </c>
      <c r="FN463" s="27" t="s">
        <v>7</v>
      </c>
      <c r="FO463" s="27" t="s">
        <v>8</v>
      </c>
      <c r="FP463" s="27" t="s">
        <v>7</v>
      </c>
      <c r="GC463" s="27" t="s">
        <v>8</v>
      </c>
      <c r="GD463" s="27" t="s">
        <v>7</v>
      </c>
      <c r="GE463" s="27" t="s">
        <v>8</v>
      </c>
      <c r="GF463" s="27" t="s">
        <v>7</v>
      </c>
      <c r="GY463" s="27" t="s">
        <v>8</v>
      </c>
      <c r="GZ463" s="27" t="s">
        <v>7</v>
      </c>
      <c r="HA463" s="27" t="s">
        <v>8</v>
      </c>
      <c r="HD463" s="27" t="s">
        <v>7</v>
      </c>
      <c r="HE463" s="27" t="s">
        <v>8</v>
      </c>
      <c r="HF463" s="27" t="s">
        <v>7</v>
      </c>
      <c r="HG463" s="27" t="s">
        <v>8</v>
      </c>
      <c r="HJ463" s="27" t="s">
        <v>7</v>
      </c>
      <c r="HK463" s="27" t="s">
        <v>8</v>
      </c>
      <c r="HM463" s="27" t="s">
        <v>8</v>
      </c>
      <c r="HN463" s="27" t="s">
        <v>7</v>
      </c>
      <c r="HO463" s="27" t="s">
        <v>8</v>
      </c>
      <c r="HP463" s="27" t="s">
        <v>7</v>
      </c>
      <c r="IG463" s="27" t="s">
        <v>8</v>
      </c>
    </row>
    <row r="464" spans="1:242" x14ac:dyDescent="0.25">
      <c r="A464" s="7">
        <v>11.424077133199193</v>
      </c>
      <c r="B464"/>
      <c r="C464"/>
      <c r="D464"/>
      <c r="E464"/>
      <c r="CM464" s="27" t="s">
        <v>8</v>
      </c>
      <c r="CN464" s="27" t="s">
        <v>7</v>
      </c>
      <c r="CO464" s="27" t="s">
        <v>8</v>
      </c>
      <c r="CP464" s="27" t="s">
        <v>7</v>
      </c>
      <c r="CQ464" s="27" t="s">
        <v>8</v>
      </c>
      <c r="CV464" s="27" t="s">
        <v>7</v>
      </c>
      <c r="FD464" s="27" t="s">
        <v>7</v>
      </c>
      <c r="FE464" s="27" t="s">
        <v>8</v>
      </c>
      <c r="FF464" s="27" t="s">
        <v>7</v>
      </c>
      <c r="FG464" s="27" t="s">
        <v>8</v>
      </c>
      <c r="FJ464" s="27" t="s">
        <v>7</v>
      </c>
      <c r="FK464" s="27" t="s">
        <v>8</v>
      </c>
      <c r="FN464" s="27" t="s">
        <v>7</v>
      </c>
      <c r="FP464" s="27" t="s">
        <v>7</v>
      </c>
      <c r="GC464" s="27" t="s">
        <v>8</v>
      </c>
      <c r="GD464" s="27" t="s">
        <v>7</v>
      </c>
      <c r="GE464" s="27" t="s">
        <v>8</v>
      </c>
      <c r="GF464" s="27" t="s">
        <v>7</v>
      </c>
      <c r="GW464" s="27" t="s">
        <v>8</v>
      </c>
      <c r="GY464" s="27" t="s">
        <v>8</v>
      </c>
      <c r="GZ464" s="27" t="s">
        <v>7</v>
      </c>
      <c r="HA464" s="27" t="s">
        <v>8</v>
      </c>
      <c r="HD464" s="27" t="s">
        <v>7</v>
      </c>
      <c r="HE464" s="27" t="s">
        <v>8</v>
      </c>
      <c r="HF464" s="27" t="s">
        <v>7</v>
      </c>
      <c r="HG464" s="27" t="s">
        <v>8</v>
      </c>
      <c r="HJ464" s="27" t="s">
        <v>7</v>
      </c>
      <c r="HK464" s="27" t="s">
        <v>8</v>
      </c>
      <c r="HL464" s="27" t="s">
        <v>7</v>
      </c>
      <c r="HM464" s="27" t="s">
        <v>8</v>
      </c>
      <c r="HN464" s="27" t="s">
        <v>7</v>
      </c>
      <c r="HO464" s="27" t="s">
        <v>8</v>
      </c>
      <c r="HP464" s="27" t="s">
        <v>7</v>
      </c>
      <c r="HU464" s="27" t="s">
        <v>8</v>
      </c>
      <c r="IG464" s="27" t="s">
        <v>8</v>
      </c>
      <c r="IH464" s="27" t="s">
        <v>7</v>
      </c>
    </row>
    <row r="465" spans="1:252" x14ac:dyDescent="0.25">
      <c r="A465" s="7">
        <v>11.200075620783522</v>
      </c>
      <c r="B465"/>
      <c r="C465"/>
      <c r="D465"/>
      <c r="E465"/>
      <c r="CM465" s="27" t="s">
        <v>8</v>
      </c>
      <c r="CN465" s="27" t="s">
        <v>7</v>
      </c>
      <c r="CO465" s="27" t="s">
        <v>8</v>
      </c>
      <c r="CP465" s="27" t="s">
        <v>7</v>
      </c>
      <c r="CQ465" s="27" t="s">
        <v>8</v>
      </c>
      <c r="FD465" s="27" t="s">
        <v>7</v>
      </c>
      <c r="FE465" s="27" t="s">
        <v>8</v>
      </c>
      <c r="FF465" s="27" t="s">
        <v>7</v>
      </c>
      <c r="FG465" s="27" t="s">
        <v>8</v>
      </c>
      <c r="FJ465" s="27" t="s">
        <v>7</v>
      </c>
      <c r="FK465" s="27" t="s">
        <v>8</v>
      </c>
      <c r="FP465" s="27" t="s">
        <v>7</v>
      </c>
      <c r="GC465" s="27" t="s">
        <v>8</v>
      </c>
      <c r="GD465" s="27" t="s">
        <v>7</v>
      </c>
      <c r="GE465" s="27" t="s">
        <v>8</v>
      </c>
      <c r="GF465" s="27" t="s">
        <v>7</v>
      </c>
      <c r="GW465" s="27" t="s">
        <v>8</v>
      </c>
      <c r="GX465" s="27" t="s">
        <v>7</v>
      </c>
      <c r="GY465" s="27" t="s">
        <v>8</v>
      </c>
      <c r="GZ465" s="27" t="s">
        <v>7</v>
      </c>
      <c r="HA465" s="27" t="s">
        <v>8</v>
      </c>
      <c r="HD465" s="27" t="s">
        <v>7</v>
      </c>
      <c r="HF465" s="27" t="s">
        <v>7</v>
      </c>
      <c r="HG465" s="27" t="s">
        <v>8</v>
      </c>
      <c r="HJ465" s="27" t="s">
        <v>7</v>
      </c>
      <c r="HK465" s="27" t="s">
        <v>8</v>
      </c>
      <c r="HL465" s="27" t="s">
        <v>7</v>
      </c>
      <c r="HM465" s="27" t="s">
        <v>8</v>
      </c>
      <c r="HN465" s="27" t="s">
        <v>7</v>
      </c>
      <c r="HO465" s="27" t="s">
        <v>8</v>
      </c>
      <c r="HP465" s="27" t="s">
        <v>7</v>
      </c>
      <c r="HU465" s="27" t="s">
        <v>8</v>
      </c>
      <c r="HV465" s="27" t="s">
        <v>7</v>
      </c>
      <c r="IG465" s="27" t="s">
        <v>8</v>
      </c>
      <c r="IH465" s="27" t="s">
        <v>7</v>
      </c>
    </row>
    <row r="466" spans="1:252" x14ac:dyDescent="0.25">
      <c r="A466" s="7">
        <v>10.980466294885806</v>
      </c>
      <c r="B466"/>
      <c r="C466"/>
      <c r="D466"/>
      <c r="E466"/>
      <c r="CM466" s="27" t="s">
        <v>8</v>
      </c>
      <c r="CN466" s="27" t="s">
        <v>7</v>
      </c>
      <c r="CO466" s="27" t="s">
        <v>8</v>
      </c>
      <c r="CP466" s="27" t="s">
        <v>7</v>
      </c>
      <c r="CQ466" s="27" t="s">
        <v>8</v>
      </c>
      <c r="FD466" s="27" t="s">
        <v>7</v>
      </c>
      <c r="FE466" s="27" t="s">
        <v>8</v>
      </c>
      <c r="FF466" s="27" t="s">
        <v>7</v>
      </c>
      <c r="FG466" s="27" t="s">
        <v>8</v>
      </c>
      <c r="FJ466" s="27" t="s">
        <v>7</v>
      </c>
      <c r="FK466" s="27" t="s">
        <v>8</v>
      </c>
      <c r="FP466" s="27" t="s">
        <v>7</v>
      </c>
      <c r="GC466" s="27" t="s">
        <v>8</v>
      </c>
      <c r="GD466" s="27" t="s">
        <v>7</v>
      </c>
      <c r="GE466" s="27" t="s">
        <v>8</v>
      </c>
      <c r="GF466" s="27" t="s">
        <v>7</v>
      </c>
      <c r="GU466" s="27" t="s">
        <v>8</v>
      </c>
      <c r="GW466" s="27" t="s">
        <v>8</v>
      </c>
      <c r="GX466" s="27" t="s">
        <v>7</v>
      </c>
      <c r="GY466" s="27" t="s">
        <v>8</v>
      </c>
      <c r="GZ466" s="27" t="s">
        <v>7</v>
      </c>
      <c r="HA466" s="27" t="s">
        <v>8</v>
      </c>
      <c r="HF466" s="27" t="s">
        <v>7</v>
      </c>
      <c r="HJ466" s="27" t="s">
        <v>7</v>
      </c>
      <c r="HK466" s="27" t="s">
        <v>8</v>
      </c>
      <c r="HL466" s="27" t="s">
        <v>7</v>
      </c>
      <c r="HM466" s="27" t="s">
        <v>8</v>
      </c>
      <c r="HN466" s="27" t="s">
        <v>7</v>
      </c>
      <c r="HO466" s="27" t="s">
        <v>8</v>
      </c>
      <c r="HP466" s="27" t="s">
        <v>7</v>
      </c>
      <c r="HS466" s="27" t="s">
        <v>8</v>
      </c>
      <c r="HU466" s="27" t="s">
        <v>8</v>
      </c>
      <c r="HV466" s="27" t="s">
        <v>7</v>
      </c>
      <c r="IC466" s="27" t="s">
        <v>8</v>
      </c>
      <c r="IG466" s="27" t="s">
        <v>8</v>
      </c>
      <c r="IH466" s="27" t="s">
        <v>7</v>
      </c>
    </row>
    <row r="467" spans="1:252" x14ac:dyDescent="0.25">
      <c r="A467" s="7">
        <v>10.765163034201771</v>
      </c>
      <c r="B467"/>
      <c r="C467"/>
      <c r="D467"/>
      <c r="E467"/>
      <c r="CM467" s="27" t="s">
        <v>8</v>
      </c>
      <c r="CN467" s="27" t="s">
        <v>7</v>
      </c>
      <c r="CO467" s="27" t="s">
        <v>8</v>
      </c>
      <c r="CP467" s="27" t="s">
        <v>7</v>
      </c>
      <c r="CQ467" s="27" t="s">
        <v>8</v>
      </c>
      <c r="FD467" s="27" t="s">
        <v>7</v>
      </c>
      <c r="FF467" s="27" t="s">
        <v>7</v>
      </c>
      <c r="FG467" s="27" t="s">
        <v>8</v>
      </c>
      <c r="FJ467" s="27" t="s">
        <v>7</v>
      </c>
      <c r="FK467" s="27" t="s">
        <v>8</v>
      </c>
      <c r="FP467" s="27" t="s">
        <v>7</v>
      </c>
      <c r="FQ467" s="27" t="s">
        <v>8</v>
      </c>
      <c r="GC467" s="27" t="s">
        <v>8</v>
      </c>
      <c r="GD467" s="27" t="s">
        <v>7</v>
      </c>
      <c r="GE467" s="27" t="s">
        <v>8</v>
      </c>
      <c r="GF467" s="27" t="s">
        <v>7</v>
      </c>
      <c r="GS467" s="27" t="s">
        <v>8</v>
      </c>
      <c r="GU467" s="27" t="s">
        <v>8</v>
      </c>
      <c r="GV467" s="27" t="s">
        <v>7</v>
      </c>
      <c r="GW467" s="27" t="s">
        <v>8</v>
      </c>
      <c r="GX467" s="27" t="s">
        <v>7</v>
      </c>
      <c r="GY467" s="27" t="s">
        <v>8</v>
      </c>
      <c r="GZ467" s="27" t="s">
        <v>7</v>
      </c>
      <c r="HJ467" s="27" t="s">
        <v>7</v>
      </c>
      <c r="HK467" s="27" t="s">
        <v>8</v>
      </c>
      <c r="HL467" s="27" t="s">
        <v>7</v>
      </c>
      <c r="HM467" s="27" t="s">
        <v>8</v>
      </c>
      <c r="HN467" s="27" t="s">
        <v>7</v>
      </c>
      <c r="HO467" s="27" t="s">
        <v>8</v>
      </c>
      <c r="HP467" s="27" t="s">
        <v>7</v>
      </c>
      <c r="HS467" s="27" t="s">
        <v>8</v>
      </c>
      <c r="HT467" s="27" t="s">
        <v>7</v>
      </c>
      <c r="HU467" s="27" t="s">
        <v>8</v>
      </c>
      <c r="HV467" s="27" t="s">
        <v>7</v>
      </c>
      <c r="IC467" s="27" t="s">
        <v>8</v>
      </c>
      <c r="ID467" s="27" t="s">
        <v>7</v>
      </c>
      <c r="IG467" s="27" t="s">
        <v>8</v>
      </c>
      <c r="IH467" s="27" t="s">
        <v>7</v>
      </c>
      <c r="II467" s="27" t="s">
        <v>8</v>
      </c>
    </row>
    <row r="468" spans="1:252" x14ac:dyDescent="0.25">
      <c r="A468" s="7">
        <v>10.554081406080169</v>
      </c>
      <c r="B468"/>
      <c r="C468"/>
      <c r="D468"/>
      <c r="E468"/>
      <c r="CM468" s="27" t="s">
        <v>8</v>
      </c>
      <c r="CN468" s="27" t="s">
        <v>7</v>
      </c>
      <c r="CO468" s="27" t="s">
        <v>8</v>
      </c>
      <c r="CP468" s="27" t="s">
        <v>7</v>
      </c>
      <c r="FF468" s="27" t="s">
        <v>7</v>
      </c>
      <c r="FG468" s="27" t="s">
        <v>8</v>
      </c>
      <c r="FJ468" s="27" t="s">
        <v>7</v>
      </c>
      <c r="FK468" s="27" t="s">
        <v>8</v>
      </c>
      <c r="FP468" s="27" t="s">
        <v>7</v>
      </c>
      <c r="FQ468" s="27" t="s">
        <v>8</v>
      </c>
      <c r="FR468" s="27" t="s">
        <v>7</v>
      </c>
      <c r="GC468" s="27" t="s">
        <v>8</v>
      </c>
      <c r="GD468" s="27" t="s">
        <v>7</v>
      </c>
      <c r="GE468" s="27" t="s">
        <v>8</v>
      </c>
      <c r="GF468" s="27" t="s">
        <v>7</v>
      </c>
      <c r="GS468" s="27" t="s">
        <v>8</v>
      </c>
      <c r="GT468" s="27" t="s">
        <v>7</v>
      </c>
      <c r="GU468" s="27" t="s">
        <v>8</v>
      </c>
      <c r="GV468" s="27" t="s">
        <v>7</v>
      </c>
      <c r="GW468" s="27" t="s">
        <v>8</v>
      </c>
      <c r="GX468" s="27" t="s">
        <v>7</v>
      </c>
      <c r="GY468" s="27" t="s">
        <v>8</v>
      </c>
      <c r="HJ468" s="27" t="s">
        <v>7</v>
      </c>
      <c r="HK468" s="27" t="s">
        <v>8</v>
      </c>
      <c r="HL468" s="27" t="s">
        <v>7</v>
      </c>
      <c r="HN468" s="27" t="s">
        <v>7</v>
      </c>
      <c r="HO468" s="27" t="s">
        <v>8</v>
      </c>
      <c r="HP468" s="27" t="s">
        <v>7</v>
      </c>
      <c r="HQ468" s="27" t="s">
        <v>8</v>
      </c>
      <c r="HS468" s="27" t="s">
        <v>8</v>
      </c>
      <c r="HT468" s="27" t="s">
        <v>7</v>
      </c>
      <c r="HU468" s="27" t="s">
        <v>8</v>
      </c>
      <c r="HV468" s="27" t="s">
        <v>7</v>
      </c>
      <c r="IC468" s="27" t="s">
        <v>8</v>
      </c>
      <c r="ID468" s="27" t="s">
        <v>7</v>
      </c>
      <c r="IE468" s="27" t="s">
        <v>8</v>
      </c>
      <c r="IG468" s="27" t="s">
        <v>8</v>
      </c>
      <c r="IH468" s="27" t="s">
        <v>7</v>
      </c>
      <c r="II468" s="27" t="s">
        <v>8</v>
      </c>
      <c r="IJ468" s="27" t="s">
        <v>7</v>
      </c>
      <c r="IM468" s="27" t="s">
        <v>8</v>
      </c>
    </row>
    <row r="469" spans="1:252" x14ac:dyDescent="0.25">
      <c r="A469" s="7">
        <v>10.34713863341193</v>
      </c>
      <c r="B469"/>
      <c r="C469"/>
      <c r="D469"/>
      <c r="E469"/>
      <c r="CM469" s="27" t="s">
        <v>8</v>
      </c>
      <c r="CN469" s="27" t="s">
        <v>7</v>
      </c>
      <c r="CO469" s="27" t="s">
        <v>8</v>
      </c>
      <c r="FF469" s="27" t="s">
        <v>7</v>
      </c>
      <c r="FG469" s="27" t="s">
        <v>8</v>
      </c>
      <c r="FJ469" s="27" t="s">
        <v>7</v>
      </c>
      <c r="FP469" s="27" t="s">
        <v>7</v>
      </c>
      <c r="FQ469" s="27" t="s">
        <v>8</v>
      </c>
      <c r="FR469" s="27" t="s">
        <v>7</v>
      </c>
      <c r="FS469" s="27" t="s">
        <v>8</v>
      </c>
      <c r="GC469" s="27" t="s">
        <v>8</v>
      </c>
      <c r="GD469" s="27" t="s">
        <v>7</v>
      </c>
      <c r="GE469" s="27" t="s">
        <v>8</v>
      </c>
      <c r="GF469" s="27" t="s">
        <v>7</v>
      </c>
      <c r="GM469" s="27" t="s">
        <v>8</v>
      </c>
      <c r="GQ469" s="27" t="s">
        <v>8</v>
      </c>
      <c r="GS469" s="27" t="s">
        <v>8</v>
      </c>
      <c r="GT469" s="27" t="s">
        <v>7</v>
      </c>
      <c r="GU469" s="27" t="s">
        <v>8</v>
      </c>
      <c r="GV469" s="27" t="s">
        <v>7</v>
      </c>
      <c r="GW469" s="27" t="s">
        <v>8</v>
      </c>
      <c r="GX469" s="27" t="s">
        <v>7</v>
      </c>
      <c r="GY469" s="27" t="s">
        <v>8</v>
      </c>
      <c r="HJ469" s="27" t="s">
        <v>7</v>
      </c>
      <c r="HK469" s="27" t="s">
        <v>8</v>
      </c>
      <c r="HN469" s="27" t="s">
        <v>7</v>
      </c>
      <c r="HO469" s="27" t="s">
        <v>8</v>
      </c>
      <c r="HP469" s="27" t="s">
        <v>7</v>
      </c>
      <c r="HQ469" s="27" t="s">
        <v>8</v>
      </c>
      <c r="HR469" s="27" t="s">
        <v>7</v>
      </c>
      <c r="HS469" s="27" t="s">
        <v>8</v>
      </c>
      <c r="HT469" s="27" t="s">
        <v>7</v>
      </c>
      <c r="HU469" s="27" t="s">
        <v>8</v>
      </c>
      <c r="HV469" s="27" t="s">
        <v>7</v>
      </c>
      <c r="HW469" s="27" t="s">
        <v>8</v>
      </c>
      <c r="IC469" s="27" t="s">
        <v>8</v>
      </c>
      <c r="ID469" s="27" t="s">
        <v>7</v>
      </c>
      <c r="IE469" s="27" t="s">
        <v>8</v>
      </c>
      <c r="IF469" s="27" t="s">
        <v>7</v>
      </c>
      <c r="IG469" s="27" t="s">
        <v>8</v>
      </c>
      <c r="IH469" s="27" t="s">
        <v>7</v>
      </c>
      <c r="II469" s="27" t="s">
        <v>8</v>
      </c>
      <c r="IJ469" s="27" t="s">
        <v>7</v>
      </c>
      <c r="IM469" s="27" t="s">
        <v>8</v>
      </c>
      <c r="IN469" s="27" t="s">
        <v>7</v>
      </c>
    </row>
    <row r="470" spans="1:252" x14ac:dyDescent="0.25">
      <c r="A470" s="7">
        <v>10.14425356216856</v>
      </c>
      <c r="B470"/>
      <c r="C470"/>
      <c r="D470"/>
      <c r="E470"/>
      <c r="CM470" s="27" t="s">
        <v>8</v>
      </c>
      <c r="CN470" s="27" t="s">
        <v>7</v>
      </c>
      <c r="CO470" s="27" t="s">
        <v>8</v>
      </c>
      <c r="FF470" s="27" t="s">
        <v>7</v>
      </c>
      <c r="FG470" s="27" t="s">
        <v>8</v>
      </c>
      <c r="FP470" s="27" t="s">
        <v>7</v>
      </c>
      <c r="FQ470" s="27" t="s">
        <v>8</v>
      </c>
      <c r="FR470" s="27" t="s">
        <v>7</v>
      </c>
      <c r="FS470" s="27" t="s">
        <v>8</v>
      </c>
      <c r="FT470" s="27" t="s">
        <v>7</v>
      </c>
      <c r="GC470" s="27" t="s">
        <v>8</v>
      </c>
      <c r="GD470" s="27" t="s">
        <v>7</v>
      </c>
      <c r="GE470" s="27" t="s">
        <v>8</v>
      </c>
      <c r="GF470" s="27" t="s">
        <v>7</v>
      </c>
      <c r="GM470" s="27" t="s">
        <v>8</v>
      </c>
      <c r="GN470" s="27" t="s">
        <v>7</v>
      </c>
      <c r="GO470" s="27" t="s">
        <v>8</v>
      </c>
      <c r="GQ470" s="27" t="s">
        <v>8</v>
      </c>
      <c r="GR470" s="27" t="s">
        <v>7</v>
      </c>
      <c r="GS470" s="27" t="s">
        <v>8</v>
      </c>
      <c r="GT470" s="27" t="s">
        <v>7</v>
      </c>
      <c r="GV470" s="27" t="s">
        <v>7</v>
      </c>
      <c r="GW470" s="27" t="s">
        <v>8</v>
      </c>
      <c r="GX470" s="27" t="s">
        <v>7</v>
      </c>
      <c r="HJ470" s="27" t="s">
        <v>7</v>
      </c>
      <c r="HK470" s="27" t="s">
        <v>8</v>
      </c>
      <c r="HN470" s="27" t="s">
        <v>7</v>
      </c>
      <c r="HO470" s="27" t="s">
        <v>8</v>
      </c>
      <c r="HP470" s="27" t="s">
        <v>7</v>
      </c>
      <c r="HQ470" s="27" t="s">
        <v>8</v>
      </c>
      <c r="HR470" s="27" t="s">
        <v>7</v>
      </c>
      <c r="HS470" s="27" t="s">
        <v>8</v>
      </c>
      <c r="HT470" s="27" t="s">
        <v>7</v>
      </c>
      <c r="HU470" s="27" t="s">
        <v>8</v>
      </c>
      <c r="HV470" s="27" t="s">
        <v>7</v>
      </c>
      <c r="HW470" s="27" t="s">
        <v>8</v>
      </c>
      <c r="HX470" s="27" t="s">
        <v>7</v>
      </c>
      <c r="HY470" s="27" t="s">
        <v>8</v>
      </c>
      <c r="IA470" s="27" t="s">
        <v>8</v>
      </c>
      <c r="IC470" s="27" t="s">
        <v>8</v>
      </c>
      <c r="ID470" s="27" t="s">
        <v>7</v>
      </c>
      <c r="IE470" s="27" t="s">
        <v>8</v>
      </c>
      <c r="IF470" s="27" t="s">
        <v>7</v>
      </c>
      <c r="IG470" s="27" t="s">
        <v>8</v>
      </c>
      <c r="IH470" s="27" t="s">
        <v>7</v>
      </c>
      <c r="II470" s="27" t="s">
        <v>8</v>
      </c>
      <c r="IJ470" s="27" t="s">
        <v>7</v>
      </c>
      <c r="IK470" s="27" t="s">
        <v>8</v>
      </c>
      <c r="IM470" s="27" t="s">
        <v>8</v>
      </c>
      <c r="IN470" s="27" t="s">
        <v>7</v>
      </c>
    </row>
    <row r="471" spans="1:252" x14ac:dyDescent="0.25">
      <c r="A471" s="7">
        <v>9.9453466295770188</v>
      </c>
      <c r="B471"/>
      <c r="C471"/>
      <c r="D471"/>
      <c r="E471"/>
      <c r="CM471" s="27" t="s">
        <v>8</v>
      </c>
      <c r="CN471" s="27" t="s">
        <v>7</v>
      </c>
      <c r="FF471" s="27" t="s">
        <v>7</v>
      </c>
      <c r="FG471" s="27" t="s">
        <v>8</v>
      </c>
      <c r="FP471" s="27" t="s">
        <v>7</v>
      </c>
      <c r="FQ471" s="27" t="s">
        <v>8</v>
      </c>
      <c r="FR471" s="27" t="s">
        <v>7</v>
      </c>
      <c r="FS471" s="27" t="s">
        <v>8</v>
      </c>
      <c r="FT471" s="27" t="s">
        <v>7</v>
      </c>
      <c r="GC471" s="27" t="s">
        <v>8</v>
      </c>
      <c r="GD471" s="27" t="s">
        <v>7</v>
      </c>
      <c r="GE471" s="27" t="s">
        <v>8</v>
      </c>
      <c r="GF471" s="27" t="s">
        <v>7</v>
      </c>
      <c r="GM471" s="27" t="s">
        <v>8</v>
      </c>
      <c r="GN471" s="27" t="s">
        <v>7</v>
      </c>
      <c r="GO471" s="27" t="s">
        <v>8</v>
      </c>
      <c r="GP471" s="27" t="s">
        <v>7</v>
      </c>
      <c r="GQ471" s="27" t="s">
        <v>8</v>
      </c>
      <c r="GR471" s="27" t="s">
        <v>7</v>
      </c>
      <c r="GS471" s="27" t="s">
        <v>8</v>
      </c>
      <c r="GV471" s="27" t="s">
        <v>7</v>
      </c>
      <c r="GW471" s="27" t="s">
        <v>8</v>
      </c>
      <c r="HJ471" s="27" t="s">
        <v>7</v>
      </c>
      <c r="HN471" s="27" t="s">
        <v>7</v>
      </c>
      <c r="HO471" s="27" t="s">
        <v>8</v>
      </c>
      <c r="HP471" s="27" t="s">
        <v>7</v>
      </c>
      <c r="HR471" s="27" t="s">
        <v>7</v>
      </c>
      <c r="HS471" s="27" t="s">
        <v>8</v>
      </c>
      <c r="HT471" s="27" t="s">
        <v>7</v>
      </c>
      <c r="HU471" s="27" t="s">
        <v>8</v>
      </c>
      <c r="HV471" s="27" t="s">
        <v>7</v>
      </c>
      <c r="HW471" s="27" t="s">
        <v>8</v>
      </c>
      <c r="HX471" s="27" t="s">
        <v>7</v>
      </c>
      <c r="HY471" s="27" t="s">
        <v>8</v>
      </c>
      <c r="HZ471" s="27" t="s">
        <v>7</v>
      </c>
      <c r="IA471" s="27" t="s">
        <v>8</v>
      </c>
      <c r="IB471" s="27" t="s">
        <v>7</v>
      </c>
      <c r="IC471" s="27" t="s">
        <v>8</v>
      </c>
      <c r="ID471" s="27" t="s">
        <v>7</v>
      </c>
      <c r="IE471" s="27" t="s">
        <v>8</v>
      </c>
      <c r="IF471" s="27" t="s">
        <v>7</v>
      </c>
      <c r="IG471" s="27" t="s">
        <v>8</v>
      </c>
      <c r="IH471" s="27" t="s">
        <v>7</v>
      </c>
      <c r="II471" s="27" t="s">
        <v>8</v>
      </c>
      <c r="IJ471" s="27" t="s">
        <v>7</v>
      </c>
      <c r="IK471" s="27" t="s">
        <v>8</v>
      </c>
      <c r="IL471" s="27" t="s">
        <v>7</v>
      </c>
      <c r="IM471" s="27" t="s">
        <v>8</v>
      </c>
      <c r="IN471" s="27" t="s">
        <v>7</v>
      </c>
    </row>
    <row r="472" spans="1:252" x14ac:dyDescent="0.25">
      <c r="A472" s="7">
        <v>9.7503398329186464</v>
      </c>
      <c r="B472"/>
      <c r="C472"/>
      <c r="D472"/>
      <c r="E472"/>
      <c r="CM472" s="27" t="s">
        <v>8</v>
      </c>
      <c r="FF472" s="27" t="s">
        <v>7</v>
      </c>
      <c r="FG472" s="27" t="s">
        <v>8</v>
      </c>
      <c r="FP472" s="27" t="s">
        <v>7</v>
      </c>
      <c r="FQ472" s="27" t="s">
        <v>8</v>
      </c>
      <c r="FR472" s="27" t="s">
        <v>7</v>
      </c>
      <c r="FS472" s="27" t="s">
        <v>8</v>
      </c>
      <c r="FT472" s="27" t="s">
        <v>7</v>
      </c>
      <c r="GC472" s="27" t="s">
        <v>8</v>
      </c>
      <c r="GD472" s="27" t="s">
        <v>7</v>
      </c>
      <c r="GE472" s="27" t="s">
        <v>8</v>
      </c>
      <c r="GF472" s="27" t="s">
        <v>7</v>
      </c>
      <c r="GM472" s="27" t="s">
        <v>8</v>
      </c>
      <c r="GN472" s="27" t="s">
        <v>7</v>
      </c>
      <c r="GO472" s="27" t="s">
        <v>8</v>
      </c>
      <c r="GP472" s="27" t="s">
        <v>7</v>
      </c>
      <c r="GQ472" s="27" t="s">
        <v>8</v>
      </c>
      <c r="GR472" s="27" t="s">
        <v>7</v>
      </c>
      <c r="GS472" s="27" t="s">
        <v>8</v>
      </c>
      <c r="GV472" s="27" t="s">
        <v>7</v>
      </c>
      <c r="GW472" s="27" t="s">
        <v>8</v>
      </c>
      <c r="HN472" s="27" t="s">
        <v>7</v>
      </c>
      <c r="HO472" s="27" t="s">
        <v>8</v>
      </c>
      <c r="HR472" s="27" t="s">
        <v>7</v>
      </c>
      <c r="HS472" s="27" t="s">
        <v>8</v>
      </c>
      <c r="HT472" s="27" t="s">
        <v>7</v>
      </c>
      <c r="HU472" s="27" t="s">
        <v>8</v>
      </c>
      <c r="HV472" s="27" t="s">
        <v>7</v>
      </c>
      <c r="HX472" s="27" t="s">
        <v>7</v>
      </c>
      <c r="HY472" s="27" t="s">
        <v>8</v>
      </c>
      <c r="HZ472" s="27" t="s">
        <v>7</v>
      </c>
      <c r="IA472" s="27" t="s">
        <v>8</v>
      </c>
      <c r="IB472" s="27" t="s">
        <v>7</v>
      </c>
      <c r="IC472" s="27" t="s">
        <v>8</v>
      </c>
      <c r="ID472" s="27" t="s">
        <v>7</v>
      </c>
      <c r="IE472" s="27" t="s">
        <v>8</v>
      </c>
      <c r="IF472" s="27" t="s">
        <v>7</v>
      </c>
      <c r="IG472" s="27" t="s">
        <v>8</v>
      </c>
      <c r="IH472" s="27" t="s">
        <v>7</v>
      </c>
      <c r="IJ472" s="27" t="s">
        <v>7</v>
      </c>
      <c r="IK472" s="27" t="s">
        <v>8</v>
      </c>
      <c r="IL472" s="27" t="s">
        <v>7</v>
      </c>
      <c r="IM472" s="27" t="s">
        <v>8</v>
      </c>
      <c r="IN472" s="27" t="s">
        <v>7</v>
      </c>
    </row>
    <row r="473" spans="1:252" x14ac:dyDescent="0.25">
      <c r="A473" s="7">
        <v>9.5591566989398498</v>
      </c>
      <c r="B473"/>
      <c r="C473"/>
      <c r="D473"/>
      <c r="E473"/>
      <c r="CM473" s="27" t="s">
        <v>8</v>
      </c>
      <c r="FF473" s="27" t="s">
        <v>7</v>
      </c>
      <c r="FP473" s="27" t="s">
        <v>7</v>
      </c>
      <c r="FR473" s="27" t="s">
        <v>7</v>
      </c>
      <c r="FS473" s="27" t="s">
        <v>8</v>
      </c>
      <c r="FT473" s="27" t="s">
        <v>7</v>
      </c>
      <c r="GC473" s="27" t="s">
        <v>8</v>
      </c>
      <c r="GD473" s="27" t="s">
        <v>7</v>
      </c>
      <c r="GE473" s="27" t="s">
        <v>8</v>
      </c>
      <c r="GF473" s="27" t="s">
        <v>7</v>
      </c>
      <c r="GM473" s="27" t="s">
        <v>8</v>
      </c>
      <c r="GN473" s="27" t="s">
        <v>7</v>
      </c>
      <c r="GO473" s="27" t="s">
        <v>8</v>
      </c>
      <c r="GP473" s="27" t="s">
        <v>7</v>
      </c>
      <c r="GQ473" s="27" t="s">
        <v>8</v>
      </c>
      <c r="GR473" s="27" t="s">
        <v>7</v>
      </c>
      <c r="GS473" s="27" t="s">
        <v>8</v>
      </c>
      <c r="GV473" s="27" t="s">
        <v>7</v>
      </c>
      <c r="GW473" s="27" t="s">
        <v>8</v>
      </c>
      <c r="HN473" s="27" t="s">
        <v>7</v>
      </c>
      <c r="HO473" s="27" t="s">
        <v>8</v>
      </c>
      <c r="HR473" s="27" t="s">
        <v>7</v>
      </c>
      <c r="HS473" s="27" t="s">
        <v>8</v>
      </c>
      <c r="HT473" s="27" t="s">
        <v>7</v>
      </c>
      <c r="HU473" s="27" t="s">
        <v>8</v>
      </c>
      <c r="HX473" s="27" t="s">
        <v>7</v>
      </c>
      <c r="HY473" s="27" t="s">
        <v>8</v>
      </c>
      <c r="HZ473" s="27" t="s">
        <v>7</v>
      </c>
      <c r="IA473" s="27" t="s">
        <v>8</v>
      </c>
      <c r="IB473" s="27" t="s">
        <v>7</v>
      </c>
      <c r="IC473" s="27" t="s">
        <v>8</v>
      </c>
      <c r="ID473" s="27" t="s">
        <v>7</v>
      </c>
      <c r="IE473" s="27" t="s">
        <v>8</v>
      </c>
      <c r="IF473" s="27" t="s">
        <v>7</v>
      </c>
      <c r="IJ473" s="27" t="s">
        <v>7</v>
      </c>
      <c r="IK473" s="27" t="s">
        <v>8</v>
      </c>
      <c r="IL473" s="27" t="s">
        <v>7</v>
      </c>
      <c r="IM473" s="27" t="s">
        <v>8</v>
      </c>
      <c r="IN473" s="27" t="s">
        <v>7</v>
      </c>
    </row>
    <row r="474" spans="1:252" x14ac:dyDescent="0.25">
      <c r="A474" s="7">
        <v>9.3717222538625968</v>
      </c>
      <c r="B474"/>
      <c r="C474"/>
      <c r="D474"/>
      <c r="E474"/>
      <c r="CM474" s="27" t="s">
        <v>8</v>
      </c>
      <c r="FR474" s="27" t="s">
        <v>7</v>
      </c>
      <c r="FS474" s="27" t="s">
        <v>8</v>
      </c>
      <c r="FT474" s="27" t="s">
        <v>7</v>
      </c>
      <c r="GC474" s="27" t="s">
        <v>8</v>
      </c>
      <c r="GD474" s="27" t="s">
        <v>7</v>
      </c>
      <c r="GE474" s="27" t="s">
        <v>8</v>
      </c>
      <c r="GF474" s="27" t="s">
        <v>7</v>
      </c>
      <c r="GG474" s="27" t="s">
        <v>8</v>
      </c>
      <c r="GM474" s="27" t="s">
        <v>8</v>
      </c>
      <c r="GN474" s="27" t="s">
        <v>7</v>
      </c>
      <c r="GO474" s="27" t="s">
        <v>8</v>
      </c>
      <c r="GP474" s="27" t="s">
        <v>7</v>
      </c>
      <c r="GQ474" s="27" t="s">
        <v>8</v>
      </c>
      <c r="GR474" s="27" t="s">
        <v>7</v>
      </c>
      <c r="GS474" s="27" t="s">
        <v>8</v>
      </c>
      <c r="GV474" s="27" t="s">
        <v>7</v>
      </c>
      <c r="HN474" s="27" t="s">
        <v>7</v>
      </c>
      <c r="HR474" s="27" t="s">
        <v>7</v>
      </c>
      <c r="HT474" s="27" t="s">
        <v>7</v>
      </c>
      <c r="HU474" s="27" t="s">
        <v>8</v>
      </c>
      <c r="HX474" s="27" t="s">
        <v>7</v>
      </c>
      <c r="HY474" s="27" t="s">
        <v>8</v>
      </c>
      <c r="HZ474" s="27" t="s">
        <v>7</v>
      </c>
      <c r="IB474" s="27" t="s">
        <v>7</v>
      </c>
      <c r="ID474" s="27" t="s">
        <v>7</v>
      </c>
      <c r="IE474" s="27" t="s">
        <v>8</v>
      </c>
      <c r="IJ474" s="27" t="s">
        <v>7</v>
      </c>
      <c r="IK474" s="27" t="s">
        <v>8</v>
      </c>
      <c r="IL474" s="27" t="s">
        <v>7</v>
      </c>
      <c r="IN474" s="27" t="s">
        <v>7</v>
      </c>
    </row>
    <row r="475" spans="1:252" x14ac:dyDescent="0.25">
      <c r="A475" s="7">
        <v>9.1879629939829375</v>
      </c>
      <c r="B475"/>
      <c r="C475"/>
      <c r="D475"/>
      <c r="E475"/>
      <c r="CM475" s="27" t="s">
        <v>8</v>
      </c>
      <c r="FR475" s="27" t="s">
        <v>7</v>
      </c>
      <c r="FS475" s="27" t="s">
        <v>8</v>
      </c>
      <c r="FT475" s="27" t="s">
        <v>7</v>
      </c>
      <c r="GC475" s="27" t="s">
        <v>8</v>
      </c>
      <c r="GD475" s="27" t="s">
        <v>7</v>
      </c>
      <c r="GF475" s="27" t="s">
        <v>7</v>
      </c>
      <c r="GG475" s="27" t="s">
        <v>8</v>
      </c>
      <c r="GH475" s="27" t="s">
        <v>7</v>
      </c>
      <c r="GM475" s="27" t="s">
        <v>8</v>
      </c>
      <c r="GN475" s="27" t="s">
        <v>7</v>
      </c>
      <c r="GO475" s="27" t="s">
        <v>8</v>
      </c>
      <c r="GP475" s="27" t="s">
        <v>7</v>
      </c>
      <c r="GQ475" s="27" t="s">
        <v>8</v>
      </c>
      <c r="GR475" s="27" t="s">
        <v>7</v>
      </c>
      <c r="GS475" s="27" t="s">
        <v>8</v>
      </c>
      <c r="HT475" s="27" t="s">
        <v>7</v>
      </c>
      <c r="HX475" s="27" t="s">
        <v>7</v>
      </c>
      <c r="HY475" s="27" t="s">
        <v>8</v>
      </c>
      <c r="ID475" s="27" t="s">
        <v>7</v>
      </c>
      <c r="IJ475" s="27" t="s">
        <v>7</v>
      </c>
      <c r="IK475" s="27" t="s">
        <v>8</v>
      </c>
      <c r="IN475" s="27" t="s">
        <v>7</v>
      </c>
    </row>
    <row r="476" spans="1:252" x14ac:dyDescent="0.25">
      <c r="A476" s="7">
        <v>9.0078068568460168</v>
      </c>
      <c r="B476"/>
      <c r="C476"/>
      <c r="D476"/>
      <c r="E476"/>
      <c r="CM476" s="27" t="s">
        <v>8</v>
      </c>
      <c r="FR476" s="27" t="s">
        <v>7</v>
      </c>
      <c r="FS476" s="27" t="s">
        <v>8</v>
      </c>
      <c r="FT476" s="27" t="s">
        <v>7</v>
      </c>
      <c r="GC476" s="27" t="s">
        <v>8</v>
      </c>
      <c r="GF476" s="27" t="s">
        <v>7</v>
      </c>
      <c r="GG476" s="27" t="s">
        <v>8</v>
      </c>
      <c r="GH476" s="27" t="s">
        <v>7</v>
      </c>
      <c r="GM476" s="27" t="s">
        <v>8</v>
      </c>
      <c r="GN476" s="27" t="s">
        <v>7</v>
      </c>
      <c r="GO476" s="27" t="s">
        <v>8</v>
      </c>
      <c r="GP476" s="27" t="s">
        <v>7</v>
      </c>
      <c r="GR476" s="27" t="s">
        <v>7</v>
      </c>
      <c r="GS476" s="27" t="s">
        <v>8</v>
      </c>
      <c r="HX476" s="27" t="s">
        <v>7</v>
      </c>
      <c r="IJ476" s="27" t="s">
        <v>7</v>
      </c>
      <c r="IK476" s="27" t="s">
        <v>8</v>
      </c>
      <c r="IN476" s="27" t="s">
        <v>7</v>
      </c>
      <c r="IO476" s="27" t="s">
        <v>8</v>
      </c>
      <c r="IQ476" s="27" t="s">
        <v>8</v>
      </c>
    </row>
    <row r="477" spans="1:252" x14ac:dyDescent="0.25">
      <c r="A477" s="7">
        <v>8.8311831929862912</v>
      </c>
      <c r="B477"/>
      <c r="C477"/>
      <c r="D477"/>
      <c r="E477"/>
      <c r="CM477" s="27" t="s">
        <v>8</v>
      </c>
      <c r="FR477" s="27" t="s">
        <v>7</v>
      </c>
      <c r="FS477" s="27" t="s">
        <v>8</v>
      </c>
      <c r="FT477" s="27" t="s">
        <v>7</v>
      </c>
      <c r="GC477" s="27" t="s">
        <v>8</v>
      </c>
      <c r="GF477" s="27" t="s">
        <v>7</v>
      </c>
      <c r="GH477" s="27" t="s">
        <v>7</v>
      </c>
      <c r="GI477" s="27" t="s">
        <v>8</v>
      </c>
      <c r="GM477" s="27" t="s">
        <v>8</v>
      </c>
      <c r="GN477" s="27" t="s">
        <v>7</v>
      </c>
      <c r="GR477" s="27" t="s">
        <v>7</v>
      </c>
      <c r="IJ477" s="27" t="s">
        <v>7</v>
      </c>
      <c r="IN477" s="27" t="s">
        <v>7</v>
      </c>
      <c r="IO477" s="27" t="s">
        <v>8</v>
      </c>
      <c r="IP477" s="27" t="s">
        <v>7</v>
      </c>
      <c r="IQ477" s="27" t="s">
        <v>8</v>
      </c>
      <c r="IR477" s="27" t="s">
        <v>7</v>
      </c>
    </row>
    <row r="478" spans="1:252" x14ac:dyDescent="0.25">
      <c r="A478" s="7">
        <v>8.6580227382218542</v>
      </c>
      <c r="B478"/>
      <c r="C478"/>
      <c r="D478"/>
      <c r="E478"/>
      <c r="CG478" s="27" t="s">
        <v>8</v>
      </c>
      <c r="CM478" s="27" t="s">
        <v>8</v>
      </c>
      <c r="FR478" s="27" t="s">
        <v>7</v>
      </c>
      <c r="FS478" s="27" t="s">
        <v>8</v>
      </c>
      <c r="FT478" s="27" t="s">
        <v>7</v>
      </c>
      <c r="GC478" s="27" t="s">
        <v>8</v>
      </c>
      <c r="GH478" s="27" t="s">
        <v>7</v>
      </c>
      <c r="GI478" s="27" t="s">
        <v>8</v>
      </c>
      <c r="GJ478" s="27" t="s">
        <v>7</v>
      </c>
      <c r="GK478" s="27" t="s">
        <v>8</v>
      </c>
      <c r="GM478" s="27" t="s">
        <v>8</v>
      </c>
      <c r="IN478" s="27" t="s">
        <v>7</v>
      </c>
      <c r="IO478" s="27" t="s">
        <v>8</v>
      </c>
      <c r="IP478" s="27" t="s">
        <v>7</v>
      </c>
      <c r="IQ478" s="27" t="s">
        <v>8</v>
      </c>
      <c r="IR478" s="27" t="s">
        <v>7</v>
      </c>
    </row>
    <row r="479" spans="1:252" x14ac:dyDescent="0.25">
      <c r="A479" s="7">
        <v>8.4882575864920131</v>
      </c>
      <c r="B479"/>
      <c r="C479"/>
      <c r="D479"/>
      <c r="E479"/>
      <c r="CG479" s="27" t="s">
        <v>8</v>
      </c>
      <c r="CH479" s="27" t="s">
        <v>7</v>
      </c>
      <c r="CK479" s="27" t="s">
        <v>8</v>
      </c>
      <c r="CM479" s="27" t="s">
        <v>8</v>
      </c>
      <c r="FR479" s="27" t="s">
        <v>7</v>
      </c>
      <c r="FS479" s="27" t="s">
        <v>8</v>
      </c>
      <c r="FT479" s="27" t="s">
        <v>7</v>
      </c>
      <c r="FU479" s="27" t="s">
        <v>8</v>
      </c>
      <c r="GC479" s="27" t="s">
        <v>8</v>
      </c>
      <c r="GH479" s="27" t="s">
        <v>7</v>
      </c>
      <c r="GI479" s="27" t="s">
        <v>8</v>
      </c>
      <c r="GJ479" s="27" t="s">
        <v>7</v>
      </c>
      <c r="GK479" s="27" t="s">
        <v>8</v>
      </c>
      <c r="GL479" s="27" t="s">
        <v>7</v>
      </c>
      <c r="GM479" s="27" t="s">
        <v>8</v>
      </c>
      <c r="IN479" s="27" t="s">
        <v>7</v>
      </c>
      <c r="IO479" s="27" t="s">
        <v>8</v>
      </c>
      <c r="IP479" s="27" t="s">
        <v>7</v>
      </c>
      <c r="IQ479" s="27" t="s">
        <v>8</v>
      </c>
      <c r="IR479" s="27" t="s">
        <v>7</v>
      </c>
    </row>
    <row r="480" spans="1:252" x14ac:dyDescent="0.25">
      <c r="A480" s="7">
        <v>8.3218211632274635</v>
      </c>
      <c r="B480"/>
      <c r="C480"/>
      <c r="D480"/>
      <c r="E480"/>
      <c r="CE480" s="27" t="s">
        <v>8</v>
      </c>
      <c r="CG480" s="27" t="s">
        <v>8</v>
      </c>
      <c r="CH480" s="27" t="s">
        <v>7</v>
      </c>
      <c r="CI480" s="27" t="s">
        <v>8</v>
      </c>
      <c r="CK480" s="27" t="s">
        <v>8</v>
      </c>
      <c r="CL480" s="27" t="s">
        <v>7</v>
      </c>
      <c r="CM480" s="27" t="s">
        <v>8</v>
      </c>
      <c r="FR480" s="27" t="s">
        <v>7</v>
      </c>
      <c r="FS480" s="27" t="s">
        <v>8</v>
      </c>
      <c r="FT480" s="27" t="s">
        <v>7</v>
      </c>
      <c r="FU480" s="27" t="s">
        <v>8</v>
      </c>
      <c r="FV480" s="27" t="s">
        <v>7</v>
      </c>
      <c r="GC480" s="27" t="s">
        <v>8</v>
      </c>
      <c r="GH480" s="27" t="s">
        <v>7</v>
      </c>
      <c r="GI480" s="27" t="s">
        <v>8</v>
      </c>
      <c r="GJ480" s="27" t="s">
        <v>7</v>
      </c>
      <c r="GK480" s="27" t="s">
        <v>8</v>
      </c>
      <c r="GL480" s="27" t="s">
        <v>7</v>
      </c>
      <c r="GM480" s="27" t="s">
        <v>8</v>
      </c>
      <c r="IN480" s="27" t="s">
        <v>7</v>
      </c>
      <c r="IP480" s="27" t="s">
        <v>7</v>
      </c>
      <c r="IQ480" s="27" t="s">
        <v>8</v>
      </c>
      <c r="IR480" s="27" t="s">
        <v>7</v>
      </c>
    </row>
    <row r="481" spans="1:272" x14ac:dyDescent="0.25">
      <c r="A481" s="7">
        <v>8.1586481992426112</v>
      </c>
      <c r="B481"/>
      <c r="C481"/>
      <c r="D481"/>
      <c r="E481"/>
      <c r="CE481" s="27" t="s">
        <v>8</v>
      </c>
      <c r="CF481" s="27" t="s">
        <v>7</v>
      </c>
      <c r="CG481" s="27" t="s">
        <v>8</v>
      </c>
      <c r="CH481" s="27" t="s">
        <v>7</v>
      </c>
      <c r="CI481" s="27" t="s">
        <v>8</v>
      </c>
      <c r="CJ481" s="27" t="s">
        <v>7</v>
      </c>
      <c r="CK481" s="27" t="s">
        <v>8</v>
      </c>
      <c r="CL481" s="27" t="s">
        <v>7</v>
      </c>
      <c r="CM481" s="27" t="s">
        <v>8</v>
      </c>
      <c r="FR481" s="27" t="s">
        <v>7</v>
      </c>
      <c r="FS481" s="27" t="s">
        <v>8</v>
      </c>
      <c r="FT481" s="27" t="s">
        <v>7</v>
      </c>
      <c r="FU481" s="27" t="s">
        <v>8</v>
      </c>
      <c r="FV481" s="27" t="s">
        <v>7</v>
      </c>
      <c r="GC481" s="27" t="s">
        <v>8</v>
      </c>
      <c r="GH481" s="18" t="s">
        <v>7</v>
      </c>
      <c r="GI481" s="27" t="s">
        <v>8</v>
      </c>
      <c r="GJ481" s="27" t="s">
        <v>7</v>
      </c>
      <c r="GL481" s="27" t="s">
        <v>7</v>
      </c>
      <c r="IP481" s="27" t="s">
        <v>7</v>
      </c>
      <c r="IR481" s="27" t="s">
        <v>7</v>
      </c>
    </row>
    <row r="482" spans="1:272" x14ac:dyDescent="0.25">
      <c r="A482" s="7">
        <v>7.9986747051398144</v>
      </c>
      <c r="B482"/>
      <c r="C482"/>
      <c r="D482"/>
      <c r="E482"/>
      <c r="CE482" s="27" t="s">
        <v>8</v>
      </c>
      <c r="CF482" s="27" t="s">
        <v>7</v>
      </c>
      <c r="CG482" s="27" t="s">
        <v>8</v>
      </c>
      <c r="CH482" s="27" t="s">
        <v>7</v>
      </c>
      <c r="CI482" s="27" t="s">
        <v>8</v>
      </c>
      <c r="CJ482" s="27" t="s">
        <v>7</v>
      </c>
      <c r="CK482" s="27" t="s">
        <v>8</v>
      </c>
      <c r="CL482" s="27" t="s">
        <v>7</v>
      </c>
      <c r="FR482" s="27" t="s">
        <v>7</v>
      </c>
      <c r="FT482" s="27" t="s">
        <v>7</v>
      </c>
      <c r="FV482" s="27" t="s">
        <v>7</v>
      </c>
      <c r="GC482" s="27" t="s">
        <v>8</v>
      </c>
      <c r="GH482" s="27" t="s">
        <v>7</v>
      </c>
      <c r="GI482" s="27" t="s">
        <v>8</v>
      </c>
      <c r="IR482" s="27" t="s">
        <v>7</v>
      </c>
      <c r="IU482" s="27" t="s">
        <v>8</v>
      </c>
    </row>
    <row r="483" spans="1:272" x14ac:dyDescent="0.25">
      <c r="A483" s="7">
        <v>7.8418379462155041</v>
      </c>
      <c r="B483"/>
      <c r="C483"/>
      <c r="D483"/>
      <c r="E483"/>
      <c r="AG483" s="27" t="s">
        <v>8</v>
      </c>
      <c r="CE483" s="27" t="s">
        <v>8</v>
      </c>
      <c r="CF483" s="27" t="s">
        <v>7</v>
      </c>
      <c r="CG483" s="27" t="s">
        <v>8</v>
      </c>
      <c r="CH483" s="27" t="s">
        <v>7</v>
      </c>
      <c r="CI483" s="27" t="s">
        <v>8</v>
      </c>
      <c r="CJ483" s="27" t="s">
        <v>7</v>
      </c>
      <c r="CK483" s="27" t="s">
        <v>8</v>
      </c>
      <c r="FV483" s="27" t="s">
        <v>7</v>
      </c>
      <c r="GC483" s="27" t="s">
        <v>8</v>
      </c>
      <c r="GH483" s="27" t="s">
        <v>7</v>
      </c>
      <c r="GI483" s="27" t="s">
        <v>8</v>
      </c>
      <c r="IR483" s="27" t="s">
        <v>7</v>
      </c>
      <c r="IS483" s="27" t="s">
        <v>8</v>
      </c>
      <c r="IU483" s="27" t="s">
        <v>8</v>
      </c>
      <c r="IV483" s="27" t="s">
        <v>7</v>
      </c>
    </row>
    <row r="484" spans="1:272" x14ac:dyDescent="0.25">
      <c r="A484" s="7">
        <v>7.688076417858337</v>
      </c>
      <c r="B484"/>
      <c r="C484"/>
      <c r="D484"/>
      <c r="E484"/>
      <c r="AG484" s="27" t="s">
        <v>8</v>
      </c>
      <c r="AH484" s="27" t="s">
        <v>7</v>
      </c>
      <c r="CE484" s="27" t="s">
        <v>8</v>
      </c>
      <c r="CF484" s="27" t="s">
        <v>7</v>
      </c>
      <c r="CG484" s="27" t="s">
        <v>8</v>
      </c>
      <c r="CH484" s="27" t="s">
        <v>7</v>
      </c>
      <c r="CI484" s="27" t="s">
        <v>8</v>
      </c>
      <c r="CJ484" s="27" t="s">
        <v>7</v>
      </c>
      <c r="CK484" s="27" t="s">
        <v>8</v>
      </c>
      <c r="FV484" s="27" t="s">
        <v>7</v>
      </c>
      <c r="GC484" s="27" t="s">
        <v>8</v>
      </c>
      <c r="GH484" s="27" t="s">
        <v>7</v>
      </c>
      <c r="GI484" s="27" t="s">
        <v>8</v>
      </c>
      <c r="IR484" s="27" t="s">
        <v>7</v>
      </c>
      <c r="IS484" s="27" t="s">
        <v>8</v>
      </c>
      <c r="IT484" s="27" t="s">
        <v>7</v>
      </c>
      <c r="IU484" s="27" t="s">
        <v>8</v>
      </c>
      <c r="IV484" s="27" t="s">
        <v>7</v>
      </c>
    </row>
    <row r="485" spans="1:272" x14ac:dyDescent="0.25">
      <c r="A485" s="7">
        <v>7.5373298214297417</v>
      </c>
      <c r="B485"/>
      <c r="C485"/>
      <c r="D485"/>
      <c r="E485"/>
      <c r="AG485" s="27" t="s">
        <v>8</v>
      </c>
      <c r="AH485" s="27" t="s">
        <v>7</v>
      </c>
      <c r="CE485" s="27" t="s">
        <v>8</v>
      </c>
      <c r="CF485" s="27" t="s">
        <v>7</v>
      </c>
      <c r="CG485" s="27" t="s">
        <v>8</v>
      </c>
      <c r="CH485" s="27" t="s">
        <v>7</v>
      </c>
      <c r="CI485" s="27" t="s">
        <v>8</v>
      </c>
      <c r="CJ485" s="27" t="s">
        <v>7</v>
      </c>
      <c r="CK485" s="27" t="s">
        <v>8</v>
      </c>
      <c r="FV485" s="27" t="s">
        <v>7</v>
      </c>
      <c r="GC485" s="27" t="s">
        <v>8</v>
      </c>
      <c r="GH485" s="27" t="s">
        <v>7</v>
      </c>
      <c r="GI485" s="27" t="s">
        <v>8</v>
      </c>
      <c r="IR485" s="27" t="s">
        <v>7</v>
      </c>
      <c r="IS485" s="27" t="s">
        <v>8</v>
      </c>
      <c r="IT485" s="27" t="s">
        <v>7</v>
      </c>
      <c r="IU485" s="27" t="s">
        <v>8</v>
      </c>
      <c r="IV485" s="27" t="s">
        <v>7</v>
      </c>
    </row>
    <row r="486" spans="1:272" x14ac:dyDescent="0.25">
      <c r="A486" s="7">
        <v>7.389539040617394</v>
      </c>
      <c r="B486"/>
      <c r="C486"/>
      <c r="D486"/>
      <c r="E486"/>
      <c r="W486" s="27" t="s">
        <v>8</v>
      </c>
      <c r="AG486" s="27" t="s">
        <v>8</v>
      </c>
      <c r="AH486" s="27" t="s">
        <v>7</v>
      </c>
      <c r="CE486" s="27" t="s">
        <v>8</v>
      </c>
      <c r="CF486" s="27" t="s">
        <v>7</v>
      </c>
      <c r="CG486" s="27" t="s">
        <v>8</v>
      </c>
      <c r="CH486" s="27" t="s">
        <v>7</v>
      </c>
      <c r="CJ486" s="27" t="s">
        <v>7</v>
      </c>
      <c r="CK486" s="27" t="s">
        <v>8</v>
      </c>
      <c r="FV486" s="27" t="s">
        <v>7</v>
      </c>
      <c r="FY486" s="27" t="s">
        <v>8</v>
      </c>
      <c r="GC486" s="27" t="s">
        <v>8</v>
      </c>
      <c r="GH486" s="27" t="s">
        <v>7</v>
      </c>
      <c r="GI486" s="27" t="s">
        <v>8</v>
      </c>
      <c r="IR486" s="27" t="s">
        <v>7</v>
      </c>
      <c r="IS486" s="27" t="s">
        <v>8</v>
      </c>
      <c r="IT486" s="27" t="s">
        <v>7</v>
      </c>
      <c r="IU486" s="27" t="s">
        <v>8</v>
      </c>
      <c r="IV486" s="27" t="s">
        <v>7</v>
      </c>
      <c r="JK486" s="27" t="s">
        <v>8</v>
      </c>
    </row>
    <row r="487" spans="1:272" x14ac:dyDescent="0.25">
      <c r="A487" s="7">
        <v>7.2446461182523469</v>
      </c>
      <c r="B487"/>
      <c r="C487"/>
      <c r="D487"/>
      <c r="E487"/>
      <c r="W487" s="27" t="s">
        <v>8</v>
      </c>
      <c r="X487" s="27" t="s">
        <v>7</v>
      </c>
      <c r="AG487" s="27" t="s">
        <v>8</v>
      </c>
      <c r="AH487" s="27" t="s">
        <v>7</v>
      </c>
      <c r="CE487" s="27" t="s">
        <v>8</v>
      </c>
      <c r="CF487" s="27" t="s">
        <v>7</v>
      </c>
      <c r="CG487" s="27" t="s">
        <v>8</v>
      </c>
      <c r="CJ487" s="27" t="s">
        <v>7</v>
      </c>
      <c r="CK487" s="27" t="s">
        <v>8</v>
      </c>
      <c r="FV487" s="27" t="s">
        <v>7</v>
      </c>
      <c r="FY487" s="27" t="s">
        <v>8</v>
      </c>
      <c r="FZ487" s="27" t="s">
        <v>7</v>
      </c>
      <c r="GA487" s="27" t="s">
        <v>8</v>
      </c>
      <c r="GC487" s="27" t="s">
        <v>8</v>
      </c>
      <c r="GH487" s="27" t="s">
        <v>7</v>
      </c>
      <c r="IR487" s="27" t="s">
        <v>7</v>
      </c>
      <c r="IT487" s="27" t="s">
        <v>7</v>
      </c>
      <c r="IU487" s="27" t="s">
        <v>8</v>
      </c>
      <c r="IV487" s="27" t="s">
        <v>7</v>
      </c>
      <c r="JK487" s="27" t="s">
        <v>8</v>
      </c>
      <c r="JL487" s="27" t="s">
        <v>7</v>
      </c>
    </row>
    <row r="488" spans="1:272" x14ac:dyDescent="0.25">
      <c r="A488" s="7">
        <v>7.1025942335807324</v>
      </c>
      <c r="B488"/>
      <c r="C488"/>
      <c r="D488"/>
      <c r="E488"/>
      <c r="W488" s="27" t="s">
        <v>8</v>
      </c>
      <c r="X488" s="27" t="s">
        <v>7</v>
      </c>
      <c r="AE488" s="27" t="s">
        <v>8</v>
      </c>
      <c r="AG488" s="27" t="s">
        <v>8</v>
      </c>
      <c r="AH488" s="27" t="s">
        <v>7</v>
      </c>
      <c r="CE488" s="27" t="s">
        <v>8</v>
      </c>
      <c r="CF488" s="27" t="s">
        <v>7</v>
      </c>
      <c r="CG488" s="27" t="s">
        <v>8</v>
      </c>
      <c r="CJ488" s="27" t="s">
        <v>7</v>
      </c>
      <c r="FV488" s="27" t="s">
        <v>7</v>
      </c>
      <c r="FW488" s="27" t="s">
        <v>8</v>
      </c>
      <c r="FY488" s="27" t="s">
        <v>8</v>
      </c>
      <c r="FZ488" s="27" t="s">
        <v>7</v>
      </c>
      <c r="GA488" s="27" t="s">
        <v>8</v>
      </c>
      <c r="GB488" s="27" t="s">
        <v>7</v>
      </c>
      <c r="GC488" s="27" t="s">
        <v>8</v>
      </c>
      <c r="IT488" s="27" t="s">
        <v>7</v>
      </c>
      <c r="IV488" s="27" t="s">
        <v>7</v>
      </c>
      <c r="JK488" s="27" t="s">
        <v>8</v>
      </c>
      <c r="JL488" s="27" t="s">
        <v>7</v>
      </c>
    </row>
    <row r="489" spans="1:272" x14ac:dyDescent="0.25">
      <c r="A489" s="7">
        <v>6.9633276799811101</v>
      </c>
      <c r="B489"/>
      <c r="C489"/>
      <c r="D489"/>
      <c r="E489"/>
      <c r="W489" s="27" t="s">
        <v>8</v>
      </c>
      <c r="X489" s="27" t="s">
        <v>7</v>
      </c>
      <c r="AE489" s="27" t="s">
        <v>8</v>
      </c>
      <c r="AF489" s="27" t="s">
        <v>7</v>
      </c>
      <c r="AG489" s="27" t="s">
        <v>8</v>
      </c>
      <c r="AH489" s="27" t="s">
        <v>7</v>
      </c>
      <c r="CE489" s="27" t="s">
        <v>8</v>
      </c>
      <c r="CF489" s="27" t="s">
        <v>7</v>
      </c>
      <c r="CG489" s="27" t="s">
        <v>8</v>
      </c>
      <c r="FV489" s="27" t="s">
        <v>7</v>
      </c>
      <c r="FW489" s="27" t="s">
        <v>8</v>
      </c>
      <c r="FX489" s="27" t="s">
        <v>7</v>
      </c>
      <c r="FY489" s="27" t="s">
        <v>8</v>
      </c>
      <c r="FZ489" s="27" t="s">
        <v>7</v>
      </c>
      <c r="GA489" s="27" t="s">
        <v>8</v>
      </c>
      <c r="GB489" s="27" t="s">
        <v>7</v>
      </c>
      <c r="GC489" s="27" t="s">
        <v>8</v>
      </c>
      <c r="IV489" s="27" t="s">
        <v>7</v>
      </c>
      <c r="JK489" s="27" t="s">
        <v>8</v>
      </c>
      <c r="JL489" s="27" t="s">
        <v>7</v>
      </c>
    </row>
    <row r="490" spans="1:272" x14ac:dyDescent="0.25">
      <c r="A490" s="7">
        <v>6.8267918431187349</v>
      </c>
      <c r="B490"/>
      <c r="C490"/>
      <c r="D490"/>
      <c r="E490"/>
      <c r="W490" s="27" t="s">
        <v>8</v>
      </c>
      <c r="X490" s="27" t="s">
        <v>7</v>
      </c>
      <c r="Y490" s="27" t="s">
        <v>8</v>
      </c>
      <c r="AE490" s="27" t="s">
        <v>8</v>
      </c>
      <c r="AF490" s="27" t="s">
        <v>7</v>
      </c>
      <c r="AG490" s="27" t="s">
        <v>8</v>
      </c>
      <c r="AH490" s="27" t="s">
        <v>7</v>
      </c>
      <c r="CE490" s="27" t="s">
        <v>8</v>
      </c>
      <c r="CF490" s="27" t="s">
        <v>7</v>
      </c>
      <c r="CG490" s="27" t="s">
        <v>8</v>
      </c>
      <c r="FV490" s="27" t="s">
        <v>7</v>
      </c>
      <c r="FW490" s="27" t="s">
        <v>8</v>
      </c>
      <c r="FX490" s="27" t="s">
        <v>7</v>
      </c>
      <c r="FY490" s="27" t="s">
        <v>8</v>
      </c>
      <c r="FZ490" s="27" t="s">
        <v>7</v>
      </c>
      <c r="GA490" s="27" t="s">
        <v>8</v>
      </c>
      <c r="GB490" s="27" t="s">
        <v>7</v>
      </c>
      <c r="GC490" s="27" t="s">
        <v>8</v>
      </c>
      <c r="IV490" s="27" t="s">
        <v>7</v>
      </c>
      <c r="JK490" s="27" t="s">
        <v>8</v>
      </c>
      <c r="JL490" s="27" t="s">
        <v>7</v>
      </c>
    </row>
    <row r="491" spans="1:272" x14ac:dyDescent="0.25">
      <c r="A491" s="7">
        <v>6.692933179528171</v>
      </c>
      <c r="B491"/>
      <c r="C491"/>
      <c r="D491"/>
      <c r="E491"/>
      <c r="W491" s="27" t="s">
        <v>8</v>
      </c>
      <c r="X491" s="27" t="s">
        <v>7</v>
      </c>
      <c r="Y491" s="27" t="s">
        <v>8</v>
      </c>
      <c r="Z491" s="27" t="s">
        <v>7</v>
      </c>
      <c r="AA491" s="27" t="s">
        <v>8</v>
      </c>
      <c r="AE491" s="27" t="s">
        <v>8</v>
      </c>
      <c r="AF491" s="27" t="s">
        <v>7</v>
      </c>
      <c r="AG491" s="27" t="s">
        <v>8</v>
      </c>
      <c r="AH491" s="27" t="s">
        <v>7</v>
      </c>
      <c r="CE491" s="27" t="s">
        <v>8</v>
      </c>
      <c r="CF491" s="27" t="s">
        <v>7</v>
      </c>
      <c r="FV491" s="27" t="s">
        <v>7</v>
      </c>
      <c r="FW491" s="27" t="s">
        <v>8</v>
      </c>
      <c r="FX491" s="27" t="s">
        <v>7</v>
      </c>
      <c r="FY491" s="27" t="s">
        <v>8</v>
      </c>
      <c r="FZ491" s="27" t="s">
        <v>7</v>
      </c>
      <c r="GB491" s="27" t="s">
        <v>7</v>
      </c>
      <c r="GC491" s="27" t="s">
        <v>8</v>
      </c>
      <c r="IV491" s="27" t="s">
        <v>7</v>
      </c>
      <c r="JI491" s="27" t="s">
        <v>8</v>
      </c>
      <c r="JK491" s="27" t="s">
        <v>8</v>
      </c>
      <c r="JL491" s="27" t="s">
        <v>7</v>
      </c>
    </row>
    <row r="492" spans="1:272" x14ac:dyDescent="0.25">
      <c r="A492" s="7">
        <v>6.5616991956158541</v>
      </c>
      <c r="B492"/>
      <c r="C492"/>
      <c r="D492"/>
      <c r="E492"/>
      <c r="W492" s="27" t="s">
        <v>8</v>
      </c>
      <c r="X492" s="27" t="s">
        <v>7</v>
      </c>
      <c r="Y492" s="27" t="s">
        <v>8</v>
      </c>
      <c r="Z492" s="27" t="s">
        <v>7</v>
      </c>
      <c r="AA492" s="27" t="s">
        <v>8</v>
      </c>
      <c r="AB492" s="27" t="s">
        <v>7</v>
      </c>
      <c r="AC492" s="27" t="s">
        <v>8</v>
      </c>
      <c r="AE492" s="27" t="s">
        <v>8</v>
      </c>
      <c r="AF492" s="27" t="s">
        <v>7</v>
      </c>
      <c r="AH492" s="27" t="s">
        <v>7</v>
      </c>
      <c r="CC492" s="27" t="s">
        <v>8</v>
      </c>
      <c r="CE492" s="27" t="s">
        <v>8</v>
      </c>
      <c r="FV492" s="27" t="s">
        <v>7</v>
      </c>
      <c r="FW492" s="27" t="s">
        <v>8</v>
      </c>
      <c r="FX492" s="27" t="s">
        <v>7</v>
      </c>
      <c r="FY492" s="27" t="s">
        <v>8</v>
      </c>
      <c r="GB492" s="27" t="s">
        <v>7</v>
      </c>
      <c r="GC492" s="27" t="s">
        <v>8</v>
      </c>
      <c r="IV492" s="27" t="s">
        <v>7</v>
      </c>
      <c r="JI492" s="27" t="s">
        <v>8</v>
      </c>
      <c r="JJ492" s="27" t="s">
        <v>7</v>
      </c>
      <c r="JK492" s="27" t="s">
        <v>8</v>
      </c>
      <c r="JL492" s="27" t="s">
        <v>7</v>
      </c>
    </row>
    <row r="493" spans="1:272" x14ac:dyDescent="0.25">
      <c r="A493" s="7">
        <v>6.4330384270743668</v>
      </c>
      <c r="B493"/>
      <c r="C493"/>
      <c r="D493"/>
      <c r="E493"/>
      <c r="W493" s="27" t="s">
        <v>8</v>
      </c>
      <c r="X493" s="27" t="s">
        <v>7</v>
      </c>
      <c r="Y493" s="27" t="s">
        <v>8</v>
      </c>
      <c r="Z493" s="27" t="s">
        <v>7</v>
      </c>
      <c r="AA493" s="27" t="s">
        <v>8</v>
      </c>
      <c r="AB493" s="27" t="s">
        <v>7</v>
      </c>
      <c r="AC493" s="27" t="s">
        <v>8</v>
      </c>
      <c r="AD493" s="27" t="s">
        <v>7</v>
      </c>
      <c r="AE493" s="27" t="s">
        <v>8</v>
      </c>
      <c r="AH493" s="27" t="s">
        <v>7</v>
      </c>
      <c r="CC493" s="27" t="s">
        <v>8</v>
      </c>
      <c r="CD493" s="27" t="s">
        <v>7</v>
      </c>
      <c r="CE493" s="27" t="s">
        <v>8</v>
      </c>
      <c r="FV493" s="27" t="s">
        <v>7</v>
      </c>
      <c r="FW493" s="27" t="s">
        <v>8</v>
      </c>
      <c r="FX493" s="27" t="s">
        <v>7</v>
      </c>
      <c r="FY493" s="27" t="s">
        <v>8</v>
      </c>
      <c r="GB493" s="27" t="s">
        <v>7</v>
      </c>
      <c r="IV493" s="27" t="s">
        <v>7</v>
      </c>
      <c r="JI493" s="27" t="s">
        <v>8</v>
      </c>
      <c r="JJ493" s="27" t="s">
        <v>7</v>
      </c>
      <c r="JK493" s="27" t="s">
        <v>8</v>
      </c>
      <c r="JL493" s="27" t="s">
        <v>7</v>
      </c>
    </row>
    <row r="494" spans="1:272" x14ac:dyDescent="0.25">
      <c r="A494" s="7">
        <v>6.3069004187003594</v>
      </c>
      <c r="B494"/>
      <c r="C494"/>
      <c r="D494"/>
      <c r="E494"/>
      <c r="W494" s="27" t="s">
        <v>8</v>
      </c>
      <c r="X494" s="27" t="s">
        <v>7</v>
      </c>
      <c r="Y494" s="27" t="s">
        <v>8</v>
      </c>
      <c r="Z494" s="27" t="s">
        <v>7</v>
      </c>
      <c r="AA494" s="27" t="s">
        <v>8</v>
      </c>
      <c r="AB494" s="27" t="s">
        <v>7</v>
      </c>
      <c r="AC494" s="27" t="s">
        <v>8</v>
      </c>
      <c r="AD494" s="27" t="s">
        <v>7</v>
      </c>
      <c r="AE494" s="27" t="s">
        <v>8</v>
      </c>
      <c r="AH494" s="27" t="s">
        <v>7</v>
      </c>
      <c r="CC494" s="27" t="s">
        <v>8</v>
      </c>
      <c r="CD494" s="27" t="s">
        <v>7</v>
      </c>
      <c r="CE494" s="27" t="s">
        <v>8</v>
      </c>
      <c r="FV494" s="27" t="s">
        <v>7</v>
      </c>
      <c r="FW494" s="27" t="s">
        <v>8</v>
      </c>
      <c r="FX494" s="27" t="s">
        <v>7</v>
      </c>
      <c r="FY494" s="27" t="s">
        <v>8</v>
      </c>
      <c r="IV494" s="27" t="s">
        <v>7</v>
      </c>
      <c r="IW494" s="27" t="s">
        <v>8</v>
      </c>
      <c r="JG494" s="27" t="s">
        <v>8</v>
      </c>
      <c r="JI494" s="27" t="s">
        <v>8</v>
      </c>
      <c r="JJ494" s="27" t="s">
        <v>7</v>
      </c>
      <c r="JK494" s="27" t="s">
        <v>8</v>
      </c>
      <c r="JL494" s="27" t="s">
        <v>7</v>
      </c>
    </row>
    <row r="495" spans="1:272" x14ac:dyDescent="0.25">
      <c r="A495" s="7">
        <v>6.1832357046081956</v>
      </c>
      <c r="B495"/>
      <c r="C495"/>
      <c r="D495"/>
      <c r="E495"/>
      <c r="W495" s="27" t="s">
        <v>8</v>
      </c>
      <c r="X495" s="27" t="s">
        <v>7</v>
      </c>
      <c r="Z495" s="27" t="s">
        <v>7</v>
      </c>
      <c r="AA495" s="27" t="s">
        <v>8</v>
      </c>
      <c r="AB495" s="27" t="s">
        <v>7</v>
      </c>
      <c r="AC495" s="27" t="s">
        <v>8</v>
      </c>
      <c r="AD495" s="27" t="s">
        <v>7</v>
      </c>
      <c r="AE495" s="27" t="s">
        <v>8</v>
      </c>
      <c r="AH495" s="27" t="s">
        <v>7</v>
      </c>
      <c r="AK495" s="27" t="s">
        <v>8</v>
      </c>
      <c r="CC495" s="27" t="s">
        <v>8</v>
      </c>
      <c r="CD495" s="27" t="s">
        <v>7</v>
      </c>
      <c r="CE495" s="27" t="s">
        <v>8</v>
      </c>
      <c r="FV495" s="27" t="s">
        <v>7</v>
      </c>
      <c r="FW495" s="27" t="s">
        <v>8</v>
      </c>
      <c r="FX495" s="27" t="s">
        <v>7</v>
      </c>
      <c r="FY495" s="27" t="s">
        <v>8</v>
      </c>
      <c r="IV495" s="27" t="s">
        <v>7</v>
      </c>
      <c r="IW495" s="27" t="s">
        <v>8</v>
      </c>
      <c r="IX495" s="27" t="s">
        <v>7</v>
      </c>
      <c r="IY495" s="27" t="s">
        <v>8</v>
      </c>
      <c r="JG495" s="27" t="s">
        <v>8</v>
      </c>
      <c r="JH495" s="27" t="s">
        <v>7</v>
      </c>
      <c r="JI495" s="27" t="s">
        <v>8</v>
      </c>
      <c r="JJ495" s="27" t="s">
        <v>7</v>
      </c>
      <c r="JK495" s="27" t="s">
        <v>8</v>
      </c>
      <c r="JL495" s="27" t="s">
        <v>7</v>
      </c>
    </row>
    <row r="496" spans="1:272" x14ac:dyDescent="0.25">
      <c r="A496" s="7">
        <v>6.0619957888315641</v>
      </c>
      <c r="B496"/>
      <c r="C496"/>
      <c r="D496"/>
      <c r="E496"/>
      <c r="W496" s="27" t="s">
        <v>8</v>
      </c>
      <c r="Z496" s="27" t="s">
        <v>7</v>
      </c>
      <c r="AA496" s="27" t="s">
        <v>8</v>
      </c>
      <c r="AB496" s="27" t="s">
        <v>7</v>
      </c>
      <c r="AC496" s="27" t="s">
        <v>8</v>
      </c>
      <c r="AD496" s="27" t="s">
        <v>7</v>
      </c>
      <c r="AE496" s="27" t="s">
        <v>8</v>
      </c>
      <c r="AH496" s="27" t="s">
        <v>7</v>
      </c>
      <c r="AK496" s="27" t="s">
        <v>8</v>
      </c>
      <c r="AL496" s="27" t="s">
        <v>7</v>
      </c>
      <c r="CC496" s="27" t="s">
        <v>8</v>
      </c>
      <c r="CD496" s="27" t="s">
        <v>7</v>
      </c>
      <c r="CE496" s="27" t="s">
        <v>8</v>
      </c>
      <c r="FV496" s="27" t="s">
        <v>7</v>
      </c>
      <c r="FW496" s="27" t="s">
        <v>8</v>
      </c>
      <c r="FX496" s="27" t="s">
        <v>7</v>
      </c>
      <c r="FY496" s="27" t="s">
        <v>8</v>
      </c>
      <c r="IV496" s="27" t="s">
        <v>7</v>
      </c>
      <c r="IW496" s="27" t="s">
        <v>8</v>
      </c>
      <c r="IX496" s="27" t="s">
        <v>7</v>
      </c>
      <c r="IY496" s="27" t="s">
        <v>8</v>
      </c>
      <c r="IZ496" s="27" t="s">
        <v>7</v>
      </c>
      <c r="JG496" s="27" t="s">
        <v>8</v>
      </c>
      <c r="JH496" s="27" t="s">
        <v>7</v>
      </c>
      <c r="JI496" s="27" t="s">
        <v>8</v>
      </c>
      <c r="JJ496" s="27" t="s">
        <v>7</v>
      </c>
      <c r="JK496" s="27" t="s">
        <v>8</v>
      </c>
      <c r="JL496" s="27" t="s">
        <v>7</v>
      </c>
    </row>
    <row r="497" spans="1:278" x14ac:dyDescent="0.25">
      <c r="A497" s="7">
        <v>5.9431331263054545</v>
      </c>
      <c r="B497"/>
      <c r="C497"/>
      <c r="D497"/>
      <c r="E497"/>
      <c r="W497" s="27" t="s">
        <v>8</v>
      </c>
      <c r="Z497" s="27" t="s">
        <v>7</v>
      </c>
      <c r="AA497" s="27" t="s">
        <v>8</v>
      </c>
      <c r="AB497" s="27" t="s">
        <v>7</v>
      </c>
      <c r="AC497" s="27" t="s">
        <v>8</v>
      </c>
      <c r="AD497" s="27" t="s">
        <v>7</v>
      </c>
      <c r="AE497" s="27" t="s">
        <v>8</v>
      </c>
      <c r="AH497" s="27" t="s">
        <v>7</v>
      </c>
      <c r="AK497" s="27" t="s">
        <v>8</v>
      </c>
      <c r="AL497" s="27" t="s">
        <v>7</v>
      </c>
      <c r="CC497" s="27" t="s">
        <v>8</v>
      </c>
      <c r="CD497" s="27" t="s">
        <v>7</v>
      </c>
      <c r="CE497" s="27" t="s">
        <v>8</v>
      </c>
      <c r="FV497" s="27" t="s">
        <v>7</v>
      </c>
      <c r="FW497" s="27" t="s">
        <v>8</v>
      </c>
      <c r="FX497" s="27" t="s">
        <v>7</v>
      </c>
      <c r="FY497" s="27" t="s">
        <v>8</v>
      </c>
      <c r="IV497" s="27" t="s">
        <v>7</v>
      </c>
      <c r="IW497" s="27" t="s">
        <v>8</v>
      </c>
      <c r="IX497" s="27" t="s">
        <v>7</v>
      </c>
      <c r="IY497" s="27" t="s">
        <v>8</v>
      </c>
      <c r="IZ497" s="27" t="s">
        <v>7</v>
      </c>
      <c r="JG497" s="27" t="s">
        <v>8</v>
      </c>
      <c r="JH497" s="27" t="s">
        <v>7</v>
      </c>
      <c r="JI497" s="27" t="s">
        <v>8</v>
      </c>
      <c r="JJ497" s="27" t="s">
        <v>7</v>
      </c>
      <c r="JK497" s="27" t="s">
        <v>8</v>
      </c>
      <c r="JL497" s="27" t="s">
        <v>7</v>
      </c>
    </row>
    <row r="498" spans="1:278" x14ac:dyDescent="0.25">
      <c r="A498" s="7">
        <v>5.8266011042210337</v>
      </c>
      <c r="B498"/>
      <c r="C498"/>
      <c r="D498"/>
      <c r="E498"/>
      <c r="W498" s="27" t="s">
        <v>8</v>
      </c>
      <c r="Z498" s="27" t="s">
        <v>7</v>
      </c>
      <c r="AA498" s="27" t="s">
        <v>8</v>
      </c>
      <c r="AB498" s="27" t="s">
        <v>7</v>
      </c>
      <c r="AC498" s="27" t="s">
        <v>8</v>
      </c>
      <c r="AD498" s="27" t="s">
        <v>7</v>
      </c>
      <c r="AH498" s="27" t="s">
        <v>7</v>
      </c>
      <c r="AK498" s="27" t="s">
        <v>8</v>
      </c>
      <c r="AL498" s="27" t="s">
        <v>7</v>
      </c>
      <c r="BQ498" s="27" t="s">
        <v>8</v>
      </c>
      <c r="CC498" s="27" t="s">
        <v>8</v>
      </c>
      <c r="CD498" s="27" t="s">
        <v>7</v>
      </c>
      <c r="CE498" s="27" t="s">
        <v>8</v>
      </c>
      <c r="FV498" s="27" t="s">
        <v>7</v>
      </c>
      <c r="FW498" s="27" t="s">
        <v>8</v>
      </c>
      <c r="FX498" s="27" t="s">
        <v>7</v>
      </c>
      <c r="FY498" s="27" t="s">
        <v>8</v>
      </c>
      <c r="IV498" s="27" t="s">
        <v>7</v>
      </c>
      <c r="IW498" s="27" t="s">
        <v>8</v>
      </c>
      <c r="IX498" s="27" t="s">
        <v>7</v>
      </c>
      <c r="IY498" s="27" t="s">
        <v>8</v>
      </c>
      <c r="IZ498" s="27" t="s">
        <v>7</v>
      </c>
      <c r="JG498" s="27" t="s">
        <v>8</v>
      </c>
      <c r="JH498" s="27" t="s">
        <v>7</v>
      </c>
      <c r="JI498" s="27" t="s">
        <v>8</v>
      </c>
      <c r="JJ498" s="27" t="s">
        <v>7</v>
      </c>
      <c r="JK498" s="27" t="s">
        <v>8</v>
      </c>
      <c r="JL498" s="27" t="s">
        <v>7</v>
      </c>
    </row>
    <row r="499" spans="1:278" x14ac:dyDescent="0.25">
      <c r="A499" s="7">
        <v>5.7123540237461112</v>
      </c>
      <c r="B499"/>
      <c r="C499"/>
      <c r="D499"/>
      <c r="E499"/>
      <c r="W499" s="27" t="s">
        <v>8</v>
      </c>
      <c r="Z499" s="27" t="s">
        <v>7</v>
      </c>
      <c r="AA499" s="27" t="s">
        <v>8</v>
      </c>
      <c r="AB499" s="27" t="s">
        <v>7</v>
      </c>
      <c r="AC499" s="27" t="s">
        <v>8</v>
      </c>
      <c r="AH499" s="27" t="s">
        <v>7</v>
      </c>
      <c r="AK499" s="27" t="s">
        <v>8</v>
      </c>
      <c r="AL499" s="27" t="s">
        <v>7</v>
      </c>
      <c r="BQ499" s="27" t="s">
        <v>8</v>
      </c>
      <c r="BR499" s="27" t="s">
        <v>7</v>
      </c>
      <c r="CC499" s="27" t="s">
        <v>8</v>
      </c>
      <c r="CD499" s="27" t="s">
        <v>7</v>
      </c>
      <c r="FV499" s="27" t="s">
        <v>7</v>
      </c>
      <c r="FW499" s="27" t="s">
        <v>8</v>
      </c>
      <c r="FX499" s="27" t="s">
        <v>7</v>
      </c>
      <c r="FY499" s="27" t="s">
        <v>8</v>
      </c>
      <c r="IV499" s="27" t="s">
        <v>7</v>
      </c>
      <c r="IW499" s="27" t="s">
        <v>8</v>
      </c>
      <c r="IX499" s="27" t="s">
        <v>7</v>
      </c>
      <c r="IY499" s="27" t="s">
        <v>8</v>
      </c>
      <c r="IZ499" s="27" t="s">
        <v>7</v>
      </c>
      <c r="JA499" s="27" t="s">
        <v>8</v>
      </c>
      <c r="JG499" s="27" t="s">
        <v>8</v>
      </c>
      <c r="JH499" s="27" t="s">
        <v>7</v>
      </c>
      <c r="JI499" s="27" t="s">
        <v>8</v>
      </c>
      <c r="JJ499" s="27" t="s">
        <v>7</v>
      </c>
      <c r="JK499" s="27" t="s">
        <v>8</v>
      </c>
      <c r="JL499" s="27" t="s">
        <v>7</v>
      </c>
    </row>
    <row r="500" spans="1:278" x14ac:dyDescent="0.25">
      <c r="A500" s="7">
        <v>5.6003470821040304</v>
      </c>
      <c r="B500"/>
      <c r="C500"/>
      <c r="D500"/>
      <c r="E500"/>
      <c r="W500" s="27" t="s">
        <v>8</v>
      </c>
      <c r="Z500" s="27" t="s">
        <v>7</v>
      </c>
      <c r="AA500" s="27" t="s">
        <v>8</v>
      </c>
      <c r="AB500" s="27" t="s">
        <v>7</v>
      </c>
      <c r="AC500" s="27" t="s">
        <v>8</v>
      </c>
      <c r="AH500" s="27" t="s">
        <v>7</v>
      </c>
      <c r="AK500" s="27" t="s">
        <v>8</v>
      </c>
      <c r="AL500" s="27" t="s">
        <v>7</v>
      </c>
      <c r="BO500" s="27" t="s">
        <v>8</v>
      </c>
      <c r="BQ500" s="27" t="s">
        <v>8</v>
      </c>
      <c r="BR500" s="27" t="s">
        <v>7</v>
      </c>
      <c r="CC500" s="27" t="s">
        <v>8</v>
      </c>
      <c r="FV500" s="27" t="s">
        <v>7</v>
      </c>
      <c r="FX500" s="27" t="s">
        <v>7</v>
      </c>
      <c r="IV500" s="27" t="s">
        <v>7</v>
      </c>
      <c r="IW500" s="27" t="s">
        <v>8</v>
      </c>
      <c r="IX500" s="27" t="s">
        <v>7</v>
      </c>
      <c r="IY500" s="27" t="s">
        <v>8</v>
      </c>
      <c r="IZ500" s="27" t="s">
        <v>7</v>
      </c>
      <c r="JA500" s="27" t="s">
        <v>8</v>
      </c>
      <c r="JB500" s="27" t="s">
        <v>7</v>
      </c>
      <c r="JG500" s="27" t="s">
        <v>8</v>
      </c>
      <c r="JH500" s="27" t="s">
        <v>7</v>
      </c>
      <c r="JJ500" s="27" t="s">
        <v>7</v>
      </c>
      <c r="JK500" s="27" t="s">
        <v>8</v>
      </c>
      <c r="JL500" s="27" t="s">
        <v>7</v>
      </c>
    </row>
    <row r="501" spans="1:278" x14ac:dyDescent="0.25">
      <c r="A501" s="7">
        <v>5.4905363550039512</v>
      </c>
      <c r="B501"/>
      <c r="C501"/>
      <c r="D501"/>
      <c r="E501"/>
      <c r="W501" s="27" t="s">
        <v>8</v>
      </c>
      <c r="Z501" s="27" t="s">
        <v>7</v>
      </c>
      <c r="AB501" s="27" t="s">
        <v>7</v>
      </c>
      <c r="AC501" s="27" t="s">
        <v>8</v>
      </c>
      <c r="AH501" s="27" t="s">
        <v>7</v>
      </c>
      <c r="AK501" s="27" t="s">
        <v>8</v>
      </c>
      <c r="AL501" s="27" t="s">
        <v>7</v>
      </c>
      <c r="AQ501" s="27" t="s">
        <v>8</v>
      </c>
      <c r="BO501" s="27" t="s">
        <v>8</v>
      </c>
      <c r="BP501" s="27" t="s">
        <v>7</v>
      </c>
      <c r="BQ501" s="27" t="s">
        <v>8</v>
      </c>
      <c r="BR501" s="27" t="s">
        <v>7</v>
      </c>
      <c r="BW501" s="27" t="s">
        <v>8</v>
      </c>
      <c r="CA501" s="27" t="s">
        <v>8</v>
      </c>
      <c r="CC501" s="27" t="s">
        <v>8</v>
      </c>
      <c r="IV501" s="27" t="s">
        <v>7</v>
      </c>
      <c r="IW501" s="27" t="s">
        <v>8</v>
      </c>
      <c r="IX501" s="27" t="s">
        <v>7</v>
      </c>
      <c r="IY501" s="27" t="s">
        <v>8</v>
      </c>
      <c r="IZ501" s="27" t="s">
        <v>7</v>
      </c>
      <c r="JA501" s="27" t="s">
        <v>8</v>
      </c>
      <c r="JB501" s="27" t="s">
        <v>7</v>
      </c>
      <c r="JE501" s="27" t="s">
        <v>8</v>
      </c>
      <c r="JG501" s="27" t="s">
        <v>8</v>
      </c>
      <c r="JJ501" s="27" t="s">
        <v>7</v>
      </c>
      <c r="JK501" s="27" t="s">
        <v>8</v>
      </c>
      <c r="JL501" s="27" t="s">
        <v>7</v>
      </c>
      <c r="JM501" s="27" t="s">
        <v>8</v>
      </c>
    </row>
    <row r="502" spans="1:278" x14ac:dyDescent="0.25">
      <c r="A502" s="7">
        <v>5.3828787794156385</v>
      </c>
      <c r="B502"/>
      <c r="C502"/>
      <c r="D502"/>
      <c r="E502"/>
      <c r="W502" s="27" t="s">
        <v>8</v>
      </c>
      <c r="AB502" s="27" t="s">
        <v>7</v>
      </c>
      <c r="AC502" s="27" t="s">
        <v>8</v>
      </c>
      <c r="AH502" s="27" t="s">
        <v>7</v>
      </c>
      <c r="AK502" s="27" t="s">
        <v>8</v>
      </c>
      <c r="AL502" s="27" t="s">
        <v>7</v>
      </c>
      <c r="AQ502" s="27" t="s">
        <v>8</v>
      </c>
      <c r="AR502" s="27" t="s">
        <v>7</v>
      </c>
      <c r="BM502" s="27" t="s">
        <v>8</v>
      </c>
      <c r="BO502" s="27" t="s">
        <v>8</v>
      </c>
      <c r="BP502" s="27" t="s">
        <v>7</v>
      </c>
      <c r="BQ502" s="27" t="s">
        <v>8</v>
      </c>
      <c r="BR502" s="27" t="s">
        <v>7</v>
      </c>
      <c r="BU502" s="27" t="s">
        <v>8</v>
      </c>
      <c r="BW502" s="27" t="s">
        <v>8</v>
      </c>
      <c r="BX502" s="27" t="s">
        <v>7</v>
      </c>
      <c r="CA502" s="27" t="s">
        <v>8</v>
      </c>
      <c r="CB502" s="27" t="s">
        <v>7</v>
      </c>
      <c r="CC502" s="27" t="s">
        <v>8</v>
      </c>
      <c r="IV502" s="27" t="s">
        <v>7</v>
      </c>
      <c r="IW502" s="27" t="s">
        <v>8</v>
      </c>
      <c r="IX502" s="27" t="s">
        <v>7</v>
      </c>
      <c r="IZ502" s="27" t="s">
        <v>7</v>
      </c>
      <c r="JA502" s="27" t="s">
        <v>8</v>
      </c>
      <c r="JB502" s="27" t="s">
        <v>7</v>
      </c>
      <c r="JE502" s="27" t="s">
        <v>8</v>
      </c>
      <c r="JF502" s="27" t="s">
        <v>7</v>
      </c>
      <c r="JG502" s="27" t="s">
        <v>8</v>
      </c>
      <c r="JJ502" s="27" t="s">
        <v>7</v>
      </c>
      <c r="JL502" s="27" t="s">
        <v>7</v>
      </c>
      <c r="JM502" s="27" t="s">
        <v>8</v>
      </c>
      <c r="JN502" s="27" t="s">
        <v>7</v>
      </c>
      <c r="JO502" s="27" t="s">
        <v>8</v>
      </c>
    </row>
    <row r="503" spans="1:278" x14ac:dyDescent="0.25">
      <c r="A503" s="7">
        <v>5.2773321366819985</v>
      </c>
      <c r="B503"/>
      <c r="C503"/>
      <c r="D503"/>
      <c r="E503"/>
      <c r="W503" s="27" t="s">
        <v>8</v>
      </c>
      <c r="AB503" s="27" t="s">
        <v>7</v>
      </c>
      <c r="AC503" s="27" t="s">
        <v>8</v>
      </c>
      <c r="AH503" s="27" t="s">
        <v>7</v>
      </c>
      <c r="AK503" s="27" t="s">
        <v>8</v>
      </c>
      <c r="AL503" s="27" t="s">
        <v>7</v>
      </c>
      <c r="AQ503" s="27" t="s">
        <v>8</v>
      </c>
      <c r="AR503" s="27" t="s">
        <v>7</v>
      </c>
      <c r="BM503" s="27" t="s">
        <v>8</v>
      </c>
      <c r="BN503" s="27" t="s">
        <v>7</v>
      </c>
      <c r="BO503" s="27" t="s">
        <v>8</v>
      </c>
      <c r="BP503" s="27" t="s">
        <v>7</v>
      </c>
      <c r="BQ503" s="27" t="s">
        <v>8</v>
      </c>
      <c r="BR503" s="27" t="s">
        <v>7</v>
      </c>
      <c r="BU503" s="27" t="s">
        <v>8</v>
      </c>
      <c r="BV503" s="27" t="s">
        <v>7</v>
      </c>
      <c r="BW503" s="27" t="s">
        <v>8</v>
      </c>
      <c r="BX503" s="27" t="s">
        <v>7</v>
      </c>
      <c r="CA503" s="27" t="s">
        <v>8</v>
      </c>
      <c r="CB503" s="27" t="s">
        <v>7</v>
      </c>
      <c r="CC503" s="27" t="s">
        <v>8</v>
      </c>
      <c r="IV503" s="27" t="s">
        <v>7</v>
      </c>
      <c r="IW503" s="27" t="s">
        <v>8</v>
      </c>
      <c r="IZ503" s="27" t="s">
        <v>7</v>
      </c>
      <c r="JB503" s="27" t="s">
        <v>7</v>
      </c>
      <c r="JC503" s="27" t="s">
        <v>8</v>
      </c>
      <c r="JE503" s="27" t="s">
        <v>8</v>
      </c>
      <c r="JF503" s="27" t="s">
        <v>7</v>
      </c>
      <c r="JG503" s="27" t="s">
        <v>8</v>
      </c>
      <c r="JL503" s="27" t="s">
        <v>7</v>
      </c>
      <c r="JM503" s="27" t="s">
        <v>8</v>
      </c>
      <c r="JN503" s="27" t="s">
        <v>7</v>
      </c>
      <c r="JO503" s="27" t="s">
        <v>8</v>
      </c>
      <c r="JP503" s="27" t="s">
        <v>7</v>
      </c>
    </row>
    <row r="504" spans="1:278" x14ac:dyDescent="0.25">
      <c r="A504" s="7">
        <v>5.1738550359627435</v>
      </c>
      <c r="B504"/>
      <c r="C504"/>
      <c r="D504"/>
      <c r="E504"/>
      <c r="W504" s="27" t="s">
        <v>8</v>
      </c>
      <c r="AB504" s="27" t="s">
        <v>7</v>
      </c>
      <c r="AH504" s="27" t="s">
        <v>7</v>
      </c>
      <c r="AI504" s="27" t="s">
        <v>8</v>
      </c>
      <c r="AK504" s="27" t="s">
        <v>8</v>
      </c>
      <c r="AL504" s="27" t="s">
        <v>7</v>
      </c>
      <c r="AQ504" s="27" t="s">
        <v>8</v>
      </c>
      <c r="AR504" s="27" t="s">
        <v>7</v>
      </c>
      <c r="BM504" s="27" t="s">
        <v>8</v>
      </c>
      <c r="BN504" s="27" t="s">
        <v>7</v>
      </c>
      <c r="BO504" s="27" t="s">
        <v>8</v>
      </c>
      <c r="BP504" s="27" t="s">
        <v>7</v>
      </c>
      <c r="BQ504" s="27" t="s">
        <v>8</v>
      </c>
      <c r="BR504" s="27" t="s">
        <v>7</v>
      </c>
      <c r="BU504" s="27" t="s">
        <v>8</v>
      </c>
      <c r="BV504" s="27" t="s">
        <v>7</v>
      </c>
      <c r="BW504" s="27" t="s">
        <v>8</v>
      </c>
      <c r="BX504" s="27" t="s">
        <v>7</v>
      </c>
      <c r="CA504" s="27" t="s">
        <v>8</v>
      </c>
      <c r="CB504" s="27" t="s">
        <v>7</v>
      </c>
      <c r="CC504" s="27" t="s">
        <v>8</v>
      </c>
      <c r="IV504" s="27" t="s">
        <v>7</v>
      </c>
      <c r="IW504" s="27" t="s">
        <v>8</v>
      </c>
      <c r="JB504" s="27" t="s">
        <v>7</v>
      </c>
      <c r="JC504" s="27" t="s">
        <v>8</v>
      </c>
      <c r="JD504" s="27" t="s">
        <v>7</v>
      </c>
      <c r="JE504" s="27" t="s">
        <v>8</v>
      </c>
      <c r="JF504" s="27" t="s">
        <v>7</v>
      </c>
      <c r="JG504" s="27" t="s">
        <v>8</v>
      </c>
      <c r="JL504" s="27" t="s">
        <v>7</v>
      </c>
      <c r="JM504" s="27" t="s">
        <v>8</v>
      </c>
      <c r="JN504" s="27" t="s">
        <v>7</v>
      </c>
      <c r="JO504" s="27" t="s">
        <v>8</v>
      </c>
      <c r="JP504" s="27" t="s">
        <v>7</v>
      </c>
    </row>
    <row r="505" spans="1:278" x14ac:dyDescent="0.25">
      <c r="A505" s="7">
        <v>5.07240689800269</v>
      </c>
      <c r="B505"/>
      <c r="C505"/>
      <c r="D505"/>
      <c r="E505"/>
      <c r="W505" s="27" t="s">
        <v>8</v>
      </c>
      <c r="AH505" s="27" t="s">
        <v>7</v>
      </c>
      <c r="AI505" s="27" t="s">
        <v>8</v>
      </c>
      <c r="AJ505" s="27" t="s">
        <v>7</v>
      </c>
      <c r="AK505" s="27" t="s">
        <v>8</v>
      </c>
      <c r="AL505" s="27" t="s">
        <v>7</v>
      </c>
      <c r="AQ505" s="27" t="s">
        <v>8</v>
      </c>
      <c r="AR505" s="27" t="s">
        <v>7</v>
      </c>
      <c r="BM505" s="27" t="s">
        <v>8</v>
      </c>
      <c r="BN505" s="27" t="s">
        <v>7</v>
      </c>
      <c r="BO505" s="27" t="s">
        <v>8</v>
      </c>
      <c r="BP505" s="27" t="s">
        <v>7</v>
      </c>
      <c r="BQ505" s="27" t="s">
        <v>8</v>
      </c>
      <c r="BR505" s="27" t="s">
        <v>7</v>
      </c>
      <c r="BU505" s="27" t="s">
        <v>8</v>
      </c>
      <c r="BV505" s="27" t="s">
        <v>7</v>
      </c>
      <c r="BW505" s="27" t="s">
        <v>8</v>
      </c>
      <c r="BX505" s="27" t="s">
        <v>7</v>
      </c>
      <c r="CA505" s="27" t="s">
        <v>8</v>
      </c>
      <c r="CB505" s="27" t="s">
        <v>7</v>
      </c>
      <c r="CC505" s="27" t="s">
        <v>8</v>
      </c>
      <c r="IV505" s="27" t="s">
        <v>7</v>
      </c>
      <c r="IW505" s="27" t="s">
        <v>8</v>
      </c>
      <c r="JB505" s="27" t="s">
        <v>7</v>
      </c>
      <c r="JC505" s="27" t="s">
        <v>8</v>
      </c>
      <c r="JD505" s="27" t="s">
        <v>7</v>
      </c>
      <c r="JE505" s="27" t="s">
        <v>8</v>
      </c>
      <c r="JF505" s="27" t="s">
        <v>7</v>
      </c>
      <c r="JG505" s="27" t="s">
        <v>8</v>
      </c>
      <c r="JL505" s="27" t="s">
        <v>7</v>
      </c>
      <c r="JM505" s="27" t="s">
        <v>8</v>
      </c>
      <c r="JN505" s="27" t="s">
        <v>7</v>
      </c>
      <c r="JO505" s="27" t="s">
        <v>8</v>
      </c>
      <c r="JP505" s="27" t="s">
        <v>7</v>
      </c>
    </row>
    <row r="506" spans="1:278" x14ac:dyDescent="0.25">
      <c r="A506" s="7">
        <v>4.9729479392183231</v>
      </c>
      <c r="B506"/>
      <c r="C506"/>
      <c r="D506"/>
      <c r="E506"/>
      <c r="U506" s="27" t="s">
        <v>8</v>
      </c>
      <c r="W506" s="27" t="s">
        <v>8</v>
      </c>
      <c r="AH506" s="27" t="s">
        <v>7</v>
      </c>
      <c r="AI506" s="27" t="s">
        <v>8</v>
      </c>
      <c r="AJ506" s="27" t="s">
        <v>7</v>
      </c>
      <c r="AK506" s="27" t="s">
        <v>8</v>
      </c>
      <c r="AL506" s="27" t="s">
        <v>7</v>
      </c>
      <c r="AM506" s="27" t="s">
        <v>8</v>
      </c>
      <c r="AQ506" s="27" t="s">
        <v>8</v>
      </c>
      <c r="AR506" s="27" t="s">
        <v>7</v>
      </c>
      <c r="AS506" s="27" t="s">
        <v>8</v>
      </c>
      <c r="BM506" s="27" t="s">
        <v>8</v>
      </c>
      <c r="BN506" s="27" t="s">
        <v>7</v>
      </c>
      <c r="BO506" s="27" t="s">
        <v>8</v>
      </c>
      <c r="BP506" s="27" t="s">
        <v>7</v>
      </c>
      <c r="BQ506" s="27" t="s">
        <v>8</v>
      </c>
      <c r="BR506" s="27" t="s">
        <v>7</v>
      </c>
      <c r="BU506" s="27" t="s">
        <v>8</v>
      </c>
      <c r="BV506" s="27" t="s">
        <v>7</v>
      </c>
      <c r="BW506" s="27" t="s">
        <v>8</v>
      </c>
      <c r="BX506" s="27" t="s">
        <v>7</v>
      </c>
      <c r="CA506" s="27" t="s">
        <v>8</v>
      </c>
      <c r="CB506" s="27" t="s">
        <v>7</v>
      </c>
      <c r="IV506" s="27" t="s">
        <v>7</v>
      </c>
      <c r="IW506" s="27" t="s">
        <v>8</v>
      </c>
      <c r="JB506" s="27" t="s">
        <v>7</v>
      </c>
      <c r="JC506" s="27" t="s">
        <v>8</v>
      </c>
      <c r="JD506" s="27" t="s">
        <v>7</v>
      </c>
      <c r="JE506" s="27" t="s">
        <v>8</v>
      </c>
      <c r="JF506" s="27" t="s">
        <v>7</v>
      </c>
      <c r="JG506" s="27" t="s">
        <v>8</v>
      </c>
      <c r="JL506" s="27" t="s">
        <v>7</v>
      </c>
      <c r="JM506" s="27" t="s">
        <v>8</v>
      </c>
      <c r="JN506" s="27" t="s">
        <v>7</v>
      </c>
      <c r="JP506" s="27" t="s">
        <v>7</v>
      </c>
    </row>
    <row r="507" spans="1:278" x14ac:dyDescent="0.25">
      <c r="A507" s="7">
        <v>4.8754391560963954</v>
      </c>
      <c r="B507"/>
      <c r="C507"/>
      <c r="D507"/>
      <c r="E507"/>
      <c r="U507" s="27" t="s">
        <v>8</v>
      </c>
      <c r="V507" s="27" t="s">
        <v>7</v>
      </c>
      <c r="W507" s="27" t="s">
        <v>8</v>
      </c>
      <c r="AH507" s="27" t="s">
        <v>7</v>
      </c>
      <c r="AI507" s="27" t="s">
        <v>8</v>
      </c>
      <c r="AJ507" s="27" t="s">
        <v>7</v>
      </c>
      <c r="AK507" s="27" t="s">
        <v>8</v>
      </c>
      <c r="AL507" s="27" t="s">
        <v>7</v>
      </c>
      <c r="AM507" s="27" t="s">
        <v>8</v>
      </c>
      <c r="AN507" s="27" t="s">
        <v>7</v>
      </c>
      <c r="AQ507" s="27" t="s">
        <v>8</v>
      </c>
      <c r="AR507" s="27" t="s">
        <v>7</v>
      </c>
      <c r="AS507" s="27" t="s">
        <v>8</v>
      </c>
      <c r="AT507" s="27" t="s">
        <v>7</v>
      </c>
      <c r="BG507" s="27" t="s">
        <v>8</v>
      </c>
      <c r="BM507" s="27" t="s">
        <v>8</v>
      </c>
      <c r="BN507" s="27" t="s">
        <v>7</v>
      </c>
      <c r="BO507" s="27" t="s">
        <v>8</v>
      </c>
      <c r="BP507" s="27" t="s">
        <v>7</v>
      </c>
      <c r="BQ507" s="27" t="s">
        <v>8</v>
      </c>
      <c r="BR507" s="27" t="s">
        <v>7</v>
      </c>
      <c r="BU507" s="27" t="s">
        <v>8</v>
      </c>
      <c r="BV507" s="27" t="s">
        <v>7</v>
      </c>
      <c r="BW507" s="27" t="s">
        <v>8</v>
      </c>
      <c r="BX507" s="27" t="s">
        <v>7</v>
      </c>
      <c r="BY507" s="27" t="s">
        <v>8</v>
      </c>
      <c r="CA507" s="27" t="s">
        <v>8</v>
      </c>
      <c r="IV507" s="27" t="s">
        <v>7</v>
      </c>
      <c r="IW507" s="27" t="s">
        <v>8</v>
      </c>
      <c r="JB507" s="27" t="s">
        <v>7</v>
      </c>
      <c r="JC507" s="27" t="s">
        <v>8</v>
      </c>
      <c r="JD507" s="27" t="s">
        <v>7</v>
      </c>
      <c r="JE507" s="27" t="s">
        <v>8</v>
      </c>
      <c r="JF507" s="27" t="s">
        <v>7</v>
      </c>
      <c r="JL507" s="27" t="s">
        <v>7</v>
      </c>
      <c r="JM507" s="27" t="s">
        <v>8</v>
      </c>
      <c r="JP507" s="27" t="s">
        <v>7</v>
      </c>
    </row>
    <row r="508" spans="1:278" x14ac:dyDescent="0.25">
      <c r="A508" s="7">
        <v>4.7798423098984264</v>
      </c>
      <c r="B508"/>
      <c r="C508"/>
      <c r="D508"/>
      <c r="E508"/>
      <c r="U508" s="27" t="s">
        <v>8</v>
      </c>
      <c r="V508" s="27" t="s">
        <v>7</v>
      </c>
      <c r="W508" s="27" t="s">
        <v>8</v>
      </c>
      <c r="AH508" s="27" t="s">
        <v>7</v>
      </c>
      <c r="AI508" s="27" t="s">
        <v>8</v>
      </c>
      <c r="AJ508" s="27" t="s">
        <v>7</v>
      </c>
      <c r="AK508" s="27" t="s">
        <v>8</v>
      </c>
      <c r="AL508" s="27" t="s">
        <v>7</v>
      </c>
      <c r="AM508" s="27" t="s">
        <v>8</v>
      </c>
      <c r="AN508" s="27" t="s">
        <v>7</v>
      </c>
      <c r="AQ508" s="27" t="s">
        <v>8</v>
      </c>
      <c r="AR508" s="27" t="s">
        <v>7</v>
      </c>
      <c r="AS508" s="27" t="s">
        <v>8</v>
      </c>
      <c r="AT508" s="27" t="s">
        <v>7</v>
      </c>
      <c r="AY508" s="27" t="s">
        <v>8</v>
      </c>
      <c r="BG508" s="27" t="s">
        <v>8</v>
      </c>
      <c r="BH508" s="27" t="s">
        <v>7</v>
      </c>
      <c r="BM508" s="27" t="s">
        <v>8</v>
      </c>
      <c r="BN508" s="27" t="s">
        <v>7</v>
      </c>
      <c r="BO508" s="27" t="s">
        <v>8</v>
      </c>
      <c r="BP508" s="27" t="s">
        <v>7</v>
      </c>
      <c r="BQ508" s="27" t="s">
        <v>8</v>
      </c>
      <c r="BR508" s="27" t="s">
        <v>7</v>
      </c>
      <c r="BU508" s="27" t="s">
        <v>8</v>
      </c>
      <c r="BV508" s="27" t="s">
        <v>7</v>
      </c>
      <c r="BX508" s="27" t="s">
        <v>7</v>
      </c>
      <c r="BY508" s="27" t="s">
        <v>8</v>
      </c>
      <c r="BZ508" s="27" t="s">
        <v>7</v>
      </c>
      <c r="CA508" s="27" t="s">
        <v>8</v>
      </c>
      <c r="IV508" s="27" t="s">
        <v>7</v>
      </c>
      <c r="IW508" s="27" t="s">
        <v>8</v>
      </c>
      <c r="JB508" s="27" t="s">
        <v>7</v>
      </c>
      <c r="JD508" s="27" t="s">
        <v>7</v>
      </c>
      <c r="JL508" s="27" t="s">
        <v>7</v>
      </c>
      <c r="JM508" s="27" t="s">
        <v>8</v>
      </c>
      <c r="JP508" s="27" t="s">
        <v>7</v>
      </c>
      <c r="JQ508" s="27" t="s">
        <v>8</v>
      </c>
    </row>
    <row r="509" spans="1:278" x14ac:dyDescent="0.25">
      <c r="A509" s="7">
        <v>4.6861199116651235</v>
      </c>
      <c r="B509"/>
      <c r="C509"/>
      <c r="D509"/>
      <c r="E509"/>
      <c r="S509" s="27" t="s">
        <v>8</v>
      </c>
      <c r="U509" s="27" t="s">
        <v>8</v>
      </c>
      <c r="V509" s="27" t="s">
        <v>7</v>
      </c>
      <c r="W509" s="27" t="s">
        <v>8</v>
      </c>
      <c r="AH509" s="27" t="s">
        <v>7</v>
      </c>
      <c r="AI509" s="27" t="s">
        <v>8</v>
      </c>
      <c r="AJ509" s="27" t="s">
        <v>7</v>
      </c>
      <c r="AK509" s="27" t="s">
        <v>8</v>
      </c>
      <c r="AL509" s="27" t="s">
        <v>7</v>
      </c>
      <c r="AM509" s="27" t="s">
        <v>8</v>
      </c>
      <c r="AN509" s="27" t="s">
        <v>7</v>
      </c>
      <c r="AQ509" s="27" t="s">
        <v>8</v>
      </c>
      <c r="AR509" s="27" t="s">
        <v>7</v>
      </c>
      <c r="AS509" s="27" t="s">
        <v>8</v>
      </c>
      <c r="AT509" s="27" t="s">
        <v>7</v>
      </c>
      <c r="AY509" s="27" t="s">
        <v>8</v>
      </c>
      <c r="AZ509" s="27" t="s">
        <v>7</v>
      </c>
      <c r="BG509" s="27" t="s">
        <v>8</v>
      </c>
      <c r="BH509" s="27" t="s">
        <v>7</v>
      </c>
      <c r="BM509" s="27" t="s">
        <v>8</v>
      </c>
      <c r="BN509" s="27" t="s">
        <v>7</v>
      </c>
      <c r="BO509" s="27" t="s">
        <v>8</v>
      </c>
      <c r="BP509" s="27" t="s">
        <v>7</v>
      </c>
      <c r="BR509" s="27" t="s">
        <v>7</v>
      </c>
      <c r="BU509" s="27" t="s">
        <v>8</v>
      </c>
      <c r="BX509" s="27" t="s">
        <v>7</v>
      </c>
      <c r="BY509" s="27" t="s">
        <v>8</v>
      </c>
      <c r="BZ509" s="27" t="s">
        <v>7</v>
      </c>
      <c r="CA509" s="27" t="s">
        <v>8</v>
      </c>
      <c r="IV509" s="27" t="s">
        <v>7</v>
      </c>
      <c r="IW509" s="27" t="s">
        <v>8</v>
      </c>
      <c r="JL509" s="27" t="s">
        <v>7</v>
      </c>
      <c r="JP509" s="27" t="s">
        <v>7</v>
      </c>
      <c r="JQ509" s="27" t="s">
        <v>8</v>
      </c>
      <c r="JR509" s="27" t="s">
        <v>7</v>
      </c>
    </row>
    <row r="510" spans="1:278" x14ac:dyDescent="0.25">
      <c r="A510" s="7">
        <v>4.5942352075148269</v>
      </c>
      <c r="B510"/>
      <c r="C510"/>
      <c r="D510"/>
      <c r="E510"/>
      <c r="S510" s="27" t="s">
        <v>8</v>
      </c>
      <c r="T510" s="27" t="s">
        <v>7</v>
      </c>
      <c r="U510" s="27" t="s">
        <v>8</v>
      </c>
      <c r="V510" s="27" t="s">
        <v>7</v>
      </c>
      <c r="W510" s="27" t="s">
        <v>8</v>
      </c>
      <c r="AH510" s="27" t="s">
        <v>7</v>
      </c>
      <c r="AI510" s="27" t="s">
        <v>8</v>
      </c>
      <c r="AJ510" s="27" t="s">
        <v>7</v>
      </c>
      <c r="AK510" s="27" t="s">
        <v>8</v>
      </c>
      <c r="AL510" s="27" t="s">
        <v>7</v>
      </c>
      <c r="AM510" s="27" t="s">
        <v>8</v>
      </c>
      <c r="AN510" s="27" t="s">
        <v>7</v>
      </c>
      <c r="AQ510" s="27" t="s">
        <v>8</v>
      </c>
      <c r="AR510" s="27" t="s">
        <v>7</v>
      </c>
      <c r="AS510" s="27" t="s">
        <v>8</v>
      </c>
      <c r="AT510" s="27" t="s">
        <v>7</v>
      </c>
      <c r="AY510" s="27" t="s">
        <v>8</v>
      </c>
      <c r="AZ510" s="27" t="s">
        <v>7</v>
      </c>
      <c r="BE510" s="27" t="s">
        <v>8</v>
      </c>
      <c r="BG510" s="27" t="s">
        <v>8</v>
      </c>
      <c r="BH510" s="27" t="s">
        <v>7</v>
      </c>
      <c r="BM510" s="27" t="s">
        <v>8</v>
      </c>
      <c r="BN510" s="27" t="s">
        <v>7</v>
      </c>
      <c r="BO510" s="27" t="s">
        <v>8</v>
      </c>
      <c r="BR510" s="27" t="s">
        <v>7</v>
      </c>
      <c r="BS510" s="27" t="s">
        <v>8</v>
      </c>
      <c r="BU510" s="27" t="s">
        <v>8</v>
      </c>
      <c r="BX510" s="27" t="s">
        <v>7</v>
      </c>
      <c r="BY510" s="27" t="s">
        <v>8</v>
      </c>
      <c r="BZ510" s="27" t="s">
        <v>7</v>
      </c>
      <c r="CA510" s="27" t="s">
        <v>8</v>
      </c>
      <c r="IV510" s="27" t="s">
        <v>7</v>
      </c>
      <c r="IW510" s="27" t="s">
        <v>8</v>
      </c>
      <c r="JP510" s="27" t="s">
        <v>7</v>
      </c>
      <c r="JQ510" s="27" t="s">
        <v>8</v>
      </c>
      <c r="JR510" s="27" t="s">
        <v>7</v>
      </c>
    </row>
    <row r="511" spans="1:278" x14ac:dyDescent="0.25">
      <c r="A511" s="7">
        <v>4.5041521642302227</v>
      </c>
      <c r="B511"/>
      <c r="C511"/>
      <c r="D511"/>
      <c r="E511"/>
      <c r="S511" s="27" t="s">
        <v>8</v>
      </c>
      <c r="T511" s="27" t="s">
        <v>7</v>
      </c>
      <c r="U511" s="27" t="s">
        <v>8</v>
      </c>
      <c r="V511" s="27" t="s">
        <v>7</v>
      </c>
      <c r="W511" s="27" t="s">
        <v>8</v>
      </c>
      <c r="AH511" s="27" t="s">
        <v>7</v>
      </c>
      <c r="AI511" s="27" t="s">
        <v>8</v>
      </c>
      <c r="AJ511" s="27" t="s">
        <v>7</v>
      </c>
      <c r="AK511" s="27" t="s">
        <v>8</v>
      </c>
      <c r="AL511" s="27" t="s">
        <v>7</v>
      </c>
      <c r="AM511" s="27" t="s">
        <v>8</v>
      </c>
      <c r="AN511" s="27" t="s">
        <v>7</v>
      </c>
      <c r="AQ511" s="27" t="s">
        <v>8</v>
      </c>
      <c r="AR511" s="27" t="s">
        <v>7</v>
      </c>
      <c r="AS511" s="27" t="s">
        <v>8</v>
      </c>
      <c r="AT511" s="27" t="s">
        <v>7</v>
      </c>
      <c r="AU511" s="27" t="s">
        <v>8</v>
      </c>
      <c r="AY511" s="27" t="s">
        <v>8</v>
      </c>
      <c r="AZ511" s="27" t="s">
        <v>7</v>
      </c>
      <c r="BE511" s="27" t="s">
        <v>8</v>
      </c>
      <c r="BF511" s="27" t="s">
        <v>7</v>
      </c>
      <c r="BG511" s="27" t="s">
        <v>8</v>
      </c>
      <c r="BH511" s="27" t="s">
        <v>7</v>
      </c>
      <c r="BK511" s="27" t="s">
        <v>8</v>
      </c>
      <c r="BM511" s="27" t="s">
        <v>8</v>
      </c>
      <c r="BN511" s="27" t="s">
        <v>7</v>
      </c>
      <c r="BR511" s="27" t="s">
        <v>7</v>
      </c>
      <c r="BS511" s="27" t="s">
        <v>8</v>
      </c>
      <c r="BT511" s="27" t="s">
        <v>7</v>
      </c>
      <c r="BU511" s="27" t="s">
        <v>8</v>
      </c>
      <c r="BX511" s="27" t="s">
        <v>7</v>
      </c>
      <c r="BY511" s="27" t="s">
        <v>8</v>
      </c>
      <c r="BZ511" s="27" t="s">
        <v>7</v>
      </c>
      <c r="CA511" s="27" t="s">
        <v>8</v>
      </c>
      <c r="IV511" s="27" t="s">
        <v>7</v>
      </c>
      <c r="IW511" s="27" t="s">
        <v>8</v>
      </c>
      <c r="JP511" s="27" t="s">
        <v>7</v>
      </c>
      <c r="JQ511" s="27" t="s">
        <v>8</v>
      </c>
      <c r="JR511" s="27" t="s">
        <v>7</v>
      </c>
    </row>
    <row r="512" spans="1:278" x14ac:dyDescent="0.25">
      <c r="A512" s="7">
        <v>4.4158354551276693</v>
      </c>
      <c r="B512"/>
      <c r="C512"/>
      <c r="D512"/>
      <c r="E512"/>
      <c r="Q512" s="27" t="s">
        <v>8</v>
      </c>
      <c r="S512" s="27" t="s">
        <v>8</v>
      </c>
      <c r="T512" s="27" t="s">
        <v>7</v>
      </c>
      <c r="U512" s="27" t="s">
        <v>8</v>
      </c>
      <c r="V512" s="27" t="s">
        <v>7</v>
      </c>
      <c r="W512" s="27" t="s">
        <v>8</v>
      </c>
      <c r="AH512" s="27" t="s">
        <v>7</v>
      </c>
      <c r="AI512" s="27" t="s">
        <v>8</v>
      </c>
      <c r="AJ512" s="27" t="s">
        <v>7</v>
      </c>
      <c r="AK512" s="27" t="s">
        <v>8</v>
      </c>
      <c r="AL512" s="27" t="s">
        <v>7</v>
      </c>
      <c r="AM512" s="27" t="s">
        <v>8</v>
      </c>
      <c r="AN512" s="27" t="s">
        <v>7</v>
      </c>
      <c r="AO512" s="27" t="s">
        <v>8</v>
      </c>
      <c r="AQ512" s="27" t="s">
        <v>8</v>
      </c>
      <c r="AR512" s="27" t="s">
        <v>7</v>
      </c>
      <c r="AT512" s="27" t="s">
        <v>7</v>
      </c>
      <c r="AU512" s="27" t="s">
        <v>8</v>
      </c>
      <c r="AV512" s="27" t="s">
        <v>7</v>
      </c>
      <c r="AW512" s="27" t="s">
        <v>8</v>
      </c>
      <c r="AY512" s="27" t="s">
        <v>8</v>
      </c>
      <c r="AZ512" s="27" t="s">
        <v>7</v>
      </c>
      <c r="BE512" s="27" t="s">
        <v>8</v>
      </c>
      <c r="BF512" s="27" t="s">
        <v>7</v>
      </c>
      <c r="BG512" s="27" t="s">
        <v>8</v>
      </c>
      <c r="BH512" s="27" t="s">
        <v>7</v>
      </c>
      <c r="BI512" s="27" t="s">
        <v>8</v>
      </c>
      <c r="BK512" s="27" t="s">
        <v>8</v>
      </c>
      <c r="BL512" s="27" t="s">
        <v>7</v>
      </c>
      <c r="BM512" s="27" t="s">
        <v>8</v>
      </c>
      <c r="BR512" s="27" t="s">
        <v>7</v>
      </c>
      <c r="BS512" s="27" t="s">
        <v>8</v>
      </c>
      <c r="BT512" s="27" t="s">
        <v>7</v>
      </c>
      <c r="BU512" s="27" t="s">
        <v>8</v>
      </c>
      <c r="BX512" s="27" t="s">
        <v>7</v>
      </c>
      <c r="BY512" s="27" t="s">
        <v>8</v>
      </c>
      <c r="BZ512" s="27" t="s">
        <v>7</v>
      </c>
      <c r="CA512" s="27" t="s">
        <v>8</v>
      </c>
      <c r="IV512" s="27" t="s">
        <v>7</v>
      </c>
      <c r="JP512" s="27" t="s">
        <v>7</v>
      </c>
      <c r="JQ512" s="27" t="s">
        <v>8</v>
      </c>
    </row>
    <row r="513" spans="1:277" x14ac:dyDescent="0.25">
      <c r="A513" s="7">
        <v>4.3292504462035977</v>
      </c>
      <c r="B513"/>
      <c r="C513"/>
      <c r="D513"/>
      <c r="E513"/>
      <c r="Q513" s="27" t="s">
        <v>8</v>
      </c>
      <c r="R513" s="27" t="s">
        <v>7</v>
      </c>
      <c r="S513" s="27" t="s">
        <v>8</v>
      </c>
      <c r="T513" s="27" t="s">
        <v>7</v>
      </c>
      <c r="U513" s="27" t="s">
        <v>8</v>
      </c>
      <c r="V513" s="27" t="s">
        <v>7</v>
      </c>
      <c r="W513" s="27" t="s">
        <v>8</v>
      </c>
      <c r="AH513" s="27" t="s">
        <v>7</v>
      </c>
      <c r="AI513" s="27" t="s">
        <v>8</v>
      </c>
      <c r="AJ513" s="27" t="s">
        <v>7</v>
      </c>
      <c r="AK513" s="27" t="s">
        <v>8</v>
      </c>
      <c r="AL513" s="27" t="s">
        <v>7</v>
      </c>
      <c r="AM513" s="27" t="s">
        <v>8</v>
      </c>
      <c r="AN513" s="27" t="s">
        <v>7</v>
      </c>
      <c r="AO513" s="27" t="s">
        <v>8</v>
      </c>
      <c r="AP513" s="27" t="s">
        <v>7</v>
      </c>
      <c r="AQ513" s="27" t="s">
        <v>8</v>
      </c>
      <c r="AT513" s="27" t="s">
        <v>7</v>
      </c>
      <c r="AU513" s="27" t="s">
        <v>8</v>
      </c>
      <c r="AV513" s="27" t="s">
        <v>7</v>
      </c>
      <c r="AW513" s="27" t="s">
        <v>8</v>
      </c>
      <c r="AX513" s="27" t="s">
        <v>7</v>
      </c>
      <c r="AY513" s="27" t="s">
        <v>8</v>
      </c>
      <c r="AZ513" s="27" t="s">
        <v>7</v>
      </c>
      <c r="BE513" s="27" t="s">
        <v>8</v>
      </c>
      <c r="BF513" s="27" t="s">
        <v>7</v>
      </c>
      <c r="BG513" s="27" t="s">
        <v>8</v>
      </c>
      <c r="BH513" s="27" t="s">
        <v>7</v>
      </c>
      <c r="BI513" s="27" t="s">
        <v>8</v>
      </c>
      <c r="BJ513" s="27" t="s">
        <v>7</v>
      </c>
      <c r="BK513" s="27" t="s">
        <v>8</v>
      </c>
      <c r="BL513" s="27" t="s">
        <v>7</v>
      </c>
      <c r="BM513" s="27" t="s">
        <v>8</v>
      </c>
      <c r="BR513" s="27" t="s">
        <v>7</v>
      </c>
      <c r="BS513" s="27" t="s">
        <v>8</v>
      </c>
      <c r="BT513" s="27" t="s">
        <v>7</v>
      </c>
      <c r="BU513" s="27" t="s">
        <v>8</v>
      </c>
      <c r="BX513" s="27" t="s">
        <v>7</v>
      </c>
      <c r="BZ513" s="27" t="s">
        <v>7</v>
      </c>
      <c r="CA513" s="27" t="s">
        <v>8</v>
      </c>
      <c r="JP513" s="27" t="s">
        <v>7</v>
      </c>
      <c r="JQ513" s="27" t="s">
        <v>8</v>
      </c>
    </row>
    <row r="514" spans="1:277" x14ac:dyDescent="0.25">
      <c r="A514" s="7">
        <v>4.2443631825525463</v>
      </c>
      <c r="B514"/>
      <c r="C514"/>
      <c r="D514"/>
      <c r="E514"/>
      <c r="Q514" s="27" t="s">
        <v>8</v>
      </c>
      <c r="R514" s="27" t="s">
        <v>7</v>
      </c>
      <c r="S514" s="27" t="s">
        <v>8</v>
      </c>
      <c r="T514" s="27" t="s">
        <v>7</v>
      </c>
      <c r="U514" s="27" t="s">
        <v>8</v>
      </c>
      <c r="V514" s="27" t="s">
        <v>7</v>
      </c>
      <c r="AH514" s="27" t="s">
        <v>7</v>
      </c>
      <c r="AI514" s="27" t="s">
        <v>8</v>
      </c>
      <c r="AJ514" s="27" t="s">
        <v>7</v>
      </c>
      <c r="AK514" s="27" t="s">
        <v>8</v>
      </c>
      <c r="AL514" s="27" t="s">
        <v>7</v>
      </c>
      <c r="AM514" s="27" t="s">
        <v>8</v>
      </c>
      <c r="AN514" s="27" t="s">
        <v>7</v>
      </c>
      <c r="AO514" s="27" t="s">
        <v>8</v>
      </c>
      <c r="AP514" s="27" t="s">
        <v>7</v>
      </c>
      <c r="AQ514" s="27" t="s">
        <v>8</v>
      </c>
      <c r="AT514" s="27" t="s">
        <v>7</v>
      </c>
      <c r="AU514" s="27" t="s">
        <v>8</v>
      </c>
      <c r="AV514" s="27" t="s">
        <v>7</v>
      </c>
      <c r="AW514" s="27" t="s">
        <v>8</v>
      </c>
      <c r="AX514" s="27" t="s">
        <v>7</v>
      </c>
      <c r="AY514" s="27" t="s">
        <v>8</v>
      </c>
      <c r="AZ514" s="27" t="s">
        <v>7</v>
      </c>
      <c r="BE514" s="27" t="s">
        <v>8</v>
      </c>
      <c r="BF514" s="27" t="s">
        <v>7</v>
      </c>
      <c r="BG514" s="27" t="s">
        <v>8</v>
      </c>
      <c r="BH514" s="27" t="s">
        <v>7</v>
      </c>
      <c r="BI514" s="27" t="s">
        <v>8</v>
      </c>
      <c r="BJ514" s="27" t="s">
        <v>7</v>
      </c>
      <c r="BK514" s="27" t="s">
        <v>8</v>
      </c>
      <c r="BL514" s="27" t="s">
        <v>7</v>
      </c>
      <c r="BM514" s="27" t="s">
        <v>8</v>
      </c>
      <c r="BR514" s="27" t="s">
        <v>7</v>
      </c>
      <c r="BS514" s="27" t="s">
        <v>8</v>
      </c>
      <c r="BT514" s="27" t="s">
        <v>7</v>
      </c>
      <c r="BU514" s="27" t="s">
        <v>8</v>
      </c>
      <c r="BZ514" s="27" t="s">
        <v>7</v>
      </c>
      <c r="CA514" s="27" t="s">
        <v>8</v>
      </c>
      <c r="JP514" s="27" t="s">
        <v>7</v>
      </c>
      <c r="JQ514" s="27" t="s">
        <v>8</v>
      </c>
    </row>
    <row r="515" spans="1:277" x14ac:dyDescent="0.25">
      <c r="A515" s="7">
        <v>4.1611403750515157</v>
      </c>
      <c r="B515"/>
      <c r="C515"/>
      <c r="D515"/>
      <c r="E515"/>
      <c r="I515" s="27" t="s">
        <v>8</v>
      </c>
      <c r="Q515" s="27" t="s">
        <v>8</v>
      </c>
      <c r="R515" s="27" t="s">
        <v>7</v>
      </c>
      <c r="S515" s="27" t="s">
        <v>8</v>
      </c>
      <c r="T515" s="27" t="s">
        <v>7</v>
      </c>
      <c r="AH515" s="27" t="s">
        <v>7</v>
      </c>
      <c r="AI515" s="27" t="s">
        <v>8</v>
      </c>
      <c r="AJ515" s="27" t="s">
        <v>7</v>
      </c>
      <c r="AK515" s="27" t="s">
        <v>8</v>
      </c>
      <c r="AL515" s="27" t="s">
        <v>7</v>
      </c>
      <c r="AN515" s="27" t="s">
        <v>7</v>
      </c>
      <c r="AO515" s="27" t="s">
        <v>8</v>
      </c>
      <c r="AP515" s="27" t="s">
        <v>7</v>
      </c>
      <c r="AQ515" s="27" t="s">
        <v>8</v>
      </c>
      <c r="AT515" s="27" t="s">
        <v>7</v>
      </c>
      <c r="AU515" s="27" t="s">
        <v>8</v>
      </c>
      <c r="AV515" s="27" t="s">
        <v>7</v>
      </c>
      <c r="AW515" s="27" t="s">
        <v>8</v>
      </c>
      <c r="AX515" s="27" t="s">
        <v>7</v>
      </c>
      <c r="AY515" s="27" t="s">
        <v>8</v>
      </c>
      <c r="AZ515" s="27" t="s">
        <v>7</v>
      </c>
      <c r="BE515" s="27" t="s">
        <v>8</v>
      </c>
      <c r="BF515" s="27" t="s">
        <v>7</v>
      </c>
      <c r="BG515" s="27" t="s">
        <v>8</v>
      </c>
      <c r="BH515" s="27" t="s">
        <v>7</v>
      </c>
      <c r="BI515" s="27" t="s">
        <v>8</v>
      </c>
      <c r="BJ515" s="27" t="s">
        <v>7</v>
      </c>
      <c r="BK515" s="27" t="s">
        <v>8</v>
      </c>
      <c r="BL515" s="27" t="s">
        <v>7</v>
      </c>
      <c r="BM515" s="27" t="s">
        <v>8</v>
      </c>
      <c r="BR515" s="27" t="s">
        <v>7</v>
      </c>
      <c r="BS515" s="27" t="s">
        <v>8</v>
      </c>
      <c r="BT515" s="27" t="s">
        <v>7</v>
      </c>
      <c r="BU515" s="27" t="s">
        <v>8</v>
      </c>
      <c r="BZ515" s="27" t="s">
        <v>7</v>
      </c>
      <c r="JP515" s="27" t="s">
        <v>7</v>
      </c>
      <c r="JQ515" s="27" t="s">
        <v>8</v>
      </c>
    </row>
    <row r="516" spans="1:277" x14ac:dyDescent="0.25">
      <c r="A516" s="7">
        <v>4.0795493873054074</v>
      </c>
      <c r="B516"/>
      <c r="C516"/>
      <c r="D516"/>
      <c r="E516"/>
      <c r="I516" s="27" t="s">
        <v>8</v>
      </c>
      <c r="J516" s="27" t="s">
        <v>7</v>
      </c>
      <c r="Q516" s="27" t="s">
        <v>8</v>
      </c>
      <c r="R516" s="27" t="s">
        <v>7</v>
      </c>
      <c r="S516" s="27" t="s">
        <v>8</v>
      </c>
      <c r="AH516" s="27" t="s">
        <v>7</v>
      </c>
      <c r="AI516" s="27" t="s">
        <v>8</v>
      </c>
      <c r="AJ516" s="27" t="s">
        <v>7</v>
      </c>
      <c r="AN516" s="27" t="s">
        <v>7</v>
      </c>
      <c r="AO516" s="27" t="s">
        <v>8</v>
      </c>
      <c r="AP516" s="27" t="s">
        <v>7</v>
      </c>
      <c r="AQ516" s="27" t="s">
        <v>8</v>
      </c>
      <c r="AT516" s="27" t="s">
        <v>7</v>
      </c>
      <c r="AU516" s="27" t="s">
        <v>8</v>
      </c>
      <c r="AV516" s="27" t="s">
        <v>7</v>
      </c>
      <c r="AW516" s="27" t="s">
        <v>8</v>
      </c>
      <c r="AX516" s="27" t="s">
        <v>7</v>
      </c>
      <c r="AZ516" s="27" t="s">
        <v>7</v>
      </c>
      <c r="BC516" s="27" t="s">
        <v>8</v>
      </c>
      <c r="BE516" s="27" t="s">
        <v>8</v>
      </c>
      <c r="BF516" s="27" t="s">
        <v>7</v>
      </c>
      <c r="BG516" s="27" t="s">
        <v>8</v>
      </c>
      <c r="BH516" s="27" t="s">
        <v>7</v>
      </c>
      <c r="BI516" s="27" t="s">
        <v>8</v>
      </c>
      <c r="BJ516" s="27" t="s">
        <v>7</v>
      </c>
      <c r="BK516" s="27" t="s">
        <v>8</v>
      </c>
      <c r="BL516" s="27" t="s">
        <v>7</v>
      </c>
      <c r="BR516" s="27" t="s">
        <v>7</v>
      </c>
      <c r="BS516" s="27" t="s">
        <v>8</v>
      </c>
      <c r="BT516" s="27" t="s">
        <v>7</v>
      </c>
      <c r="JP516" s="27" t="s">
        <v>7</v>
      </c>
      <c r="JQ516" s="27" t="s">
        <v>8</v>
      </c>
    </row>
    <row r="517" spans="1:277" x14ac:dyDescent="0.25">
      <c r="A517" s="7">
        <v>3.9995582228484383</v>
      </c>
      <c r="B517"/>
      <c r="C517"/>
      <c r="D517"/>
      <c r="E517"/>
      <c r="I517" s="27" t="s">
        <v>8</v>
      </c>
      <c r="J517" s="27" t="s">
        <v>7</v>
      </c>
      <c r="Q517" s="27" t="s">
        <v>8</v>
      </c>
      <c r="R517" s="27" t="s">
        <v>7</v>
      </c>
      <c r="S517" s="27" t="s">
        <v>8</v>
      </c>
      <c r="AH517" s="27" t="s">
        <v>7</v>
      </c>
      <c r="AI517" s="27" t="s">
        <v>8</v>
      </c>
      <c r="AN517" s="27" t="s">
        <v>7</v>
      </c>
      <c r="AO517" s="27" t="s">
        <v>8</v>
      </c>
      <c r="AP517" s="27" t="s">
        <v>7</v>
      </c>
      <c r="AQ517" s="27" t="s">
        <v>8</v>
      </c>
      <c r="AT517" s="27" t="s">
        <v>7</v>
      </c>
      <c r="AV517" s="27" t="s">
        <v>7</v>
      </c>
      <c r="AW517" s="27" t="s">
        <v>8</v>
      </c>
      <c r="AZ517" s="27" t="s">
        <v>7</v>
      </c>
      <c r="BA517" s="27" t="s">
        <v>8</v>
      </c>
      <c r="BC517" s="27" t="s">
        <v>8</v>
      </c>
      <c r="BD517" s="27" t="s">
        <v>7</v>
      </c>
      <c r="BE517" s="27" t="s">
        <v>8</v>
      </c>
      <c r="BF517" s="27" t="s">
        <v>7</v>
      </c>
      <c r="BG517" s="27" t="s">
        <v>8</v>
      </c>
      <c r="BH517" s="27" t="s">
        <v>7</v>
      </c>
      <c r="BI517" s="27" t="s">
        <v>8</v>
      </c>
      <c r="BJ517" s="27" t="s">
        <v>7</v>
      </c>
      <c r="BK517" s="27" t="s">
        <v>8</v>
      </c>
      <c r="BR517" s="27" t="s">
        <v>7</v>
      </c>
      <c r="BS517" s="27" t="s">
        <v>8</v>
      </c>
      <c r="JP517" s="27" t="s">
        <v>7</v>
      </c>
      <c r="JQ517" s="27" t="s">
        <v>8</v>
      </c>
    </row>
    <row r="518" spans="1:277" x14ac:dyDescent="0.25">
      <c r="A518" s="7">
        <v>3.9211355125965079</v>
      </c>
      <c r="B518"/>
      <c r="C518"/>
      <c r="D518"/>
      <c r="E518"/>
      <c r="I518" s="27" t="s">
        <v>8</v>
      </c>
      <c r="J518" s="27" t="s">
        <v>7</v>
      </c>
      <c r="Q518" s="27" t="s">
        <v>8</v>
      </c>
      <c r="R518" s="27" t="s">
        <v>7</v>
      </c>
      <c r="AH518" s="27" t="s">
        <v>7</v>
      </c>
      <c r="AI518" s="27" t="s">
        <v>8</v>
      </c>
      <c r="AN518" s="27" t="s">
        <v>7</v>
      </c>
      <c r="AO518" s="27" t="s">
        <v>8</v>
      </c>
      <c r="AP518" s="27" t="s">
        <v>7</v>
      </c>
      <c r="AQ518" s="27" t="s">
        <v>8</v>
      </c>
      <c r="AV518" s="27" t="s">
        <v>7</v>
      </c>
      <c r="AW518" s="27" t="s">
        <v>8</v>
      </c>
      <c r="AZ518" s="27" t="s">
        <v>7</v>
      </c>
      <c r="BA518" s="27" t="s">
        <v>8</v>
      </c>
      <c r="BB518" s="27" t="s">
        <v>7</v>
      </c>
      <c r="BC518" s="27" t="s">
        <v>8</v>
      </c>
      <c r="BD518" s="27" t="s">
        <v>7</v>
      </c>
      <c r="BE518" s="27" t="s">
        <v>8</v>
      </c>
      <c r="BF518" s="27" t="s">
        <v>7</v>
      </c>
      <c r="BG518" s="27" t="s">
        <v>8</v>
      </c>
      <c r="BH518" s="27" t="s">
        <v>7</v>
      </c>
      <c r="BI518" s="27" t="s">
        <v>8</v>
      </c>
      <c r="BJ518" s="27" t="s">
        <v>7</v>
      </c>
      <c r="BR518" s="27" t="s">
        <v>7</v>
      </c>
      <c r="BS518" s="27" t="s">
        <v>8</v>
      </c>
      <c r="JP518" s="27" t="s">
        <v>7</v>
      </c>
      <c r="JQ518" s="27" t="s">
        <v>8</v>
      </c>
    </row>
    <row r="519" spans="1:277" x14ac:dyDescent="0.25">
      <c r="A519" s="7">
        <v>3.844250502545596</v>
      </c>
      <c r="B519"/>
      <c r="C519"/>
      <c r="D519"/>
      <c r="E519"/>
      <c r="I519" s="27" t="s">
        <v>8</v>
      </c>
      <c r="J519" s="27" t="s">
        <v>7</v>
      </c>
      <c r="Q519" s="27" t="s">
        <v>8</v>
      </c>
      <c r="AH519" s="27" t="s">
        <v>7</v>
      </c>
      <c r="AI519" s="27" t="s">
        <v>8</v>
      </c>
      <c r="AN519" s="27" t="s">
        <v>7</v>
      </c>
      <c r="AO519" s="27" t="s">
        <v>8</v>
      </c>
      <c r="AP519" s="27" t="s">
        <v>7</v>
      </c>
      <c r="AQ519" s="27" t="s">
        <v>8</v>
      </c>
      <c r="AV519" s="27" t="s">
        <v>7</v>
      </c>
      <c r="AW519" s="27" t="s">
        <v>8</v>
      </c>
      <c r="AZ519" s="27" t="s">
        <v>7</v>
      </c>
      <c r="BA519" s="27" t="s">
        <v>8</v>
      </c>
      <c r="BB519" s="27" t="s">
        <v>7</v>
      </c>
      <c r="BC519" s="27" t="s">
        <v>8</v>
      </c>
      <c r="BD519" s="27" t="s">
        <v>7</v>
      </c>
      <c r="BE519" s="27" t="s">
        <v>8</v>
      </c>
      <c r="BF519" s="27" t="s">
        <v>7</v>
      </c>
      <c r="BG519" s="27" t="s">
        <v>8</v>
      </c>
      <c r="BH519" s="27" t="s">
        <v>7</v>
      </c>
      <c r="BI519" s="27" t="s">
        <v>8</v>
      </c>
      <c r="BR519" s="27" t="s">
        <v>7</v>
      </c>
      <c r="BS519" s="27" t="s">
        <v>8</v>
      </c>
      <c r="JP519" s="27" t="s">
        <v>7</v>
      </c>
      <c r="JQ519" s="27" t="s">
        <v>8</v>
      </c>
    </row>
    <row r="520" spans="1:277" x14ac:dyDescent="0.25">
      <c r="A520" s="7">
        <v>3.7688730417113687</v>
      </c>
      <c r="B520"/>
      <c r="C520"/>
      <c r="D520"/>
      <c r="E520"/>
      <c r="I520" s="27" t="s">
        <v>8</v>
      </c>
      <c r="J520" s="27" t="s">
        <v>7</v>
      </c>
      <c r="K520" s="27" t="s">
        <v>8</v>
      </c>
      <c r="Q520" s="27" t="s">
        <v>8</v>
      </c>
      <c r="AH520" s="27" t="s">
        <v>7</v>
      </c>
      <c r="AI520" s="27" t="s">
        <v>8</v>
      </c>
      <c r="AN520" s="27" t="s">
        <v>7</v>
      </c>
      <c r="AO520" s="27" t="s">
        <v>8</v>
      </c>
      <c r="AP520" s="27" t="s">
        <v>7</v>
      </c>
      <c r="AQ520" s="27" t="s">
        <v>8</v>
      </c>
      <c r="AV520" s="27" t="s">
        <v>7</v>
      </c>
      <c r="AW520" s="27" t="s">
        <v>8</v>
      </c>
      <c r="AZ520" s="27" t="s">
        <v>7</v>
      </c>
      <c r="BB520" s="27" t="s">
        <v>7</v>
      </c>
      <c r="BC520" s="27" t="s">
        <v>8</v>
      </c>
      <c r="BD520" s="27" t="s">
        <v>7</v>
      </c>
      <c r="BE520" s="27" t="s">
        <v>8</v>
      </c>
      <c r="BF520" s="27" t="s">
        <v>7</v>
      </c>
      <c r="BH520" s="27" t="s">
        <v>7</v>
      </c>
      <c r="BR520" s="27" t="s">
        <v>7</v>
      </c>
      <c r="BS520" s="27" t="s">
        <v>8</v>
      </c>
      <c r="JP520" s="27" t="s">
        <v>7</v>
      </c>
      <c r="JQ520" s="27" t="s">
        <v>8</v>
      </c>
    </row>
    <row r="521" spans="1:277" x14ac:dyDescent="0.25">
      <c r="A521" s="7">
        <v>3.6949735703052635</v>
      </c>
      <c r="B521"/>
      <c r="C521"/>
      <c r="D521"/>
      <c r="E521"/>
      <c r="I521" s="27" t="s">
        <v>8</v>
      </c>
      <c r="J521" s="27" t="s">
        <v>7</v>
      </c>
      <c r="K521" s="27" t="s">
        <v>8</v>
      </c>
      <c r="L521" s="27" t="s">
        <v>7</v>
      </c>
      <c r="M521" s="27" t="s">
        <v>8</v>
      </c>
      <c r="Q521" s="27" t="s">
        <v>8</v>
      </c>
      <c r="AH521" s="27" t="s">
        <v>7</v>
      </c>
      <c r="AN521" s="27" t="s">
        <v>7</v>
      </c>
      <c r="AO521" s="27" t="s">
        <v>8</v>
      </c>
      <c r="AP521" s="27" t="s">
        <v>7</v>
      </c>
      <c r="AV521" s="27" t="s">
        <v>7</v>
      </c>
      <c r="AW521" s="27" t="s">
        <v>8</v>
      </c>
      <c r="BB521" s="27" t="s">
        <v>7</v>
      </c>
      <c r="BC521" s="27" t="s">
        <v>8</v>
      </c>
      <c r="BD521" s="27" t="s">
        <v>7</v>
      </c>
      <c r="BE521" s="27" t="s">
        <v>8</v>
      </c>
      <c r="BR521" s="27" t="s">
        <v>7</v>
      </c>
      <c r="BS521" s="27" t="s">
        <v>8</v>
      </c>
      <c r="JP521" s="27" t="s">
        <v>7</v>
      </c>
      <c r="JQ521" s="27" t="s">
        <v>8</v>
      </c>
    </row>
    <row r="522" spans="1:277" x14ac:dyDescent="0.25">
      <c r="A522" s="7">
        <v>3.6225231081424152</v>
      </c>
      <c r="B522"/>
      <c r="C522"/>
      <c r="D522"/>
      <c r="E522"/>
      <c r="I522" s="27" t="s">
        <v>8</v>
      </c>
      <c r="J522" s="27" t="s">
        <v>7</v>
      </c>
      <c r="K522" s="27" t="s">
        <v>8</v>
      </c>
      <c r="L522" s="27" t="s">
        <v>7</v>
      </c>
      <c r="M522" s="27" t="s">
        <v>8</v>
      </c>
      <c r="N522" s="27" t="s">
        <v>7</v>
      </c>
      <c r="Q522" s="27" t="s">
        <v>8</v>
      </c>
      <c r="AN522" s="27" t="s">
        <v>7</v>
      </c>
      <c r="AO522" s="27" t="s">
        <v>8</v>
      </c>
      <c r="AV522" s="27" t="s">
        <v>7</v>
      </c>
      <c r="AW522" s="27" t="s">
        <v>8</v>
      </c>
      <c r="BB522" s="27" t="s">
        <v>7</v>
      </c>
      <c r="BC522" s="27" t="s">
        <v>8</v>
      </c>
      <c r="BD522" s="27" t="s">
        <v>7</v>
      </c>
      <c r="BE522" s="27" t="s">
        <v>8</v>
      </c>
      <c r="BR522" s="27" t="s">
        <v>7</v>
      </c>
      <c r="BS522" s="27" t="s">
        <v>8</v>
      </c>
      <c r="JP522" s="27" t="s">
        <v>7</v>
      </c>
      <c r="JQ522" s="27" t="s">
        <v>8</v>
      </c>
    </row>
    <row r="523" spans="1:277" x14ac:dyDescent="0.25">
      <c r="A523" s="7">
        <v>3.5514932432768775</v>
      </c>
      <c r="B523"/>
      <c r="C523"/>
      <c r="D523"/>
      <c r="E523"/>
      <c r="G523" s="27" t="s">
        <v>8</v>
      </c>
      <c r="I523" s="27" t="s">
        <v>8</v>
      </c>
      <c r="J523" s="27" t="s">
        <v>7</v>
      </c>
      <c r="K523" s="27" t="s">
        <v>8</v>
      </c>
      <c r="L523" s="27" t="s">
        <v>7</v>
      </c>
      <c r="M523" s="27" t="s">
        <v>8</v>
      </c>
      <c r="N523" s="27" t="s">
        <v>7</v>
      </c>
      <c r="Q523" s="27" t="s">
        <v>8</v>
      </c>
      <c r="AN523" s="27" t="s">
        <v>7</v>
      </c>
      <c r="AO523" s="27" t="s">
        <v>8</v>
      </c>
      <c r="AV523" s="27" t="s">
        <v>7</v>
      </c>
      <c r="BB523" s="27" t="s">
        <v>7</v>
      </c>
      <c r="BC523" s="27" t="s">
        <v>8</v>
      </c>
      <c r="BD523" s="27" t="s">
        <v>7</v>
      </c>
      <c r="BE523" s="27" t="s">
        <v>8</v>
      </c>
      <c r="BR523" s="27" t="s">
        <v>7</v>
      </c>
      <c r="BS523" s="27" t="s">
        <v>8</v>
      </c>
      <c r="JP523" s="27" t="s">
        <v>7</v>
      </c>
    </row>
    <row r="524" spans="1:277" x14ac:dyDescent="0.25">
      <c r="A524" s="7">
        <v>3.4818561208596837</v>
      </c>
      <c r="B524"/>
      <c r="C524"/>
      <c r="D524"/>
      <c r="E524"/>
      <c r="G524" s="27" t="s">
        <v>8</v>
      </c>
      <c r="H524" s="27" t="s">
        <v>7</v>
      </c>
      <c r="I524" s="27" t="s">
        <v>8</v>
      </c>
      <c r="J524" s="27" t="s">
        <v>7</v>
      </c>
      <c r="K524" s="27" t="s">
        <v>8</v>
      </c>
      <c r="L524" s="27" t="s">
        <v>7</v>
      </c>
      <c r="M524" s="27" t="s">
        <v>8</v>
      </c>
      <c r="N524" s="27" t="s">
        <v>7</v>
      </c>
      <c r="Q524" s="27" t="s">
        <v>8</v>
      </c>
      <c r="AN524" s="27" t="s">
        <v>7</v>
      </c>
      <c r="BB524" s="27" t="s">
        <v>7</v>
      </c>
      <c r="BC524" s="27" t="s">
        <v>8</v>
      </c>
      <c r="BD524" s="27" t="s">
        <v>7</v>
      </c>
      <c r="BE524" s="27" t="s">
        <v>8</v>
      </c>
      <c r="BR524" s="27" t="s">
        <v>7</v>
      </c>
      <c r="BS524" s="27" t="s">
        <v>8</v>
      </c>
    </row>
    <row r="525" spans="1:277" x14ac:dyDescent="0.25">
      <c r="A525" s="7">
        <v>3.4135844322153761</v>
      </c>
      <c r="B525"/>
      <c r="C525"/>
      <c r="D525"/>
      <c r="E525"/>
      <c r="G525" s="27" t="s">
        <v>8</v>
      </c>
      <c r="H525" s="27" t="s">
        <v>7</v>
      </c>
      <c r="I525" s="27" t="s">
        <v>8</v>
      </c>
      <c r="J525" s="27" t="s">
        <v>7</v>
      </c>
      <c r="K525" s="27" t="s">
        <v>8</v>
      </c>
      <c r="L525" s="27" t="s">
        <v>7</v>
      </c>
      <c r="M525" s="27" t="s">
        <v>8</v>
      </c>
      <c r="N525" s="27" t="s">
        <v>7</v>
      </c>
      <c r="O525" s="27" t="s">
        <v>8</v>
      </c>
      <c r="Q525" s="27" t="s">
        <v>8</v>
      </c>
      <c r="BB525" s="27" t="s">
        <v>7</v>
      </c>
      <c r="BC525" s="27" t="s">
        <v>8</v>
      </c>
      <c r="BD525" s="27" t="s">
        <v>7</v>
      </c>
      <c r="BE525" s="27" t="s">
        <v>8</v>
      </c>
      <c r="BR525" s="27" t="s">
        <v>7</v>
      </c>
    </row>
    <row r="526" spans="1:277" x14ac:dyDescent="0.25">
      <c r="A526" s="7">
        <v>3.3466514041327216</v>
      </c>
      <c r="B526"/>
      <c r="C526"/>
      <c r="D526"/>
      <c r="E526"/>
      <c r="G526" s="27" t="s">
        <v>8</v>
      </c>
      <c r="H526" s="27" t="s">
        <v>7</v>
      </c>
      <c r="I526" s="27" t="s">
        <v>8</v>
      </c>
      <c r="J526" s="27" t="s">
        <v>7</v>
      </c>
      <c r="L526" s="27" t="s">
        <v>7</v>
      </c>
      <c r="M526" s="27" t="s">
        <v>8</v>
      </c>
      <c r="N526" s="27" t="s">
        <v>7</v>
      </c>
      <c r="O526" s="27" t="s">
        <v>8</v>
      </c>
      <c r="P526" s="27" t="s">
        <v>7</v>
      </c>
      <c r="Q526" s="27" t="s">
        <v>8</v>
      </c>
      <c r="BB526" s="27" t="s">
        <v>7</v>
      </c>
      <c r="BD526" s="27" t="s">
        <v>7</v>
      </c>
      <c r="BE526" s="27" t="s">
        <v>8</v>
      </c>
    </row>
    <row r="527" spans="1:277" x14ac:dyDescent="0.25">
      <c r="A527" s="7">
        <v>3.2810307883654133</v>
      </c>
      <c r="B527"/>
      <c r="C527"/>
      <c r="D527"/>
      <c r="E527"/>
      <c r="G527" s="27" t="s">
        <v>8</v>
      </c>
      <c r="H527" s="27" t="s">
        <v>7</v>
      </c>
      <c r="I527" s="27" t="s">
        <v>8</v>
      </c>
      <c r="L527" s="27" t="s">
        <v>7</v>
      </c>
      <c r="M527" s="27" t="s">
        <v>8</v>
      </c>
      <c r="N527" s="27" t="s">
        <v>7</v>
      </c>
      <c r="O527" s="27" t="s">
        <v>8</v>
      </c>
      <c r="P527" s="27" t="s">
        <v>7</v>
      </c>
      <c r="Q527" s="27" t="s">
        <v>8</v>
      </c>
      <c r="BD527" s="27" t="s">
        <v>7</v>
      </c>
      <c r="BE527" s="27" t="s">
        <v>8</v>
      </c>
    </row>
    <row r="528" spans="1:277" x14ac:dyDescent="0.25">
      <c r="A528" s="7">
        <v>3.2166968513386403</v>
      </c>
      <c r="B528"/>
      <c r="C528"/>
      <c r="D528"/>
      <c r="E528"/>
      <c r="G528" s="27" t="s">
        <v>8</v>
      </c>
      <c r="H528" s="27" t="s">
        <v>7</v>
      </c>
      <c r="L528" s="27" t="s">
        <v>7</v>
      </c>
      <c r="M528" s="27" t="s">
        <v>8</v>
      </c>
      <c r="N528" s="27" t="s">
        <v>7</v>
      </c>
      <c r="O528" s="27" t="s">
        <v>8</v>
      </c>
      <c r="P528" s="27" t="s">
        <v>7</v>
      </c>
      <c r="Q528" s="27" t="s">
        <v>8</v>
      </c>
      <c r="BD528" s="27" t="s">
        <v>7</v>
      </c>
      <c r="BE528" s="27" t="s">
        <v>8</v>
      </c>
    </row>
    <row r="529" spans="1:57" x14ac:dyDescent="0.25">
      <c r="A529" s="7">
        <v>3.1536243640574906</v>
      </c>
      <c r="B529"/>
      <c r="C529"/>
      <c r="D529"/>
      <c r="E529"/>
      <c r="G529" s="27" t="s">
        <v>8</v>
      </c>
      <c r="L529" s="27" t="s">
        <v>7</v>
      </c>
      <c r="N529" s="27" t="s">
        <v>7</v>
      </c>
      <c r="O529" s="27" t="s">
        <v>8</v>
      </c>
      <c r="P529" s="27" t="s">
        <v>7</v>
      </c>
      <c r="Q529" s="27" t="s">
        <v>8</v>
      </c>
      <c r="BD529" s="27" t="s">
        <v>7</v>
      </c>
      <c r="BE529" s="27" t="s">
        <v>8</v>
      </c>
    </row>
    <row r="530" spans="1:57" x14ac:dyDescent="0.25">
      <c r="A530" s="7">
        <v>3.0917885922132262</v>
      </c>
      <c r="B530"/>
      <c r="C530"/>
      <c r="D530"/>
      <c r="E530"/>
      <c r="G530" s="27" t="s">
        <v>8</v>
      </c>
      <c r="N530" s="27" t="s">
        <v>7</v>
      </c>
      <c r="O530" s="27" t="s">
        <v>8</v>
      </c>
      <c r="P530" s="27" t="s">
        <v>7</v>
      </c>
      <c r="BD530" s="27" t="s">
        <v>7</v>
      </c>
      <c r="BE530" s="27" t="s">
        <v>8</v>
      </c>
    </row>
    <row r="531" spans="1:57" x14ac:dyDescent="0.25">
      <c r="A531" s="7">
        <v>3.0311652864835552</v>
      </c>
      <c r="B531"/>
      <c r="C531"/>
      <c r="D531"/>
      <c r="E531"/>
      <c r="G531" s="27" t="s">
        <v>8</v>
      </c>
      <c r="N531" s="27" t="s">
        <v>7</v>
      </c>
      <c r="O531" s="27" t="s">
        <v>8</v>
      </c>
      <c r="BD531" s="27" t="s">
        <v>7</v>
      </c>
      <c r="BE531" s="27" t="s">
        <v>8</v>
      </c>
    </row>
    <row r="532" spans="1:57" x14ac:dyDescent="0.25">
      <c r="A532" s="7">
        <v>2.9717306730230932</v>
      </c>
      <c r="B532"/>
      <c r="C532"/>
      <c r="D532"/>
      <c r="E532" t="s">
        <v>8</v>
      </c>
      <c r="G532" s="27" t="s">
        <v>8</v>
      </c>
      <c r="N532" s="27" t="s">
        <v>7</v>
      </c>
      <c r="O532" s="27" t="s">
        <v>8</v>
      </c>
      <c r="BD532" s="27" t="s">
        <v>7</v>
      </c>
      <c r="BE532" s="27" t="s">
        <v>8</v>
      </c>
    </row>
    <row r="533" spans="1:57" x14ac:dyDescent="0.25">
      <c r="A533" s="7">
        <v>2.9134614441402875</v>
      </c>
      <c r="B533"/>
      <c r="C533"/>
      <c r="D533"/>
      <c r="E533" t="s">
        <v>8</v>
      </c>
      <c r="F533" s="27" t="s">
        <v>7</v>
      </c>
      <c r="G533" s="27" t="s">
        <v>8</v>
      </c>
      <c r="N533" s="27" t="s">
        <v>7</v>
      </c>
      <c r="O533" s="27" t="s">
        <v>8</v>
      </c>
      <c r="BD533" s="27" t="s">
        <v>7</v>
      </c>
      <c r="BE533" s="27" t="s">
        <v>8</v>
      </c>
    </row>
    <row r="534" spans="1:57" x14ac:dyDescent="0.25">
      <c r="A534" s="7">
        <v>2.8563347491571447</v>
      </c>
      <c r="B534"/>
      <c r="C534"/>
      <c r="D534"/>
      <c r="E534" t="s">
        <v>8</v>
      </c>
      <c r="F534" s="27" t="s">
        <v>7</v>
      </c>
      <c r="G534" s="27" t="s">
        <v>8</v>
      </c>
      <c r="N534" s="27" t="s">
        <v>7</v>
      </c>
      <c r="O534" s="27" t="s">
        <v>8</v>
      </c>
      <c r="BD534" s="27" t="s">
        <v>7</v>
      </c>
      <c r="BE534" s="27" t="s">
        <v>8</v>
      </c>
    </row>
    <row r="535" spans="1:57" x14ac:dyDescent="0.25">
      <c r="A535" s="7">
        <v>2.8003281854481812</v>
      </c>
      <c r="B535"/>
      <c r="C535"/>
      <c r="D535"/>
      <c r="E535" t="s">
        <v>8</v>
      </c>
      <c r="F535" s="27" t="s">
        <v>7</v>
      </c>
      <c r="G535" s="27" t="s">
        <v>8</v>
      </c>
      <c r="N535" s="27" t="s">
        <v>7</v>
      </c>
      <c r="O535" s="27" t="s">
        <v>8</v>
      </c>
      <c r="BD535" s="27" t="s">
        <v>7</v>
      </c>
      <c r="BE535" s="27" t="s">
        <v>8</v>
      </c>
    </row>
    <row r="536" spans="1:57" x14ac:dyDescent="0.25">
      <c r="A536" s="7">
        <v>2.7454197896550796</v>
      </c>
      <c r="B536"/>
      <c r="C536"/>
      <c r="D536"/>
      <c r="E536" t="s">
        <v>8</v>
      </c>
      <c r="F536" s="27" t="s">
        <v>7</v>
      </c>
      <c r="G536" s="27" t="s">
        <v>8</v>
      </c>
      <c r="N536" s="27" t="s">
        <v>7</v>
      </c>
      <c r="O536" s="27" t="s">
        <v>8</v>
      </c>
      <c r="BD536" s="27" t="s">
        <v>7</v>
      </c>
      <c r="BE536" s="27" t="s">
        <v>8</v>
      </c>
    </row>
    <row r="537" spans="1:57" x14ac:dyDescent="0.25">
      <c r="A537" s="7">
        <v>2.6915880290736074</v>
      </c>
      <c r="B537"/>
      <c r="C537"/>
      <c r="D537"/>
      <c r="E537" t="s">
        <v>8</v>
      </c>
      <c r="F537" s="27" t="s">
        <v>7</v>
      </c>
      <c r="G537" s="27" t="s">
        <v>8</v>
      </c>
      <c r="N537" s="27" t="s">
        <v>7</v>
      </c>
      <c r="BD537" s="27" t="s">
        <v>7</v>
      </c>
      <c r="BE537" s="27" t="s">
        <v>8</v>
      </c>
    </row>
    <row r="538" spans="1:57" x14ac:dyDescent="0.25">
      <c r="A538" s="7">
        <v>2.6388117932094191</v>
      </c>
      <c r="B538"/>
      <c r="C538"/>
      <c r="D538"/>
      <c r="E538" t="s">
        <v>8</v>
      </c>
      <c r="F538" s="27" t="s">
        <v>7</v>
      </c>
      <c r="G538" s="27" t="s">
        <v>8</v>
      </c>
      <c r="BD538" s="27" t="s">
        <v>7</v>
      </c>
      <c r="BE538" s="27" t="s">
        <v>8</v>
      </c>
    </row>
    <row r="539" spans="1:57" x14ac:dyDescent="0.25">
      <c r="A539" s="7">
        <v>2.5870703854994304</v>
      </c>
      <c r="B539"/>
      <c r="C539"/>
      <c r="D539"/>
      <c r="E539" t="s">
        <v>8</v>
      </c>
      <c r="F539" s="27" t="s">
        <v>7</v>
      </c>
      <c r="G539" s="27" t="s">
        <v>8</v>
      </c>
      <c r="BD539" s="27" t="s">
        <v>7</v>
      </c>
      <c r="BE539" s="27" t="s">
        <v>8</v>
      </c>
    </row>
    <row r="540" spans="1:57" x14ac:dyDescent="0.25">
      <c r="A540" s="7">
        <v>2.53634351519552</v>
      </c>
      <c r="B540"/>
      <c r="C540"/>
      <c r="D540"/>
      <c r="E540" t="s">
        <v>8</v>
      </c>
      <c r="F540" s="27" t="s">
        <v>7</v>
      </c>
      <c r="G540" s="27" t="s">
        <v>8</v>
      </c>
      <c r="BD540" s="27" t="s">
        <v>7</v>
      </c>
      <c r="BE540" s="27" t="s">
        <v>8</v>
      </c>
    </row>
    <row r="541" spans="1:57" x14ac:dyDescent="0.25">
      <c r="A541" s="7">
        <v>2.4866112894073726</v>
      </c>
      <c r="B541"/>
      <c r="C541"/>
      <c r="D541"/>
      <c r="E541" t="s">
        <v>8</v>
      </c>
      <c r="F541" s="27" t="s">
        <v>7</v>
      </c>
      <c r="G541" s="27" t="s">
        <v>8</v>
      </c>
      <c r="BD541" s="27" t="s">
        <v>7</v>
      </c>
    </row>
    <row r="542" spans="1:57" x14ac:dyDescent="0.25">
      <c r="A542" s="7">
        <v>2.4378542053013459</v>
      </c>
      <c r="B542"/>
      <c r="C542"/>
      <c r="D542"/>
      <c r="E542" t="s">
        <v>8</v>
      </c>
      <c r="F542" s="27" t="s">
        <v>7</v>
      </c>
      <c r="G542" s="27" t="s">
        <v>8</v>
      </c>
    </row>
    <row r="543" spans="1:57" x14ac:dyDescent="0.25">
      <c r="A543" s="7">
        <v>2.3900531424522997</v>
      </c>
      <c r="B543"/>
      <c r="C543"/>
      <c r="D543"/>
      <c r="E543" t="s">
        <v>8</v>
      </c>
      <c r="F543" s="27" t="s">
        <v>7</v>
      </c>
    </row>
    <row r="544" spans="1:57" x14ac:dyDescent="0.25">
      <c r="A544" s="7">
        <v>2.343189355345392</v>
      </c>
      <c r="B544"/>
      <c r="C544"/>
      <c r="D544"/>
      <c r="E544" t="s">
        <v>8</v>
      </c>
    </row>
    <row r="545" spans="1:5" x14ac:dyDescent="0.25">
      <c r="A545" s="7">
        <v>2.2972444660248938</v>
      </c>
      <c r="B545"/>
      <c r="C545"/>
      <c r="D545"/>
      <c r="E545" t="s">
        <v>8</v>
      </c>
    </row>
    <row r="546" spans="1:5" x14ac:dyDescent="0.25">
      <c r="A546" s="7">
        <v>2.252200456887151</v>
      </c>
      <c r="B546"/>
      <c r="C546"/>
      <c r="D546"/>
      <c r="E546" t="s">
        <v>8</v>
      </c>
    </row>
    <row r="547" spans="1:5" x14ac:dyDescent="0.25">
      <c r="A547" s="7">
        <v>2.208039663614854</v>
      </c>
      <c r="B547"/>
      <c r="C547"/>
      <c r="D547"/>
      <c r="E547" t="s">
        <v>8</v>
      </c>
    </row>
    <row r="548" spans="1:5" x14ac:dyDescent="0.25">
      <c r="A548" s="7">
        <v>2.1647447682498568</v>
      </c>
      <c r="B548"/>
      <c r="C548"/>
      <c r="D548"/>
      <c r="E548" t="s">
        <v>8</v>
      </c>
    </row>
    <row r="549" spans="1:5" x14ac:dyDescent="0.25">
      <c r="A549" s="7">
        <v>2.1222987924018204</v>
      </c>
      <c r="B549"/>
      <c r="C549"/>
      <c r="D549"/>
      <c r="E549" t="s">
        <v>8</v>
      </c>
    </row>
    <row r="550" spans="1:5" x14ac:dyDescent="0.25">
      <c r="A550" s="7">
        <v>2.0806850905900198</v>
      </c>
      <c r="B550"/>
      <c r="C550"/>
      <c r="D550"/>
      <c r="E550" t="s">
        <v>8</v>
      </c>
    </row>
    <row r="551" spans="1:5" x14ac:dyDescent="0.25">
      <c r="A551" s="7">
        <v>2.0398873437157055</v>
      </c>
      <c r="B551"/>
      <c r="C551"/>
      <c r="D551"/>
      <c r="E551" t="s">
        <v>8</v>
      </c>
    </row>
    <row r="552" spans="1:5" x14ac:dyDescent="0.25">
      <c r="A552" s="7">
        <v>1.9998895526624565</v>
      </c>
      <c r="B552"/>
      <c r="C552"/>
      <c r="D552"/>
      <c r="E552" t="s">
        <v>8</v>
      </c>
    </row>
    <row r="553" spans="1:5" x14ac:dyDescent="0.25">
      <c r="A553" s="7">
        <v>1.9606760320220162</v>
      </c>
      <c r="B553"/>
      <c r="C553"/>
      <c r="D553"/>
      <c r="E553" t="s">
        <v>8</v>
      </c>
    </row>
    <row r="554" spans="1:5" x14ac:dyDescent="0.25">
      <c r="A554" s="7">
        <v>1.9222314039431532</v>
      </c>
      <c r="B554"/>
      <c r="C554"/>
      <c r="D554"/>
      <c r="E554" t="s">
        <v>8</v>
      </c>
    </row>
    <row r="555" spans="1:5" x14ac:dyDescent="0.25">
      <c r="A555" s="7">
        <v>1.8845405921011305</v>
      </c>
      <c r="B555"/>
      <c r="C555"/>
      <c r="D555"/>
      <c r="E555" t="s">
        <v>8</v>
      </c>
    </row>
    <row r="556" spans="1:5" x14ac:dyDescent="0.25">
      <c r="A556" s="7">
        <v>1.8475888157854219</v>
      </c>
      <c r="B556"/>
      <c r="C556"/>
      <c r="D556"/>
      <c r="E556" t="s">
        <v>8</v>
      </c>
    </row>
    <row r="557" spans="1:5" x14ac:dyDescent="0.25">
      <c r="A557" s="7">
        <v>1.8113615841033548</v>
      </c>
      <c r="B557"/>
      <c r="C557"/>
      <c r="D557"/>
      <c r="E557" t="s">
        <v>8</v>
      </c>
    </row>
    <row r="558" spans="1:5" x14ac:dyDescent="0.25">
      <c r="A558" s="7">
        <v>1.7758446902974065</v>
      </c>
      <c r="B558"/>
      <c r="C558"/>
      <c r="D558"/>
      <c r="E558" t="s">
        <v>8</v>
      </c>
    </row>
    <row r="559" spans="1:5" x14ac:dyDescent="0.25">
      <c r="A559" s="7">
        <v>1.7410242061739281</v>
      </c>
      <c r="B559"/>
      <c r="C559"/>
      <c r="D559"/>
      <c r="E559" t="s">
        <v>8</v>
      </c>
    </row>
    <row r="560" spans="1:5" x14ac:dyDescent="0.25">
      <c r="A560" s="7">
        <v>1.7068864766411058</v>
      </c>
      <c r="B560"/>
      <c r="C560"/>
      <c r="D560"/>
      <c r="E560" t="s">
        <v>8</v>
      </c>
    </row>
    <row r="561" spans="1:5" x14ac:dyDescent="0.25">
      <c r="A561" s="7">
        <v>1.6734181143540252</v>
      </c>
      <c r="B561"/>
      <c r="C561"/>
      <c r="D561"/>
      <c r="E561" t="s">
        <v>8</v>
      </c>
    </row>
    <row r="562" spans="1:5" x14ac:dyDescent="0.25">
      <c r="A562" s="7">
        <v>1.6406059944647307</v>
      </c>
      <c r="B562"/>
      <c r="C562"/>
      <c r="D562"/>
      <c r="E562" t="s">
        <v>8</v>
      </c>
    </row>
    <row r="563" spans="1:5" x14ac:dyDescent="0.25">
      <c r="A563" s="7">
        <v>1.6084372494752261</v>
      </c>
      <c r="B563"/>
      <c r="C563"/>
      <c r="D563"/>
      <c r="E563" t="s">
        <v>8</v>
      </c>
    </row>
    <row r="564" spans="1:5" x14ac:dyDescent="0.25">
      <c r="A564" s="7">
        <v>1.5768992641913981</v>
      </c>
      <c r="B564"/>
      <c r="C564"/>
      <c r="D564"/>
      <c r="E564" t="s">
        <v>8</v>
      </c>
    </row>
    <row r="565" spans="1:5" x14ac:dyDescent="0.25">
      <c r="A565" s="7">
        <v>1.5459796707758806</v>
      </c>
      <c r="B565"/>
      <c r="C565"/>
      <c r="D565"/>
      <c r="E565" t="s">
        <v>8</v>
      </c>
    </row>
    <row r="566" spans="1:5" x14ac:dyDescent="0.25">
      <c r="A566" s="7">
        <v>1.5156663438979221</v>
      </c>
      <c r="B566"/>
      <c r="C566"/>
      <c r="D566"/>
      <c r="E566" t="s">
        <v>8</v>
      </c>
    </row>
    <row r="567" spans="1:5" x14ac:dyDescent="0.25">
      <c r="A567" s="7">
        <v>1.4859473959783549</v>
      </c>
      <c r="B567"/>
      <c r="C567"/>
      <c r="D567"/>
      <c r="E567" t="s">
        <v>8</v>
      </c>
    </row>
    <row r="568" spans="1:5" x14ac:dyDescent="0.25">
      <c r="A568" s="7">
        <v>1.4568111725277988</v>
      </c>
      <c r="B568"/>
      <c r="C568"/>
      <c r="D568"/>
      <c r="E568" t="s">
        <v>8</v>
      </c>
    </row>
    <row r="569" spans="1:5" x14ac:dyDescent="0.25">
      <c r="A569" s="7">
        <v>1.4282462475762734</v>
      </c>
      <c r="B569"/>
      <c r="C569"/>
      <c r="D569"/>
      <c r="E569" t="s">
        <v>8</v>
      </c>
    </row>
    <row r="570" spans="1:5" x14ac:dyDescent="0.25">
      <c r="A570" s="7">
        <v>1.4002414191924248</v>
      </c>
      <c r="B570"/>
      <c r="C570"/>
      <c r="D570"/>
      <c r="E570" t="s">
        <v>8</v>
      </c>
    </row>
    <row r="571" spans="1:5" x14ac:dyDescent="0.25">
      <c r="A571" s="7">
        <v>1.3727857050906125</v>
      </c>
      <c r="B571"/>
      <c r="C571"/>
      <c r="D571"/>
      <c r="E571" t="s">
        <v>8</v>
      </c>
    </row>
    <row r="572" spans="1:5" x14ac:dyDescent="0.25">
      <c r="A572" s="7">
        <v>1.3458683383241299</v>
      </c>
      <c r="B572"/>
      <c r="C572"/>
      <c r="D572"/>
      <c r="E572" t="s">
        <v>8</v>
      </c>
    </row>
    <row r="573" spans="1:5" x14ac:dyDescent="0.25">
      <c r="A573" s="7">
        <v>1.3194787630628724</v>
      </c>
      <c r="B573"/>
      <c r="C573"/>
      <c r="D573"/>
      <c r="E573" t="s">
        <v>8</v>
      </c>
    </row>
    <row r="574" spans="1:5" x14ac:dyDescent="0.25">
      <c r="A574" s="7">
        <v>1.2936066304537963</v>
      </c>
      <c r="B574"/>
      <c r="C574"/>
      <c r="D574"/>
      <c r="E574" t="s">
        <v>8</v>
      </c>
    </row>
    <row r="575" spans="1:5" x14ac:dyDescent="0.25">
      <c r="A575" s="7">
        <v>1.2682417945625455</v>
      </c>
      <c r="B575"/>
      <c r="C575"/>
      <c r="D575"/>
      <c r="E575" t="s">
        <v>8</v>
      </c>
    </row>
    <row r="576" spans="1:5" x14ac:dyDescent="0.25">
      <c r="A576" s="7">
        <v>1.2433743083946525</v>
      </c>
      <c r="B576"/>
      <c r="C576"/>
      <c r="D576"/>
      <c r="E576" t="s">
        <v>8</v>
      </c>
    </row>
    <row r="577" spans="1:5" x14ac:dyDescent="0.25">
      <c r="A577" s="7">
        <v>1.2189944199947573</v>
      </c>
      <c r="B577"/>
      <c r="C577"/>
      <c r="D577"/>
      <c r="E577" t="s">
        <v>8</v>
      </c>
    </row>
    <row r="578" spans="1:5" x14ac:dyDescent="0.25">
      <c r="A578" s="7">
        <v>1.1950925686223111</v>
      </c>
      <c r="B578"/>
      <c r="C578"/>
      <c r="D578"/>
      <c r="E578" t="s">
        <v>8</v>
      </c>
    </row>
    <row r="579" spans="1:5" x14ac:dyDescent="0.25">
      <c r="A579" s="7">
        <v>1.1716593810022657</v>
      </c>
      <c r="B579"/>
      <c r="C579"/>
      <c r="D579"/>
      <c r="E579" t="s">
        <v>8</v>
      </c>
    </row>
    <row r="580" spans="1:5" x14ac:dyDescent="0.25">
      <c r="A580" s="7">
        <v>1.14868566764928</v>
      </c>
      <c r="B580"/>
      <c r="C580"/>
      <c r="D580"/>
      <c r="E580" t="s">
        <v>8</v>
      </c>
    </row>
    <row r="581" spans="1:5" x14ac:dyDescent="0.25">
      <c r="A581" s="7">
        <v>1.1261624192640001</v>
      </c>
      <c r="B581"/>
      <c r="C581"/>
      <c r="D581"/>
      <c r="E581" t="s">
        <v>8</v>
      </c>
    </row>
    <row r="582" spans="1:5" x14ac:dyDescent="0.25">
      <c r="A582" s="7">
        <v>1.1040808032</v>
      </c>
      <c r="B582"/>
      <c r="C582"/>
      <c r="D582"/>
      <c r="E582" t="s">
        <v>8</v>
      </c>
    </row>
    <row r="583" spans="1:5" x14ac:dyDescent="0.25">
      <c r="A583" s="7">
        <v>1.08243216</v>
      </c>
      <c r="B583"/>
      <c r="C583"/>
      <c r="D583"/>
      <c r="E583" t="s">
        <v>8</v>
      </c>
    </row>
    <row r="584" spans="1:5" x14ac:dyDescent="0.25">
      <c r="A584" s="7">
        <v>1.0612079999999999</v>
      </c>
      <c r="B584"/>
      <c r="C584"/>
      <c r="D584"/>
      <c r="E584" t="s">
        <v>8</v>
      </c>
    </row>
    <row r="585" spans="1:5" x14ac:dyDescent="0.25">
      <c r="A585" s="7">
        <v>1.0404</v>
      </c>
      <c r="B585"/>
      <c r="C585"/>
      <c r="D585"/>
      <c r="E585" t="s">
        <v>8</v>
      </c>
    </row>
    <row r="586" spans="1:5" x14ac:dyDescent="0.25">
      <c r="A586" s="7">
        <v>1.02</v>
      </c>
      <c r="B586"/>
      <c r="C586"/>
      <c r="D586"/>
      <c r="E586" t="s">
        <v>8</v>
      </c>
    </row>
    <row r="587" spans="1:5" x14ac:dyDescent="0.25">
      <c r="A587" s="7">
        <v>1</v>
      </c>
      <c r="B587"/>
      <c r="C587"/>
      <c r="D587"/>
      <c r="E587" s="29" t="s">
        <v>8</v>
      </c>
    </row>
    <row r="588" spans="1:5" x14ac:dyDescent="0.25">
      <c r="A588" s="7">
        <v>0.98039215686274506</v>
      </c>
      <c r="B588"/>
      <c r="C588"/>
      <c r="D588"/>
      <c r="E588"/>
    </row>
    <row r="589" spans="1:5" x14ac:dyDescent="0.25">
      <c r="A589" s="7">
        <v>0.96116878123798544</v>
      </c>
      <c r="B589"/>
      <c r="C589"/>
      <c r="D589"/>
      <c r="E589"/>
    </row>
    <row r="590" spans="1:5" x14ac:dyDescent="0.25">
      <c r="A590" s="7">
        <v>0.94232233454704462</v>
      </c>
      <c r="B590"/>
      <c r="C590"/>
      <c r="D590"/>
      <c r="E590"/>
    </row>
    <row r="591" spans="1:5" x14ac:dyDescent="0.25">
      <c r="A591" s="7">
        <v>0.92384542602651432</v>
      </c>
      <c r="B591"/>
      <c r="C591"/>
      <c r="D591"/>
      <c r="E591"/>
    </row>
    <row r="592" spans="1:5" x14ac:dyDescent="0.25">
      <c r="A592" s="7">
        <v>0.90573080982991594</v>
      </c>
      <c r="B592"/>
      <c r="C592"/>
      <c r="D592"/>
      <c r="E592"/>
    </row>
    <row r="593" spans="1:5" x14ac:dyDescent="0.25">
      <c r="A593" s="7">
        <v>0.8879713821861922</v>
      </c>
      <c r="B593"/>
      <c r="C593"/>
      <c r="D593"/>
      <c r="E593"/>
    </row>
    <row r="594" spans="1:5" x14ac:dyDescent="0.25">
      <c r="A594" s="7">
        <v>0.87056017861391399</v>
      </c>
      <c r="B594"/>
      <c r="C594"/>
      <c r="D594"/>
      <c r="E594"/>
    </row>
    <row r="595" spans="1:5" x14ac:dyDescent="0.25">
      <c r="A595" s="7">
        <v>0.85349037119011173</v>
      </c>
      <c r="B595"/>
      <c r="C595"/>
      <c r="D595"/>
      <c r="E595"/>
    </row>
    <row r="596" spans="1:5" x14ac:dyDescent="0.25">
      <c r="A596" s="7">
        <v>0.83675526587265858</v>
      </c>
      <c r="B596"/>
      <c r="C596"/>
      <c r="D596"/>
      <c r="E596"/>
    </row>
    <row r="597" spans="1:5" x14ac:dyDescent="0.25">
      <c r="A597" s="7">
        <v>0.82034829987515545</v>
      </c>
      <c r="B597"/>
      <c r="C597"/>
      <c r="D597"/>
      <c r="E597"/>
    </row>
    <row r="598" spans="1:5" x14ac:dyDescent="0.25">
      <c r="A598" s="7">
        <v>0.80426303909328967</v>
      </c>
      <c r="B598"/>
      <c r="C598"/>
      <c r="D598"/>
      <c r="E598"/>
    </row>
    <row r="599" spans="1:5" x14ac:dyDescent="0.25">
      <c r="A599" s="7">
        <v>0.78849317558165644</v>
      </c>
      <c r="B599"/>
      <c r="C599"/>
      <c r="D599"/>
      <c r="E599"/>
    </row>
    <row r="600" spans="1:5" x14ac:dyDescent="0.25">
      <c r="A600" s="7">
        <v>0.77303252508005538</v>
      </c>
      <c r="B600"/>
      <c r="C600"/>
      <c r="D600"/>
      <c r="E600"/>
    </row>
    <row r="601" spans="1:5" x14ac:dyDescent="0.25">
      <c r="A601" s="7">
        <v>0.75787502458828959</v>
      </c>
      <c r="B601"/>
      <c r="C601"/>
      <c r="D601"/>
      <c r="E601"/>
    </row>
    <row r="602" spans="1:5" x14ac:dyDescent="0.25">
      <c r="A602" s="7">
        <v>0.74301472998851925</v>
      </c>
      <c r="B602"/>
      <c r="C602"/>
      <c r="D602"/>
      <c r="E602"/>
    </row>
    <row r="603" spans="1:5" x14ac:dyDescent="0.25">
      <c r="A603" s="7">
        <v>0.72844581371423456</v>
      </c>
      <c r="B603"/>
      <c r="C603"/>
      <c r="D603"/>
      <c r="E603"/>
    </row>
    <row r="604" spans="1:5" x14ac:dyDescent="0.25">
      <c r="A604" s="7">
        <v>0.71416256246493581</v>
      </c>
      <c r="B604"/>
      <c r="C604"/>
      <c r="D604"/>
      <c r="E604"/>
    </row>
    <row r="605" spans="1:5" x14ac:dyDescent="0.25">
      <c r="A605" s="7">
        <v>0.7001593749656233</v>
      </c>
      <c r="B605"/>
      <c r="C605"/>
      <c r="D605"/>
      <c r="E605"/>
    </row>
    <row r="606" spans="1:5" x14ac:dyDescent="0.25">
      <c r="A606" s="7">
        <v>0.68643075977021883</v>
      </c>
      <c r="B606"/>
      <c r="C606"/>
      <c r="D606"/>
      <c r="E606"/>
    </row>
    <row r="607" spans="1:5" x14ac:dyDescent="0.25">
      <c r="A607" s="7">
        <v>0.67297133310805768</v>
      </c>
      <c r="B607"/>
      <c r="C607"/>
      <c r="D607"/>
      <c r="E607"/>
    </row>
    <row r="608" spans="1:5" x14ac:dyDescent="0.25">
      <c r="A608" s="7">
        <v>0.65977581677260566</v>
      </c>
      <c r="B608"/>
      <c r="C608"/>
      <c r="D608"/>
      <c r="E608"/>
    </row>
    <row r="609" spans="1:5" x14ac:dyDescent="0.25">
      <c r="A609" s="7">
        <v>0.64683903605157422</v>
      </c>
      <c r="B609"/>
      <c r="C609"/>
      <c r="D609"/>
      <c r="E609"/>
    </row>
    <row r="610" spans="1:5" x14ac:dyDescent="0.25">
      <c r="A610" s="7">
        <v>0.63415591769762181</v>
      </c>
      <c r="B610"/>
      <c r="C610"/>
      <c r="D610"/>
      <c r="E610"/>
    </row>
    <row r="611" spans="1:5" x14ac:dyDescent="0.25">
      <c r="A611" s="7">
        <v>0.62172148793884496</v>
      </c>
      <c r="B611"/>
      <c r="C611"/>
      <c r="D611"/>
      <c r="E611"/>
    </row>
    <row r="612" spans="1:5" x14ac:dyDescent="0.25">
      <c r="A612" s="7">
        <v>0.60953087052827937</v>
      </c>
      <c r="B612"/>
      <c r="C612"/>
      <c r="D612"/>
      <c r="E612"/>
    </row>
    <row r="613" spans="1:5" x14ac:dyDescent="0.25">
      <c r="A613" s="7">
        <v>0.59757928483164646</v>
      </c>
      <c r="B613"/>
      <c r="C613"/>
      <c r="D613"/>
      <c r="E613"/>
    </row>
    <row r="614" spans="1:5" x14ac:dyDescent="0.25">
      <c r="A614" s="7">
        <v>0.58586204395259456</v>
      </c>
      <c r="B614"/>
      <c r="C614"/>
      <c r="D614"/>
      <c r="E614"/>
    </row>
    <row r="615" spans="1:5" x14ac:dyDescent="0.25">
      <c r="A615" s="7">
        <v>0.57437455289470052</v>
      </c>
      <c r="B615"/>
      <c r="C615"/>
      <c r="D615"/>
      <c r="E615"/>
    </row>
    <row r="616" spans="1:5" x14ac:dyDescent="0.25">
      <c r="A616" s="7">
        <v>0.56311230675951029</v>
      </c>
      <c r="B616"/>
      <c r="C616"/>
      <c r="D616"/>
      <c r="E616"/>
    </row>
    <row r="617" spans="1:5" x14ac:dyDescent="0.25">
      <c r="A617" s="7">
        <v>0.55207088897991208</v>
      </c>
      <c r="B617"/>
      <c r="C617"/>
      <c r="D617"/>
      <c r="E617"/>
    </row>
    <row r="618" spans="1:5" x14ac:dyDescent="0.25">
      <c r="A618" s="7">
        <v>0.54124596958814908</v>
      </c>
      <c r="B618"/>
      <c r="C618"/>
      <c r="D618"/>
      <c r="E618"/>
    </row>
    <row r="619" spans="1:5" x14ac:dyDescent="0.25">
      <c r="A619" s="7">
        <v>0.53063330351779314</v>
      </c>
      <c r="B619"/>
      <c r="C619"/>
      <c r="D619"/>
      <c r="E619"/>
    </row>
    <row r="620" spans="1:5" x14ac:dyDescent="0.25">
      <c r="A620" s="7">
        <v>0.52022872893901284</v>
      </c>
      <c r="B620"/>
      <c r="C620"/>
      <c r="D620"/>
      <c r="E620"/>
    </row>
    <row r="621" spans="1:5" x14ac:dyDescent="0.25">
      <c r="A621" s="7">
        <v>0.51002816562648323</v>
      </c>
      <c r="B621"/>
      <c r="C621"/>
      <c r="D621"/>
      <c r="E621"/>
    </row>
    <row r="622" spans="1:5" x14ac:dyDescent="0.25">
      <c r="A622" s="7">
        <v>0.50002761335929735</v>
      </c>
      <c r="B622"/>
      <c r="C622"/>
      <c r="D622"/>
      <c r="E622"/>
    </row>
    <row r="623" spans="1:5" x14ac:dyDescent="0.25">
      <c r="A623" s="7">
        <v>0.49022315035225228</v>
      </c>
      <c r="B623"/>
      <c r="C623"/>
      <c r="D623"/>
      <c r="E623"/>
    </row>
    <row r="624" spans="1:5" x14ac:dyDescent="0.25">
      <c r="A624" s="7">
        <v>0.48061093171789437</v>
      </c>
      <c r="B624"/>
      <c r="C624"/>
      <c r="D624"/>
      <c r="E624"/>
    </row>
    <row r="625" spans="1:5" x14ac:dyDescent="0.25">
      <c r="A625" s="7">
        <v>0.47118718795871994</v>
      </c>
      <c r="B625"/>
      <c r="C625"/>
      <c r="D625"/>
      <c r="E625"/>
    </row>
    <row r="626" spans="1:5" x14ac:dyDescent="0.25">
      <c r="A626" s="7">
        <v>0.46194822348894116</v>
      </c>
      <c r="B626"/>
      <c r="C626"/>
      <c r="D626"/>
      <c r="E626"/>
    </row>
    <row r="627" spans="1:5" x14ac:dyDescent="0.25">
      <c r="A627" s="7">
        <v>0.45289041518523643</v>
      </c>
      <c r="B627"/>
      <c r="C627"/>
      <c r="D627"/>
      <c r="E627"/>
    </row>
    <row r="628" spans="1:5" x14ac:dyDescent="0.25">
      <c r="A628" s="7">
        <v>0.44401021096591808</v>
      </c>
      <c r="B628"/>
      <c r="C628"/>
      <c r="D628"/>
      <c r="E628"/>
    </row>
    <row r="629" spans="1:5" x14ac:dyDescent="0.25">
      <c r="A629" s="7">
        <v>0.4353041283979589</v>
      </c>
      <c r="B629"/>
      <c r="C629"/>
      <c r="D629"/>
      <c r="E629"/>
    </row>
    <row r="630" spans="1:5" x14ac:dyDescent="0.25">
      <c r="A630" s="7">
        <v>0.4267687533313323</v>
      </c>
      <c r="B630"/>
      <c r="C630"/>
      <c r="D630"/>
      <c r="E630"/>
    </row>
    <row r="631" spans="1:5" x14ac:dyDescent="0.25">
      <c r="A631" s="7">
        <v>0.41840073856012971</v>
      </c>
      <c r="B631"/>
      <c r="C631"/>
      <c r="D631"/>
      <c r="E631"/>
    </row>
    <row r="632" spans="1:5" x14ac:dyDescent="0.25">
      <c r="A632" s="7">
        <v>0.41019680250993112</v>
      </c>
      <c r="B632"/>
      <c r="C632"/>
      <c r="D632"/>
      <c r="E632"/>
    </row>
    <row r="633" spans="1:5" x14ac:dyDescent="0.25">
      <c r="A633" s="7">
        <v>0.40215372795091286</v>
      </c>
      <c r="B633"/>
      <c r="C633"/>
      <c r="D633"/>
      <c r="E633"/>
    </row>
    <row r="634" spans="1:5" x14ac:dyDescent="0.25">
      <c r="A634" s="7">
        <v>0.39426836073618904</v>
      </c>
      <c r="B634"/>
      <c r="C634"/>
      <c r="D634"/>
      <c r="E634"/>
    </row>
    <row r="635" spans="1:5" x14ac:dyDescent="0.25">
      <c r="A635" s="7">
        <v>0.38653760856489122</v>
      </c>
      <c r="B635"/>
      <c r="C635"/>
      <c r="D635"/>
      <c r="E635"/>
    </row>
    <row r="636" spans="1:5" x14ac:dyDescent="0.25">
      <c r="A636" s="7">
        <v>0.37895843976950117</v>
      </c>
      <c r="B636"/>
      <c r="C636"/>
      <c r="D636"/>
      <c r="E636"/>
    </row>
    <row r="637" spans="1:5" x14ac:dyDescent="0.25">
      <c r="A637" s="7">
        <v>0.37152788212696197</v>
      </c>
      <c r="B637"/>
      <c r="C637"/>
      <c r="D637"/>
      <c r="E637"/>
    </row>
    <row r="638" spans="1:5" x14ac:dyDescent="0.25">
      <c r="A638" s="7">
        <v>0.36424302169310002</v>
      </c>
      <c r="B638"/>
      <c r="C638"/>
      <c r="D638"/>
      <c r="E638"/>
    </row>
    <row r="639" spans="1:5" x14ac:dyDescent="0.25">
      <c r="A639" s="7">
        <v>0.35710100165990194</v>
      </c>
      <c r="B639"/>
      <c r="C639"/>
      <c r="D639"/>
      <c r="E639"/>
    </row>
    <row r="640" spans="1:5" x14ac:dyDescent="0.25">
      <c r="A640" s="7">
        <v>0.35009902123519804</v>
      </c>
      <c r="B640"/>
      <c r="C640"/>
      <c r="D640"/>
      <c r="E640"/>
    </row>
    <row r="641" spans="1:5" x14ac:dyDescent="0.25">
      <c r="A641" s="7">
        <v>0.34323433454431179</v>
      </c>
      <c r="B641"/>
      <c r="C641"/>
      <c r="D641"/>
      <c r="E641"/>
    </row>
    <row r="642" spans="1:5" x14ac:dyDescent="0.25">
      <c r="A642" s="7">
        <v>0.33650424955324681</v>
      </c>
      <c r="B642"/>
      <c r="C642"/>
      <c r="D642"/>
      <c r="E642"/>
    </row>
    <row r="643" spans="1:5" x14ac:dyDescent="0.25">
      <c r="A643" s="7">
        <v>0.3299061270129871</v>
      </c>
      <c r="B643"/>
      <c r="C643"/>
      <c r="D643"/>
      <c r="E643"/>
    </row>
    <row r="644" spans="1:5" x14ac:dyDescent="0.25">
      <c r="A644" s="7">
        <v>0.32343737942449713</v>
      </c>
      <c r="B644"/>
      <c r="C644"/>
      <c r="D644"/>
      <c r="E644"/>
    </row>
    <row r="645" spans="1:5" x14ac:dyDescent="0.25">
      <c r="A645" s="7">
        <v>0.31709547002401678</v>
      </c>
      <c r="B645"/>
      <c r="C645"/>
      <c r="D645"/>
      <c r="E645"/>
    </row>
    <row r="646" spans="1:5" x14ac:dyDescent="0.25">
      <c r="A646" s="7">
        <v>0.31087791178825175</v>
      </c>
      <c r="B646"/>
      <c r="C646"/>
      <c r="D646"/>
      <c r="E646"/>
    </row>
    <row r="647" spans="1:5" x14ac:dyDescent="0.25">
      <c r="A647" s="7">
        <v>0.30478226645907036</v>
      </c>
      <c r="B647"/>
      <c r="C647"/>
      <c r="D647"/>
      <c r="E647"/>
    </row>
    <row r="648" spans="1:5" x14ac:dyDescent="0.25">
      <c r="A648" s="7">
        <v>0.29880614358732388</v>
      </c>
      <c r="B648"/>
      <c r="C648"/>
      <c r="D648"/>
      <c r="E648"/>
    </row>
    <row r="649" spans="1:5" x14ac:dyDescent="0.25">
      <c r="A649" s="7">
        <v>0.2929471995954156</v>
      </c>
      <c r="B649"/>
      <c r="C649"/>
      <c r="D649"/>
      <c r="E649"/>
    </row>
    <row r="650" spans="1:5" x14ac:dyDescent="0.25">
      <c r="A650" s="7">
        <v>0.28720313685825055</v>
      </c>
      <c r="B650"/>
      <c r="C650"/>
      <c r="D650"/>
      <c r="E650"/>
    </row>
    <row r="651" spans="1:5" x14ac:dyDescent="0.25">
      <c r="A651" s="7">
        <v>0.28157170280220645</v>
      </c>
      <c r="B651"/>
      <c r="C651"/>
      <c r="D651"/>
      <c r="E651"/>
    </row>
    <row r="652" spans="1:5" x14ac:dyDescent="0.25">
      <c r="A652" s="7">
        <v>0.27605068902177105</v>
      </c>
      <c r="B652"/>
      <c r="C652"/>
      <c r="D652"/>
      <c r="E652"/>
    </row>
    <row r="653" spans="1:5" x14ac:dyDescent="0.25">
      <c r="A653" s="7">
        <v>0.27063793041350104</v>
      </c>
      <c r="B653"/>
      <c r="C653"/>
      <c r="D653"/>
      <c r="E653"/>
    </row>
    <row r="654" spans="1:5" x14ac:dyDescent="0.25">
      <c r="A654" s="7">
        <v>0.26533130432696184</v>
      </c>
      <c r="B654"/>
      <c r="C654"/>
      <c r="D654"/>
      <c r="E654"/>
    </row>
    <row r="655" spans="1:5" x14ac:dyDescent="0.25">
      <c r="A655" s="7">
        <v>0.26012872973231554</v>
      </c>
      <c r="B655"/>
      <c r="C655"/>
      <c r="D655"/>
      <c r="E655"/>
    </row>
    <row r="656" spans="1:5" x14ac:dyDescent="0.25">
      <c r="A656" s="7">
        <v>0.25502816640423093</v>
      </c>
      <c r="B656"/>
      <c r="C656"/>
      <c r="D656"/>
      <c r="E656"/>
    </row>
    <row r="657" spans="1:5" x14ac:dyDescent="0.25">
      <c r="A657" s="7">
        <v>0.25002761412179503</v>
      </c>
      <c r="B657"/>
      <c r="C657"/>
      <c r="D657"/>
      <c r="E657"/>
    </row>
    <row r="658" spans="1:5" x14ac:dyDescent="0.25">
      <c r="A658" s="7">
        <v>0.24512511188411276</v>
      </c>
      <c r="B658"/>
      <c r="C658"/>
      <c r="D658"/>
      <c r="E658"/>
    </row>
    <row r="659" spans="1:5" x14ac:dyDescent="0.25">
      <c r="A659" s="7">
        <v>0.24031873714128701</v>
      </c>
      <c r="B659"/>
      <c r="C659"/>
      <c r="D659"/>
      <c r="E659"/>
    </row>
    <row r="660" spans="1:5" x14ac:dyDescent="0.25">
      <c r="A660" s="7">
        <v>0.23560660504047748</v>
      </c>
      <c r="B660"/>
      <c r="C660"/>
      <c r="D660"/>
      <c r="E660"/>
    </row>
    <row r="661" spans="1:5" x14ac:dyDescent="0.25">
      <c r="A661" s="7">
        <v>0.23098686768674265</v>
      </c>
      <c r="B661"/>
      <c r="C661"/>
      <c r="D661"/>
      <c r="E661"/>
    </row>
    <row r="662" spans="1:5" x14ac:dyDescent="0.25">
      <c r="A662" s="7">
        <v>0.22645771341837515</v>
      </c>
      <c r="B662"/>
      <c r="C662"/>
      <c r="D662"/>
      <c r="E662"/>
    </row>
    <row r="663" spans="1:5" x14ac:dyDescent="0.25">
      <c r="A663" s="7">
        <v>0.22201736609644623</v>
      </c>
      <c r="B663"/>
      <c r="C663"/>
      <c r="D663"/>
      <c r="E663"/>
    </row>
    <row r="664" spans="1:5" x14ac:dyDescent="0.25">
      <c r="A664" s="7">
        <v>0.21766408440828061</v>
      </c>
      <c r="B664"/>
      <c r="C664"/>
      <c r="D664"/>
      <c r="E664"/>
    </row>
    <row r="665" spans="1:5" x14ac:dyDescent="0.25">
      <c r="A665" s="7">
        <v>0.21339616118458882</v>
      </c>
      <c r="B665"/>
      <c r="C665"/>
      <c r="D665"/>
      <c r="E665"/>
    </row>
    <row r="666" spans="1:5" x14ac:dyDescent="0.25">
      <c r="A666" s="7">
        <v>0.20921192272998904</v>
      </c>
      <c r="B666"/>
      <c r="C666"/>
      <c r="D666"/>
      <c r="E666"/>
    </row>
    <row r="667" spans="1:5" x14ac:dyDescent="0.25">
      <c r="A667" s="7">
        <v>0.20510972816665593</v>
      </c>
      <c r="B667"/>
      <c r="C667"/>
      <c r="D667"/>
      <c r="E667"/>
    </row>
    <row r="668" spans="1:5" x14ac:dyDescent="0.25">
      <c r="A668" s="7">
        <v>0.20108796879083912</v>
      </c>
      <c r="B668"/>
      <c r="C668"/>
      <c r="D668"/>
      <c r="E668"/>
    </row>
    <row r="669" spans="1:5" x14ac:dyDescent="0.25">
      <c r="A669" s="7">
        <v>0.19714506744199917</v>
      </c>
      <c r="B669"/>
      <c r="C669"/>
      <c r="D669"/>
      <c r="E669"/>
    </row>
    <row r="670" spans="1:5" x14ac:dyDescent="0.25">
      <c r="A670" s="7">
        <v>0.19327947788431293</v>
      </c>
      <c r="B670"/>
      <c r="C670"/>
      <c r="D670"/>
      <c r="E670"/>
    </row>
    <row r="671" spans="1:5" x14ac:dyDescent="0.25">
      <c r="A671" s="7">
        <v>0.18948968420030682</v>
      </c>
      <c r="B671"/>
      <c r="C671"/>
      <c r="D671"/>
      <c r="E671"/>
    </row>
    <row r="672" spans="1:5" x14ac:dyDescent="0.25">
      <c r="A672" s="7">
        <v>0.18577420019637925</v>
      </c>
      <c r="B672"/>
      <c r="C672"/>
      <c r="D672"/>
      <c r="E672"/>
    </row>
    <row r="673" spans="1:5" x14ac:dyDescent="0.25">
      <c r="A673" s="7">
        <v>0.18213156881997963</v>
      </c>
      <c r="B673"/>
      <c r="C673"/>
      <c r="D673"/>
      <c r="E673"/>
    </row>
    <row r="674" spans="1:5" x14ac:dyDescent="0.25">
      <c r="A674" s="7">
        <v>0.17856036158821534</v>
      </c>
      <c r="B674"/>
      <c r="C674"/>
      <c r="D674"/>
      <c r="E674"/>
    </row>
    <row r="675" spans="1:5" x14ac:dyDescent="0.25">
      <c r="A675" s="7">
        <v>0.17505917802766208</v>
      </c>
      <c r="B675"/>
      <c r="C675"/>
      <c r="D675"/>
      <c r="E675"/>
    </row>
    <row r="676" spans="1:5" x14ac:dyDescent="0.25">
      <c r="A676" s="7">
        <v>0.17162664512515888</v>
      </c>
      <c r="B676"/>
      <c r="C676"/>
      <c r="D676"/>
      <c r="E676"/>
    </row>
    <row r="677" spans="1:5" x14ac:dyDescent="0.25">
      <c r="A677" s="7">
        <v>0.16826141678937145</v>
      </c>
      <c r="B677"/>
      <c r="C677"/>
      <c r="D677"/>
      <c r="E677"/>
    </row>
    <row r="678" spans="1:5" x14ac:dyDescent="0.25">
      <c r="A678" s="7">
        <v>0.16496217332291319</v>
      </c>
      <c r="B678"/>
      <c r="C678"/>
      <c r="D678"/>
      <c r="E678"/>
    </row>
    <row r="679" spans="1:5" x14ac:dyDescent="0.25">
      <c r="A679" s="7">
        <v>0.16172762090481685</v>
      </c>
      <c r="B679"/>
      <c r="C679"/>
      <c r="D679"/>
      <c r="E679"/>
    </row>
    <row r="680" spans="1:5" x14ac:dyDescent="0.25">
      <c r="A680" s="7">
        <v>0.15855649108315376</v>
      </c>
      <c r="B680"/>
      <c r="C680"/>
      <c r="D680"/>
      <c r="E680"/>
    </row>
    <row r="681" spans="1:5" x14ac:dyDescent="0.25">
      <c r="A681" s="7">
        <v>0.15544754027760171</v>
      </c>
      <c r="B681"/>
      <c r="C681"/>
      <c r="D681"/>
      <c r="E681"/>
    </row>
    <row r="682" spans="1:5" x14ac:dyDescent="0.25">
      <c r="A682" s="7">
        <v>0.15239954929176638</v>
      </c>
      <c r="B682"/>
      <c r="C682"/>
      <c r="D682"/>
      <c r="E682"/>
    </row>
    <row r="683" spans="1:5" x14ac:dyDescent="0.25">
      <c r="A683" s="7">
        <v>0.14941132283506509</v>
      </c>
      <c r="B683"/>
      <c r="C683"/>
      <c r="D683"/>
      <c r="E683"/>
    </row>
    <row r="684" spans="1:5" x14ac:dyDescent="0.25">
      <c r="A684" s="7">
        <v>0.14648168905398537</v>
      </c>
      <c r="B684"/>
      <c r="C684"/>
      <c r="D684"/>
      <c r="E684"/>
    </row>
    <row r="685" spans="1:5" x14ac:dyDescent="0.25">
      <c r="A685" s="7">
        <v>0.14360949907253467</v>
      </c>
      <c r="B685"/>
      <c r="C685"/>
      <c r="D685"/>
      <c r="E685"/>
    </row>
    <row r="686" spans="1:5" x14ac:dyDescent="0.25">
      <c r="A686" s="7">
        <v>0.14079362654170066</v>
      </c>
      <c r="B686"/>
      <c r="C686"/>
      <c r="D686"/>
      <c r="E686"/>
    </row>
    <row r="687" spans="1:5" x14ac:dyDescent="0.25">
      <c r="A687" s="7">
        <v>0.13803296719774574</v>
      </c>
      <c r="B687"/>
      <c r="C687"/>
      <c r="D687"/>
      <c r="E687"/>
    </row>
    <row r="688" spans="1:5" x14ac:dyDescent="0.25">
      <c r="A688" s="7">
        <v>0.1353264384291625</v>
      </c>
      <c r="B688"/>
      <c r="C688"/>
      <c r="D688"/>
      <c r="E688"/>
    </row>
    <row r="689" spans="1:5" x14ac:dyDescent="0.25">
      <c r="A689" s="7">
        <v>0.13267297885212009</v>
      </c>
      <c r="B689"/>
      <c r="C689"/>
      <c r="D689"/>
      <c r="E689"/>
    </row>
    <row r="690" spans="1:5" x14ac:dyDescent="0.25">
      <c r="A690" s="7">
        <v>0.13007154789423539</v>
      </c>
      <c r="B690"/>
      <c r="C690"/>
      <c r="D690"/>
      <c r="E690"/>
    </row>
    <row r="691" spans="1:5" x14ac:dyDescent="0.25">
      <c r="A691" s="7">
        <v>0.12752112538650529</v>
      </c>
      <c r="B691"/>
      <c r="C691"/>
      <c r="D691"/>
      <c r="E691"/>
    </row>
    <row r="692" spans="1:5" x14ac:dyDescent="0.25">
      <c r="A692" s="7">
        <v>0.12502071116324048</v>
      </c>
      <c r="B692"/>
      <c r="C692"/>
      <c r="D692"/>
      <c r="E692"/>
    </row>
    <row r="693" spans="1:5" x14ac:dyDescent="0.25">
      <c r="A693" s="7">
        <v>0.1225693246698436</v>
      </c>
      <c r="B693"/>
      <c r="C693"/>
      <c r="D693"/>
      <c r="E693"/>
    </row>
    <row r="694" spans="1:5" x14ac:dyDescent="0.25">
      <c r="A694" s="7">
        <v>0.12016600457827803</v>
      </c>
      <c r="B694"/>
      <c r="C694"/>
      <c r="D694"/>
      <c r="E694"/>
    </row>
    <row r="695" spans="1:5" x14ac:dyDescent="0.25">
      <c r="A695" s="7">
        <v>0.1178098084100765</v>
      </c>
      <c r="B695"/>
      <c r="C695"/>
      <c r="D695"/>
      <c r="E695"/>
    </row>
    <row r="696" spans="1:5" x14ac:dyDescent="0.25">
      <c r="A696" s="7">
        <v>0.11549981216674166</v>
      </c>
      <c r="B696"/>
      <c r="C696"/>
      <c r="D696"/>
      <c r="E696"/>
    </row>
    <row r="697" spans="1:5" x14ac:dyDescent="0.25">
      <c r="A697" s="7">
        <v>0.11323510996739378</v>
      </c>
      <c r="B697"/>
      <c r="C697"/>
      <c r="D697"/>
      <c r="E697"/>
    </row>
    <row r="698" spans="1:5" x14ac:dyDescent="0.25">
      <c r="A698" s="7">
        <v>0.11101481369352331</v>
      </c>
      <c r="B698"/>
      <c r="C698"/>
      <c r="D698"/>
      <c r="E698"/>
    </row>
    <row r="699" spans="1:5" x14ac:dyDescent="0.25">
      <c r="A699" s="7">
        <v>0.10883805264070913</v>
      </c>
      <c r="B699"/>
      <c r="C699"/>
      <c r="D699"/>
      <c r="E699"/>
    </row>
    <row r="700" spans="1:5" x14ac:dyDescent="0.25">
      <c r="A700" s="7">
        <v>0.10670397317716582</v>
      </c>
      <c r="B700"/>
      <c r="C700"/>
      <c r="D700"/>
      <c r="E700"/>
    </row>
    <row r="701" spans="1:5" x14ac:dyDescent="0.25">
      <c r="A701" s="7">
        <v>0.1046117384089861</v>
      </c>
      <c r="B701"/>
      <c r="C701"/>
      <c r="D701"/>
      <c r="E701"/>
    </row>
    <row r="702" spans="1:5" x14ac:dyDescent="0.25">
      <c r="A702" s="7">
        <v>0.10256052785194716</v>
      </c>
      <c r="B702"/>
      <c r="C702"/>
      <c r="D702"/>
      <c r="E702"/>
    </row>
    <row r="703" spans="1:5" x14ac:dyDescent="0.25">
      <c r="A703" s="7">
        <v>0.10054953710975212</v>
      </c>
      <c r="B703"/>
      <c r="C703"/>
      <c r="D703"/>
      <c r="E703"/>
    </row>
    <row r="704" spans="1:5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973" operator="equal">
      <formula>$U$1</formula>
    </cfRule>
    <cfRule type="cellIs" dxfId="89" priority="974" operator="equal">
      <formula>$S$1</formula>
    </cfRule>
  </conditionalFormatting>
  <conditionalFormatting sqref="D27">
    <cfRule type="cellIs" dxfId="88" priority="971" operator="equal">
      <formula>$S$1</formula>
    </cfRule>
    <cfRule type="cellIs" dxfId="87" priority="972" operator="equal">
      <formula>$U$1</formula>
    </cfRule>
  </conditionalFormatting>
  <conditionalFormatting sqref="C164">
    <cfRule type="cellIs" dxfId="86" priority="969" operator="equal">
      <formula>$U$1</formula>
    </cfRule>
    <cfRule type="cellIs" dxfId="85" priority="970" operator="equal">
      <formula>$S$1</formula>
    </cfRule>
  </conditionalFormatting>
  <conditionalFormatting sqref="D164">
    <cfRule type="cellIs" dxfId="84" priority="967" operator="equal">
      <formula>$S$1</formula>
    </cfRule>
    <cfRule type="cellIs" dxfId="83" priority="968" operator="equal">
      <formula>$U$1</formula>
    </cfRule>
  </conditionalFormatting>
  <conditionalFormatting sqref="C55">
    <cfRule type="cellIs" dxfId="82" priority="965" operator="equal">
      <formula>$U$1</formula>
    </cfRule>
    <cfRule type="cellIs" dxfId="81" priority="966" operator="equal">
      <formula>$S$1</formula>
    </cfRule>
  </conditionalFormatting>
  <conditionalFormatting sqref="D55">
    <cfRule type="cellIs" dxfId="80" priority="963" operator="equal">
      <formula>$S$1</formula>
    </cfRule>
    <cfRule type="cellIs" dxfId="79" priority="964" operator="equal">
      <formula>$U$1</formula>
    </cfRule>
  </conditionalFormatting>
  <conditionalFormatting sqref="C89">
    <cfRule type="cellIs" dxfId="78" priority="961" operator="equal">
      <formula>$U$1</formula>
    </cfRule>
    <cfRule type="cellIs" dxfId="77" priority="962" operator="equal">
      <formula>$S$1</formula>
    </cfRule>
  </conditionalFormatting>
  <conditionalFormatting sqref="D89">
    <cfRule type="cellIs" dxfId="76" priority="959" operator="equal">
      <formula>$S$1</formula>
    </cfRule>
    <cfRule type="cellIs" dxfId="75" priority="960" operator="equal">
      <formula>$U$1</formula>
    </cfRule>
  </conditionalFormatting>
  <conditionalFormatting sqref="C136">
    <cfRule type="cellIs" dxfId="74" priority="957" operator="equal">
      <formula>$U$1</formula>
    </cfRule>
    <cfRule type="cellIs" dxfId="73" priority="958" operator="equal">
      <formula>$S$1</formula>
    </cfRule>
  </conditionalFormatting>
  <conditionalFormatting sqref="D136">
    <cfRule type="cellIs" dxfId="72" priority="955" operator="equal">
      <formula>$S$1</formula>
    </cfRule>
    <cfRule type="cellIs" dxfId="71" priority="956" operator="equal">
      <formula>$U$1</formula>
    </cfRule>
  </conditionalFormatting>
  <conditionalFormatting sqref="C1">
    <cfRule type="cellIs" dxfId="70" priority="954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175" zoomScale="90" zoomScaleNormal="90" workbookViewId="0">
      <pane xSplit="4" topLeftCell="BV1" activePane="topRight" state="frozen"/>
      <selection activeCell="A109" sqref="A109"/>
      <selection pane="topRight" activeCell="EC208" sqref="EC208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$A$207</v>
      </c>
      <c r="D111" s="1" t="str">
        <f>ADDRESS(C121-1,D121,1,1)</f>
        <v>$EC$207</v>
      </c>
      <c r="E111"/>
    </row>
    <row r="112" spans="1:5" x14ac:dyDescent="0.25">
      <c r="A112" s="30">
        <v>515.50191262726139</v>
      </c>
      <c r="C112" s="1" t="str">
        <f>ADDRESS(C121,1,1,1)</f>
        <v>$A$208</v>
      </c>
      <c r="D112" s="1" t="str">
        <f>ADDRESS(C121,D121-1,1,1)</f>
        <v>$EB$208</v>
      </c>
      <c r="E112"/>
    </row>
    <row r="113" spans="1:5" x14ac:dyDescent="0.25">
      <c r="A113" s="30">
        <v>490.95420250215363</v>
      </c>
      <c r="C113" s="1" t="str">
        <f>ADDRESS(C121+1,1,1,1)</f>
        <v>$A$209</v>
      </c>
      <c r="D113" s="1" t="str">
        <f>ADDRESS(C121-1,D121+1,1,1)</f>
        <v>$ED$207</v>
      </c>
    </row>
    <row r="114" spans="1:5" x14ac:dyDescent="0.25">
      <c r="A114" s="30">
        <v>467.57543095443202</v>
      </c>
      <c r="C114" s="1" t="str">
        <f>ADDRESS(C121,D121,1,1)</f>
        <v>$EC$208</v>
      </c>
      <c r="D114" s="1" t="str">
        <f>ADDRESS(C121+1,D121+1,1,1)</f>
        <v>$ED$209</v>
      </c>
    </row>
    <row r="115" spans="1:5" x14ac:dyDescent="0.25">
      <c r="A115" s="30">
        <v>445.30993424231622</v>
      </c>
      <c r="C115" s="1" t="str">
        <f>ADDRESS(C121+1,D121,1,1)</f>
        <v>$EC$209</v>
      </c>
    </row>
    <row r="116" spans="1:5" x14ac:dyDescent="0.25">
      <c r="A116" s="30">
        <v>424.10469927839637</v>
      </c>
      <c r="C116" s="1">
        <f>C117-1</f>
        <v>207</v>
      </c>
    </row>
    <row r="117" spans="1:5" x14ac:dyDescent="0.25">
      <c r="A117" s="30">
        <v>403.9092374079965</v>
      </c>
      <c r="C117" s="1">
        <f>C121</f>
        <v>208</v>
      </c>
      <c r="D117" s="1">
        <f>D121</f>
        <v>133</v>
      </c>
    </row>
    <row r="118" spans="1:5" x14ac:dyDescent="0.25">
      <c r="A118" s="30">
        <v>384.6754641980919</v>
      </c>
      <c r="C118" s="1">
        <f>C117+1</f>
        <v>209</v>
      </c>
      <c r="D118" s="1">
        <f>D117+1</f>
        <v>134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208</v>
      </c>
      <c r="D121" s="19">
        <v>133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R208</v>
      </c>
      <c r="D123" s="1" t="str">
        <f>"C"&amp;D121</f>
        <v>C133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4.7649414686036122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X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87" x14ac:dyDescent="0.25">
      <c r="A161" s="30">
        <v>47.201372444612005</v>
      </c>
      <c r="E161"/>
    </row>
    <row r="162" spans="1:87" x14ac:dyDescent="0.25">
      <c r="A162" s="30">
        <v>44.95368804248762</v>
      </c>
      <c r="E162"/>
    </row>
    <row r="163" spans="1:87" x14ac:dyDescent="0.25">
      <c r="A163" s="30">
        <v>42.81303623094059</v>
      </c>
      <c r="E163"/>
    </row>
    <row r="164" spans="1:87" x14ac:dyDescent="0.25">
      <c r="A164" s="30">
        <v>40.774320219943419</v>
      </c>
      <c r="E164"/>
    </row>
    <row r="165" spans="1:87" x14ac:dyDescent="0.25">
      <c r="A165" s="30">
        <v>38.832685923755633</v>
      </c>
      <c r="E165"/>
    </row>
    <row r="166" spans="1:87" x14ac:dyDescent="0.25">
      <c r="A166" s="30">
        <v>36.983510403576794</v>
      </c>
      <c r="E166"/>
    </row>
    <row r="167" spans="1:87" x14ac:dyDescent="0.25">
      <c r="A167" s="30">
        <v>35.222390860549325</v>
      </c>
      <c r="E167"/>
    </row>
    <row r="168" spans="1:87" x14ac:dyDescent="0.25">
      <c r="A168" s="30">
        <v>33.545134152904119</v>
      </c>
      <c r="E168"/>
    </row>
    <row r="169" spans="1:87" x14ac:dyDescent="0.25">
      <c r="A169" s="30">
        <v>31.947746812289637</v>
      </c>
      <c r="E169"/>
    </row>
    <row r="170" spans="1:87" x14ac:dyDescent="0.25">
      <c r="A170" s="30">
        <v>30.426425535513939</v>
      </c>
      <c r="E170"/>
    </row>
    <row r="171" spans="1:87" x14ac:dyDescent="0.25">
      <c r="A171" s="30">
        <v>28.977548129060892</v>
      </c>
      <c r="E171"/>
      <c r="BI171" s="27" t="s">
        <v>8</v>
      </c>
    </row>
    <row r="172" spans="1:87" x14ac:dyDescent="0.25">
      <c r="A172" s="30">
        <v>27.597664884819896</v>
      </c>
      <c r="E172"/>
      <c r="BI172" s="27" t="s">
        <v>8</v>
      </c>
      <c r="BJ172" s="27" t="s">
        <v>7</v>
      </c>
    </row>
    <row r="173" spans="1:87" x14ac:dyDescent="0.25">
      <c r="A173" s="30">
        <v>26.283490366495137</v>
      </c>
      <c r="E173"/>
      <c r="BI173" s="27" t="s">
        <v>8</v>
      </c>
      <c r="BJ173" s="27" t="s">
        <v>7</v>
      </c>
      <c r="BK173" s="27" t="s">
        <v>8</v>
      </c>
    </row>
    <row r="174" spans="1:87" x14ac:dyDescent="0.25">
      <c r="A174" s="30">
        <v>25.031895587138223</v>
      </c>
      <c r="E174"/>
      <c r="BI174" s="27" t="s">
        <v>8</v>
      </c>
      <c r="BJ174" s="27" t="s">
        <v>7</v>
      </c>
      <c r="BK174" s="27" t="s">
        <v>8</v>
      </c>
      <c r="BL174" s="27" t="s">
        <v>7</v>
      </c>
      <c r="BM174" s="27" t="s">
        <v>8</v>
      </c>
      <c r="CG174" s="31" t="s">
        <v>8</v>
      </c>
    </row>
    <row r="175" spans="1:87" x14ac:dyDescent="0.25">
      <c r="A175" s="30">
        <v>23.839900559179259</v>
      </c>
      <c r="E175"/>
      <c r="BG175" s="27" t="s">
        <v>8</v>
      </c>
      <c r="BI175" s="27" t="s">
        <v>8</v>
      </c>
      <c r="BJ175" s="27" t="s">
        <v>7</v>
      </c>
      <c r="BK175" s="27" t="s">
        <v>8</v>
      </c>
      <c r="BL175" s="27" t="s">
        <v>7</v>
      </c>
      <c r="BM175" s="27" t="s">
        <v>8</v>
      </c>
      <c r="BN175" s="27" t="s">
        <v>7</v>
      </c>
      <c r="BS175" s="27" t="s">
        <v>8</v>
      </c>
      <c r="CG175" s="34" t="s">
        <v>8</v>
      </c>
      <c r="CH175" s="31" t="s">
        <v>7</v>
      </c>
    </row>
    <row r="176" spans="1:87" x14ac:dyDescent="0.25">
      <c r="A176" s="30">
        <v>22.704667199218342</v>
      </c>
      <c r="E176"/>
      <c r="BG176" s="27" t="s">
        <v>8</v>
      </c>
      <c r="BH176" s="27" t="s">
        <v>7</v>
      </c>
      <c r="BI176" s="27" t="s">
        <v>8</v>
      </c>
      <c r="BJ176" s="27" t="s">
        <v>7</v>
      </c>
      <c r="BK176" s="27" t="s">
        <v>8</v>
      </c>
      <c r="BL176" s="27" t="s">
        <v>7</v>
      </c>
      <c r="BM176" s="27" t="s">
        <v>8</v>
      </c>
      <c r="BN176" s="27" t="s">
        <v>7</v>
      </c>
      <c r="BS176" s="27" t="s">
        <v>8</v>
      </c>
      <c r="BT176" s="27" t="s">
        <v>7</v>
      </c>
      <c r="BW176" s="27" t="s">
        <v>8</v>
      </c>
      <c r="CC176" s="32" t="s">
        <v>8</v>
      </c>
      <c r="CE176" s="32" t="s">
        <v>8</v>
      </c>
      <c r="CG176" s="27" t="s">
        <v>8</v>
      </c>
      <c r="CH176" s="27" t="s">
        <v>7</v>
      </c>
      <c r="CI176" s="31"/>
    </row>
    <row r="177" spans="1:125" x14ac:dyDescent="0.25">
      <c r="A177" s="30">
        <v>21.623492570684135</v>
      </c>
      <c r="E177"/>
      <c r="BG177" s="27" t="s">
        <v>8</v>
      </c>
      <c r="BH177" s="27" t="s">
        <v>7</v>
      </c>
      <c r="BI177" s="27" t="s">
        <v>8</v>
      </c>
      <c r="BJ177" s="32" t="s">
        <v>7</v>
      </c>
      <c r="BL177" s="32" t="s">
        <v>7</v>
      </c>
      <c r="BN177" s="27" t="s">
        <v>7</v>
      </c>
      <c r="BO177" s="27" t="s">
        <v>8</v>
      </c>
      <c r="BS177" s="27" t="s">
        <v>8</v>
      </c>
      <c r="BT177" s="27" t="s">
        <v>7</v>
      </c>
      <c r="BU177" s="27" t="s">
        <v>8</v>
      </c>
      <c r="BW177" s="27" t="s">
        <v>8</v>
      </c>
      <c r="BX177" s="27" t="s">
        <v>7</v>
      </c>
      <c r="CC177" s="27" t="s">
        <v>8</v>
      </c>
      <c r="CD177" s="27" t="s">
        <v>7</v>
      </c>
      <c r="CE177" s="27" t="s">
        <v>8</v>
      </c>
      <c r="CF177" s="27" t="s">
        <v>7</v>
      </c>
      <c r="CG177" s="27" t="s">
        <v>8</v>
      </c>
      <c r="CH177" s="27" t="s">
        <v>7</v>
      </c>
      <c r="CJ177" s="31"/>
    </row>
    <row r="178" spans="1:125" x14ac:dyDescent="0.25">
      <c r="A178" s="30">
        <v>20.593802448270605</v>
      </c>
      <c r="C178" s="7"/>
      <c r="D178"/>
      <c r="E178"/>
      <c r="BG178" s="27" t="s">
        <v>8</v>
      </c>
      <c r="BH178" s="27" t="s">
        <v>7</v>
      </c>
      <c r="BI178" s="27" t="s">
        <v>8</v>
      </c>
      <c r="BN178" s="33" t="s">
        <v>7</v>
      </c>
      <c r="BO178" s="27" t="s">
        <v>8</v>
      </c>
      <c r="BP178" s="27" t="s">
        <v>7</v>
      </c>
      <c r="BS178" s="34" t="s">
        <v>8</v>
      </c>
      <c r="BT178" s="27" t="s">
        <v>7</v>
      </c>
      <c r="BU178" s="27" t="s">
        <v>8</v>
      </c>
      <c r="BV178" s="27" t="s">
        <v>7</v>
      </c>
      <c r="BW178" s="27" t="s">
        <v>8</v>
      </c>
      <c r="BX178" s="27" t="s">
        <v>7</v>
      </c>
      <c r="CC178" s="27" t="s">
        <v>8</v>
      </c>
      <c r="CD178" s="27" t="s">
        <v>7</v>
      </c>
      <c r="CE178" s="27" t="s">
        <v>8</v>
      </c>
      <c r="CF178" s="27" t="s">
        <v>7</v>
      </c>
      <c r="CG178" s="27" t="s">
        <v>8</v>
      </c>
      <c r="CH178" s="27" t="s">
        <v>7</v>
      </c>
      <c r="CK178" s="31"/>
    </row>
    <row r="179" spans="1:125" x14ac:dyDescent="0.25">
      <c r="A179" s="30">
        <v>19.613145188829147</v>
      </c>
      <c r="E179"/>
      <c r="BG179" s="27" t="s">
        <v>8</v>
      </c>
      <c r="BH179" s="27" t="s">
        <v>7</v>
      </c>
      <c r="BI179" s="27" t="s">
        <v>8</v>
      </c>
      <c r="BN179" s="27" t="s">
        <v>7</v>
      </c>
      <c r="BO179" s="27" t="s">
        <v>8</v>
      </c>
      <c r="BP179" s="27" t="s">
        <v>7</v>
      </c>
      <c r="BQ179" s="27" t="s">
        <v>8</v>
      </c>
      <c r="BS179" s="27" t="s">
        <v>8</v>
      </c>
      <c r="BT179" s="27" t="s">
        <v>7</v>
      </c>
      <c r="BU179" s="27" t="s">
        <v>8</v>
      </c>
      <c r="BV179" s="27" t="s">
        <v>7</v>
      </c>
      <c r="BW179" s="27" t="s">
        <v>8</v>
      </c>
      <c r="BX179" s="27" t="s">
        <v>7</v>
      </c>
      <c r="CA179" s="27" t="s">
        <v>8</v>
      </c>
      <c r="CC179" s="27" t="s">
        <v>8</v>
      </c>
      <c r="CD179" s="27" t="s">
        <v>7</v>
      </c>
      <c r="CE179" s="27" t="s">
        <v>8</v>
      </c>
      <c r="CF179" s="27" t="s">
        <v>7</v>
      </c>
      <c r="CG179" s="27" t="s">
        <v>8</v>
      </c>
      <c r="CH179" s="27" t="s">
        <v>7</v>
      </c>
      <c r="CI179" s="27" t="s">
        <v>8</v>
      </c>
      <c r="CL179" s="31"/>
    </row>
    <row r="180" spans="1:125" x14ac:dyDescent="0.25">
      <c r="A180" s="30">
        <v>18.679185894122998</v>
      </c>
      <c r="E180"/>
      <c r="BG180" s="27" t="s">
        <v>8</v>
      </c>
      <c r="BH180" s="27" t="s">
        <v>7</v>
      </c>
      <c r="BN180" s="27" t="s">
        <v>7</v>
      </c>
      <c r="BO180" s="27" t="s">
        <v>8</v>
      </c>
      <c r="BP180" s="27" t="s">
        <v>7</v>
      </c>
      <c r="BQ180" s="27" t="s">
        <v>8</v>
      </c>
      <c r="BR180" s="27" t="s">
        <v>7</v>
      </c>
      <c r="BS180" s="27" t="s">
        <v>8</v>
      </c>
      <c r="BT180" s="27" t="s">
        <v>7</v>
      </c>
      <c r="BU180" s="27" t="s">
        <v>8</v>
      </c>
      <c r="BV180" s="27" t="s">
        <v>7</v>
      </c>
      <c r="BX180" s="27" t="s">
        <v>7</v>
      </c>
      <c r="CA180" s="34" t="s">
        <v>8</v>
      </c>
      <c r="CB180" s="27" t="s">
        <v>7</v>
      </c>
      <c r="CC180" s="27" t="s">
        <v>8</v>
      </c>
      <c r="CD180" s="27" t="s">
        <v>7</v>
      </c>
      <c r="CF180" s="27" t="s">
        <v>7</v>
      </c>
      <c r="CG180" s="27" t="s">
        <v>8</v>
      </c>
      <c r="CH180" s="27" t="s">
        <v>7</v>
      </c>
      <c r="CI180" s="27" t="s">
        <v>8</v>
      </c>
      <c r="CJ180" s="27" t="s">
        <v>7</v>
      </c>
      <c r="CM180" s="31"/>
    </row>
    <row r="181" spans="1:125" x14ac:dyDescent="0.25">
      <c r="A181" s="30">
        <v>17.78970085154571</v>
      </c>
      <c r="C181"/>
      <c r="D181"/>
      <c r="E181"/>
      <c r="BE181" s="34" t="s">
        <v>8</v>
      </c>
      <c r="BG181" s="27" t="s">
        <v>8</v>
      </c>
      <c r="BN181" s="27" t="s">
        <v>7</v>
      </c>
      <c r="BO181" s="27" t="s">
        <v>8</v>
      </c>
      <c r="BP181" s="27" t="s">
        <v>7</v>
      </c>
      <c r="BQ181" s="27" t="s">
        <v>8</v>
      </c>
      <c r="BR181" s="27" t="s">
        <v>7</v>
      </c>
      <c r="BS181" s="27" t="s">
        <v>8</v>
      </c>
      <c r="BT181" s="27" t="s">
        <v>7</v>
      </c>
      <c r="BU181" s="27" t="s">
        <v>8</v>
      </c>
      <c r="BX181" s="31" t="s">
        <v>7</v>
      </c>
      <c r="BY181" s="27" t="s">
        <v>8</v>
      </c>
      <c r="CA181" s="27" t="s">
        <v>8</v>
      </c>
      <c r="CB181" s="27" t="s">
        <v>7</v>
      </c>
      <c r="CC181" s="27" t="s">
        <v>8</v>
      </c>
      <c r="CF181" s="33" t="s">
        <v>7</v>
      </c>
      <c r="CG181" s="27" t="s">
        <v>8</v>
      </c>
      <c r="CH181" s="27" t="s">
        <v>7</v>
      </c>
      <c r="CI181" s="27" t="s">
        <v>8</v>
      </c>
      <c r="CJ181" s="27" t="s">
        <v>7</v>
      </c>
      <c r="CN181" s="31"/>
    </row>
    <row r="182" spans="1:125" x14ac:dyDescent="0.25">
      <c r="A182" s="30">
        <v>16.942572239567344</v>
      </c>
      <c r="E182"/>
      <c r="BC182" s="27" t="s">
        <v>8</v>
      </c>
      <c r="BE182" s="27" t="s">
        <v>8</v>
      </c>
      <c r="BF182" s="27" t="s">
        <v>7</v>
      </c>
      <c r="BG182" s="27" t="s">
        <v>8</v>
      </c>
      <c r="BN182" s="27" t="s">
        <v>7</v>
      </c>
      <c r="BO182" s="27" t="s">
        <v>8</v>
      </c>
      <c r="BP182" s="32" t="s">
        <v>7</v>
      </c>
      <c r="BR182" s="32" t="s">
        <v>7</v>
      </c>
      <c r="BT182" s="27" t="s">
        <v>7</v>
      </c>
      <c r="BU182" s="27" t="s">
        <v>8</v>
      </c>
      <c r="BW182" s="31"/>
      <c r="BX182" s="27" t="s">
        <v>7</v>
      </c>
      <c r="BY182" s="27" t="s">
        <v>8</v>
      </c>
      <c r="BZ182" s="27" t="s">
        <v>7</v>
      </c>
      <c r="CA182" s="27" t="s">
        <v>8</v>
      </c>
      <c r="CB182" s="27" t="s">
        <v>7</v>
      </c>
      <c r="CC182" s="27" t="s">
        <v>8</v>
      </c>
      <c r="CF182" s="27" t="s">
        <v>7</v>
      </c>
      <c r="CH182" s="27" t="s">
        <v>7</v>
      </c>
      <c r="CI182" s="27" t="s">
        <v>8</v>
      </c>
      <c r="CJ182" s="27" t="s">
        <v>7</v>
      </c>
      <c r="CO182" s="31"/>
    </row>
    <row r="183" spans="1:125" x14ac:dyDescent="0.25">
      <c r="A183" s="30">
        <v>16.135783085302233</v>
      </c>
      <c r="E183"/>
      <c r="BA183" s="27" t="s">
        <v>8</v>
      </c>
      <c r="BC183" s="27" t="s">
        <v>8</v>
      </c>
      <c r="BD183" s="27" t="s">
        <v>7</v>
      </c>
      <c r="BE183" s="27" t="s">
        <v>8</v>
      </c>
      <c r="BF183" s="27" t="s">
        <v>7</v>
      </c>
      <c r="BG183" s="27" t="s">
        <v>8</v>
      </c>
      <c r="BN183" s="27" t="s">
        <v>7</v>
      </c>
      <c r="BO183" s="27" t="s">
        <v>8</v>
      </c>
      <c r="BT183" s="33" t="s">
        <v>7</v>
      </c>
      <c r="BV183" s="31"/>
      <c r="BX183" s="27" t="s">
        <v>7</v>
      </c>
      <c r="BY183" s="27" t="s">
        <v>8</v>
      </c>
      <c r="BZ183" s="27" t="s">
        <v>7</v>
      </c>
      <c r="CA183" s="27" t="s">
        <v>8</v>
      </c>
      <c r="CB183" s="27" t="s">
        <v>7</v>
      </c>
      <c r="CC183" s="27" t="s">
        <v>8</v>
      </c>
      <c r="CH183" s="33" t="s">
        <v>7</v>
      </c>
      <c r="CI183" s="27" t="s">
        <v>8</v>
      </c>
      <c r="CJ183" s="27" t="s">
        <v>7</v>
      </c>
      <c r="CP183" s="31"/>
    </row>
    <row r="184" spans="1:125" x14ac:dyDescent="0.25">
      <c r="A184" s="30">
        <v>15.367412462192602</v>
      </c>
      <c r="E184"/>
      <c r="BA184" s="27" t="s">
        <v>8</v>
      </c>
      <c r="BB184" s="27" t="s">
        <v>7</v>
      </c>
      <c r="BC184" s="27" t="s">
        <v>8</v>
      </c>
      <c r="BD184" s="27" t="s">
        <v>7</v>
      </c>
      <c r="BE184" s="27" t="s">
        <v>8</v>
      </c>
      <c r="BF184" s="27" t="s">
        <v>7</v>
      </c>
      <c r="BN184" s="27" t="s">
        <v>7</v>
      </c>
      <c r="BO184" s="27" t="s">
        <v>8</v>
      </c>
      <c r="BU184" s="31"/>
      <c r="BX184" s="27" t="s">
        <v>7</v>
      </c>
      <c r="BZ184" s="27" t="s">
        <v>7</v>
      </c>
      <c r="CA184" s="27" t="s">
        <v>8</v>
      </c>
      <c r="CB184" s="27" t="s">
        <v>7</v>
      </c>
      <c r="CH184" s="27" t="s">
        <v>7</v>
      </c>
      <c r="CI184" s="27" t="s">
        <v>8</v>
      </c>
      <c r="CJ184" s="27" t="s">
        <v>7</v>
      </c>
      <c r="CQ184" s="31"/>
      <c r="DI184" s="27" t="s">
        <v>8</v>
      </c>
    </row>
    <row r="185" spans="1:125" x14ac:dyDescent="0.25">
      <c r="A185" s="30">
        <v>14.635630916373906</v>
      </c>
      <c r="C185"/>
      <c r="E185"/>
      <c r="AY185" s="27" t="s">
        <v>8</v>
      </c>
      <c r="BA185" s="27" t="s">
        <v>8</v>
      </c>
      <c r="BB185" s="27" t="s">
        <v>7</v>
      </c>
      <c r="BC185" s="27" t="s">
        <v>8</v>
      </c>
      <c r="BD185" s="27" t="s">
        <v>7</v>
      </c>
      <c r="BE185" s="27" t="s">
        <v>8</v>
      </c>
      <c r="BN185" s="27" t="s">
        <v>7</v>
      </c>
      <c r="BO185" s="27" t="s">
        <v>8</v>
      </c>
      <c r="BT185" s="31"/>
      <c r="BZ185" s="27" t="s">
        <v>7</v>
      </c>
      <c r="CA185" s="27" t="s">
        <v>8</v>
      </c>
      <c r="CH185" s="27" t="s">
        <v>7</v>
      </c>
      <c r="CI185" s="27" t="s">
        <v>8</v>
      </c>
      <c r="CJ185" s="27" t="s">
        <v>7</v>
      </c>
      <c r="CK185" s="27" t="s">
        <v>8</v>
      </c>
      <c r="CR185" s="31"/>
      <c r="DI185" s="27" t="s">
        <v>8</v>
      </c>
      <c r="DJ185" s="27" t="s">
        <v>7</v>
      </c>
    </row>
    <row r="186" spans="1:125" x14ac:dyDescent="0.25">
      <c r="A186" s="30">
        <v>13.938696110832291</v>
      </c>
      <c r="E186"/>
      <c r="AY186" s="27" t="s">
        <v>8</v>
      </c>
      <c r="AZ186" s="27" t="s">
        <v>7</v>
      </c>
      <c r="BA186" s="27" t="s">
        <v>8</v>
      </c>
      <c r="BB186" s="27" t="s">
        <v>7</v>
      </c>
      <c r="BC186" s="27" t="s">
        <v>8</v>
      </c>
      <c r="BD186" s="27" t="s">
        <v>7</v>
      </c>
      <c r="BE186" s="27" t="s">
        <v>8</v>
      </c>
      <c r="BN186" s="27" t="s">
        <v>7</v>
      </c>
      <c r="BS186" s="31"/>
      <c r="BZ186" s="27" t="s">
        <v>7</v>
      </c>
      <c r="CA186" s="27" t="s">
        <v>8</v>
      </c>
      <c r="CH186" s="27" t="s">
        <v>7</v>
      </c>
      <c r="CI186" s="27" t="s">
        <v>8</v>
      </c>
      <c r="CJ186" s="27" t="s">
        <v>7</v>
      </c>
      <c r="CK186" s="27" t="s">
        <v>8</v>
      </c>
      <c r="CL186" s="27" t="s">
        <v>7</v>
      </c>
      <c r="CM186" s="27" t="s">
        <v>8</v>
      </c>
      <c r="CS186" s="31"/>
      <c r="DE186" s="32" t="s">
        <v>8</v>
      </c>
      <c r="DG186" s="32" t="s">
        <v>8</v>
      </c>
      <c r="DI186" s="27" t="s">
        <v>8</v>
      </c>
      <c r="DJ186" s="27" t="s">
        <v>7</v>
      </c>
    </row>
    <row r="187" spans="1:12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  <c r="AW187" s="27" t="s">
        <v>8</v>
      </c>
      <c r="AY187" s="27" t="s">
        <v>8</v>
      </c>
      <c r="AZ187" s="27" t="s">
        <v>7</v>
      </c>
      <c r="BA187" s="27" t="s">
        <v>8</v>
      </c>
      <c r="BB187" s="27" t="s">
        <v>7</v>
      </c>
      <c r="BD187" s="27" t="s">
        <v>7</v>
      </c>
      <c r="BE187" s="27" t="s">
        <v>8</v>
      </c>
      <c r="BR187" s="31"/>
      <c r="BZ187" s="27" t="s">
        <v>7</v>
      </c>
      <c r="CH187" s="27" t="s">
        <v>7</v>
      </c>
      <c r="CI187" s="27" t="s">
        <v>8</v>
      </c>
      <c r="CJ187" s="27" t="s">
        <v>7</v>
      </c>
      <c r="CK187" s="27" t="s">
        <v>8</v>
      </c>
      <c r="CL187" s="27" t="s">
        <v>7</v>
      </c>
      <c r="CM187" s="27" t="s">
        <v>8</v>
      </c>
      <c r="CN187" s="27" t="s">
        <v>7</v>
      </c>
      <c r="CT187" s="31"/>
      <c r="CU187" s="27" t="s">
        <v>8</v>
      </c>
      <c r="DC187" s="27" t="s">
        <v>8</v>
      </c>
      <c r="DE187" s="27" t="s">
        <v>8</v>
      </c>
      <c r="DF187" s="27" t="s">
        <v>7</v>
      </c>
      <c r="DG187" s="27" t="s">
        <v>8</v>
      </c>
      <c r="DH187" s="27" t="s">
        <v>7</v>
      </c>
      <c r="DI187" s="27" t="s">
        <v>8</v>
      </c>
      <c r="DJ187" s="27" t="s">
        <v>7</v>
      </c>
    </row>
    <row r="188" spans="1:125" x14ac:dyDescent="0.25">
      <c r="A188" s="30">
        <v>12.64280826379346</v>
      </c>
      <c r="E188"/>
      <c r="AW188" s="27" t="s">
        <v>8</v>
      </c>
      <c r="AX188" s="27" t="s">
        <v>7</v>
      </c>
      <c r="AY188" s="27" t="s">
        <v>8</v>
      </c>
      <c r="AZ188" s="27" t="s">
        <v>7</v>
      </c>
      <c r="BA188" s="27" t="s">
        <v>8</v>
      </c>
      <c r="BD188" s="27" t="s">
        <v>7</v>
      </c>
      <c r="BE188" s="27" t="s">
        <v>8</v>
      </c>
      <c r="BQ188" s="31"/>
      <c r="CH188" s="27" t="s">
        <v>7</v>
      </c>
      <c r="CI188" s="27" t="s">
        <v>8</v>
      </c>
      <c r="CJ188" s="27" t="s">
        <v>7</v>
      </c>
      <c r="CK188" s="27" t="s">
        <v>8</v>
      </c>
      <c r="CL188" s="27" t="s">
        <v>7</v>
      </c>
      <c r="CM188" s="27" t="s">
        <v>8</v>
      </c>
      <c r="CN188" s="27" t="s">
        <v>7</v>
      </c>
      <c r="CS188" s="27" t="s">
        <v>8</v>
      </c>
      <c r="CU188" s="31" t="s">
        <v>8</v>
      </c>
      <c r="CV188" s="31" t="s">
        <v>7</v>
      </c>
      <c r="DC188" s="27" t="s">
        <v>8</v>
      </c>
      <c r="DD188" s="27" t="s">
        <v>7</v>
      </c>
      <c r="DE188" s="27" t="s">
        <v>8</v>
      </c>
      <c r="DF188" s="27" t="s">
        <v>7</v>
      </c>
      <c r="DG188" s="27" t="s">
        <v>8</v>
      </c>
      <c r="DH188" s="27" t="s">
        <v>7</v>
      </c>
      <c r="DI188" s="27" t="s">
        <v>8</v>
      </c>
      <c r="DJ188" s="27" t="s">
        <v>7</v>
      </c>
    </row>
    <row r="189" spans="1:125" x14ac:dyDescent="0.25">
      <c r="A189" s="30">
        <v>12.04076977504139</v>
      </c>
      <c r="E189"/>
      <c r="AW189" s="27" t="s">
        <v>8</v>
      </c>
      <c r="AX189" s="27" t="s">
        <v>7</v>
      </c>
      <c r="AY189" s="27" t="s">
        <v>8</v>
      </c>
      <c r="AZ189" s="27" t="s">
        <v>7</v>
      </c>
      <c r="BA189" s="27" t="s">
        <v>8</v>
      </c>
      <c r="BD189" s="27" t="s">
        <v>7</v>
      </c>
      <c r="BE189" s="27" t="s">
        <v>8</v>
      </c>
      <c r="BP189" s="31"/>
      <c r="CH189" s="27" t="s">
        <v>7</v>
      </c>
      <c r="CI189" s="27" t="s">
        <v>8</v>
      </c>
      <c r="CJ189" s="27" t="s">
        <v>7</v>
      </c>
      <c r="CK189" s="27" t="s">
        <v>8</v>
      </c>
      <c r="CL189" s="27" t="s">
        <v>7</v>
      </c>
      <c r="CM189" s="27" t="s">
        <v>8</v>
      </c>
      <c r="CN189" s="27" t="s">
        <v>7</v>
      </c>
      <c r="CS189" s="27" t="s">
        <v>8</v>
      </c>
      <c r="CT189" s="27" t="s">
        <v>7</v>
      </c>
      <c r="CU189" s="27" t="s">
        <v>8</v>
      </c>
      <c r="CV189" s="27" t="s">
        <v>7</v>
      </c>
      <c r="CW189" s="31"/>
      <c r="DC189" s="27" t="s">
        <v>8</v>
      </c>
      <c r="DD189" s="27" t="s">
        <v>7</v>
      </c>
      <c r="DE189" s="27" t="s">
        <v>8</v>
      </c>
      <c r="DF189" s="27" t="s">
        <v>7</v>
      </c>
      <c r="DG189" s="31" t="s">
        <v>8</v>
      </c>
      <c r="DH189" s="27" t="s">
        <v>7</v>
      </c>
      <c r="DI189" s="27" t="s">
        <v>8</v>
      </c>
      <c r="DJ189" s="27" t="s">
        <v>7</v>
      </c>
      <c r="DK189" s="27" t="s">
        <v>8</v>
      </c>
    </row>
    <row r="190" spans="1:125" x14ac:dyDescent="0.25">
      <c r="A190" s="30">
        <v>11.467399785753704</v>
      </c>
      <c r="E190"/>
      <c r="AW190" s="27" t="s">
        <v>8</v>
      </c>
      <c r="AX190" s="27" t="s">
        <v>7</v>
      </c>
      <c r="AY190" s="27" t="s">
        <v>8</v>
      </c>
      <c r="AZ190" s="27" t="s">
        <v>7</v>
      </c>
      <c r="BA190" s="27" t="s">
        <v>8</v>
      </c>
      <c r="BD190" s="27" t="s">
        <v>7</v>
      </c>
      <c r="BO190" s="31"/>
      <c r="CH190" s="27" t="s">
        <v>7</v>
      </c>
      <c r="CI190" s="27" t="s">
        <v>8</v>
      </c>
      <c r="CJ190" s="27" t="s">
        <v>7</v>
      </c>
      <c r="CK190" s="27" t="s">
        <v>8</v>
      </c>
      <c r="CL190" s="27" t="s">
        <v>7</v>
      </c>
      <c r="CM190" s="27" t="s">
        <v>8</v>
      </c>
      <c r="CN190" s="27" t="s">
        <v>7</v>
      </c>
      <c r="CS190" s="27" t="s">
        <v>8</v>
      </c>
      <c r="CT190" s="27" t="s">
        <v>7</v>
      </c>
      <c r="CU190" s="27" t="s">
        <v>8</v>
      </c>
      <c r="CV190" s="27" t="s">
        <v>7</v>
      </c>
      <c r="CX190" s="31"/>
      <c r="DC190" s="27" t="s">
        <v>8</v>
      </c>
      <c r="DD190" s="27" t="s">
        <v>7</v>
      </c>
      <c r="DE190" s="27" t="s">
        <v>8</v>
      </c>
      <c r="DF190" s="31" t="s">
        <v>7</v>
      </c>
      <c r="DG190" s="27" t="s">
        <v>8</v>
      </c>
      <c r="DH190" s="27" t="s">
        <v>7</v>
      </c>
      <c r="DI190" s="27" t="s">
        <v>8</v>
      </c>
      <c r="DJ190" s="27" t="s">
        <v>7</v>
      </c>
      <c r="DK190" s="27" t="s">
        <v>8</v>
      </c>
      <c r="DL190" s="27" t="s">
        <v>7</v>
      </c>
      <c r="DO190" s="27" t="s">
        <v>8</v>
      </c>
      <c r="DS190" s="31" t="s">
        <v>8</v>
      </c>
    </row>
    <row r="191" spans="1:125" x14ac:dyDescent="0.25">
      <c r="A191" s="30">
        <v>10.921333129289241</v>
      </c>
      <c r="E191"/>
      <c r="AW191" s="27" t="s">
        <v>8</v>
      </c>
      <c r="AX191" s="27" t="s">
        <v>7</v>
      </c>
      <c r="AY191" s="27" t="s">
        <v>8</v>
      </c>
      <c r="AZ191" s="27" t="s">
        <v>7</v>
      </c>
      <c r="BN191" s="31"/>
      <c r="CH191" s="27" t="s">
        <v>7</v>
      </c>
      <c r="CJ191" s="27" t="s">
        <v>7</v>
      </c>
      <c r="CK191" s="27" t="s">
        <v>8</v>
      </c>
      <c r="CL191" s="27" t="s">
        <v>7</v>
      </c>
      <c r="CM191" s="27" t="s">
        <v>8</v>
      </c>
      <c r="CN191" s="27" t="s">
        <v>7</v>
      </c>
      <c r="CS191" s="27" t="s">
        <v>8</v>
      </c>
      <c r="CT191" s="27" t="s">
        <v>7</v>
      </c>
      <c r="CU191" s="27" t="s">
        <v>8</v>
      </c>
      <c r="CV191" s="27" t="s">
        <v>7</v>
      </c>
      <c r="CY191" s="31"/>
      <c r="DA191" s="34" t="s">
        <v>8</v>
      </c>
      <c r="DC191" s="27" t="s">
        <v>8</v>
      </c>
      <c r="DD191" s="27" t="s">
        <v>7</v>
      </c>
      <c r="DE191" s="31"/>
      <c r="DF191" s="27" t="s">
        <v>7</v>
      </c>
      <c r="DH191" s="27" t="s">
        <v>7</v>
      </c>
      <c r="DI191" s="27" t="s">
        <v>8</v>
      </c>
      <c r="DJ191" s="27" t="s">
        <v>7</v>
      </c>
      <c r="DK191" s="27" t="s">
        <v>8</v>
      </c>
      <c r="DL191" s="27" t="s">
        <v>7</v>
      </c>
      <c r="DM191" s="27" t="s">
        <v>8</v>
      </c>
      <c r="DO191" s="27" t="s">
        <v>8</v>
      </c>
      <c r="DP191" s="27" t="s">
        <v>7</v>
      </c>
      <c r="DQ191" s="27" t="s">
        <v>8</v>
      </c>
      <c r="DS191" s="27" t="s">
        <v>8</v>
      </c>
      <c r="DT191" s="31" t="s">
        <v>7</v>
      </c>
    </row>
    <row r="192" spans="1:125" x14ac:dyDescent="0.25">
      <c r="A192" s="30">
        <v>10.401269646942135</v>
      </c>
      <c r="E192"/>
      <c r="AW192" s="27" t="s">
        <v>8</v>
      </c>
      <c r="AX192" s="27" t="s">
        <v>7</v>
      </c>
      <c r="AY192" s="27" t="s">
        <v>8</v>
      </c>
      <c r="BM192" s="31"/>
      <c r="CJ192" s="27" t="s">
        <v>7</v>
      </c>
      <c r="CK192" s="27" t="s">
        <v>8</v>
      </c>
      <c r="CL192" s="27" t="s">
        <v>7</v>
      </c>
      <c r="CN192" s="27" t="s">
        <v>7</v>
      </c>
      <c r="CO192" s="27" t="s">
        <v>8</v>
      </c>
      <c r="CS192" s="27" t="s">
        <v>8</v>
      </c>
      <c r="CT192" s="27" t="s">
        <v>7</v>
      </c>
      <c r="CU192" s="27" t="s">
        <v>8</v>
      </c>
      <c r="CV192" s="27" t="s">
        <v>7</v>
      </c>
      <c r="CW192" s="27" t="s">
        <v>8</v>
      </c>
      <c r="CY192" s="27" t="s">
        <v>8</v>
      </c>
      <c r="DA192" s="27" t="s">
        <v>8</v>
      </c>
      <c r="DB192" s="27" t="s">
        <v>7</v>
      </c>
      <c r="DC192" s="27" t="s">
        <v>8</v>
      </c>
      <c r="DD192" s="31"/>
      <c r="DH192" s="27" t="s">
        <v>7</v>
      </c>
      <c r="DI192" s="27" t="s">
        <v>8</v>
      </c>
      <c r="DJ192" s="27" t="s">
        <v>7</v>
      </c>
      <c r="DK192" s="27" t="s">
        <v>8</v>
      </c>
      <c r="DL192" s="27" t="s">
        <v>7</v>
      </c>
      <c r="DM192" s="27" t="s">
        <v>8</v>
      </c>
      <c r="DN192" s="27" t="s">
        <v>7</v>
      </c>
      <c r="DO192" s="27" t="s">
        <v>8</v>
      </c>
      <c r="DP192" s="27" t="s">
        <v>7</v>
      </c>
      <c r="DQ192" s="27" t="s">
        <v>8</v>
      </c>
      <c r="DR192" s="27" t="s">
        <v>7</v>
      </c>
      <c r="DS192" s="27" t="s">
        <v>8</v>
      </c>
      <c r="DT192" s="27" t="s">
        <v>7</v>
      </c>
      <c r="DU192" s="31" t="s">
        <v>8</v>
      </c>
    </row>
    <row r="193" spans="1:133" x14ac:dyDescent="0.25">
      <c r="A193" s="30">
        <v>9.9059710923258422</v>
      </c>
      <c r="E193"/>
      <c r="AW193" s="27" t="s">
        <v>8</v>
      </c>
      <c r="AX193" s="27" t="s">
        <v>7</v>
      </c>
      <c r="BL193" s="31"/>
      <c r="CJ193" s="27" t="s">
        <v>7</v>
      </c>
      <c r="CK193" s="27" t="s">
        <v>8</v>
      </c>
      <c r="CN193" s="27" t="s">
        <v>7</v>
      </c>
      <c r="CO193" s="27" t="s">
        <v>8</v>
      </c>
      <c r="CP193" s="27" t="s">
        <v>7</v>
      </c>
      <c r="CS193" s="27" t="s">
        <v>8</v>
      </c>
      <c r="CT193" s="27" t="s">
        <v>7</v>
      </c>
      <c r="CU193" s="27" t="s">
        <v>8</v>
      </c>
      <c r="CV193" s="27" t="s">
        <v>7</v>
      </c>
      <c r="CW193" s="27" t="s">
        <v>8</v>
      </c>
      <c r="CX193" s="27" t="s">
        <v>7</v>
      </c>
      <c r="CY193" s="27" t="s">
        <v>8</v>
      </c>
      <c r="CZ193" s="27" t="s">
        <v>7</v>
      </c>
      <c r="DA193" s="27" t="s">
        <v>8</v>
      </c>
      <c r="DB193" s="27" t="s">
        <v>7</v>
      </c>
      <c r="DC193" s="31" t="s">
        <v>8</v>
      </c>
      <c r="DH193" s="27" t="s">
        <v>7</v>
      </c>
      <c r="DJ193" s="27" t="s">
        <v>7</v>
      </c>
      <c r="DK193" s="27" t="s">
        <v>8</v>
      </c>
      <c r="DL193" s="27" t="s">
        <v>7</v>
      </c>
      <c r="DM193" s="27" t="s">
        <v>8</v>
      </c>
      <c r="DN193" s="27" t="s">
        <v>7</v>
      </c>
      <c r="DO193" s="27" t="s">
        <v>8</v>
      </c>
      <c r="DP193" s="27" t="s">
        <v>7</v>
      </c>
      <c r="DQ193" s="27" t="s">
        <v>8</v>
      </c>
      <c r="DR193" s="27" t="s">
        <v>7</v>
      </c>
      <c r="DS193" s="27" t="s">
        <v>8</v>
      </c>
      <c r="DT193" s="27" t="s">
        <v>7</v>
      </c>
      <c r="DU193" s="27" t="s">
        <v>8</v>
      </c>
      <c r="DV193" s="31" t="s">
        <v>7</v>
      </c>
    </row>
    <row r="194" spans="1:133" x14ac:dyDescent="0.25">
      <c r="A194" s="30">
        <v>9.4342581831674686</v>
      </c>
      <c r="E194"/>
      <c r="AW194" s="27" t="s">
        <v>8</v>
      </c>
      <c r="BK194" s="31"/>
      <c r="CJ194" s="27" t="s">
        <v>7</v>
      </c>
      <c r="CN194" s="27" t="s">
        <v>7</v>
      </c>
      <c r="CO194" s="27" t="s">
        <v>8</v>
      </c>
      <c r="CP194" s="27" t="s">
        <v>7</v>
      </c>
      <c r="CS194" s="27" t="s">
        <v>8</v>
      </c>
      <c r="CT194" s="27" t="s">
        <v>7</v>
      </c>
      <c r="CV194" s="27" t="s">
        <v>7</v>
      </c>
      <c r="CW194" s="27" t="s">
        <v>8</v>
      </c>
      <c r="CX194" s="27" t="s">
        <v>7</v>
      </c>
      <c r="CY194" s="27" t="s">
        <v>8</v>
      </c>
      <c r="CZ194" s="27" t="s">
        <v>7</v>
      </c>
      <c r="DA194" s="27" t="s">
        <v>8</v>
      </c>
      <c r="DB194" s="31" t="s">
        <v>7</v>
      </c>
      <c r="DJ194" s="32" t="s">
        <v>7</v>
      </c>
      <c r="DL194" s="32" t="s">
        <v>7</v>
      </c>
      <c r="DN194" s="32" t="s">
        <v>7</v>
      </c>
      <c r="DP194" s="27" t="s">
        <v>7</v>
      </c>
      <c r="DQ194" s="27" t="s">
        <v>8</v>
      </c>
      <c r="DR194" s="27" t="s">
        <v>7</v>
      </c>
      <c r="DS194" s="27" t="s">
        <v>8</v>
      </c>
      <c r="DT194" s="27" t="s">
        <v>7</v>
      </c>
      <c r="DU194" s="27" t="s">
        <v>8</v>
      </c>
      <c r="DV194" s="27" t="s">
        <v>7</v>
      </c>
      <c r="DW194" s="31"/>
    </row>
    <row r="195" spans="1:133" x14ac:dyDescent="0.25">
      <c r="A195" s="30">
        <v>8.9850077934928265</v>
      </c>
      <c r="E195"/>
      <c r="AW195" s="27" t="s">
        <v>8</v>
      </c>
      <c r="BJ195" s="31"/>
      <c r="CN195" s="27" t="s">
        <v>7</v>
      </c>
      <c r="CO195" s="27" t="s">
        <v>8</v>
      </c>
      <c r="CP195" s="27" t="s">
        <v>7</v>
      </c>
      <c r="CS195" s="27" t="s">
        <v>8</v>
      </c>
      <c r="CV195" s="33" t="s">
        <v>7</v>
      </c>
      <c r="CW195" s="27" t="s">
        <v>8</v>
      </c>
      <c r="CX195" s="27" t="s">
        <v>7</v>
      </c>
      <c r="CZ195" s="27" t="s">
        <v>7</v>
      </c>
      <c r="DA195" s="31"/>
      <c r="DP195" s="32" t="s">
        <v>7</v>
      </c>
      <c r="DR195" s="32" t="s">
        <v>7</v>
      </c>
      <c r="DT195" s="32" t="s">
        <v>7</v>
      </c>
      <c r="DV195" s="27" t="s">
        <v>7</v>
      </c>
      <c r="DX195" s="31"/>
    </row>
    <row r="196" spans="1:133" x14ac:dyDescent="0.25">
      <c r="A196" s="30">
        <v>8.5571502795169767</v>
      </c>
      <c r="E196"/>
      <c r="AU196" s="27" t="s">
        <v>8</v>
      </c>
      <c r="AW196" s="27" t="s">
        <v>8</v>
      </c>
      <c r="BI196" s="31"/>
      <c r="CN196" s="27" t="s">
        <v>7</v>
      </c>
      <c r="CO196" s="27" t="s">
        <v>8</v>
      </c>
      <c r="CP196" s="27" t="s">
        <v>7</v>
      </c>
      <c r="CS196" s="27" t="s">
        <v>8</v>
      </c>
      <c r="CV196" s="27" t="s">
        <v>7</v>
      </c>
      <c r="CW196" s="27" t="s">
        <v>8</v>
      </c>
      <c r="CZ196" s="31"/>
      <c r="DV196" s="27" t="s">
        <v>7</v>
      </c>
      <c r="DY196" s="31"/>
    </row>
    <row r="197" spans="1:133" x14ac:dyDescent="0.25">
      <c r="A197" s="30">
        <v>8.1496669328733109</v>
      </c>
      <c r="E197"/>
      <c r="AS197" s="27" t="s">
        <v>8</v>
      </c>
      <c r="AU197" s="27" t="s">
        <v>8</v>
      </c>
      <c r="AV197" s="27" t="s">
        <v>7</v>
      </c>
      <c r="AW197" s="27" t="s">
        <v>8</v>
      </c>
      <c r="BH197" s="31"/>
      <c r="CN197" s="27" t="s">
        <v>7</v>
      </c>
      <c r="CP197" s="27" t="s">
        <v>7</v>
      </c>
      <c r="CS197" s="27" t="s">
        <v>8</v>
      </c>
      <c r="CV197" s="18" t="s">
        <v>7</v>
      </c>
      <c r="CW197" s="27" t="s">
        <v>8</v>
      </c>
      <c r="CY197" s="31"/>
      <c r="DV197" s="27" t="s">
        <v>7</v>
      </c>
      <c r="DZ197" s="31"/>
    </row>
    <row r="198" spans="1:133" x14ac:dyDescent="0.25">
      <c r="A198" s="30">
        <v>7.7615875551174378</v>
      </c>
      <c r="E198"/>
      <c r="Q198" s="27" t="s">
        <v>8</v>
      </c>
      <c r="AS198" s="27" t="s">
        <v>8</v>
      </c>
      <c r="AT198" s="27" t="s">
        <v>7</v>
      </c>
      <c r="AU198" s="27" t="s">
        <v>8</v>
      </c>
      <c r="AV198" s="27" t="s">
        <v>7</v>
      </c>
      <c r="AW198" s="27" t="s">
        <v>8</v>
      </c>
      <c r="BG198" s="31"/>
      <c r="CP198" s="27" t="s">
        <v>7</v>
      </c>
      <c r="CS198" s="27" t="s">
        <v>8</v>
      </c>
      <c r="CV198" s="27" t="s">
        <v>7</v>
      </c>
      <c r="CW198" s="27" t="s">
        <v>8</v>
      </c>
      <c r="CX198" s="31"/>
      <c r="DV198" s="27" t="s">
        <v>7</v>
      </c>
      <c r="EA198" s="31"/>
    </row>
    <row r="199" spans="1:133" x14ac:dyDescent="0.25">
      <c r="A199" s="30">
        <v>7.3919881477308929</v>
      </c>
      <c r="E199"/>
      <c r="M199" s="27" t="s">
        <v>8</v>
      </c>
      <c r="Q199" s="27" t="s">
        <v>8</v>
      </c>
      <c r="R199" s="27" t="s">
        <v>7</v>
      </c>
      <c r="AS199" s="27" t="s">
        <v>8</v>
      </c>
      <c r="AT199" s="27" t="s">
        <v>7</v>
      </c>
      <c r="AU199" s="27" t="s">
        <v>8</v>
      </c>
      <c r="AV199" s="27" t="s">
        <v>7</v>
      </c>
      <c r="BF199" s="31"/>
      <c r="CP199" s="27" t="s">
        <v>7</v>
      </c>
      <c r="CS199" s="34" t="s">
        <v>8</v>
      </c>
      <c r="CV199" s="27" t="s">
        <v>7</v>
      </c>
      <c r="CW199" s="31"/>
      <c r="DV199" s="27" t="s">
        <v>7</v>
      </c>
      <c r="EA199" s="27" t="s">
        <v>8</v>
      </c>
      <c r="EB199" s="31"/>
    </row>
    <row r="200" spans="1:133" x14ac:dyDescent="0.25">
      <c r="A200" s="30">
        <v>7.0399887121246598</v>
      </c>
      <c r="E200"/>
      <c r="M200" s="27" t="s">
        <v>8</v>
      </c>
      <c r="N200" s="27" t="s">
        <v>7</v>
      </c>
      <c r="Q200" s="27" t="s">
        <v>8</v>
      </c>
      <c r="R200" s="27" t="s">
        <v>7</v>
      </c>
      <c r="AS200" s="27" t="s">
        <v>8</v>
      </c>
      <c r="AT200" s="27" t="s">
        <v>7</v>
      </c>
      <c r="AU200" s="27" t="s">
        <v>8</v>
      </c>
      <c r="BE200" s="31"/>
      <c r="CP200" s="27" t="s">
        <v>7</v>
      </c>
      <c r="CQ200" s="27" t="s">
        <v>8</v>
      </c>
      <c r="CS200" s="27" t="s">
        <v>8</v>
      </c>
      <c r="CV200" s="31"/>
      <c r="DV200" s="27" t="s">
        <v>7</v>
      </c>
      <c r="EA200" s="27" t="s">
        <v>8</v>
      </c>
      <c r="EB200" s="27" t="s">
        <v>7</v>
      </c>
      <c r="EC200" s="31"/>
    </row>
    <row r="201" spans="1:133" x14ac:dyDescent="0.25">
      <c r="A201" s="30">
        <v>6.7047511544044376</v>
      </c>
      <c r="E201"/>
      <c r="M201" s="27" t="s">
        <v>8</v>
      </c>
      <c r="N201" s="27" t="s">
        <v>7</v>
      </c>
      <c r="O201" s="27" t="s">
        <v>8</v>
      </c>
      <c r="Q201" s="27" t="s">
        <v>8</v>
      </c>
      <c r="R201" s="27" t="s">
        <v>7</v>
      </c>
      <c r="AS201" s="27" t="s">
        <v>8</v>
      </c>
      <c r="AT201" s="27" t="s">
        <v>7</v>
      </c>
      <c r="BD201" s="31"/>
      <c r="CP201" s="27" t="s">
        <v>7</v>
      </c>
      <c r="CQ201" s="27" t="s">
        <v>8</v>
      </c>
      <c r="CR201" s="27" t="s">
        <v>7</v>
      </c>
      <c r="CS201" s="27" t="s">
        <v>8</v>
      </c>
      <c r="CU201" s="31"/>
      <c r="DV201" s="27" t="s">
        <v>7</v>
      </c>
      <c r="DY201" s="27" t="s">
        <v>8</v>
      </c>
      <c r="EA201" s="27" t="s">
        <v>8</v>
      </c>
      <c r="EB201" s="27" t="s">
        <v>7</v>
      </c>
    </row>
    <row r="202" spans="1:133" x14ac:dyDescent="0.25">
      <c r="A202" s="30">
        <v>6.3854772899089882</v>
      </c>
      <c r="E202"/>
      <c r="M202" s="27" t="s">
        <v>8</v>
      </c>
      <c r="N202" s="27" t="s">
        <v>7</v>
      </c>
      <c r="O202" s="27" t="s">
        <v>8</v>
      </c>
      <c r="P202" s="27" t="s">
        <v>7</v>
      </c>
      <c r="Q202" s="27" t="s">
        <v>8</v>
      </c>
      <c r="R202" s="27" t="s">
        <v>7</v>
      </c>
      <c r="AS202" s="27" t="s">
        <v>8</v>
      </c>
      <c r="BC202" s="31"/>
      <c r="CP202" s="27" t="s">
        <v>7</v>
      </c>
      <c r="CQ202" s="27" t="s">
        <v>8</v>
      </c>
      <c r="CR202" s="27" t="s">
        <v>7</v>
      </c>
      <c r="CS202" s="27" t="s">
        <v>8</v>
      </c>
      <c r="CT202" s="31"/>
      <c r="DV202" s="27" t="s">
        <v>7</v>
      </c>
      <c r="DY202" s="27" t="s">
        <v>8</v>
      </c>
      <c r="DZ202" s="27" t="s">
        <v>7</v>
      </c>
      <c r="EA202" s="27" t="s">
        <v>8</v>
      </c>
      <c r="EB202" s="27" t="s">
        <v>7</v>
      </c>
    </row>
    <row r="203" spans="1:133" x14ac:dyDescent="0.25">
      <c r="A203" s="30">
        <v>6.0814069427704647</v>
      </c>
      <c r="C203" s="7"/>
      <c r="D203"/>
      <c r="E203"/>
      <c r="M203" s="27" t="s">
        <v>8</v>
      </c>
      <c r="N203" s="27" t="s">
        <v>7</v>
      </c>
      <c r="O203" s="27" t="s">
        <v>8</v>
      </c>
      <c r="P203" s="27" t="s">
        <v>7</v>
      </c>
      <c r="Q203" s="27" t="s">
        <v>8</v>
      </c>
      <c r="R203" s="27" t="s">
        <v>7</v>
      </c>
      <c r="U203" s="27" t="s">
        <v>8</v>
      </c>
      <c r="AS203" s="27" t="s">
        <v>8</v>
      </c>
      <c r="BB203" s="31"/>
      <c r="CP203" s="27" t="s">
        <v>7</v>
      </c>
      <c r="CQ203" s="27" t="s">
        <v>8</v>
      </c>
      <c r="CR203" s="27" t="s">
        <v>7</v>
      </c>
      <c r="CS203" s="31" t="s">
        <v>8</v>
      </c>
      <c r="DV203" s="27" t="s">
        <v>7</v>
      </c>
      <c r="DW203" s="27" t="s">
        <v>8</v>
      </c>
      <c r="DY203" s="27" t="s">
        <v>8</v>
      </c>
      <c r="DZ203" s="27" t="s">
        <v>7</v>
      </c>
      <c r="EA203" s="27" t="s">
        <v>8</v>
      </c>
      <c r="EB203" s="27" t="s">
        <v>7</v>
      </c>
    </row>
    <row r="204" spans="1:133" x14ac:dyDescent="0.25">
      <c r="A204" s="30">
        <v>5.7918161359718709</v>
      </c>
      <c r="E204"/>
      <c r="K204" s="27" t="s">
        <v>8</v>
      </c>
      <c r="M204" s="27" t="s">
        <v>8</v>
      </c>
      <c r="N204" s="27" t="s">
        <v>7</v>
      </c>
      <c r="O204" s="27" t="s">
        <v>8</v>
      </c>
      <c r="P204" s="27" t="s">
        <v>7</v>
      </c>
      <c r="Q204" s="27" t="s">
        <v>8</v>
      </c>
      <c r="R204" s="27" t="s">
        <v>7</v>
      </c>
      <c r="U204" s="27" t="s">
        <v>8</v>
      </c>
      <c r="V204" s="27" t="s">
        <v>7</v>
      </c>
      <c r="AO204" s="27" t="s">
        <v>8</v>
      </c>
      <c r="AS204" s="27" t="s">
        <v>8</v>
      </c>
      <c r="BA204" s="31"/>
      <c r="CP204" s="32" t="s">
        <v>7</v>
      </c>
      <c r="CR204" s="32" t="s">
        <v>7</v>
      </c>
      <c r="DV204" s="27" t="s">
        <v>7</v>
      </c>
      <c r="DW204" s="27" t="s">
        <v>8</v>
      </c>
      <c r="DX204" s="27" t="s">
        <v>7</v>
      </c>
      <c r="DY204" s="27" t="s">
        <v>8</v>
      </c>
      <c r="DZ204" s="27" t="s">
        <v>7</v>
      </c>
      <c r="EA204" s="27" t="s">
        <v>8</v>
      </c>
      <c r="EB204" s="31" t="s">
        <v>7</v>
      </c>
    </row>
    <row r="205" spans="1:133" x14ac:dyDescent="0.25">
      <c r="A205" s="30">
        <v>5.5160153675922574</v>
      </c>
      <c r="E205"/>
      <c r="K205" s="27" t="s">
        <v>8</v>
      </c>
      <c r="L205" s="27" t="s">
        <v>7</v>
      </c>
      <c r="M205" s="27" t="s">
        <v>8</v>
      </c>
      <c r="N205" s="27" t="s">
        <v>7</v>
      </c>
      <c r="P205" s="27" t="s">
        <v>7</v>
      </c>
      <c r="Q205" s="27" t="s">
        <v>8</v>
      </c>
      <c r="R205" s="27" t="s">
        <v>7</v>
      </c>
      <c r="U205" s="27" t="s">
        <v>8</v>
      </c>
      <c r="V205" s="27" t="s">
        <v>7</v>
      </c>
      <c r="AM205" s="27" t="s">
        <v>8</v>
      </c>
      <c r="AO205" s="27" t="s">
        <v>8</v>
      </c>
      <c r="AP205" s="27" t="s">
        <v>7</v>
      </c>
      <c r="AS205" s="27" t="s">
        <v>8</v>
      </c>
      <c r="AZ205" s="31"/>
      <c r="DV205" s="27" t="s">
        <v>7</v>
      </c>
      <c r="DW205" s="27" t="s">
        <v>8</v>
      </c>
      <c r="DX205" s="27" t="s">
        <v>7</v>
      </c>
      <c r="DY205" s="27" t="s">
        <v>8</v>
      </c>
      <c r="DZ205" s="27" t="s">
        <v>7</v>
      </c>
      <c r="EA205" s="31"/>
      <c r="EB205" s="27" t="s">
        <v>7</v>
      </c>
    </row>
    <row r="206" spans="1:133" x14ac:dyDescent="0.25">
      <c r="A206" s="30">
        <v>5.2533479691354827</v>
      </c>
      <c r="C206"/>
      <c r="D206"/>
      <c r="E206"/>
      <c r="K206" s="27" t="s">
        <v>8</v>
      </c>
      <c r="L206" s="27" t="s">
        <v>7</v>
      </c>
      <c r="M206" s="27" t="s">
        <v>8</v>
      </c>
      <c r="P206" s="27" t="s">
        <v>7</v>
      </c>
      <c r="R206" s="27" t="s">
        <v>7</v>
      </c>
      <c r="U206" s="27" t="s">
        <v>8</v>
      </c>
      <c r="V206" s="27" t="s">
        <v>7</v>
      </c>
      <c r="AA206" s="27" t="s">
        <v>8</v>
      </c>
      <c r="AK206" s="27" t="s">
        <v>8</v>
      </c>
      <c r="AM206" s="27" t="s">
        <v>8</v>
      </c>
      <c r="AN206" s="27" t="s">
        <v>7</v>
      </c>
      <c r="AO206" s="27" t="s">
        <v>8</v>
      </c>
      <c r="AP206" s="27" t="s">
        <v>7</v>
      </c>
      <c r="AQ206" s="27" t="s">
        <v>8</v>
      </c>
      <c r="AS206" s="27" t="s">
        <v>8</v>
      </c>
      <c r="AY206" s="31"/>
      <c r="DV206" s="27" t="s">
        <v>7</v>
      </c>
      <c r="DW206" s="27" t="s">
        <v>8</v>
      </c>
      <c r="DX206" s="27" t="s">
        <v>7</v>
      </c>
      <c r="DY206" s="27" t="s">
        <v>8</v>
      </c>
      <c r="DZ206" s="31"/>
      <c r="EB206" s="27" t="s">
        <v>7</v>
      </c>
    </row>
    <row r="207" spans="1:133" x14ac:dyDescent="0.25">
      <c r="A207" s="30">
        <v>5.0031885420337927</v>
      </c>
      <c r="E207"/>
      <c r="I207" s="27" t="s">
        <v>8</v>
      </c>
      <c r="K207" s="27" t="s">
        <v>8</v>
      </c>
      <c r="L207" s="27" t="s">
        <v>7</v>
      </c>
      <c r="M207" s="27" t="s">
        <v>8</v>
      </c>
      <c r="R207" s="27" t="s">
        <v>7</v>
      </c>
      <c r="S207" s="27" t="s">
        <v>8</v>
      </c>
      <c r="U207" s="27" t="s">
        <v>8</v>
      </c>
      <c r="V207" s="27" t="s">
        <v>7</v>
      </c>
      <c r="W207" s="27" t="s">
        <v>8</v>
      </c>
      <c r="AA207" s="27" t="s">
        <v>8</v>
      </c>
      <c r="AB207" s="27" t="s">
        <v>7</v>
      </c>
      <c r="AK207" s="27" t="s">
        <v>8</v>
      </c>
      <c r="AL207" s="27" t="s">
        <v>7</v>
      </c>
      <c r="AM207" s="27" t="s">
        <v>8</v>
      </c>
      <c r="AN207" s="27" t="s">
        <v>7</v>
      </c>
      <c r="AO207" s="27" t="s">
        <v>8</v>
      </c>
      <c r="AP207" s="27" t="s">
        <v>7</v>
      </c>
      <c r="AQ207" s="27" t="s">
        <v>8</v>
      </c>
      <c r="AR207" s="27" t="s">
        <v>7</v>
      </c>
      <c r="AS207" s="27" t="s">
        <v>8</v>
      </c>
      <c r="AX207" s="31"/>
      <c r="DV207" s="27" t="s">
        <v>7</v>
      </c>
      <c r="DW207" s="27" t="s">
        <v>8</v>
      </c>
      <c r="DX207" s="27" t="s">
        <v>7</v>
      </c>
      <c r="DY207" s="31" t="s">
        <v>8</v>
      </c>
      <c r="EB207" s="27" t="s">
        <v>7</v>
      </c>
    </row>
    <row r="208" spans="1:133" x14ac:dyDescent="0.25">
      <c r="A208" s="30">
        <v>4.7649414686036122</v>
      </c>
      <c r="E208"/>
      <c r="I208" s="27" t="s">
        <v>8</v>
      </c>
      <c r="J208" s="27" t="s">
        <v>7</v>
      </c>
      <c r="K208" s="27" t="s">
        <v>8</v>
      </c>
      <c r="L208" s="27" t="s">
        <v>7</v>
      </c>
      <c r="R208" s="27" t="s">
        <v>7</v>
      </c>
      <c r="S208" s="27" t="s">
        <v>8</v>
      </c>
      <c r="T208" s="27" t="s">
        <v>7</v>
      </c>
      <c r="U208" s="27" t="s">
        <v>8</v>
      </c>
      <c r="V208" s="27" t="s">
        <v>7</v>
      </c>
      <c r="W208" s="27" t="s">
        <v>8</v>
      </c>
      <c r="X208" s="27" t="s">
        <v>7</v>
      </c>
      <c r="AA208" s="27" t="s">
        <v>8</v>
      </c>
      <c r="AB208" s="27" t="s">
        <v>7</v>
      </c>
      <c r="AC208" s="27" t="s">
        <v>8</v>
      </c>
      <c r="AI208" s="27" t="s">
        <v>8</v>
      </c>
      <c r="AK208" s="27" t="s">
        <v>8</v>
      </c>
      <c r="AL208" s="27" t="s">
        <v>7</v>
      </c>
      <c r="AM208" s="27" t="s">
        <v>8</v>
      </c>
      <c r="AN208" s="27" t="s">
        <v>7</v>
      </c>
      <c r="AP208" s="27" t="s">
        <v>7</v>
      </c>
      <c r="AQ208" s="27" t="s">
        <v>8</v>
      </c>
      <c r="AR208" s="27" t="s">
        <v>7</v>
      </c>
      <c r="AS208" s="27" t="s">
        <v>8</v>
      </c>
      <c r="AW208" s="31"/>
      <c r="DV208" s="27" t="s">
        <v>7</v>
      </c>
      <c r="DW208" s="27" t="s">
        <v>8</v>
      </c>
      <c r="DX208" s="31" t="s">
        <v>7</v>
      </c>
      <c r="EB208" s="27" t="s">
        <v>7</v>
      </c>
      <c r="EC208" s="27" t="s">
        <v>8</v>
      </c>
    </row>
    <row r="209" spans="1:133" x14ac:dyDescent="0.25">
      <c r="A209" s="30">
        <v>4.5380394939082018</v>
      </c>
      <c r="E209"/>
      <c r="I209" s="27" t="s">
        <v>8</v>
      </c>
      <c r="J209" s="27" t="s">
        <v>7</v>
      </c>
      <c r="K209" s="27" t="s">
        <v>8</v>
      </c>
      <c r="R209" s="27" t="s">
        <v>7</v>
      </c>
      <c r="S209" s="27" t="s">
        <v>8</v>
      </c>
      <c r="T209" s="27" t="s">
        <v>7</v>
      </c>
      <c r="U209" s="27" t="s">
        <v>8</v>
      </c>
      <c r="V209" s="27" t="s">
        <v>7</v>
      </c>
      <c r="W209" s="27" t="s">
        <v>8</v>
      </c>
      <c r="X209" s="27" t="s">
        <v>7</v>
      </c>
      <c r="AA209" s="27" t="s">
        <v>8</v>
      </c>
      <c r="AB209" s="27" t="s">
        <v>7</v>
      </c>
      <c r="AC209" s="27" t="s">
        <v>8</v>
      </c>
      <c r="AD209" s="27" t="s">
        <v>7</v>
      </c>
      <c r="AG209" s="27" t="s">
        <v>8</v>
      </c>
      <c r="AI209" s="27" t="s">
        <v>8</v>
      </c>
      <c r="AJ209" s="27" t="s">
        <v>7</v>
      </c>
      <c r="AK209" s="27" t="s">
        <v>8</v>
      </c>
      <c r="AL209" s="27" t="s">
        <v>7</v>
      </c>
      <c r="AP209" s="27" t="s">
        <v>7</v>
      </c>
      <c r="AQ209" s="27" t="s">
        <v>8</v>
      </c>
      <c r="AR209" s="27" t="s">
        <v>7</v>
      </c>
      <c r="AS209" s="27" t="s">
        <v>8</v>
      </c>
      <c r="AV209" s="31"/>
      <c r="DV209" s="27" t="s">
        <v>7</v>
      </c>
      <c r="EB209" s="27" t="s">
        <v>7</v>
      </c>
      <c r="EC209" s="27" t="s">
        <v>8</v>
      </c>
    </row>
    <row r="210" spans="1:133" x14ac:dyDescent="0.25">
      <c r="A210" s="30">
        <v>4.3219423751506678</v>
      </c>
      <c r="C210"/>
      <c r="E210"/>
      <c r="I210" s="27" t="s">
        <v>8</v>
      </c>
      <c r="J210" s="27" t="s">
        <v>7</v>
      </c>
      <c r="R210" s="27" t="s">
        <v>7</v>
      </c>
      <c r="S210" s="27" t="s">
        <v>8</v>
      </c>
      <c r="T210" s="27" t="s">
        <v>7</v>
      </c>
      <c r="U210" s="27" t="s">
        <v>8</v>
      </c>
      <c r="V210" s="27" t="s">
        <v>7</v>
      </c>
      <c r="X210" s="27" t="s">
        <v>7</v>
      </c>
      <c r="Y210" s="27" t="s">
        <v>8</v>
      </c>
      <c r="AA210" s="27" t="s">
        <v>8</v>
      </c>
      <c r="AB210" s="27" t="s">
        <v>7</v>
      </c>
      <c r="AC210" s="27" t="s">
        <v>8</v>
      </c>
      <c r="AD210" s="27" t="s">
        <v>7</v>
      </c>
      <c r="AG210" s="27" t="s">
        <v>8</v>
      </c>
      <c r="AH210" s="27" t="s">
        <v>7</v>
      </c>
      <c r="AI210" s="27" t="s">
        <v>8</v>
      </c>
      <c r="AJ210" s="27" t="s">
        <v>7</v>
      </c>
      <c r="AK210" s="27" t="s">
        <v>8</v>
      </c>
      <c r="AP210" s="27" t="s">
        <v>7</v>
      </c>
      <c r="AQ210" s="27" t="s">
        <v>8</v>
      </c>
      <c r="AR210" s="27" t="s">
        <v>7</v>
      </c>
      <c r="AU210" s="31"/>
      <c r="EB210" s="27" t="s">
        <v>7</v>
      </c>
      <c r="EC210" s="27" t="s">
        <v>8</v>
      </c>
    </row>
    <row r="211" spans="1:133" x14ac:dyDescent="0.25">
      <c r="A211" s="30">
        <v>4.1161355953815884</v>
      </c>
      <c r="E211"/>
      <c r="G211" s="27" t="s">
        <v>8</v>
      </c>
      <c r="I211" s="27" t="s">
        <v>8</v>
      </c>
      <c r="R211" s="27" t="s">
        <v>7</v>
      </c>
      <c r="S211" s="27" t="s">
        <v>8</v>
      </c>
      <c r="T211" s="27" t="s">
        <v>7</v>
      </c>
      <c r="X211" s="27" t="s">
        <v>7</v>
      </c>
      <c r="Y211" s="27" t="s">
        <v>8</v>
      </c>
      <c r="Z211" s="27" t="s">
        <v>7</v>
      </c>
      <c r="AA211" s="27" t="s">
        <v>8</v>
      </c>
      <c r="AB211" s="27" t="s">
        <v>7</v>
      </c>
      <c r="AC211" s="27" t="s">
        <v>8</v>
      </c>
      <c r="AD211" s="27" t="s">
        <v>7</v>
      </c>
      <c r="AG211" s="27" t="s">
        <v>8</v>
      </c>
      <c r="AH211" s="27" t="s">
        <v>7</v>
      </c>
      <c r="AI211" s="27" t="s">
        <v>8</v>
      </c>
      <c r="AJ211" s="27" t="s">
        <v>7</v>
      </c>
      <c r="AK211" s="27" t="s">
        <v>8</v>
      </c>
      <c r="AP211" s="27" t="s">
        <v>7</v>
      </c>
      <c r="AQ211" s="27" t="s">
        <v>8</v>
      </c>
      <c r="AT211" s="31"/>
      <c r="EB211" s="27" t="s">
        <v>7</v>
      </c>
      <c r="EC211" s="27" t="s">
        <v>8</v>
      </c>
    </row>
    <row r="212" spans="1:133" x14ac:dyDescent="0.25">
      <c r="A212" s="30">
        <v>3.9201291384586554</v>
      </c>
      <c r="E212"/>
      <c r="G212" s="27" t="s">
        <v>8</v>
      </c>
      <c r="H212" s="27" t="s">
        <v>7</v>
      </c>
      <c r="I212" s="27" t="s">
        <v>8</v>
      </c>
      <c r="R212" s="27" t="s">
        <v>7</v>
      </c>
      <c r="S212" s="27" t="s">
        <v>8</v>
      </c>
      <c r="X212" s="27" t="s">
        <v>7</v>
      </c>
      <c r="Y212" s="27" t="s">
        <v>8</v>
      </c>
      <c r="Z212" s="27" t="s">
        <v>7</v>
      </c>
      <c r="AA212" s="27" t="s">
        <v>8</v>
      </c>
      <c r="AB212" s="27" t="s">
        <v>7</v>
      </c>
      <c r="AC212" s="27" t="s">
        <v>8</v>
      </c>
      <c r="AD212" s="27" t="s">
        <v>7</v>
      </c>
      <c r="AE212" s="27" t="s">
        <v>8</v>
      </c>
      <c r="AG212" s="27" t="s">
        <v>8</v>
      </c>
      <c r="AH212" s="27" t="s">
        <v>7</v>
      </c>
      <c r="AI212" s="27" t="s">
        <v>8</v>
      </c>
      <c r="AJ212" s="27" t="s">
        <v>7</v>
      </c>
      <c r="AK212" s="27" t="s">
        <v>8</v>
      </c>
      <c r="AP212" s="27" t="s">
        <v>7</v>
      </c>
      <c r="AQ212" s="27" t="s">
        <v>8</v>
      </c>
      <c r="AS212" s="31"/>
      <c r="EB212" s="27" t="s">
        <v>7</v>
      </c>
      <c r="EC212" s="27" t="s">
        <v>8</v>
      </c>
    </row>
    <row r="213" spans="1:133" x14ac:dyDescent="0.25">
      <c r="A213" s="30">
        <v>3.7334563223415764</v>
      </c>
      <c r="E213"/>
      <c r="G213" s="27" t="s">
        <v>8</v>
      </c>
      <c r="H213" s="27" t="s">
        <v>7</v>
      </c>
      <c r="I213" s="27" t="s">
        <v>8</v>
      </c>
      <c r="R213" s="27" t="s">
        <v>7</v>
      </c>
      <c r="X213" s="27" t="s">
        <v>7</v>
      </c>
      <c r="Y213" s="27" t="s">
        <v>8</v>
      </c>
      <c r="Z213" s="27" t="s">
        <v>7</v>
      </c>
      <c r="AB213" s="27" t="s">
        <v>7</v>
      </c>
      <c r="AC213" s="27" t="s">
        <v>8</v>
      </c>
      <c r="AD213" s="27" t="s">
        <v>7</v>
      </c>
      <c r="AE213" s="27" t="s">
        <v>8</v>
      </c>
      <c r="AF213" s="27" t="s">
        <v>7</v>
      </c>
      <c r="AG213" s="27" t="s">
        <v>8</v>
      </c>
      <c r="AH213" s="27" t="s">
        <v>7</v>
      </c>
      <c r="AJ213" s="27" t="s">
        <v>7</v>
      </c>
      <c r="AP213" s="27" t="s">
        <v>7</v>
      </c>
      <c r="AQ213" s="27" t="s">
        <v>8</v>
      </c>
      <c r="AR213" s="31"/>
      <c r="EB213" s="27" t="s">
        <v>7</v>
      </c>
      <c r="EC213" s="27" t="s">
        <v>8</v>
      </c>
    </row>
    <row r="214" spans="1:133" x14ac:dyDescent="0.25">
      <c r="A214" s="30">
        <v>3.5556726879443583</v>
      </c>
      <c r="E214"/>
      <c r="G214" s="27" t="s">
        <v>8</v>
      </c>
      <c r="H214" s="27" t="s">
        <v>7</v>
      </c>
      <c r="I214" s="27" t="s">
        <v>8</v>
      </c>
      <c r="X214" s="27" t="s">
        <v>7</v>
      </c>
      <c r="AB214" s="27" t="s">
        <v>7</v>
      </c>
      <c r="AD214" s="27" t="s">
        <v>7</v>
      </c>
      <c r="AE214" s="27" t="s">
        <v>8</v>
      </c>
      <c r="AF214" s="27" t="s">
        <v>7</v>
      </c>
      <c r="AG214" s="27" t="s">
        <v>8</v>
      </c>
      <c r="AP214" s="27" t="s">
        <v>7</v>
      </c>
      <c r="AQ214" s="31" t="s">
        <v>8</v>
      </c>
      <c r="EB214" s="27" t="s">
        <v>7</v>
      </c>
    </row>
    <row r="215" spans="1:133" x14ac:dyDescent="0.25">
      <c r="A215" s="30">
        <v>3.3863549408993889</v>
      </c>
      <c r="E215"/>
      <c r="G215" s="27" t="s">
        <v>8</v>
      </c>
      <c r="H215" s="27" t="s">
        <v>7</v>
      </c>
      <c r="I215" s="27" t="s">
        <v>8</v>
      </c>
      <c r="AD215" s="27" t="s">
        <v>7</v>
      </c>
      <c r="AF215" s="27" t="s">
        <v>7</v>
      </c>
      <c r="AG215" s="27" t="s">
        <v>8</v>
      </c>
      <c r="AP215" s="31" t="s">
        <v>7</v>
      </c>
    </row>
    <row r="216" spans="1:133" x14ac:dyDescent="0.25">
      <c r="A216" s="30">
        <v>3.2250999437137038</v>
      </c>
      <c r="E216"/>
      <c r="G216" s="27" t="s">
        <v>8</v>
      </c>
      <c r="H216" s="27" t="s">
        <v>7</v>
      </c>
      <c r="I216" s="27" t="s">
        <v>8</v>
      </c>
      <c r="AF216" s="27" t="s">
        <v>7</v>
      </c>
      <c r="AG216" s="27" t="s">
        <v>8</v>
      </c>
    </row>
    <row r="217" spans="1:133" x14ac:dyDescent="0.25">
      <c r="A217" s="30">
        <v>3.0715237559178128</v>
      </c>
      <c r="E217"/>
      <c r="G217" s="27" t="s">
        <v>8</v>
      </c>
      <c r="H217" s="27" t="s">
        <v>7</v>
      </c>
      <c r="I217" s="27" t="s">
        <v>8</v>
      </c>
      <c r="AF217" s="27" t="s">
        <v>7</v>
      </c>
      <c r="AG217" s="27" t="s">
        <v>8</v>
      </c>
    </row>
    <row r="218" spans="1:133" x14ac:dyDescent="0.25">
      <c r="A218" s="30">
        <v>2.9252607199217264</v>
      </c>
      <c r="E218" t="s">
        <v>8</v>
      </c>
      <c r="G218" s="27" t="s">
        <v>8</v>
      </c>
      <c r="H218" s="27" t="s">
        <v>7</v>
      </c>
      <c r="I218" s="27" t="s">
        <v>8</v>
      </c>
      <c r="AF218" s="27" t="s">
        <v>7</v>
      </c>
      <c r="AG218" s="27" t="s">
        <v>8</v>
      </c>
    </row>
    <row r="219" spans="1:133" x14ac:dyDescent="0.25">
      <c r="A219" s="30">
        <v>2.7859625904016441</v>
      </c>
      <c r="E219" t="s">
        <v>8</v>
      </c>
      <c r="F219" s="27" t="s">
        <v>7</v>
      </c>
      <c r="G219" s="27" t="s">
        <v>8</v>
      </c>
      <c r="H219" s="27" t="s">
        <v>7</v>
      </c>
      <c r="AF219" s="27" t="s">
        <v>7</v>
      </c>
      <c r="AG219" s="27" t="s">
        <v>8</v>
      </c>
    </row>
    <row r="220" spans="1:133" x14ac:dyDescent="0.25">
      <c r="A220" s="30">
        <v>2.6532977051444226</v>
      </c>
      <c r="E220" t="s">
        <v>8</v>
      </c>
      <c r="F220" s="27" t="s">
        <v>7</v>
      </c>
      <c r="G220" s="27" t="s">
        <v>8</v>
      </c>
      <c r="AF220" s="27" t="s">
        <v>7</v>
      </c>
      <c r="AG220" s="27" t="s">
        <v>8</v>
      </c>
    </row>
    <row r="221" spans="1:133" x14ac:dyDescent="0.25">
      <c r="A221" s="30">
        <v>2.5269501953756404</v>
      </c>
      <c r="E221" t="s">
        <v>8</v>
      </c>
      <c r="F221" s="27" t="s">
        <v>7</v>
      </c>
      <c r="G221" s="27" t="s">
        <v>8</v>
      </c>
      <c r="AF221" s="27" t="s">
        <v>7</v>
      </c>
    </row>
    <row r="222" spans="1:133" x14ac:dyDescent="0.25">
      <c r="A222" s="30">
        <v>2.4066192336910861</v>
      </c>
      <c r="E222" t="s">
        <v>8</v>
      </c>
      <c r="F222" s="27" t="s">
        <v>7</v>
      </c>
    </row>
    <row r="223" spans="1:133" x14ac:dyDescent="0.25">
      <c r="A223" s="30">
        <v>2.2920183178010345</v>
      </c>
      <c r="E223" t="s">
        <v>8</v>
      </c>
    </row>
    <row r="224" spans="1:133" x14ac:dyDescent="0.25">
      <c r="A224" s="30">
        <v>2.1828745883819374</v>
      </c>
      <c r="E224" t="s">
        <v>8</v>
      </c>
    </row>
    <row r="225" spans="1:5" x14ac:dyDescent="0.25">
      <c r="A225" s="30">
        <v>2.0789281794113688</v>
      </c>
      <c r="E225" t="s">
        <v>8</v>
      </c>
    </row>
    <row r="226" spans="1:5" x14ac:dyDescent="0.25">
      <c r="A226" s="30">
        <v>1.9799315994393987</v>
      </c>
      <c r="E226" t="s">
        <v>8</v>
      </c>
    </row>
    <row r="227" spans="1:5" x14ac:dyDescent="0.25">
      <c r="A227" s="30">
        <v>1.8856491423232367</v>
      </c>
      <c r="E227" t="s">
        <v>8</v>
      </c>
    </row>
    <row r="228" spans="1:5" x14ac:dyDescent="0.25">
      <c r="A228" s="30">
        <v>1.7958563260221301</v>
      </c>
      <c r="C228" s="7"/>
      <c r="D228"/>
      <c r="E228" t="s">
        <v>8</v>
      </c>
    </row>
    <row r="229" spans="1:5" x14ac:dyDescent="0.25">
      <c r="A229" s="30">
        <v>1.7103393581163142</v>
      </c>
      <c r="E229" t="s">
        <v>8</v>
      </c>
    </row>
    <row r="230" spans="1:5" x14ac:dyDescent="0.25">
      <c r="A230" s="30">
        <v>1.628894626777442</v>
      </c>
      <c r="E230" t="s">
        <v>8</v>
      </c>
    </row>
    <row r="231" spans="1:5" x14ac:dyDescent="0.25">
      <c r="A231" s="30">
        <v>1.5513282159785162</v>
      </c>
      <c r="C231"/>
      <c r="D231"/>
      <c r="E231" t="s">
        <v>8</v>
      </c>
    </row>
    <row r="232" spans="1:5" x14ac:dyDescent="0.25">
      <c r="A232" s="30">
        <v>1.477455443789063</v>
      </c>
      <c r="E232" t="s">
        <v>8</v>
      </c>
    </row>
    <row r="233" spans="1:5" x14ac:dyDescent="0.25">
      <c r="A233" s="30">
        <v>1.4071004226562505</v>
      </c>
      <c r="E233" t="s">
        <v>8</v>
      </c>
    </row>
    <row r="234" spans="1:5" x14ac:dyDescent="0.25">
      <c r="A234" s="30">
        <v>1.3400956406250004</v>
      </c>
      <c r="E234" t="s">
        <v>8</v>
      </c>
    </row>
    <row r="235" spans="1:5" x14ac:dyDescent="0.25">
      <c r="A235" s="30">
        <v>1.2762815625000004</v>
      </c>
      <c r="C235"/>
      <c r="E235" t="s">
        <v>8</v>
      </c>
    </row>
    <row r="236" spans="1:5" x14ac:dyDescent="0.25">
      <c r="A236" s="30">
        <v>1.2155062500000002</v>
      </c>
      <c r="E236" t="s">
        <v>8</v>
      </c>
    </row>
    <row r="237" spans="1:5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 t="s">
        <v>8</v>
      </c>
    </row>
    <row r="238" spans="1:5" x14ac:dyDescent="0.25">
      <c r="A238" s="30">
        <v>1.1025</v>
      </c>
      <c r="E238" t="s">
        <v>8</v>
      </c>
    </row>
    <row r="239" spans="1:5" x14ac:dyDescent="0.25">
      <c r="A239" s="30">
        <v>1.05</v>
      </c>
      <c r="E239" t="s">
        <v>8</v>
      </c>
    </row>
    <row r="240" spans="1:5" x14ac:dyDescent="0.25">
      <c r="A240" s="30">
        <v>1</v>
      </c>
      <c r="E240" s="29" t="s">
        <v>8</v>
      </c>
    </row>
    <row r="241" spans="1:5" x14ac:dyDescent="0.25">
      <c r="A241" s="30">
        <v>0.952380952380952</v>
      </c>
      <c r="B241"/>
      <c r="C241"/>
      <c r="D241"/>
      <c r="E241"/>
    </row>
    <row r="242" spans="1:5" x14ac:dyDescent="0.25">
      <c r="A242" s="30">
        <v>0.90702947845804915</v>
      </c>
      <c r="B242"/>
      <c r="C242"/>
      <c r="D242"/>
      <c r="E242"/>
    </row>
    <row r="243" spans="1:5" x14ac:dyDescent="0.25">
      <c r="A243" s="30">
        <v>0.86383759853147501</v>
      </c>
      <c r="B243"/>
      <c r="C243"/>
      <c r="D243"/>
      <c r="E243"/>
    </row>
    <row r="244" spans="1:5" x14ac:dyDescent="0.25">
      <c r="A244" s="30">
        <v>0.82270247479188063</v>
      </c>
      <c r="B244"/>
      <c r="C244"/>
      <c r="D244"/>
      <c r="E244"/>
    </row>
    <row r="245" spans="1:5" x14ac:dyDescent="0.25">
      <c r="A245" s="30">
        <v>0.78352616646845741</v>
      </c>
      <c r="B245"/>
      <c r="C245"/>
      <c r="D245"/>
      <c r="E245"/>
    </row>
    <row r="246" spans="1:5" x14ac:dyDescent="0.25">
      <c r="A246" s="30">
        <v>0.74621539663662584</v>
      </c>
      <c r="B246"/>
      <c r="C246"/>
      <c r="D246"/>
      <c r="E246"/>
    </row>
    <row r="247" spans="1:5" x14ac:dyDescent="0.25">
      <c r="A247" s="30">
        <v>0.71068133013011958</v>
      </c>
      <c r="B247"/>
      <c r="C247"/>
      <c r="D247"/>
      <c r="E247"/>
    </row>
    <row r="248" spans="1:5" x14ac:dyDescent="0.25">
      <c r="A248" s="30">
        <v>0.676839362028685</v>
      </c>
      <c r="B248"/>
      <c r="C248"/>
      <c r="D248"/>
      <c r="E248"/>
    </row>
    <row r="249" spans="1:5" x14ac:dyDescent="0.25">
      <c r="A249" s="30">
        <v>0.64460891621779492</v>
      </c>
      <c r="B249"/>
      <c r="C249"/>
      <c r="D249"/>
      <c r="E249"/>
    </row>
    <row r="250" spans="1:5" x14ac:dyDescent="0.25">
      <c r="A250" s="30">
        <v>0.61391325354075688</v>
      </c>
      <c r="B250"/>
      <c r="C250"/>
      <c r="D250"/>
      <c r="E250"/>
    </row>
    <row r="251" spans="1:5" x14ac:dyDescent="0.25">
      <c r="A251" s="30">
        <v>0.58467928908643485</v>
      </c>
      <c r="B251"/>
      <c r="C251"/>
      <c r="D251"/>
      <c r="E251"/>
    </row>
    <row r="252" spans="1:5" x14ac:dyDescent="0.25">
      <c r="A252" s="30">
        <v>0.55683741817755672</v>
      </c>
      <c r="B252"/>
      <c r="C252"/>
      <c r="D252"/>
      <c r="E252"/>
    </row>
    <row r="253" spans="1:5" x14ac:dyDescent="0.25">
      <c r="A253" s="30">
        <v>0.53032135064529184</v>
      </c>
      <c r="B253"/>
      <c r="C253"/>
      <c r="D253"/>
      <c r="E253"/>
    </row>
    <row r="254" spans="1:5" x14ac:dyDescent="0.25">
      <c r="A254" s="30">
        <v>0.50506795299551588</v>
      </c>
      <c r="B254"/>
      <c r="C254"/>
      <c r="D254"/>
      <c r="E254"/>
    </row>
    <row r="255" spans="1:5" x14ac:dyDescent="0.25">
      <c r="A255" s="30">
        <v>0.48101709809096732</v>
      </c>
      <c r="E255"/>
    </row>
    <row r="256" spans="1:5" x14ac:dyDescent="0.25">
      <c r="A256" s="30">
        <v>0.45811152199139726</v>
      </c>
      <c r="E256"/>
    </row>
    <row r="257" spans="1:5" x14ac:dyDescent="0.25">
      <c r="A257" s="30">
        <v>0.43629668761085438</v>
      </c>
      <c r="B257"/>
      <c r="C257"/>
      <c r="D257"/>
      <c r="E257"/>
    </row>
    <row r="258" spans="1:5" x14ac:dyDescent="0.25">
      <c r="A258" s="30">
        <v>0.41552065486748019</v>
      </c>
      <c r="B258"/>
      <c r="C258"/>
      <c r="D258"/>
      <c r="E258"/>
    </row>
    <row r="259" spans="1:5" x14ac:dyDescent="0.25">
      <c r="A259" s="30">
        <v>0.39573395701664765</v>
      </c>
      <c r="B259"/>
      <c r="C259"/>
      <c r="D259"/>
      <c r="E259"/>
    </row>
    <row r="260" spans="1:5" x14ac:dyDescent="0.25">
      <c r="A260" s="30">
        <v>0.37688948287299762</v>
      </c>
      <c r="B260"/>
      <c r="C260"/>
      <c r="D260"/>
      <c r="E260"/>
    </row>
    <row r="261" spans="1:5" x14ac:dyDescent="0.25">
      <c r="A261" s="30">
        <v>0.35894236464094997</v>
      </c>
      <c r="B261"/>
      <c r="C261"/>
      <c r="D261"/>
      <c r="E261"/>
    </row>
    <row r="262" spans="1:5" x14ac:dyDescent="0.25">
      <c r="A262" s="30">
        <v>0.34184987108661891</v>
      </c>
      <c r="B262"/>
      <c r="C262"/>
      <c r="D262"/>
      <c r="E262"/>
    </row>
    <row r="263" spans="1:5" x14ac:dyDescent="0.25">
      <c r="A263" s="30">
        <v>0.32557130579677979</v>
      </c>
      <c r="B263"/>
      <c r="C263"/>
      <c r="D263"/>
      <c r="E263"/>
    </row>
    <row r="264" spans="1:5" x14ac:dyDescent="0.25">
      <c r="A264" s="30">
        <v>0.3100679102826473</v>
      </c>
      <c r="B264"/>
      <c r="C264"/>
      <c r="D264"/>
      <c r="E264"/>
    </row>
    <row r="265" spans="1:5" x14ac:dyDescent="0.25">
      <c r="A265" s="30">
        <v>0.2953027716977592</v>
      </c>
      <c r="B265"/>
      <c r="C265"/>
      <c r="D265"/>
      <c r="E265"/>
    </row>
    <row r="266" spans="1:5" x14ac:dyDescent="0.25">
      <c r="A266" s="30">
        <v>0.28124073495024676</v>
      </c>
      <c r="B266"/>
      <c r="C266"/>
      <c r="D266"/>
      <c r="E266"/>
    </row>
    <row r="267" spans="1:5" x14ac:dyDescent="0.25">
      <c r="A267" s="30">
        <v>0.26784831900023492</v>
      </c>
      <c r="B267"/>
      <c r="C267"/>
      <c r="D267"/>
      <c r="E267"/>
    </row>
    <row r="268" spans="1:5" x14ac:dyDescent="0.25">
      <c r="A268" s="30">
        <v>0.25509363714308075</v>
      </c>
      <c r="B268"/>
      <c r="C268"/>
      <c r="D268"/>
      <c r="E268"/>
    </row>
    <row r="269" spans="1:5" x14ac:dyDescent="0.25">
      <c r="A269" s="30">
        <v>0.24294632108864825</v>
      </c>
      <c r="B269"/>
      <c r="C269"/>
      <c r="D269"/>
      <c r="E269"/>
    </row>
    <row r="270" spans="1:5" x14ac:dyDescent="0.25">
      <c r="A270" s="30">
        <v>0.23137744865585538</v>
      </c>
      <c r="B270"/>
      <c r="C270"/>
      <c r="D270"/>
      <c r="E270"/>
    </row>
    <row r="271" spans="1:5" x14ac:dyDescent="0.25">
      <c r="A271" s="30">
        <v>0.22035947491033836</v>
      </c>
      <c r="B271"/>
      <c r="C271"/>
      <c r="D271"/>
      <c r="E271"/>
    </row>
    <row r="272" spans="1:5" x14ac:dyDescent="0.25">
      <c r="A272" s="30">
        <v>0.20986616658127455</v>
      </c>
      <c r="B272"/>
      <c r="C272"/>
      <c r="D272"/>
      <c r="E272"/>
    </row>
    <row r="273" spans="1:5" x14ac:dyDescent="0.25">
      <c r="A273" s="30">
        <v>0.19987253960121379</v>
      </c>
      <c r="B273"/>
      <c r="C273"/>
      <c r="D273"/>
      <c r="E273"/>
    </row>
    <row r="274" spans="1:5" x14ac:dyDescent="0.25">
      <c r="A274" s="30">
        <v>0.19035479962020352</v>
      </c>
      <c r="B274"/>
      <c r="C274"/>
      <c r="D274"/>
      <c r="E274"/>
    </row>
    <row r="275" spans="1:5" x14ac:dyDescent="0.25">
      <c r="A275" s="30">
        <v>0.18129028535257471</v>
      </c>
      <c r="B275"/>
      <c r="C275"/>
      <c r="D275"/>
      <c r="E275"/>
    </row>
    <row r="276" spans="1:5" x14ac:dyDescent="0.25">
      <c r="A276" s="30">
        <v>0.17265741462149967</v>
      </c>
      <c r="B276"/>
      <c r="C276"/>
      <c r="D276"/>
      <c r="E276"/>
    </row>
    <row r="277" spans="1:5" x14ac:dyDescent="0.25">
      <c r="A277" s="30">
        <v>0.16443563297285677</v>
      </c>
      <c r="B277"/>
      <c r="C277"/>
      <c r="D277"/>
      <c r="E277"/>
    </row>
    <row r="278" spans="1:5" x14ac:dyDescent="0.25">
      <c r="A278" s="30">
        <v>0.15660536473605399</v>
      </c>
      <c r="B278"/>
      <c r="C278"/>
      <c r="D278"/>
      <c r="E278"/>
    </row>
    <row r="279" spans="1:5" x14ac:dyDescent="0.25">
      <c r="A279" s="30">
        <v>0.14914796641528946</v>
      </c>
      <c r="B279"/>
      <c r="C279"/>
      <c r="D279"/>
      <c r="E279"/>
    </row>
    <row r="280" spans="1:5" x14ac:dyDescent="0.25">
      <c r="A280" s="30">
        <v>0.14204568230027562</v>
      </c>
      <c r="B280"/>
      <c r="C280"/>
      <c r="D280"/>
      <c r="E280"/>
    </row>
    <row r="281" spans="1:5" x14ac:dyDescent="0.25">
      <c r="A281" s="30">
        <v>0.13528160219073862</v>
      </c>
      <c r="B281"/>
      <c r="C281"/>
      <c r="D281"/>
      <c r="E281"/>
    </row>
    <row r="282" spans="1:5" x14ac:dyDescent="0.25">
      <c r="A282" s="30">
        <v>0.12883962113403674</v>
      </c>
      <c r="B282"/>
      <c r="C282"/>
      <c r="D282"/>
      <c r="E282"/>
    </row>
    <row r="283" spans="1:5" x14ac:dyDescent="0.25">
      <c r="A283" s="30">
        <v>0.12270440108003494</v>
      </c>
      <c r="B283"/>
      <c r="C283"/>
      <c r="D283"/>
      <c r="E283"/>
    </row>
    <row r="284" spans="1:5" x14ac:dyDescent="0.25">
      <c r="A284" s="30">
        <v>0.11686133436193799</v>
      </c>
      <c r="B284"/>
      <c r="C284"/>
      <c r="D284"/>
      <c r="E284"/>
    </row>
    <row r="285" spans="1:5" x14ac:dyDescent="0.25">
      <c r="A285" s="30">
        <v>0.11129650891613138</v>
      </c>
      <c r="B285"/>
      <c r="C285"/>
      <c r="D285"/>
      <c r="E285"/>
    </row>
    <row r="286" spans="1:5" x14ac:dyDescent="0.25">
      <c r="A286" s="30">
        <v>0.10599667515822032</v>
      </c>
      <c r="B286"/>
      <c r="C286"/>
      <c r="D286"/>
      <c r="E286"/>
    </row>
    <row r="287" spans="1:5" x14ac:dyDescent="0.25">
      <c r="A287" s="30">
        <v>0.10094921443640027</v>
      </c>
      <c r="B287"/>
      <c r="C287"/>
      <c r="D287"/>
      <c r="E287"/>
    </row>
    <row r="288" spans="1:5" x14ac:dyDescent="0.25">
      <c r="A288" s="30">
        <v>9.6142108987047836E-2</v>
      </c>
      <c r="B288"/>
      <c r="C288"/>
      <c r="D288"/>
      <c r="E288"/>
    </row>
    <row r="289" spans="1:5" x14ac:dyDescent="0.25">
      <c r="A289" s="30">
        <v>9.1563913320997906E-2</v>
      </c>
      <c r="B289"/>
      <c r="C289"/>
      <c r="D289"/>
      <c r="E289"/>
    </row>
    <row r="290" spans="1:5" x14ac:dyDescent="0.25">
      <c r="A290" s="30">
        <v>8.7203726972378923E-2</v>
      </c>
      <c r="B290"/>
      <c r="C290"/>
      <c r="D290"/>
      <c r="E290"/>
    </row>
    <row r="291" spans="1:5" x14ac:dyDescent="0.25">
      <c r="A291" s="30">
        <v>8.3051168545122747E-2</v>
      </c>
      <c r="B291"/>
      <c r="C291"/>
      <c r="D291"/>
      <c r="E291"/>
    </row>
    <row r="292" spans="1:5" x14ac:dyDescent="0.25">
      <c r="A292" s="30">
        <v>7.9096350995354961E-2</v>
      </c>
      <c r="B292"/>
      <c r="C292"/>
      <c r="D292"/>
      <c r="E292"/>
    </row>
    <row r="293" spans="1:5" x14ac:dyDescent="0.25">
      <c r="A293" s="30">
        <v>7.5329858090814217E-2</v>
      </c>
      <c r="B293"/>
      <c r="C293"/>
      <c r="D293"/>
      <c r="E293"/>
    </row>
    <row r="294" spans="1:5" x14ac:dyDescent="0.25">
      <c r="A294" s="30">
        <v>7.1742721991251604E-2</v>
      </c>
      <c r="B294"/>
      <c r="C294"/>
      <c r="D294"/>
      <c r="E294"/>
    </row>
    <row r="295" spans="1:5" x14ac:dyDescent="0.25">
      <c r="A295" s="30">
        <v>6.8326401896430078E-2</v>
      </c>
      <c r="B295"/>
      <c r="C295"/>
      <c r="D295"/>
      <c r="E295"/>
    </row>
    <row r="296" spans="1:5" x14ac:dyDescent="0.25">
      <c r="A296" s="30">
        <v>6.5072763710885759E-2</v>
      </c>
      <c r="B296"/>
      <c r="C296"/>
      <c r="D296"/>
      <c r="E296"/>
    </row>
    <row r="297" spans="1:5" x14ac:dyDescent="0.25">
      <c r="A297" s="30">
        <v>6.197406067703403E-2</v>
      </c>
      <c r="B297"/>
      <c r="C297"/>
      <c r="D297"/>
      <c r="E297"/>
    </row>
    <row r="298" spans="1:5" x14ac:dyDescent="0.25">
      <c r="A298" s="30">
        <v>5.9022914930508576E-2</v>
      </c>
      <c r="B298"/>
      <c r="C298"/>
      <c r="D298"/>
      <c r="E298"/>
    </row>
    <row r="299" spans="1:5" x14ac:dyDescent="0.25">
      <c r="A299" s="30">
        <v>5.6212299933817669E-2</v>
      </c>
      <c r="B299"/>
      <c r="C299"/>
      <c r="D299"/>
      <c r="E299"/>
    </row>
    <row r="300" spans="1:5" x14ac:dyDescent="0.25">
      <c r="A300" s="30">
        <v>5.3535523746492994E-2</v>
      </c>
      <c r="B300"/>
      <c r="C300"/>
      <c r="D300"/>
      <c r="E300"/>
    </row>
    <row r="301" spans="1:5" x14ac:dyDescent="0.25">
      <c r="A301" s="30">
        <v>5.0986213091898068E-2</v>
      </c>
      <c r="B301"/>
      <c r="C301"/>
      <c r="D301"/>
      <c r="E301"/>
    </row>
    <row r="302" spans="1:5" x14ac:dyDescent="0.25">
      <c r="A302" s="30">
        <v>4.8558298182760043E-2</v>
      </c>
      <c r="B302"/>
      <c r="C302"/>
      <c r="D302"/>
      <c r="E302"/>
    </row>
    <row r="303" spans="1:5" x14ac:dyDescent="0.25">
      <c r="A303" s="30">
        <v>4.6245998269295263E-2</v>
      </c>
      <c r="B303"/>
      <c r="C303"/>
      <c r="D303"/>
      <c r="E303"/>
    </row>
    <row r="304" spans="1:5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988" operator="equal">
      <formula>$U$1</formula>
    </cfRule>
    <cfRule type="cellIs" dxfId="67" priority="989" operator="equal">
      <formula>$S$1</formula>
    </cfRule>
  </conditionalFormatting>
  <conditionalFormatting sqref="D136">
    <cfRule type="cellIs" dxfId="66" priority="986" operator="equal">
      <formula>$S$1</formula>
    </cfRule>
    <cfRule type="cellIs" dxfId="65" priority="987" operator="equal">
      <formula>$U$1</formula>
    </cfRule>
  </conditionalFormatting>
  <conditionalFormatting sqref="C162">
    <cfRule type="cellIs" dxfId="64" priority="984" operator="equal">
      <formula>$U$1</formula>
    </cfRule>
    <cfRule type="cellIs" dxfId="63" priority="985" operator="equal">
      <formula>$S$1</formula>
    </cfRule>
  </conditionalFormatting>
  <conditionalFormatting sqref="D162">
    <cfRule type="cellIs" dxfId="62" priority="982" operator="equal">
      <formula>$S$1</formula>
    </cfRule>
    <cfRule type="cellIs" dxfId="61" priority="983" operator="equal">
      <formula>$U$1</formula>
    </cfRule>
  </conditionalFormatting>
  <conditionalFormatting sqref="C187">
    <cfRule type="cellIs" dxfId="60" priority="980" operator="equal">
      <formula>$U$1</formula>
    </cfRule>
    <cfRule type="cellIs" dxfId="59" priority="981" operator="equal">
      <formula>$S$1</formula>
    </cfRule>
  </conditionalFormatting>
  <conditionalFormatting sqref="D187">
    <cfRule type="cellIs" dxfId="58" priority="978" operator="equal">
      <formula>$S$1</formula>
    </cfRule>
    <cfRule type="cellIs" dxfId="57" priority="979" operator="equal">
      <formula>$U$1</formula>
    </cfRule>
  </conditionalFormatting>
  <conditionalFormatting sqref="C212">
    <cfRule type="cellIs" dxfId="56" priority="976" operator="equal">
      <formula>$U$1</formula>
    </cfRule>
    <cfRule type="cellIs" dxfId="55" priority="977" operator="equal">
      <formula>$S$1</formula>
    </cfRule>
  </conditionalFormatting>
  <conditionalFormatting sqref="D212">
    <cfRule type="cellIs" dxfId="54" priority="974" operator="equal">
      <formula>$S$1</formula>
    </cfRule>
    <cfRule type="cellIs" dxfId="53" priority="975" operator="equal">
      <formula>$U$1</formula>
    </cfRule>
  </conditionalFormatting>
  <conditionalFormatting sqref="C237">
    <cfRule type="cellIs" dxfId="52" priority="972" operator="equal">
      <formula>$U$1</formula>
    </cfRule>
    <cfRule type="cellIs" dxfId="51" priority="973" operator="equal">
      <formula>$S$1</formula>
    </cfRule>
  </conditionalFormatting>
  <conditionalFormatting sqref="D237">
    <cfRule type="cellIs" dxfId="50" priority="970" operator="equal">
      <formula>$S$1</formula>
    </cfRule>
    <cfRule type="cellIs" dxfId="49" priority="971" operator="equal">
      <formula>$U$1</formula>
    </cfRule>
  </conditionalFormatting>
  <conditionalFormatting sqref="C106">
    <cfRule type="cellIs" dxfId="48" priority="968" operator="equal">
      <formula>$U$1</formula>
    </cfRule>
    <cfRule type="cellIs" dxfId="47" priority="969" operator="equal">
      <formula>$S$1</formula>
    </cfRule>
  </conditionalFormatting>
  <conditionalFormatting sqref="D106">
    <cfRule type="cellIs" dxfId="46" priority="966" operator="equal">
      <formula>$S$1</formula>
    </cfRule>
    <cfRule type="cellIs" dxfId="45" priority="967" operator="equal">
      <formula>$U$1</formula>
    </cfRule>
  </conditionalFormatting>
  <conditionalFormatting sqref="C81">
    <cfRule type="cellIs" dxfId="44" priority="964" operator="equal">
      <formula>$U$1</formula>
    </cfRule>
    <cfRule type="cellIs" dxfId="43" priority="965" operator="equal">
      <formula>$S$1</formula>
    </cfRule>
  </conditionalFormatting>
  <conditionalFormatting sqref="D81">
    <cfRule type="cellIs" dxfId="42" priority="962" operator="equal">
      <formula>$S$1</formula>
    </cfRule>
    <cfRule type="cellIs" dxfId="41" priority="963" operator="equal">
      <formula>$U$1</formula>
    </cfRule>
  </conditionalFormatting>
  <conditionalFormatting sqref="C56">
    <cfRule type="cellIs" dxfId="40" priority="960" operator="equal">
      <formula>$U$1</formula>
    </cfRule>
    <cfRule type="cellIs" dxfId="39" priority="961" operator="equal">
      <formula>$S$1</formula>
    </cfRule>
  </conditionalFormatting>
  <conditionalFormatting sqref="D56">
    <cfRule type="cellIs" dxfId="38" priority="958" operator="equal">
      <formula>$S$1</formula>
    </cfRule>
    <cfRule type="cellIs" dxfId="37" priority="959" operator="equal">
      <formula>$U$1</formula>
    </cfRule>
  </conditionalFormatting>
  <conditionalFormatting sqref="C31">
    <cfRule type="cellIs" dxfId="36" priority="956" operator="equal">
      <formula>$U$1</formula>
    </cfRule>
    <cfRule type="cellIs" dxfId="35" priority="957" operator="equal">
      <formula>$S$1</formula>
    </cfRule>
  </conditionalFormatting>
  <conditionalFormatting sqref="D31">
    <cfRule type="cellIs" dxfId="34" priority="954" operator="equal">
      <formula>$S$1</formula>
    </cfRule>
    <cfRule type="cellIs" dxfId="33" priority="955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76" zoomScale="90" zoomScaleNormal="90" workbookViewId="0">
      <pane xSplit="4" topLeftCell="G1" activePane="topRight" state="frozen"/>
      <selection activeCell="A109" sqref="A109"/>
      <selection pane="topRight" activeCell="AP107" sqref="AP107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42" x14ac:dyDescent="0.25">
      <c r="A81" s="30">
        <v>45.259255568176073</v>
      </c>
      <c r="E81"/>
    </row>
    <row r="82" spans="1:42" x14ac:dyDescent="0.25">
      <c r="A82" s="30">
        <v>41.144777789250973</v>
      </c>
      <c r="E82"/>
    </row>
    <row r="83" spans="1:42" x14ac:dyDescent="0.25">
      <c r="A83" s="30">
        <v>37.404343444773609</v>
      </c>
      <c r="E83"/>
    </row>
    <row r="84" spans="1:42" x14ac:dyDescent="0.25">
      <c r="A84" s="30">
        <v>34.003948586157826</v>
      </c>
      <c r="E84"/>
    </row>
    <row r="85" spans="1:42" x14ac:dyDescent="0.25">
      <c r="A85" s="30">
        <v>30.912680532870748</v>
      </c>
      <c r="E85"/>
    </row>
    <row r="86" spans="1:42" x14ac:dyDescent="0.25">
      <c r="A86" s="30">
        <v>28.102436848064315</v>
      </c>
      <c r="E86"/>
      <c r="W86" s="27" t="s">
        <v>8</v>
      </c>
    </row>
    <row r="87" spans="1:42" x14ac:dyDescent="0.25">
      <c r="A87" s="30">
        <v>25.547669861876649</v>
      </c>
      <c r="E87"/>
      <c r="W87" s="27" t="s">
        <v>8</v>
      </c>
      <c r="X87" s="27" t="s">
        <v>7</v>
      </c>
      <c r="AC87" s="31" t="s">
        <v>8</v>
      </c>
    </row>
    <row r="88" spans="1:42" x14ac:dyDescent="0.25">
      <c r="A88" s="30">
        <v>23.225154419887861</v>
      </c>
      <c r="E88"/>
      <c r="W88" s="27" t="s">
        <v>8</v>
      </c>
      <c r="X88" s="27" t="s">
        <v>7</v>
      </c>
      <c r="Y88" s="27" t="s">
        <v>8</v>
      </c>
      <c r="AC88" s="34" t="s">
        <v>8</v>
      </c>
      <c r="AD88" s="31" t="s">
        <v>7</v>
      </c>
    </row>
    <row r="89" spans="1:42" x14ac:dyDescent="0.25">
      <c r="A89" s="30">
        <v>21.113776745352599</v>
      </c>
      <c r="E89"/>
      <c r="W89" s="27" t="s">
        <v>8</v>
      </c>
      <c r="X89" s="27" t="s">
        <v>7</v>
      </c>
      <c r="Y89" s="27" t="s">
        <v>8</v>
      </c>
      <c r="Z89" s="27" t="s">
        <v>7</v>
      </c>
      <c r="AA89" s="27" t="s">
        <v>8</v>
      </c>
      <c r="AC89" s="27" t="s">
        <v>8</v>
      </c>
      <c r="AD89" s="27" t="s">
        <v>7</v>
      </c>
      <c r="AE89" s="31"/>
    </row>
    <row r="90" spans="1:42" x14ac:dyDescent="0.25">
      <c r="A90" s="30">
        <v>19.194342495775089</v>
      </c>
      <c r="E90"/>
      <c r="W90" s="27" t="s">
        <v>8</v>
      </c>
      <c r="X90" s="27" t="s">
        <v>7</v>
      </c>
      <c r="Y90" s="27" t="s">
        <v>8</v>
      </c>
      <c r="Z90" s="27" t="s">
        <v>7</v>
      </c>
      <c r="AA90" s="27" t="s">
        <v>8</v>
      </c>
      <c r="AB90" s="27" t="s">
        <v>7</v>
      </c>
      <c r="AC90" s="27" t="s">
        <v>8</v>
      </c>
      <c r="AD90" s="27" t="s">
        <v>7</v>
      </c>
      <c r="AE90" s="27" t="s">
        <v>8</v>
      </c>
      <c r="AF90" s="31"/>
    </row>
    <row r="91" spans="1:42" x14ac:dyDescent="0.25">
      <c r="A91" s="30">
        <v>17.449402268886445</v>
      </c>
      <c r="E91"/>
      <c r="W91" s="27" t="s">
        <v>8</v>
      </c>
      <c r="X91" s="27" t="s">
        <v>7</v>
      </c>
      <c r="Y91" s="27" t="s">
        <v>8</v>
      </c>
      <c r="Z91" s="27" t="s">
        <v>7</v>
      </c>
      <c r="AA91" s="27" t="s">
        <v>8</v>
      </c>
      <c r="AB91" s="27" t="s">
        <v>7</v>
      </c>
      <c r="AC91" s="27" t="s">
        <v>8</v>
      </c>
      <c r="AD91" s="27" t="s">
        <v>7</v>
      </c>
      <c r="AE91" s="27" t="s">
        <v>8</v>
      </c>
      <c r="AF91" s="27" t="s">
        <v>7</v>
      </c>
      <c r="AG91" s="31"/>
    </row>
    <row r="92" spans="1:42" x14ac:dyDescent="0.25">
      <c r="A92" s="30">
        <v>15.863092971714948</v>
      </c>
      <c r="C92" s="1" t="s">
        <v>15</v>
      </c>
      <c r="E92"/>
      <c r="U92" s="27" t="s">
        <v>8</v>
      </c>
      <c r="W92" s="27" t="s">
        <v>8</v>
      </c>
      <c r="X92" s="27" t="s">
        <v>7</v>
      </c>
      <c r="Y92" s="27" t="s">
        <v>8</v>
      </c>
      <c r="Z92" s="27" t="s">
        <v>7</v>
      </c>
      <c r="AB92" s="27" t="s">
        <v>7</v>
      </c>
      <c r="AC92" s="27" t="s">
        <v>8</v>
      </c>
      <c r="AD92" s="27" t="s">
        <v>7</v>
      </c>
      <c r="AE92" s="27" t="s">
        <v>8</v>
      </c>
      <c r="AF92" s="27" t="s">
        <v>7</v>
      </c>
      <c r="AH92" s="31"/>
    </row>
    <row r="93" spans="1:42" x14ac:dyDescent="0.25">
      <c r="A93" s="30">
        <v>14.420993610649951</v>
      </c>
      <c r="C93" s="7">
        <v>0.11167815779424731</v>
      </c>
      <c r="D93"/>
      <c r="E93"/>
      <c r="S93" s="27" t="s">
        <v>8</v>
      </c>
      <c r="U93" s="27" t="s">
        <v>8</v>
      </c>
      <c r="V93" s="27" t="s">
        <v>7</v>
      </c>
      <c r="W93" s="27" t="s">
        <v>8</v>
      </c>
      <c r="X93" s="27" t="s">
        <v>7</v>
      </c>
      <c r="AB93" s="33" t="s">
        <v>7</v>
      </c>
      <c r="AC93" s="27" t="s">
        <v>8</v>
      </c>
      <c r="AD93" s="27" t="s">
        <v>7</v>
      </c>
      <c r="AE93" s="27" t="s">
        <v>8</v>
      </c>
      <c r="AF93" s="27" t="s">
        <v>7</v>
      </c>
      <c r="AG93" s="27" t="s">
        <v>8</v>
      </c>
      <c r="AI93" s="31"/>
      <c r="AK93" s="32" t="s">
        <v>8</v>
      </c>
      <c r="AM93" s="32" t="s">
        <v>8</v>
      </c>
    </row>
    <row r="94" spans="1:42" x14ac:dyDescent="0.25">
      <c r="A94" s="30">
        <v>13.109994191499954</v>
      </c>
      <c r="E94"/>
      <c r="Q94" s="27" t="s">
        <v>8</v>
      </c>
      <c r="S94" s="27" t="s">
        <v>8</v>
      </c>
      <c r="T94" s="27" t="s">
        <v>7</v>
      </c>
      <c r="U94" s="27" t="s">
        <v>8</v>
      </c>
      <c r="V94" s="27" t="s">
        <v>7</v>
      </c>
      <c r="W94" s="27" t="s">
        <v>8</v>
      </c>
      <c r="AB94" s="27" t="s">
        <v>7</v>
      </c>
      <c r="AD94" s="27" t="s">
        <v>7</v>
      </c>
      <c r="AE94" s="27" t="s">
        <v>8</v>
      </c>
      <c r="AF94" s="27" t="s">
        <v>7</v>
      </c>
      <c r="AG94" s="27" t="s">
        <v>8</v>
      </c>
      <c r="AH94" s="27" t="s">
        <v>7</v>
      </c>
      <c r="AI94" s="27" t="s">
        <v>8</v>
      </c>
      <c r="AJ94" s="31"/>
      <c r="AK94" s="27" t="s">
        <v>8</v>
      </c>
      <c r="AL94" s="27" t="s">
        <v>7</v>
      </c>
      <c r="AM94" s="27" t="s">
        <v>8</v>
      </c>
      <c r="AN94" s="31" t="s">
        <v>7</v>
      </c>
    </row>
    <row r="95" spans="1:42" x14ac:dyDescent="0.25">
      <c r="A95" s="30">
        <v>11.918176537727231</v>
      </c>
      <c r="C95" s="1" t="s">
        <v>11</v>
      </c>
      <c r="D95" s="1" t="s">
        <v>12</v>
      </c>
      <c r="E95"/>
      <c r="Q95" s="27" t="s">
        <v>8</v>
      </c>
      <c r="R95" s="27" t="s">
        <v>7</v>
      </c>
      <c r="S95" s="27" t="s">
        <v>8</v>
      </c>
      <c r="T95" s="27" t="s">
        <v>7</v>
      </c>
      <c r="U95" s="27" t="s">
        <v>8</v>
      </c>
      <c r="V95" s="27" t="s">
        <v>7</v>
      </c>
      <c r="AD95" s="33" t="s">
        <v>7</v>
      </c>
      <c r="AE95" s="27" t="s">
        <v>8</v>
      </c>
      <c r="AF95" s="27" t="s">
        <v>7</v>
      </c>
      <c r="AG95" s="27" t="s">
        <v>8</v>
      </c>
      <c r="AH95" s="27" t="s">
        <v>7</v>
      </c>
      <c r="AI95" s="27" t="s">
        <v>8</v>
      </c>
      <c r="AJ95" s="27" t="s">
        <v>7</v>
      </c>
      <c r="AK95" s="31" t="s">
        <v>8</v>
      </c>
      <c r="AL95" s="27" t="s">
        <v>7</v>
      </c>
      <c r="AM95" s="27" t="s">
        <v>8</v>
      </c>
      <c r="AN95" s="27" t="s">
        <v>7</v>
      </c>
      <c r="AO95" s="31"/>
    </row>
    <row r="96" spans="1:42" x14ac:dyDescent="0.25">
      <c r="A96" s="30">
        <v>10.834705943388391</v>
      </c>
      <c r="C96"/>
      <c r="D96"/>
      <c r="E96"/>
      <c r="Q96" s="27" t="s">
        <v>8</v>
      </c>
      <c r="R96" s="27" t="s">
        <v>7</v>
      </c>
      <c r="S96" s="27" t="s">
        <v>8</v>
      </c>
      <c r="T96" s="27" t="s">
        <v>7</v>
      </c>
      <c r="AC96" s="31"/>
      <c r="AD96" s="27" t="s">
        <v>7</v>
      </c>
      <c r="AF96" s="27" t="s">
        <v>7</v>
      </c>
      <c r="AG96" s="27" t="s">
        <v>8</v>
      </c>
      <c r="AH96" s="27" t="s">
        <v>7</v>
      </c>
      <c r="AI96" s="27" t="s">
        <v>8</v>
      </c>
      <c r="AJ96" s="27" t="s">
        <v>7</v>
      </c>
      <c r="AK96" s="27" t="s">
        <v>8</v>
      </c>
      <c r="AL96" s="31" t="s">
        <v>7</v>
      </c>
      <c r="AM96" s="27" t="s">
        <v>8</v>
      </c>
      <c r="AN96" s="27" t="s">
        <v>7</v>
      </c>
      <c r="AP96" s="31"/>
    </row>
    <row r="97" spans="1:44" x14ac:dyDescent="0.25">
      <c r="A97" s="30">
        <v>9.849732675807628</v>
      </c>
      <c r="E97"/>
      <c r="Q97" s="27" t="s">
        <v>8</v>
      </c>
      <c r="R97" s="27" t="s">
        <v>7</v>
      </c>
      <c r="AB97" s="31"/>
      <c r="AF97" s="27" t="s">
        <v>7</v>
      </c>
      <c r="AH97" s="27" t="s">
        <v>7</v>
      </c>
      <c r="AI97" s="27" t="s">
        <v>8</v>
      </c>
      <c r="AJ97" s="27" t="s">
        <v>7</v>
      </c>
      <c r="AK97" s="27" t="s">
        <v>8</v>
      </c>
      <c r="AL97" s="27" t="s">
        <v>7</v>
      </c>
      <c r="AM97" s="31"/>
      <c r="AN97" s="27" t="s">
        <v>7</v>
      </c>
      <c r="AQ97" s="31"/>
    </row>
    <row r="98" spans="1:44" x14ac:dyDescent="0.25">
      <c r="A98" s="30">
        <v>8.9543024325523888</v>
      </c>
      <c r="C98" s="1" t="s">
        <v>13</v>
      </c>
      <c r="E98"/>
      <c r="Q98" s="27" t="s">
        <v>8</v>
      </c>
      <c r="AA98" s="31"/>
      <c r="AH98" s="27" t="s">
        <v>7</v>
      </c>
      <c r="AI98" s="27" t="s">
        <v>8</v>
      </c>
      <c r="AJ98" s="27" t="s">
        <v>7</v>
      </c>
      <c r="AK98" s="27" t="s">
        <v>8</v>
      </c>
      <c r="AN98" s="27" t="s">
        <v>7</v>
      </c>
      <c r="AR98" s="31"/>
    </row>
    <row r="99" spans="1:44" x14ac:dyDescent="0.25">
      <c r="A99" s="30">
        <v>8.140274938683989</v>
      </c>
      <c r="C99" s="1">
        <f>C88</f>
        <v>0</v>
      </c>
      <c r="E99"/>
      <c r="Q99" s="27" t="s">
        <v>8</v>
      </c>
      <c r="Z99" s="31"/>
      <c r="AH99" s="27" t="s">
        <v>7</v>
      </c>
      <c r="AI99" s="27" t="s">
        <v>8</v>
      </c>
      <c r="AJ99" s="18" t="s">
        <v>7</v>
      </c>
      <c r="AK99" s="27" t="s">
        <v>8</v>
      </c>
      <c r="AN99" s="27" t="s">
        <v>7</v>
      </c>
    </row>
    <row r="100" spans="1:44" x14ac:dyDescent="0.25">
      <c r="A100" s="30">
        <v>7.4002499442581717</v>
      </c>
      <c r="C100"/>
      <c r="D100"/>
      <c r="E100"/>
      <c r="G100" s="27" t="s">
        <v>8</v>
      </c>
      <c r="I100" s="27" t="s">
        <v>8</v>
      </c>
      <c r="Q100" s="27" t="s">
        <v>8</v>
      </c>
      <c r="Y100" s="31"/>
      <c r="AH100" s="27" t="s">
        <v>7</v>
      </c>
      <c r="AI100" s="27" t="s">
        <v>8</v>
      </c>
      <c r="AJ100" s="27" t="s">
        <v>7</v>
      </c>
      <c r="AN100" s="27" t="s">
        <v>7</v>
      </c>
      <c r="AO100" s="27" t="s">
        <v>8</v>
      </c>
    </row>
    <row r="101" spans="1:44" x14ac:dyDescent="0.25">
      <c r="A101" s="30">
        <v>6.72749994932561</v>
      </c>
      <c r="C101" s="1" t="s">
        <v>14</v>
      </c>
      <c r="E101"/>
      <c r="G101" s="27" t="s">
        <v>8</v>
      </c>
      <c r="H101" s="27" t="s">
        <v>7</v>
      </c>
      <c r="I101" s="27" t="s">
        <v>8</v>
      </c>
      <c r="J101" s="27" t="s">
        <v>7</v>
      </c>
      <c r="Q101" s="27" t="s">
        <v>8</v>
      </c>
      <c r="X101" s="31"/>
      <c r="AH101" s="27" t="s">
        <v>7</v>
      </c>
      <c r="AI101" s="27" t="s">
        <v>8</v>
      </c>
      <c r="AN101" s="27" t="s">
        <v>7</v>
      </c>
      <c r="AO101" s="27" t="s">
        <v>8</v>
      </c>
      <c r="AP101" s="27" t="s">
        <v>7</v>
      </c>
    </row>
    <row r="102" spans="1:44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  <c r="G102" s="27" t="s">
        <v>8</v>
      </c>
      <c r="H102" s="27" t="s">
        <v>7</v>
      </c>
      <c r="I102" s="27" t="s">
        <v>8</v>
      </c>
      <c r="J102" s="27" t="s">
        <v>7</v>
      </c>
      <c r="K102" s="27" t="s">
        <v>8</v>
      </c>
      <c r="Q102" s="27" t="s">
        <v>8</v>
      </c>
      <c r="W102" s="31"/>
      <c r="AH102" s="27" t="s">
        <v>7</v>
      </c>
      <c r="AI102" s="27" t="s">
        <v>8</v>
      </c>
      <c r="AN102" s="27" t="s">
        <v>7</v>
      </c>
      <c r="AO102" s="27" t="s">
        <v>8</v>
      </c>
      <c r="AP102" s="27" t="s">
        <v>7</v>
      </c>
    </row>
    <row r="103" spans="1:44" x14ac:dyDescent="0.25">
      <c r="A103" s="30">
        <v>5.5599173134922388</v>
      </c>
      <c r="E103"/>
      <c r="G103" s="27" t="s">
        <v>8</v>
      </c>
      <c r="H103" s="27" t="s">
        <v>7</v>
      </c>
      <c r="J103" s="27" t="s">
        <v>7</v>
      </c>
      <c r="K103" s="27" t="s">
        <v>8</v>
      </c>
      <c r="L103" s="27" t="s">
        <v>7</v>
      </c>
      <c r="O103" s="34" t="s">
        <v>8</v>
      </c>
      <c r="Q103" s="27" t="s">
        <v>8</v>
      </c>
      <c r="V103" s="31"/>
      <c r="AH103" s="27" t="s">
        <v>7</v>
      </c>
      <c r="AN103" s="27" t="s">
        <v>7</v>
      </c>
      <c r="AO103" s="27" t="s">
        <v>8</v>
      </c>
      <c r="AP103" s="27" t="s">
        <v>7</v>
      </c>
    </row>
    <row r="104" spans="1:44" x14ac:dyDescent="0.25">
      <c r="A104" s="30">
        <v>5.0544702849929442</v>
      </c>
      <c r="E104"/>
      <c r="G104" s="27" t="s">
        <v>8</v>
      </c>
      <c r="J104" s="27" t="s">
        <v>7</v>
      </c>
      <c r="K104" s="27" t="s">
        <v>8</v>
      </c>
      <c r="L104" s="27" t="s">
        <v>7</v>
      </c>
      <c r="M104" s="27" t="s">
        <v>8</v>
      </c>
      <c r="O104" s="27" t="s">
        <v>8</v>
      </c>
      <c r="P104" s="27" t="s">
        <v>7</v>
      </c>
      <c r="Q104" s="27" t="s">
        <v>8</v>
      </c>
      <c r="U104" s="31"/>
      <c r="AN104" s="27" t="s">
        <v>7</v>
      </c>
      <c r="AO104" s="27" t="s">
        <v>8</v>
      </c>
      <c r="AP104" s="27" t="s">
        <v>7</v>
      </c>
    </row>
    <row r="105" spans="1:44" x14ac:dyDescent="0.25">
      <c r="A105" s="30">
        <v>4.594972986357222</v>
      </c>
      <c r="E105"/>
      <c r="G105" s="27" t="s">
        <v>8</v>
      </c>
      <c r="J105" s="27" t="s">
        <v>7</v>
      </c>
      <c r="K105" s="27" t="s">
        <v>8</v>
      </c>
      <c r="L105" s="27" t="s">
        <v>7</v>
      </c>
      <c r="M105" s="27" t="s">
        <v>8</v>
      </c>
      <c r="N105" s="27" t="s">
        <v>7</v>
      </c>
      <c r="O105" s="27" t="s">
        <v>8</v>
      </c>
      <c r="P105" s="27" t="s">
        <v>7</v>
      </c>
      <c r="Q105" s="27" t="s">
        <v>8</v>
      </c>
      <c r="T105" s="31"/>
      <c r="AN105" s="27" t="s">
        <v>7</v>
      </c>
      <c r="AP105" s="27" t="s">
        <v>7</v>
      </c>
    </row>
    <row r="106" spans="1:44" x14ac:dyDescent="0.25">
      <c r="A106" s="30">
        <v>4.1772481694156562</v>
      </c>
      <c r="E106" t="s">
        <v>8</v>
      </c>
      <c r="G106" s="27" t="s">
        <v>8</v>
      </c>
      <c r="J106" s="27" t="s">
        <v>7</v>
      </c>
      <c r="K106" s="27" t="s">
        <v>8</v>
      </c>
      <c r="L106" s="27" t="s">
        <v>7</v>
      </c>
      <c r="M106" s="27" t="s">
        <v>8</v>
      </c>
      <c r="N106" s="27" t="s">
        <v>7</v>
      </c>
      <c r="O106" s="27" t="s">
        <v>8</v>
      </c>
      <c r="P106" s="27" t="s">
        <v>7</v>
      </c>
      <c r="Q106" s="27" t="s">
        <v>8</v>
      </c>
      <c r="S106" s="31"/>
      <c r="AP106" s="27" t="s">
        <v>7</v>
      </c>
    </row>
    <row r="107" spans="1:44" x14ac:dyDescent="0.25">
      <c r="A107" s="30">
        <v>3.7974983358324148</v>
      </c>
      <c r="E107" t="s">
        <v>8</v>
      </c>
      <c r="F107" s="27" t="s">
        <v>7</v>
      </c>
      <c r="G107" s="27" t="s">
        <v>8</v>
      </c>
      <c r="J107" s="27" t="s">
        <v>7</v>
      </c>
      <c r="L107" s="27" t="s">
        <v>7</v>
      </c>
      <c r="N107" s="27" t="s">
        <v>7</v>
      </c>
      <c r="O107" s="27" t="s">
        <v>8</v>
      </c>
      <c r="P107" s="27" t="s">
        <v>7</v>
      </c>
      <c r="Q107" s="27" t="s">
        <v>8</v>
      </c>
      <c r="R107" s="31"/>
      <c r="AP107" s="27" t="s">
        <v>7</v>
      </c>
    </row>
    <row r="108" spans="1:44" x14ac:dyDescent="0.25">
      <c r="A108" s="30">
        <v>3.4522712143931042</v>
      </c>
      <c r="E108" t="s">
        <v>8</v>
      </c>
      <c r="F108" s="27" t="s">
        <v>7</v>
      </c>
      <c r="G108" s="27" t="s">
        <v>8</v>
      </c>
      <c r="N108" s="27" t="s">
        <v>7</v>
      </c>
      <c r="O108" s="27" t="s">
        <v>8</v>
      </c>
      <c r="P108" s="27" t="s">
        <v>7</v>
      </c>
      <c r="Q108" s="31"/>
    </row>
    <row r="109" spans="1:44" x14ac:dyDescent="0.25">
      <c r="A109" s="30">
        <v>3.1384283767210035</v>
      </c>
      <c r="E109" t="s">
        <v>8</v>
      </c>
      <c r="F109" s="27" t="s">
        <v>7</v>
      </c>
      <c r="G109" s="27" t="s">
        <v>8</v>
      </c>
      <c r="N109" s="27" t="s">
        <v>7</v>
      </c>
      <c r="O109" s="27" t="s">
        <v>8</v>
      </c>
      <c r="P109" s="31"/>
    </row>
    <row r="110" spans="1:44" x14ac:dyDescent="0.25">
      <c r="A110" s="30">
        <v>2.8531167061100029</v>
      </c>
      <c r="E110" t="s">
        <v>8</v>
      </c>
      <c r="F110" s="27" t="s">
        <v>7</v>
      </c>
      <c r="N110" s="27" t="s">
        <v>7</v>
      </c>
      <c r="O110" s="31" t="s">
        <v>8</v>
      </c>
    </row>
    <row r="111" spans="1:44" x14ac:dyDescent="0.25">
      <c r="A111" s="30">
        <v>2.5937424601000023</v>
      </c>
      <c r="C111" s="1" t="str">
        <f>ADDRESS(C121-1,1,1,1)</f>
        <v>$A$106</v>
      </c>
      <c r="D111" s="1" t="str">
        <f>ADDRESS(C121-1,D121,1,1)</f>
        <v>$AP$106</v>
      </c>
      <c r="E111" t="s">
        <v>8</v>
      </c>
      <c r="N111" s="31" t="s">
        <v>7</v>
      </c>
    </row>
    <row r="112" spans="1:44" x14ac:dyDescent="0.25">
      <c r="A112" s="30">
        <v>2.3579476910000019</v>
      </c>
      <c r="C112" s="1" t="str">
        <f>ADDRESS(C121,1,1,1)</f>
        <v>$A$107</v>
      </c>
      <c r="D112" s="1" t="str">
        <f>ADDRESS(C121,D121-1,1,1)</f>
        <v>$AO$107</v>
      </c>
      <c r="E112" t="s">
        <v>8</v>
      </c>
    </row>
    <row r="113" spans="1:5" x14ac:dyDescent="0.25">
      <c r="A113" s="30">
        <v>2.1435888100000016</v>
      </c>
      <c r="C113" s="1" t="str">
        <f>ADDRESS(C121+1,1,1,1)</f>
        <v>$A$108</v>
      </c>
      <c r="D113" s="1" t="str">
        <f>ADDRESS(C121-1,D121+1,1,1)</f>
        <v>$AQ$106</v>
      </c>
      <c r="E113" s="1" t="s">
        <v>8</v>
      </c>
    </row>
    <row r="114" spans="1:5" x14ac:dyDescent="0.25">
      <c r="A114" s="30">
        <v>1.9487171000000014</v>
      </c>
      <c r="C114" s="1" t="str">
        <f>ADDRESS(C121,D121,1,1)</f>
        <v>$AP$107</v>
      </c>
      <c r="D114" s="1" t="str">
        <f>ADDRESS(C121+1,D121+1,1,1)</f>
        <v>$AQ$108</v>
      </c>
      <c r="E114" s="1" t="s">
        <v>8</v>
      </c>
    </row>
    <row r="115" spans="1:5" x14ac:dyDescent="0.25">
      <c r="A115" s="30">
        <v>1.7715610000000011</v>
      </c>
      <c r="C115" s="1" t="str">
        <f>ADDRESS(C121+1,D121,1,1)</f>
        <v>$AP$108</v>
      </c>
      <c r="E115" s="1" t="s">
        <v>8</v>
      </c>
    </row>
    <row r="116" spans="1:5" x14ac:dyDescent="0.25">
      <c r="A116" s="30">
        <v>1.6105100000000008</v>
      </c>
      <c r="C116" s="1">
        <f>C117-1</f>
        <v>106</v>
      </c>
      <c r="E116" s="1" t="s">
        <v>8</v>
      </c>
    </row>
    <row r="117" spans="1:5" x14ac:dyDescent="0.25">
      <c r="A117" s="30">
        <v>1.4641000000000006</v>
      </c>
      <c r="C117" s="1">
        <f>C121</f>
        <v>107</v>
      </c>
      <c r="D117" s="1">
        <f>D121</f>
        <v>42</v>
      </c>
      <c r="E117" s="1" t="s">
        <v>8</v>
      </c>
    </row>
    <row r="118" spans="1:5" x14ac:dyDescent="0.25">
      <c r="A118" s="30">
        <v>1.3310000000000004</v>
      </c>
      <c r="C118" s="1">
        <f>C117+1</f>
        <v>108</v>
      </c>
      <c r="D118" s="1">
        <f>D117+1</f>
        <v>43</v>
      </c>
      <c r="E118" s="1" t="s">
        <v>8</v>
      </c>
    </row>
    <row r="119" spans="1:5" x14ac:dyDescent="0.25">
      <c r="A119" s="30">
        <v>1.2100000000000002</v>
      </c>
      <c r="E119" s="1" t="s">
        <v>8</v>
      </c>
    </row>
    <row r="120" spans="1:5" x14ac:dyDescent="0.25">
      <c r="A120" s="30">
        <v>1.1000000000000001</v>
      </c>
      <c r="C120" s="1" t="s">
        <v>9</v>
      </c>
      <c r="E120" s="1" t="s">
        <v>8</v>
      </c>
    </row>
    <row r="121" spans="1:5" x14ac:dyDescent="0.25">
      <c r="A121" s="30">
        <v>1</v>
      </c>
      <c r="C121" s="18">
        <v>107</v>
      </c>
      <c r="D121" s="19">
        <v>42</v>
      </c>
      <c r="E121" s="18" t="s">
        <v>8</v>
      </c>
    </row>
    <row r="122" spans="1:5" x14ac:dyDescent="0.25">
      <c r="A122" s="30">
        <v>0.90909090909090895</v>
      </c>
      <c r="C122" s="1" t="str">
        <f>INDEX(1:1048576,C117,D117)</f>
        <v>O</v>
      </c>
    </row>
    <row r="123" spans="1:5" x14ac:dyDescent="0.25">
      <c r="A123" s="30">
        <v>0.82644628099173523</v>
      </c>
      <c r="C123" s="1" t="str">
        <f>"R"&amp;C121</f>
        <v>R107</v>
      </c>
      <c r="D123" s="1" t="str">
        <f>"C"&amp;D121</f>
        <v>C42</v>
      </c>
    </row>
    <row r="124" spans="1:5" x14ac:dyDescent="0.25">
      <c r="A124" s="30">
        <v>0.75131480090157732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0.68301345536507019</v>
      </c>
    </row>
    <row r="126" spans="1:5" x14ac:dyDescent="0.25">
      <c r="A126" s="30">
        <v>0.6209213230591546</v>
      </c>
      <c r="C126" s="1" t="s">
        <v>10</v>
      </c>
    </row>
    <row r="127" spans="1:5" x14ac:dyDescent="0.25">
      <c r="A127" s="30">
        <v>0.56447393005377677</v>
      </c>
      <c r="C127" s="30">
        <v>3.7974983358324148</v>
      </c>
      <c r="D127"/>
    </row>
    <row r="128" spans="1:5" x14ac:dyDescent="0.25">
      <c r="A128" s="30">
        <v>0.51315811823070612</v>
      </c>
    </row>
    <row r="129" spans="1:5" x14ac:dyDescent="0.25">
      <c r="A129" s="30">
        <v>0.46650738020973276</v>
      </c>
      <c r="C129" s="1" t="s">
        <v>11</v>
      </c>
      <c r="D129" s="1" t="s">
        <v>12</v>
      </c>
      <c r="E129"/>
    </row>
    <row r="130" spans="1:5" x14ac:dyDescent="0.25">
      <c r="A130" s="30">
        <v>0.42409761837248428</v>
      </c>
      <c r="C130" s="6"/>
      <c r="D130" s="6"/>
      <c r="E130"/>
    </row>
    <row r="131" spans="1:5" x14ac:dyDescent="0.25">
      <c r="A131" s="30">
        <v>0.38554328942953109</v>
      </c>
      <c r="E131"/>
    </row>
    <row r="132" spans="1:5" x14ac:dyDescent="0.25">
      <c r="A132" s="30">
        <v>0.35049389948139187</v>
      </c>
      <c r="C132" s="1" t="s">
        <v>13</v>
      </c>
      <c r="E132"/>
    </row>
    <row r="133" spans="1:5" x14ac:dyDescent="0.25">
      <c r="A133" s="30">
        <v>0.31863081771035617</v>
      </c>
      <c r="C133" s="1" t="str">
        <f>C122</f>
        <v>O</v>
      </c>
      <c r="E133"/>
    </row>
    <row r="134" spans="1:5" x14ac:dyDescent="0.25">
      <c r="A134" s="30">
        <v>0.28966437973668741</v>
      </c>
      <c r="C134"/>
      <c r="D134"/>
      <c r="E134"/>
    </row>
    <row r="135" spans="1:5" x14ac:dyDescent="0.25">
      <c r="A135" s="30">
        <v>0.2633312543060794</v>
      </c>
      <c r="C135" s="1" t="s">
        <v>14</v>
      </c>
      <c r="E135"/>
    </row>
    <row r="136" spans="1:5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</row>
    <row r="137" spans="1:5" x14ac:dyDescent="0.25">
      <c r="A137" s="30">
        <v>0.2176291357901482</v>
      </c>
      <c r="E137"/>
    </row>
    <row r="138" spans="1:5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30">
        <v>0.17985878990921333</v>
      </c>
      <c r="E139"/>
    </row>
    <row r="140" spans="1:5" x14ac:dyDescent="0.25">
      <c r="A140" s="30">
        <v>0.16350799082655756</v>
      </c>
      <c r="C140" s="1">
        <v>0</v>
      </c>
      <c r="E140"/>
    </row>
    <row r="141" spans="1:5" x14ac:dyDescent="0.25">
      <c r="A141" s="30">
        <v>0.14864362802414322</v>
      </c>
      <c r="C141" s="1">
        <v>1</v>
      </c>
      <c r="E141"/>
    </row>
    <row r="142" spans="1:5" x14ac:dyDescent="0.25">
      <c r="A142" s="30">
        <v>0.13513057093103928</v>
      </c>
      <c r="C142" s="1">
        <v>2</v>
      </c>
      <c r="E142"/>
    </row>
    <row r="143" spans="1:5" x14ac:dyDescent="0.25">
      <c r="A143" s="30">
        <v>0.12284597357367205</v>
      </c>
      <c r="C143" s="1">
        <v>3</v>
      </c>
      <c r="E143"/>
    </row>
    <row r="144" spans="1:5" x14ac:dyDescent="0.25">
      <c r="A144" s="30">
        <v>0.11167815779424731</v>
      </c>
      <c r="C144" s="1">
        <v>4</v>
      </c>
      <c r="E144"/>
    </row>
    <row r="145" spans="1:5" x14ac:dyDescent="0.25">
      <c r="A145" s="30">
        <v>0.10152559799477026</v>
      </c>
      <c r="B145"/>
      <c r="C145"/>
      <c r="D145"/>
      <c r="E145"/>
    </row>
    <row r="146" spans="1:5" x14ac:dyDescent="0.25">
      <c r="A146" s="30">
        <v>9.2295998177063854E-2</v>
      </c>
      <c r="B146"/>
      <c r="C146"/>
      <c r="D146"/>
      <c r="E146"/>
    </row>
    <row r="147" spans="1:5" x14ac:dyDescent="0.25">
      <c r="A147" s="30">
        <v>8.3905452888239848E-2</v>
      </c>
      <c r="B147"/>
      <c r="C147"/>
      <c r="D147"/>
      <c r="E147"/>
    </row>
    <row r="148" spans="1:5" x14ac:dyDescent="0.25">
      <c r="A148" s="30">
        <v>7.6277684443854396E-2</v>
      </c>
      <c r="B148"/>
      <c r="C148"/>
      <c r="D148"/>
      <c r="E148"/>
    </row>
    <row r="149" spans="1:5" x14ac:dyDescent="0.25">
      <c r="A149" s="30">
        <v>6.9343349494413078E-2</v>
      </c>
      <c r="B149"/>
      <c r="C149"/>
      <c r="D149"/>
      <c r="E149"/>
    </row>
    <row r="150" spans="1:5" x14ac:dyDescent="0.25">
      <c r="A150" s="30">
        <v>6.3039408631284613E-2</v>
      </c>
      <c r="B150"/>
      <c r="C150"/>
      <c r="D150"/>
      <c r="E150"/>
    </row>
    <row r="151" spans="1:5" x14ac:dyDescent="0.25">
      <c r="A151" s="30">
        <v>5.7308553301167818E-2</v>
      </c>
      <c r="B151"/>
      <c r="C151"/>
      <c r="D151"/>
      <c r="E151"/>
    </row>
    <row r="152" spans="1:5" x14ac:dyDescent="0.25">
      <c r="A152" s="30">
        <v>5.2098684819243464E-2</v>
      </c>
      <c r="B152"/>
      <c r="C152"/>
      <c r="D152"/>
      <c r="E152"/>
    </row>
    <row r="153" spans="1:5" x14ac:dyDescent="0.25">
      <c r="A153" s="30">
        <v>4.7362440744766775E-2</v>
      </c>
      <c r="B153"/>
      <c r="C153"/>
      <c r="D153"/>
      <c r="E153"/>
    </row>
    <row r="154" spans="1:5" x14ac:dyDescent="0.25">
      <c r="A154" s="30">
        <v>4.3056764313424332E-2</v>
      </c>
      <c r="B154"/>
      <c r="C154"/>
      <c r="D154"/>
      <c r="E154"/>
    </row>
    <row r="155" spans="1:5" x14ac:dyDescent="0.25">
      <c r="A155" s="30">
        <v>3.9142513012203929E-2</v>
      </c>
      <c r="B155"/>
      <c r="C155"/>
      <c r="D155"/>
      <c r="E155"/>
    </row>
    <row r="156" spans="1:5" x14ac:dyDescent="0.25">
      <c r="A156" s="30">
        <v>3.55841027383672E-2</v>
      </c>
      <c r="B156"/>
      <c r="C156"/>
      <c r="D156"/>
      <c r="E156"/>
    </row>
    <row r="157" spans="1:5" x14ac:dyDescent="0.25">
      <c r="A157" s="30">
        <v>3.2349184307606541E-2</v>
      </c>
      <c r="B157"/>
      <c r="C157"/>
      <c r="D157"/>
      <c r="E157"/>
    </row>
    <row r="158" spans="1:5" x14ac:dyDescent="0.25">
      <c r="A158" s="30">
        <v>2.9408349370551395E-2</v>
      </c>
      <c r="B158"/>
      <c r="C158"/>
      <c r="D158"/>
      <c r="E158"/>
    </row>
    <row r="159" spans="1:5" x14ac:dyDescent="0.25">
      <c r="A159" s="30">
        <v>2.6734863064137627E-2</v>
      </c>
      <c r="B159"/>
      <c r="C159"/>
      <c r="D159"/>
      <c r="E159"/>
    </row>
    <row r="160" spans="1:5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972" operator="equal">
      <formula>$U$1</formula>
    </cfRule>
    <cfRule type="cellIs" dxfId="30" priority="973" operator="equal">
      <formula>$S$1</formula>
    </cfRule>
  </conditionalFormatting>
  <conditionalFormatting sqref="D136">
    <cfRule type="cellIs" dxfId="29" priority="970" operator="equal">
      <formula>$S$1</formula>
    </cfRule>
    <cfRule type="cellIs" dxfId="28" priority="971" operator="equal">
      <formula>$U$1</formula>
    </cfRule>
  </conditionalFormatting>
  <conditionalFormatting sqref="C102">
    <cfRule type="cellIs" dxfId="27" priority="968" operator="equal">
      <formula>$U$1</formula>
    </cfRule>
    <cfRule type="cellIs" dxfId="26" priority="969" operator="equal">
      <formula>$S$1</formula>
    </cfRule>
  </conditionalFormatting>
  <conditionalFormatting sqref="D102">
    <cfRule type="cellIs" dxfId="25" priority="966" operator="equal">
      <formula>$S$1</formula>
    </cfRule>
    <cfRule type="cellIs" dxfId="24" priority="967" operator="equal">
      <formula>$U$1</formula>
    </cfRule>
  </conditionalFormatting>
  <conditionalFormatting sqref="C77">
    <cfRule type="cellIs" dxfId="23" priority="964" operator="equal">
      <formula>$U$1</formula>
    </cfRule>
    <cfRule type="cellIs" dxfId="22" priority="965" operator="equal">
      <formula>$S$1</formula>
    </cfRule>
  </conditionalFormatting>
  <conditionalFormatting sqref="D77">
    <cfRule type="cellIs" dxfId="21" priority="962" operator="equal">
      <formula>$S$1</formula>
    </cfRule>
    <cfRule type="cellIs" dxfId="20" priority="963" operator="equal">
      <formula>$U$1</formula>
    </cfRule>
  </conditionalFormatting>
  <conditionalFormatting sqref="C52">
    <cfRule type="cellIs" dxfId="19" priority="960" operator="equal">
      <formula>$U$1</formula>
    </cfRule>
    <cfRule type="cellIs" dxfId="18" priority="961" operator="equal">
      <formula>$S$1</formula>
    </cfRule>
  </conditionalFormatting>
  <conditionalFormatting sqref="D52">
    <cfRule type="cellIs" dxfId="17" priority="958" operator="equal">
      <formula>$S$1</formula>
    </cfRule>
    <cfRule type="cellIs" dxfId="16" priority="959" operator="equal">
      <formula>$U$1</formula>
    </cfRule>
  </conditionalFormatting>
  <conditionalFormatting sqref="C26">
    <cfRule type="cellIs" dxfId="15" priority="956" operator="equal">
      <formula>$U$1</formula>
    </cfRule>
    <cfRule type="cellIs" dxfId="14" priority="957" operator="equal">
      <formula>$S$1</formula>
    </cfRule>
  </conditionalFormatting>
  <conditionalFormatting sqref="D26">
    <cfRule type="cellIs" dxfId="13" priority="954" operator="equal">
      <formula>$S$1</formula>
    </cfRule>
    <cfRule type="cellIs" dxfId="12" priority="955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H4" sqref="H4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5" t="s">
        <v>17</v>
      </c>
      <c r="C1" s="35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30">
        <v>7.3919881477308929</v>
      </c>
      <c r="F3" s="30">
        <v>9.4342581831674686</v>
      </c>
      <c r="G3" s="30">
        <v>10.921333129289241</v>
      </c>
      <c r="H3" s="25">
        <f>IF(G3="","",(3*(G3-F3))+E3)</f>
        <v>11.85321298609621</v>
      </c>
      <c r="I3" s="7"/>
      <c r="J3" s="7">
        <f>(E3+G3)/2</f>
        <v>9.1566606385100666</v>
      </c>
      <c r="K3" s="7">
        <f>H3/2</f>
        <v>5.9266064930481051</v>
      </c>
      <c r="M3" s="26">
        <f>IF(OR(J3="",H3=""),"",H3/J3)</f>
        <v>1.294490803366162</v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30">
        <v>5.7918161359718709</v>
      </c>
      <c r="F4" s="30">
        <v>6.0814069427704647</v>
      </c>
      <c r="G4" s="30">
        <v>12.64280826379346</v>
      </c>
      <c r="H4" s="25">
        <f t="shared" ref="H4:H25" si="0">IF(G4="","",(3*(G4-F4))+E4)</f>
        <v>25.476020099040859</v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2022-01-28T01:21:21Z</dcterms:modified>
</cp:coreProperties>
</file>