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708FE15-E8CA-45AB-BFDF-73F97A77953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4"/>
  <c r="C122" i="5"/>
  <c r="C133" i="5" s="1"/>
  <c r="C136" i="5" s="1"/>
  <c r="C116" i="5"/>
  <c r="C122" i="4"/>
  <c r="C133" i="4" s="1"/>
  <c r="D136" i="4" s="1"/>
  <c r="R765" i="1"/>
  <c r="C122" i="3"/>
  <c r="C133" i="3" s="1"/>
  <c r="C136" i="3" s="1"/>
  <c r="C116" i="3"/>
  <c r="D136" i="5" l="1"/>
  <c r="C138" i="5" s="1"/>
  <c r="C136" i="4"/>
  <c r="C138" i="4" s="1"/>
  <c r="R764" i="1"/>
  <c r="S765" i="1"/>
  <c r="T765" i="1" s="1"/>
  <c r="D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S759" i="1" l="1"/>
  <c r="T759" i="1" s="1"/>
  <c r="R758" i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R722" i="1" l="1"/>
  <c r="S723" i="1"/>
  <c r="T723" i="1" s="1"/>
  <c r="S722" i="1" l="1"/>
  <c r="T722" i="1" s="1"/>
  <c r="R721" i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R691" i="1" l="1"/>
  <c r="S692" i="1"/>
  <c r="T692" i="1" s="1"/>
  <c r="S691" i="1" l="1"/>
  <c r="T691" i="1" s="1"/>
  <c r="R690" i="1"/>
  <c r="R689" i="1" l="1"/>
  <c r="S690" i="1"/>
  <c r="T690" i="1" s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S678" i="1" l="1"/>
  <c r="T678" i="1" s="1"/>
  <c r="R677" i="1"/>
  <c r="S677" i="1" l="1"/>
  <c r="T677" i="1" s="1"/>
  <c r="R676" i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S652" i="1" l="1"/>
  <c r="T652" i="1" s="1"/>
  <c r="R651" i="1"/>
  <c r="S651" i="1" l="1"/>
  <c r="T651" i="1" s="1"/>
  <c r="R650" i="1"/>
  <c r="R649" i="1" l="1"/>
  <c r="S650" i="1"/>
  <c r="T650" i="1" s="1"/>
  <c r="S649" i="1" l="1"/>
  <c r="T649" i="1" s="1"/>
  <c r="R648" i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S638" i="1" l="1"/>
  <c r="T638" i="1" s="1"/>
  <c r="R637" i="1"/>
  <c r="S637" i="1" l="1"/>
  <c r="T637" i="1" s="1"/>
  <c r="R636" i="1"/>
  <c r="S636" i="1" l="1"/>
  <c r="T636" i="1" s="1"/>
  <c r="R635" i="1"/>
  <c r="R634" i="1" l="1"/>
  <c r="S635" i="1"/>
  <c r="T635" i="1" s="1"/>
  <c r="R633" i="1" l="1"/>
  <c r="S634" i="1"/>
  <c r="T634" i="1" s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S623" i="1" l="1"/>
  <c r="T623" i="1" s="1"/>
  <c r="R622" i="1"/>
  <c r="S622" i="1" l="1"/>
  <c r="T622" i="1" s="1"/>
  <c r="R621" i="1"/>
  <c r="S621" i="1" l="1"/>
  <c r="T621" i="1" s="1"/>
  <c r="R620" i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R584" i="1" l="1"/>
  <c r="S585" i="1"/>
  <c r="T585" i="1" s="1"/>
  <c r="S584" i="1" l="1"/>
  <c r="T584" i="1" s="1"/>
  <c r="R583" i="1"/>
  <c r="S583" i="1" l="1"/>
  <c r="T583" i="1" s="1"/>
  <c r="R582" i="1"/>
  <c r="R581" i="1" l="1"/>
  <c r="S582" i="1"/>
  <c r="T582" i="1" s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R576" i="1" l="1"/>
  <c r="S577" i="1"/>
  <c r="T577" i="1" s="1"/>
  <c r="S576" i="1" l="1"/>
  <c r="T576" i="1" s="1"/>
  <c r="R575" i="1"/>
  <c r="S575" i="1" l="1"/>
  <c r="T575" i="1" s="1"/>
  <c r="R574" i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S529" i="1" l="1"/>
  <c r="T529" i="1" s="1"/>
  <c r="R528" i="1"/>
  <c r="S528" i="1" l="1"/>
  <c r="T528" i="1" s="1"/>
  <c r="R527" i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S471" i="1" l="1"/>
  <c r="T471" i="1" s="1"/>
  <c r="R470" i="1"/>
  <c r="R469" i="1" l="1"/>
  <c r="S470" i="1"/>
  <c r="T470" i="1" s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S458" i="1" l="1"/>
  <c r="T458" i="1" s="1"/>
  <c r="R457" i="1"/>
  <c r="S457" i="1" l="1"/>
  <c r="T457" i="1" s="1"/>
  <c r="R456" i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R429" i="1" l="1"/>
  <c r="S430" i="1"/>
  <c r="T430" i="1" s="1"/>
  <c r="S429" i="1" l="1"/>
  <c r="T429" i="1" s="1"/>
  <c r="R428" i="1"/>
  <c r="R427" i="1" l="1"/>
  <c r="S428" i="1"/>
  <c r="T428" i="1" s="1"/>
  <c r="R426" i="1" l="1"/>
  <c r="S427" i="1"/>
  <c r="T427" i="1" s="1"/>
  <c r="S426" i="1" l="1"/>
  <c r="T426" i="1" s="1"/>
  <c r="R425" i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R418" i="1" l="1"/>
  <c r="S419" i="1"/>
  <c r="T419" i="1" s="1"/>
  <c r="S418" i="1" l="1"/>
  <c r="T418" i="1" s="1"/>
  <c r="R417" i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S404" i="1" l="1"/>
  <c r="T404" i="1" s="1"/>
  <c r="R403" i="1"/>
  <c r="S403" i="1" l="1"/>
  <c r="T403" i="1" s="1"/>
  <c r="R402" i="1"/>
  <c r="R401" i="1" l="1"/>
  <c r="S402" i="1"/>
  <c r="T402" i="1" s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R394" i="1" l="1"/>
  <c r="S395" i="1"/>
  <c r="T395" i="1" s="1"/>
  <c r="S394" i="1" l="1"/>
  <c r="T394" i="1" s="1"/>
  <c r="R393" i="1"/>
  <c r="R392" i="1" l="1"/>
  <c r="S393" i="1"/>
  <c r="T393" i="1" s="1"/>
  <c r="R391" i="1" l="1"/>
  <c r="S392" i="1"/>
  <c r="T392" i="1" s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R363" i="1" l="1"/>
  <c r="S364" i="1"/>
  <c r="T364" i="1" s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S344" i="1" l="1"/>
  <c r="T344" i="1" s="1"/>
  <c r="R343" i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S317" i="1" l="1"/>
  <c r="T317" i="1" s="1"/>
  <c r="R316" i="1"/>
  <c r="S316" i="1" l="1"/>
  <c r="T316" i="1" s="1"/>
  <c r="R315" i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S302" i="1" l="1"/>
  <c r="T302" i="1" s="1"/>
  <c r="R301" i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S250" i="1" l="1"/>
  <c r="T250" i="1" s="1"/>
  <c r="R249" i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S245" i="1" l="1"/>
  <c r="T245" i="1" s="1"/>
  <c r="R244" i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S178" i="1" l="1"/>
  <c r="T178" i="1" s="1"/>
  <c r="R177" i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S165" i="1" l="1"/>
  <c r="T165" i="1" s="1"/>
  <c r="R164" i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S145" i="1" l="1"/>
  <c r="T145" i="1" s="1"/>
  <c r="R144" i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S137" i="1" l="1"/>
  <c r="T137" i="1" s="1"/>
  <c r="R136" i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S126" i="1" l="1"/>
  <c r="T126" i="1" s="1"/>
  <c r="R125" i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S110" i="1" l="1"/>
  <c r="T110" i="1" s="1"/>
  <c r="R109" i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S102" i="1" l="1"/>
  <c r="T102" i="1" s="1"/>
  <c r="R101" i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R63" i="1" l="1"/>
  <c r="S64" i="1"/>
  <c r="T64" i="1" s="1"/>
  <c r="S63" i="1" l="1"/>
  <c r="T63" i="1" s="1"/>
  <c r="R62" i="1"/>
  <c r="S62" i="1" l="1"/>
  <c r="T62" i="1" s="1"/>
  <c r="R61" i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<sst xmlns="http://schemas.openxmlformats.org/spreadsheetml/2006/main" count="6523" uniqueCount="34">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</sst>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1.0459000000000001</c:v>
                </c:pt>
                <c:pt idx="1">
                  <c:v>1.071</c:v>
                </c:pt>
                <c:pt idx="2">
                  <c:v>1.014</c:v>
                </c:pt>
                <c:pt idx="3">
                  <c:v>1.0226</c:v>
                </c:pt>
                <c:pt idx="4">
                  <c:v>1.0921000000000001</c:v>
                </c:pt>
                <c:pt idx="5">
                  <c:v>1.0370999999999999</c:v>
                </c:pt>
                <c:pt idx="6">
                  <c:v>1.1856</c:v>
                </c:pt>
                <c:pt idx="7">
                  <c:v>1.3919999999999999</c:v>
                </c:pt>
                <c:pt idx="8">
                  <c:v>1.4595</c:v>
                </c:pt>
                <c:pt idx="9">
                  <c:v>1.5515000000000001</c:v>
                </c:pt>
                <c:pt idx="10">
                  <c:v>1.5987</c:v>
                </c:pt>
                <c:pt idx="11">
                  <c:v>1.6624000000000001</c:v>
                </c:pt>
                <c:pt idx="12">
                  <c:v>1.7005999999999999</c:v>
                </c:pt>
                <c:pt idx="13">
                  <c:v>1.6107</c:v>
                </c:pt>
                <c:pt idx="14">
                  <c:v>1.5789</c:v>
                </c:pt>
                <c:pt idx="15">
                  <c:v>1.6698999999999999</c:v>
                </c:pt>
                <c:pt idx="16">
                  <c:v>1.5871</c:v>
                </c:pt>
                <c:pt idx="17">
                  <c:v>1.5161</c:v>
                </c:pt>
                <c:pt idx="18">
                  <c:v>1.5561</c:v>
                </c:pt>
                <c:pt idx="19">
                  <c:v>1.5125</c:v>
                </c:pt>
                <c:pt idx="20">
                  <c:v>1.5662</c:v>
                </c:pt>
                <c:pt idx="21">
                  <c:v>1.6547000000000001</c:v>
                </c:pt>
                <c:pt idx="22">
                  <c:v>1.6305000000000001</c:v>
                </c:pt>
                <c:pt idx="23">
                  <c:v>1.7871999999999999</c:v>
                </c:pt>
                <c:pt idx="24">
                  <c:v>1.8529</c:v>
                </c:pt>
                <c:pt idx="25">
                  <c:v>1.925</c:v>
                </c:pt>
                <c:pt idx="26">
                  <c:v>1.8383</c:v>
                </c:pt>
                <c:pt idx="27">
                  <c:v>1.7454000000000001</c:v>
                </c:pt>
                <c:pt idx="28">
                  <c:v>1.7634000000000001</c:v>
                </c:pt>
                <c:pt idx="29">
                  <c:v>1.7134</c:v>
                </c:pt>
                <c:pt idx="30">
                  <c:v>1.8121</c:v>
                </c:pt>
                <c:pt idx="31">
                  <c:v>2.0539999999999998</c:v>
                </c:pt>
                <c:pt idx="32">
                  <c:v>2.0733999999999999</c:v>
                </c:pt>
                <c:pt idx="33">
                  <c:v>2.0139</c:v>
                </c:pt>
                <c:pt idx="34">
                  <c:v>1.9588000000000001</c:v>
                </c:pt>
                <c:pt idx="35">
                  <c:v>2.0891000000000002</c:v>
                </c:pt>
                <c:pt idx="36">
                  <c:v>1.9722999999999999</c:v>
                </c:pt>
                <c:pt idx="37">
                  <c:v>1.8091999999999999</c:v>
                </c:pt>
                <c:pt idx="38">
                  <c:v>1.6253</c:v>
                </c:pt>
                <c:pt idx="39">
                  <c:v>1.6866000000000001</c:v>
                </c:pt>
                <c:pt idx="40">
                  <c:v>1.7829999999999999</c:v>
                </c:pt>
                <c:pt idx="41">
                  <c:v>1.8038000000000001</c:v>
                </c:pt>
                <c:pt idx="42">
                  <c:v>1.6067</c:v>
                </c:pt>
                <c:pt idx="43">
                  <c:v>1.5575000000000001</c:v>
                </c:pt>
                <c:pt idx="44">
                  <c:v>1.4583999999999999</c:v>
                </c:pt>
                <c:pt idx="45">
                  <c:v>1.4515</c:v>
                </c:pt>
                <c:pt idx="46">
                  <c:v>1.6919999999999999</c:v>
                </c:pt>
                <c:pt idx="47">
                  <c:v>1.5924</c:v>
                </c:pt>
                <c:pt idx="48">
                  <c:v>1.5851999999999999</c:v>
                </c:pt>
                <c:pt idx="49">
                  <c:v>1.6865000000000001</c:v>
                </c:pt>
                <c:pt idx="50">
                  <c:v>1.9160999999999999</c:v>
                </c:pt>
                <c:pt idx="51">
                  <c:v>1.8472</c:v>
                </c:pt>
                <c:pt idx="52">
                  <c:v>1.8274999999999999</c:v>
                </c:pt>
                <c:pt idx="53">
                  <c:v>1.7377</c:v>
                </c:pt>
                <c:pt idx="54">
                  <c:v>1.8445</c:v>
                </c:pt>
                <c:pt idx="55">
                  <c:v>2.1467000000000001</c:v>
                </c:pt>
                <c:pt idx="56">
                  <c:v>2.4232999999999998</c:v>
                </c:pt>
                <c:pt idx="57">
                  <c:v>2.5661</c:v>
                </c:pt>
                <c:pt idx="58">
                  <c:v>2.6278999999999999</c:v>
                </c:pt>
                <c:pt idx="59">
                  <c:v>2.9502000000000002</c:v>
                </c:pt>
                <c:pt idx="60">
                  <c:v>2.7863000000000002</c:v>
                </c:pt>
                <c:pt idx="61">
                  <c:v>2.8344999999999998</c:v>
                </c:pt>
                <c:pt idx="62">
                  <c:v>2.7408999999999999</c:v>
                </c:pt>
                <c:pt idx="63">
                  <c:v>2.2042000000000002</c:v>
                </c:pt>
                <c:pt idx="64">
                  <c:v>2.1139999999999999</c:v>
                </c:pt>
                <c:pt idx="65">
                  <c:v>2.0278999999999998</c:v>
                </c:pt>
                <c:pt idx="66">
                  <c:v>1.9626999999999999</c:v>
                </c:pt>
                <c:pt idx="67">
                  <c:v>1.9616</c:v>
                </c:pt>
                <c:pt idx="68">
                  <c:v>2.1596000000000002</c:v>
                </c:pt>
                <c:pt idx="69">
                  <c:v>2.0750000000000002</c:v>
                </c:pt>
                <c:pt idx="70">
                  <c:v>1.7289000000000001</c:v>
                </c:pt>
                <c:pt idx="71">
                  <c:v>1.7099</c:v>
                </c:pt>
                <c:pt idx="72">
                  <c:v>1.5981000000000001</c:v>
                </c:pt>
                <c:pt idx="73">
                  <c:v>1.7675000000000001</c:v>
                </c:pt>
                <c:pt idx="74">
                  <c:v>1.7358</c:v>
                </c:pt>
                <c:pt idx="75">
                  <c:v>1.6577999999999999</c:v>
                </c:pt>
                <c:pt idx="76">
                  <c:v>1.6234</c:v>
                </c:pt>
                <c:pt idx="77">
                  <c:v>1.518</c:v>
                </c:pt>
                <c:pt idx="78">
                  <c:v>1.4897</c:v>
                </c:pt>
                <c:pt idx="79">
                  <c:v>1.6085</c:v>
                </c:pt>
                <c:pt idx="80">
                  <c:v>1.6155999999999999</c:v>
                </c:pt>
                <c:pt idx="81">
                  <c:v>1.651</c:v>
                </c:pt>
                <c:pt idx="82">
                  <c:v>1.6718999999999999</c:v>
                </c:pt>
                <c:pt idx="83">
                  <c:v>1.6176999999999999</c:v>
                </c:pt>
                <c:pt idx="84">
                  <c:v>1.6188</c:v>
                </c:pt>
                <c:pt idx="85">
                  <c:v>1.7064999999999999</c:v>
                </c:pt>
                <c:pt idx="86">
                  <c:v>1.8559000000000001</c:v>
                </c:pt>
                <c:pt idx="87">
                  <c:v>1.8528</c:v>
                </c:pt>
                <c:pt idx="88">
                  <c:v>2.0299</c:v>
                </c:pt>
                <c:pt idx="89">
                  <c:v>1.3225</c:v>
                </c:pt>
                <c:pt idx="90">
                  <c:v>1.2506999999999999</c:v>
                </c:pt>
                <c:pt idx="91">
                  <c:v>1.1976</c:v>
                </c:pt>
                <c:pt idx="92">
                  <c:v>1.1362000000000001</c:v>
                </c:pt>
                <c:pt idx="93">
                  <c:v>1.3027</c:v>
                </c:pt>
                <c:pt idx="94">
                  <c:v>1.3261000000000001</c:v>
                </c:pt>
                <c:pt idx="95">
                  <c:v>1.2776000000000001</c:v>
                </c:pt>
                <c:pt idx="96">
                  <c:v>1.2757000000000001</c:v>
                </c:pt>
                <c:pt idx="97">
                  <c:v>1.2685999999999999</c:v>
                </c:pt>
                <c:pt idx="98">
                  <c:v>1.2428999999999999</c:v>
                </c:pt>
                <c:pt idx="99">
                  <c:v>1.2987</c:v>
                </c:pt>
                <c:pt idx="100">
                  <c:v>1.2686999999999999</c:v>
                </c:pt>
                <c:pt idx="101">
                  <c:v>1.2770999999999999</c:v>
                </c:pt>
                <c:pt idx="102">
                  <c:v>1.2827999999999999</c:v>
                </c:pt>
                <c:pt idx="103">
                  <c:v>1.3371999999999999</c:v>
                </c:pt>
                <c:pt idx="104">
                  <c:v>1.3152999999999999</c:v>
                </c:pt>
                <c:pt idx="105">
                  <c:v>1.3573999999999999</c:v>
                </c:pt>
                <c:pt idx="106">
                  <c:v>1.3449</c:v>
                </c:pt>
                <c:pt idx="107">
                  <c:v>1.3084</c:v>
                </c:pt>
                <c:pt idx="108">
                  <c:v>1.4291</c:v>
                </c:pt>
                <c:pt idx="109">
                  <c:v>1.5136000000000001</c:v>
                </c:pt>
                <c:pt idx="110">
                  <c:v>1.3904000000000001</c:v>
                </c:pt>
                <c:pt idx="111">
                  <c:v>1.4179999999999999</c:v>
                </c:pt>
                <c:pt idx="112">
                  <c:v>1.3333999999999999</c:v>
                </c:pt>
                <c:pt idx="113">
                  <c:v>1.3567</c:v>
                </c:pt>
                <c:pt idx="114">
                  <c:v>1.3385</c:v>
                </c:pt>
                <c:pt idx="115">
                  <c:v>1.2439</c:v>
                </c:pt>
                <c:pt idx="116">
                  <c:v>1.2142999999999999</c:v>
                </c:pt>
                <c:pt idx="117">
                  <c:v>1.1917</c:v>
                </c:pt>
                <c:pt idx="118">
                  <c:v>1.2038</c:v>
                </c:pt>
                <c:pt idx="119">
                  <c:v>1.0966</c:v>
                </c:pt>
                <c:pt idx="120">
                  <c:v>1.0103</c:v>
                </c:pt>
                <c:pt idx="121">
                  <c:v>0.98050000000000004</c:v>
                </c:pt>
                <c:pt idx="122">
                  <c:v>1.0283</c:v>
                </c:pt>
                <c:pt idx="123">
                  <c:v>1.0819000000000001</c:v>
                </c:pt>
                <c:pt idx="124">
                  <c:v>1.0929</c:v>
                </c:pt>
                <c:pt idx="125">
                  <c:v>1.1004</c:v>
                </c:pt>
                <c:pt idx="126">
                  <c:v>1.2061999999999999</c:v>
                </c:pt>
                <c:pt idx="127">
                  <c:v>1.1578999999999999</c:v>
                </c:pt>
                <c:pt idx="128">
                  <c:v>1.0363</c:v>
                </c:pt>
                <c:pt idx="129">
                  <c:v>1.1998</c:v>
                </c:pt>
                <c:pt idx="130">
                  <c:v>1.3422000000000001</c:v>
                </c:pt>
                <c:pt idx="131">
                  <c:v>1.3983000000000001</c:v>
                </c:pt>
                <c:pt idx="132">
                  <c:v>1.3776999999999999</c:v>
                </c:pt>
                <c:pt idx="133">
                  <c:v>1.4259999999999999</c:v>
                </c:pt>
                <c:pt idx="134">
                  <c:v>1.4802999999999999</c:v>
                </c:pt>
                <c:pt idx="135">
                  <c:v>1.4204000000000001</c:v>
                </c:pt>
                <c:pt idx="136">
                  <c:v>1.3586</c:v>
                </c:pt>
                <c:pt idx="137">
                  <c:v>1.4697</c:v>
                </c:pt>
                <c:pt idx="138">
                  <c:v>1.4292</c:v>
                </c:pt>
                <c:pt idx="139">
                  <c:v>1.4361999999999999</c:v>
                </c:pt>
                <c:pt idx="140">
                  <c:v>1.5839000000000001</c:v>
                </c:pt>
                <c:pt idx="141">
                  <c:v>1.5361</c:v>
                </c:pt>
                <c:pt idx="142">
                  <c:v>1.4321999999999999</c:v>
                </c:pt>
                <c:pt idx="143">
                  <c:v>1.8063</c:v>
                </c:pt>
                <c:pt idx="144">
                  <c:v>1.7191000000000001</c:v>
                </c:pt>
                <c:pt idx="145">
                  <c:v>1.7318</c:v>
                </c:pt>
                <c:pt idx="146">
                  <c:v>1.579</c:v>
                </c:pt>
                <c:pt idx="147">
                  <c:v>1.5237000000000001</c:v>
                </c:pt>
                <c:pt idx="148">
                  <c:v>1.5286999999999999</c:v>
                </c:pt>
                <c:pt idx="149">
                  <c:v>1.4751000000000001</c:v>
                </c:pt>
                <c:pt idx="150">
                  <c:v>1.4702</c:v>
                </c:pt>
                <c:pt idx="151">
                  <c:v>1.5918000000000001</c:v>
                </c:pt>
                <c:pt idx="152">
                  <c:v>1.5246</c:v>
                </c:pt>
                <c:pt idx="153">
                  <c:v>1.4638</c:v>
                </c:pt>
                <c:pt idx="154">
                  <c:v>1.4043000000000001</c:v>
                </c:pt>
                <c:pt idx="155">
                  <c:v>1.3920999999999999</c:v>
                </c:pt>
                <c:pt idx="156">
                  <c:v>1.3125</c:v>
                </c:pt>
                <c:pt idx="157">
                  <c:v>1.4083000000000001</c:v>
                </c:pt>
                <c:pt idx="158">
                  <c:v>1.3308</c:v>
                </c:pt>
                <c:pt idx="159">
                  <c:v>1.3424</c:v>
                </c:pt>
                <c:pt idx="160">
                  <c:v>1.3028999999999999</c:v>
                </c:pt>
                <c:pt idx="161">
                  <c:v>1.2546999999999999</c:v>
                </c:pt>
                <c:pt idx="162">
                  <c:v>1.1882999999999999</c:v>
                </c:pt>
                <c:pt idx="163">
                  <c:v>1.2233000000000001</c:v>
                </c:pt>
                <c:pt idx="164">
                  <c:v>1.3207</c:v>
                </c:pt>
                <c:pt idx="165">
                  <c:v>1.3463000000000001</c:v>
                </c:pt>
                <c:pt idx="166">
                  <c:v>1.3441000000000001</c:v>
                </c:pt>
                <c:pt idx="167">
                  <c:v>1.2589999999999999</c:v>
                </c:pt>
                <c:pt idx="168">
                  <c:v>1.1580999999999999</c:v>
                </c:pt>
                <c:pt idx="169">
                  <c:v>1.2184999999999999</c:v>
                </c:pt>
                <c:pt idx="170">
                  <c:v>1.1706000000000001</c:v>
                </c:pt>
                <c:pt idx="171">
                  <c:v>1.1606000000000001</c:v>
                </c:pt>
                <c:pt idx="172">
                  <c:v>1.1200000000000001</c:v>
                </c:pt>
                <c:pt idx="173">
                  <c:v>1.1935</c:v>
                </c:pt>
                <c:pt idx="174">
                  <c:v>1.1512</c:v>
                </c:pt>
                <c:pt idx="175">
                  <c:v>1.1006</c:v>
                </c:pt>
                <c:pt idx="176">
                  <c:v>1.0952999999999999</c:v>
                </c:pt>
                <c:pt idx="177">
                  <c:v>1.0182</c:v>
                </c:pt>
                <c:pt idx="178">
                  <c:v>1.0318000000000001</c:v>
                </c:pt>
                <c:pt idx="179">
                  <c:v>1.0373000000000001</c:v>
                </c:pt>
                <c:pt idx="180">
                  <c:v>1.0414000000000001</c:v>
                </c:pt>
                <c:pt idx="181">
                  <c:v>1.0182</c:v>
                </c:pt>
                <c:pt idx="182">
                  <c:v>1.0107999999999999</c:v>
                </c:pt>
                <c:pt idx="183">
                  <c:v>1.0179</c:v>
                </c:pt>
                <c:pt idx="184">
                  <c:v>0.92559999999999998</c:v>
                </c:pt>
                <c:pt idx="185">
                  <c:v>0.85780000000000001</c:v>
                </c:pt>
                <c:pt idx="186">
                  <c:v>0.83589999999999998</c:v>
                </c:pt>
                <c:pt idx="187">
                  <c:v>0.8286</c:v>
                </c:pt>
                <c:pt idx="188">
                  <c:v>0.79890000000000005</c:v>
                </c:pt>
                <c:pt idx="189">
                  <c:v>0.78349999999999997</c:v>
                </c:pt>
                <c:pt idx="190">
                  <c:v>0.76590000000000003</c:v>
                </c:pt>
                <c:pt idx="191">
                  <c:v>0.70930000000000004</c:v>
                </c:pt>
                <c:pt idx="192">
                  <c:v>0.77380000000000004</c:v>
                </c:pt>
                <c:pt idx="193">
                  <c:v>0.80859999999999999</c:v>
                </c:pt>
                <c:pt idx="194">
                  <c:v>0.79200000000000004</c:v>
                </c:pt>
                <c:pt idx="195">
                  <c:v>0.80840000000000001</c:v>
                </c:pt>
                <c:pt idx="196">
                  <c:v>0.89129999999999998</c:v>
                </c:pt>
                <c:pt idx="197">
                  <c:v>0.93189999999999995</c:v>
                </c:pt>
                <c:pt idx="198">
                  <c:v>0.88980000000000004</c:v>
                </c:pt>
                <c:pt idx="199">
                  <c:v>0.92230000000000001</c:v>
                </c:pt>
                <c:pt idx="200">
                  <c:v>0.95150000000000001</c:v>
                </c:pt>
                <c:pt idx="201">
                  <c:v>0.94710000000000005</c:v>
                </c:pt>
                <c:pt idx="202">
                  <c:v>0.99299999999999999</c:v>
                </c:pt>
                <c:pt idx="203">
                  <c:v>1.0687</c:v>
                </c:pt>
                <c:pt idx="204">
                  <c:v>0.96830000000000005</c:v>
                </c:pt>
                <c:pt idx="205">
                  <c:v>0.95830000000000004</c:v>
                </c:pt>
                <c:pt idx="206">
                  <c:v>0.8841</c:v>
                </c:pt>
                <c:pt idx="207">
                  <c:v>0.86550000000000005</c:v>
                </c:pt>
                <c:pt idx="208">
                  <c:v>0.86619999999999997</c:v>
                </c:pt>
                <c:pt idx="209">
                  <c:v>0.85389999999999999</c:v>
                </c:pt>
                <c:pt idx="210">
                  <c:v>0.79559999999999997</c:v>
                </c:pt>
                <c:pt idx="211">
                  <c:v>0.84399999999999997</c:v>
                </c:pt>
                <c:pt idx="212">
                  <c:v>0.88470000000000004</c:v>
                </c:pt>
                <c:pt idx="213">
                  <c:v>0.71160000000000001</c:v>
                </c:pt>
                <c:pt idx="214">
                  <c:v>0.6542</c:v>
                </c:pt>
                <c:pt idx="215">
                  <c:v>0.62819999999999998</c:v>
                </c:pt>
                <c:pt idx="216">
                  <c:v>0.6109</c:v>
                </c:pt>
                <c:pt idx="217">
                  <c:v>0.68079999999999996</c:v>
                </c:pt>
                <c:pt idx="218">
                  <c:v>0.65980000000000005</c:v>
                </c:pt>
                <c:pt idx="219">
                  <c:v>0.57879999999999998</c:v>
                </c:pt>
                <c:pt idx="220">
                  <c:v>0.62260000000000004</c:v>
                </c:pt>
                <c:pt idx="221">
                  <c:v>0.82230000000000003</c:v>
                </c:pt>
                <c:pt idx="222">
                  <c:v>0.8246</c:v>
                </c:pt>
                <c:pt idx="223">
                  <c:v>0.83660000000000001</c:v>
                </c:pt>
                <c:pt idx="224">
                  <c:v>0.89219999999999999</c:v>
                </c:pt>
                <c:pt idx="225">
                  <c:v>0.90280000000000005</c:v>
                </c:pt>
                <c:pt idx="226">
                  <c:v>0.96950000000000003</c:v>
                </c:pt>
                <c:pt idx="227">
                  <c:v>0.96930000000000005</c:v>
                </c:pt>
                <c:pt idx="228">
                  <c:v>0.94699999999999995</c:v>
                </c:pt>
                <c:pt idx="229">
                  <c:v>0.89370000000000005</c:v>
                </c:pt>
                <c:pt idx="230">
                  <c:v>0.93630000000000002</c:v>
                </c:pt>
                <c:pt idx="231">
                  <c:v>0.98409999999999997</c:v>
                </c:pt>
                <c:pt idx="232">
                  <c:v>1.0208999999999999</c:v>
                </c:pt>
                <c:pt idx="233">
                  <c:v>1.0009999999999999</c:v>
                </c:pt>
                <c:pt idx="234">
                  <c:v>1.0275000000000001</c:v>
                </c:pt>
                <c:pt idx="235">
                  <c:v>1.1558999999999999</c:v>
                </c:pt>
                <c:pt idx="236">
                  <c:v>1.0633999999999999</c:v>
                </c:pt>
                <c:pt idx="237">
                  <c:v>1.1120000000000001</c:v>
                </c:pt>
                <c:pt idx="238">
                  <c:v>1.2205999999999999</c:v>
                </c:pt>
                <c:pt idx="239">
                  <c:v>1.194</c:v>
                </c:pt>
                <c:pt idx="240">
                  <c:v>1.0563</c:v>
                </c:pt>
                <c:pt idx="241">
                  <c:v>1.0933999999999999</c:v>
                </c:pt>
                <c:pt idx="242">
                  <c:v>1.018</c:v>
                </c:pt>
                <c:pt idx="243">
                  <c:v>1.0159</c:v>
                </c:pt>
                <c:pt idx="244">
                  <c:v>1.0578000000000001</c:v>
                </c:pt>
                <c:pt idx="245">
                  <c:v>1.206</c:v>
                </c:pt>
                <c:pt idx="246">
                  <c:v>1.2824</c:v>
                </c:pt>
                <c:pt idx="247">
                  <c:v>1.1012999999999999</c:v>
                </c:pt>
                <c:pt idx="248">
                  <c:v>1.0928</c:v>
                </c:pt>
                <c:pt idx="249">
                  <c:v>0.90339999999999998</c:v>
                </c:pt>
                <c:pt idx="250">
                  <c:v>1.0343</c:v>
                </c:pt>
                <c:pt idx="251">
                  <c:v>1.1095999999999999</c:v>
                </c:pt>
                <c:pt idx="252">
                  <c:v>1.1967000000000001</c:v>
                </c:pt>
                <c:pt idx="253">
                  <c:v>0.96579999999999999</c:v>
                </c:pt>
                <c:pt idx="254">
                  <c:v>1.5409999999999999</c:v>
                </c:pt>
                <c:pt idx="255">
                  <c:v>1.5042</c:v>
                </c:pt>
                <c:pt idx="256">
                  <c:v>1.5903</c:v>
                </c:pt>
                <c:pt idx="257">
                  <c:v>1.6304000000000001</c:v>
                </c:pt>
                <c:pt idx="258">
                  <c:v>1.8006</c:v>
                </c:pt>
                <c:pt idx="259">
                  <c:v>1.6968000000000001</c:v>
                </c:pt>
                <c:pt idx="260">
                  <c:v>1.6794</c:v>
                </c:pt>
                <c:pt idx="261">
                  <c:v>1.9886999999999999</c:v>
                </c:pt>
                <c:pt idx="262">
                  <c:v>1.8554999999999999</c:v>
                </c:pt>
                <c:pt idx="263">
                  <c:v>2.1593</c:v>
                </c:pt>
                <c:pt idx="264">
                  <c:v>2.2290000000000001</c:v>
                </c:pt>
                <c:pt idx="265">
                  <c:v>2.2353999999999998</c:v>
                </c:pt>
                <c:pt idx="266">
                  <c:v>1.9026000000000001</c:v>
                </c:pt>
                <c:pt idx="267">
                  <c:v>1.9939</c:v>
                </c:pt>
                <c:pt idx="268">
                  <c:v>1.8026</c:v>
                </c:pt>
                <c:pt idx="269">
                  <c:v>2.0762999999999998</c:v>
                </c:pt>
                <c:pt idx="270">
                  <c:v>2.0847000000000002</c:v>
                </c:pt>
                <c:pt idx="271">
                  <c:v>2.1840999999999999</c:v>
                </c:pt>
                <c:pt idx="272">
                  <c:v>2.0788000000000002</c:v>
                </c:pt>
                <c:pt idx="273">
                  <c:v>1.9464999999999999</c:v>
                </c:pt>
                <c:pt idx="274">
                  <c:v>2.0196000000000001</c:v>
                </c:pt>
                <c:pt idx="275">
                  <c:v>2.0851999999999999</c:v>
                </c:pt>
                <c:pt idx="276">
                  <c:v>1.9322999999999999</c:v>
                </c:pt>
                <c:pt idx="277">
                  <c:v>1.6672</c:v>
                </c:pt>
                <c:pt idx="278">
                  <c:v>1.7369000000000001</c:v>
                </c:pt>
                <c:pt idx="279">
                  <c:v>2.0021</c:v>
                </c:pt>
                <c:pt idx="280">
                  <c:v>1.5961000000000001</c:v>
                </c:pt>
                <c:pt idx="281">
                  <c:v>1.8305</c:v>
                </c:pt>
                <c:pt idx="282">
                  <c:v>1.9206000000000001</c:v>
                </c:pt>
                <c:pt idx="283">
                  <c:v>1.8481000000000001</c:v>
                </c:pt>
                <c:pt idx="284">
                  <c:v>2.0356999999999998</c:v>
                </c:pt>
                <c:pt idx="285">
                  <c:v>2.3561999999999999</c:v>
                </c:pt>
                <c:pt idx="286">
                  <c:v>2.3431999999999999</c:v>
                </c:pt>
                <c:pt idx="287">
                  <c:v>2.3401999999999998</c:v>
                </c:pt>
                <c:pt idx="288">
                  <c:v>2.2850999999999999</c:v>
                </c:pt>
                <c:pt idx="289">
                  <c:v>2.4567000000000001</c:v>
                </c:pt>
                <c:pt idx="290">
                  <c:v>2.4495</c:v>
                </c:pt>
                <c:pt idx="291">
                  <c:v>2.415</c:v>
                </c:pt>
                <c:pt idx="292">
                  <c:v>2.4689000000000001</c:v>
                </c:pt>
                <c:pt idx="293">
                  <c:v>2.5577000000000001</c:v>
                </c:pt>
                <c:pt idx="294">
                  <c:v>2.6150000000000002</c:v>
                </c:pt>
                <c:pt idx="295">
                  <c:v>2.3605999999999998</c:v>
                </c:pt>
                <c:pt idx="296">
                  <c:v>2.5699000000000001</c:v>
                </c:pt>
                <c:pt idx="297">
                  <c:v>2.82</c:v>
                </c:pt>
                <c:pt idx="298">
                  <c:v>2.9072</c:v>
                </c:pt>
                <c:pt idx="299">
                  <c:v>2.8031000000000001</c:v>
                </c:pt>
                <c:pt idx="300">
                  <c:v>2.9775999999999998</c:v>
                </c:pt>
                <c:pt idx="301">
                  <c:v>3.0125999999999999</c:v>
                </c:pt>
                <c:pt idx="302">
                  <c:v>2.8149999999999999</c:v>
                </c:pt>
                <c:pt idx="303">
                  <c:v>2.9624999999999999</c:v>
                </c:pt>
                <c:pt idx="304">
                  <c:v>2.7418</c:v>
                </c:pt>
                <c:pt idx="305">
                  <c:v>2.7141000000000002</c:v>
                </c:pt>
                <c:pt idx="306">
                  <c:v>3.1520000000000001</c:v>
                </c:pt>
                <c:pt idx="307">
                  <c:v>1.5684</c:v>
                </c:pt>
                <c:pt idx="308">
                  <c:v>1.4352</c:v>
                </c:pt>
                <c:pt idx="309">
                  <c:v>1.4475</c:v>
                </c:pt>
                <c:pt idx="310">
                  <c:v>1.7591000000000001</c:v>
                </c:pt>
                <c:pt idx="311">
                  <c:v>0.90910000000000002</c:v>
                </c:pt>
                <c:pt idx="312">
                  <c:v>0.92120000000000002</c:v>
                </c:pt>
                <c:pt idx="313">
                  <c:v>0.89500000000000002</c:v>
                </c:pt>
                <c:pt idx="314">
                  <c:v>0.94199999999999995</c:v>
                </c:pt>
                <c:pt idx="315">
                  <c:v>0.92920000000000003</c:v>
                </c:pt>
                <c:pt idx="316">
                  <c:v>0.94069999999999998</c:v>
                </c:pt>
                <c:pt idx="317">
                  <c:v>0.92230000000000001</c:v>
                </c:pt>
                <c:pt idx="318">
                  <c:v>0.87580000000000002</c:v>
                </c:pt>
                <c:pt idx="319">
                  <c:v>0.84530000000000005</c:v>
                </c:pt>
                <c:pt idx="320">
                  <c:v>0.76780000000000004</c:v>
                </c:pt>
                <c:pt idx="321">
                  <c:v>0.76339999999999997</c:v>
                </c:pt>
                <c:pt idx="322">
                  <c:v>0.69469999999999998</c:v>
                </c:pt>
                <c:pt idx="323">
                  <c:v>0.69710000000000005</c:v>
                </c:pt>
                <c:pt idx="324">
                  <c:v>0.73599999999999999</c:v>
                </c:pt>
                <c:pt idx="325">
                  <c:v>0.6905</c:v>
                </c:pt>
                <c:pt idx="326">
                  <c:v>0.69350000000000001</c:v>
                </c:pt>
                <c:pt idx="327">
                  <c:v>0.68230000000000002</c:v>
                </c:pt>
                <c:pt idx="328">
                  <c:v>0.65329999999999999</c:v>
                </c:pt>
                <c:pt idx="329">
                  <c:v>0.66679999999999995</c:v>
                </c:pt>
                <c:pt idx="330">
                  <c:v>0.68989999999999996</c:v>
                </c:pt>
                <c:pt idx="331">
                  <c:v>0.64470000000000005</c:v>
                </c:pt>
                <c:pt idx="332">
                  <c:v>0.67190000000000005</c:v>
                </c:pt>
                <c:pt idx="333">
                  <c:v>0.6431</c:v>
                </c:pt>
                <c:pt idx="334">
                  <c:v>0.63739999999999997</c:v>
                </c:pt>
                <c:pt idx="335">
                  <c:v>0.58169999999999999</c:v>
                </c:pt>
                <c:pt idx="336">
                  <c:v>0.57279999999999998</c:v>
                </c:pt>
                <c:pt idx="337">
                  <c:v>0.59489999999999998</c:v>
                </c:pt>
                <c:pt idx="338">
                  <c:v>0.56100000000000005</c:v>
                </c:pt>
                <c:pt idx="339">
                  <c:v>0.73299999999999998</c:v>
                </c:pt>
                <c:pt idx="340">
                  <c:v>0.8427</c:v>
                </c:pt>
                <c:pt idx="341">
                  <c:v>0.79479999999999995</c:v>
                </c:pt>
                <c:pt idx="342">
                  <c:v>0.84399999999999997</c:v>
                </c:pt>
                <c:pt idx="343">
                  <c:v>0.80589999999999995</c:v>
                </c:pt>
                <c:pt idx="344">
                  <c:v>0.78210000000000002</c:v>
                </c:pt>
                <c:pt idx="345">
                  <c:v>0.78939999999999999</c:v>
                </c:pt>
                <c:pt idx="346">
                  <c:v>0.82530000000000003</c:v>
                </c:pt>
                <c:pt idx="347">
                  <c:v>0.91410000000000002</c:v>
                </c:pt>
                <c:pt idx="348">
                  <c:v>0.77290000000000003</c:v>
                </c:pt>
                <c:pt idx="349">
                  <c:v>0.74529999999999996</c:v>
                </c:pt>
                <c:pt idx="350">
                  <c:v>0.68940000000000001</c:v>
                </c:pt>
                <c:pt idx="351">
                  <c:v>0.60019999999999996</c:v>
                </c:pt>
                <c:pt idx="352">
                  <c:v>0.624</c:v>
                </c:pt>
                <c:pt idx="353">
                  <c:v>0.52600000000000002</c:v>
                </c:pt>
                <c:pt idx="354">
                  <c:v>0.52470000000000006</c:v>
                </c:pt>
                <c:pt idx="355">
                  <c:v>0.505</c:v>
                </c:pt>
                <c:pt idx="356">
                  <c:v>0.53400000000000003</c:v>
                </c:pt>
                <c:pt idx="357">
                  <c:v>0.46350000000000002</c:v>
                </c:pt>
                <c:pt idx="358">
                  <c:v>0.4718</c:v>
                </c:pt>
                <c:pt idx="359">
                  <c:v>0.44719999999999999</c:v>
                </c:pt>
                <c:pt idx="360">
                  <c:v>0.44690000000000002</c:v>
                </c:pt>
                <c:pt idx="361">
                  <c:v>0.42920000000000003</c:v>
                </c:pt>
                <c:pt idx="362">
                  <c:v>0.43309999999999998</c:v>
                </c:pt>
                <c:pt idx="363">
                  <c:v>0.44540000000000002</c:v>
                </c:pt>
                <c:pt idx="364">
                  <c:v>0.3947</c:v>
                </c:pt>
                <c:pt idx="365">
                  <c:v>0.3715</c:v>
                </c:pt>
                <c:pt idx="366">
                  <c:v>0.42649999999999999</c:v>
                </c:pt>
                <c:pt idx="367">
                  <c:v>0.38750000000000001</c:v>
                </c:pt>
                <c:pt idx="368">
                  <c:v>0.4123</c:v>
                </c:pt>
                <c:pt idx="369">
                  <c:v>0.3866</c:v>
                </c:pt>
                <c:pt idx="370">
                  <c:v>0.38169999999999998</c:v>
                </c:pt>
                <c:pt idx="371">
                  <c:v>0.35510000000000003</c:v>
                </c:pt>
                <c:pt idx="372">
                  <c:v>0.40639999999999998</c:v>
                </c:pt>
                <c:pt idx="373">
                  <c:v>0.40649999999999997</c:v>
                </c:pt>
                <c:pt idx="374">
                  <c:v>0.4269</c:v>
                </c:pt>
                <c:pt idx="375">
                  <c:v>0.41520000000000001</c:v>
                </c:pt>
                <c:pt idx="376">
                  <c:v>0.38369999999999999</c:v>
                </c:pt>
                <c:pt idx="377">
                  <c:v>0.35920000000000002</c:v>
                </c:pt>
                <c:pt idx="378">
                  <c:v>0.37780000000000002</c:v>
                </c:pt>
                <c:pt idx="379">
                  <c:v>0.35520000000000002</c:v>
                </c:pt>
                <c:pt idx="380">
                  <c:v>0.32640000000000002</c:v>
                </c:pt>
                <c:pt idx="381">
                  <c:v>0.33090000000000003</c:v>
                </c:pt>
                <c:pt idx="382">
                  <c:v>0.40360000000000001</c:v>
                </c:pt>
                <c:pt idx="383">
                  <c:v>0.39839999999999998</c:v>
                </c:pt>
                <c:pt idx="384">
                  <c:v>0.37990000000000002</c:v>
                </c:pt>
                <c:pt idx="385">
                  <c:v>0.34739999999999999</c:v>
                </c:pt>
                <c:pt idx="386">
                  <c:v>0.3523</c:v>
                </c:pt>
                <c:pt idx="387">
                  <c:v>0.3105</c:v>
                </c:pt>
                <c:pt idx="388">
                  <c:v>0.30380000000000001</c:v>
                </c:pt>
                <c:pt idx="389">
                  <c:v>0.31159999999999999</c:v>
                </c:pt>
                <c:pt idx="390">
                  <c:v>0.2928</c:v>
                </c:pt>
                <c:pt idx="391">
                  <c:v>0.29530000000000001</c:v>
                </c:pt>
                <c:pt idx="392">
                  <c:v>0.29089999999999999</c:v>
                </c:pt>
                <c:pt idx="393">
                  <c:v>0.29049999999999998</c:v>
                </c:pt>
                <c:pt idx="394">
                  <c:v>0.29849999999999999</c:v>
                </c:pt>
                <c:pt idx="395">
                  <c:v>0.3115</c:v>
                </c:pt>
                <c:pt idx="396">
                  <c:v>0.2974</c:v>
                </c:pt>
                <c:pt idx="397">
                  <c:v>0.29520000000000002</c:v>
                </c:pt>
                <c:pt idx="398">
                  <c:v>0.3009</c:v>
                </c:pt>
                <c:pt idx="399">
                  <c:v>0.30830000000000002</c:v>
                </c:pt>
                <c:pt idx="400">
                  <c:v>0.27800000000000002</c:v>
                </c:pt>
                <c:pt idx="401">
                  <c:v>0.3392</c:v>
                </c:pt>
                <c:pt idx="402">
                  <c:v>0.34039999999999998</c:v>
                </c:pt>
                <c:pt idx="403">
                  <c:v>0.35820000000000002</c:v>
                </c:pt>
                <c:pt idx="404">
                  <c:v>0.38100000000000001</c:v>
                </c:pt>
                <c:pt idx="405">
                  <c:v>0.36220000000000002</c:v>
                </c:pt>
                <c:pt idx="406">
                  <c:v>0.35489999999999999</c:v>
                </c:pt>
                <c:pt idx="407">
                  <c:v>0.36180000000000001</c:v>
                </c:pt>
                <c:pt idx="408">
                  <c:v>0.35809999999999997</c:v>
                </c:pt>
                <c:pt idx="409">
                  <c:v>0.34510000000000002</c:v>
                </c:pt>
                <c:pt idx="410">
                  <c:v>0.35039999999999999</c:v>
                </c:pt>
                <c:pt idx="411">
                  <c:v>0.34250000000000003</c:v>
                </c:pt>
                <c:pt idx="412">
                  <c:v>0.32840000000000003</c:v>
                </c:pt>
                <c:pt idx="413">
                  <c:v>0.34300000000000003</c:v>
                </c:pt>
                <c:pt idx="414">
                  <c:v>0.3392</c:v>
                </c:pt>
                <c:pt idx="415">
                  <c:v>0.35010000000000002</c:v>
                </c:pt>
                <c:pt idx="416">
                  <c:v>0.3528</c:v>
                </c:pt>
                <c:pt idx="417">
                  <c:v>0.3569</c:v>
                </c:pt>
                <c:pt idx="418">
                  <c:v>0.37159999999999999</c:v>
                </c:pt>
                <c:pt idx="419">
                  <c:v>0.33800000000000002</c:v>
                </c:pt>
                <c:pt idx="420">
                  <c:v>0.37640000000000001</c:v>
                </c:pt>
                <c:pt idx="421">
                  <c:v>0.38219999999999998</c:v>
                </c:pt>
                <c:pt idx="422">
                  <c:v>0.34749999999999998</c:v>
                </c:pt>
                <c:pt idx="423">
                  <c:v>0.35349999999999998</c:v>
                </c:pt>
                <c:pt idx="424">
                  <c:v>0.34039999999999998</c:v>
                </c:pt>
                <c:pt idx="425">
                  <c:v>0.34179999999999999</c:v>
                </c:pt>
                <c:pt idx="426">
                  <c:v>0.32869999999999999</c:v>
                </c:pt>
                <c:pt idx="427">
                  <c:v>0.33779999999999999</c:v>
                </c:pt>
                <c:pt idx="428">
                  <c:v>0.39879999999999999</c:v>
                </c:pt>
                <c:pt idx="429">
                  <c:v>0.40229999999999999</c:v>
                </c:pt>
                <c:pt idx="430">
                  <c:v>0.36759999999999998</c:v>
                </c:pt>
                <c:pt idx="431">
                  <c:v>0.34489999999999998</c:v>
                </c:pt>
                <c:pt idx="432">
                  <c:v>0.3669</c:v>
                </c:pt>
                <c:pt idx="433">
                  <c:v>0.3266</c:v>
                </c:pt>
                <c:pt idx="434">
                  <c:v>0.31990000000000002</c:v>
                </c:pt>
                <c:pt idx="435">
                  <c:v>0.32840000000000003</c:v>
                </c:pt>
                <c:pt idx="436">
                  <c:v>0.35299999999999998</c:v>
                </c:pt>
                <c:pt idx="437">
                  <c:v>0.34399999999999997</c:v>
                </c:pt>
                <c:pt idx="438">
                  <c:v>0.33960000000000001</c:v>
                </c:pt>
                <c:pt idx="439">
                  <c:v>0.3528</c:v>
                </c:pt>
                <c:pt idx="440">
                  <c:v>0.35620000000000002</c:v>
                </c:pt>
                <c:pt idx="441">
                  <c:v>0.34570000000000001</c:v>
                </c:pt>
                <c:pt idx="442">
                  <c:v>0.36380000000000001</c:v>
                </c:pt>
                <c:pt idx="443">
                  <c:v>0.36809999999999998</c:v>
                </c:pt>
                <c:pt idx="444">
                  <c:v>0.34720000000000001</c:v>
                </c:pt>
                <c:pt idx="445">
                  <c:v>0.35399999999999998</c:v>
                </c:pt>
                <c:pt idx="446">
                  <c:v>0.32919999999999999</c:v>
                </c:pt>
                <c:pt idx="447">
                  <c:v>0.36909999999999998</c:v>
                </c:pt>
                <c:pt idx="448">
                  <c:v>0.2833</c:v>
                </c:pt>
                <c:pt idx="449">
                  <c:v>0.27150000000000002</c:v>
                </c:pt>
                <c:pt idx="450">
                  <c:v>0.28510000000000002</c:v>
                </c:pt>
                <c:pt idx="451">
                  <c:v>0.30370000000000003</c:v>
                </c:pt>
                <c:pt idx="452">
                  <c:v>0.32540000000000002</c:v>
                </c:pt>
                <c:pt idx="453">
                  <c:v>0.31780000000000003</c:v>
                </c:pt>
                <c:pt idx="454">
                  <c:v>0.31790000000000002</c:v>
                </c:pt>
                <c:pt idx="455">
                  <c:v>0.33700000000000002</c:v>
                </c:pt>
                <c:pt idx="456">
                  <c:v>0.33079999999999998</c:v>
                </c:pt>
                <c:pt idx="457">
                  <c:v>0.3609</c:v>
                </c:pt>
                <c:pt idx="458">
                  <c:v>0.36880000000000002</c:v>
                </c:pt>
                <c:pt idx="459">
                  <c:v>0.4138</c:v>
                </c:pt>
                <c:pt idx="460">
                  <c:v>0.39300000000000002</c:v>
                </c:pt>
                <c:pt idx="461">
                  <c:v>0.38200000000000001</c:v>
                </c:pt>
                <c:pt idx="462">
                  <c:v>0.3891</c:v>
                </c:pt>
                <c:pt idx="463">
                  <c:v>0.38240000000000002</c:v>
                </c:pt>
                <c:pt idx="464">
                  <c:v>0.37159999999999999</c:v>
                </c:pt>
                <c:pt idx="465">
                  <c:v>0.40260000000000001</c:v>
                </c:pt>
                <c:pt idx="466">
                  <c:v>0.44540000000000002</c:v>
                </c:pt>
                <c:pt idx="467">
                  <c:v>0.4325</c:v>
                </c:pt>
                <c:pt idx="468">
                  <c:v>0.42899999999999999</c:v>
                </c:pt>
                <c:pt idx="469">
                  <c:v>0.47549999999999998</c:v>
                </c:pt>
                <c:pt idx="470">
                  <c:v>0.51859999999999995</c:v>
                </c:pt>
                <c:pt idx="471">
                  <c:v>0.58499999999999996</c:v>
                </c:pt>
                <c:pt idx="472">
                  <c:v>0.58440000000000003</c:v>
                </c:pt>
                <c:pt idx="473">
                  <c:v>0.5907</c:v>
                </c:pt>
                <c:pt idx="474">
                  <c:v>0.64100000000000001</c:v>
                </c:pt>
                <c:pt idx="475">
                  <c:v>0.51439999999999997</c:v>
                </c:pt>
                <c:pt idx="476">
                  <c:v>0.48139999999999999</c:v>
                </c:pt>
                <c:pt idx="477">
                  <c:v>0.4793</c:v>
                </c:pt>
                <c:pt idx="478">
                  <c:v>0.45369999999999999</c:v>
                </c:pt>
                <c:pt idx="479">
                  <c:v>0.50339999999999996</c:v>
                </c:pt>
                <c:pt idx="480">
                  <c:v>0.46739999999999998</c:v>
                </c:pt>
                <c:pt idx="481">
                  <c:v>0.46060000000000001</c:v>
                </c:pt>
                <c:pt idx="482">
                  <c:v>0.46760000000000002</c:v>
                </c:pt>
                <c:pt idx="483">
                  <c:v>0.47420000000000001</c:v>
                </c:pt>
                <c:pt idx="484">
                  <c:v>0.51290000000000002</c:v>
                </c:pt>
                <c:pt idx="485">
                  <c:v>0.50390000000000001</c:v>
                </c:pt>
                <c:pt idx="486">
                  <c:v>0.43769999999999998</c:v>
                </c:pt>
                <c:pt idx="487">
                  <c:v>0.39129999999999998</c:v>
                </c:pt>
                <c:pt idx="488">
                  <c:v>0.40139999999999998</c:v>
                </c:pt>
                <c:pt idx="489">
                  <c:v>0.3654</c:v>
                </c:pt>
                <c:pt idx="490">
                  <c:v>0.33829999999999999</c:v>
                </c:pt>
                <c:pt idx="491">
                  <c:v>0.30159999999999998</c:v>
                </c:pt>
                <c:pt idx="492">
                  <c:v>0.33679999999999999</c:v>
                </c:pt>
                <c:pt idx="493">
                  <c:v>0.34389999999999998</c:v>
                </c:pt>
                <c:pt idx="494">
                  <c:v>0.40860000000000002</c:v>
                </c:pt>
                <c:pt idx="495">
                  <c:v>0.44030000000000002</c:v>
                </c:pt>
                <c:pt idx="496">
                  <c:v>0.40989999999999999</c:v>
                </c:pt>
                <c:pt idx="497">
                  <c:v>0.41980000000000001</c:v>
                </c:pt>
                <c:pt idx="498">
                  <c:v>0.44159999999999999</c:v>
                </c:pt>
                <c:pt idx="499">
                  <c:v>0.45129999999999998</c:v>
                </c:pt>
                <c:pt idx="500">
                  <c:v>0.4723</c:v>
                </c:pt>
                <c:pt idx="501">
                  <c:v>0.48180000000000001</c:v>
                </c:pt>
                <c:pt idx="502">
                  <c:v>0.53779999999999994</c:v>
                </c:pt>
                <c:pt idx="503">
                  <c:v>0.53620000000000001</c:v>
                </c:pt>
                <c:pt idx="504">
                  <c:v>0.50509999999999999</c:v>
                </c:pt>
                <c:pt idx="505">
                  <c:v>0.46539999999999998</c:v>
                </c:pt>
                <c:pt idx="506">
                  <c:v>0.46339999999999998</c:v>
                </c:pt>
                <c:pt idx="507">
                  <c:v>0.49990000000000001</c:v>
                </c:pt>
                <c:pt idx="508">
                  <c:v>0.52149999999999996</c:v>
                </c:pt>
                <c:pt idx="509">
                  <c:v>0.53010000000000002</c:v>
                </c:pt>
                <c:pt idx="510">
                  <c:v>0.59050000000000002</c:v>
                </c:pt>
                <c:pt idx="511">
                  <c:v>0.40089999999999998</c:v>
                </c:pt>
                <c:pt idx="512">
                  <c:v>0.53300000000000003</c:v>
                </c:pt>
                <c:pt idx="513">
                  <c:v>0.56430000000000002</c:v>
                </c:pt>
                <c:pt idx="514">
                  <c:v>0.60329999999999995</c:v>
                </c:pt>
                <c:pt idx="515">
                  <c:v>0.64739999999999998</c:v>
                </c:pt>
                <c:pt idx="516">
                  <c:v>0.68489999999999995</c:v>
                </c:pt>
                <c:pt idx="517">
                  <c:v>0.58140000000000003</c:v>
                </c:pt>
                <c:pt idx="518">
                  <c:v>0.44800000000000001</c:v>
                </c:pt>
                <c:pt idx="519">
                  <c:v>0.47320000000000001</c:v>
                </c:pt>
                <c:pt idx="520">
                  <c:v>0.34749999999999998</c:v>
                </c:pt>
                <c:pt idx="521">
                  <c:v>0.3831</c:v>
                </c:pt>
                <c:pt idx="522">
                  <c:v>0.39529999999999998</c:v>
                </c:pt>
                <c:pt idx="523">
                  <c:v>0.28189999999999998</c:v>
                </c:pt>
                <c:pt idx="524">
                  <c:v>0.2626</c:v>
                </c:pt>
                <c:pt idx="525">
                  <c:v>0.28920000000000001</c:v>
                </c:pt>
                <c:pt idx="526">
                  <c:v>0.25519999999999998</c:v>
                </c:pt>
                <c:pt idx="527">
                  <c:v>0.28249999999999997</c:v>
                </c:pt>
                <c:pt idx="528">
                  <c:v>0.29809999999999998</c:v>
                </c:pt>
                <c:pt idx="529">
                  <c:v>0.32869999999999999</c:v>
                </c:pt>
                <c:pt idx="530">
                  <c:v>0.27510000000000001</c:v>
                </c:pt>
                <c:pt idx="531">
                  <c:v>0.2969</c:v>
                </c:pt>
                <c:pt idx="532">
                  <c:v>0.27339999999999998</c:v>
                </c:pt>
                <c:pt idx="533">
                  <c:v>0.22439999999999999</c:v>
                </c:pt>
                <c:pt idx="534">
                  <c:v>0.20300000000000001</c:v>
                </c:pt>
                <c:pt idx="535">
                  <c:v>0.22420000000000001</c:v>
                </c:pt>
                <c:pt idx="536">
                  <c:v>0.2087</c:v>
                </c:pt>
                <c:pt idx="537">
                  <c:v>0.20250000000000001</c:v>
                </c:pt>
                <c:pt idx="538">
                  <c:v>0.19500000000000001</c:v>
                </c:pt>
                <c:pt idx="539">
                  <c:v>0.1976</c:v>
                </c:pt>
                <c:pt idx="540">
                  <c:v>0.19739999999999999</c:v>
                </c:pt>
                <c:pt idx="541">
                  <c:v>0.18990000000000001</c:v>
                </c:pt>
                <c:pt idx="542">
                  <c:v>0.18709999999999999</c:v>
                </c:pt>
                <c:pt idx="543">
                  <c:v>0.18779999999999999</c:v>
                </c:pt>
                <c:pt idx="544">
                  <c:v>0.18720000000000001</c:v>
                </c:pt>
                <c:pt idx="545">
                  <c:v>0.18590000000000001</c:v>
                </c:pt>
                <c:pt idx="546">
                  <c:v>0.19320000000000001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F0-48FA-BA66-0B4BC50AC0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-1.8309837377094977</c:v>
                </c:pt>
                <c:pt idx="1">
                  <c:v>-1.8286975931640432</c:v>
                </c:pt>
                <c:pt idx="2">
                  <c:v>-1.8271836355472524</c:v>
                </c:pt>
                <c:pt idx="3">
                  <c:v>-1.8385560212985477</c:v>
                </c:pt>
                <c:pt idx="4">
                  <c:v>-1.8432535507340315</c:v>
                </c:pt>
                <c:pt idx="5">
                  <c:v>-1.8620174825018414</c:v>
                </c:pt>
                <c:pt idx="6">
                  <c:v>-1.8512545167605781</c:v>
                </c:pt>
                <c:pt idx="7">
                  <c:v>-1.828352498677116</c:v>
                </c:pt>
                <c:pt idx="8">
                  <c:v>-1.8165913850560635</c:v>
                </c:pt>
                <c:pt idx="9">
                  <c:v>-1.8052926580157835</c:v>
                </c:pt>
                <c:pt idx="10">
                  <c:v>-1.8075540318115151</c:v>
                </c:pt>
                <c:pt idx="11">
                  <c:v>-1.7937392663800431</c:v>
                </c:pt>
                <c:pt idx="12">
                  <c:v>-1.7892575414743825</c:v>
                </c:pt>
                <c:pt idx="13">
                  <c:v>-1.7945726330285936</c:v>
                </c:pt>
                <c:pt idx="14">
                  <c:v>-1.8033771042313427</c:v>
                </c:pt>
                <c:pt idx="15">
                  <c:v>-1.7844221912330758</c:v>
                </c:pt>
                <c:pt idx="16">
                  <c:v>-1.8029729259159604</c:v>
                </c:pt>
                <c:pt idx="17">
                  <c:v>-1.8308351043447222</c:v>
                </c:pt>
                <c:pt idx="18">
                  <c:v>-1.8382800462802058</c:v>
                </c:pt>
                <c:pt idx="19">
                  <c:v>-1.8338427192035285</c:v>
                </c:pt>
                <c:pt idx="20">
                  <c:v>-1.8291142386637722</c:v>
                </c:pt>
                <c:pt idx="21">
                  <c:v>-1.8131054965856028</c:v>
                </c:pt>
                <c:pt idx="22">
                  <c:v>-1.8384211548464726</c:v>
                </c:pt>
                <c:pt idx="23">
                  <c:v>-1.819696667595148</c:v>
                </c:pt>
                <c:pt idx="24">
                  <c:v>-1.808487015606512</c:v>
                </c:pt>
                <c:pt idx="25">
                  <c:v>-1.7945971581900309</c:v>
                </c:pt>
                <c:pt idx="26">
                  <c:v>-1.7998401051321093</c:v>
                </c:pt>
                <c:pt idx="27">
                  <c:v>-1.8208351388481845</c:v>
                </c:pt>
                <c:pt idx="28">
                  <c:v>-1.8167724817500024</c:v>
                </c:pt>
                <c:pt idx="29">
                  <c:v>-1.8272698654607402</c:v>
                </c:pt>
                <c:pt idx="30">
                  <c:v>-1.8091654767565837</c:v>
                </c:pt>
                <c:pt idx="31">
                  <c:v>-1.778165260050885</c:v>
                </c:pt>
                <c:pt idx="32">
                  <c:v>-1.7473326761031345</c:v>
                </c:pt>
                <c:pt idx="33">
                  <c:v>-1.7744140303584537</c:v>
                </c:pt>
                <c:pt idx="34">
                  <c:v>-1.780066277295606</c:v>
                </c:pt>
                <c:pt idx="35">
                  <c:v>-1.7497119638392298</c:v>
                </c:pt>
                <c:pt idx="36">
                  <c:v>-1.8358087948918618</c:v>
                </c:pt>
                <c:pt idx="37">
                  <c:v>-1.9240412049780684</c:v>
                </c:pt>
                <c:pt idx="38">
                  <c:v>-1.986428044634472</c:v>
                </c:pt>
                <c:pt idx="39">
                  <c:v>-1.986526608191207</c:v>
                </c:pt>
                <c:pt idx="40">
                  <c:v>-1.9506481600662071</c:v>
                </c:pt>
                <c:pt idx="41">
                  <c:v>-1.9645676230460491</c:v>
                </c:pt>
                <c:pt idx="42">
                  <c:v>-2.0597108776434698</c:v>
                </c:pt>
                <c:pt idx="43">
                  <c:v>-1.9984535991715702</c:v>
                </c:pt>
                <c:pt idx="44">
                  <c:v>-2.0563904100214798</c:v>
                </c:pt>
                <c:pt idx="45">
                  <c:v>-2.0767444030303297</c:v>
                </c:pt>
                <c:pt idx="46">
                  <c:v>-2.0342899730084234</c:v>
                </c:pt>
                <c:pt idx="47">
                  <c:v>-2.0480854434846139</c:v>
                </c:pt>
                <c:pt idx="48">
                  <c:v>-2.0496626381512808</c:v>
                </c:pt>
                <c:pt idx="49">
                  <c:v>-2.0120156461322782</c:v>
                </c:pt>
                <c:pt idx="50">
                  <c:v>-1.9747570336785372</c:v>
                </c:pt>
                <c:pt idx="51">
                  <c:v>-1.997879175801281</c:v>
                </c:pt>
                <c:pt idx="52">
                  <c:v>-1.9894909391281916</c:v>
                </c:pt>
                <c:pt idx="53">
                  <c:v>-2.0545418378267755</c:v>
                </c:pt>
                <c:pt idx="54">
                  <c:v>-1.9824581623377968</c:v>
                </c:pt>
                <c:pt idx="55">
                  <c:v>-2.0026994051985278</c:v>
                </c:pt>
                <c:pt idx="56">
                  <c:v>-1.9706973510900874</c:v>
                </c:pt>
                <c:pt idx="57">
                  <c:v>-1.9576294204544558</c:v>
                </c:pt>
                <c:pt idx="58">
                  <c:v>-1.966014591143679</c:v>
                </c:pt>
                <c:pt idx="59">
                  <c:v>-1.8907981832001599</c:v>
                </c:pt>
                <c:pt idx="60">
                  <c:v>-1.9242051543138492</c:v>
                </c:pt>
                <c:pt idx="61">
                  <c:v>-1.9580581507475034</c:v>
                </c:pt>
                <c:pt idx="62">
                  <c:v>-1.6021904732290428</c:v>
                </c:pt>
                <c:pt idx="63">
                  <c:v>-1.6229141620944274</c:v>
                </c:pt>
                <c:pt idx="64">
                  <c:v>-1.6157167466944276</c:v>
                </c:pt>
                <c:pt idx="65">
                  <c:v>-1.6664606605453589</c:v>
                </c:pt>
                <c:pt idx="66">
                  <c:v>-1.7235756244731242</c:v>
                </c:pt>
                <c:pt idx="67">
                  <c:v>-1.6734655145654793</c:v>
                </c:pt>
                <c:pt idx="68">
                  <c:v>-1.5798067922387935</c:v>
                </c:pt>
                <c:pt idx="69">
                  <c:v>-1.4959578823756239</c:v>
                </c:pt>
                <c:pt idx="70">
                  <c:v>-1.7290934492672694</c:v>
                </c:pt>
                <c:pt idx="71">
                  <c:v>-1.1107646115513996</c:v>
                </c:pt>
                <c:pt idx="72">
                  <c:v>-1.1062081945382107</c:v>
                </c:pt>
                <c:pt idx="73">
                  <c:v>-1.1009942811361491</c:v>
                </c:pt>
                <c:pt idx="74">
                  <c:v>-1.0638812674778924</c:v>
                </c:pt>
                <c:pt idx="75">
                  <c:v>-1.081666942351132</c:v>
                </c:pt>
                <c:pt idx="76">
                  <c:v>-0.85540941671549264</c:v>
                </c:pt>
                <c:pt idx="77">
                  <c:v>-0.83720925750337116</c:v>
                </c:pt>
                <c:pt idx="78">
                  <c:v>-0.85885593769893831</c:v>
                </c:pt>
                <c:pt idx="79">
                  <c:v>-0.82680098510347455</c:v>
                </c:pt>
                <c:pt idx="80">
                  <c:v>-0.81394647669722453</c:v>
                </c:pt>
                <c:pt idx="81">
                  <c:v>-0.82913251881167638</c:v>
                </c:pt>
                <c:pt idx="82">
                  <c:v>-0.78502399415650392</c:v>
                </c:pt>
                <c:pt idx="83">
                  <c:v>-0.85126565891220418</c:v>
                </c:pt>
                <c:pt idx="84">
                  <c:v>-0.77032288934504922</c:v>
                </c:pt>
                <c:pt idx="85">
                  <c:v>-0.74604026241394283</c:v>
                </c:pt>
                <c:pt idx="86">
                  <c:v>-0.67302323609176895</c:v>
                </c:pt>
                <c:pt idx="87">
                  <c:v>-0.38394497928039201</c:v>
                </c:pt>
                <c:pt idx="88">
                  <c:v>-0.365010057759801</c:v>
                </c:pt>
                <c:pt idx="89">
                  <c:v>7.8183706881917184E-2</c:v>
                </c:pt>
                <c:pt idx="90">
                  <c:v>3.2876220105057627E-2</c:v>
                </c:pt>
                <c:pt idx="91">
                  <c:v>-8.3536989494237116E-4</c:v>
                </c:pt>
                <c:pt idx="92">
                  <c:v>-3.7949581886189722E-2</c:v>
                </c:pt>
                <c:pt idx="93">
                  <c:v>1.8980585504119303E-2</c:v>
                </c:pt>
                <c:pt idx="94">
                  <c:v>3.5685971681677975E-2</c:v>
                </c:pt>
                <c:pt idx="95">
                  <c:v>1.0558811104754843E-2</c:v>
                </c:pt>
                <c:pt idx="96">
                  <c:v>-1.3102239197950968E-3</c:v>
                </c:pt>
                <c:pt idx="97">
                  <c:v>-9.3048391979513921E-4</c:v>
                </c:pt>
                <c:pt idx="98">
                  <c:v>-6.5194390511082124E-3</c:v>
                </c:pt>
                <c:pt idx="99">
                  <c:v>7.1318373181864401E-3</c:v>
                </c:pt>
                <c:pt idx="100">
                  <c:v>-1.8970521822760371E-3</c:v>
                </c:pt>
                <c:pt idx="101">
                  <c:v>-1.3920658214796313E-2</c:v>
                </c:pt>
                <c:pt idx="102">
                  <c:v>-1.6238240729766328E-2</c:v>
                </c:pt>
                <c:pt idx="103">
                  <c:v>-1.6509250298048238E-2</c:v>
                </c:pt>
                <c:pt idx="104">
                  <c:v>1.4029741455506301E-2</c:v>
                </c:pt>
                <c:pt idx="105">
                  <c:v>7.7573431456472008E-3</c:v>
                </c:pt>
                <c:pt idx="106">
                  <c:v>-7.6310210675506855E-3</c:v>
                </c:pt>
                <c:pt idx="107">
                  <c:v>-3.1289659201315531E-2</c:v>
                </c:pt>
                <c:pt idx="108">
                  <c:v>-1.7039857101162223E-2</c:v>
                </c:pt>
                <c:pt idx="109">
                  <c:v>-8.0003998899115889E-3</c:v>
                </c:pt>
                <c:pt idx="110">
                  <c:v>-7.4939406908545239E-2</c:v>
                </c:pt>
                <c:pt idx="111">
                  <c:v>-5.6996901599903296E-2</c:v>
                </c:pt>
                <c:pt idx="112">
                  <c:v>-9.3498269261594769E-2</c:v>
                </c:pt>
                <c:pt idx="113">
                  <c:v>-5.5344460725385188E-2</c:v>
                </c:pt>
                <c:pt idx="114">
                  <c:v>-6.7084912550639642E-2</c:v>
                </c:pt>
                <c:pt idx="115">
                  <c:v>-0.10091213187847736</c:v>
                </c:pt>
                <c:pt idx="116">
                  <c:v>-0.1379821488752824</c:v>
                </c:pt>
                <c:pt idx="117">
                  <c:v>-0.1502177309987392</c:v>
                </c:pt>
                <c:pt idx="118">
                  <c:v>-0.12125705114392982</c:v>
                </c:pt>
                <c:pt idx="119">
                  <c:v>-0.16987748612427048</c:v>
                </c:pt>
                <c:pt idx="120">
                  <c:v>-0.19049993789732014</c:v>
                </c:pt>
                <c:pt idx="121">
                  <c:v>-0.19075745076426112</c:v>
                </c:pt>
                <c:pt idx="122">
                  <c:v>-0.17107252965618996</c:v>
                </c:pt>
                <c:pt idx="123">
                  <c:v>-0.13651025180847426</c:v>
                </c:pt>
                <c:pt idx="124">
                  <c:v>-0.16532153570847435</c:v>
                </c:pt>
                <c:pt idx="125">
                  <c:v>-0.17762852078923788</c:v>
                </c:pt>
                <c:pt idx="126">
                  <c:v>-0.17426675321943441</c:v>
                </c:pt>
                <c:pt idx="127">
                  <c:v>-0.19670683321943441</c:v>
                </c:pt>
                <c:pt idx="128">
                  <c:v>-0.23257676948992614</c:v>
                </c:pt>
                <c:pt idx="129">
                  <c:v>-0.20599287897511598</c:v>
                </c:pt>
                <c:pt idx="130">
                  <c:v>-0.19085136396401886</c:v>
                </c:pt>
                <c:pt idx="131">
                  <c:v>-0.18295109034985527</c:v>
                </c:pt>
                <c:pt idx="132">
                  <c:v>-0.18805789915135343</c:v>
                </c:pt>
                <c:pt idx="133">
                  <c:v>-0.17992236322902327</c:v>
                </c:pt>
                <c:pt idx="134">
                  <c:v>-0.17563092251628024</c:v>
                </c:pt>
                <c:pt idx="135">
                  <c:v>-0.19916078137195911</c:v>
                </c:pt>
                <c:pt idx="136">
                  <c:v>-0.22532827512068235</c:v>
                </c:pt>
                <c:pt idx="137">
                  <c:v>-0.21273026438054404</c:v>
                </c:pt>
                <c:pt idx="138">
                  <c:v>-0.23415736129946299</c:v>
                </c:pt>
                <c:pt idx="139">
                  <c:v>-0.26539801101758387</c:v>
                </c:pt>
                <c:pt idx="140">
                  <c:v>-0.24540244889258381</c:v>
                </c:pt>
                <c:pt idx="141">
                  <c:v>-0.31161031381795695</c:v>
                </c:pt>
                <c:pt idx="142">
                  <c:v>-0.38741731637187304</c:v>
                </c:pt>
                <c:pt idx="143">
                  <c:v>-0.2766938416818861</c:v>
                </c:pt>
                <c:pt idx="144">
                  <c:v>-0.35106265204385734</c:v>
                </c:pt>
                <c:pt idx="145">
                  <c:v>-0.20885243516205904</c:v>
                </c:pt>
                <c:pt idx="146">
                  <c:v>-0.28670088947425404</c:v>
                </c:pt>
                <c:pt idx="147">
                  <c:v>-0.35176803121737316</c:v>
                </c:pt>
                <c:pt idx="148">
                  <c:v>-0.33735549342678722</c:v>
                </c:pt>
                <c:pt idx="149">
                  <c:v>-0.38642072691310664</c:v>
                </c:pt>
                <c:pt idx="150">
                  <c:v>-0.35378518184403457</c:v>
                </c:pt>
                <c:pt idx="151">
                  <c:v>-0.30968712420466771</c:v>
                </c:pt>
                <c:pt idx="152">
                  <c:v>-0.36877544752802333</c:v>
                </c:pt>
                <c:pt idx="153">
                  <c:v>-0.42181959992451457</c:v>
                </c:pt>
                <c:pt idx="154">
                  <c:v>-0.48600645487049088</c:v>
                </c:pt>
                <c:pt idx="155">
                  <c:v>-0.24338566853877286</c:v>
                </c:pt>
                <c:pt idx="156">
                  <c:v>-0.28455209007828303</c:v>
                </c:pt>
                <c:pt idx="157">
                  <c:v>-0.24033947010843126</c:v>
                </c:pt>
                <c:pt idx="158">
                  <c:v>-0.29607328948285438</c:v>
                </c:pt>
                <c:pt idx="159">
                  <c:v>-0.2991169760729574</c:v>
                </c:pt>
                <c:pt idx="160">
                  <c:v>-0.33770318132375859</c:v>
                </c:pt>
                <c:pt idx="161">
                  <c:v>-0.3694130046310331</c:v>
                </c:pt>
                <c:pt idx="162">
                  <c:v>-0.39641881691743919</c:v>
                </c:pt>
                <c:pt idx="163">
                  <c:v>-0.38657117905907179</c:v>
                </c:pt>
                <c:pt idx="164">
                  <c:v>-0.33988874434635835</c:v>
                </c:pt>
                <c:pt idx="165">
                  <c:v>-0.21875698075288297</c:v>
                </c:pt>
                <c:pt idx="166">
                  <c:v>-0.28436905878908991</c:v>
                </c:pt>
                <c:pt idx="167">
                  <c:v>-0.36603089545575662</c:v>
                </c:pt>
                <c:pt idx="168">
                  <c:v>-0.41918906686550328</c:v>
                </c:pt>
                <c:pt idx="169">
                  <c:v>-0.40132182616435369</c:v>
                </c:pt>
                <c:pt idx="170">
                  <c:v>-0.42790595580941865</c:v>
                </c:pt>
                <c:pt idx="171">
                  <c:v>-0.46725781657807552</c:v>
                </c:pt>
                <c:pt idx="172">
                  <c:v>-0.49695727379119031</c:v>
                </c:pt>
                <c:pt idx="173">
                  <c:v>-0.48411103793607224</c:v>
                </c:pt>
                <c:pt idx="174">
                  <c:v>-0.55248870993607224</c:v>
                </c:pt>
                <c:pt idx="175">
                  <c:v>-0.59823565288294733</c:v>
                </c:pt>
                <c:pt idx="176">
                  <c:v>-0.63989013317976706</c:v>
                </c:pt>
                <c:pt idx="177">
                  <c:v>-0.61716181737051179</c:v>
                </c:pt>
                <c:pt idx="178">
                  <c:v>-0.63310866423328338</c:v>
                </c:pt>
                <c:pt idx="179">
                  <c:v>-0.65199647580080666</c:v>
                </c:pt>
                <c:pt idx="180">
                  <c:v>-0.48172015619799585</c:v>
                </c:pt>
                <c:pt idx="181">
                  <c:v>-0.50057295581624783</c:v>
                </c:pt>
                <c:pt idx="182">
                  <c:v>-0.54326149718686179</c:v>
                </c:pt>
                <c:pt idx="183">
                  <c:v>-0.58725823062439997</c:v>
                </c:pt>
                <c:pt idx="184">
                  <c:v>-0.55781122060096255</c:v>
                </c:pt>
                <c:pt idx="185">
                  <c:v>-0.56786861713458747</c:v>
                </c:pt>
                <c:pt idx="186">
                  <c:v>-0.50910357185458743</c:v>
                </c:pt>
                <c:pt idx="187">
                  <c:v>-0.53010858240351111</c:v>
                </c:pt>
                <c:pt idx="188">
                  <c:v>-0.53864609498023897</c:v>
                </c:pt>
                <c:pt idx="189">
                  <c:v>-0.56317580240967235</c:v>
                </c:pt>
                <c:pt idx="190">
                  <c:v>-0.59208774083170967</c:v>
                </c:pt>
                <c:pt idx="191">
                  <c:v>-0.64458208976926246</c:v>
                </c:pt>
                <c:pt idx="192">
                  <c:v>-0.62113776560660983</c:v>
                </c:pt>
                <c:pt idx="193">
                  <c:v>-0.50723944737309823</c:v>
                </c:pt>
                <c:pt idx="194">
                  <c:v>-0.52026693344945396</c:v>
                </c:pt>
                <c:pt idx="195">
                  <c:v>-0.51938398706181765</c:v>
                </c:pt>
                <c:pt idx="196">
                  <c:v>-0.48233497940563891</c:v>
                </c:pt>
                <c:pt idx="197">
                  <c:v>-0.48210748196043662</c:v>
                </c:pt>
                <c:pt idx="198">
                  <c:v>-0.38879753199694989</c:v>
                </c:pt>
                <c:pt idx="199">
                  <c:v>-0.39132642745087948</c:v>
                </c:pt>
                <c:pt idx="200">
                  <c:v>-0.40033975525975235</c:v>
                </c:pt>
                <c:pt idx="201">
                  <c:v>-0.41285080267770902</c:v>
                </c:pt>
                <c:pt idx="202">
                  <c:v>-0.39168625346511066</c:v>
                </c:pt>
                <c:pt idx="203">
                  <c:v>-0.37410784231565758</c:v>
                </c:pt>
                <c:pt idx="204">
                  <c:v>-0.4709292966211851</c:v>
                </c:pt>
                <c:pt idx="205">
                  <c:v>-0.38437457235379507</c:v>
                </c:pt>
                <c:pt idx="206">
                  <c:v>-0.38861207126968239</c:v>
                </c:pt>
                <c:pt idx="207">
                  <c:v>-0.42954189443456803</c:v>
                </c:pt>
                <c:pt idx="208">
                  <c:v>-0.35984626518267093</c:v>
                </c:pt>
                <c:pt idx="209">
                  <c:v>-0.39287366919198541</c:v>
                </c:pt>
                <c:pt idx="210">
                  <c:v>-0.43099960218398548</c:v>
                </c:pt>
                <c:pt idx="211">
                  <c:v>-0.42921090505457371</c:v>
                </c:pt>
                <c:pt idx="212">
                  <c:v>-0.45417142320087001</c:v>
                </c:pt>
                <c:pt idx="213">
                  <c:v>-0.65159596202242054</c:v>
                </c:pt>
                <c:pt idx="214">
                  <c:v>-0.68571223372242052</c:v>
                </c:pt>
                <c:pt idx="215">
                  <c:v>-0.70967830703732249</c:v>
                </c:pt>
                <c:pt idx="216">
                  <c:v>-0.72677942927945449</c:v>
                </c:pt>
                <c:pt idx="217">
                  <c:v>-0.69110185119341316</c:v>
                </c:pt>
                <c:pt idx="218">
                  <c:v>-0.72186490070159259</c:v>
                </c:pt>
                <c:pt idx="219">
                  <c:v>-0.76363161789403455</c:v>
                </c:pt>
                <c:pt idx="220">
                  <c:v>-0.7548518909323092</c:v>
                </c:pt>
                <c:pt idx="221">
                  <c:v>-0.68357024498454533</c:v>
                </c:pt>
                <c:pt idx="222">
                  <c:v>-0.68543740872121206</c:v>
                </c:pt>
                <c:pt idx="223">
                  <c:v>-0.66511432014886662</c:v>
                </c:pt>
                <c:pt idx="224">
                  <c:v>-0.65910345830505801</c:v>
                </c:pt>
                <c:pt idx="225">
                  <c:v>-0.6495413710404504</c:v>
                </c:pt>
                <c:pt idx="226">
                  <c:v>-0.63322285178747817</c:v>
                </c:pt>
                <c:pt idx="227">
                  <c:v>-0.62819676494446741</c:v>
                </c:pt>
                <c:pt idx="228">
                  <c:v>-0.6481497737066203</c:v>
                </c:pt>
                <c:pt idx="229">
                  <c:v>-0.66991417458091562</c:v>
                </c:pt>
                <c:pt idx="230">
                  <c:v>-0.66577073886537363</c:v>
                </c:pt>
                <c:pt idx="231">
                  <c:v>-0.62109245231959964</c:v>
                </c:pt>
                <c:pt idx="232">
                  <c:v>-0.60373346605585909</c:v>
                </c:pt>
                <c:pt idx="233">
                  <c:v>-0.62404187875459605</c:v>
                </c:pt>
                <c:pt idx="234">
                  <c:v>-0.63985856542510455</c:v>
                </c:pt>
                <c:pt idx="235">
                  <c:v>-0.58551841750643163</c:v>
                </c:pt>
                <c:pt idx="236">
                  <c:v>-0.63961183039155756</c:v>
                </c:pt>
                <c:pt idx="237">
                  <c:v>-0.61771375737376866</c:v>
                </c:pt>
                <c:pt idx="238">
                  <c:v>-0.60056490589251887</c:v>
                </c:pt>
                <c:pt idx="239">
                  <c:v>-0.5985957411432159</c:v>
                </c:pt>
                <c:pt idx="240">
                  <c:v>-0.66013470016523412</c:v>
                </c:pt>
                <c:pt idx="241">
                  <c:v>-0.65326280822370419</c:v>
                </c:pt>
                <c:pt idx="242">
                  <c:v>-0.67174097755464579</c:v>
                </c:pt>
                <c:pt idx="243">
                  <c:v>-0.68067076876258814</c:v>
                </c:pt>
                <c:pt idx="244">
                  <c:v>-0.67776460181139631</c:v>
                </c:pt>
                <c:pt idx="245">
                  <c:v>-0.65627920990794975</c:v>
                </c:pt>
                <c:pt idx="246">
                  <c:v>-0.66077179359885874</c:v>
                </c:pt>
                <c:pt idx="247">
                  <c:v>-0.75198329483753279</c:v>
                </c:pt>
                <c:pt idx="248">
                  <c:v>-0.79759058030795527</c:v>
                </c:pt>
                <c:pt idx="249">
                  <c:v>-0.85204382660792455</c:v>
                </c:pt>
                <c:pt idx="250">
                  <c:v>-0.56284513731924513</c:v>
                </c:pt>
                <c:pt idx="251">
                  <c:v>-0.51758967885674523</c:v>
                </c:pt>
                <c:pt idx="252">
                  <c:v>-0.40567993310039696</c:v>
                </c:pt>
                <c:pt idx="253">
                  <c:v>-0.53742381046755039</c:v>
                </c:pt>
                <c:pt idx="254">
                  <c:v>-0.4578371307445806</c:v>
                </c:pt>
                <c:pt idx="255">
                  <c:v>-0.45639316006785091</c:v>
                </c:pt>
                <c:pt idx="256">
                  <c:v>-0.46568470471139511</c:v>
                </c:pt>
                <c:pt idx="257">
                  <c:v>-0.43626692114110277</c:v>
                </c:pt>
                <c:pt idx="258">
                  <c:v>-0.39033717522721251</c:v>
                </c:pt>
                <c:pt idx="259">
                  <c:v>-0.40277748130713681</c:v>
                </c:pt>
                <c:pt idx="260">
                  <c:v>-0.45577313755853344</c:v>
                </c:pt>
                <c:pt idx="261">
                  <c:v>-0.36551793168085078</c:v>
                </c:pt>
                <c:pt idx="262">
                  <c:v>-0.40687721552726114</c:v>
                </c:pt>
                <c:pt idx="263">
                  <c:v>-0.32202248950466056</c:v>
                </c:pt>
                <c:pt idx="264">
                  <c:v>-0.24681861181994647</c:v>
                </c:pt>
                <c:pt idx="265">
                  <c:v>0.27533990334724245</c:v>
                </c:pt>
                <c:pt idx="266">
                  <c:v>0.22464604547448971</c:v>
                </c:pt>
                <c:pt idx="267">
                  <c:v>0.24507014146303427</c:v>
                </c:pt>
                <c:pt idx="268">
                  <c:v>0.1646685894595285</c:v>
                </c:pt>
                <c:pt idx="269">
                  <c:v>0.2608215101288609</c:v>
                </c:pt>
                <c:pt idx="270">
                  <c:v>0.32265991895346613</c:v>
                </c:pt>
                <c:pt idx="271">
                  <c:v>0.29426677217397179</c:v>
                </c:pt>
                <c:pt idx="272">
                  <c:v>0.21249823362269643</c:v>
                </c:pt>
                <c:pt idx="273">
                  <c:v>0.1336818778424351</c:v>
                </c:pt>
                <c:pt idx="274">
                  <c:v>0.16516278211077048</c:v>
                </c:pt>
                <c:pt idx="275">
                  <c:v>0.19866365682839587</c:v>
                </c:pt>
                <c:pt idx="276">
                  <c:v>0.11935734774009761</c:v>
                </c:pt>
                <c:pt idx="277">
                  <c:v>3.0457084857804479E-2</c:v>
                </c:pt>
                <c:pt idx="278">
                  <c:v>3.896972655810433E-2</c:v>
                </c:pt>
                <c:pt idx="279">
                  <c:v>0.15942743227053838</c:v>
                </c:pt>
                <c:pt idx="280">
                  <c:v>-6.4911771702022517E-2</c:v>
                </c:pt>
                <c:pt idx="281">
                  <c:v>2.0286980750892181E-2</c:v>
                </c:pt>
                <c:pt idx="282">
                  <c:v>0.11890025578919254</c:v>
                </c:pt>
                <c:pt idx="283">
                  <c:v>3.7018215621423718E-2</c:v>
                </c:pt>
                <c:pt idx="284">
                  <c:v>9.886323047602423E-2</c:v>
                </c:pt>
                <c:pt idx="285">
                  <c:v>8.5765039899843909E-2</c:v>
                </c:pt>
                <c:pt idx="286">
                  <c:v>0.21444355768084972</c:v>
                </c:pt>
                <c:pt idx="287">
                  <c:v>0.13057500223697213</c:v>
                </c:pt>
                <c:pt idx="288">
                  <c:v>0.13389811935918428</c:v>
                </c:pt>
                <c:pt idx="289">
                  <c:v>0.15658644513131634</c:v>
                </c:pt>
                <c:pt idx="290">
                  <c:v>0.13845422049317435</c:v>
                </c:pt>
                <c:pt idx="291">
                  <c:v>0.15885749892635451</c:v>
                </c:pt>
                <c:pt idx="292">
                  <c:v>0.15267683668570192</c:v>
                </c:pt>
                <c:pt idx="293">
                  <c:v>0.15474761805967374</c:v>
                </c:pt>
                <c:pt idx="294">
                  <c:v>0.22012914224881036</c:v>
                </c:pt>
                <c:pt idx="295">
                  <c:v>0.11344429901404829</c:v>
                </c:pt>
                <c:pt idx="296">
                  <c:v>7.5190217659762582E-2</c:v>
                </c:pt>
                <c:pt idx="297">
                  <c:v>0.11745494210391751</c:v>
                </c:pt>
                <c:pt idx="298">
                  <c:v>0.27595159893093851</c:v>
                </c:pt>
                <c:pt idx="299">
                  <c:v>0.22523380444725805</c:v>
                </c:pt>
                <c:pt idx="300">
                  <c:v>0.38807660397449001</c:v>
                </c:pt>
                <c:pt idx="301">
                  <c:v>0.7239979601253721</c:v>
                </c:pt>
                <c:pt idx="302">
                  <c:v>1.1940679573217294</c:v>
                </c:pt>
                <c:pt idx="303">
                  <c:v>1.2969223048119811</c:v>
                </c:pt>
                <c:pt idx="304">
                  <c:v>1.3211321125837079</c:v>
                </c:pt>
                <c:pt idx="305">
                  <c:v>1.5425240219672445</c:v>
                </c:pt>
                <c:pt idx="306">
                  <c:v>3.115539169906711</c:v>
                </c:pt>
                <c:pt idx="307">
                  <c:v>1.4564530499807549</c:v>
                </c:pt>
                <c:pt idx="308">
                  <c:v>1.1405325729195399</c:v>
                </c:pt>
                <c:pt idx="309">
                  <c:v>1.48787709533358</c:v>
                </c:pt>
                <c:pt idx="310">
                  <c:v>2.1655822181852771</c:v>
                </c:pt>
                <c:pt idx="311">
                  <c:v>1.1861419107196318</c:v>
                </c:pt>
                <c:pt idx="312">
                  <c:v>1.3301229106997454</c:v>
                </c:pt>
                <c:pt idx="313">
                  <c:v>1.2551451340834074</c:v>
                </c:pt>
                <c:pt idx="314">
                  <c:v>1.36528259538514</c:v>
                </c:pt>
                <c:pt idx="315">
                  <c:v>1.4338810165270328</c:v>
                </c:pt>
                <c:pt idx="316">
                  <c:v>1.4335640650502706</c:v>
                </c:pt>
                <c:pt idx="317">
                  <c:v>1.3641050324835331</c:v>
                </c:pt>
                <c:pt idx="318">
                  <c:v>1.3848785495835332</c:v>
                </c:pt>
                <c:pt idx="319">
                  <c:v>1.4939128822815047</c:v>
                </c:pt>
                <c:pt idx="320">
                  <c:v>1.4235911045971255</c:v>
                </c:pt>
                <c:pt idx="321">
                  <c:v>1.4152800083780031</c:v>
                </c:pt>
                <c:pt idx="322">
                  <c:v>1.3694022829828971</c:v>
                </c:pt>
                <c:pt idx="323">
                  <c:v>1.3391187708405616</c:v>
                </c:pt>
                <c:pt idx="324">
                  <c:v>1.3506383884224824</c:v>
                </c:pt>
                <c:pt idx="325">
                  <c:v>1.2736389604324523</c:v>
                </c:pt>
                <c:pt idx="326">
                  <c:v>1.2478540448805653</c:v>
                </c:pt>
                <c:pt idx="327">
                  <c:v>1.2230872288287666</c:v>
                </c:pt>
                <c:pt idx="328">
                  <c:v>1.192596085640987</c:v>
                </c:pt>
                <c:pt idx="329">
                  <c:v>1.1694254080294706</c:v>
                </c:pt>
                <c:pt idx="330">
                  <c:v>1.161185722819057</c:v>
                </c:pt>
                <c:pt idx="331">
                  <c:v>1.1245140339551005</c:v>
                </c:pt>
                <c:pt idx="332">
                  <c:v>1.1093569835999628</c:v>
                </c:pt>
                <c:pt idx="333">
                  <c:v>1.0326802015817158</c:v>
                </c:pt>
                <c:pt idx="334">
                  <c:v>1.1367063440378562</c:v>
                </c:pt>
                <c:pt idx="335">
                  <c:v>1.1177070619831393</c:v>
                </c:pt>
                <c:pt idx="336">
                  <c:v>1.1038539592539431</c:v>
                </c:pt>
                <c:pt idx="337">
                  <c:v>1.171180328804303</c:v>
                </c:pt>
                <c:pt idx="338">
                  <c:v>1.171486701545575</c:v>
                </c:pt>
                <c:pt idx="339">
                  <c:v>1.2297886031861989</c:v>
                </c:pt>
                <c:pt idx="340">
                  <c:v>1.2320897937296675</c:v>
                </c:pt>
                <c:pt idx="341">
                  <c:v>1.2337432851439341</c:v>
                </c:pt>
                <c:pt idx="342">
                  <c:v>1.2869691797797504</c:v>
                </c:pt>
                <c:pt idx="343">
                  <c:v>1.2425696133884119</c:v>
                </c:pt>
                <c:pt idx="344">
                  <c:v>1.2155780891513692</c:v>
                </c:pt>
                <c:pt idx="345">
                  <c:v>1.1853876475616494</c:v>
                </c:pt>
                <c:pt idx="346">
                  <c:v>1.1940284661412048</c:v>
                </c:pt>
                <c:pt idx="347">
                  <c:v>1.1588313253253764</c:v>
                </c:pt>
                <c:pt idx="348">
                  <c:v>0.93134858428289835</c:v>
                </c:pt>
                <c:pt idx="349">
                  <c:v>0.91673757100227304</c:v>
                </c:pt>
                <c:pt idx="350">
                  <c:v>0.85102391573197622</c:v>
                </c:pt>
                <c:pt idx="351">
                  <c:v>0.79746168473197621</c:v>
                </c:pt>
                <c:pt idx="352">
                  <c:v>0.77973689678154157</c:v>
                </c:pt>
                <c:pt idx="353">
                  <c:v>0.62220443485276944</c:v>
                </c:pt>
                <c:pt idx="354">
                  <c:v>0.62068961362342956</c:v>
                </c:pt>
                <c:pt idx="355">
                  <c:v>0.5150499835107577</c:v>
                </c:pt>
                <c:pt idx="356">
                  <c:v>0.56676942715881096</c:v>
                </c:pt>
                <c:pt idx="357">
                  <c:v>0.43675567476210769</c:v>
                </c:pt>
                <c:pt idx="358">
                  <c:v>0.40494066760009817</c:v>
                </c:pt>
                <c:pt idx="359">
                  <c:v>0.39481825886513311</c:v>
                </c:pt>
                <c:pt idx="360">
                  <c:v>0.379624272765133</c:v>
                </c:pt>
                <c:pt idx="361">
                  <c:v>0.32240472155004679</c:v>
                </c:pt>
                <c:pt idx="362">
                  <c:v>0.38868290034627317</c:v>
                </c:pt>
                <c:pt idx="363">
                  <c:v>0.39416463958170628</c:v>
                </c:pt>
                <c:pt idx="364">
                  <c:v>0.28736192412607126</c:v>
                </c:pt>
                <c:pt idx="365">
                  <c:v>0.26514137864865189</c:v>
                </c:pt>
                <c:pt idx="366">
                  <c:v>0.31872804720319731</c:v>
                </c:pt>
                <c:pt idx="367">
                  <c:v>0.20103053435411983</c:v>
                </c:pt>
                <c:pt idx="368">
                  <c:v>0.2397167534679028</c:v>
                </c:pt>
                <c:pt idx="369">
                  <c:v>0.17294855640851894</c:v>
                </c:pt>
                <c:pt idx="370">
                  <c:v>0.16403007326831284</c:v>
                </c:pt>
                <c:pt idx="371">
                  <c:v>0.10408763044308289</c:v>
                </c:pt>
                <c:pt idx="372">
                  <c:v>0.18303424410603297</c:v>
                </c:pt>
                <c:pt idx="373">
                  <c:v>0.16075621732509665</c:v>
                </c:pt>
                <c:pt idx="374">
                  <c:v>0.24344520324114607</c:v>
                </c:pt>
                <c:pt idx="375">
                  <c:v>0.24344520324114607</c:v>
                </c:pt>
                <c:pt idx="376">
                  <c:v>0.16854902487710258</c:v>
                </c:pt>
                <c:pt idx="377">
                  <c:v>0.18243796039710253</c:v>
                </c:pt>
                <c:pt idx="378">
                  <c:v>0.1650159805678342</c:v>
                </c:pt>
                <c:pt idx="379">
                  <c:v>0.11513089683649089</c:v>
                </c:pt>
                <c:pt idx="380">
                  <c:v>7.0822570639307733E-2</c:v>
                </c:pt>
                <c:pt idx="381">
                  <c:v>7.8306550140003678E-2</c:v>
                </c:pt>
                <c:pt idx="382">
                  <c:v>0.11739985144226846</c:v>
                </c:pt>
                <c:pt idx="383">
                  <c:v>0.19373691070508894</c:v>
                </c:pt>
                <c:pt idx="384">
                  <c:v>0.18951154981099311</c:v>
                </c:pt>
                <c:pt idx="385">
                  <c:v>0.14509929080053979</c:v>
                </c:pt>
                <c:pt idx="386">
                  <c:v>0.1572552886732054</c:v>
                </c:pt>
                <c:pt idx="387">
                  <c:v>7.8671796649767894E-2</c:v>
                </c:pt>
                <c:pt idx="388">
                  <c:v>3.9644808018789529E-2</c:v>
                </c:pt>
                <c:pt idx="389">
                  <c:v>5.4919398756310092E-2</c:v>
                </c:pt>
                <c:pt idx="390">
                  <c:v>6.3519630738210542E-2</c:v>
                </c:pt>
                <c:pt idx="391">
                  <c:v>5.6802983365342272E-2</c:v>
                </c:pt>
                <c:pt idx="392">
                  <c:v>5.8034354980396066E-2</c:v>
                </c:pt>
                <c:pt idx="393">
                  <c:v>3.1024441147267313E-2</c:v>
                </c:pt>
                <c:pt idx="394">
                  <c:v>3.5042538280988272E-2</c:v>
                </c:pt>
                <c:pt idx="395">
                  <c:v>3.5536575835178233E-2</c:v>
                </c:pt>
                <c:pt idx="396">
                  <c:v>2.7678032783427231E-2</c:v>
                </c:pt>
                <c:pt idx="397">
                  <c:v>3.7936108208263854E-2</c:v>
                </c:pt>
                <c:pt idx="398">
                  <c:v>3.5902967230138826E-2</c:v>
                </c:pt>
                <c:pt idx="399">
                  <c:v>3.8783474760907995E-2</c:v>
                </c:pt>
                <c:pt idx="400">
                  <c:v>4.4990514786498806E-3</c:v>
                </c:pt>
                <c:pt idx="401">
                  <c:v>2.2232820258340814E-2</c:v>
                </c:pt>
                <c:pt idx="402">
                  <c:v>1.7193696328817006E-2</c:v>
                </c:pt>
                <c:pt idx="403">
                  <c:v>3.0289523553116107E-2</c:v>
                </c:pt>
                <c:pt idx="404">
                  <c:v>4.3047552017204491E-2</c:v>
                </c:pt>
                <c:pt idx="405">
                  <c:v>5.0502012909975573E-2</c:v>
                </c:pt>
                <c:pt idx="406">
                  <c:v>3.0688220677543145E-2</c:v>
                </c:pt>
                <c:pt idx="407">
                  <c:v>6.2433436401528347E-2</c:v>
                </c:pt>
                <c:pt idx="408">
                  <c:v>5.8477925037653845E-2</c:v>
                </c:pt>
                <c:pt idx="409">
                  <c:v>3.8881170537653852E-2</c:v>
                </c:pt>
                <c:pt idx="410">
                  <c:v>4.0025266448764932E-2</c:v>
                </c:pt>
                <c:pt idx="411">
                  <c:v>3.5761545678394582E-2</c:v>
                </c:pt>
                <c:pt idx="412">
                  <c:v>3.0953428815431568E-2</c:v>
                </c:pt>
                <c:pt idx="413">
                  <c:v>4.1021633458582223E-2</c:v>
                </c:pt>
                <c:pt idx="414">
                  <c:v>3.7723211049058361E-2</c:v>
                </c:pt>
                <c:pt idx="415">
                  <c:v>2.9756186326628443E-2</c:v>
                </c:pt>
                <c:pt idx="416">
                  <c:v>5.794823171124374E-2</c:v>
                </c:pt>
                <c:pt idx="417">
                  <c:v>5.614768939422244E-2</c:v>
                </c:pt>
                <c:pt idx="418">
                  <c:v>6.0763998571641789E-2</c:v>
                </c:pt>
                <c:pt idx="419">
                  <c:v>3.902590069862593E-2</c:v>
                </c:pt>
                <c:pt idx="420">
                  <c:v>6.9234525449265741E-2</c:v>
                </c:pt>
                <c:pt idx="421">
                  <c:v>8.4818646414483112E-2</c:v>
                </c:pt>
                <c:pt idx="422">
                  <c:v>5.2755517481149795E-2</c:v>
                </c:pt>
                <c:pt idx="423">
                  <c:v>5.9050941306149865E-2</c:v>
                </c:pt>
                <c:pt idx="424">
                  <c:v>3.6789355247784206E-2</c:v>
                </c:pt>
                <c:pt idx="425">
                  <c:v>3.3088967349423633E-2</c:v>
                </c:pt>
                <c:pt idx="426">
                  <c:v>2.1352456322991906E-2</c:v>
                </c:pt>
                <c:pt idx="427">
                  <c:v>2.6471160734530388E-2</c:v>
                </c:pt>
                <c:pt idx="428">
                  <c:v>8.8750926777323602E-2</c:v>
                </c:pt>
                <c:pt idx="429">
                  <c:v>0.16205629346217204</c:v>
                </c:pt>
                <c:pt idx="430">
                  <c:v>8.7049901636522209E-2</c:v>
                </c:pt>
                <c:pt idx="431">
                  <c:v>4.8881335067221365E-2</c:v>
                </c:pt>
                <c:pt idx="432">
                  <c:v>4.957404485391579E-2</c:v>
                </c:pt>
                <c:pt idx="433">
                  <c:v>2.2331299157135457E-3</c:v>
                </c:pt>
                <c:pt idx="434">
                  <c:v>1.2899090693721002E-3</c:v>
                </c:pt>
                <c:pt idx="435">
                  <c:v>2.0429935030353836E-3</c:v>
                </c:pt>
                <c:pt idx="436">
                  <c:v>9.5502717471234871E-3</c:v>
                </c:pt>
                <c:pt idx="437">
                  <c:v>-2.8563066547214267E-3</c:v>
                </c:pt>
                <c:pt idx="438">
                  <c:v>1.0928215640603413E-3</c:v>
                </c:pt>
                <c:pt idx="439">
                  <c:v>1.0538679505647644E-2</c:v>
                </c:pt>
                <c:pt idx="440">
                  <c:v>7.216115732885023E-3</c:v>
                </c:pt>
                <c:pt idx="441">
                  <c:v>-1.59190181004697E-3</c:v>
                </c:pt>
                <c:pt idx="442">
                  <c:v>1.4090727742422185E-2</c:v>
                </c:pt>
                <c:pt idx="443">
                  <c:v>7.3256648997040569E-2</c:v>
                </c:pt>
                <c:pt idx="444">
                  <c:v>5.6630218112055618E-2</c:v>
                </c:pt>
                <c:pt idx="445">
                  <c:v>4.9980383815888388E-2</c:v>
                </c:pt>
                <c:pt idx="446">
                  <c:v>2.8331198331433712E-2</c:v>
                </c:pt>
                <c:pt idx="447">
                  <c:v>7.4044517609694549E-2</c:v>
                </c:pt>
                <c:pt idx="448">
                  <c:v>2.0691447054957721E-2</c:v>
                </c:pt>
                <c:pt idx="449">
                  <c:v>6.94075705598867E-3</c:v>
                </c:pt>
                <c:pt idx="450">
                  <c:v>1.0159185099670969E-2</c:v>
                </c:pt>
                <c:pt idx="451">
                  <c:v>1.778736908077062E-2</c:v>
                </c:pt>
                <c:pt idx="452">
                  <c:v>3.5833312560203223E-2</c:v>
                </c:pt>
                <c:pt idx="453">
                  <c:v>2.8242438682192741E-2</c:v>
                </c:pt>
                <c:pt idx="454">
                  <c:v>4.0391453182192699E-2</c:v>
                </c:pt>
                <c:pt idx="455">
                  <c:v>5.5545175979692669E-2</c:v>
                </c:pt>
                <c:pt idx="456">
                  <c:v>4.3146849157470406E-2</c:v>
                </c:pt>
                <c:pt idx="457">
                  <c:v>5.908354326831948E-2</c:v>
                </c:pt>
                <c:pt idx="458">
                  <c:v>6.4687707493504693E-2</c:v>
                </c:pt>
                <c:pt idx="459">
                  <c:v>8.9911986419381126E-2</c:v>
                </c:pt>
                <c:pt idx="460">
                  <c:v>4.8798190454191322E-2</c:v>
                </c:pt>
                <c:pt idx="461">
                  <c:v>3.4550133113985096E-2</c:v>
                </c:pt>
                <c:pt idx="462">
                  <c:v>3.4183723337514502E-2</c:v>
                </c:pt>
                <c:pt idx="463">
                  <c:v>3.1582349858879505E-2</c:v>
                </c:pt>
                <c:pt idx="464">
                  <c:v>2.9611172565448752E-2</c:v>
                </c:pt>
                <c:pt idx="465">
                  <c:v>5.9395177714166754E-2</c:v>
                </c:pt>
                <c:pt idx="466">
                  <c:v>9.3663292147562596E-2</c:v>
                </c:pt>
                <c:pt idx="467">
                  <c:v>7.8164900097202797E-2</c:v>
                </c:pt>
                <c:pt idx="468">
                  <c:v>6.4739744159387741E-2</c:v>
                </c:pt>
                <c:pt idx="469">
                  <c:v>0.11756386240151048</c:v>
                </c:pt>
                <c:pt idx="470">
                  <c:v>0.19922896881551352</c:v>
                </c:pt>
                <c:pt idx="471">
                  <c:v>0.26551704411551358</c:v>
                </c:pt>
                <c:pt idx="472">
                  <c:v>0.31263474280796644</c:v>
                </c:pt>
                <c:pt idx="473">
                  <c:v>0.34386813216181261</c:v>
                </c:pt>
                <c:pt idx="474">
                  <c:v>0.38934454351416714</c:v>
                </c:pt>
                <c:pt idx="475">
                  <c:v>0.29041645172296604</c:v>
                </c:pt>
                <c:pt idx="476">
                  <c:v>0.26580095580963276</c:v>
                </c:pt>
                <c:pt idx="477">
                  <c:v>0.23167089546505801</c:v>
                </c:pt>
                <c:pt idx="478">
                  <c:v>0.19062767164062733</c:v>
                </c:pt>
                <c:pt idx="479">
                  <c:v>0.22264936955739759</c:v>
                </c:pt>
                <c:pt idx="480">
                  <c:v>0.18647986158269605</c:v>
                </c:pt>
                <c:pt idx="481">
                  <c:v>0.16218093087373051</c:v>
                </c:pt>
                <c:pt idx="482">
                  <c:v>0.17943176588677401</c:v>
                </c:pt>
                <c:pt idx="483">
                  <c:v>0.17324260502929453</c:v>
                </c:pt>
                <c:pt idx="484">
                  <c:v>0.19056598209658826</c:v>
                </c:pt>
                <c:pt idx="485">
                  <c:v>0.19228828057680605</c:v>
                </c:pt>
                <c:pt idx="486">
                  <c:v>0.10640388032858206</c:v>
                </c:pt>
                <c:pt idx="487">
                  <c:v>7.0179058399386096E-2</c:v>
                </c:pt>
                <c:pt idx="488">
                  <c:v>6.5484618197130487E-2</c:v>
                </c:pt>
                <c:pt idx="489">
                  <c:v>2.5649480917570099E-2</c:v>
                </c:pt>
                <c:pt idx="490">
                  <c:v>8.0586673952738903E-3</c:v>
                </c:pt>
                <c:pt idx="491">
                  <c:v>-1.4483066277107036E-2</c:v>
                </c:pt>
                <c:pt idx="492">
                  <c:v>1.0027348137647087E-2</c:v>
                </c:pt>
                <c:pt idx="493">
                  <c:v>2.8066588934091714E-3</c:v>
                </c:pt>
                <c:pt idx="494">
                  <c:v>2.1793882682612252E-2</c:v>
                </c:pt>
                <c:pt idx="495">
                  <c:v>2.7925064736442465E-2</c:v>
                </c:pt>
                <c:pt idx="496">
                  <c:v>1.4441403699572409E-2</c:v>
                </c:pt>
                <c:pt idx="497">
                  <c:v>2.2676925552986074E-2</c:v>
                </c:pt>
                <c:pt idx="498">
                  <c:v>3.0460378664253669E-2</c:v>
                </c:pt>
                <c:pt idx="499">
                  <c:v>2.2698313639675352E-2</c:v>
                </c:pt>
                <c:pt idx="500">
                  <c:v>4.9398185681535811E-2</c:v>
                </c:pt>
                <c:pt idx="501">
                  <c:v>5.7320104873535838E-2</c:v>
                </c:pt>
                <c:pt idx="502">
                  <c:v>7.1821220006734202E-2</c:v>
                </c:pt>
                <c:pt idx="503">
                  <c:v>6.3995451084700353E-2</c:v>
                </c:pt>
                <c:pt idx="504">
                  <c:v>7.2583341717258498E-2</c:v>
                </c:pt>
                <c:pt idx="505">
                  <c:v>6.2121355423981159E-2</c:v>
                </c:pt>
                <c:pt idx="506">
                  <c:v>5.6866567923981155E-2</c:v>
                </c:pt>
                <c:pt idx="507">
                  <c:v>6.8327557743058112E-2</c:v>
                </c:pt>
                <c:pt idx="508">
                  <c:v>7.1092402849712619E-2</c:v>
                </c:pt>
                <c:pt idx="509">
                  <c:v>5.6908775837919479E-2</c:v>
                </c:pt>
                <c:pt idx="510">
                  <c:v>6.82521720661282E-2</c:v>
                </c:pt>
                <c:pt idx="511">
                  <c:v>-5.6226606860393567E-2</c:v>
                </c:pt>
                <c:pt idx="512">
                  <c:v>-2.4557514822518545E-2</c:v>
                </c:pt>
                <c:pt idx="513">
                  <c:v>-1.7913464931795509E-2</c:v>
                </c:pt>
                <c:pt idx="514">
                  <c:v>1.0584179923211904E-2</c:v>
                </c:pt>
                <c:pt idx="515">
                  <c:v>4.4041315534211103E-2</c:v>
                </c:pt>
                <c:pt idx="516">
                  <c:v>7.4894632305263761E-2</c:v>
                </c:pt>
                <c:pt idx="517">
                  <c:v>6.3780640459681112E-2</c:v>
                </c:pt>
                <c:pt idx="518">
                  <c:v>-4.271183126234817E-2</c:v>
                </c:pt>
                <c:pt idx="519">
                  <c:v>2.2019508633768319E-2</c:v>
                </c:pt>
                <c:pt idx="520">
                  <c:v>-4.2221745408114096E-2</c:v>
                </c:pt>
                <c:pt idx="521">
                  <c:v>-2.6792667037204971E-2</c:v>
                </c:pt>
                <c:pt idx="522">
                  <c:v>4.8861441354284427E-2</c:v>
                </c:pt>
                <c:pt idx="523">
                  <c:v>3.6395129612734466E-2</c:v>
                </c:pt>
                <c:pt idx="524">
                  <c:v>3.1920290982408658E-2</c:v>
                </c:pt>
                <c:pt idx="525">
                  <c:v>3.8692220521175165E-2</c:v>
                </c:pt>
                <c:pt idx="526">
                  <c:v>3.2721331809494242E-2</c:v>
                </c:pt>
                <c:pt idx="527">
                  <c:v>4.183013033739396E-2</c:v>
                </c:pt>
                <c:pt idx="528">
                  <c:v>4.1907740799893997E-2</c:v>
                </c:pt>
                <c:pt idx="529">
                  <c:v>5.1659676478355544E-2</c:v>
                </c:pt>
                <c:pt idx="530">
                  <c:v>3.1838451878355545E-2</c:v>
                </c:pt>
                <c:pt idx="531">
                  <c:v>4.4356781504355548E-2</c:v>
                </c:pt>
                <c:pt idx="532">
                  <c:v>2.308240693666324E-2</c:v>
                </c:pt>
                <c:pt idx="533">
                  <c:v>3.8583525239098984E-2</c:v>
                </c:pt>
                <c:pt idx="534">
                  <c:v>2.9209572985044945E-2</c:v>
                </c:pt>
                <c:pt idx="535">
                  <c:v>4.1924309977676509E-2</c:v>
                </c:pt>
                <c:pt idx="536">
                  <c:v>2.9481071547740201E-2</c:v>
                </c:pt>
                <c:pt idx="537">
                  <c:v>2.1313814680093135E-2</c:v>
                </c:pt>
                <c:pt idx="538">
                  <c:v>1.246430574786167E-2</c:v>
                </c:pt>
                <c:pt idx="539">
                  <c:v>1.1940255289722129E-2</c:v>
                </c:pt>
                <c:pt idx="540">
                  <c:v>1.3100562997039213E-2</c:v>
                </c:pt>
                <c:pt idx="541">
                  <c:v>7.1287197770392241E-3</c:v>
                </c:pt>
                <c:pt idx="542">
                  <c:v>7.1695210998963619E-3</c:v>
                </c:pt>
                <c:pt idx="543">
                  <c:v>1.1328836990462421E-2</c:v>
                </c:pt>
                <c:pt idx="544">
                  <c:v>8.6884309048509186E-3</c:v>
                </c:pt>
                <c:pt idx="545">
                  <c:v>2.2652705336970664E-3</c:v>
                </c:pt>
                <c:pt idx="546">
                  <c:v>9.6088933215860122E-4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F0-48FA-BA66-0B4BC50AC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782160"/>
        <c:axId val="261780912"/>
      </c:lineChart>
      <c:dateAx>
        <c:axId val="261782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780912"/>
        <c:crosses val="autoZero"/>
        <c:auto val="1"/>
        <c:lblOffset val="100"/>
        <c:baseTimeUnit val="days"/>
      </c:dateAx>
      <c:valAx>
        <c:axId val="26178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78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1B95B7-D2F8-47F6-8EE3-D05E3437DEF3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C4E6CB-8A89-4A42-85E8-EBDCFB5C01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3.8330000000000002</v>
      </c>
      <c r="D2" s="4">
        <f>MIN(D3:D1912)</f>
        <v>0.15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1.0705</v>
      </c>
      <c r="C5">
        <v>1.0932999999999999</v>
      </c>
      <c r="D5">
        <v>1.0427</v>
      </c>
      <c r="E5">
        <v>1.0459000000000001</v>
      </c>
      <c r="F5">
        <v>261717</v>
      </c>
      <c r="G5">
        <v>1.0459000000000001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-0.87351778656126111</v>
      </c>
      <c r="Q5">
        <f t="shared" ref="Q5" si="1">F5*P5</f>
        <v>-228614.45454545357</v>
      </c>
      <c r="R5">
        <f t="shared" ref="R5" si="2">R6+Q5</f>
        <v>-183098373.77094978</v>
      </c>
      <c r="S5">
        <f t="shared" ref="S5" si="3">R5/100000</f>
        <v>-1830.9837377094977</v>
      </c>
      <c r="T5">
        <f t="shared" ref="T5" si="4">S5/1000</f>
        <v>-1.8309837377094977</v>
      </c>
    </row>
    <row r="6" spans="1:20" x14ac:dyDescent="0.25">
      <c r="A6" s="5">
        <v>44587</v>
      </c>
      <c r="B6">
        <v>1.0139</v>
      </c>
      <c r="C6">
        <v>1.1474</v>
      </c>
      <c r="D6">
        <v>0.99970000000000003</v>
      </c>
      <c r="E6">
        <v>1.071</v>
      </c>
      <c r="F6">
        <v>4384540</v>
      </c>
      <c r="G6">
        <v>1.071</v>
      </c>
      <c r="L6" t="s">
        <v>8</v>
      </c>
      <c r="M6" t="s">
        <v>8</v>
      </c>
      <c r="N6" t="s">
        <v>7</v>
      </c>
      <c r="P6">
        <f t="shared" ref="P6" si="5">IF(C6=D6,0,((E6-D6)-(C6-E6))/(C6-D6))</f>
        <v>-3.4529451591063687E-2</v>
      </c>
      <c r="Q6">
        <f t="shared" ref="Q6" si="6">F6*P6</f>
        <v>-151395.76167908238</v>
      </c>
      <c r="R6">
        <f t="shared" ref="R6" si="7">R7+Q6</f>
        <v>-182869759.31640431</v>
      </c>
      <c r="S6">
        <f t="shared" ref="S6" si="8">R6/100000</f>
        <v>-1828.6975931640432</v>
      </c>
      <c r="T6">
        <f t="shared" ref="T6" si="9">S6/1000</f>
        <v>-1.8286975931640432</v>
      </c>
    </row>
    <row r="7" spans="1:20" x14ac:dyDescent="0.25">
      <c r="A7" s="5">
        <v>44586</v>
      </c>
      <c r="B7">
        <v>1.0222</v>
      </c>
      <c r="C7">
        <v>1.0257000000000001</v>
      </c>
      <c r="D7">
        <v>0.96779999999999999</v>
      </c>
      <c r="E7">
        <v>1.014</v>
      </c>
      <c r="F7">
        <v>1908583</v>
      </c>
      <c r="G7">
        <v>1.014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0.59585492227979164</v>
      </c>
      <c r="Q7">
        <f t="shared" ref="Q7" si="11">F7*P7</f>
        <v>1137238.5751295316</v>
      </c>
      <c r="R7">
        <f t="shared" ref="R7" si="12">R8+Q7</f>
        <v>-182718363.55472523</v>
      </c>
      <c r="S7">
        <f t="shared" ref="S7" si="13">R7/100000</f>
        <v>-1827.1836355472524</v>
      </c>
      <c r="T7">
        <f t="shared" ref="T7" si="14">S7/1000</f>
        <v>-1.8271836355472524</v>
      </c>
    </row>
    <row r="8" spans="1:20" x14ac:dyDescent="0.25">
      <c r="A8" s="5">
        <v>44585</v>
      </c>
      <c r="B8">
        <v>1.0901000000000001</v>
      </c>
      <c r="C8">
        <v>1.0989</v>
      </c>
      <c r="D8">
        <v>0.92530000000000001</v>
      </c>
      <c r="E8">
        <v>1.0226</v>
      </c>
      <c r="F8">
        <v>3883291</v>
      </c>
      <c r="G8">
        <v>1.0226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0.12096774193548336</v>
      </c>
      <c r="Q8">
        <f t="shared" ref="Q8" si="16">F8*P8</f>
        <v>469752.94354838511</v>
      </c>
      <c r="R8">
        <f t="shared" ref="R8" si="17">R9+Q8</f>
        <v>-183855602.12985477</v>
      </c>
      <c r="S8">
        <f t="shared" ref="S8" si="18">R8/100000</f>
        <v>-1838.5560212985476</v>
      </c>
      <c r="T8">
        <f t="shared" ref="T8" si="19">S8/1000</f>
        <v>-1.8385560212985477</v>
      </c>
    </row>
    <row r="9" spans="1:20" x14ac:dyDescent="0.25">
      <c r="A9" s="5">
        <v>44584</v>
      </c>
      <c r="B9">
        <v>1.0392999999999999</v>
      </c>
      <c r="C9">
        <v>1.0962000000000001</v>
      </c>
      <c r="D9">
        <v>1.0204</v>
      </c>
      <c r="E9">
        <v>1.0921000000000001</v>
      </c>
      <c r="F9">
        <v>2104003</v>
      </c>
      <c r="G9">
        <v>1.0921000000000001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0.8918205804749344</v>
      </c>
      <c r="Q9">
        <f t="shared" ref="Q9" si="21">F9*P9</f>
        <v>1876393.1767810034</v>
      </c>
      <c r="R9">
        <f t="shared" ref="R9" si="22">R10+Q9</f>
        <v>-184325355.07340315</v>
      </c>
      <c r="S9">
        <f t="shared" ref="S9" si="23">R9/100000</f>
        <v>-1843.2535507340315</v>
      </c>
      <c r="T9">
        <f t="shared" ref="T9" si="24">S9/1000</f>
        <v>-1.8432535507340315</v>
      </c>
    </row>
    <row r="10" spans="1:20" x14ac:dyDescent="0.25">
      <c r="A10" s="5">
        <v>44583</v>
      </c>
      <c r="B10">
        <v>1.1769000000000001</v>
      </c>
      <c r="C10">
        <v>1.204</v>
      </c>
      <c r="D10">
        <v>0.93330000000000002</v>
      </c>
      <c r="E10">
        <v>1.0370999999999999</v>
      </c>
      <c r="F10">
        <v>4617329.3600000003</v>
      </c>
      <c r="G10">
        <v>1.0370999999999999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-0.23309937199852299</v>
      </c>
      <c r="Q10">
        <f t="shared" ref="Q10" si="26">F10*P10</f>
        <v>-1076296.5741263421</v>
      </c>
      <c r="R10">
        <f t="shared" ref="R10" si="27">R11+Q10</f>
        <v>-186201748.25018415</v>
      </c>
      <c r="S10">
        <f t="shared" ref="S10" si="28">R10/100000</f>
        <v>-1862.0174825018414</v>
      </c>
      <c r="T10">
        <f t="shared" ref="T10" si="29">S10/1000</f>
        <v>-1.8620174825018414</v>
      </c>
    </row>
    <row r="11" spans="1:20" x14ac:dyDescent="0.25">
      <c r="A11" s="5">
        <v>44582</v>
      </c>
      <c r="B11">
        <v>1.3923000000000001</v>
      </c>
      <c r="C11">
        <v>1.4026000000000001</v>
      </c>
      <c r="D11">
        <v>1.1437999999999999</v>
      </c>
      <c r="E11">
        <v>1.1856</v>
      </c>
      <c r="F11">
        <v>3383015</v>
      </c>
      <c r="G11">
        <v>1.1856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-0.67697063369397192</v>
      </c>
      <c r="Q11">
        <f t="shared" ref="Q11" si="31">F11*P11</f>
        <v>-2290201.8083462124</v>
      </c>
      <c r="R11">
        <f t="shared" ref="R11" si="32">R12+Q11</f>
        <v>-185125451.67605782</v>
      </c>
      <c r="S11">
        <f t="shared" ref="S11" si="33">R11/100000</f>
        <v>-1851.2545167605781</v>
      </c>
      <c r="T11">
        <f t="shared" ref="T11" si="34">S11/1000</f>
        <v>-1.8512545167605781</v>
      </c>
    </row>
    <row r="12" spans="1:20" x14ac:dyDescent="0.25">
      <c r="A12" s="5">
        <v>44581</v>
      </c>
      <c r="B12">
        <v>1.46</v>
      </c>
      <c r="C12">
        <v>1.5241</v>
      </c>
      <c r="D12">
        <v>1.3815999999999999</v>
      </c>
      <c r="E12">
        <v>1.3919999999999999</v>
      </c>
      <c r="F12">
        <v>1377123</v>
      </c>
      <c r="G12">
        <v>1.3919999999999999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-0.85403508771929881</v>
      </c>
      <c r="Q12">
        <f t="shared" ref="Q12" si="36">F12*P12</f>
        <v>-1176111.3621052639</v>
      </c>
      <c r="R12">
        <f t="shared" ref="R12" si="37">R13+Q12</f>
        <v>-182835249.8677116</v>
      </c>
      <c r="S12">
        <f t="shared" ref="S12" si="38">R12/100000</f>
        <v>-1828.352498677116</v>
      </c>
      <c r="T12">
        <f t="shared" ref="T12" si="39">S12/1000</f>
        <v>-1.828352498677116</v>
      </c>
    </row>
    <row r="13" spans="1:20" x14ac:dyDescent="0.25">
      <c r="A13" s="5">
        <v>44580</v>
      </c>
      <c r="B13">
        <v>1.5531999999999999</v>
      </c>
      <c r="C13">
        <v>1.5580000000000001</v>
      </c>
      <c r="D13">
        <v>1.4438</v>
      </c>
      <c r="E13">
        <v>1.4595</v>
      </c>
      <c r="F13">
        <v>1558351</v>
      </c>
      <c r="G13">
        <v>1.4595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-0.72504378283712723</v>
      </c>
      <c r="Q13">
        <f t="shared" ref="Q13" si="41">F13*P13</f>
        <v>-1129872.7040280201</v>
      </c>
      <c r="R13">
        <f t="shared" ref="R13" si="42">R14+Q13</f>
        <v>-181659138.50560635</v>
      </c>
      <c r="S13">
        <f t="shared" ref="S13" si="43">R13/100000</f>
        <v>-1816.5913850560635</v>
      </c>
      <c r="T13">
        <f t="shared" ref="T13" si="44">S13/1000</f>
        <v>-1.8165913850560635</v>
      </c>
    </row>
    <row r="14" spans="1:20" x14ac:dyDescent="0.25">
      <c r="A14" s="5">
        <v>44579</v>
      </c>
      <c r="B14">
        <v>1.6017999999999999</v>
      </c>
      <c r="C14">
        <v>1.6092</v>
      </c>
      <c r="D14">
        <v>1.478</v>
      </c>
      <c r="E14">
        <v>1.5515000000000001</v>
      </c>
      <c r="F14">
        <v>1877799</v>
      </c>
      <c r="G14">
        <v>1.5515000000000001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0.12042682926829466</v>
      </c>
      <c r="Q14">
        <f t="shared" ref="Q14" si="46">F14*P14</f>
        <v>226137.37957317446</v>
      </c>
      <c r="R14">
        <f t="shared" ref="R14" si="47">R15+Q14</f>
        <v>-180529265.80157834</v>
      </c>
      <c r="S14">
        <f t="shared" ref="S14" si="48">R14/100000</f>
        <v>-1805.2926580157834</v>
      </c>
      <c r="T14">
        <f t="shared" ref="T14" si="49">S14/1000</f>
        <v>-1.8052926580157835</v>
      </c>
    </row>
    <row r="15" spans="1:20" x14ac:dyDescent="0.25">
      <c r="A15" s="5">
        <v>44578</v>
      </c>
      <c r="B15">
        <v>1.6629</v>
      </c>
      <c r="C15">
        <v>1.7374000000000001</v>
      </c>
      <c r="D15">
        <v>1.5601</v>
      </c>
      <c r="E15">
        <v>1.5987</v>
      </c>
      <c r="F15">
        <v>2446911</v>
      </c>
      <c r="G15">
        <v>1.5987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-0.56457980823463094</v>
      </c>
      <c r="Q15">
        <f t="shared" ref="Q15" si="51">F15*P15</f>
        <v>-1381476.5431472091</v>
      </c>
      <c r="R15">
        <f t="shared" ref="R15" si="52">R16+Q15</f>
        <v>-180755403.18115151</v>
      </c>
      <c r="S15">
        <f t="shared" ref="S15" si="53">R15/100000</f>
        <v>-1807.5540318115152</v>
      </c>
      <c r="T15">
        <f t="shared" ref="T15" si="54">S15/1000</f>
        <v>-1.8075540318115151</v>
      </c>
    </row>
    <row r="16" spans="1:20" x14ac:dyDescent="0.25">
      <c r="A16" s="5">
        <v>44577</v>
      </c>
      <c r="B16">
        <v>1.6987000000000001</v>
      </c>
      <c r="C16">
        <v>1.7195</v>
      </c>
      <c r="D16">
        <v>1.6241000000000001</v>
      </c>
      <c r="E16">
        <v>1.6624000000000001</v>
      </c>
      <c r="F16">
        <v>2274237</v>
      </c>
      <c r="G16">
        <v>1.6624000000000001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-0.19706498951781909</v>
      </c>
      <c r="Q16">
        <f t="shared" ref="Q16" si="56">F16*P16</f>
        <v>-448172.49056603631</v>
      </c>
      <c r="R16">
        <f t="shared" ref="R16" si="57">R17+Q16</f>
        <v>-179373926.6380043</v>
      </c>
      <c r="S16">
        <f t="shared" ref="S16" si="58">R16/100000</f>
        <v>-1793.7392663800431</v>
      </c>
      <c r="T16">
        <f t="shared" ref="T16" si="59">S16/1000</f>
        <v>-1.7937392663800431</v>
      </c>
    </row>
    <row r="17" spans="1:20" x14ac:dyDescent="0.25">
      <c r="A17" s="5">
        <v>44576</v>
      </c>
      <c r="B17">
        <v>1.6106</v>
      </c>
      <c r="C17">
        <v>1.7968</v>
      </c>
      <c r="D17">
        <v>1.5819000000000001</v>
      </c>
      <c r="E17">
        <v>1.7005999999999999</v>
      </c>
      <c r="F17">
        <v>5076503</v>
      </c>
      <c r="G17">
        <v>1.7005999999999999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0.104699860400185</v>
      </c>
      <c r="Q17">
        <f t="shared" ref="Q17" si="61">F17*P17</f>
        <v>531509.15542112035</v>
      </c>
      <c r="R17">
        <f t="shared" ref="R17" si="62">R18+Q17</f>
        <v>-178925754.14743826</v>
      </c>
      <c r="S17">
        <f t="shared" ref="S17" si="63">R17/100000</f>
        <v>-1789.2575414743826</v>
      </c>
      <c r="T17">
        <f t="shared" ref="T17" si="64">S17/1000</f>
        <v>-1.7892575414743825</v>
      </c>
    </row>
    <row r="18" spans="1:20" x14ac:dyDescent="0.25">
      <c r="A18" s="5">
        <v>44575</v>
      </c>
      <c r="B18">
        <v>1.5794999999999999</v>
      </c>
      <c r="C18">
        <v>1.6245000000000001</v>
      </c>
      <c r="D18">
        <v>1.5371999999999999</v>
      </c>
      <c r="E18">
        <v>1.6107</v>
      </c>
      <c r="F18">
        <v>1287488</v>
      </c>
      <c r="G18">
        <v>1.6107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0.6838487972508589</v>
      </c>
      <c r="Q18">
        <f t="shared" ref="Q18" si="66">F18*P18</f>
        <v>880447.12027491385</v>
      </c>
      <c r="R18">
        <f t="shared" ref="R18" si="67">R19+Q18</f>
        <v>-179457263.30285937</v>
      </c>
      <c r="S18">
        <f t="shared" ref="S18" si="68">R18/100000</f>
        <v>-1794.5726330285936</v>
      </c>
      <c r="T18">
        <f t="shared" ref="T18" si="69">S18/1000</f>
        <v>-1.7945726330285936</v>
      </c>
    </row>
    <row r="19" spans="1:20" x14ac:dyDescent="0.25">
      <c r="A19" s="5">
        <v>44574</v>
      </c>
      <c r="B19">
        <v>1.6697</v>
      </c>
      <c r="C19">
        <v>1.6875</v>
      </c>
      <c r="D19">
        <v>1.5721000000000001</v>
      </c>
      <c r="E19">
        <v>1.5789</v>
      </c>
      <c r="F19">
        <v>2148720</v>
      </c>
      <c r="G19">
        <v>1.5789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-0.88214904679376216</v>
      </c>
      <c r="Q19">
        <f t="shared" ref="Q19" si="71">F19*P19</f>
        <v>-1895491.2998266926</v>
      </c>
      <c r="R19">
        <f t="shared" ref="R19" si="72">R20+Q19</f>
        <v>-180337710.42313427</v>
      </c>
      <c r="S19">
        <f t="shared" ref="S19" si="73">R19/100000</f>
        <v>-1803.3771042313426</v>
      </c>
      <c r="T19">
        <f t="shared" ref="T19" si="74">S19/1000</f>
        <v>-1.8033771042313427</v>
      </c>
    </row>
    <row r="20" spans="1:20" x14ac:dyDescent="0.25">
      <c r="A20" s="5">
        <v>44573</v>
      </c>
      <c r="B20">
        <v>1.5869</v>
      </c>
      <c r="C20">
        <v>1.679</v>
      </c>
      <c r="D20">
        <v>1.5639000000000001</v>
      </c>
      <c r="E20">
        <v>1.6698999999999999</v>
      </c>
      <c r="F20">
        <v>2203498</v>
      </c>
      <c r="G20">
        <v>1.6698999999999999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0.84187662901824312</v>
      </c>
      <c r="Q20">
        <f t="shared" ref="Q20" si="76">F20*P20</f>
        <v>1855073.4682884407</v>
      </c>
      <c r="R20">
        <f t="shared" ref="R20" si="77">R21+Q20</f>
        <v>-178442219.12330759</v>
      </c>
      <c r="S20">
        <f t="shared" ref="S20" si="78">R20/100000</f>
        <v>-1784.4221912330759</v>
      </c>
      <c r="T20">
        <f t="shared" ref="T20" si="79">S20/1000</f>
        <v>-1.7844221912330758</v>
      </c>
    </row>
    <row r="21" spans="1:20" x14ac:dyDescent="0.25">
      <c r="A21" s="5">
        <v>44572</v>
      </c>
      <c r="B21">
        <v>1.5149999999999999</v>
      </c>
      <c r="C21">
        <v>1.6046</v>
      </c>
      <c r="D21">
        <v>1.4543999999999999</v>
      </c>
      <c r="E21">
        <v>1.5871</v>
      </c>
      <c r="F21">
        <v>3632725</v>
      </c>
      <c r="G21">
        <v>1.5871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0.76697736351531209</v>
      </c>
      <c r="Q21">
        <f t="shared" ref="Q21" si="81">F21*P21</f>
        <v>2786217.8428761619</v>
      </c>
      <c r="R21">
        <f t="shared" ref="R21" si="82">R22+Q21</f>
        <v>-180297292.59159604</v>
      </c>
      <c r="S21">
        <f t="shared" ref="S21" si="83">R21/100000</f>
        <v>-1802.9729259159603</v>
      </c>
      <c r="T21">
        <f t="shared" ref="T21" si="84">S21/1000</f>
        <v>-1.8029729259159604</v>
      </c>
    </row>
    <row r="22" spans="1:20" x14ac:dyDescent="0.25">
      <c r="A22" s="5">
        <v>44571</v>
      </c>
      <c r="B22">
        <v>1.5551999999999999</v>
      </c>
      <c r="C22">
        <v>1.6079000000000001</v>
      </c>
      <c r="D22">
        <v>1.3847</v>
      </c>
      <c r="E22">
        <v>1.5161</v>
      </c>
      <c r="F22">
        <v>4196240</v>
      </c>
      <c r="G22">
        <v>1.5161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0.17741935483870899</v>
      </c>
      <c r="Q22">
        <f t="shared" ref="Q22" si="86">F22*P22</f>
        <v>744494.19354838424</v>
      </c>
      <c r="R22">
        <f t="shared" ref="R22" si="87">R23+Q22</f>
        <v>-183083510.4344722</v>
      </c>
      <c r="S22">
        <f t="shared" ref="S22" si="88">R22/100000</f>
        <v>-1830.8351043447221</v>
      </c>
      <c r="T22">
        <f t="shared" ref="T22" si="89">S22/1000</f>
        <v>-1.8308351043447222</v>
      </c>
    </row>
    <row r="23" spans="1:20" x14ac:dyDescent="0.25">
      <c r="A23" s="5">
        <v>44570</v>
      </c>
      <c r="B23">
        <v>1.5097</v>
      </c>
      <c r="C23">
        <v>1.6286</v>
      </c>
      <c r="D23">
        <v>1.5034000000000001</v>
      </c>
      <c r="E23">
        <v>1.5561</v>
      </c>
      <c r="F23">
        <v>2805825</v>
      </c>
      <c r="G23">
        <v>1.5561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-0.15814696485623037</v>
      </c>
      <c r="Q23">
        <f t="shared" ref="Q23" si="91">F23*P23</f>
        <v>-443732.70766773255</v>
      </c>
      <c r="R23">
        <f t="shared" ref="R23" si="92">R24+Q23</f>
        <v>-183828004.62802058</v>
      </c>
      <c r="S23">
        <f t="shared" ref="S23" si="93">R23/100000</f>
        <v>-1838.2800462802059</v>
      </c>
      <c r="T23">
        <f t="shared" ref="T23" si="94">S23/1000</f>
        <v>-1.8382800462802058</v>
      </c>
    </row>
    <row r="24" spans="1:20" x14ac:dyDescent="0.25">
      <c r="A24" s="5">
        <v>44569</v>
      </c>
      <c r="B24">
        <v>1.5667</v>
      </c>
      <c r="C24">
        <v>1.6165</v>
      </c>
      <c r="D24">
        <v>1.4441999999999999</v>
      </c>
      <c r="E24">
        <v>1.5125</v>
      </c>
      <c r="F24">
        <v>2282121</v>
      </c>
      <c r="G24">
        <v>1.5125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-0.20719674985490447</v>
      </c>
      <c r="Q24">
        <f t="shared" ref="Q24" si="96">F24*P24</f>
        <v>-472848.05397562444</v>
      </c>
      <c r="R24">
        <f t="shared" ref="R24" si="97">R25+Q24</f>
        <v>-183384271.92035285</v>
      </c>
      <c r="S24">
        <f t="shared" ref="S24" si="98">R24/100000</f>
        <v>-1833.8427192035285</v>
      </c>
      <c r="T24">
        <f t="shared" ref="T24" si="99">S24/1000</f>
        <v>-1.8338427192035285</v>
      </c>
    </row>
    <row r="25" spans="1:20" x14ac:dyDescent="0.25">
      <c r="A25" s="5">
        <v>44568</v>
      </c>
      <c r="B25">
        <v>1.6532</v>
      </c>
      <c r="C25">
        <v>1.7104999999999999</v>
      </c>
      <c r="D25">
        <v>1.5006999999999999</v>
      </c>
      <c r="E25">
        <v>1.5662</v>
      </c>
      <c r="F25">
        <v>4262226</v>
      </c>
      <c r="G25">
        <v>1.5662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-0.37559580552907418</v>
      </c>
      <c r="Q25">
        <f t="shared" ref="Q25" si="101">F25*P25</f>
        <v>-1600874.2078169638</v>
      </c>
      <c r="R25">
        <f t="shared" ref="R25" si="102">R26+Q25</f>
        <v>-182911423.86637723</v>
      </c>
      <c r="S25">
        <f t="shared" ref="S25" si="103">R25/100000</f>
        <v>-1829.1142386637723</v>
      </c>
      <c r="T25">
        <f t="shared" ref="T25" si="104">S25/1000</f>
        <v>-1.8291142386637722</v>
      </c>
    </row>
    <row r="26" spans="1:20" x14ac:dyDescent="0.25">
      <c r="A26" s="5">
        <v>44567</v>
      </c>
      <c r="B26">
        <v>1.6297999999999999</v>
      </c>
      <c r="C26">
        <v>1.6706000000000001</v>
      </c>
      <c r="D26">
        <v>1.5464</v>
      </c>
      <c r="E26">
        <v>1.6547000000000001</v>
      </c>
      <c r="F26">
        <v>3402819</v>
      </c>
      <c r="G26">
        <v>1.6547000000000001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0.74396135265700458</v>
      </c>
      <c r="Q26">
        <f t="shared" ref="Q26" si="106">F26*P26</f>
        <v>2531565.8260869556</v>
      </c>
      <c r="R26">
        <f t="shared" ref="R26" si="107">R27+Q26</f>
        <v>-181310549.65856028</v>
      </c>
      <c r="S26">
        <f t="shared" ref="S26" si="108">R26/100000</f>
        <v>-1813.1054965856029</v>
      </c>
      <c r="T26">
        <f t="shared" ref="T26" si="109">S26/1000</f>
        <v>-1.8131054965856028</v>
      </c>
    </row>
    <row r="27" spans="1:20" x14ac:dyDescent="0.25">
      <c r="A27" s="5">
        <v>44566</v>
      </c>
      <c r="B27">
        <v>1.7870999999999999</v>
      </c>
      <c r="C27">
        <v>1.8712</v>
      </c>
      <c r="D27">
        <v>1.5314000000000001</v>
      </c>
      <c r="E27">
        <v>1.6305000000000001</v>
      </c>
      <c r="F27">
        <v>4493348</v>
      </c>
      <c r="G27">
        <v>1.6305000000000001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-0.41671571512654504</v>
      </c>
      <c r="Q27">
        <f t="shared" ref="Q27" si="111">F27*P27</f>
        <v>-1872448.7251324309</v>
      </c>
      <c r="R27">
        <f t="shared" ref="R27" si="112">R28+Q27</f>
        <v>-183842115.48464724</v>
      </c>
      <c r="S27">
        <f t="shared" ref="S27" si="113">R27/100000</f>
        <v>-1838.4211548464725</v>
      </c>
      <c r="T27">
        <f t="shared" ref="T27" si="114">S27/1000</f>
        <v>-1.8384211548464726</v>
      </c>
    </row>
    <row r="28" spans="1:20" x14ac:dyDescent="0.25">
      <c r="A28" s="5">
        <v>44565</v>
      </c>
      <c r="B28">
        <v>1.853</v>
      </c>
      <c r="C28">
        <v>1.8734999999999999</v>
      </c>
      <c r="D28">
        <v>1.7679</v>
      </c>
      <c r="E28">
        <v>1.7871999999999999</v>
      </c>
      <c r="F28">
        <v>1766775</v>
      </c>
      <c r="G28">
        <v>1.7871999999999999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-0.63446969696969913</v>
      </c>
      <c r="Q28">
        <f t="shared" ref="Q28" si="116">F28*P28</f>
        <v>-1120965.1988636402</v>
      </c>
      <c r="R28">
        <f t="shared" ref="R28" si="117">R29+Q28</f>
        <v>-181969666.75951481</v>
      </c>
      <c r="S28">
        <f t="shared" ref="S28" si="118">R28/100000</f>
        <v>-1819.696667595148</v>
      </c>
      <c r="T28">
        <f t="shared" ref="T28" si="119">S28/1000</f>
        <v>-1.819696667595148</v>
      </c>
    </row>
    <row r="29" spans="1:20" x14ac:dyDescent="0.25">
      <c r="A29" s="5">
        <v>44564</v>
      </c>
      <c r="B29">
        <v>1.9247000000000001</v>
      </c>
      <c r="C29">
        <v>1.9831000000000001</v>
      </c>
      <c r="D29">
        <v>1.8035000000000001</v>
      </c>
      <c r="E29">
        <v>1.8529</v>
      </c>
      <c r="F29">
        <v>3087399</v>
      </c>
      <c r="G29">
        <v>1.8529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-0.44988864142539092</v>
      </c>
      <c r="Q29">
        <f t="shared" ref="Q29" si="121">F29*P29</f>
        <v>-1388985.7416481106</v>
      </c>
      <c r="R29">
        <f t="shared" ref="R29" si="122">R30+Q29</f>
        <v>-180848701.56065118</v>
      </c>
      <c r="S29">
        <f t="shared" ref="S29" si="123">R29/100000</f>
        <v>-1808.4870156065119</v>
      </c>
      <c r="T29">
        <f t="shared" ref="T29" si="124">S29/1000</f>
        <v>-1.808487015606512</v>
      </c>
    </row>
    <row r="30" spans="1:20" x14ac:dyDescent="0.25">
      <c r="A30" s="5">
        <v>44563</v>
      </c>
      <c r="B30">
        <v>1.8332999999999999</v>
      </c>
      <c r="C30">
        <v>2.0293000000000001</v>
      </c>
      <c r="D30">
        <v>1.7945</v>
      </c>
      <c r="E30">
        <v>1.925</v>
      </c>
      <c r="F30">
        <v>4698641</v>
      </c>
      <c r="G30">
        <v>1.925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0.1115843270868824</v>
      </c>
      <c r="Q30">
        <f t="shared" ref="Q30" si="126">F30*P30</f>
        <v>524294.69420783618</v>
      </c>
      <c r="R30">
        <f t="shared" ref="R30" si="127">R31+Q30</f>
        <v>-179459715.81900308</v>
      </c>
      <c r="S30">
        <f t="shared" ref="S30" si="128">R30/100000</f>
        <v>-1794.5971581900308</v>
      </c>
      <c r="T30">
        <f t="shared" ref="T30" si="129">S30/1000</f>
        <v>-1.7945971581900309</v>
      </c>
    </row>
    <row r="31" spans="1:20" x14ac:dyDescent="0.25">
      <c r="A31" s="5">
        <v>44562</v>
      </c>
      <c r="B31">
        <v>1.7444999999999999</v>
      </c>
      <c r="C31">
        <v>1.8403</v>
      </c>
      <c r="D31">
        <v>1.7444999999999999</v>
      </c>
      <c r="E31">
        <v>1.8383</v>
      </c>
      <c r="F31">
        <v>2190985</v>
      </c>
      <c r="G31">
        <v>1.8383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0.95824634655532359</v>
      </c>
      <c r="Q31">
        <f t="shared" ref="Q31" si="131">F31*P31</f>
        <v>2099503.3716075155</v>
      </c>
      <c r="R31">
        <f t="shared" ref="R31" si="132">R32+Q31</f>
        <v>-179984010.51321092</v>
      </c>
      <c r="S31">
        <f t="shared" ref="S31" si="133">R31/100000</f>
        <v>-1799.8401051321093</v>
      </c>
      <c r="T31">
        <f t="shared" ref="T31" si="134">S31/1000</f>
        <v>-1.7998401051321093</v>
      </c>
    </row>
    <row r="32" spans="1:20" x14ac:dyDescent="0.25">
      <c r="A32" s="5">
        <v>44561</v>
      </c>
      <c r="B32">
        <v>1.7638</v>
      </c>
      <c r="C32">
        <v>1.8306</v>
      </c>
      <c r="D32">
        <v>1.6931</v>
      </c>
      <c r="E32">
        <v>1.7454000000000001</v>
      </c>
      <c r="F32">
        <v>1697919</v>
      </c>
      <c r="G32">
        <v>1.7454000000000001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-0.23927272727272683</v>
      </c>
      <c r="Q32">
        <f t="shared" ref="Q32" si="136">F32*P32</f>
        <v>-406265.70981818106</v>
      </c>
      <c r="R32">
        <f t="shared" ref="R32" si="137">R33+Q32</f>
        <v>-182083513.88481843</v>
      </c>
      <c r="S32">
        <f t="shared" ref="S32" si="138">R32/100000</f>
        <v>-1820.8351388481844</v>
      </c>
      <c r="T32">
        <f t="shared" ref="T32" si="139">S32/1000</f>
        <v>-1.8208351388481845</v>
      </c>
    </row>
    <row r="33" spans="1:20" x14ac:dyDescent="0.25">
      <c r="A33" s="5">
        <v>44560</v>
      </c>
      <c r="B33">
        <v>1.7135</v>
      </c>
      <c r="C33">
        <v>1.7999000000000001</v>
      </c>
      <c r="D33">
        <v>1.663</v>
      </c>
      <c r="E33">
        <v>1.7634000000000001</v>
      </c>
      <c r="F33">
        <v>2248970</v>
      </c>
      <c r="G33">
        <v>1.7634000000000001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0.46676406135865639</v>
      </c>
      <c r="Q33">
        <f t="shared" ref="Q33" si="141">F33*P33</f>
        <v>1049738.3710737776</v>
      </c>
      <c r="R33">
        <f t="shared" ref="R33" si="142">R34+Q33</f>
        <v>-181677248.17500025</v>
      </c>
      <c r="S33">
        <f t="shared" ref="S33" si="143">R33/100000</f>
        <v>-1816.7724817500025</v>
      </c>
      <c r="T33">
        <f t="shared" ref="T33" si="144">S33/1000</f>
        <v>-1.8167724817500024</v>
      </c>
    </row>
    <row r="34" spans="1:20" x14ac:dyDescent="0.25">
      <c r="A34" s="5">
        <v>44559</v>
      </c>
      <c r="B34">
        <v>1.8109</v>
      </c>
      <c r="C34">
        <v>1.8486</v>
      </c>
      <c r="D34">
        <v>1.6850000000000001</v>
      </c>
      <c r="E34">
        <v>1.7134</v>
      </c>
      <c r="F34">
        <v>2773294</v>
      </c>
      <c r="G34">
        <v>1.7134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-0.65281173594132047</v>
      </c>
      <c r="Q34">
        <f t="shared" ref="Q34" si="146">F34*P34</f>
        <v>-1810438.8704156484</v>
      </c>
      <c r="R34">
        <f t="shared" ref="R34" si="147">R35+Q34</f>
        <v>-182726986.54607403</v>
      </c>
      <c r="S34">
        <f t="shared" ref="S34" si="148">R34/100000</f>
        <v>-1827.2698654607402</v>
      </c>
      <c r="T34">
        <f t="shared" ref="T34" si="149">S34/1000</f>
        <v>-1.8272698654607402</v>
      </c>
    </row>
    <row r="35" spans="1:20" x14ac:dyDescent="0.25">
      <c r="A35" s="5">
        <v>44558</v>
      </c>
      <c r="B35">
        <v>2.0539999999999998</v>
      </c>
      <c r="C35">
        <v>2.0562</v>
      </c>
      <c r="D35">
        <v>1.8</v>
      </c>
      <c r="E35">
        <v>1.8121</v>
      </c>
      <c r="F35">
        <v>3423386</v>
      </c>
      <c r="G35">
        <v>1.8121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-0.90554254488680719</v>
      </c>
      <c r="Q35">
        <f t="shared" ref="Q35" si="151">F35*P35</f>
        <v>-3100021.6705698674</v>
      </c>
      <c r="R35">
        <f t="shared" ref="R35" si="152">R36+Q35</f>
        <v>-180916547.67565838</v>
      </c>
      <c r="S35">
        <f t="shared" ref="S35" si="153">R35/100000</f>
        <v>-1809.1654767565838</v>
      </c>
      <c r="T35">
        <f t="shared" ref="T35" si="154">S35/1000</f>
        <v>-1.8091654767565837</v>
      </c>
    </row>
    <row r="36" spans="1:20" x14ac:dyDescent="0.25">
      <c r="A36" s="5">
        <v>44557</v>
      </c>
      <c r="B36">
        <v>2.0739999999999998</v>
      </c>
      <c r="C36">
        <v>2.1856</v>
      </c>
      <c r="D36">
        <v>2.0478000000000001</v>
      </c>
      <c r="E36">
        <v>2.0539999999999998</v>
      </c>
      <c r="F36">
        <v>3388142</v>
      </c>
      <c r="G36">
        <v>2.0539999999999998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-0.91001451378810205</v>
      </c>
      <c r="Q36">
        <f t="shared" ref="Q36" si="156">F36*P36</f>
        <v>-3083258.3947750479</v>
      </c>
      <c r="R36">
        <f t="shared" ref="R36" si="157">R37+Q36</f>
        <v>-177816526.00508851</v>
      </c>
      <c r="S36">
        <f t="shared" ref="S36" si="158">R36/100000</f>
        <v>-1778.1652600508851</v>
      </c>
      <c r="T36">
        <f t="shared" ref="T36" si="159">S36/1000</f>
        <v>-1.778165260050885</v>
      </c>
    </row>
    <row r="37" spans="1:20" x14ac:dyDescent="0.25">
      <c r="A37" s="5">
        <v>44556</v>
      </c>
      <c r="B37">
        <v>2.0141</v>
      </c>
      <c r="C37">
        <v>2.0840999999999998</v>
      </c>
      <c r="D37">
        <v>1.9337</v>
      </c>
      <c r="E37">
        <v>2.0733999999999999</v>
      </c>
      <c r="F37">
        <v>3157392</v>
      </c>
      <c r="G37">
        <v>2.0733999999999999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0.85771276595744761</v>
      </c>
      <c r="Q37">
        <f t="shared" ref="Q37" si="161">F37*P37</f>
        <v>2708135.4255319173</v>
      </c>
      <c r="R37">
        <f t="shared" ref="R37" si="162">R38+Q37</f>
        <v>-174733267.61031345</v>
      </c>
      <c r="S37">
        <f t="shared" ref="S37" si="163">R37/100000</f>
        <v>-1747.3326761031344</v>
      </c>
      <c r="T37">
        <f t="shared" ref="T37" si="164">S37/1000</f>
        <v>-1.7473326761031345</v>
      </c>
    </row>
    <row r="38" spans="1:20" x14ac:dyDescent="0.25">
      <c r="A38" s="5">
        <v>44555</v>
      </c>
      <c r="B38">
        <v>1.9592000000000001</v>
      </c>
      <c r="C38">
        <v>2.0619999999999998</v>
      </c>
      <c r="D38">
        <v>1.9362999999999999</v>
      </c>
      <c r="E38">
        <v>2.0139</v>
      </c>
      <c r="F38">
        <v>2408432</v>
      </c>
      <c r="G38">
        <v>2.0139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0.23468575974542819</v>
      </c>
      <c r="Q38">
        <f t="shared" ref="Q38" si="166">F38*P38</f>
        <v>565224.69371520111</v>
      </c>
      <c r="R38">
        <f t="shared" ref="R38" si="167">R39+Q38</f>
        <v>-177441403.03584537</v>
      </c>
      <c r="S38">
        <f t="shared" ref="S38" si="168">R38/100000</f>
        <v>-1774.4140303584536</v>
      </c>
      <c r="T38">
        <f t="shared" ref="T38" si="169">S38/1000</f>
        <v>-1.7744140303584537</v>
      </c>
    </row>
    <row r="39" spans="1:20" x14ac:dyDescent="0.25">
      <c r="A39" s="5">
        <v>44554</v>
      </c>
      <c r="B39">
        <v>2.0891000000000002</v>
      </c>
      <c r="C39">
        <v>2.1025</v>
      </c>
      <c r="D39">
        <v>1.9237</v>
      </c>
      <c r="E39">
        <v>1.9588000000000001</v>
      </c>
      <c r="F39">
        <v>4997561</v>
      </c>
      <c r="G39">
        <v>1.9588000000000001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-0.6073825503355692</v>
      </c>
      <c r="Q39">
        <f t="shared" ref="Q39" si="171">F39*P39</f>
        <v>-3035431.3456375776</v>
      </c>
      <c r="R39">
        <f t="shared" ref="R39" si="172">R40+Q39</f>
        <v>-178006627.72956058</v>
      </c>
      <c r="S39">
        <f t="shared" ref="S39" si="173">R39/100000</f>
        <v>-1780.0662772956059</v>
      </c>
      <c r="T39">
        <f t="shared" ref="T39" si="174">S39/1000</f>
        <v>-1.780066277295606</v>
      </c>
    </row>
    <row r="40" spans="1:20" x14ac:dyDescent="0.25">
      <c r="A40" s="5">
        <v>44553</v>
      </c>
      <c r="B40">
        <v>1.9726999999999999</v>
      </c>
      <c r="C40">
        <v>2.1069</v>
      </c>
      <c r="D40">
        <v>1.9207000000000001</v>
      </c>
      <c r="E40">
        <v>2.0891000000000002</v>
      </c>
      <c r="F40">
        <v>10644907</v>
      </c>
      <c r="G40">
        <v>2.0891000000000002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0.80880773361976555</v>
      </c>
      <c r="Q40">
        <f t="shared" ref="Q40" si="176">F40*P40</f>
        <v>8609683.1052631773</v>
      </c>
      <c r="R40">
        <f t="shared" ref="R40" si="177">R41+Q40</f>
        <v>-174971196.38392299</v>
      </c>
      <c r="S40">
        <f t="shared" ref="S40" si="178">R40/100000</f>
        <v>-1749.7119638392298</v>
      </c>
      <c r="T40">
        <f t="shared" ref="T40" si="179">S40/1000</f>
        <v>-1.7497119638392298</v>
      </c>
    </row>
    <row r="41" spans="1:20" x14ac:dyDescent="0.25">
      <c r="A41" s="5">
        <v>44552</v>
      </c>
      <c r="B41">
        <v>1.8085</v>
      </c>
      <c r="C41">
        <v>1.9876</v>
      </c>
      <c r="D41">
        <v>1.7787999999999999</v>
      </c>
      <c r="E41">
        <v>1.9722999999999999</v>
      </c>
      <c r="F41">
        <v>10338343</v>
      </c>
      <c r="G41">
        <v>1.9722999999999999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0.85344827586206817</v>
      </c>
      <c r="Q41">
        <f t="shared" ref="Q41" si="181">F41*P41</f>
        <v>8823241.0086206812</v>
      </c>
      <c r="R41">
        <f t="shared" ref="R41" si="182">R42+Q41</f>
        <v>-183580879.48918617</v>
      </c>
      <c r="S41">
        <f t="shared" ref="S41" si="183">R41/100000</f>
        <v>-1835.8087948918617</v>
      </c>
      <c r="T41">
        <f t="shared" ref="T41" si="184">S41/1000</f>
        <v>-1.8358087948918618</v>
      </c>
    </row>
    <row r="42" spans="1:20" x14ac:dyDescent="0.25">
      <c r="A42" s="5">
        <v>44551</v>
      </c>
      <c r="B42">
        <v>1.6264000000000001</v>
      </c>
      <c r="C42">
        <v>1.8255999999999999</v>
      </c>
      <c r="D42">
        <v>1.6014999999999999</v>
      </c>
      <c r="E42">
        <v>1.8091999999999999</v>
      </c>
      <c r="F42">
        <v>7308359</v>
      </c>
      <c r="G42">
        <v>1.8091999999999999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0.85363676929942012</v>
      </c>
      <c r="Q42">
        <f t="shared" ref="Q42" si="186">F42*P42</f>
        <v>6238683.9656403409</v>
      </c>
      <c r="R42">
        <f t="shared" ref="R42" si="187">R43+Q42</f>
        <v>-192404120.49780685</v>
      </c>
      <c r="S42">
        <f t="shared" ref="S42" si="188">R42/100000</f>
        <v>-1924.0412049780684</v>
      </c>
      <c r="T42">
        <f t="shared" ref="T42" si="189">S42/1000</f>
        <v>-1.9240412049780684</v>
      </c>
    </row>
    <row r="43" spans="1:20" x14ac:dyDescent="0.25">
      <c r="A43" s="5">
        <v>44550</v>
      </c>
      <c r="B43">
        <v>1.6859</v>
      </c>
      <c r="C43">
        <v>1.7004999999999999</v>
      </c>
      <c r="D43">
        <v>1.5498000000000001</v>
      </c>
      <c r="E43">
        <v>1.6253</v>
      </c>
      <c r="F43">
        <v>4951176</v>
      </c>
      <c r="G43">
        <v>1.6253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1.9907100199068831E-3</v>
      </c>
      <c r="Q43">
        <f t="shared" ref="Q43" si="191">F43*P43</f>
        <v>9856.3556735224829</v>
      </c>
      <c r="R43">
        <f t="shared" ref="R43" si="192">R44+Q43</f>
        <v>-198642804.46344718</v>
      </c>
      <c r="S43">
        <f t="shared" ref="S43" si="193">R43/100000</f>
        <v>-1986.4280446344719</v>
      </c>
      <c r="T43">
        <f t="shared" ref="T43" si="194">S43/1000</f>
        <v>-1.986428044634472</v>
      </c>
    </row>
    <row r="44" spans="1:20" x14ac:dyDescent="0.25">
      <c r="A44" s="5">
        <v>44549</v>
      </c>
      <c r="B44">
        <v>1.7835000000000001</v>
      </c>
      <c r="C44">
        <v>1.8258000000000001</v>
      </c>
      <c r="D44">
        <v>1.6721999999999999</v>
      </c>
      <c r="E44">
        <v>1.6866000000000001</v>
      </c>
      <c r="F44">
        <v>4415809</v>
      </c>
      <c r="G44">
        <v>1.6866000000000001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-0.81249999999999778</v>
      </c>
      <c r="Q44">
        <f t="shared" ref="Q44" si="196">F44*P44</f>
        <v>-3587844.8124999902</v>
      </c>
      <c r="R44">
        <f t="shared" ref="R44" si="197">R45+Q44</f>
        <v>-198652660.81912071</v>
      </c>
      <c r="S44">
        <f t="shared" ref="S44" si="198">R44/100000</f>
        <v>-1986.5266081912071</v>
      </c>
      <c r="T44">
        <f t="shared" ref="T44" si="199">S44/1000</f>
        <v>-1.986526608191207</v>
      </c>
    </row>
    <row r="45" spans="1:20" x14ac:dyDescent="0.25">
      <c r="A45" s="5">
        <v>44548</v>
      </c>
      <c r="B45">
        <v>1.8031999999999999</v>
      </c>
      <c r="C45">
        <v>1.8280000000000001</v>
      </c>
      <c r="D45">
        <v>1.7139</v>
      </c>
      <c r="E45">
        <v>1.7829999999999999</v>
      </c>
      <c r="F45">
        <v>6590086</v>
      </c>
      <c r="G45">
        <v>1.7829999999999999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0.21121822962313558</v>
      </c>
      <c r="Q45">
        <f t="shared" ref="Q45" si="201">F45*P45</f>
        <v>1391946.297984211</v>
      </c>
      <c r="R45">
        <f t="shared" ref="R45" si="202">R46+Q45</f>
        <v>-195064816.00662071</v>
      </c>
      <c r="S45">
        <f t="shared" ref="S45" si="203">R45/100000</f>
        <v>-1950.6481600662071</v>
      </c>
      <c r="T45">
        <f t="shared" ref="T45" si="204">S45/1000</f>
        <v>-1.9506481600662071</v>
      </c>
    </row>
    <row r="46" spans="1:20" x14ac:dyDescent="0.25">
      <c r="A46" s="5">
        <v>44547</v>
      </c>
      <c r="B46">
        <v>1.6057999999999999</v>
      </c>
      <c r="C46">
        <v>1.8824000000000001</v>
      </c>
      <c r="D46">
        <v>1.5954999999999999</v>
      </c>
      <c r="E46">
        <v>1.8038000000000001</v>
      </c>
      <c r="F46">
        <v>21045952</v>
      </c>
      <c r="G46">
        <v>1.8038000000000001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0.45207389334262837</v>
      </c>
      <c r="Q46">
        <f t="shared" ref="Q46" si="206">F46*P46</f>
        <v>9514325.4597420767</v>
      </c>
      <c r="R46">
        <f t="shared" ref="R46" si="207">R47+Q46</f>
        <v>-196456762.30460492</v>
      </c>
      <c r="S46">
        <f t="shared" ref="S46" si="208">R46/100000</f>
        <v>-1964.5676230460492</v>
      </c>
      <c r="T46">
        <f t="shared" ref="T46" si="209">S46/1000</f>
        <v>-1.9645676230460491</v>
      </c>
    </row>
    <row r="47" spans="1:20" x14ac:dyDescent="0.25">
      <c r="A47" s="5">
        <v>44546</v>
      </c>
      <c r="B47">
        <v>1.5585</v>
      </c>
      <c r="C47">
        <v>1.7566999999999999</v>
      </c>
      <c r="D47">
        <v>1.5414000000000001</v>
      </c>
      <c r="E47">
        <v>1.6067</v>
      </c>
      <c r="F47">
        <v>15571065</v>
      </c>
      <c r="G47">
        <v>1.6067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-0.39340455178820283</v>
      </c>
      <c r="Q47">
        <f t="shared" ref="Q47" si="211">F47*P47</f>
        <v>-6125727.8471899722</v>
      </c>
      <c r="R47">
        <f t="shared" ref="R47" si="212">R48+Q47</f>
        <v>-205971087.76434699</v>
      </c>
      <c r="S47">
        <f t="shared" ref="S47" si="213">R47/100000</f>
        <v>-2059.7108776434698</v>
      </c>
      <c r="T47">
        <f t="shared" ref="T47" si="214">S47/1000</f>
        <v>-2.0597108776434698</v>
      </c>
    </row>
    <row r="48" spans="1:20" x14ac:dyDescent="0.25">
      <c r="A48" s="5">
        <v>44545</v>
      </c>
      <c r="B48">
        <v>1.4583999999999999</v>
      </c>
      <c r="C48">
        <v>1.5650999999999999</v>
      </c>
      <c r="D48">
        <v>1.3439000000000001</v>
      </c>
      <c r="E48">
        <v>1.5575000000000001</v>
      </c>
      <c r="F48">
        <v>6221176</v>
      </c>
      <c r="G48">
        <v>1.5575000000000001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0.93128390596745181</v>
      </c>
      <c r="Q48">
        <f t="shared" ref="Q48" si="216">F48*P48</f>
        <v>5793681.084990968</v>
      </c>
      <c r="R48">
        <f t="shared" ref="R48" si="217">R49+Q48</f>
        <v>-199845359.91715702</v>
      </c>
      <c r="S48">
        <f t="shared" ref="S48" si="218">R48/100000</f>
        <v>-1998.4535991715702</v>
      </c>
      <c r="T48">
        <f t="shared" ref="T48" si="219">S48/1000</f>
        <v>-1.9984535991715702</v>
      </c>
    </row>
    <row r="49" spans="1:20" x14ac:dyDescent="0.25">
      <c r="A49" s="5">
        <v>44544</v>
      </c>
      <c r="B49">
        <v>1.4515</v>
      </c>
      <c r="C49">
        <v>1.4954000000000001</v>
      </c>
      <c r="D49">
        <v>1.3824000000000001</v>
      </c>
      <c r="E49">
        <v>1.4583999999999999</v>
      </c>
      <c r="F49">
        <v>5897439</v>
      </c>
      <c r="G49">
        <v>1.4583999999999999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0.34513274336282923</v>
      </c>
      <c r="Q49">
        <f t="shared" ref="Q49" si="221">F49*P49</f>
        <v>2035399.3008849402</v>
      </c>
      <c r="R49">
        <f t="shared" ref="R49" si="222">R50+Q49</f>
        <v>-205639041.002148</v>
      </c>
      <c r="S49">
        <f t="shared" ref="S49" si="223">R49/100000</f>
        <v>-2056.39041002148</v>
      </c>
      <c r="T49">
        <f t="shared" ref="T49" si="224">S49/1000</f>
        <v>-2.0563904100214798</v>
      </c>
    </row>
    <row r="50" spans="1:20" x14ac:dyDescent="0.25">
      <c r="A50" s="5">
        <v>44543</v>
      </c>
      <c r="B50">
        <v>1.6929000000000001</v>
      </c>
      <c r="C50">
        <v>1.7070000000000001</v>
      </c>
      <c r="D50">
        <v>1.4331</v>
      </c>
      <c r="E50">
        <v>1.4515</v>
      </c>
      <c r="F50">
        <v>4904373</v>
      </c>
      <c r="G50">
        <v>1.4515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-0.86564439576487795</v>
      </c>
      <c r="Q50">
        <f t="shared" ref="Q50" si="226">F50*P50</f>
        <v>-4245443.0021905815</v>
      </c>
      <c r="R50">
        <f t="shared" ref="R50" si="227">R51+Q50</f>
        <v>-207674440.30303293</v>
      </c>
      <c r="S50">
        <f t="shared" ref="S50" si="228">R50/100000</f>
        <v>-2076.7444030303295</v>
      </c>
      <c r="T50">
        <f t="shared" ref="T50" si="229">S50/1000</f>
        <v>-2.0767444030303297</v>
      </c>
    </row>
    <row r="51" spans="1:20" x14ac:dyDescent="0.25">
      <c r="A51" s="5">
        <v>44542</v>
      </c>
      <c r="B51">
        <v>1.6516999999999999</v>
      </c>
      <c r="C51">
        <v>1.7216</v>
      </c>
      <c r="D51">
        <v>1.6040000000000001</v>
      </c>
      <c r="E51">
        <v>1.6919999999999999</v>
      </c>
      <c r="F51">
        <v>2777992</v>
      </c>
      <c r="G51">
        <v>1.6919999999999999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0.49659863945578081</v>
      </c>
      <c r="Q51">
        <f t="shared" ref="Q51" si="231">F51*P51</f>
        <v>1379547.0476190434</v>
      </c>
      <c r="R51">
        <f t="shared" ref="R51" si="232">R52+Q51</f>
        <v>-203428997.30084234</v>
      </c>
      <c r="S51">
        <f t="shared" ref="S51" si="233">R51/100000</f>
        <v>-2034.2899730084234</v>
      </c>
      <c r="T51">
        <f t="shared" ref="T51" si="234">S51/1000</f>
        <v>-2.0342899730084234</v>
      </c>
    </row>
    <row r="52" spans="1:20" x14ac:dyDescent="0.25">
      <c r="A52" s="5">
        <v>44541</v>
      </c>
      <c r="B52">
        <v>1.5818000000000001</v>
      </c>
      <c r="C52">
        <v>1.5991</v>
      </c>
      <c r="D52">
        <v>1.5481</v>
      </c>
      <c r="E52">
        <v>1.5924</v>
      </c>
      <c r="F52">
        <v>213928</v>
      </c>
      <c r="G52">
        <v>1.5924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0.7372549019607868</v>
      </c>
      <c r="Q52">
        <f t="shared" ref="Q52" si="236">F52*P52</f>
        <v>157719.4666666672</v>
      </c>
      <c r="R52">
        <f t="shared" ref="R52" si="237">R53+Q52</f>
        <v>-204808544.34846139</v>
      </c>
      <c r="S52">
        <f t="shared" ref="S52" si="238">R52/100000</f>
        <v>-2048.0854434846137</v>
      </c>
      <c r="T52">
        <f t="shared" ref="T52" si="239">S52/1000</f>
        <v>-2.0480854434846139</v>
      </c>
    </row>
    <row r="53" spans="1:20" x14ac:dyDescent="0.25">
      <c r="A53" s="5">
        <v>44540</v>
      </c>
      <c r="B53">
        <v>1.6853</v>
      </c>
      <c r="C53">
        <v>1.7438</v>
      </c>
      <c r="D53">
        <v>1.5753999999999999</v>
      </c>
      <c r="E53">
        <v>1.5851999999999999</v>
      </c>
      <c r="F53">
        <v>4260587</v>
      </c>
      <c r="G53">
        <v>1.5851999999999999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-0.88361045130641303</v>
      </c>
      <c r="Q53">
        <f t="shared" ref="Q53" si="241">F53*P53</f>
        <v>-3764699.2019002363</v>
      </c>
      <c r="R53">
        <f t="shared" ref="R53" si="242">R54+Q53</f>
        <v>-204966263.81512806</v>
      </c>
      <c r="S53">
        <f t="shared" ref="S53" si="243">R53/100000</f>
        <v>-2049.6626381512806</v>
      </c>
      <c r="T53">
        <f t="shared" ref="T53" si="244">S53/1000</f>
        <v>-2.0496626381512808</v>
      </c>
    </row>
    <row r="54" spans="1:20" x14ac:dyDescent="0.25">
      <c r="A54" s="5">
        <v>44539</v>
      </c>
      <c r="B54">
        <v>1.9176</v>
      </c>
      <c r="C54">
        <v>1.9256</v>
      </c>
      <c r="D54">
        <v>1.677</v>
      </c>
      <c r="E54">
        <v>1.6865000000000001</v>
      </c>
      <c r="F54">
        <v>4034186</v>
      </c>
      <c r="G54">
        <v>1.6865000000000001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-0.92357200321802035</v>
      </c>
      <c r="Q54">
        <f t="shared" ref="Q54" si="246">F54*P54</f>
        <v>-3725861.2453740928</v>
      </c>
      <c r="R54">
        <f t="shared" ref="R54" si="247">R55+Q54</f>
        <v>-201201564.61322781</v>
      </c>
      <c r="S54">
        <f t="shared" ref="S54" si="248">R54/100000</f>
        <v>-2012.0156461322781</v>
      </c>
      <c r="T54">
        <f t="shared" ref="T54" si="249">S54/1000</f>
        <v>-2.0120156461322782</v>
      </c>
    </row>
    <row r="55" spans="1:20" x14ac:dyDescent="0.25">
      <c r="A55" s="5">
        <v>44538</v>
      </c>
      <c r="B55">
        <v>1.8489</v>
      </c>
      <c r="C55">
        <v>2.0177</v>
      </c>
      <c r="D55">
        <v>1.7406999999999999</v>
      </c>
      <c r="E55">
        <v>1.9160999999999999</v>
      </c>
      <c r="F55">
        <v>8678636</v>
      </c>
      <c r="G55">
        <v>1.9160999999999999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0.26642599277978279</v>
      </c>
      <c r="Q55">
        <f t="shared" ref="Q55" si="251">F55*P55</f>
        <v>2312214.2122743628</v>
      </c>
      <c r="R55">
        <f t="shared" ref="R55" si="252">R56+Q55</f>
        <v>-197475703.36785373</v>
      </c>
      <c r="S55">
        <f t="shared" ref="S55" si="253">R55/100000</f>
        <v>-1974.7570336785373</v>
      </c>
      <c r="T55">
        <f t="shared" ref="T55" si="254">S55/1000</f>
        <v>-1.9747570336785372</v>
      </c>
    </row>
    <row r="56" spans="1:20" x14ac:dyDescent="0.25">
      <c r="A56" s="5">
        <v>44537</v>
      </c>
      <c r="B56">
        <v>1.8231999999999999</v>
      </c>
      <c r="C56">
        <v>1.9373</v>
      </c>
      <c r="D56">
        <v>1.7816000000000001</v>
      </c>
      <c r="E56">
        <v>1.8472</v>
      </c>
      <c r="F56">
        <v>5330810</v>
      </c>
      <c r="G56">
        <v>1.8472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-0.15735388567758635</v>
      </c>
      <c r="Q56">
        <f t="shared" ref="Q56" si="256">F56*P56</f>
        <v>-838823.66730893403</v>
      </c>
      <c r="R56">
        <f t="shared" ref="R56" si="257">R57+Q56</f>
        <v>-199787917.5801281</v>
      </c>
      <c r="S56">
        <f t="shared" ref="S56" si="258">R56/100000</f>
        <v>-1997.879175801281</v>
      </c>
      <c r="T56">
        <f t="shared" ref="T56" si="259">S56/1000</f>
        <v>-1.997879175801281</v>
      </c>
    </row>
    <row r="57" spans="1:20" x14ac:dyDescent="0.25">
      <c r="A57" s="5">
        <v>44536</v>
      </c>
      <c r="B57">
        <v>1.7395</v>
      </c>
      <c r="C57">
        <v>1.8554999999999999</v>
      </c>
      <c r="D57">
        <v>1.5589</v>
      </c>
      <c r="E57">
        <v>1.8274999999999999</v>
      </c>
      <c r="F57">
        <v>8019159</v>
      </c>
      <c r="G57">
        <v>1.8274999999999999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0.81119352663519873</v>
      </c>
      <c r="Q57">
        <f t="shared" ref="Q57" si="261">F57*P57</f>
        <v>6505089.8698583934</v>
      </c>
      <c r="R57">
        <f t="shared" ref="R57" si="262">R58+Q57</f>
        <v>-198949093.91281918</v>
      </c>
      <c r="S57">
        <f t="shared" ref="S57" si="263">R57/100000</f>
        <v>-1989.4909391281917</v>
      </c>
      <c r="T57">
        <f t="shared" ref="T57" si="264">S57/1000</f>
        <v>-1.9894909391281916</v>
      </c>
    </row>
    <row r="58" spans="1:20" x14ac:dyDescent="0.25">
      <c r="A58" s="5">
        <v>44535</v>
      </c>
      <c r="B58">
        <v>1.8422000000000001</v>
      </c>
      <c r="C58">
        <v>1.99</v>
      </c>
      <c r="D58">
        <v>1.6678999999999999</v>
      </c>
      <c r="E58">
        <v>1.7377</v>
      </c>
      <c r="F58">
        <v>12722275</v>
      </c>
      <c r="G58">
        <v>1.7377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-0.56659422539583937</v>
      </c>
      <c r="Q58">
        <f t="shared" ref="Q58" si="266">F58*P58</f>
        <v>-7208367.5488978522</v>
      </c>
      <c r="R58">
        <f t="shared" ref="R58" si="267">R59+Q58</f>
        <v>-205454183.78267756</v>
      </c>
      <c r="S58">
        <f t="shared" ref="S58" si="268">R58/100000</f>
        <v>-2054.5418378267755</v>
      </c>
      <c r="T58">
        <f t="shared" ref="T58" si="269">S58/1000</f>
        <v>-2.0545418378267755</v>
      </c>
    </row>
    <row r="59" spans="1:20" x14ac:dyDescent="0.25">
      <c r="A59" s="5">
        <v>44534</v>
      </c>
      <c r="B59">
        <v>2.1440000000000001</v>
      </c>
      <c r="C59">
        <v>2.2000999999999999</v>
      </c>
      <c r="D59">
        <v>1.4037999999999999</v>
      </c>
      <c r="E59">
        <v>1.8445</v>
      </c>
      <c r="F59">
        <v>18940190</v>
      </c>
      <c r="G59">
        <v>1.8445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0.10686927037548684</v>
      </c>
      <c r="Q59">
        <f t="shared" ref="Q59" si="271">F59*P59</f>
        <v>2024124.2860730921</v>
      </c>
      <c r="R59">
        <f t="shared" ref="R59" si="272">R60+Q59</f>
        <v>-198245816.2337797</v>
      </c>
      <c r="S59">
        <f t="shared" ref="S59" si="273">R59/100000</f>
        <v>-1982.4581623377969</v>
      </c>
      <c r="T59">
        <f t="shared" ref="T59" si="274">S59/1000</f>
        <v>-1.9824581623377968</v>
      </c>
    </row>
    <row r="60" spans="1:20" x14ac:dyDescent="0.25">
      <c r="A60" s="5">
        <v>44533</v>
      </c>
      <c r="B60">
        <v>2.4237000000000002</v>
      </c>
      <c r="C60">
        <v>2.4258000000000002</v>
      </c>
      <c r="D60">
        <v>2.0680000000000001</v>
      </c>
      <c r="E60">
        <v>2.1467000000000001</v>
      </c>
      <c r="F60">
        <v>5713740</v>
      </c>
      <c r="G60">
        <v>2.1467000000000001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-0.56008943543879286</v>
      </c>
      <c r="Q60">
        <f t="shared" ref="Q60" si="276">F60*P60</f>
        <v>-3200205.4108440485</v>
      </c>
      <c r="R60">
        <f t="shared" ref="R60" si="277">R61+Q60</f>
        <v>-200269940.51985279</v>
      </c>
      <c r="S60">
        <f t="shared" ref="S60" si="278">R60/100000</f>
        <v>-2002.699405198528</v>
      </c>
      <c r="T60">
        <f t="shared" ref="T60" si="279">S60/1000</f>
        <v>-2.0026994051985278</v>
      </c>
    </row>
    <row r="61" spans="1:20" x14ac:dyDescent="0.25">
      <c r="A61" s="5">
        <v>44532</v>
      </c>
      <c r="B61">
        <v>2.5642</v>
      </c>
      <c r="C61">
        <v>2.5642</v>
      </c>
      <c r="D61">
        <v>2.3408000000000002</v>
      </c>
      <c r="E61">
        <v>2.4232999999999998</v>
      </c>
      <c r="F61">
        <v>4998931</v>
      </c>
      <c r="G61">
        <v>2.4232999999999998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-0.26141450313339626</v>
      </c>
      <c r="Q61">
        <f t="shared" ref="Q61" si="281">F61*P61</f>
        <v>-1306793.0635631317</v>
      </c>
      <c r="R61">
        <f t="shared" ref="R61" si="282">R62+Q61</f>
        <v>-197069735.10900873</v>
      </c>
      <c r="S61">
        <f t="shared" ref="S61" si="283">R61/100000</f>
        <v>-1970.6973510900873</v>
      </c>
      <c r="T61">
        <f t="shared" ref="T61" si="284">S61/1000</f>
        <v>-1.9706973510900874</v>
      </c>
    </row>
    <row r="62" spans="1:20" x14ac:dyDescent="0.25">
      <c r="A62" s="5">
        <v>44531</v>
      </c>
      <c r="B62">
        <v>2.6324000000000001</v>
      </c>
      <c r="C62">
        <v>2.637</v>
      </c>
      <c r="D62">
        <v>2.4773999999999998</v>
      </c>
      <c r="E62">
        <v>2.5661</v>
      </c>
      <c r="F62">
        <v>7518389</v>
      </c>
      <c r="G62">
        <v>2.5661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0.11152882205513934</v>
      </c>
      <c r="Q62">
        <f t="shared" ref="Q62" si="286">F62*P62</f>
        <v>838517.068922317</v>
      </c>
      <c r="R62">
        <f t="shared" ref="R62" si="287">R63+Q62</f>
        <v>-195762942.04544559</v>
      </c>
      <c r="S62">
        <f t="shared" ref="S62" si="288">R62/100000</f>
        <v>-1957.6294204544558</v>
      </c>
      <c r="T62">
        <f t="shared" ref="T62" si="289">S62/1000</f>
        <v>-1.9576294204544558</v>
      </c>
    </row>
    <row r="63" spans="1:20" x14ac:dyDescent="0.25">
      <c r="A63" s="5">
        <v>44530</v>
      </c>
      <c r="B63">
        <v>2.9504000000000001</v>
      </c>
      <c r="C63">
        <v>3.0259999999999998</v>
      </c>
      <c r="D63">
        <v>2.6116999999999999</v>
      </c>
      <c r="E63">
        <v>2.6278999999999999</v>
      </c>
      <c r="F63">
        <v>8159769</v>
      </c>
      <c r="G63">
        <v>2.6278999999999999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-0.92179580014482265</v>
      </c>
      <c r="Q63">
        <f t="shared" ref="Q63" si="291">F63*P63</f>
        <v>-7521640.7943519196</v>
      </c>
      <c r="R63">
        <f t="shared" ref="R63" si="292">R64+Q63</f>
        <v>-196601459.1143679</v>
      </c>
      <c r="S63">
        <f t="shared" ref="S63" si="293">R63/100000</f>
        <v>-1966.0145911436791</v>
      </c>
      <c r="T63">
        <f t="shared" ref="T63" si="294">S63/1000</f>
        <v>-1.966014591143679</v>
      </c>
    </row>
    <row r="64" spans="1:20" x14ac:dyDescent="0.25">
      <c r="A64" s="5">
        <v>44529</v>
      </c>
      <c r="B64">
        <v>2.7818000000000001</v>
      </c>
      <c r="C64">
        <v>3.1133000000000002</v>
      </c>
      <c r="D64">
        <v>2.7254</v>
      </c>
      <c r="E64">
        <v>2.9502000000000002</v>
      </c>
      <c r="F64">
        <v>21002535</v>
      </c>
      <c r="G64">
        <v>2.9502000000000002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0.1590616138179945</v>
      </c>
      <c r="Q64">
        <f t="shared" ref="Q64" si="296">F64*P64</f>
        <v>3340697.1113689132</v>
      </c>
      <c r="R64">
        <f t="shared" ref="R64" si="297">R65+Q64</f>
        <v>-189079818.320016</v>
      </c>
      <c r="S64">
        <f t="shared" ref="S64" si="298">R64/100000</f>
        <v>-1890.7981832001599</v>
      </c>
      <c r="T64">
        <f t="shared" ref="T64" si="299">S64/1000</f>
        <v>-1.8907981832001599</v>
      </c>
    </row>
    <row r="65" spans="1:20" x14ac:dyDescent="0.25">
      <c r="A65" s="5">
        <v>44528</v>
      </c>
      <c r="B65">
        <v>2.8370000000000002</v>
      </c>
      <c r="C65">
        <v>2.9815999999999998</v>
      </c>
      <c r="D65">
        <v>2.5038</v>
      </c>
      <c r="E65">
        <v>2.7863000000000002</v>
      </c>
      <c r="F65">
        <v>18549268</v>
      </c>
      <c r="G65">
        <v>2.7863000000000002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0.182503139388867</v>
      </c>
      <c r="Q65">
        <f t="shared" ref="Q65" si="301">F65*P65</f>
        <v>3385299.6433654502</v>
      </c>
      <c r="R65">
        <f t="shared" ref="R65" si="302">R66+Q65</f>
        <v>-192420515.43138492</v>
      </c>
      <c r="S65">
        <f t="shared" ref="S65" si="303">R65/100000</f>
        <v>-1924.2051543138491</v>
      </c>
      <c r="T65">
        <f t="shared" ref="T65" si="304">S65/1000</f>
        <v>-1.9242051543138492</v>
      </c>
    </row>
    <row r="66" spans="1:20" x14ac:dyDescent="0.25">
      <c r="A66" s="5">
        <v>44527</v>
      </c>
      <c r="B66">
        <v>2.7404999999999999</v>
      </c>
      <c r="C66">
        <v>3.5167000000000002</v>
      </c>
      <c r="D66">
        <v>2.7008999999999999</v>
      </c>
      <c r="E66">
        <v>2.8344999999999998</v>
      </c>
      <c r="F66">
        <v>52919586.460000001</v>
      </c>
      <c r="G66">
        <v>2.8344999999999998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-0.67246874233880882</v>
      </c>
      <c r="Q66">
        <f t="shared" ref="Q66" si="306">F66*P66</f>
        <v>-35586767.75184606</v>
      </c>
      <c r="R66">
        <f t="shared" ref="R66" si="307">R67+Q66</f>
        <v>-195805815.07475036</v>
      </c>
      <c r="S66">
        <f t="shared" ref="S66" si="308">R66/100000</f>
        <v>-1958.0581507475035</v>
      </c>
      <c r="T66">
        <f t="shared" ref="T66" si="309">S66/1000</f>
        <v>-1.9580581507475034</v>
      </c>
    </row>
    <row r="67" spans="1:20" x14ac:dyDescent="0.25">
      <c r="A67" s="5">
        <v>44526</v>
      </c>
      <c r="B67">
        <v>2.2040999999999999</v>
      </c>
      <c r="C67">
        <v>3.2997999999999998</v>
      </c>
      <c r="D67">
        <v>2.161</v>
      </c>
      <c r="E67">
        <v>2.7408999999999999</v>
      </c>
      <c r="F67">
        <v>112381604.19</v>
      </c>
      <c r="G67">
        <v>2.7408999999999999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1.8440463645943019E-2</v>
      </c>
      <c r="Q67">
        <f t="shared" ref="Q67" si="311">F67*P67</f>
        <v>2072368.8865384525</v>
      </c>
      <c r="R67">
        <f t="shared" ref="R67" si="312">R68+Q67</f>
        <v>-160219047.32290429</v>
      </c>
      <c r="S67">
        <f t="shared" ref="S67" si="313">R67/100000</f>
        <v>-1602.1904732290429</v>
      </c>
      <c r="T67">
        <f t="shared" ref="T67" si="314">S67/1000</f>
        <v>-1.6021904732290428</v>
      </c>
    </row>
    <row r="68" spans="1:20" x14ac:dyDescent="0.25">
      <c r="A68" s="5">
        <v>44525</v>
      </c>
      <c r="B68">
        <v>2.2250000000000001</v>
      </c>
      <c r="C68">
        <v>2.3612000000000002</v>
      </c>
      <c r="D68">
        <v>2.0611999999999999</v>
      </c>
      <c r="E68">
        <v>2.2042000000000002</v>
      </c>
      <c r="F68">
        <v>15423033</v>
      </c>
      <c r="G68">
        <v>2.2042000000000002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-4.6666666666665926E-2</v>
      </c>
      <c r="Q68">
        <f t="shared" ref="Q68" si="316">F68*P68</f>
        <v>-719741.53999998863</v>
      </c>
      <c r="R68">
        <f t="shared" ref="R68" si="317">R69+Q68</f>
        <v>-162291416.20944273</v>
      </c>
      <c r="S68">
        <f t="shared" ref="S68" si="318">R68/100000</f>
        <v>-1622.9141620944274</v>
      </c>
      <c r="T68">
        <f t="shared" ref="T68" si="319">S68/1000</f>
        <v>-1.6229141620944274</v>
      </c>
    </row>
    <row r="69" spans="1:20" x14ac:dyDescent="0.25">
      <c r="A69" s="5">
        <v>44524</v>
      </c>
      <c r="B69">
        <v>2.0278999999999998</v>
      </c>
      <c r="C69">
        <v>2.1463999999999999</v>
      </c>
      <c r="D69">
        <v>2.0015000000000001</v>
      </c>
      <c r="E69">
        <v>2.1139999999999999</v>
      </c>
      <c r="F69">
        <v>9179517</v>
      </c>
      <c r="G69">
        <v>2.1139999999999999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0.55279503105590022</v>
      </c>
      <c r="Q69">
        <f t="shared" ref="Q69" si="321">F69*P69</f>
        <v>5074391.3850931637</v>
      </c>
      <c r="R69">
        <f t="shared" ref="R69" si="322">R70+Q69</f>
        <v>-161571674.66944274</v>
      </c>
      <c r="S69">
        <f t="shared" ref="S69" si="323">R69/100000</f>
        <v>-1615.7167466944275</v>
      </c>
      <c r="T69">
        <f t="shared" ref="T69" si="324">S69/1000</f>
        <v>-1.6157167466944276</v>
      </c>
    </row>
    <row r="70" spans="1:20" x14ac:dyDescent="0.25">
      <c r="A70" s="5">
        <v>44523</v>
      </c>
      <c r="B70">
        <v>1.9617</v>
      </c>
      <c r="C70">
        <v>2.0672999999999999</v>
      </c>
      <c r="D70">
        <v>1.8900999999999999</v>
      </c>
      <c r="E70">
        <v>2.0278999999999998</v>
      </c>
      <c r="F70">
        <v>10285337</v>
      </c>
      <c r="G70">
        <v>2.0278999999999998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0.5553047404063195</v>
      </c>
      <c r="Q70">
        <f t="shared" ref="Q70" si="326">F70*P70</f>
        <v>5711496.3927765125</v>
      </c>
      <c r="R70">
        <f t="shared" ref="R70" si="327">R71+Q70</f>
        <v>-166646066.0545359</v>
      </c>
      <c r="S70">
        <f t="shared" ref="S70" si="328">R70/100000</f>
        <v>-1666.4606605453589</v>
      </c>
      <c r="T70">
        <f t="shared" ref="T70" si="329">S70/1000</f>
        <v>-1.6664606605453589</v>
      </c>
    </row>
    <row r="71" spans="1:20" x14ac:dyDescent="0.25">
      <c r="A71" s="5">
        <v>44522</v>
      </c>
      <c r="B71">
        <v>1.9642999999999999</v>
      </c>
      <c r="C71">
        <v>2.2039</v>
      </c>
      <c r="D71">
        <v>1.8141</v>
      </c>
      <c r="E71">
        <v>1.9626999999999999</v>
      </c>
      <c r="F71">
        <v>21093867</v>
      </c>
      <c r="G71">
        <v>1.9626999999999999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-0.23755772190867178</v>
      </c>
      <c r="Q71">
        <f t="shared" ref="Q71" si="331">F71*P71</f>
        <v>-5011010.990764509</v>
      </c>
      <c r="R71">
        <f t="shared" ref="R71" si="332">R72+Q71</f>
        <v>-172357562.44731241</v>
      </c>
      <c r="S71">
        <f t="shared" ref="S71" si="333">R71/100000</f>
        <v>-1723.5756244731242</v>
      </c>
      <c r="T71">
        <f t="shared" ref="T71" si="334">S71/1000</f>
        <v>-1.7235756244731242</v>
      </c>
    </row>
    <row r="72" spans="1:20" x14ac:dyDescent="0.25">
      <c r="A72" s="5">
        <v>44521</v>
      </c>
      <c r="B72">
        <v>2.1597</v>
      </c>
      <c r="C72">
        <v>2.1629999999999998</v>
      </c>
      <c r="D72">
        <v>1.9523999999999999</v>
      </c>
      <c r="E72">
        <v>1.9616</v>
      </c>
      <c r="F72">
        <v>10262501</v>
      </c>
      <c r="G72">
        <v>1.9616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-0.912630579297245</v>
      </c>
      <c r="Q72">
        <f t="shared" ref="Q72" si="336">F72*P72</f>
        <v>-9365872.2326685563</v>
      </c>
      <c r="R72">
        <f t="shared" ref="R72" si="337">R73+Q72</f>
        <v>-167346551.45654792</v>
      </c>
      <c r="S72">
        <f t="shared" ref="S72" si="338">R72/100000</f>
        <v>-1673.4655145654792</v>
      </c>
      <c r="T72">
        <f t="shared" ref="T72" si="339">S72/1000</f>
        <v>-1.6734655145654793</v>
      </c>
    </row>
    <row r="73" spans="1:20" x14ac:dyDescent="0.25">
      <c r="A73" s="5">
        <v>44520</v>
      </c>
      <c r="B73">
        <v>2.0783</v>
      </c>
      <c r="C73">
        <v>2.3772000000000002</v>
      </c>
      <c r="D73">
        <v>2.0264000000000002</v>
      </c>
      <c r="E73">
        <v>2.1596000000000002</v>
      </c>
      <c r="F73">
        <v>34850945</v>
      </c>
      <c r="G73">
        <v>2.1596000000000002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-0.24059293044469793</v>
      </c>
      <c r="Q73">
        <f t="shared" ref="Q73" si="341">F73*P73</f>
        <v>-8384890.9863169929</v>
      </c>
      <c r="R73">
        <f t="shared" ref="R73" si="342">R74+Q73</f>
        <v>-157980679.22387937</v>
      </c>
      <c r="S73">
        <f t="shared" ref="S73" si="343">R73/100000</f>
        <v>-1579.8067922387936</v>
      </c>
      <c r="T73">
        <f t="shared" ref="T73" si="344">S73/1000</f>
        <v>-1.5798067922387935</v>
      </c>
    </row>
    <row r="74" spans="1:20" x14ac:dyDescent="0.25">
      <c r="A74" s="5">
        <v>44519</v>
      </c>
      <c r="B74">
        <v>1.7274</v>
      </c>
      <c r="C74">
        <v>2.2244000000000002</v>
      </c>
      <c r="D74">
        <v>1.6761999999999999</v>
      </c>
      <c r="E74">
        <v>2.0750000000000002</v>
      </c>
      <c r="F74">
        <v>51244955</v>
      </c>
      <c r="G74">
        <v>2.0750000000000002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0.45494345129514807</v>
      </c>
      <c r="Q74">
        <f t="shared" ref="Q74" si="346">F74*P74</f>
        <v>23313556.689164553</v>
      </c>
      <c r="R74">
        <f t="shared" ref="R74" si="347">R75+Q74</f>
        <v>-149595788.23756239</v>
      </c>
      <c r="S74">
        <f t="shared" ref="S74" si="348">R74/100000</f>
        <v>-1495.957882375624</v>
      </c>
      <c r="T74">
        <f t="shared" ref="T74" si="349">S74/1000</f>
        <v>-1.4959578823756239</v>
      </c>
    </row>
    <row r="75" spans="1:20" x14ac:dyDescent="0.25">
      <c r="A75" s="5">
        <v>44518</v>
      </c>
      <c r="B75">
        <v>1.7088000000000001</v>
      </c>
      <c r="C75">
        <v>2.4192999999999998</v>
      </c>
      <c r="D75">
        <v>1.6618999999999999</v>
      </c>
      <c r="E75">
        <v>1.7289000000000001</v>
      </c>
      <c r="F75">
        <v>75123879</v>
      </c>
      <c r="G75">
        <v>1.7289000000000001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-0.82307895431740119</v>
      </c>
      <c r="Q75">
        <f t="shared" ref="Q75" si="351">F75*P75</f>
        <v>-61832883.771586977</v>
      </c>
      <c r="R75">
        <f t="shared" ref="R75" si="352">R76+Q75</f>
        <v>-172909344.92672694</v>
      </c>
      <c r="S75">
        <f t="shared" ref="S75" si="353">R75/100000</f>
        <v>-1729.0934492672693</v>
      </c>
      <c r="T75">
        <f t="shared" ref="T75" si="354">S75/1000</f>
        <v>-1.7290934492672694</v>
      </c>
    </row>
    <row r="76" spans="1:20" x14ac:dyDescent="0.25">
      <c r="A76" s="5">
        <v>44517</v>
      </c>
      <c r="B76">
        <v>1.5989</v>
      </c>
      <c r="C76">
        <v>1.8421000000000001</v>
      </c>
      <c r="D76">
        <v>1.5843</v>
      </c>
      <c r="E76">
        <v>1.7099</v>
      </c>
      <c r="F76">
        <v>17797641</v>
      </c>
      <c r="G76">
        <v>1.7099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-2.5601241272304735E-2</v>
      </c>
      <c r="Q76">
        <f t="shared" ref="Q76" si="356">F76*P76</f>
        <v>-455641.70131886291</v>
      </c>
      <c r="R76">
        <f t="shared" ref="R76" si="357">R77+Q76</f>
        <v>-111076461.15513995</v>
      </c>
      <c r="S76">
        <f t="shared" ref="S76" si="358">R76/100000</f>
        <v>-1110.7646115513996</v>
      </c>
      <c r="T76">
        <f t="shared" ref="T76" si="359">S76/1000</f>
        <v>-1.1107646115513996</v>
      </c>
    </row>
    <row r="77" spans="1:20" x14ac:dyDescent="0.25">
      <c r="A77" s="5">
        <v>44516</v>
      </c>
      <c r="B77">
        <v>1.7689999999999999</v>
      </c>
      <c r="C77">
        <v>1.7715000000000001</v>
      </c>
      <c r="D77">
        <v>1.4417</v>
      </c>
      <c r="E77">
        <v>1.5981000000000001</v>
      </c>
      <c r="F77">
        <v>10114992</v>
      </c>
      <c r="G77">
        <v>1.5981000000000001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-5.1546391752577012E-2</v>
      </c>
      <c r="Q77">
        <f t="shared" ref="Q77" si="361">F77*P77</f>
        <v>-521391.34020618245</v>
      </c>
      <c r="R77">
        <f t="shared" ref="R77" si="362">R78+Q77</f>
        <v>-110620819.45382109</v>
      </c>
      <c r="S77">
        <f t="shared" ref="S77" si="363">R77/100000</f>
        <v>-1106.2081945382108</v>
      </c>
      <c r="T77">
        <f t="shared" ref="T77" si="364">S77/1000</f>
        <v>-1.1062081945382107</v>
      </c>
    </row>
    <row r="78" spans="1:20" x14ac:dyDescent="0.25">
      <c r="A78" s="5">
        <v>44515</v>
      </c>
      <c r="B78">
        <v>1.7356</v>
      </c>
      <c r="C78">
        <v>1.8777999999999999</v>
      </c>
      <c r="D78">
        <v>1.7034</v>
      </c>
      <c r="E78">
        <v>1.7675000000000001</v>
      </c>
      <c r="F78">
        <v>14009761</v>
      </c>
      <c r="G78">
        <v>1.7675000000000001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-0.26490825688073294</v>
      </c>
      <c r="Q78">
        <f t="shared" ref="Q78" si="366">F78*P78</f>
        <v>-3711301.365825674</v>
      </c>
      <c r="R78">
        <f t="shared" ref="R78" si="367">R79+Q78</f>
        <v>-110099428.11361492</v>
      </c>
      <c r="S78">
        <f t="shared" ref="S78" si="368">R78/100000</f>
        <v>-1100.9942811361491</v>
      </c>
      <c r="T78">
        <f t="shared" ref="T78" si="369">S78/1000</f>
        <v>-1.1009942811361491</v>
      </c>
    </row>
    <row r="79" spans="1:20" x14ac:dyDescent="0.25">
      <c r="A79" s="5">
        <v>44514</v>
      </c>
      <c r="B79">
        <v>1.6568000000000001</v>
      </c>
      <c r="C79">
        <v>1.8152999999999999</v>
      </c>
      <c r="D79">
        <v>1.6377999999999999</v>
      </c>
      <c r="E79">
        <v>1.7358</v>
      </c>
      <c r="F79">
        <v>17064634</v>
      </c>
      <c r="G79">
        <v>1.7358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0.1042253521126771</v>
      </c>
      <c r="Q79">
        <f t="shared" ref="Q79" si="371">F79*P79</f>
        <v>1778567.4873239615</v>
      </c>
      <c r="R79">
        <f t="shared" ref="R79" si="372">R80+Q79</f>
        <v>-106388126.74778925</v>
      </c>
      <c r="S79">
        <f t="shared" ref="S79" si="373">R79/100000</f>
        <v>-1063.8812674778924</v>
      </c>
      <c r="T79">
        <f t="shared" ref="T79" si="374">S79/1000</f>
        <v>-1.0638812674778924</v>
      </c>
    </row>
    <row r="80" spans="1:20" x14ac:dyDescent="0.25">
      <c r="A80" s="5">
        <v>44513</v>
      </c>
      <c r="B80">
        <v>1.6231</v>
      </c>
      <c r="C80">
        <v>1.8867</v>
      </c>
      <c r="D80">
        <v>1.6106</v>
      </c>
      <c r="E80">
        <v>1.6577999999999999</v>
      </c>
      <c r="F80">
        <v>34380684</v>
      </c>
      <c r="G80">
        <v>1.6577999999999999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-0.65809489315465475</v>
      </c>
      <c r="Q80">
        <f t="shared" ref="Q80" si="376">F80*P80</f>
        <v>-22625752.563563947</v>
      </c>
      <c r="R80">
        <f t="shared" ref="R80" si="377">R81+Q80</f>
        <v>-108166694.2351132</v>
      </c>
      <c r="S80">
        <f t="shared" ref="S80" si="378">R80/100000</f>
        <v>-1081.6669423511321</v>
      </c>
      <c r="T80">
        <f t="shared" ref="T80" si="379">S80/1000</f>
        <v>-1.081666942351132</v>
      </c>
    </row>
    <row r="81" spans="1:20" x14ac:dyDescent="0.25">
      <c r="A81" s="5">
        <v>44512</v>
      </c>
      <c r="B81">
        <v>1.5175000000000001</v>
      </c>
      <c r="C81">
        <v>1.7806</v>
      </c>
      <c r="D81">
        <v>1.4836</v>
      </c>
      <c r="E81">
        <v>1.6234</v>
      </c>
      <c r="F81">
        <v>31065789</v>
      </c>
      <c r="G81">
        <v>1.6234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-5.8585858585858873E-2</v>
      </c>
      <c r="Q81">
        <f t="shared" ref="Q81" si="381">F81*P81</f>
        <v>-1820015.9212121302</v>
      </c>
      <c r="R81">
        <f t="shared" ref="R81" si="382">R82+Q81</f>
        <v>-85540941.671549261</v>
      </c>
      <c r="S81">
        <f t="shared" ref="S81" si="383">R81/100000</f>
        <v>-855.40941671549263</v>
      </c>
      <c r="T81">
        <f t="shared" ref="T81" si="384">S81/1000</f>
        <v>-0.85540941671549264</v>
      </c>
    </row>
    <row r="82" spans="1:20" x14ac:dyDescent="0.25">
      <c r="A82" s="5">
        <v>44511</v>
      </c>
      <c r="B82">
        <v>1.4891000000000001</v>
      </c>
      <c r="C82">
        <v>1.5397000000000001</v>
      </c>
      <c r="D82">
        <v>1.4630000000000001</v>
      </c>
      <c r="E82">
        <v>1.518</v>
      </c>
      <c r="F82">
        <v>4985887</v>
      </c>
      <c r="G82">
        <v>1.518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0.43415906127770393</v>
      </c>
      <c r="Q82">
        <f t="shared" ref="Q82" si="386">F82*P82</f>
        <v>2164668.0195567072</v>
      </c>
      <c r="R82">
        <f t="shared" ref="R82" si="387">R83+Q82</f>
        <v>-83720925.750337124</v>
      </c>
      <c r="S82">
        <f t="shared" ref="S82" si="388">R82/100000</f>
        <v>-837.20925750337119</v>
      </c>
      <c r="T82">
        <f t="shared" ref="T82" si="389">S82/1000</f>
        <v>-0.83720925750337116</v>
      </c>
    </row>
    <row r="83" spans="1:20" x14ac:dyDescent="0.25">
      <c r="A83" s="5">
        <v>44510</v>
      </c>
      <c r="B83">
        <v>1.6072</v>
      </c>
      <c r="C83">
        <v>1.71</v>
      </c>
      <c r="D83">
        <v>1.3616999999999999</v>
      </c>
      <c r="E83">
        <v>1.4897</v>
      </c>
      <c r="F83">
        <v>12096143</v>
      </c>
      <c r="G83">
        <v>1.4897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-0.26500143554407068</v>
      </c>
      <c r="Q83">
        <f t="shared" ref="Q83" si="391">F83*P83</f>
        <v>-3205495.2595463619</v>
      </c>
      <c r="R83">
        <f t="shared" ref="R83" si="392">R84+Q83</f>
        <v>-85885593.769893825</v>
      </c>
      <c r="S83">
        <f t="shared" ref="S83" si="393">R83/100000</f>
        <v>-858.85593769893831</v>
      </c>
      <c r="T83">
        <f t="shared" ref="T83" si="394">S83/1000</f>
        <v>-0.85885593769893831</v>
      </c>
    </row>
    <row r="84" spans="1:20" x14ac:dyDescent="0.25">
      <c r="A84" s="5">
        <v>44509</v>
      </c>
      <c r="B84">
        <v>1.6158999999999999</v>
      </c>
      <c r="C84">
        <v>1.6477999999999999</v>
      </c>
      <c r="D84">
        <v>1.5838000000000001</v>
      </c>
      <c r="E84">
        <v>1.6085</v>
      </c>
      <c r="F84">
        <v>5634853</v>
      </c>
      <c r="G84">
        <v>1.6085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-0.22812499999999974</v>
      </c>
      <c r="Q84">
        <f t="shared" ref="Q84" si="396">F84*P84</f>
        <v>-1285450.8406249986</v>
      </c>
      <c r="R84">
        <f t="shared" ref="R84" si="397">R85+Q84</f>
        <v>-82680098.510347456</v>
      </c>
      <c r="S84">
        <f t="shared" ref="S84" si="398">R84/100000</f>
        <v>-826.80098510347455</v>
      </c>
      <c r="T84">
        <f t="shared" ref="T84" si="399">S84/1000</f>
        <v>-0.82680098510347455</v>
      </c>
    </row>
    <row r="85" spans="1:20" x14ac:dyDescent="0.25">
      <c r="A85" s="5">
        <v>44508</v>
      </c>
      <c r="B85">
        <v>1.6527000000000001</v>
      </c>
      <c r="C85">
        <v>1.657</v>
      </c>
      <c r="D85">
        <v>1.5539000000000001</v>
      </c>
      <c r="E85">
        <v>1.6155999999999999</v>
      </c>
      <c r="F85">
        <v>7712714</v>
      </c>
      <c r="G85">
        <v>1.6155999999999999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0.19689621726478923</v>
      </c>
      <c r="Q85">
        <f t="shared" ref="Q85" si="401">F85*P85</f>
        <v>1518604.2114451816</v>
      </c>
      <c r="R85">
        <f t="shared" ref="R85" si="402">R86+Q85</f>
        <v>-81394647.669722453</v>
      </c>
      <c r="S85">
        <f t="shared" ref="S85" si="403">R85/100000</f>
        <v>-813.94647669722451</v>
      </c>
      <c r="T85">
        <f t="shared" ref="T85" si="404">S85/1000</f>
        <v>-0.81394647669722453</v>
      </c>
    </row>
    <row r="86" spans="1:20" x14ac:dyDescent="0.25">
      <c r="A86" s="5">
        <v>44507</v>
      </c>
      <c r="B86">
        <v>1.6696</v>
      </c>
      <c r="C86">
        <v>1.7282999999999999</v>
      </c>
      <c r="D86">
        <v>1.6355</v>
      </c>
      <c r="E86">
        <v>1.651</v>
      </c>
      <c r="F86">
        <v>6623416</v>
      </c>
      <c r="G86">
        <v>1.651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-0.6659482758620674</v>
      </c>
      <c r="Q86">
        <f t="shared" ref="Q86" si="406">F86*P86</f>
        <v>-4410852.4655172313</v>
      </c>
      <c r="R86">
        <f t="shared" ref="R86" si="407">R87+Q86</f>
        <v>-82913251.881167635</v>
      </c>
      <c r="S86">
        <f t="shared" ref="S86" si="408">R86/100000</f>
        <v>-829.13251881167639</v>
      </c>
      <c r="T86">
        <f t="shared" ref="T86" si="409">S86/1000</f>
        <v>-0.82913251881167638</v>
      </c>
    </row>
    <row r="87" spans="1:20" x14ac:dyDescent="0.25">
      <c r="A87" s="5">
        <v>44506</v>
      </c>
      <c r="B87">
        <v>1.6166</v>
      </c>
      <c r="C87">
        <v>1.6931</v>
      </c>
      <c r="D87">
        <v>1.5703</v>
      </c>
      <c r="E87">
        <v>1.6718999999999999</v>
      </c>
      <c r="F87">
        <v>10117508</v>
      </c>
      <c r="G87">
        <v>1.6718999999999999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0.65472312703582891</v>
      </c>
      <c r="Q87">
        <f t="shared" ref="Q87" si="411">F87*P87</f>
        <v>6624166.4755700156</v>
      </c>
      <c r="R87">
        <f t="shared" ref="R87" si="412">R88+Q87</f>
        <v>-78502399.415650398</v>
      </c>
      <c r="S87">
        <f t="shared" ref="S87" si="413">R87/100000</f>
        <v>-785.02399415650393</v>
      </c>
      <c r="T87">
        <f t="shared" ref="T87" si="414">S87/1000</f>
        <v>-0.78502399415650392</v>
      </c>
    </row>
    <row r="88" spans="1:20" x14ac:dyDescent="0.25">
      <c r="A88" s="5">
        <v>44505</v>
      </c>
      <c r="B88">
        <v>1.6192</v>
      </c>
      <c r="C88">
        <v>1.7394000000000001</v>
      </c>
      <c r="D88">
        <v>1.5823</v>
      </c>
      <c r="E88">
        <v>1.6176999999999999</v>
      </c>
      <c r="F88">
        <v>14734773</v>
      </c>
      <c r="G88">
        <v>1.6176999999999999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-0.54933163590070178</v>
      </c>
      <c r="Q88">
        <f t="shared" ref="Q88" si="416">F88*P88</f>
        <v>-8094276.9567154916</v>
      </c>
      <c r="R88">
        <f t="shared" ref="R88" si="417">R89+Q88</f>
        <v>-85126565.891220421</v>
      </c>
      <c r="S88">
        <f t="shared" ref="S88" si="418">R88/100000</f>
        <v>-851.26565891220423</v>
      </c>
      <c r="T88">
        <f t="shared" ref="T88" si="419">S88/1000</f>
        <v>-0.85126565891220418</v>
      </c>
    </row>
    <row r="89" spans="1:20" x14ac:dyDescent="0.25">
      <c r="A89" s="5">
        <v>44504</v>
      </c>
      <c r="B89">
        <v>1.7079</v>
      </c>
      <c r="C89">
        <v>1.7079</v>
      </c>
      <c r="D89">
        <v>1.5642</v>
      </c>
      <c r="E89">
        <v>1.6188</v>
      </c>
      <c r="F89">
        <v>10114242</v>
      </c>
      <c r="G89">
        <v>1.6188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-0.24008350730688929</v>
      </c>
      <c r="Q89">
        <f t="shared" ref="Q89" si="421">F89*P89</f>
        <v>-2428262.6931106467</v>
      </c>
      <c r="R89">
        <f t="shared" ref="R89" si="422">R90+Q89</f>
        <v>-77032288.934504926</v>
      </c>
      <c r="S89">
        <f t="shared" ref="S89" si="423">R89/100000</f>
        <v>-770.32288934504925</v>
      </c>
      <c r="T89">
        <f t="shared" ref="T89" si="424">S89/1000</f>
        <v>-0.77032288934504922</v>
      </c>
    </row>
    <row r="90" spans="1:20" x14ac:dyDescent="0.25">
      <c r="A90" s="5">
        <v>44503</v>
      </c>
      <c r="B90">
        <v>1.8608</v>
      </c>
      <c r="C90">
        <v>1.8608</v>
      </c>
      <c r="D90">
        <v>1.6547000000000001</v>
      </c>
      <c r="E90">
        <v>1.7064999999999999</v>
      </c>
      <c r="F90">
        <v>14681765</v>
      </c>
      <c r="G90">
        <v>1.7064999999999999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-0.49733139252790043</v>
      </c>
      <c r="Q90">
        <f t="shared" ref="Q90" si="426">F90*P90</f>
        <v>-7301702.6322173905</v>
      </c>
      <c r="R90">
        <f t="shared" ref="R90" si="427">R91+Q90</f>
        <v>-74604026.241394281</v>
      </c>
      <c r="S90">
        <f t="shared" ref="S90" si="428">R90/100000</f>
        <v>-746.04026241394286</v>
      </c>
      <c r="T90">
        <f t="shared" ref="T90" si="429">S90/1000</f>
        <v>-0.74604026241394283</v>
      </c>
    </row>
    <row r="91" spans="1:20" x14ac:dyDescent="0.25">
      <c r="A91" s="5">
        <v>44502</v>
      </c>
      <c r="B91">
        <v>1.8506</v>
      </c>
      <c r="C91">
        <v>2.2000000000000002</v>
      </c>
      <c r="D91">
        <v>1.7991999999999999</v>
      </c>
      <c r="E91">
        <v>1.8559000000000001</v>
      </c>
      <c r="F91">
        <v>40314045</v>
      </c>
      <c r="G91">
        <v>1.8559000000000001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-0.71706586826347229</v>
      </c>
      <c r="Q91">
        <f t="shared" ref="Q91" si="431">F91*P91</f>
        <v>-28907825.681137692</v>
      </c>
      <c r="R91">
        <f t="shared" ref="R91" si="432">R92+Q91</f>
        <v>-67302323.609176889</v>
      </c>
      <c r="S91">
        <f t="shared" ref="S91" si="433">R91/100000</f>
        <v>-673.02323609176892</v>
      </c>
      <c r="T91">
        <f t="shared" ref="T91" si="434">S91/1000</f>
        <v>-0.67302323609176895</v>
      </c>
    </row>
    <row r="92" spans="1:20" x14ac:dyDescent="0.25">
      <c r="A92" s="5">
        <v>44501</v>
      </c>
      <c r="B92">
        <v>2.0278</v>
      </c>
      <c r="C92">
        <v>2.0457999999999998</v>
      </c>
      <c r="D92">
        <v>1.667</v>
      </c>
      <c r="E92">
        <v>1.8528</v>
      </c>
      <c r="F92">
        <v>99618726</v>
      </c>
      <c r="G92">
        <v>1.8528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-1.9007391763463242E-2</v>
      </c>
      <c r="Q92">
        <f t="shared" ref="Q92" si="436">F92*P92</f>
        <v>-1893492.1520591015</v>
      </c>
      <c r="R92">
        <f t="shared" ref="R92" si="437">R93+Q92</f>
        <v>-38394497.928039201</v>
      </c>
      <c r="S92">
        <f t="shared" ref="S92" si="438">R92/100000</f>
        <v>-383.94497928039203</v>
      </c>
      <c r="T92">
        <f t="shared" ref="T92" si="439">S92/1000</f>
        <v>-0.38394497928039201</v>
      </c>
    </row>
    <row r="93" spans="1:20" x14ac:dyDescent="0.25">
      <c r="A93" s="5">
        <v>44500</v>
      </c>
      <c r="B93">
        <v>1.3248</v>
      </c>
      <c r="C93">
        <v>2.9864000000000002</v>
      </c>
      <c r="D93">
        <v>1.296</v>
      </c>
      <c r="E93">
        <v>2.0299</v>
      </c>
      <c r="F93">
        <v>336556486.86000001</v>
      </c>
      <c r="G93">
        <v>2.0299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-0.13168480832938956</v>
      </c>
      <c r="Q93">
        <f t="shared" ref="Q93" si="441">F93*P93</f>
        <v>-44319376.464171819</v>
      </c>
      <c r="R93">
        <f t="shared" ref="R93" si="442">R94+Q93</f>
        <v>-36501005.7759801</v>
      </c>
      <c r="S93">
        <f t="shared" ref="S93" si="443">R93/100000</f>
        <v>-365.01005775980099</v>
      </c>
      <c r="T93">
        <f t="shared" ref="T93" si="444">S93/1000</f>
        <v>-0.365010057759801</v>
      </c>
    </row>
    <row r="94" spans="1:20" x14ac:dyDescent="0.25">
      <c r="A94" s="5">
        <v>44499</v>
      </c>
      <c r="B94">
        <v>1.2506999999999999</v>
      </c>
      <c r="C94">
        <v>1.3472999999999999</v>
      </c>
      <c r="D94">
        <v>1.2020999999999999</v>
      </c>
      <c r="E94">
        <v>1.3225</v>
      </c>
      <c r="F94">
        <v>6881430</v>
      </c>
      <c r="G94">
        <v>1.3225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0.65840220385675019</v>
      </c>
      <c r="Q94">
        <f t="shared" ref="Q94" si="446">F94*P94</f>
        <v>4530748.6776859565</v>
      </c>
      <c r="R94">
        <f t="shared" ref="R94" si="447">R95+Q94</f>
        <v>7818370.6881917194</v>
      </c>
      <c r="S94">
        <f t="shared" ref="S94" si="448">R94/100000</f>
        <v>78.183706881917189</v>
      </c>
      <c r="T94">
        <f t="shared" ref="T94" si="449">S94/1000</f>
        <v>7.8183706881917184E-2</v>
      </c>
    </row>
    <row r="95" spans="1:20" x14ac:dyDescent="0.25">
      <c r="A95" s="5">
        <v>44498</v>
      </c>
      <c r="B95">
        <v>1.1967000000000001</v>
      </c>
      <c r="C95">
        <v>1.2506999999999999</v>
      </c>
      <c r="D95">
        <v>1.1828000000000001</v>
      </c>
      <c r="E95">
        <v>1.2506999999999999</v>
      </c>
      <c r="F95">
        <v>3371159</v>
      </c>
      <c r="G95">
        <v>1.2506999999999999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1</v>
      </c>
      <c r="Q95">
        <f t="shared" ref="Q95" si="451">F95*P95</f>
        <v>3371159</v>
      </c>
      <c r="R95">
        <f t="shared" ref="R95" si="452">R96+Q95</f>
        <v>3287622.0105057629</v>
      </c>
      <c r="S95">
        <f t="shared" ref="S95" si="453">R95/100000</f>
        <v>32.876220105057627</v>
      </c>
      <c r="T95">
        <f t="shared" ref="T95" si="454">S95/1000</f>
        <v>3.2876220105057627E-2</v>
      </c>
    </row>
    <row r="96" spans="1:20" x14ac:dyDescent="0.25">
      <c r="A96" s="5">
        <v>44497</v>
      </c>
      <c r="B96">
        <v>1.1367</v>
      </c>
      <c r="C96">
        <v>1.1984999999999999</v>
      </c>
      <c r="D96">
        <v>1.1071</v>
      </c>
      <c r="E96">
        <v>1.1976</v>
      </c>
      <c r="F96">
        <v>3785981</v>
      </c>
      <c r="G96">
        <v>1.1976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0.98030634573304376</v>
      </c>
      <c r="Q96">
        <f t="shared" ref="Q96" si="456">F96*P96</f>
        <v>3711421.1991247348</v>
      </c>
      <c r="R96">
        <f t="shared" ref="R96" si="457">R97+Q96</f>
        <v>-83536.989494237117</v>
      </c>
      <c r="S96">
        <f t="shared" ref="S96" si="458">R96/100000</f>
        <v>-0.83536989494237113</v>
      </c>
      <c r="T96">
        <f t="shared" ref="T96" si="459">S96/1000</f>
        <v>-8.3536989494237116E-4</v>
      </c>
    </row>
    <row r="97" spans="1:20" x14ac:dyDescent="0.25">
      <c r="A97" s="5">
        <v>44496</v>
      </c>
      <c r="B97">
        <v>1.3027</v>
      </c>
      <c r="C97">
        <v>1.3521000000000001</v>
      </c>
      <c r="D97">
        <v>1.0900000000000001</v>
      </c>
      <c r="E97">
        <v>1.1362000000000001</v>
      </c>
      <c r="F97">
        <v>8792809</v>
      </c>
      <c r="G97">
        <v>1.1362000000000001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-0.64746280045784033</v>
      </c>
      <c r="Q97">
        <f t="shared" ref="Q97" si="461">F97*P97</f>
        <v>-5693016.7390309023</v>
      </c>
      <c r="R97">
        <f t="shared" ref="R97" si="462">R98+Q97</f>
        <v>-3794958.188618972</v>
      </c>
      <c r="S97">
        <f t="shared" ref="S97" si="463">R97/100000</f>
        <v>-37.949581886189719</v>
      </c>
      <c r="T97">
        <f t="shared" ref="T97" si="464">S97/1000</f>
        <v>-3.7949581886189722E-2</v>
      </c>
    </row>
    <row r="98" spans="1:20" x14ac:dyDescent="0.25">
      <c r="A98" s="5">
        <v>44495</v>
      </c>
      <c r="B98">
        <v>1.3263</v>
      </c>
      <c r="C98">
        <v>1.3644000000000001</v>
      </c>
      <c r="D98">
        <v>1.2833000000000001</v>
      </c>
      <c r="E98">
        <v>1.3027</v>
      </c>
      <c r="F98">
        <v>3202853</v>
      </c>
      <c r="G98">
        <v>1.3027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-0.52157829839704384</v>
      </c>
      <c r="Q98">
        <f t="shared" ref="Q98" si="466">F98*P98</f>
        <v>-1670538.6177558671</v>
      </c>
      <c r="R98">
        <f t="shared" ref="R98" si="467">R99+Q98</f>
        <v>1898058.5504119303</v>
      </c>
      <c r="S98">
        <f t="shared" ref="S98" si="468">R98/100000</f>
        <v>18.980585504119304</v>
      </c>
      <c r="T98">
        <f t="shared" ref="T98" si="469">S98/1000</f>
        <v>1.8980585504119303E-2</v>
      </c>
    </row>
    <row r="99" spans="1:20" x14ac:dyDescent="0.25">
      <c r="A99" s="5">
        <v>44494</v>
      </c>
      <c r="B99">
        <v>1.2774000000000001</v>
      </c>
      <c r="C99">
        <v>1.3268</v>
      </c>
      <c r="D99">
        <v>1.254</v>
      </c>
      <c r="E99">
        <v>1.3261000000000001</v>
      </c>
      <c r="F99">
        <v>2561985</v>
      </c>
      <c r="G99">
        <v>1.3261000000000001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0.98076923076923284</v>
      </c>
      <c r="Q99">
        <f t="shared" ref="Q99" si="471">F99*P99</f>
        <v>2512716.0576923131</v>
      </c>
      <c r="R99">
        <f t="shared" ref="R99" si="472">R100+Q99</f>
        <v>3568597.1681677974</v>
      </c>
      <c r="S99">
        <f t="shared" ref="S99" si="473">R99/100000</f>
        <v>35.685971681677977</v>
      </c>
      <c r="T99">
        <f t="shared" ref="T99" si="474">S99/1000</f>
        <v>3.5685971681677975E-2</v>
      </c>
    </row>
    <row r="100" spans="1:20" x14ac:dyDescent="0.25">
      <c r="A100" s="5">
        <v>44493</v>
      </c>
      <c r="B100">
        <v>1.2768999999999999</v>
      </c>
      <c r="C100">
        <v>1.2861</v>
      </c>
      <c r="D100">
        <v>1.2250000000000001</v>
      </c>
      <c r="E100">
        <v>1.2776000000000001</v>
      </c>
      <c r="F100">
        <v>1644440</v>
      </c>
      <c r="G100">
        <v>1.2776000000000001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0.72176759410802094</v>
      </c>
      <c r="Q100">
        <f t="shared" ref="Q100" si="476">F100*P100</f>
        <v>1186903.502454994</v>
      </c>
      <c r="R100">
        <f t="shared" ref="R100" si="477">R101+Q100</f>
        <v>1055881.1104754843</v>
      </c>
      <c r="S100">
        <f t="shared" ref="S100" si="478">R100/100000</f>
        <v>10.558811104754843</v>
      </c>
      <c r="T100">
        <f t="shared" ref="T100" si="479">S100/1000</f>
        <v>1.0558811104754843E-2</v>
      </c>
    </row>
    <row r="101" spans="1:20" x14ac:dyDescent="0.25">
      <c r="A101" s="5">
        <v>44492</v>
      </c>
      <c r="B101">
        <v>1.2692000000000001</v>
      </c>
      <c r="C101">
        <v>1.3199000000000001</v>
      </c>
      <c r="D101">
        <v>1.2326999999999999</v>
      </c>
      <c r="E101">
        <v>1.2757000000000001</v>
      </c>
      <c r="F101">
        <v>2759444</v>
      </c>
      <c r="G101">
        <v>1.2757000000000001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-1.3761467889906715E-2</v>
      </c>
      <c r="Q101">
        <f t="shared" ref="Q101" si="481">F101*P101</f>
        <v>-37973.999999995744</v>
      </c>
      <c r="R101">
        <f t="shared" ref="R101" si="482">R102+Q101</f>
        <v>-131022.39197950967</v>
      </c>
      <c r="S101">
        <f t="shared" ref="S101" si="483">R101/100000</f>
        <v>-1.3102239197950967</v>
      </c>
      <c r="T101">
        <f t="shared" ref="T101" si="484">S101/1000</f>
        <v>-1.3102239197950968E-3</v>
      </c>
    </row>
    <row r="102" spans="1:20" x14ac:dyDescent="0.25">
      <c r="A102" s="5">
        <v>44491</v>
      </c>
      <c r="B102">
        <v>1.2415</v>
      </c>
      <c r="C102">
        <v>1.2865</v>
      </c>
      <c r="D102">
        <v>1.2370000000000001</v>
      </c>
      <c r="E102">
        <v>1.2685999999999999</v>
      </c>
      <c r="F102">
        <v>2019367</v>
      </c>
      <c r="G102">
        <v>1.2685999999999999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0.27676767676767389</v>
      </c>
      <c r="Q102">
        <f t="shared" ref="Q102" si="486">F102*P102</f>
        <v>558895.51313130732</v>
      </c>
      <c r="R102">
        <f t="shared" ref="R102" si="487">R103+Q102</f>
        <v>-93048.391979513923</v>
      </c>
      <c r="S102">
        <f t="shared" ref="S102" si="488">R102/100000</f>
        <v>-0.93048391979513922</v>
      </c>
      <c r="T102">
        <f t="shared" ref="T102" si="489">S102/1000</f>
        <v>-9.3048391979513921E-4</v>
      </c>
    </row>
    <row r="103" spans="1:20" x14ac:dyDescent="0.25">
      <c r="A103" s="5">
        <v>44490</v>
      </c>
      <c r="B103">
        <v>1.2987</v>
      </c>
      <c r="C103">
        <v>1.3164</v>
      </c>
      <c r="D103">
        <v>1.22</v>
      </c>
      <c r="E103">
        <v>1.2428999999999999</v>
      </c>
      <c r="F103">
        <v>2600757</v>
      </c>
      <c r="G103">
        <v>1.2428999999999999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-0.52489626556016777</v>
      </c>
      <c r="Q103">
        <f t="shared" ref="Q103" si="491">F103*P103</f>
        <v>-1365127.6369294652</v>
      </c>
      <c r="R103">
        <f t="shared" ref="R103" si="492">R104+Q103</f>
        <v>-651943.90511082124</v>
      </c>
      <c r="S103">
        <f t="shared" ref="S103" si="493">R103/100000</f>
        <v>-6.5194390511082121</v>
      </c>
      <c r="T103">
        <f t="shared" ref="T103" si="494">S103/1000</f>
        <v>-6.5194390511082124E-3</v>
      </c>
    </row>
    <row r="104" spans="1:20" x14ac:dyDescent="0.25">
      <c r="A104" s="5">
        <v>44489</v>
      </c>
      <c r="B104">
        <v>1.2693000000000001</v>
      </c>
      <c r="C104">
        <v>1.34</v>
      </c>
      <c r="D104">
        <v>1.2319</v>
      </c>
      <c r="E104">
        <v>1.2987</v>
      </c>
      <c r="F104">
        <v>3827541</v>
      </c>
      <c r="G104">
        <v>1.2987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0.23589269195189488</v>
      </c>
      <c r="Q104">
        <f t="shared" ref="Q104" si="496">F104*P104</f>
        <v>902888.95004624769</v>
      </c>
      <c r="R104">
        <f t="shared" ref="R104" si="497">R105+Q104</f>
        <v>713183.73181864398</v>
      </c>
      <c r="S104">
        <f t="shared" ref="S104" si="498">R104/100000</f>
        <v>7.1318373181864398</v>
      </c>
      <c r="T104">
        <f t="shared" ref="T104" si="499">S104/1000</f>
        <v>7.1318373181864401E-3</v>
      </c>
    </row>
    <row r="105" spans="1:20" x14ac:dyDescent="0.25">
      <c r="A105" s="5">
        <v>44488</v>
      </c>
      <c r="B105">
        <v>1.2758</v>
      </c>
      <c r="C105">
        <v>1.2799</v>
      </c>
      <c r="D105">
        <v>1.2183999999999999</v>
      </c>
      <c r="E105">
        <v>1.2686999999999999</v>
      </c>
      <c r="F105">
        <v>1891181</v>
      </c>
      <c r="G105">
        <v>1.2686999999999999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0.63577235772357465</v>
      </c>
      <c r="Q105">
        <f t="shared" ref="Q105" si="501">F105*P105</f>
        <v>1202360.6032520276</v>
      </c>
      <c r="R105">
        <f t="shared" ref="R105" si="502">R106+Q105</f>
        <v>-189705.21822760371</v>
      </c>
      <c r="S105">
        <f t="shared" ref="S105" si="503">R105/100000</f>
        <v>-1.8970521822760371</v>
      </c>
      <c r="T105">
        <f t="shared" ref="T105" si="504">S105/1000</f>
        <v>-1.8970521822760371E-3</v>
      </c>
    </row>
    <row r="106" spans="1:20" x14ac:dyDescent="0.25">
      <c r="A106" s="5">
        <v>44487</v>
      </c>
      <c r="B106">
        <v>1.2828999999999999</v>
      </c>
      <c r="C106">
        <v>1.3234999999999999</v>
      </c>
      <c r="D106">
        <v>1.2233000000000001</v>
      </c>
      <c r="E106">
        <v>1.2770999999999999</v>
      </c>
      <c r="F106">
        <v>3138132</v>
      </c>
      <c r="G106">
        <v>1.2770999999999999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7.3852295409180271E-2</v>
      </c>
      <c r="Q106">
        <f t="shared" ref="Q106" si="506">F106*P106</f>
        <v>231758.25149700171</v>
      </c>
      <c r="R106">
        <f t="shared" ref="R106" si="507">R107+Q106</f>
        <v>-1392065.8214796314</v>
      </c>
      <c r="S106">
        <f t="shared" ref="S106" si="508">R106/100000</f>
        <v>-13.920658214796314</v>
      </c>
      <c r="T106">
        <f t="shared" ref="T106" si="509">S106/1000</f>
        <v>-1.3920658214796313E-2</v>
      </c>
    </row>
    <row r="107" spans="1:20" x14ac:dyDescent="0.25">
      <c r="A107" s="5">
        <v>44486</v>
      </c>
      <c r="B107">
        <v>1.3371999999999999</v>
      </c>
      <c r="C107">
        <v>1.339</v>
      </c>
      <c r="D107">
        <v>1.2255</v>
      </c>
      <c r="E107">
        <v>1.2827999999999999</v>
      </c>
      <c r="F107">
        <v>2796326</v>
      </c>
      <c r="G107">
        <v>1.2827999999999999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9.6916299559460743E-3</v>
      </c>
      <c r="Q107">
        <f t="shared" ref="Q107" si="511">F107*P107</f>
        <v>27100.956828190861</v>
      </c>
      <c r="R107">
        <f t="shared" ref="R107" si="512">R108+Q107</f>
        <v>-1623824.072976633</v>
      </c>
      <c r="S107">
        <f t="shared" ref="S107" si="513">R107/100000</f>
        <v>-16.238240729766328</v>
      </c>
      <c r="T107">
        <f t="shared" ref="T107" si="514">S107/1000</f>
        <v>-1.6238240729766328E-2</v>
      </c>
    </row>
    <row r="108" spans="1:20" x14ac:dyDescent="0.25">
      <c r="A108" s="5">
        <v>44485</v>
      </c>
      <c r="B108">
        <v>1.3150999999999999</v>
      </c>
      <c r="C108">
        <v>1.4079999999999999</v>
      </c>
      <c r="D108">
        <v>1.3025</v>
      </c>
      <c r="E108">
        <v>1.3371999999999999</v>
      </c>
      <c r="F108">
        <v>8924830</v>
      </c>
      <c r="G108">
        <v>1.3371999999999999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-0.34218009478673028</v>
      </c>
      <c r="Q108">
        <f t="shared" ref="Q108" si="516">F108*P108</f>
        <v>-3053899.175355454</v>
      </c>
      <c r="R108">
        <f t="shared" ref="R108" si="517">R109+Q108</f>
        <v>-1650925.0298048239</v>
      </c>
      <c r="S108">
        <f t="shared" ref="S108" si="518">R108/100000</f>
        <v>-16.50925029804824</v>
      </c>
      <c r="T108">
        <f t="shared" ref="T108" si="519">S108/1000</f>
        <v>-1.6509250298048238E-2</v>
      </c>
    </row>
    <row r="109" spans="1:20" x14ac:dyDescent="0.25">
      <c r="A109" s="5">
        <v>44484</v>
      </c>
      <c r="B109">
        <v>1.3561000000000001</v>
      </c>
      <c r="C109">
        <v>1.3589</v>
      </c>
      <c r="D109">
        <v>1.2453000000000001</v>
      </c>
      <c r="E109">
        <v>1.3152999999999999</v>
      </c>
      <c r="F109">
        <v>2699032</v>
      </c>
      <c r="G109">
        <v>1.3152999999999999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0.23239436619718112</v>
      </c>
      <c r="Q109">
        <f t="shared" ref="Q109" si="521">F109*P109</f>
        <v>627239.83098591014</v>
      </c>
      <c r="R109">
        <f t="shared" ref="R109" si="522">R110+Q109</f>
        <v>1402974.1455506301</v>
      </c>
      <c r="S109">
        <f t="shared" ref="S109" si="523">R109/100000</f>
        <v>14.029741455506301</v>
      </c>
      <c r="T109">
        <f t="shared" ref="T109" si="524">S109/1000</f>
        <v>1.4029741455506301E-2</v>
      </c>
    </row>
    <row r="110" spans="1:20" x14ac:dyDescent="0.25">
      <c r="A110" s="5">
        <v>44483</v>
      </c>
      <c r="B110">
        <v>1.3455999999999999</v>
      </c>
      <c r="C110">
        <v>1.3626</v>
      </c>
      <c r="D110">
        <v>1.3231999999999999</v>
      </c>
      <c r="E110">
        <v>1.3573999999999999</v>
      </c>
      <c r="F110">
        <v>2090695</v>
      </c>
      <c r="G110">
        <v>1.3573999999999999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0.73604060913705183</v>
      </c>
      <c r="Q110">
        <f t="shared" ref="Q110" si="526">F110*P110</f>
        <v>1538836.4213197886</v>
      </c>
      <c r="R110">
        <f t="shared" ref="R110" si="527">R111+Q110</f>
        <v>775734.31456472003</v>
      </c>
      <c r="S110">
        <f t="shared" ref="S110" si="528">R110/100000</f>
        <v>7.7573431456472006</v>
      </c>
      <c r="T110">
        <f t="shared" ref="T110" si="529">S110/1000</f>
        <v>7.7573431456472008E-3</v>
      </c>
    </row>
    <row r="111" spans="1:20" x14ac:dyDescent="0.25">
      <c r="A111" s="5">
        <v>44482</v>
      </c>
      <c r="B111">
        <v>1.3069</v>
      </c>
      <c r="C111">
        <v>1.3531</v>
      </c>
      <c r="D111">
        <v>1.2604</v>
      </c>
      <c r="E111">
        <v>1.3449</v>
      </c>
      <c r="F111">
        <v>2874385</v>
      </c>
      <c r="G111">
        <v>1.3449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0.82308522114347393</v>
      </c>
      <c r="Q111">
        <f t="shared" ref="Q111" si="531">F111*P111</f>
        <v>2365863.8133764844</v>
      </c>
      <c r="R111">
        <f t="shared" ref="R111" si="532">R112+Q111</f>
        <v>-763102.10675506853</v>
      </c>
      <c r="S111">
        <f t="shared" ref="S111" si="533">R111/100000</f>
        <v>-7.6310210675506855</v>
      </c>
      <c r="T111">
        <f t="shared" ref="T111" si="534">S111/1000</f>
        <v>-7.6310210675506855E-3</v>
      </c>
    </row>
    <row r="112" spans="1:20" x14ac:dyDescent="0.25">
      <c r="A112" s="5">
        <v>44481</v>
      </c>
      <c r="B112">
        <v>1.4285000000000001</v>
      </c>
      <c r="C112">
        <v>1.4293</v>
      </c>
      <c r="D112">
        <v>1.2336</v>
      </c>
      <c r="E112">
        <v>1.3084</v>
      </c>
      <c r="F112">
        <v>6049211</v>
      </c>
      <c r="G112">
        <v>1.3084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-0.2355646397547268</v>
      </c>
      <c r="Q112">
        <f t="shared" ref="Q112" si="536">F112*P112</f>
        <v>-1424980.2100153307</v>
      </c>
      <c r="R112">
        <f t="shared" ref="R112" si="537">R113+Q112</f>
        <v>-3128965.920131553</v>
      </c>
      <c r="S112">
        <f t="shared" ref="S112" si="538">R112/100000</f>
        <v>-31.28965920131553</v>
      </c>
      <c r="T112">
        <f t="shared" ref="T112" si="539">S112/1000</f>
        <v>-3.1289659201315531E-2</v>
      </c>
    </row>
    <row r="113" spans="1:20" x14ac:dyDescent="0.25">
      <c r="A113" s="5">
        <v>44480</v>
      </c>
      <c r="B113">
        <v>1.5137</v>
      </c>
      <c r="C113">
        <v>1.5228999999999999</v>
      </c>
      <c r="D113">
        <v>1.3557999999999999</v>
      </c>
      <c r="E113">
        <v>1.4291</v>
      </c>
      <c r="F113">
        <v>7368260</v>
      </c>
      <c r="G113">
        <v>1.4291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-0.12268102932375666</v>
      </c>
      <c r="Q113">
        <f t="shared" ref="Q113" si="541">F113*P113</f>
        <v>-903945.72112506325</v>
      </c>
      <c r="R113">
        <f t="shared" ref="R113" si="542">R114+Q113</f>
        <v>-1703985.7101162223</v>
      </c>
      <c r="S113">
        <f t="shared" ref="S113" si="543">R113/100000</f>
        <v>-17.039857101162223</v>
      </c>
      <c r="T113">
        <f t="shared" ref="T113" si="544">S113/1000</f>
        <v>-1.7039857101162223E-2</v>
      </c>
    </row>
    <row r="114" spans="1:20" x14ac:dyDescent="0.25">
      <c r="A114" s="5">
        <v>44479</v>
      </c>
      <c r="B114">
        <v>1.3907</v>
      </c>
      <c r="C114">
        <v>1.5246</v>
      </c>
      <c r="D114">
        <v>1.3635999999999999</v>
      </c>
      <c r="E114">
        <v>1.5136000000000001</v>
      </c>
      <c r="F114">
        <v>7753367</v>
      </c>
      <c r="G114">
        <v>1.5136000000000001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0.86335403726708204</v>
      </c>
      <c r="Q114">
        <f t="shared" ref="Q114" si="546">F114*P114</f>
        <v>6693900.7018633643</v>
      </c>
      <c r="R114">
        <f t="shared" ref="R114" si="547">R115+Q114</f>
        <v>-800039.98899115901</v>
      </c>
      <c r="S114">
        <f t="shared" ref="S114" si="548">R114/100000</f>
        <v>-8.0003998899115896</v>
      </c>
      <c r="T114">
        <f t="shared" ref="T114" si="549">S114/1000</f>
        <v>-8.0003998899115889E-3</v>
      </c>
    </row>
    <row r="115" spans="1:20" x14ac:dyDescent="0.25">
      <c r="A115" s="5">
        <v>44478</v>
      </c>
      <c r="B115">
        <v>1.4178999999999999</v>
      </c>
      <c r="C115">
        <v>1.48</v>
      </c>
      <c r="D115">
        <v>1.3504</v>
      </c>
      <c r="E115">
        <v>1.3904000000000001</v>
      </c>
      <c r="F115">
        <v>4688203</v>
      </c>
      <c r="G115">
        <v>1.3904000000000001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-0.3827160493827152</v>
      </c>
      <c r="Q115">
        <f t="shared" ref="Q115" si="551">F115*P115</f>
        <v>-1794250.5308641936</v>
      </c>
      <c r="R115">
        <f t="shared" ref="R115" si="552">R116+Q115</f>
        <v>-7493940.6908545233</v>
      </c>
      <c r="S115">
        <f t="shared" ref="S115" si="553">R115/100000</f>
        <v>-74.939406908545237</v>
      </c>
      <c r="T115">
        <f t="shared" ref="T115" si="554">S115/1000</f>
        <v>-7.4939406908545239E-2</v>
      </c>
    </row>
    <row r="116" spans="1:20" x14ac:dyDescent="0.25">
      <c r="A116" s="5">
        <v>44477</v>
      </c>
      <c r="B116">
        <v>1.3347</v>
      </c>
      <c r="C116">
        <v>1.4293</v>
      </c>
      <c r="D116">
        <v>1.3087</v>
      </c>
      <c r="E116">
        <v>1.4179999999999999</v>
      </c>
      <c r="F116">
        <v>4491903</v>
      </c>
      <c r="G116">
        <v>1.4179999999999999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0.81260364842454258</v>
      </c>
      <c r="Q116">
        <f t="shared" ref="Q116" si="556">F116*P116</f>
        <v>3650136.766169148</v>
      </c>
      <c r="R116">
        <f t="shared" ref="R116" si="557">R117+Q116</f>
        <v>-5699690.1599903293</v>
      </c>
      <c r="S116">
        <f t="shared" ref="S116" si="558">R116/100000</f>
        <v>-56.996901599903296</v>
      </c>
      <c r="T116">
        <f t="shared" ref="T116" si="559">S116/1000</f>
        <v>-5.6996901599903296E-2</v>
      </c>
    </row>
    <row r="117" spans="1:20" x14ac:dyDescent="0.25">
      <c r="A117" s="5">
        <v>44476</v>
      </c>
      <c r="B117">
        <v>1.3593999999999999</v>
      </c>
      <c r="C117">
        <v>1.4897</v>
      </c>
      <c r="D117">
        <v>1.2949999999999999</v>
      </c>
      <c r="E117">
        <v>1.3333999999999999</v>
      </c>
      <c r="F117">
        <v>6300718</v>
      </c>
      <c r="G117">
        <v>1.3333999999999999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-0.60554699537750412</v>
      </c>
      <c r="Q117">
        <f t="shared" ref="Q117" si="561">F117*P117</f>
        <v>-3815380.8536209571</v>
      </c>
      <c r="R117">
        <f t="shared" ref="R117" si="562">R118+Q117</f>
        <v>-9349826.9261594769</v>
      </c>
      <c r="S117">
        <f t="shared" ref="S117" si="563">R117/100000</f>
        <v>-93.498269261594771</v>
      </c>
      <c r="T117">
        <f t="shared" ref="T117" si="564">S117/1000</f>
        <v>-9.3498269261594769E-2</v>
      </c>
    </row>
    <row r="118" spans="1:20" x14ac:dyDescent="0.25">
      <c r="A118" s="5">
        <v>44475</v>
      </c>
      <c r="B118">
        <v>1.3388</v>
      </c>
      <c r="C118">
        <v>1.43</v>
      </c>
      <c r="D118">
        <v>1.2628999999999999</v>
      </c>
      <c r="E118">
        <v>1.3567</v>
      </c>
      <c r="F118">
        <v>9569900</v>
      </c>
      <c r="G118">
        <v>1.3567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0.12268102932375931</v>
      </c>
      <c r="Q118">
        <f t="shared" ref="Q118" si="566">F118*P118</f>
        <v>1174045.1825254443</v>
      </c>
      <c r="R118">
        <f t="shared" ref="R118" si="567">R119+Q118</f>
        <v>-5534446.0725385193</v>
      </c>
      <c r="S118">
        <f t="shared" ref="S118" si="568">R118/100000</f>
        <v>-55.34446072538519</v>
      </c>
      <c r="T118">
        <f t="shared" ref="T118" si="569">S118/1000</f>
        <v>-5.5344460725385188E-2</v>
      </c>
    </row>
    <row r="119" spans="1:20" x14ac:dyDescent="0.25">
      <c r="A119" s="5">
        <v>44474</v>
      </c>
      <c r="B119">
        <v>1.2528999999999999</v>
      </c>
      <c r="C119">
        <v>1.3656999999999999</v>
      </c>
      <c r="D119">
        <v>1.208</v>
      </c>
      <c r="E119">
        <v>1.3385</v>
      </c>
      <c r="F119">
        <v>5164136</v>
      </c>
      <c r="G119">
        <v>1.3385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0.65504121750158661</v>
      </c>
      <c r="Q119">
        <f t="shared" ref="Q119" si="571">F119*P119</f>
        <v>3382721.9327837736</v>
      </c>
      <c r="R119">
        <f t="shared" ref="R119" si="572">R120+Q119</f>
        <v>-6708491.2550639641</v>
      </c>
      <c r="S119">
        <f t="shared" ref="S119" si="573">R119/100000</f>
        <v>-67.084912550639643</v>
      </c>
      <c r="T119">
        <f t="shared" ref="T119" si="574">S119/1000</f>
        <v>-6.7084912550639642E-2</v>
      </c>
    </row>
    <row r="120" spans="1:20" x14ac:dyDescent="0.25">
      <c r="A120" s="5">
        <v>44473</v>
      </c>
      <c r="B120">
        <v>1.2181</v>
      </c>
      <c r="C120">
        <v>1.2592000000000001</v>
      </c>
      <c r="D120">
        <v>1.1653</v>
      </c>
      <c r="E120">
        <v>1.2439</v>
      </c>
      <c r="F120">
        <v>5499012</v>
      </c>
      <c r="G120">
        <v>1.2439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0.67412140575079715</v>
      </c>
      <c r="Q120">
        <f t="shared" ref="Q120" si="576">F120*P120</f>
        <v>3707001.6996805025</v>
      </c>
      <c r="R120">
        <f t="shared" ref="R120" si="577">R121+Q120</f>
        <v>-10091213.187847737</v>
      </c>
      <c r="S120">
        <f t="shared" ref="S120" si="578">R120/100000</f>
        <v>-100.91213187847737</v>
      </c>
      <c r="T120">
        <f t="shared" ref="T120" si="579">S120/1000</f>
        <v>-0.10091213187847736</v>
      </c>
    </row>
    <row r="121" spans="1:20" x14ac:dyDescent="0.25">
      <c r="A121" s="5">
        <v>44472</v>
      </c>
      <c r="B121">
        <v>1.1916</v>
      </c>
      <c r="C121">
        <v>1.2366999999999999</v>
      </c>
      <c r="D121">
        <v>1.1556999999999999</v>
      </c>
      <c r="E121">
        <v>1.2142999999999999</v>
      </c>
      <c r="F121">
        <v>2737796</v>
      </c>
      <c r="G121">
        <v>1.2142999999999999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0.44691358024691391</v>
      </c>
      <c r="Q121">
        <f t="shared" ref="Q121" si="581">F121*P121</f>
        <v>1223558.21234568</v>
      </c>
      <c r="R121">
        <f t="shared" ref="R121" si="582">R122+Q121</f>
        <v>-13798214.887528241</v>
      </c>
      <c r="S121">
        <f t="shared" ref="S121" si="583">R121/100000</f>
        <v>-137.98214887528241</v>
      </c>
      <c r="T121">
        <f t="shared" ref="T121" si="584">S121/1000</f>
        <v>-0.1379821488752824</v>
      </c>
    </row>
    <row r="122" spans="1:20" x14ac:dyDescent="0.25">
      <c r="A122" s="5">
        <v>44471</v>
      </c>
      <c r="B122">
        <v>1.2034</v>
      </c>
      <c r="C122">
        <v>1.2372000000000001</v>
      </c>
      <c r="D122">
        <v>1.1820999999999999</v>
      </c>
      <c r="E122">
        <v>1.1917</v>
      </c>
      <c r="F122">
        <v>4444940</v>
      </c>
      <c r="G122">
        <v>1.1917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-0.65154264972776677</v>
      </c>
      <c r="Q122">
        <f t="shared" ref="Q122" si="586">F122*P122</f>
        <v>-2896067.9854809395</v>
      </c>
      <c r="R122">
        <f t="shared" ref="R122" si="587">R123+Q122</f>
        <v>-15021773.099873921</v>
      </c>
      <c r="S122">
        <f t="shared" ref="S122" si="588">R122/100000</f>
        <v>-150.2177309987392</v>
      </c>
      <c r="T122">
        <f t="shared" ref="T122" si="589">S122/1000</f>
        <v>-0.1502177309987392</v>
      </c>
    </row>
    <row r="123" spans="1:20" x14ac:dyDescent="0.25">
      <c r="A123" s="5">
        <v>44470</v>
      </c>
      <c r="B123">
        <v>1.0967</v>
      </c>
      <c r="C123">
        <v>1.2250000000000001</v>
      </c>
      <c r="D123">
        <v>1.0724</v>
      </c>
      <c r="E123">
        <v>1.2038</v>
      </c>
      <c r="F123">
        <v>6732739</v>
      </c>
      <c r="G123">
        <v>1.2038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0.72214941022280343</v>
      </c>
      <c r="Q123">
        <f t="shared" ref="Q123" si="591">F123*P123</f>
        <v>4862043.4980340675</v>
      </c>
      <c r="R123">
        <f t="shared" ref="R123" si="592">R124+Q123</f>
        <v>-12125705.114392981</v>
      </c>
      <c r="S123">
        <f t="shared" ref="S123" si="593">R123/100000</f>
        <v>-121.25705114392981</v>
      </c>
      <c r="T123">
        <f t="shared" ref="T123" si="594">S123/1000</f>
        <v>-0.12125705114392982</v>
      </c>
    </row>
    <row r="124" spans="1:20" x14ac:dyDescent="0.25">
      <c r="A124" s="5">
        <v>44469</v>
      </c>
      <c r="B124">
        <v>1.0103</v>
      </c>
      <c r="C124">
        <v>1.115</v>
      </c>
      <c r="D124">
        <v>1.0022</v>
      </c>
      <c r="E124">
        <v>1.0966</v>
      </c>
      <c r="F124">
        <v>3060806</v>
      </c>
      <c r="G124">
        <v>1.0966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0.67375886524822748</v>
      </c>
      <c r="Q124">
        <f t="shared" ref="Q124" si="596">F124*P124</f>
        <v>2062245.1773049661</v>
      </c>
      <c r="R124">
        <f t="shared" ref="R124" si="597">R125+Q124</f>
        <v>-16987748.612427048</v>
      </c>
      <c r="S124">
        <f t="shared" ref="S124" si="598">R124/100000</f>
        <v>-169.87748612427049</v>
      </c>
      <c r="T124">
        <f t="shared" ref="T124" si="599">S124/1000</f>
        <v>-0.16987748612427048</v>
      </c>
    </row>
    <row r="125" spans="1:20" x14ac:dyDescent="0.25">
      <c r="A125" s="5">
        <v>44468</v>
      </c>
      <c r="B125">
        <v>0.97829999999999995</v>
      </c>
      <c r="C125">
        <v>1.0462</v>
      </c>
      <c r="D125">
        <v>0.97330000000000005</v>
      </c>
      <c r="E125">
        <v>1.0103</v>
      </c>
      <c r="F125">
        <v>1706608</v>
      </c>
      <c r="G125">
        <v>1.0103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1.508916323730973E-2</v>
      </c>
      <c r="Q125">
        <f t="shared" ref="Q125" si="601">F125*P125</f>
        <v>25751.286694098682</v>
      </c>
      <c r="R125">
        <f t="shared" ref="R125" si="602">R126+Q125</f>
        <v>-19049993.789732013</v>
      </c>
      <c r="S125">
        <f t="shared" ref="S125" si="603">R125/100000</f>
        <v>-190.49993789732014</v>
      </c>
      <c r="T125">
        <f t="shared" ref="T125" si="604">S125/1000</f>
        <v>-0.19049993789732014</v>
      </c>
    </row>
    <row r="126" spans="1:20" x14ac:dyDescent="0.25">
      <c r="A126" s="5">
        <v>44467</v>
      </c>
      <c r="B126">
        <v>1.0278</v>
      </c>
      <c r="C126">
        <v>1.0475000000000001</v>
      </c>
      <c r="D126">
        <v>0.97440000000000004</v>
      </c>
      <c r="E126">
        <v>0.98050000000000004</v>
      </c>
      <c r="F126">
        <v>2362837</v>
      </c>
      <c r="G126">
        <v>0.98050000000000004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-0.83310533515731899</v>
      </c>
      <c r="Q126">
        <f t="shared" ref="Q126" si="606">F126*P126</f>
        <v>-1968492.110807114</v>
      </c>
      <c r="R126">
        <f t="shared" ref="R126" si="607">R127+Q126</f>
        <v>-19075745.076426111</v>
      </c>
      <c r="S126">
        <f t="shared" ref="S126" si="608">R126/100000</f>
        <v>-190.75745076426111</v>
      </c>
      <c r="T126">
        <f t="shared" ref="T126" si="609">S126/1000</f>
        <v>-0.19075745076426112</v>
      </c>
    </row>
    <row r="127" spans="1:20" x14ac:dyDescent="0.25">
      <c r="A127" s="5">
        <v>44466</v>
      </c>
      <c r="B127">
        <v>1.0797000000000001</v>
      </c>
      <c r="C127">
        <v>1.1192</v>
      </c>
      <c r="D127">
        <v>1.0206999999999999</v>
      </c>
      <c r="E127">
        <v>1.0283</v>
      </c>
      <c r="F127">
        <v>4086896</v>
      </c>
      <c r="G127">
        <v>1.0283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-0.84568527918781622</v>
      </c>
      <c r="Q127">
        <f t="shared" ref="Q127" si="611">F127*P127</f>
        <v>-3456227.7847715695</v>
      </c>
      <c r="R127">
        <f t="shared" ref="R127" si="612">R128+Q127</f>
        <v>-17107252.965618998</v>
      </c>
      <c r="S127">
        <f t="shared" ref="S127" si="613">R127/100000</f>
        <v>-171.07252965618997</v>
      </c>
      <c r="T127">
        <f t="shared" ref="T127" si="614">S127/1000</f>
        <v>-0.17107252965618996</v>
      </c>
    </row>
    <row r="128" spans="1:20" x14ac:dyDescent="0.25">
      <c r="A128" s="5">
        <v>44465</v>
      </c>
      <c r="B128">
        <v>1.0928</v>
      </c>
      <c r="C128">
        <v>1.1463000000000001</v>
      </c>
      <c r="D128">
        <v>0.98529999999999995</v>
      </c>
      <c r="E128">
        <v>1.0819000000000001</v>
      </c>
      <c r="F128">
        <v>14405641.949999999</v>
      </c>
      <c r="G128">
        <v>1.0819000000000001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0.20000000000000054</v>
      </c>
      <c r="Q128">
        <f t="shared" ref="Q128" si="616">F128*P128</f>
        <v>2881128.3900000076</v>
      </c>
      <c r="R128">
        <f t="shared" ref="R128" si="617">R129+Q128</f>
        <v>-13651025.180847427</v>
      </c>
      <c r="S128">
        <f t="shared" ref="S128" si="618">R128/100000</f>
        <v>-136.51025180847427</v>
      </c>
      <c r="T128">
        <f t="shared" ref="T128" si="619">S128/1000</f>
        <v>-0.13651025180847426</v>
      </c>
    </row>
    <row r="129" spans="1:20" x14ac:dyDescent="0.25">
      <c r="A129" s="5">
        <v>44464</v>
      </c>
      <c r="B129">
        <v>1.0988</v>
      </c>
      <c r="C129">
        <v>1.1081000000000001</v>
      </c>
      <c r="D129">
        <v>1.04</v>
      </c>
      <c r="E129">
        <v>1.0929</v>
      </c>
      <c r="F129">
        <v>2223092</v>
      </c>
      <c r="G129">
        <v>1.0929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0.55359765051394738</v>
      </c>
      <c r="Q129">
        <f t="shared" ref="Q129" si="621">F129*P129</f>
        <v>1230698.5080763523</v>
      </c>
      <c r="R129">
        <f t="shared" ref="R129" si="622">R130+Q129</f>
        <v>-16532153.570847435</v>
      </c>
      <c r="S129">
        <f t="shared" ref="S129" si="623">R129/100000</f>
        <v>-165.32153570847436</v>
      </c>
      <c r="T129">
        <f t="shared" ref="T129" si="624">S129/1000</f>
        <v>-0.16532153570847435</v>
      </c>
    </row>
    <row r="130" spans="1:20" x14ac:dyDescent="0.25">
      <c r="A130" s="5">
        <v>44463</v>
      </c>
      <c r="B130">
        <v>1.2052</v>
      </c>
      <c r="C130">
        <v>1.2057</v>
      </c>
      <c r="D130">
        <v>1.0123</v>
      </c>
      <c r="E130">
        <v>1.1004</v>
      </c>
      <c r="F130">
        <v>3780034</v>
      </c>
      <c r="G130">
        <v>1.1004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-8.8934850051705691E-2</v>
      </c>
      <c r="Q130">
        <f t="shared" ref="Q130" si="626">F130*P130</f>
        <v>-336176.75698034925</v>
      </c>
      <c r="R130">
        <f t="shared" ref="R130" si="627">R131+Q130</f>
        <v>-17762852.078923788</v>
      </c>
      <c r="S130">
        <f t="shared" ref="S130" si="628">R130/100000</f>
        <v>-177.62852078923788</v>
      </c>
      <c r="T130">
        <f t="shared" ref="T130" si="629">S130/1000</f>
        <v>-0.17762852078923788</v>
      </c>
    </row>
    <row r="131" spans="1:20" x14ac:dyDescent="0.25">
      <c r="A131" s="5">
        <v>44462</v>
      </c>
      <c r="B131">
        <v>1.1565000000000001</v>
      </c>
      <c r="C131">
        <v>1.2061999999999999</v>
      </c>
      <c r="D131">
        <v>1.1207</v>
      </c>
      <c r="E131">
        <v>1.2061999999999999</v>
      </c>
      <c r="F131">
        <v>2244008</v>
      </c>
      <c r="G131">
        <v>1.2061999999999999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1</v>
      </c>
      <c r="Q131">
        <f t="shared" ref="Q131" si="631">F131*P131</f>
        <v>2244008</v>
      </c>
      <c r="R131">
        <f t="shared" ref="R131" si="632">R132+Q131</f>
        <v>-17426675.32194344</v>
      </c>
      <c r="S131">
        <f t="shared" ref="S131" si="633">R131/100000</f>
        <v>-174.26675321943441</v>
      </c>
      <c r="T131">
        <f t="shared" ref="T131" si="634">S131/1000</f>
        <v>-0.17426675321943441</v>
      </c>
    </row>
    <row r="132" spans="1:20" x14ac:dyDescent="0.25">
      <c r="A132" s="5">
        <v>44461</v>
      </c>
      <c r="B132">
        <v>1.0377000000000001</v>
      </c>
      <c r="C132">
        <v>1.1588000000000001</v>
      </c>
      <c r="D132">
        <v>1.0124</v>
      </c>
      <c r="E132">
        <v>1.1578999999999999</v>
      </c>
      <c r="F132">
        <v>3631645</v>
      </c>
      <c r="G132">
        <v>1.1578999999999999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0.98770491803278526</v>
      </c>
      <c r="Q132">
        <f t="shared" ref="Q132" si="636">F132*P132</f>
        <v>3586993.6270491746</v>
      </c>
      <c r="R132">
        <f t="shared" ref="R132" si="637">R133+Q132</f>
        <v>-19670683.32194344</v>
      </c>
      <c r="S132">
        <f t="shared" ref="S132" si="638">R132/100000</f>
        <v>-196.7068332194344</v>
      </c>
      <c r="T132">
        <f t="shared" ref="T132" si="639">S132/1000</f>
        <v>-0.19670683321943441</v>
      </c>
    </row>
    <row r="133" spans="1:20" x14ac:dyDescent="0.25">
      <c r="A133" s="5">
        <v>44460</v>
      </c>
      <c r="B133">
        <v>1.1422000000000001</v>
      </c>
      <c r="C133">
        <v>1.1738</v>
      </c>
      <c r="D133">
        <v>1.0130999999999999</v>
      </c>
      <c r="E133">
        <v>1.0363</v>
      </c>
      <c r="F133">
        <v>3737560.11</v>
      </c>
      <c r="G133">
        <v>1.0363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-0.71126322339763415</v>
      </c>
      <c r="Q133">
        <f t="shared" ref="Q133" si="641">F133*P133</f>
        <v>-2658389.051481016</v>
      </c>
      <c r="R133">
        <f t="shared" ref="R133" si="642">R134+Q133</f>
        <v>-23257676.948992614</v>
      </c>
      <c r="S133">
        <f t="shared" ref="S133" si="643">R133/100000</f>
        <v>-232.57676948992614</v>
      </c>
      <c r="T133">
        <f t="shared" ref="T133" si="644">S133/1000</f>
        <v>-0.23257676948992614</v>
      </c>
    </row>
    <row r="134" spans="1:20" x14ac:dyDescent="0.25">
      <c r="A134" s="5">
        <v>44459</v>
      </c>
      <c r="B134">
        <v>1.3412999999999999</v>
      </c>
      <c r="C134">
        <v>1.3420000000000001</v>
      </c>
      <c r="D134">
        <v>1.1834</v>
      </c>
      <c r="E134">
        <v>1.1998</v>
      </c>
      <c r="F134">
        <v>1908938.22</v>
      </c>
      <c r="G134">
        <v>1.1998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-0.79319041614123631</v>
      </c>
      <c r="Q134">
        <f t="shared" ref="Q134" si="646">F134*P134</f>
        <v>-1514151.5011097109</v>
      </c>
      <c r="R134">
        <f t="shared" ref="R134" si="647">R135+Q134</f>
        <v>-20599287.897511598</v>
      </c>
      <c r="S134">
        <f t="shared" ref="S134" si="648">R134/100000</f>
        <v>-205.99287897511599</v>
      </c>
      <c r="T134">
        <f t="shared" ref="T134" si="649">S134/1000</f>
        <v>-0.20599287897511598</v>
      </c>
    </row>
    <row r="135" spans="1:20" x14ac:dyDescent="0.25">
      <c r="A135" s="5">
        <v>44458</v>
      </c>
      <c r="B135">
        <v>1.3978999999999999</v>
      </c>
      <c r="C135">
        <v>1.4008</v>
      </c>
      <c r="D135">
        <v>1.3189</v>
      </c>
      <c r="E135">
        <v>1.3422000000000001</v>
      </c>
      <c r="F135">
        <v>1832953</v>
      </c>
      <c r="G135">
        <v>1.3422000000000001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-0.4310134310134292</v>
      </c>
      <c r="Q135">
        <f t="shared" ref="Q135" si="651">F135*P135</f>
        <v>-790027.36141635815</v>
      </c>
      <c r="R135">
        <f t="shared" ref="R135" si="652">R136+Q135</f>
        <v>-19085136.396401886</v>
      </c>
      <c r="S135">
        <f t="shared" ref="S135" si="653">R135/100000</f>
        <v>-190.85136396401887</v>
      </c>
      <c r="T135">
        <f t="shared" ref="T135" si="654">S135/1000</f>
        <v>-0.19085136396401886</v>
      </c>
    </row>
    <row r="136" spans="1:20" x14ac:dyDescent="0.25">
      <c r="A136" s="5">
        <v>44457</v>
      </c>
      <c r="B136">
        <v>1.3769</v>
      </c>
      <c r="C136">
        <v>1.4306000000000001</v>
      </c>
      <c r="D136">
        <v>1.3505</v>
      </c>
      <c r="E136">
        <v>1.3983000000000001</v>
      </c>
      <c r="F136">
        <v>2639067</v>
      </c>
      <c r="G136">
        <v>1.3983000000000001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0.19350811485643019</v>
      </c>
      <c r="Q136">
        <f t="shared" ref="Q136" si="656">F136*P136</f>
        <v>510680.88014981465</v>
      </c>
      <c r="R136">
        <f t="shared" ref="R136" si="657">R137+Q136</f>
        <v>-18295109.034985527</v>
      </c>
      <c r="S136">
        <f t="shared" ref="S136" si="658">R136/100000</f>
        <v>-182.95109034985526</v>
      </c>
      <c r="T136">
        <f t="shared" ref="T136" si="659">S136/1000</f>
        <v>-0.18295109034985527</v>
      </c>
    </row>
    <row r="137" spans="1:20" x14ac:dyDescent="0.25">
      <c r="A137" s="5">
        <v>44456</v>
      </c>
      <c r="B137">
        <v>1.4246000000000001</v>
      </c>
      <c r="C137">
        <v>1.4259999999999999</v>
      </c>
      <c r="D137">
        <v>1.3539000000000001</v>
      </c>
      <c r="E137">
        <v>1.3776999999999999</v>
      </c>
      <c r="F137">
        <v>2394172</v>
      </c>
      <c r="G137">
        <v>1.3776999999999999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-0.33980582524272185</v>
      </c>
      <c r="Q137">
        <f t="shared" ref="Q137" si="661">F137*P137</f>
        <v>-813553.5922330179</v>
      </c>
      <c r="R137">
        <f t="shared" ref="R137" si="662">R138+Q137</f>
        <v>-18805789.915135343</v>
      </c>
      <c r="S137">
        <f t="shared" ref="S137" si="663">R137/100000</f>
        <v>-188.05789915135344</v>
      </c>
      <c r="T137">
        <f t="shared" ref="T137" si="664">S137/1000</f>
        <v>-0.18805789915135343</v>
      </c>
    </row>
    <row r="138" spans="1:20" x14ac:dyDescent="0.25">
      <c r="A138" s="5">
        <v>44455</v>
      </c>
      <c r="B138">
        <v>1.4797</v>
      </c>
      <c r="C138">
        <v>1.4807999999999999</v>
      </c>
      <c r="D138">
        <v>1.3882000000000001</v>
      </c>
      <c r="E138">
        <v>1.4259999999999999</v>
      </c>
      <c r="F138">
        <v>2337573</v>
      </c>
      <c r="G138">
        <v>1.4259999999999999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-0.18358531317494778</v>
      </c>
      <c r="Q138">
        <f t="shared" ref="Q138" si="666">F138*P138</f>
        <v>-429144.0712743022</v>
      </c>
      <c r="R138">
        <f t="shared" ref="R138" si="667">R139+Q138</f>
        <v>-17992236.322902326</v>
      </c>
      <c r="S138">
        <f t="shared" ref="S138" si="668">R138/100000</f>
        <v>-179.92236322902326</v>
      </c>
      <c r="T138">
        <f t="shared" ref="T138" si="669">S138/1000</f>
        <v>-0.17992236322902327</v>
      </c>
    </row>
    <row r="139" spans="1:20" x14ac:dyDescent="0.25">
      <c r="A139" s="5">
        <v>44454</v>
      </c>
      <c r="B139">
        <v>1.4179999999999999</v>
      </c>
      <c r="C139">
        <v>1.4898</v>
      </c>
      <c r="D139">
        <v>1.3727</v>
      </c>
      <c r="E139">
        <v>1.4802999999999999</v>
      </c>
      <c r="F139">
        <v>2808712</v>
      </c>
      <c r="G139">
        <v>1.4802999999999999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0.83774551665243269</v>
      </c>
      <c r="Q139">
        <f t="shared" ref="Q139" si="671">F139*P139</f>
        <v>2352985.8855678877</v>
      </c>
      <c r="R139">
        <f t="shared" ref="R139" si="672">R140+Q139</f>
        <v>-17563092.251628023</v>
      </c>
      <c r="S139">
        <f t="shared" ref="S139" si="673">R139/100000</f>
        <v>-175.63092251628024</v>
      </c>
      <c r="T139">
        <f t="shared" ref="T139" si="674">S139/1000</f>
        <v>-0.17563092251628024</v>
      </c>
    </row>
    <row r="140" spans="1:20" x14ac:dyDescent="0.25">
      <c r="A140" s="5">
        <v>44453</v>
      </c>
      <c r="B140">
        <v>1.3571</v>
      </c>
      <c r="C140">
        <v>1.4212</v>
      </c>
      <c r="D140">
        <v>1.3232999999999999</v>
      </c>
      <c r="E140">
        <v>1.4204000000000001</v>
      </c>
      <c r="F140">
        <v>2660226</v>
      </c>
      <c r="G140">
        <v>1.4204000000000001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0.9836567926455585</v>
      </c>
      <c r="Q140">
        <f t="shared" ref="Q140" si="676">F140*P140</f>
        <v>2616749.3748723236</v>
      </c>
      <c r="R140">
        <f t="shared" ref="R140" si="677">R141+Q140</f>
        <v>-19916078.137195911</v>
      </c>
      <c r="S140">
        <f t="shared" ref="S140" si="678">R140/100000</f>
        <v>-199.1607813719591</v>
      </c>
      <c r="T140">
        <f t="shared" ref="T140" si="679">S140/1000</f>
        <v>-0.19916078137195911</v>
      </c>
    </row>
    <row r="141" spans="1:20" x14ac:dyDescent="0.25">
      <c r="A141" s="5">
        <v>44452</v>
      </c>
      <c r="B141">
        <v>1.4714</v>
      </c>
      <c r="C141">
        <v>1.5174000000000001</v>
      </c>
      <c r="D141">
        <v>1.2715000000000001</v>
      </c>
      <c r="E141">
        <v>1.3586</v>
      </c>
      <c r="F141">
        <v>4320573</v>
      </c>
      <c r="G141">
        <v>1.3586</v>
      </c>
      <c r="L141" t="s">
        <v>8</v>
      </c>
      <c r="M141" t="s">
        <v>7</v>
      </c>
      <c r="N141" t="s">
        <v>7</v>
      </c>
      <c r="P141">
        <f t="shared" ref="P141" si="680">IF(C141=D141,0,((E141-D141)-(C141-E141))/(C141-D141))</f>
        <v>-0.29158194387962627</v>
      </c>
      <c r="Q141">
        <f t="shared" ref="Q141" si="681">F141*P141</f>
        <v>-1259801.0740138285</v>
      </c>
      <c r="R141">
        <f t="shared" ref="R141" si="682">R142+Q141</f>
        <v>-22532827.512068234</v>
      </c>
      <c r="S141">
        <f t="shared" ref="S141" si="683">R141/100000</f>
        <v>-225.32827512068235</v>
      </c>
      <c r="T141">
        <f t="shared" ref="T141" si="684">S141/1000</f>
        <v>-0.22532827512068235</v>
      </c>
    </row>
    <row r="142" spans="1:20" x14ac:dyDescent="0.25">
      <c r="A142" s="5">
        <v>44451</v>
      </c>
      <c r="B142">
        <v>1.4329000000000001</v>
      </c>
      <c r="C142">
        <v>1.4781</v>
      </c>
      <c r="D142">
        <v>1.3671</v>
      </c>
      <c r="E142">
        <v>1.4697</v>
      </c>
      <c r="F142">
        <v>2524849</v>
      </c>
      <c r="G142">
        <v>1.4697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0.84864864864864931</v>
      </c>
      <c r="Q142">
        <f t="shared" ref="Q142" si="686">F142*P142</f>
        <v>2142709.6918918937</v>
      </c>
      <c r="R142">
        <f t="shared" ref="R142" si="687">R143+Q142</f>
        <v>-21273026.438054405</v>
      </c>
      <c r="S142">
        <f t="shared" ref="S142" si="688">R142/100000</f>
        <v>-212.73026438054404</v>
      </c>
      <c r="T142">
        <f t="shared" ref="T142" si="689">S142/1000</f>
        <v>-0.21273026438054404</v>
      </c>
    </row>
    <row r="143" spans="1:20" x14ac:dyDescent="0.25">
      <c r="A143" s="5">
        <v>44450</v>
      </c>
      <c r="B143">
        <v>1.4363999999999999</v>
      </c>
      <c r="C143">
        <v>1.4380999999999999</v>
      </c>
      <c r="D143">
        <v>1.3635999999999999</v>
      </c>
      <c r="E143">
        <v>1.4292</v>
      </c>
      <c r="F143">
        <v>4104812</v>
      </c>
      <c r="G143">
        <v>1.4292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0.76107382550335823</v>
      </c>
      <c r="Q143">
        <f t="shared" ref="Q143" si="691">F143*P143</f>
        <v>3124064.9718120908</v>
      </c>
      <c r="R143">
        <f t="shared" ref="R143" si="692">R144+Q143</f>
        <v>-23415736.129946299</v>
      </c>
      <c r="S143">
        <f t="shared" ref="S143" si="693">R143/100000</f>
        <v>-234.15736129946299</v>
      </c>
      <c r="T143">
        <f t="shared" ref="T143" si="694">S143/1000</f>
        <v>-0.23415736129946299</v>
      </c>
    </row>
    <row r="144" spans="1:20" x14ac:dyDescent="0.25">
      <c r="A144" s="5">
        <v>44449</v>
      </c>
      <c r="B144">
        <v>1.5839000000000001</v>
      </c>
      <c r="C144">
        <v>1.5860000000000001</v>
      </c>
      <c r="D144">
        <v>1.3620000000000001</v>
      </c>
      <c r="E144">
        <v>1.4361999999999999</v>
      </c>
      <c r="F144">
        <v>5924611</v>
      </c>
      <c r="G144">
        <v>1.4361999999999999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-0.33750000000000152</v>
      </c>
      <c r="Q144">
        <f t="shared" ref="Q144" si="696">F144*P144</f>
        <v>-1999556.212500009</v>
      </c>
      <c r="R144">
        <f t="shared" ref="R144" si="697">R145+Q144</f>
        <v>-26539801.101758391</v>
      </c>
      <c r="S144">
        <f t="shared" ref="S144" si="698">R144/100000</f>
        <v>-265.39801101758388</v>
      </c>
      <c r="T144">
        <f t="shared" ref="T144" si="699">S144/1000</f>
        <v>-0.26539801101758387</v>
      </c>
    </row>
    <row r="145" spans="1:20" x14ac:dyDescent="0.25">
      <c r="A145" s="5">
        <v>44448</v>
      </c>
      <c r="B145">
        <v>1.5319</v>
      </c>
      <c r="C145">
        <v>1.5863</v>
      </c>
      <c r="D145">
        <v>1.4321999999999999</v>
      </c>
      <c r="E145">
        <v>1.5839000000000001</v>
      </c>
      <c r="F145">
        <v>6833645</v>
      </c>
      <c r="G145">
        <v>1.5839000000000001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0.96885139519792396</v>
      </c>
      <c r="Q145">
        <f t="shared" ref="Q145" si="701">F145*P145</f>
        <v>6620786.4925373169</v>
      </c>
      <c r="R145">
        <f t="shared" ref="R145" si="702">R146+Q145</f>
        <v>-24540244.889258381</v>
      </c>
      <c r="S145">
        <f t="shared" ref="S145" si="703">R145/100000</f>
        <v>-245.40244889258381</v>
      </c>
      <c r="T145">
        <f t="shared" ref="T145" si="704">S145/1000</f>
        <v>-0.24540244889258381</v>
      </c>
    </row>
    <row r="146" spans="1:20" x14ac:dyDescent="0.25">
      <c r="A146" s="5">
        <v>44447</v>
      </c>
      <c r="B146">
        <v>1.4379</v>
      </c>
      <c r="C146">
        <v>1.5835999999999999</v>
      </c>
      <c r="D146">
        <v>1.2312000000000001</v>
      </c>
      <c r="E146">
        <v>1.5361</v>
      </c>
      <c r="F146">
        <v>10378550</v>
      </c>
      <c r="G146">
        <v>1.5361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0.73041997729852493</v>
      </c>
      <c r="Q146">
        <f t="shared" ref="Q146" si="706">F146*P146</f>
        <v>7580700.2553916061</v>
      </c>
      <c r="R146">
        <f t="shared" ref="R146" si="707">R147+Q146</f>
        <v>-31161031.381795697</v>
      </c>
      <c r="S146">
        <f t="shared" ref="S146" si="708">R146/100000</f>
        <v>-311.61031381795698</v>
      </c>
      <c r="T146">
        <f t="shared" ref="T146" si="709">S146/1000</f>
        <v>-0.31161031381795695</v>
      </c>
    </row>
    <row r="147" spans="1:20" x14ac:dyDescent="0.25">
      <c r="A147" s="5">
        <v>44446</v>
      </c>
      <c r="B147">
        <v>1.8121</v>
      </c>
      <c r="C147">
        <v>2.0419</v>
      </c>
      <c r="D147">
        <v>1.2</v>
      </c>
      <c r="E147">
        <v>1.4321999999999999</v>
      </c>
      <c r="F147">
        <v>24693534.66</v>
      </c>
      <c r="G147">
        <v>1.4321999999999999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-0.44839054519539151</v>
      </c>
      <c r="Q147">
        <f t="shared" ref="Q147" si="711">F147*P147</f>
        <v>-11072347.468998697</v>
      </c>
      <c r="R147">
        <f t="shared" ref="R147" si="712">R148+Q147</f>
        <v>-38741731.637187302</v>
      </c>
      <c r="S147">
        <f t="shared" ref="S147" si="713">R147/100000</f>
        <v>-387.41731637187303</v>
      </c>
      <c r="T147">
        <f t="shared" ref="T147" si="714">S147/1000</f>
        <v>-0.38741731637187304</v>
      </c>
    </row>
    <row r="148" spans="1:20" x14ac:dyDescent="0.25">
      <c r="A148" s="5">
        <v>44445</v>
      </c>
      <c r="B148">
        <v>1.7170000000000001</v>
      </c>
      <c r="C148">
        <v>1.8148</v>
      </c>
      <c r="D148">
        <v>1.5854999999999999</v>
      </c>
      <c r="E148">
        <v>1.8063</v>
      </c>
      <c r="F148">
        <v>8032392</v>
      </c>
      <c r="G148">
        <v>1.8063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0.92586131705189756</v>
      </c>
      <c r="Q148">
        <f t="shared" ref="Q148" si="716">F148*P148</f>
        <v>7436881.0361971259</v>
      </c>
      <c r="R148">
        <f t="shared" ref="R148" si="717">R149+Q148</f>
        <v>-27669384.168188609</v>
      </c>
      <c r="S148">
        <f t="shared" ref="S148" si="718">R148/100000</f>
        <v>-276.69384168188611</v>
      </c>
      <c r="T148">
        <f t="shared" ref="T148" si="719">S148/1000</f>
        <v>-0.2766938416818861</v>
      </c>
    </row>
    <row r="149" spans="1:20" x14ac:dyDescent="0.25">
      <c r="A149" s="5">
        <v>44444</v>
      </c>
      <c r="B149">
        <v>1.7318</v>
      </c>
      <c r="C149">
        <v>1.9674</v>
      </c>
      <c r="D149">
        <v>1.6916</v>
      </c>
      <c r="E149">
        <v>1.7191000000000001</v>
      </c>
      <c r="F149">
        <v>17763395.75</v>
      </c>
      <c r="G149">
        <v>1.7191000000000001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-0.80058013052936861</v>
      </c>
      <c r="Q149">
        <f t="shared" ref="Q149" si="721">F149*P149</f>
        <v>-14221021.688179832</v>
      </c>
      <c r="R149">
        <f t="shared" ref="R149" si="722">R150+Q149</f>
        <v>-35106265.204385735</v>
      </c>
      <c r="S149">
        <f t="shared" ref="S149" si="723">R149/100000</f>
        <v>-351.06265204385733</v>
      </c>
      <c r="T149">
        <f t="shared" ref="T149" si="724">S149/1000</f>
        <v>-0.35106265204385734</v>
      </c>
    </row>
    <row r="150" spans="1:20" x14ac:dyDescent="0.25">
      <c r="A150" s="5">
        <v>44443</v>
      </c>
      <c r="B150">
        <v>1.579</v>
      </c>
      <c r="C150">
        <v>1.7914000000000001</v>
      </c>
      <c r="D150">
        <v>1.5618000000000001</v>
      </c>
      <c r="E150">
        <v>1.7318</v>
      </c>
      <c r="F150">
        <v>16190222.02</v>
      </c>
      <c r="G150">
        <v>1.7318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0.48083623693379712</v>
      </c>
      <c r="Q150">
        <f t="shared" ref="Q150" si="726">F150*P150</f>
        <v>7784845.4312194996</v>
      </c>
      <c r="R150">
        <f t="shared" ref="R150" si="727">R151+Q150</f>
        <v>-20885243.516205903</v>
      </c>
      <c r="S150">
        <f t="shared" ref="S150" si="728">R150/100000</f>
        <v>-208.85243516205904</v>
      </c>
      <c r="T150">
        <f t="shared" ref="T150" si="729">S150/1000</f>
        <v>-0.20885243516205904</v>
      </c>
    </row>
    <row r="151" spans="1:20" x14ac:dyDescent="0.25">
      <c r="A151" s="5">
        <v>44442</v>
      </c>
      <c r="B151">
        <v>1.5255000000000001</v>
      </c>
      <c r="C151">
        <v>1.58</v>
      </c>
      <c r="D151">
        <v>1.4710000000000001</v>
      </c>
      <c r="E151">
        <v>1.579</v>
      </c>
      <c r="F151">
        <v>6628335</v>
      </c>
      <c r="G151">
        <v>1.579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0.98165137614678688</v>
      </c>
      <c r="Q151">
        <f t="shared" ref="Q151" si="731">F151*P151</f>
        <v>6506714.1743119126</v>
      </c>
      <c r="R151">
        <f t="shared" ref="R151" si="732">R152+Q151</f>
        <v>-28670088.947425403</v>
      </c>
      <c r="S151">
        <f t="shared" ref="S151" si="733">R151/100000</f>
        <v>-286.70088947425404</v>
      </c>
      <c r="T151">
        <f t="shared" ref="T151" si="734">S151/1000</f>
        <v>-0.28670088947425404</v>
      </c>
    </row>
    <row r="152" spans="1:20" x14ac:dyDescent="0.25">
      <c r="A152" s="5">
        <v>44441</v>
      </c>
      <c r="B152">
        <v>1.5286999999999999</v>
      </c>
      <c r="C152">
        <v>1.5881000000000001</v>
      </c>
      <c r="D152">
        <v>1.484</v>
      </c>
      <c r="E152">
        <v>1.5237000000000001</v>
      </c>
      <c r="F152">
        <v>6074272</v>
      </c>
      <c r="G152">
        <v>1.5237000000000001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-0.23727185398655068</v>
      </c>
      <c r="Q152">
        <f t="shared" ref="Q152" si="736">F152*P152</f>
        <v>-1441253.7790585931</v>
      </c>
      <c r="R152">
        <f t="shared" ref="R152" si="737">R153+Q152</f>
        <v>-35176803.121737316</v>
      </c>
      <c r="S152">
        <f t="shared" ref="S152" si="738">R152/100000</f>
        <v>-351.76803121737316</v>
      </c>
      <c r="T152">
        <f t="shared" ref="T152" si="739">S152/1000</f>
        <v>-0.35176803121737316</v>
      </c>
    </row>
    <row r="153" spans="1:20" x14ac:dyDescent="0.25">
      <c r="A153" s="5">
        <v>44440</v>
      </c>
      <c r="B153">
        <v>1.4748000000000001</v>
      </c>
      <c r="C153">
        <v>1.5299</v>
      </c>
      <c r="D153">
        <v>1.4166000000000001</v>
      </c>
      <c r="E153">
        <v>1.5286999999999999</v>
      </c>
      <c r="F153">
        <v>5012706</v>
      </c>
      <c r="G153">
        <v>1.5286999999999999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0.97881729920564708</v>
      </c>
      <c r="Q153">
        <f t="shared" ref="Q153" si="741">F153*P153</f>
        <v>4906523.3486319426</v>
      </c>
      <c r="R153">
        <f t="shared" ref="R153" si="742">R154+Q153</f>
        <v>-33735549.342678726</v>
      </c>
      <c r="S153">
        <f t="shared" ref="S153" si="743">R153/100000</f>
        <v>-337.35549342678723</v>
      </c>
      <c r="T153">
        <f t="shared" ref="T153" si="744">S153/1000</f>
        <v>-0.33735549342678722</v>
      </c>
    </row>
    <row r="154" spans="1:20" x14ac:dyDescent="0.25">
      <c r="A154" s="5">
        <v>44439</v>
      </c>
      <c r="B154">
        <v>1.4717</v>
      </c>
      <c r="C154">
        <v>1.62</v>
      </c>
      <c r="D154">
        <v>1.4162999999999999</v>
      </c>
      <c r="E154">
        <v>1.4751000000000001</v>
      </c>
      <c r="F154">
        <v>7721092.3700000001</v>
      </c>
      <c r="G154">
        <v>1.4751000000000001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-0.4226804123711328</v>
      </c>
      <c r="Q154">
        <f t="shared" ref="Q154" si="746">F154*P154</f>
        <v>-3263554.506907207</v>
      </c>
      <c r="R154">
        <f t="shared" ref="R154" si="747">R155+Q154</f>
        <v>-38642072.691310667</v>
      </c>
      <c r="S154">
        <f t="shared" ref="S154" si="748">R154/100000</f>
        <v>-386.42072691310665</v>
      </c>
      <c r="T154">
        <f t="shared" ref="T154" si="749">S154/1000</f>
        <v>-0.38642072691310664</v>
      </c>
    </row>
    <row r="155" spans="1:20" x14ac:dyDescent="0.25">
      <c r="A155" s="5">
        <v>44438</v>
      </c>
      <c r="B155">
        <v>1.595</v>
      </c>
      <c r="C155">
        <v>1.5953999999999999</v>
      </c>
      <c r="D155">
        <v>1.4500999999999999</v>
      </c>
      <c r="E155">
        <v>1.4702</v>
      </c>
      <c r="F155">
        <v>6096525</v>
      </c>
      <c r="G155">
        <v>1.4702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-0.72333103922918085</v>
      </c>
      <c r="Q155">
        <f t="shared" ref="Q155" si="751">F155*P155</f>
        <v>-4409805.7639366817</v>
      </c>
      <c r="R155">
        <f t="shared" ref="R155" si="752">R156+Q155</f>
        <v>-35378518.184403457</v>
      </c>
      <c r="S155">
        <f t="shared" ref="S155" si="753">R155/100000</f>
        <v>-353.78518184403458</v>
      </c>
      <c r="T155">
        <f t="shared" ref="T155" si="754">S155/1000</f>
        <v>-0.35378518184403457</v>
      </c>
    </row>
    <row r="156" spans="1:20" x14ac:dyDescent="0.25">
      <c r="A156" s="5">
        <v>44437</v>
      </c>
      <c r="B156">
        <v>1.5237000000000001</v>
      </c>
      <c r="C156">
        <v>1.5956999999999999</v>
      </c>
      <c r="D156">
        <v>1.43</v>
      </c>
      <c r="E156">
        <v>1.5918000000000001</v>
      </c>
      <c r="F156">
        <v>6200718.9199999999</v>
      </c>
      <c r="G156">
        <v>1.5918000000000001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0.95292697646349067</v>
      </c>
      <c r="Q156">
        <f t="shared" ref="Q156" si="756">F156*P156</f>
        <v>5908832.3323355615</v>
      </c>
      <c r="R156">
        <f t="shared" ref="R156" si="757">R157+Q156</f>
        <v>-30968712.420466773</v>
      </c>
      <c r="S156">
        <f t="shared" ref="S156" si="758">R156/100000</f>
        <v>-309.68712420466773</v>
      </c>
      <c r="T156">
        <f t="shared" ref="T156" si="759">S156/1000</f>
        <v>-0.30968712420466771</v>
      </c>
    </row>
    <row r="157" spans="1:20" x14ac:dyDescent="0.25">
      <c r="A157" s="5">
        <v>44436</v>
      </c>
      <c r="B157">
        <v>1.464</v>
      </c>
      <c r="C157">
        <v>1.5633999999999999</v>
      </c>
      <c r="D157">
        <v>1.3924000000000001</v>
      </c>
      <c r="E157">
        <v>1.5246</v>
      </c>
      <c r="F157">
        <v>9711509.6999999993</v>
      </c>
      <c r="G157">
        <v>1.5246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0.54619883040935691</v>
      </c>
      <c r="Q157">
        <f t="shared" ref="Q157" si="761">F157*P157</f>
        <v>5304415.2396491244</v>
      </c>
      <c r="R157">
        <f t="shared" ref="R157" si="762">R158+Q157</f>
        <v>-36877544.752802335</v>
      </c>
      <c r="S157">
        <f t="shared" ref="S157" si="763">R157/100000</f>
        <v>-368.77544752802334</v>
      </c>
      <c r="T157">
        <f t="shared" ref="T157" si="764">S157/1000</f>
        <v>-0.36877544752802333</v>
      </c>
    </row>
    <row r="158" spans="1:20" x14ac:dyDescent="0.25">
      <c r="A158" s="5">
        <v>44435</v>
      </c>
      <c r="B158">
        <v>1.4041999999999999</v>
      </c>
      <c r="C158">
        <v>1.4639</v>
      </c>
      <c r="D158">
        <v>1.3036000000000001</v>
      </c>
      <c r="E158">
        <v>1.4638</v>
      </c>
      <c r="F158">
        <v>6426703.8399999999</v>
      </c>
      <c r="G158">
        <v>1.4638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0.99875233936369323</v>
      </c>
      <c r="Q158">
        <f t="shared" ref="Q158" si="766">F158*P158</f>
        <v>6418685.4945976306</v>
      </c>
      <c r="R158">
        <f t="shared" ref="R158" si="767">R159+Q158</f>
        <v>-42181959.992451459</v>
      </c>
      <c r="S158">
        <f t="shared" ref="S158" si="768">R158/100000</f>
        <v>-421.81959992451459</v>
      </c>
      <c r="T158">
        <f t="shared" ref="T158" si="769">S158/1000</f>
        <v>-0.42181959992451457</v>
      </c>
    </row>
    <row r="159" spans="1:20" x14ac:dyDescent="0.25">
      <c r="A159" s="5">
        <v>44434</v>
      </c>
      <c r="B159">
        <v>1.3931</v>
      </c>
      <c r="C159">
        <v>1.75</v>
      </c>
      <c r="D159">
        <v>1.3909</v>
      </c>
      <c r="E159">
        <v>1.4043000000000001</v>
      </c>
      <c r="F159">
        <v>26218815.640000001</v>
      </c>
      <c r="G159">
        <v>1.4043000000000001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-0.92536897800055651</v>
      </c>
      <c r="Q159">
        <f t="shared" ref="Q159" si="771">F159*P159</f>
        <v>-24262078.633171808</v>
      </c>
      <c r="R159">
        <f t="shared" ref="R159" si="772">R160+Q159</f>
        <v>-48600645.487049088</v>
      </c>
      <c r="S159">
        <f t="shared" ref="S159" si="773">R159/100000</f>
        <v>-486.00645487049087</v>
      </c>
      <c r="T159">
        <f t="shared" ref="T159" si="774">S159/1000</f>
        <v>-0.48600645487049088</v>
      </c>
    </row>
    <row r="160" spans="1:20" x14ac:dyDescent="0.25">
      <c r="A160" s="5">
        <v>44433</v>
      </c>
      <c r="B160">
        <v>1.3129</v>
      </c>
      <c r="C160">
        <v>1.3933</v>
      </c>
      <c r="D160">
        <v>1.2422</v>
      </c>
      <c r="E160">
        <v>1.3920999999999999</v>
      </c>
      <c r="F160">
        <v>4183084.26</v>
      </c>
      <c r="G160">
        <v>1.3920999999999999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0.9841164791528777</v>
      </c>
      <c r="Q160">
        <f t="shared" ref="Q160" si="776">F160*P160</f>
        <v>4116642.1539510204</v>
      </c>
      <c r="R160">
        <f t="shared" ref="R160" si="777">R161+Q160</f>
        <v>-24338566.853877284</v>
      </c>
      <c r="S160">
        <f t="shared" ref="S160" si="778">R160/100000</f>
        <v>-243.38566853877285</v>
      </c>
      <c r="T160">
        <f t="shared" ref="T160" si="779">S160/1000</f>
        <v>-0.24338566853877286</v>
      </c>
    </row>
    <row r="161" spans="1:20" x14ac:dyDescent="0.25">
      <c r="A161" s="5">
        <v>44432</v>
      </c>
      <c r="B161">
        <v>1.4093</v>
      </c>
      <c r="C161">
        <v>1.4685999999999999</v>
      </c>
      <c r="D161">
        <v>1.2728999999999999</v>
      </c>
      <c r="E161">
        <v>1.3125</v>
      </c>
      <c r="F161">
        <v>7426961.1399999997</v>
      </c>
      <c r="G161">
        <v>1.3125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-0.59529892692897213</v>
      </c>
      <c r="Q161">
        <f t="shared" ref="Q161" si="781">F161*P161</f>
        <v>-4421261.9969851756</v>
      </c>
      <c r="R161">
        <f t="shared" ref="R161" si="782">R162+Q161</f>
        <v>-28455209.007828303</v>
      </c>
      <c r="S161">
        <f t="shared" ref="S161" si="783">R161/100000</f>
        <v>-284.55209007828302</v>
      </c>
      <c r="T161">
        <f t="shared" ref="T161" si="784">S161/1000</f>
        <v>-0.28455209007828303</v>
      </c>
    </row>
    <row r="162" spans="1:20" x14ac:dyDescent="0.25">
      <c r="A162" s="5">
        <v>44431</v>
      </c>
      <c r="B162">
        <v>1.3419000000000001</v>
      </c>
      <c r="C162">
        <v>1.4384999999999999</v>
      </c>
      <c r="D162">
        <v>1.3259000000000001</v>
      </c>
      <c r="E162">
        <v>1.4083000000000001</v>
      </c>
      <c r="F162">
        <v>12022275.98</v>
      </c>
      <c r="G162">
        <v>1.4083000000000001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0.46358792184724984</v>
      </c>
      <c r="Q162">
        <f t="shared" ref="Q162" si="786">F162*P162</f>
        <v>5573381.9374423092</v>
      </c>
      <c r="R162">
        <f t="shared" ref="R162" si="787">R163+Q162</f>
        <v>-24033947.010843128</v>
      </c>
      <c r="S162">
        <f t="shared" ref="S162" si="788">R162/100000</f>
        <v>-240.33947010843127</v>
      </c>
      <c r="T162">
        <f t="shared" ref="T162" si="789">S162/1000</f>
        <v>-0.24033947010843126</v>
      </c>
    </row>
    <row r="163" spans="1:20" x14ac:dyDescent="0.25">
      <c r="A163" s="5">
        <v>44430</v>
      </c>
      <c r="B163">
        <v>1.3442000000000001</v>
      </c>
      <c r="C163">
        <v>1.3486</v>
      </c>
      <c r="D163">
        <v>1.3001</v>
      </c>
      <c r="E163">
        <v>1.3308</v>
      </c>
      <c r="F163">
        <v>1144331.78</v>
      </c>
      <c r="G163">
        <v>1.3308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0.26597938144329719</v>
      </c>
      <c r="Q163">
        <f t="shared" ref="Q163" si="791">F163*P163</f>
        <v>304368.65901030722</v>
      </c>
      <c r="R163">
        <f t="shared" ref="R163" si="792">R164+Q163</f>
        <v>-29607328.948285438</v>
      </c>
      <c r="S163">
        <f t="shared" ref="S163" si="793">R163/100000</f>
        <v>-296.07328948285436</v>
      </c>
      <c r="T163">
        <f t="shared" ref="T163" si="794">S163/1000</f>
        <v>-0.29607328948285438</v>
      </c>
    </row>
    <row r="164" spans="1:20" x14ac:dyDescent="0.25">
      <c r="A164" s="5">
        <v>44429</v>
      </c>
      <c r="B164">
        <v>1.3022</v>
      </c>
      <c r="C164">
        <v>1.3624000000000001</v>
      </c>
      <c r="D164">
        <v>1.2563</v>
      </c>
      <c r="E164">
        <v>1.3424</v>
      </c>
      <c r="F164">
        <v>6193640.5099999998</v>
      </c>
      <c r="G164">
        <v>1.3424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0.6229971724787936</v>
      </c>
      <c r="Q164">
        <f t="shared" ref="Q164" si="796">F164*P164</f>
        <v>3858620.5250801132</v>
      </c>
      <c r="R164">
        <f t="shared" ref="R164" si="797">R165+Q164</f>
        <v>-29911697.607295744</v>
      </c>
      <c r="S164">
        <f t="shared" ref="S164" si="798">R164/100000</f>
        <v>-299.11697607295741</v>
      </c>
      <c r="T164">
        <f t="shared" ref="T164" si="799">S164/1000</f>
        <v>-0.2991169760729574</v>
      </c>
    </row>
    <row r="165" spans="1:20" x14ac:dyDescent="0.25">
      <c r="A165" s="5">
        <v>44428</v>
      </c>
      <c r="B165">
        <v>1.2573000000000001</v>
      </c>
      <c r="C165">
        <v>1.3279000000000001</v>
      </c>
      <c r="D165">
        <v>1.2358</v>
      </c>
      <c r="E165">
        <v>1.3028999999999999</v>
      </c>
      <c r="F165">
        <v>6936994.5999999996</v>
      </c>
      <c r="G165">
        <v>1.3028999999999999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0.45711183496199537</v>
      </c>
      <c r="Q165">
        <f t="shared" ref="Q165" si="801">F165*P165</f>
        <v>3170982.3307274529</v>
      </c>
      <c r="R165">
        <f t="shared" ref="R165" si="802">R166+Q165</f>
        <v>-33770318.132375859</v>
      </c>
      <c r="S165">
        <f t="shared" ref="S165" si="803">R165/100000</f>
        <v>-337.7031813237586</v>
      </c>
      <c r="T165">
        <f t="shared" ref="T165" si="804">S165/1000</f>
        <v>-0.33770318132375859</v>
      </c>
    </row>
    <row r="166" spans="1:20" x14ac:dyDescent="0.25">
      <c r="A166" s="5">
        <v>44427</v>
      </c>
      <c r="B166">
        <v>1.1894</v>
      </c>
      <c r="C166">
        <v>1.2677</v>
      </c>
      <c r="D166">
        <v>1.1499999999999999</v>
      </c>
      <c r="E166">
        <v>1.2546999999999999</v>
      </c>
      <c r="F166">
        <v>3466285.83</v>
      </c>
      <c r="G166">
        <v>1.2546999999999999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0.77909940526762778</v>
      </c>
      <c r="Q166">
        <f t="shared" ref="Q166" si="806">F166*P166</f>
        <v>2700581.2286406057</v>
      </c>
      <c r="R166">
        <f t="shared" ref="R166" si="807">R167+Q166</f>
        <v>-36941300.463103309</v>
      </c>
      <c r="S166">
        <f t="shared" ref="S166" si="808">R166/100000</f>
        <v>-369.41300463103312</v>
      </c>
      <c r="T166">
        <f t="shared" ref="T166" si="809">S166/1000</f>
        <v>-0.3694130046310331</v>
      </c>
    </row>
    <row r="167" spans="1:20" x14ac:dyDescent="0.25">
      <c r="A167" s="5">
        <v>44426</v>
      </c>
      <c r="B167">
        <v>1.2233000000000001</v>
      </c>
      <c r="C167">
        <v>1.26</v>
      </c>
      <c r="D167">
        <v>1.1375</v>
      </c>
      <c r="E167">
        <v>1.1882999999999999</v>
      </c>
      <c r="F167">
        <v>5771940.8499999996</v>
      </c>
      <c r="G167">
        <v>1.1882999999999999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-0.17061224489796026</v>
      </c>
      <c r="Q167">
        <f t="shared" ref="Q167" si="811">F167*P167</f>
        <v>-984763.78583674086</v>
      </c>
      <c r="R167">
        <f t="shared" ref="R167" si="812">R168+Q167</f>
        <v>-39641881.691743918</v>
      </c>
      <c r="S167">
        <f t="shared" ref="S167" si="813">R167/100000</f>
        <v>-396.41881691743919</v>
      </c>
      <c r="T167">
        <f t="shared" ref="T167" si="814">S167/1000</f>
        <v>-0.39641881691743919</v>
      </c>
    </row>
    <row r="168" spans="1:20" x14ac:dyDescent="0.25">
      <c r="A168" s="5">
        <v>44425</v>
      </c>
      <c r="B168">
        <v>1.3203</v>
      </c>
      <c r="C168">
        <v>1.36</v>
      </c>
      <c r="D168">
        <v>1.2019</v>
      </c>
      <c r="E168">
        <v>1.2233000000000001</v>
      </c>
      <c r="F168">
        <v>6401121.3600000003</v>
      </c>
      <c r="G168">
        <v>1.2233000000000001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-0.7292852624920928</v>
      </c>
      <c r="Q168">
        <f t="shared" ref="Q168" si="816">F168*P168</f>
        <v>-4668243.4712713426</v>
      </c>
      <c r="R168">
        <f t="shared" ref="R168" si="817">R169+Q168</f>
        <v>-38657117.905907176</v>
      </c>
      <c r="S168">
        <f t="shared" ref="S168" si="818">R168/100000</f>
        <v>-386.57117905907177</v>
      </c>
      <c r="T168">
        <f t="shared" ref="T168" si="819">S168/1000</f>
        <v>-0.38657117905907179</v>
      </c>
    </row>
    <row r="169" spans="1:20" x14ac:dyDescent="0.25">
      <c r="A169" s="5">
        <v>44424</v>
      </c>
      <c r="B169">
        <v>1.3478000000000001</v>
      </c>
      <c r="C169">
        <v>1.4490000000000001</v>
      </c>
      <c r="D169">
        <v>1.3080000000000001</v>
      </c>
      <c r="E169">
        <v>1.3207</v>
      </c>
      <c r="F169">
        <v>14774722.029999999</v>
      </c>
      <c r="G169">
        <v>1.3207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-0.81985815602836976</v>
      </c>
      <c r="Q169">
        <f t="shared" ref="Q169" si="821">F169*P169</f>
        <v>-12113176.359347532</v>
      </c>
      <c r="R169">
        <f t="shared" ref="R169" si="822">R170+Q169</f>
        <v>-33988874.434635833</v>
      </c>
      <c r="S169">
        <f t="shared" ref="S169" si="823">R169/100000</f>
        <v>-339.88874434635835</v>
      </c>
      <c r="T169">
        <f t="shared" ref="T169" si="824">S169/1000</f>
        <v>-0.33988874434635835</v>
      </c>
    </row>
    <row r="170" spans="1:20" x14ac:dyDescent="0.25">
      <c r="A170" s="5">
        <v>44423</v>
      </c>
      <c r="B170">
        <v>1.343</v>
      </c>
      <c r="C170">
        <v>1.3484</v>
      </c>
      <c r="D170">
        <v>1.244</v>
      </c>
      <c r="E170">
        <v>1.3463000000000001</v>
      </c>
      <c r="F170">
        <v>6836228.4900000002</v>
      </c>
      <c r="G170">
        <v>1.3463000000000001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0.95977011494252895</v>
      </c>
      <c r="Q170">
        <f t="shared" ref="Q170" si="826">F170*P170</f>
        <v>6561207.8036206914</v>
      </c>
      <c r="R170">
        <f t="shared" ref="R170" si="827">R171+Q170</f>
        <v>-21875698.075288299</v>
      </c>
      <c r="S170">
        <f t="shared" ref="S170" si="828">R170/100000</f>
        <v>-218.75698075288298</v>
      </c>
      <c r="T170">
        <f t="shared" ref="T170" si="829">S170/1000</f>
        <v>-0.21875698075288297</v>
      </c>
    </row>
    <row r="171" spans="1:20" x14ac:dyDescent="0.25">
      <c r="A171" s="5">
        <v>44422</v>
      </c>
      <c r="B171">
        <v>1.2589999999999999</v>
      </c>
      <c r="C171">
        <v>1.3584000000000001</v>
      </c>
      <c r="D171">
        <v>1.1868000000000001</v>
      </c>
      <c r="E171">
        <v>1.3441000000000001</v>
      </c>
      <c r="F171">
        <v>9799420.4000000004</v>
      </c>
      <c r="G171">
        <v>1.3441000000000001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0.83333333333333359</v>
      </c>
      <c r="Q171">
        <f t="shared" ref="Q171" si="831">F171*P171</f>
        <v>8166183.6666666698</v>
      </c>
      <c r="R171">
        <f t="shared" ref="R171" si="832">R172+Q171</f>
        <v>-28436905.878908992</v>
      </c>
      <c r="S171">
        <f t="shared" ref="S171" si="833">R171/100000</f>
        <v>-284.36905878908993</v>
      </c>
      <c r="T171">
        <f t="shared" ref="T171" si="834">S171/1000</f>
        <v>-0.28436905878908991</v>
      </c>
    </row>
    <row r="172" spans="1:20" x14ac:dyDescent="0.25">
      <c r="A172" s="5">
        <v>44421</v>
      </c>
      <c r="B172">
        <v>1.1607000000000001</v>
      </c>
      <c r="C172">
        <v>1.2615000000000001</v>
      </c>
      <c r="D172">
        <v>1.1312</v>
      </c>
      <c r="E172">
        <v>1.2589999999999999</v>
      </c>
      <c r="F172">
        <v>5527940.7300000004</v>
      </c>
      <c r="G172">
        <v>1.2589999999999999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0.96162701458173194</v>
      </c>
      <c r="Q172">
        <f t="shared" ref="Q172" si="836">F172*P172</f>
        <v>5315817.1409746604</v>
      </c>
      <c r="R172">
        <f t="shared" ref="R172" si="837">R173+Q172</f>
        <v>-36603089.545575663</v>
      </c>
      <c r="S172">
        <f t="shared" ref="S172" si="838">R172/100000</f>
        <v>-366.03089545575665</v>
      </c>
      <c r="T172">
        <f t="shared" ref="T172" si="839">S172/1000</f>
        <v>-0.36603089545575662</v>
      </c>
    </row>
    <row r="173" spans="1:20" x14ac:dyDescent="0.25">
      <c r="A173" s="5">
        <v>44420</v>
      </c>
      <c r="B173">
        <v>1.2181999999999999</v>
      </c>
      <c r="C173">
        <v>1.2579</v>
      </c>
      <c r="D173">
        <v>1.1100000000000001</v>
      </c>
      <c r="E173">
        <v>1.1580999999999999</v>
      </c>
      <c r="F173">
        <v>5111344.0999999996</v>
      </c>
      <c r="G173">
        <v>1.1580999999999999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-0.3495605138607189</v>
      </c>
      <c r="Q173">
        <f t="shared" ref="Q173" si="841">F173*P173</f>
        <v>-1786724.0701149537</v>
      </c>
      <c r="R173">
        <f t="shared" ref="R173" si="842">R174+Q173</f>
        <v>-41918906.686550327</v>
      </c>
      <c r="S173">
        <f t="shared" ref="S173" si="843">R173/100000</f>
        <v>-419.18906686550326</v>
      </c>
      <c r="T173">
        <f t="shared" ref="T173" si="844">S173/1000</f>
        <v>-0.41918906686550328</v>
      </c>
    </row>
    <row r="174" spans="1:20" x14ac:dyDescent="0.25">
      <c r="A174" s="5">
        <v>44419</v>
      </c>
      <c r="B174">
        <v>1.1713</v>
      </c>
      <c r="C174">
        <v>1.2899</v>
      </c>
      <c r="D174">
        <v>1.0822000000000001</v>
      </c>
      <c r="E174">
        <v>1.2184999999999999</v>
      </c>
      <c r="F174">
        <v>8507740.7200000007</v>
      </c>
      <c r="G174">
        <v>1.2184999999999999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0.31246990852190532</v>
      </c>
      <c r="Q174">
        <f t="shared" ref="Q174" si="846">F174*P174</f>
        <v>2658412.9645064892</v>
      </c>
      <c r="R174">
        <f t="shared" ref="R174" si="847">R175+Q174</f>
        <v>-40132182.616435371</v>
      </c>
      <c r="S174">
        <f t="shared" ref="S174" si="848">R174/100000</f>
        <v>-401.32182616435369</v>
      </c>
      <c r="T174">
        <f t="shared" ref="T174" si="849">S174/1000</f>
        <v>-0.40132182616435369</v>
      </c>
    </row>
    <row r="175" spans="1:20" x14ac:dyDescent="0.25">
      <c r="A175" s="5">
        <v>44418</v>
      </c>
      <c r="B175">
        <v>1.1597999999999999</v>
      </c>
      <c r="C175">
        <v>1.1778</v>
      </c>
      <c r="D175">
        <v>1.0973999999999999</v>
      </c>
      <c r="E175">
        <v>1.1706000000000001</v>
      </c>
      <c r="F175">
        <v>4793772.13</v>
      </c>
      <c r="G175">
        <v>1.1706000000000001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0.82089552238806296</v>
      </c>
      <c r="Q175">
        <f t="shared" ref="Q175" si="851">F175*P175</f>
        <v>3935186.076865687</v>
      </c>
      <c r="R175">
        <f t="shared" ref="R175" si="852">R176+Q175</f>
        <v>-42790595.580941863</v>
      </c>
      <c r="S175">
        <f t="shared" ref="S175" si="853">R175/100000</f>
        <v>-427.90595580941863</v>
      </c>
      <c r="T175">
        <f t="shared" ref="T175" si="854">S175/1000</f>
        <v>-0.42790595580941865</v>
      </c>
    </row>
    <row r="176" spans="1:20" x14ac:dyDescent="0.25">
      <c r="A176" s="5">
        <v>44417</v>
      </c>
      <c r="B176">
        <v>1.1197999999999999</v>
      </c>
      <c r="C176">
        <v>1.1673</v>
      </c>
      <c r="D176">
        <v>1.0575000000000001</v>
      </c>
      <c r="E176">
        <v>1.1606000000000001</v>
      </c>
      <c r="F176">
        <v>3382780.5</v>
      </c>
      <c r="G176">
        <v>1.1606000000000001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0.87795992714025617</v>
      </c>
      <c r="Q176">
        <f t="shared" ref="Q176" si="856">F176*P176</f>
        <v>2969945.7213114793</v>
      </c>
      <c r="R176">
        <f t="shared" ref="R176" si="857">R177+Q176</f>
        <v>-46725781.657807551</v>
      </c>
      <c r="S176">
        <f t="shared" ref="S176" si="858">R176/100000</f>
        <v>-467.25781657807551</v>
      </c>
      <c r="T176">
        <f t="shared" ref="T176" si="859">S176/1000</f>
        <v>-0.46725781657807552</v>
      </c>
    </row>
    <row r="177" spans="1:20" x14ac:dyDescent="0.25">
      <c r="A177" s="5">
        <v>44416</v>
      </c>
      <c r="B177">
        <v>1.1934</v>
      </c>
      <c r="C177">
        <v>1.2145999999999999</v>
      </c>
      <c r="D177">
        <v>1.0622</v>
      </c>
      <c r="E177">
        <v>1.1200000000000001</v>
      </c>
      <c r="F177">
        <v>5320017.24</v>
      </c>
      <c r="G177">
        <v>1.1200000000000001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-0.24146981627296427</v>
      </c>
      <c r="Q177">
        <f t="shared" ref="Q177" si="861">F177*P177</f>
        <v>-1284623.5855118025</v>
      </c>
      <c r="R177">
        <f t="shared" ref="R177" si="862">R178+Q177</f>
        <v>-49695727.379119031</v>
      </c>
      <c r="S177">
        <f t="shared" ref="S177" si="863">R177/100000</f>
        <v>-496.95727379119029</v>
      </c>
      <c r="T177">
        <f t="shared" ref="T177" si="864">S177/1000</f>
        <v>-0.49695727379119031</v>
      </c>
    </row>
    <row r="178" spans="1:20" x14ac:dyDescent="0.25">
      <c r="A178" s="5">
        <v>44415</v>
      </c>
      <c r="B178">
        <v>1.1513</v>
      </c>
      <c r="C178">
        <v>1.1935</v>
      </c>
      <c r="D178">
        <v>1.1082000000000001</v>
      </c>
      <c r="E178">
        <v>1.1935</v>
      </c>
      <c r="F178">
        <v>6837767.2000000002</v>
      </c>
      <c r="G178">
        <v>1.1935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1</v>
      </c>
      <c r="Q178">
        <f t="shared" ref="Q178" si="866">F178*P178</f>
        <v>6837767.2000000002</v>
      </c>
      <c r="R178">
        <f t="shared" ref="R178" si="867">R179+Q178</f>
        <v>-48411103.793607228</v>
      </c>
      <c r="S178">
        <f t="shared" ref="S178" si="868">R178/100000</f>
        <v>-484.11103793607225</v>
      </c>
      <c r="T178">
        <f t="shared" ref="T178" si="869">S178/1000</f>
        <v>-0.48411103793607224</v>
      </c>
    </row>
    <row r="179" spans="1:20" x14ac:dyDescent="0.25">
      <c r="A179" s="5">
        <v>44414</v>
      </c>
      <c r="B179">
        <v>1.1005</v>
      </c>
      <c r="C179">
        <v>1.1533</v>
      </c>
      <c r="D179">
        <v>1.0637000000000001</v>
      </c>
      <c r="E179">
        <v>1.1512</v>
      </c>
      <c r="F179">
        <v>4799679.26</v>
      </c>
      <c r="G179">
        <v>1.1512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0.95312500000000011</v>
      </c>
      <c r="Q179">
        <f t="shared" ref="Q179" si="871">F179*P179</f>
        <v>4574694.2946875002</v>
      </c>
      <c r="R179">
        <f t="shared" ref="R179" si="872">R180+Q179</f>
        <v>-55248870.99360723</v>
      </c>
      <c r="S179">
        <f t="shared" ref="S179" si="873">R179/100000</f>
        <v>-552.48870993607227</v>
      </c>
      <c r="T179">
        <f t="shared" ref="T179" si="874">S179/1000</f>
        <v>-0.55248870993607224</v>
      </c>
    </row>
    <row r="180" spans="1:20" x14ac:dyDescent="0.25">
      <c r="A180" s="5">
        <v>44413</v>
      </c>
      <c r="B180">
        <v>1.0932999999999999</v>
      </c>
      <c r="C180">
        <v>1.1063000000000001</v>
      </c>
      <c r="D180">
        <v>1.0214000000000001</v>
      </c>
      <c r="E180">
        <v>1.1006</v>
      </c>
      <c r="F180">
        <v>4811517.5199999996</v>
      </c>
      <c r="G180">
        <v>1.1006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0.86572438162544074</v>
      </c>
      <c r="Q180">
        <f t="shared" ref="Q180" si="876">F180*P180</f>
        <v>4165448.0296819736</v>
      </c>
      <c r="R180">
        <f t="shared" ref="R180" si="877">R181+Q180</f>
        <v>-59823565.288294733</v>
      </c>
      <c r="S180">
        <f t="shared" ref="S180" si="878">R180/100000</f>
        <v>-598.23565288294731</v>
      </c>
      <c r="T180">
        <f t="shared" ref="T180" si="879">S180/1000</f>
        <v>-0.59823565288294733</v>
      </c>
    </row>
    <row r="181" spans="1:20" x14ac:dyDescent="0.25">
      <c r="A181" s="5">
        <v>44412</v>
      </c>
      <c r="B181">
        <v>1.02</v>
      </c>
      <c r="C181">
        <v>1.1972</v>
      </c>
      <c r="D181">
        <v>1.02</v>
      </c>
      <c r="E181">
        <v>1.0952999999999999</v>
      </c>
      <c r="F181">
        <v>15140817.9</v>
      </c>
      <c r="G181">
        <v>1.0952999999999999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-0.15011286681715674</v>
      </c>
      <c r="Q181">
        <f t="shared" ref="Q181" si="881">F181*P181</f>
        <v>-2272831.5809255228</v>
      </c>
      <c r="R181">
        <f t="shared" ref="R181" si="882">R182+Q181</f>
        <v>-63989013.317976706</v>
      </c>
      <c r="S181">
        <f t="shared" ref="S181" si="883">R181/100000</f>
        <v>-639.89013317976708</v>
      </c>
      <c r="T181">
        <f t="shared" ref="T181" si="884">S181/1000</f>
        <v>-0.63989013317976706</v>
      </c>
    </row>
    <row r="182" spans="1:20" x14ac:dyDescent="0.25">
      <c r="A182" s="5">
        <v>44411</v>
      </c>
      <c r="B182">
        <v>1.0305</v>
      </c>
      <c r="C182">
        <v>1.0379</v>
      </c>
      <c r="D182">
        <v>0.96430000000000005</v>
      </c>
      <c r="E182">
        <v>1.0182</v>
      </c>
      <c r="F182">
        <v>3431836.05</v>
      </c>
      <c r="G182">
        <v>1.0182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0.46467391304347688</v>
      </c>
      <c r="Q182">
        <f t="shared" ref="Q182" si="886">F182*P182</f>
        <v>1594684.686277169</v>
      </c>
      <c r="R182">
        <f t="shared" ref="R182" si="887">R183+Q182</f>
        <v>-61716181.737051181</v>
      </c>
      <c r="S182">
        <f t="shared" ref="S182" si="888">R182/100000</f>
        <v>-617.16181737051181</v>
      </c>
      <c r="T182">
        <f t="shared" ref="T182" si="889">S182/1000</f>
        <v>-0.61716181737051179</v>
      </c>
    </row>
    <row r="183" spans="1:20" x14ac:dyDescent="0.25">
      <c r="A183" s="5">
        <v>44410</v>
      </c>
      <c r="B183">
        <v>1.0379</v>
      </c>
      <c r="C183">
        <v>1.0513999999999999</v>
      </c>
      <c r="D183">
        <v>0.99690000000000001</v>
      </c>
      <c r="E183">
        <v>1.0318000000000001</v>
      </c>
      <c r="F183">
        <v>6728011.3099999996</v>
      </c>
      <c r="G183">
        <v>1.0318000000000001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0.28073394495413279</v>
      </c>
      <c r="Q183">
        <f t="shared" ref="Q183" si="891">F183*P183</f>
        <v>1888781.1567523228</v>
      </c>
      <c r="R183">
        <f t="shared" ref="R183" si="892">R184+Q183</f>
        <v>-63310866.423328348</v>
      </c>
      <c r="S183">
        <f t="shared" ref="S183" si="893">R183/100000</f>
        <v>-633.10866423328343</v>
      </c>
      <c r="T183">
        <f t="shared" ref="T183" si="894">S183/1000</f>
        <v>-0.63310866423328338</v>
      </c>
    </row>
    <row r="184" spans="1:20" x14ac:dyDescent="0.25">
      <c r="A184" s="5">
        <v>44409</v>
      </c>
      <c r="B184">
        <v>1.0407999999999999</v>
      </c>
      <c r="C184">
        <v>1.2118</v>
      </c>
      <c r="D184">
        <v>1.0197000000000001</v>
      </c>
      <c r="E184">
        <v>1.0373000000000001</v>
      </c>
      <c r="F184">
        <v>20847725.300000001</v>
      </c>
      <c r="G184">
        <v>1.0373000000000001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-0.81676210307131636</v>
      </c>
      <c r="Q184">
        <f t="shared" ref="Q184" si="896">F184*P184</f>
        <v>-17027631.960281089</v>
      </c>
      <c r="R184">
        <f t="shared" ref="R184" si="897">R185+Q184</f>
        <v>-65199647.580080673</v>
      </c>
      <c r="S184">
        <f t="shared" ref="S184" si="898">R184/100000</f>
        <v>-651.99647580080671</v>
      </c>
      <c r="T184">
        <f t="shared" ref="T184" si="899">S184/1000</f>
        <v>-0.65199647580080666</v>
      </c>
    </row>
    <row r="185" spans="1:20" x14ac:dyDescent="0.25">
      <c r="A185" s="5">
        <v>44408</v>
      </c>
      <c r="B185">
        <v>1.0174000000000001</v>
      </c>
      <c r="C185">
        <v>1.0658000000000001</v>
      </c>
      <c r="D185">
        <v>0.98799999999999999</v>
      </c>
      <c r="E185">
        <v>1.0414000000000001</v>
      </c>
      <c r="F185">
        <v>5057751.07</v>
      </c>
      <c r="G185">
        <v>1.0414000000000001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0.37275064267352315</v>
      </c>
      <c r="Q185">
        <f t="shared" ref="Q185" si="901">F185*P185</f>
        <v>1885279.9618251994</v>
      </c>
      <c r="R185">
        <f t="shared" ref="R185" si="902">R186+Q185</f>
        <v>-48172015.619799584</v>
      </c>
      <c r="S185">
        <f t="shared" ref="S185" si="903">R185/100000</f>
        <v>-481.72015619799583</v>
      </c>
      <c r="T185">
        <f t="shared" ref="T185" si="904">S185/1000</f>
        <v>-0.48172015619799585</v>
      </c>
    </row>
    <row r="186" spans="1:20" x14ac:dyDescent="0.25">
      <c r="A186" s="5">
        <v>44407</v>
      </c>
      <c r="B186">
        <v>1.0107999999999999</v>
      </c>
      <c r="C186">
        <v>1.0213000000000001</v>
      </c>
      <c r="D186">
        <v>0.93010000000000004</v>
      </c>
      <c r="E186">
        <v>1.0182</v>
      </c>
      <c r="F186">
        <v>4580229.38</v>
      </c>
      <c r="G186">
        <v>1.0182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0.93201754385964697</v>
      </c>
      <c r="Q186">
        <f t="shared" ref="Q186" si="906">F186*P186</f>
        <v>4268854.1370613938</v>
      </c>
      <c r="R186">
        <f t="shared" ref="R186" si="907">R187+Q186</f>
        <v>-50057295.581624784</v>
      </c>
      <c r="S186">
        <f t="shared" ref="S186" si="908">R186/100000</f>
        <v>-500.57295581624783</v>
      </c>
      <c r="T186">
        <f t="shared" ref="T186" si="909">S186/1000</f>
        <v>-0.50057295581624783</v>
      </c>
    </row>
    <row r="187" spans="1:20" x14ac:dyDescent="0.25">
      <c r="A187" s="5">
        <v>44406</v>
      </c>
      <c r="B187">
        <v>1.0204</v>
      </c>
      <c r="C187">
        <v>1.0215000000000001</v>
      </c>
      <c r="D187">
        <v>0.95650000000000002</v>
      </c>
      <c r="E187">
        <v>1.0107999999999999</v>
      </c>
      <c r="F187">
        <v>6559146.04</v>
      </c>
      <c r="G187">
        <v>1.0107999999999999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0.67076923076922634</v>
      </c>
      <c r="Q187">
        <f t="shared" ref="Q187" si="911">F187*P187</f>
        <v>4399673.3437538175</v>
      </c>
      <c r="R187">
        <f t="shared" ref="R187" si="912">R188+Q187</f>
        <v>-54326149.718686178</v>
      </c>
      <c r="S187">
        <f t="shared" ref="S187" si="913">R187/100000</f>
        <v>-543.26149718686179</v>
      </c>
      <c r="T187">
        <f t="shared" ref="T187" si="914">S187/1000</f>
        <v>-0.54326149718686179</v>
      </c>
    </row>
    <row r="188" spans="1:20" x14ac:dyDescent="0.25">
      <c r="A188" s="5">
        <v>44405</v>
      </c>
      <c r="B188">
        <v>0.92559999999999998</v>
      </c>
      <c r="C188">
        <v>1.1304000000000001</v>
      </c>
      <c r="D188">
        <v>0.92559999999999998</v>
      </c>
      <c r="E188">
        <v>1.0179</v>
      </c>
      <c r="F188">
        <v>29855186.399999999</v>
      </c>
      <c r="G188">
        <v>1.0179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-9.8632812499999931E-2</v>
      </c>
      <c r="Q188">
        <f t="shared" ref="Q188" si="916">F188*P188</f>
        <v>-2944701.0023437478</v>
      </c>
      <c r="R188">
        <f t="shared" ref="R188" si="917">R189+Q188</f>
        <v>-58725823.062439993</v>
      </c>
      <c r="S188">
        <f t="shared" ref="S188" si="918">R188/100000</f>
        <v>-587.25823062439997</v>
      </c>
      <c r="T188">
        <f t="shared" ref="T188" si="919">S188/1000</f>
        <v>-0.58725823062439997</v>
      </c>
    </row>
    <row r="189" spans="1:20" x14ac:dyDescent="0.25">
      <c r="A189" s="5">
        <v>44404</v>
      </c>
      <c r="B189">
        <v>0.85540000000000005</v>
      </c>
      <c r="C189">
        <v>0.98970000000000002</v>
      </c>
      <c r="D189">
        <v>0.85260000000000002</v>
      </c>
      <c r="E189">
        <v>0.92559999999999998</v>
      </c>
      <c r="F189">
        <v>15492910.84</v>
      </c>
      <c r="G189">
        <v>0.92559999999999998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6.4916119620714141E-2</v>
      </c>
      <c r="Q189">
        <f t="shared" ref="Q189" si="921">F189*P189</f>
        <v>1005739.6533624989</v>
      </c>
      <c r="R189">
        <f t="shared" ref="R189" si="922">R190+Q189</f>
        <v>-55781122.060096249</v>
      </c>
      <c r="S189">
        <f t="shared" ref="S189" si="923">R189/100000</f>
        <v>-557.81122060096254</v>
      </c>
      <c r="T189">
        <f t="shared" ref="T189" si="924">S189/1000</f>
        <v>-0.55781122060096255</v>
      </c>
    </row>
    <row r="190" spans="1:20" x14ac:dyDescent="0.25">
      <c r="A190" s="5">
        <v>44403</v>
      </c>
      <c r="B190">
        <v>0.8357</v>
      </c>
      <c r="C190">
        <v>0.95809999999999995</v>
      </c>
      <c r="D190">
        <v>0.8306</v>
      </c>
      <c r="E190">
        <v>0.85780000000000001</v>
      </c>
      <c r="F190">
        <v>10249717.199999999</v>
      </c>
      <c r="G190">
        <v>0.85780000000000001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-0.57333333333333314</v>
      </c>
      <c r="Q190">
        <f t="shared" ref="Q190" si="926">F190*P190</f>
        <v>-5876504.5279999971</v>
      </c>
      <c r="R190">
        <f t="shared" ref="R190" si="927">R191+Q190</f>
        <v>-56786861.713458747</v>
      </c>
      <c r="S190">
        <f t="shared" ref="S190" si="928">R190/100000</f>
        <v>-567.86861713458745</v>
      </c>
      <c r="T190">
        <f t="shared" ref="T190" si="929">S190/1000</f>
        <v>-0.56786861713458747</v>
      </c>
    </row>
    <row r="191" spans="1:20" x14ac:dyDescent="0.25">
      <c r="A191" s="5">
        <v>44402</v>
      </c>
      <c r="B191">
        <v>0.82930000000000004</v>
      </c>
      <c r="C191">
        <v>0.84179999999999999</v>
      </c>
      <c r="D191">
        <v>0.79069999999999996</v>
      </c>
      <c r="E191">
        <v>0.83589999999999998</v>
      </c>
      <c r="F191">
        <v>2731185.85</v>
      </c>
      <c r="G191">
        <v>0.83589999999999998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0.76908023483365906</v>
      </c>
      <c r="Q191">
        <f t="shared" ref="Q191" si="931">F191*P191</f>
        <v>2100501.0548923668</v>
      </c>
      <c r="R191">
        <f t="shared" ref="R191" si="932">R192+Q191</f>
        <v>-50910357.18545875</v>
      </c>
      <c r="S191">
        <f t="shared" ref="S191" si="933">R191/100000</f>
        <v>-509.10357185458747</v>
      </c>
      <c r="T191">
        <f t="shared" ref="T191:T197" si="934">S191/1000</f>
        <v>-0.50910357185458743</v>
      </c>
    </row>
    <row r="192" spans="1:20" x14ac:dyDescent="0.25">
      <c r="A192" s="5">
        <v>44401</v>
      </c>
      <c r="B192">
        <v>0.79920000000000002</v>
      </c>
      <c r="C192">
        <v>0.85509999999999997</v>
      </c>
      <c r="D192">
        <v>0.78420000000000001</v>
      </c>
      <c r="E192">
        <v>0.8286</v>
      </c>
      <c r="F192">
        <v>3381618.11</v>
      </c>
      <c r="G192">
        <v>0.8286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0.25246826516220078</v>
      </c>
      <c r="Q192">
        <f t="shared" ref="Q192" si="936">F192*P192</f>
        <v>853751.25767278019</v>
      </c>
      <c r="R192">
        <f t="shared" ref="R192" si="937">R193+Q192</f>
        <v>-53010858.240351118</v>
      </c>
      <c r="S192">
        <f t="shared" ref="S192" si="938">R192/100000</f>
        <v>-530.10858240351115</v>
      </c>
      <c r="T192">
        <f t="shared" si="934"/>
        <v>-0.53010858240351111</v>
      </c>
    </row>
    <row r="193" spans="1:20" x14ac:dyDescent="0.25">
      <c r="A193" s="5">
        <v>44400</v>
      </c>
      <c r="B193">
        <v>0.78349999999999997</v>
      </c>
      <c r="C193">
        <v>0.80230000000000001</v>
      </c>
      <c r="D193">
        <v>0.74760000000000004</v>
      </c>
      <c r="E193">
        <v>0.79890000000000005</v>
      </c>
      <c r="F193">
        <v>2801200.41</v>
      </c>
      <c r="G193">
        <v>0.79890000000000005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0.87568555758683875</v>
      </c>
      <c r="Q193">
        <f t="shared" ref="Q193" si="940">F193*P193</f>
        <v>2452970.7429433316</v>
      </c>
      <c r="R193">
        <f t="shared" ref="R193" si="941">R194+Q193</f>
        <v>-53864609.498023897</v>
      </c>
      <c r="S193">
        <f t="shared" ref="S193" si="942">R193/100000</f>
        <v>-538.64609498023901</v>
      </c>
      <c r="T193">
        <f t="shared" si="934"/>
        <v>-0.53864609498023897</v>
      </c>
    </row>
    <row r="194" spans="1:20" x14ac:dyDescent="0.25">
      <c r="A194" s="5">
        <v>44399</v>
      </c>
      <c r="B194">
        <v>0.76670000000000005</v>
      </c>
      <c r="C194">
        <v>0.78590000000000004</v>
      </c>
      <c r="D194">
        <v>0.73780000000000001</v>
      </c>
      <c r="E194">
        <v>0.78349999999999997</v>
      </c>
      <c r="F194">
        <v>3211695.7</v>
      </c>
      <c r="G194">
        <v>0.78349999999999997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0.90020790020789743</v>
      </c>
      <c r="Q194">
        <f t="shared" ref="Q194" si="944">F194*P194</f>
        <v>2891193.8422037335</v>
      </c>
      <c r="R194">
        <f t="shared" ref="R194" si="945">R195+Q194</f>
        <v>-56317580.240967229</v>
      </c>
      <c r="S194">
        <f t="shared" ref="S194" si="946">R194/100000</f>
        <v>-563.17580240967231</v>
      </c>
      <c r="T194">
        <f t="shared" si="934"/>
        <v>-0.56317580240967235</v>
      </c>
    </row>
    <row r="195" spans="1:20" x14ac:dyDescent="0.25">
      <c r="A195" s="5">
        <v>44398</v>
      </c>
      <c r="B195">
        <v>0.70899999999999996</v>
      </c>
      <c r="C195">
        <v>0.76939999999999997</v>
      </c>
      <c r="D195">
        <v>0.67459999999999998</v>
      </c>
      <c r="E195">
        <v>0.76590000000000003</v>
      </c>
      <c r="F195">
        <v>5667954.7599999998</v>
      </c>
      <c r="G195">
        <v>0.76590000000000003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0.92616033755274374</v>
      </c>
      <c r="Q195">
        <f t="shared" ref="Q195" si="948">F195*P195</f>
        <v>5249434.8937552804</v>
      </c>
      <c r="R195">
        <f t="shared" ref="R195" si="949">R196+Q195</f>
        <v>-59208774.083170965</v>
      </c>
      <c r="S195">
        <f t="shared" ref="S195" si="950">R195/100000</f>
        <v>-592.08774083170965</v>
      </c>
      <c r="T195">
        <f t="shared" si="934"/>
        <v>-0.59208774083170967</v>
      </c>
    </row>
    <row r="196" spans="1:20" x14ac:dyDescent="0.25">
      <c r="A196" s="5">
        <v>44397</v>
      </c>
      <c r="B196">
        <v>0.77300000000000002</v>
      </c>
      <c r="C196">
        <v>0.78779999999999994</v>
      </c>
      <c r="D196">
        <v>0.67320000000000002</v>
      </c>
      <c r="E196">
        <v>0.70930000000000004</v>
      </c>
      <c r="F196">
        <v>6336602.71</v>
      </c>
      <c r="G196">
        <v>0.70930000000000004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-0.36998254799301844</v>
      </c>
      <c r="Q196">
        <f t="shared" ref="Q196" si="952">F196*P196</f>
        <v>-2344432.4162652656</v>
      </c>
      <c r="R196">
        <f t="shared" ref="R196" si="953">R197+Q196</f>
        <v>-64458208.976926245</v>
      </c>
      <c r="S196">
        <f t="shared" ref="S196" si="954">R196/100000</f>
        <v>-644.58208976926244</v>
      </c>
      <c r="T196">
        <f t="shared" si="934"/>
        <v>-0.64458208976926246</v>
      </c>
    </row>
    <row r="197" spans="1:20" x14ac:dyDescent="0.25">
      <c r="A197" s="5">
        <v>44396</v>
      </c>
      <c r="B197">
        <v>0.80869999999999997</v>
      </c>
      <c r="C197">
        <v>0.87890000000000001</v>
      </c>
      <c r="D197">
        <v>0.76670000000000005</v>
      </c>
      <c r="E197">
        <v>0.77380000000000004</v>
      </c>
      <c r="F197">
        <v>13040195.210000001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-0.87344028520499117</v>
      </c>
      <c r="Q197">
        <f t="shared" ref="Q197" si="956">F197*P197</f>
        <v>-11389831.82335116</v>
      </c>
      <c r="R197">
        <f t="shared" ref="R197" si="957">R198+Q197</f>
        <v>-62113776.560660981</v>
      </c>
      <c r="S197">
        <f t="shared" ref="S197" si="958">R197/100000</f>
        <v>-621.13776560660983</v>
      </c>
      <c r="T197">
        <f t="shared" si="934"/>
        <v>-0.62113776560660983</v>
      </c>
    </row>
    <row r="198" spans="1:20" x14ac:dyDescent="0.25">
      <c r="A198" s="5">
        <v>44395</v>
      </c>
      <c r="B198">
        <v>0.79279999999999995</v>
      </c>
      <c r="C198">
        <v>0.81820000000000004</v>
      </c>
      <c r="D198">
        <v>0.77210000000000001</v>
      </c>
      <c r="E198">
        <v>0.80859999999999999</v>
      </c>
      <c r="F198">
        <v>2232591.48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0.58351409978307822</v>
      </c>
      <c r="Q198">
        <f t="shared" ref="Q198:Q261" si="960">F198*P198</f>
        <v>1302748.6076355702</v>
      </c>
      <c r="R198">
        <f t="shared" ref="R198:R261" si="961">R199+Q198</f>
        <v>-50723944.737309821</v>
      </c>
      <c r="S198">
        <f t="shared" ref="S198:S261" si="962">R198/100000</f>
        <v>-507.23944737309819</v>
      </c>
      <c r="T198">
        <f t="shared" ref="T198:T261" si="963">S198/1000</f>
        <v>-0.50723944737309823</v>
      </c>
    </row>
    <row r="199" spans="1:20" x14ac:dyDescent="0.25">
      <c r="A199" s="5">
        <v>44394</v>
      </c>
      <c r="B199">
        <v>0.80649999999999999</v>
      </c>
      <c r="C199">
        <v>0.82010000000000005</v>
      </c>
      <c r="D199">
        <v>0.7651</v>
      </c>
      <c r="E199">
        <v>0.79200000000000004</v>
      </c>
      <c r="F199">
        <v>4046837.61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-2.1818181818181414E-2</v>
      </c>
      <c r="Q199">
        <f t="shared" si="960"/>
        <v>-88294.638763634721</v>
      </c>
      <c r="R199">
        <f t="shared" si="961"/>
        <v>-52026693.344945394</v>
      </c>
      <c r="S199">
        <f t="shared" si="962"/>
        <v>-520.26693344945397</v>
      </c>
      <c r="T199">
        <f t="shared" si="963"/>
        <v>-0.52026693344945396</v>
      </c>
    </row>
    <row r="200" spans="1:20" x14ac:dyDescent="0.25">
      <c r="A200" s="5">
        <v>44393</v>
      </c>
      <c r="B200">
        <v>0.89080000000000004</v>
      </c>
      <c r="C200">
        <v>0.89219999999999999</v>
      </c>
      <c r="D200">
        <v>0.79590000000000005</v>
      </c>
      <c r="E200">
        <v>0.80840000000000001</v>
      </c>
      <c r="F200">
        <v>5003954.33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-0.74039460020768511</v>
      </c>
      <c r="Q200">
        <f t="shared" si="960"/>
        <v>-3704900.7656178647</v>
      </c>
      <c r="R200">
        <f t="shared" si="961"/>
        <v>-51938398.706181757</v>
      </c>
      <c r="S200">
        <f t="shared" si="962"/>
        <v>-519.38398706181761</v>
      </c>
      <c r="T200">
        <f t="shared" si="963"/>
        <v>-0.51938398706181765</v>
      </c>
    </row>
    <row r="201" spans="1:20" x14ac:dyDescent="0.25">
      <c r="A201" s="5">
        <v>44392</v>
      </c>
      <c r="B201">
        <v>0.93230000000000002</v>
      </c>
      <c r="C201">
        <v>0.93469999999999998</v>
      </c>
      <c r="D201">
        <v>0.84819999999999995</v>
      </c>
      <c r="E201">
        <v>0.89129999999999998</v>
      </c>
      <c r="F201">
        <v>6559509.6699999999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-3.4682080924851662E-3</v>
      </c>
      <c r="Q201">
        <f t="shared" si="960"/>
        <v>-22749.744520228702</v>
      </c>
      <c r="R201">
        <f t="shared" si="961"/>
        <v>-48233497.940563895</v>
      </c>
      <c r="S201">
        <f t="shared" si="962"/>
        <v>-482.33497940563893</v>
      </c>
      <c r="T201">
        <f t="shared" si="963"/>
        <v>-0.48233497940563891</v>
      </c>
    </row>
    <row r="202" spans="1:20" x14ac:dyDescent="0.25">
      <c r="A202" s="5">
        <v>44391</v>
      </c>
      <c r="B202">
        <v>0.89070000000000005</v>
      </c>
      <c r="C202">
        <v>1.0361</v>
      </c>
      <c r="D202">
        <v>0.89039999999999997</v>
      </c>
      <c r="E202">
        <v>0.93189999999999995</v>
      </c>
      <c r="F202">
        <v>21683029.84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-0.43033630748112606</v>
      </c>
      <c r="Q202">
        <f t="shared" si="960"/>
        <v>-9330994.9963486716</v>
      </c>
      <c r="R202">
        <f t="shared" si="961"/>
        <v>-48210748.196043663</v>
      </c>
      <c r="S202">
        <f t="shared" si="962"/>
        <v>-482.10748196043664</v>
      </c>
      <c r="T202">
        <f t="shared" si="963"/>
        <v>-0.48210748196043662</v>
      </c>
    </row>
    <row r="203" spans="1:20" x14ac:dyDescent="0.25">
      <c r="A203" s="5">
        <v>44390</v>
      </c>
      <c r="B203">
        <v>0.92169999999999996</v>
      </c>
      <c r="C203">
        <v>0.92320000000000002</v>
      </c>
      <c r="D203">
        <v>0.84940000000000004</v>
      </c>
      <c r="E203">
        <v>0.88980000000000004</v>
      </c>
      <c r="F203">
        <v>2666178.35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9.4850948509485208E-2</v>
      </c>
      <c r="Q203">
        <f t="shared" si="960"/>
        <v>252889.54539295423</v>
      </c>
      <c r="R203">
        <f t="shared" si="961"/>
        <v>-38879753.199694991</v>
      </c>
      <c r="S203">
        <f t="shared" si="962"/>
        <v>-388.79753199694989</v>
      </c>
      <c r="T203">
        <f t="shared" si="963"/>
        <v>-0.38879753199694989</v>
      </c>
    </row>
    <row r="204" spans="1:20" x14ac:dyDescent="0.25">
      <c r="A204" s="5">
        <v>44389</v>
      </c>
      <c r="B204">
        <v>0.95150000000000001</v>
      </c>
      <c r="C204">
        <v>0.95189999999999997</v>
      </c>
      <c r="D204">
        <v>0.86850000000000005</v>
      </c>
      <c r="E204">
        <v>0.92230000000000001</v>
      </c>
      <c r="F204">
        <v>3106246.03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0.2901678657074343</v>
      </c>
      <c r="Q204">
        <f t="shared" si="960"/>
        <v>901332.78088729084</v>
      </c>
      <c r="R204">
        <f t="shared" si="961"/>
        <v>-39132642.745087944</v>
      </c>
      <c r="S204">
        <f t="shared" si="962"/>
        <v>-391.32642745087946</v>
      </c>
      <c r="T204">
        <f t="shared" si="963"/>
        <v>-0.39132642745087948</v>
      </c>
    </row>
    <row r="205" spans="1:20" x14ac:dyDescent="0.25">
      <c r="A205" s="5">
        <v>44388</v>
      </c>
      <c r="B205">
        <v>0.9486</v>
      </c>
      <c r="C205">
        <v>0.9718</v>
      </c>
      <c r="D205">
        <v>0.90720000000000001</v>
      </c>
      <c r="E205">
        <v>0.95150000000000001</v>
      </c>
      <c r="F205">
        <v>3367556.93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0.37151702786377749</v>
      </c>
      <c r="Q205">
        <f t="shared" si="960"/>
        <v>1251104.741795667</v>
      </c>
      <c r="R205">
        <f t="shared" si="961"/>
        <v>-40033975.525975235</v>
      </c>
      <c r="S205">
        <f t="shared" si="962"/>
        <v>-400.33975525975234</v>
      </c>
      <c r="T205">
        <f t="shared" si="963"/>
        <v>-0.40033975525975235</v>
      </c>
    </row>
    <row r="206" spans="1:20" x14ac:dyDescent="0.25">
      <c r="A206" s="5">
        <v>44387</v>
      </c>
      <c r="B206">
        <v>0.99329999999999996</v>
      </c>
      <c r="C206">
        <v>1.0024</v>
      </c>
      <c r="D206">
        <v>0.92620000000000002</v>
      </c>
      <c r="E206">
        <v>0.94710000000000005</v>
      </c>
      <c r="F206">
        <v>4688193.75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-0.45144356955380455</v>
      </c>
      <c r="Q206">
        <f t="shared" si="960"/>
        <v>-2116454.9212598368</v>
      </c>
      <c r="R206">
        <f t="shared" si="961"/>
        <v>-41285080.267770901</v>
      </c>
      <c r="S206">
        <f t="shared" si="962"/>
        <v>-412.850802677709</v>
      </c>
      <c r="T206">
        <f t="shared" si="963"/>
        <v>-0.41285080267770902</v>
      </c>
    </row>
    <row r="207" spans="1:20" x14ac:dyDescent="0.25">
      <c r="A207" s="5">
        <v>44386</v>
      </c>
      <c r="B207">
        <v>1.0687</v>
      </c>
      <c r="C207">
        <v>1.0716000000000001</v>
      </c>
      <c r="D207">
        <v>0.9345</v>
      </c>
      <c r="E207">
        <v>0.99299999999999999</v>
      </c>
      <c r="F207">
        <v>11990050.59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-0.146608315098469</v>
      </c>
      <c r="Q207">
        <f t="shared" si="960"/>
        <v>-1757841.1149453041</v>
      </c>
      <c r="R207">
        <f t="shared" si="961"/>
        <v>-39168625.346511066</v>
      </c>
      <c r="S207">
        <f t="shared" si="962"/>
        <v>-391.68625346511067</v>
      </c>
      <c r="T207">
        <f t="shared" si="963"/>
        <v>-0.39168625346511066</v>
      </c>
    </row>
    <row r="208" spans="1:20" x14ac:dyDescent="0.25">
      <c r="A208" s="5">
        <v>44385</v>
      </c>
      <c r="B208">
        <v>0.96789999999999998</v>
      </c>
      <c r="C208">
        <v>1.0942000000000001</v>
      </c>
      <c r="D208">
        <v>0.8952</v>
      </c>
      <c r="E208">
        <v>1.0687</v>
      </c>
      <c r="F208">
        <v>13018560.41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0.74371859296482346</v>
      </c>
      <c r="Q208">
        <f t="shared" si="960"/>
        <v>9682145.4305527546</v>
      </c>
      <c r="R208">
        <f t="shared" si="961"/>
        <v>-37410784.231565759</v>
      </c>
      <c r="S208">
        <f t="shared" si="962"/>
        <v>-374.10784231565759</v>
      </c>
      <c r="T208">
        <f t="shared" si="963"/>
        <v>-0.37410784231565758</v>
      </c>
    </row>
    <row r="209" spans="1:20" x14ac:dyDescent="0.25">
      <c r="A209" s="5">
        <v>44384</v>
      </c>
      <c r="B209">
        <v>0.95730000000000004</v>
      </c>
      <c r="C209">
        <v>1.1045</v>
      </c>
      <c r="D209">
        <v>0.93400000000000005</v>
      </c>
      <c r="E209">
        <v>0.96830000000000005</v>
      </c>
      <c r="F209">
        <v>14482414.609999999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-0.59765395894428153</v>
      </c>
      <c r="Q209">
        <f t="shared" si="960"/>
        <v>-8655472.4267390035</v>
      </c>
      <c r="R209">
        <f t="shared" si="961"/>
        <v>-47092929.662118509</v>
      </c>
      <c r="S209">
        <f t="shared" si="962"/>
        <v>-470.92929662118507</v>
      </c>
      <c r="T209">
        <f t="shared" si="963"/>
        <v>-0.4709292966211851</v>
      </c>
    </row>
    <row r="210" spans="1:20" x14ac:dyDescent="0.25">
      <c r="A210" s="5">
        <v>44383</v>
      </c>
      <c r="B210">
        <v>0.88329999999999997</v>
      </c>
      <c r="C210">
        <v>1.0343</v>
      </c>
      <c r="D210">
        <v>0.87819999999999998</v>
      </c>
      <c r="E210">
        <v>0.95830000000000004</v>
      </c>
      <c r="F210">
        <v>16133501.970000001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2.6265214606022443E-2</v>
      </c>
      <c r="Q210">
        <f t="shared" si="960"/>
        <v>423749.89158873586</v>
      </c>
      <c r="R210">
        <f t="shared" si="961"/>
        <v>-38437457.23537951</v>
      </c>
      <c r="S210">
        <f t="shared" si="962"/>
        <v>-384.37457235379509</v>
      </c>
      <c r="T210">
        <f t="shared" si="963"/>
        <v>-0.38437457235379507</v>
      </c>
    </row>
    <row r="211" spans="1:20" x14ac:dyDescent="0.25">
      <c r="A211" s="5">
        <v>44382</v>
      </c>
      <c r="B211">
        <v>0.86550000000000005</v>
      </c>
      <c r="C211">
        <v>0.89759999999999995</v>
      </c>
      <c r="D211">
        <v>0.81899999999999995</v>
      </c>
      <c r="E211">
        <v>0.8841</v>
      </c>
      <c r="F211">
        <v>6234659.1100000003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0.6564885496183217</v>
      </c>
      <c r="Q211">
        <f t="shared" si="960"/>
        <v>4092982.3164885566</v>
      </c>
      <c r="R211">
        <f t="shared" si="961"/>
        <v>-38861207.126968242</v>
      </c>
      <c r="S211">
        <f t="shared" si="962"/>
        <v>-388.61207126968242</v>
      </c>
      <c r="T211">
        <f t="shared" si="963"/>
        <v>-0.38861207126968239</v>
      </c>
    </row>
    <row r="212" spans="1:20" x14ac:dyDescent="0.25">
      <c r="A212" s="5">
        <v>44381</v>
      </c>
      <c r="B212">
        <v>0.86550000000000005</v>
      </c>
      <c r="C212">
        <v>0.94</v>
      </c>
      <c r="D212">
        <v>0.85829999999999995</v>
      </c>
      <c r="E212">
        <v>0.86550000000000005</v>
      </c>
      <c r="F212">
        <v>8460821.5600000005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-0.82374541003671742</v>
      </c>
      <c r="Q212">
        <f t="shared" si="960"/>
        <v>-6969562.9251897</v>
      </c>
      <c r="R212">
        <f t="shared" si="961"/>
        <v>-42954189.443456799</v>
      </c>
      <c r="S212">
        <f t="shared" si="962"/>
        <v>-429.54189443456801</v>
      </c>
      <c r="T212">
        <f t="shared" si="963"/>
        <v>-0.42954189443456803</v>
      </c>
    </row>
    <row r="213" spans="1:20" x14ac:dyDescent="0.25">
      <c r="A213" s="5">
        <v>44380</v>
      </c>
      <c r="B213">
        <v>0.85429999999999995</v>
      </c>
      <c r="C213">
        <v>0.87260000000000004</v>
      </c>
      <c r="D213">
        <v>0.81569999999999998</v>
      </c>
      <c r="E213">
        <v>0.86619999999999997</v>
      </c>
      <c r="F213">
        <v>4261358.93</v>
      </c>
      <c r="G213">
        <v>0</v>
      </c>
      <c r="L213" t="s">
        <v>7</v>
      </c>
      <c r="M213" t="s">
        <v>7</v>
      </c>
      <c r="N213" t="s">
        <v>8</v>
      </c>
      <c r="P213">
        <f t="shared" si="959"/>
        <v>0.77504393673110494</v>
      </c>
      <c r="Q213">
        <f t="shared" si="960"/>
        <v>3302740.4009314487</v>
      </c>
      <c r="R213">
        <f t="shared" si="961"/>
        <v>-35984626.518267095</v>
      </c>
      <c r="S213">
        <f t="shared" si="962"/>
        <v>-359.84626518267095</v>
      </c>
      <c r="T213">
        <f t="shared" si="963"/>
        <v>-0.35984626518267093</v>
      </c>
    </row>
    <row r="214" spans="1:20" x14ac:dyDescent="0.25">
      <c r="A214" s="5">
        <v>44379</v>
      </c>
      <c r="B214">
        <v>0.79490000000000005</v>
      </c>
      <c r="C214">
        <v>0.88719999999999999</v>
      </c>
      <c r="D214">
        <v>0.79469999999999996</v>
      </c>
      <c r="E214">
        <v>0.85389999999999999</v>
      </c>
      <c r="F214">
        <v>13616404.640000001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0.2800000000000003</v>
      </c>
      <c r="Q214">
        <f t="shared" si="960"/>
        <v>3812593.2992000044</v>
      </c>
      <c r="R214">
        <f t="shared" si="961"/>
        <v>-39287366.919198543</v>
      </c>
      <c r="S214">
        <f t="shared" si="962"/>
        <v>-392.87366919198541</v>
      </c>
      <c r="T214">
        <f t="shared" si="963"/>
        <v>-0.39287366919198541</v>
      </c>
    </row>
    <row r="215" spans="1:20" x14ac:dyDescent="0.25">
      <c r="A215" s="5">
        <v>44378</v>
      </c>
      <c r="B215">
        <v>0.84370000000000001</v>
      </c>
      <c r="C215">
        <v>0.84389999999999998</v>
      </c>
      <c r="D215">
        <v>0.75209999999999999</v>
      </c>
      <c r="E215">
        <v>0.79559999999999997</v>
      </c>
      <c r="F215">
        <v>3420883.26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-5.2287581699346698E-2</v>
      </c>
      <c r="Q215">
        <f t="shared" si="960"/>
        <v>-178869.71294117745</v>
      </c>
      <c r="R215">
        <f t="shared" si="961"/>
        <v>-43099960.218398549</v>
      </c>
      <c r="S215">
        <f t="shared" si="962"/>
        <v>-430.99960218398547</v>
      </c>
      <c r="T215">
        <f t="shared" si="963"/>
        <v>-0.43099960218398548</v>
      </c>
    </row>
    <row r="216" spans="1:20" x14ac:dyDescent="0.25">
      <c r="A216" s="5">
        <v>44377</v>
      </c>
      <c r="B216">
        <v>0.88519999999999999</v>
      </c>
      <c r="C216">
        <v>0.8891</v>
      </c>
      <c r="D216">
        <v>0.77029999999999998</v>
      </c>
      <c r="E216">
        <v>0.84399999999999997</v>
      </c>
      <c r="F216">
        <v>10368215.23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0.24074074074074037</v>
      </c>
      <c r="Q216">
        <f t="shared" si="960"/>
        <v>2496051.814629626</v>
      </c>
      <c r="R216">
        <f t="shared" si="961"/>
        <v>-42921090.505457371</v>
      </c>
      <c r="S216">
        <f t="shared" si="962"/>
        <v>-429.21090505457369</v>
      </c>
      <c r="T216">
        <f t="shared" si="963"/>
        <v>-0.42921090505457371</v>
      </c>
    </row>
    <row r="217" spans="1:20" x14ac:dyDescent="0.25">
      <c r="A217" s="5">
        <v>44376</v>
      </c>
      <c r="B217">
        <v>0.71099999999999997</v>
      </c>
      <c r="C217">
        <v>0.93479999999999996</v>
      </c>
      <c r="D217">
        <v>0.7</v>
      </c>
      <c r="E217">
        <v>0.88470000000000004</v>
      </c>
      <c r="F217">
        <v>34439288.049999997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0.57325383304940447</v>
      </c>
      <c r="Q217">
        <f t="shared" si="960"/>
        <v>19742453.88215505</v>
      </c>
      <c r="R217">
        <f t="shared" si="961"/>
        <v>-45417142.320087001</v>
      </c>
      <c r="S217">
        <f t="shared" si="962"/>
        <v>-454.17142320086998</v>
      </c>
      <c r="T217">
        <f t="shared" si="963"/>
        <v>-0.45417142320087001</v>
      </c>
    </row>
    <row r="218" spans="1:20" x14ac:dyDescent="0.25">
      <c r="A218" s="5">
        <v>44375</v>
      </c>
      <c r="B218">
        <v>0.65629999999999999</v>
      </c>
      <c r="C218">
        <v>0.71160000000000001</v>
      </c>
      <c r="D218">
        <v>0.65049999999999997</v>
      </c>
      <c r="E218">
        <v>0.71160000000000001</v>
      </c>
      <c r="F218">
        <v>3411627.17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1</v>
      </c>
      <c r="Q218">
        <f t="shared" si="960"/>
        <v>3411627.17</v>
      </c>
      <c r="R218">
        <f t="shared" si="961"/>
        <v>-65159596.202242047</v>
      </c>
      <c r="S218">
        <f t="shared" si="962"/>
        <v>-651.59596202242051</v>
      </c>
      <c r="T218">
        <f t="shared" si="963"/>
        <v>-0.65159596202242054</v>
      </c>
    </row>
    <row r="219" spans="1:20" x14ac:dyDescent="0.25">
      <c r="A219" s="5">
        <v>44374</v>
      </c>
      <c r="B219">
        <v>0.62929999999999997</v>
      </c>
      <c r="C219">
        <v>0.65739999999999998</v>
      </c>
      <c r="D219">
        <v>0.60640000000000005</v>
      </c>
      <c r="E219">
        <v>0.6542</v>
      </c>
      <c r="F219">
        <v>2740515.11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0.87450980392156918</v>
      </c>
      <c r="Q219">
        <f t="shared" si="960"/>
        <v>2396607.3314901977</v>
      </c>
      <c r="R219">
        <f t="shared" si="961"/>
        <v>-68571223.372242048</v>
      </c>
      <c r="S219">
        <f t="shared" si="962"/>
        <v>-685.71223372242048</v>
      </c>
      <c r="T219">
        <f t="shared" si="963"/>
        <v>-0.68571223372242052</v>
      </c>
    </row>
    <row r="220" spans="1:20" x14ac:dyDescent="0.25">
      <c r="A220" s="5">
        <v>44373</v>
      </c>
      <c r="B220">
        <v>0.61</v>
      </c>
      <c r="C220">
        <v>0.64080000000000004</v>
      </c>
      <c r="D220">
        <v>0.58169999999999999</v>
      </c>
      <c r="E220">
        <v>0.62819999999999998</v>
      </c>
      <c r="F220">
        <v>2981346.09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0.57360406091370397</v>
      </c>
      <c r="Q220">
        <f t="shared" si="960"/>
        <v>1710112.2242131932</v>
      </c>
      <c r="R220">
        <f t="shared" si="961"/>
        <v>-70967830.703732252</v>
      </c>
      <c r="S220">
        <f t="shared" si="962"/>
        <v>-709.6783070373225</v>
      </c>
      <c r="T220">
        <f t="shared" si="963"/>
        <v>-0.70967830703732249</v>
      </c>
    </row>
    <row r="221" spans="1:20" x14ac:dyDescent="0.25">
      <c r="A221" s="5">
        <v>44372</v>
      </c>
      <c r="B221">
        <v>0.68079999999999996</v>
      </c>
      <c r="C221">
        <v>0.69469999999999998</v>
      </c>
      <c r="D221">
        <v>0.60299999999999998</v>
      </c>
      <c r="E221">
        <v>0.6109</v>
      </c>
      <c r="F221">
        <v>4310453.1100000003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-0.82769901853871286</v>
      </c>
      <c r="Q221">
        <f t="shared" si="960"/>
        <v>-3567757.8086041426</v>
      </c>
      <c r="R221">
        <f t="shared" si="961"/>
        <v>-72677942.92794545</v>
      </c>
      <c r="S221">
        <f t="shared" si="962"/>
        <v>-726.77942927945446</v>
      </c>
      <c r="T221">
        <f t="shared" si="963"/>
        <v>-0.72677942927945449</v>
      </c>
    </row>
    <row r="222" spans="1:20" x14ac:dyDescent="0.25">
      <c r="A222" s="5">
        <v>44371</v>
      </c>
      <c r="B222">
        <v>0.65900000000000003</v>
      </c>
      <c r="C222">
        <v>0.68789999999999996</v>
      </c>
      <c r="D222">
        <v>0.61209999999999998</v>
      </c>
      <c r="E222">
        <v>0.68079999999999996</v>
      </c>
      <c r="F222">
        <v>3785453.17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0.81266490765171506</v>
      </c>
      <c r="Q222">
        <f t="shared" si="960"/>
        <v>3076304.9508179422</v>
      </c>
      <c r="R222">
        <f t="shared" si="961"/>
        <v>-69110185.119341314</v>
      </c>
      <c r="S222">
        <f t="shared" si="962"/>
        <v>-691.10185119341315</v>
      </c>
      <c r="T222">
        <f t="shared" si="963"/>
        <v>-0.69110185119341316</v>
      </c>
    </row>
    <row r="223" spans="1:20" x14ac:dyDescent="0.25">
      <c r="A223" s="5">
        <v>44370</v>
      </c>
      <c r="B223">
        <v>0.57720000000000005</v>
      </c>
      <c r="C223">
        <v>0.69089999999999996</v>
      </c>
      <c r="D223">
        <v>0.55330000000000001</v>
      </c>
      <c r="E223">
        <v>0.65980000000000005</v>
      </c>
      <c r="F223">
        <v>7622148.9199999999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0.54796511627907096</v>
      </c>
      <c r="Q223">
        <f t="shared" si="960"/>
        <v>4176671.7192441951</v>
      </c>
      <c r="R223">
        <f t="shared" si="961"/>
        <v>-72186490.070159256</v>
      </c>
      <c r="S223">
        <f t="shared" si="962"/>
        <v>-721.86490070159255</v>
      </c>
      <c r="T223">
        <f t="shared" si="963"/>
        <v>-0.72186490070159259</v>
      </c>
    </row>
    <row r="224" spans="1:20" x14ac:dyDescent="0.25">
      <c r="A224" s="5">
        <v>44369</v>
      </c>
      <c r="B224">
        <v>0.62139999999999995</v>
      </c>
      <c r="C224">
        <v>0.66900000000000004</v>
      </c>
      <c r="D224">
        <v>0.50439999999999996</v>
      </c>
      <c r="E224">
        <v>0.57879999999999998</v>
      </c>
      <c r="F224">
        <v>9146475.0500000007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-9.5990279465370767E-2</v>
      </c>
      <c r="Q224">
        <f t="shared" si="960"/>
        <v>-877972.69617254112</v>
      </c>
      <c r="R224">
        <f t="shared" si="961"/>
        <v>-76363161.789403453</v>
      </c>
      <c r="S224">
        <f t="shared" si="962"/>
        <v>-763.63161789403455</v>
      </c>
      <c r="T224">
        <f t="shared" si="963"/>
        <v>-0.76363161789403455</v>
      </c>
    </row>
    <row r="225" spans="1:20" x14ac:dyDescent="0.25">
      <c r="A225" s="5">
        <v>44368</v>
      </c>
      <c r="B225">
        <v>0.82120000000000004</v>
      </c>
      <c r="C225">
        <v>0.83040000000000003</v>
      </c>
      <c r="D225">
        <v>0.62019999999999997</v>
      </c>
      <c r="E225">
        <v>0.62260000000000004</v>
      </c>
      <c r="F225">
        <v>7294742.9299999997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-0.97716460513796322</v>
      </c>
      <c r="Q225">
        <f t="shared" si="960"/>
        <v>-7128164.5947763985</v>
      </c>
      <c r="R225">
        <f t="shared" si="961"/>
        <v>-75485189.093230918</v>
      </c>
      <c r="S225">
        <f t="shared" si="962"/>
        <v>-754.85189093230917</v>
      </c>
      <c r="T225">
        <f t="shared" si="963"/>
        <v>-0.7548518909323092</v>
      </c>
    </row>
    <row r="226" spans="1:20" x14ac:dyDescent="0.25">
      <c r="A226" s="5">
        <v>44367</v>
      </c>
      <c r="B226">
        <v>0.82479999999999998</v>
      </c>
      <c r="C226">
        <v>0.86519999999999997</v>
      </c>
      <c r="D226">
        <v>0.7752</v>
      </c>
      <c r="E226">
        <v>0.82230000000000003</v>
      </c>
      <c r="F226">
        <v>4001065.15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4.666666666666771E-2</v>
      </c>
      <c r="Q226">
        <f t="shared" si="960"/>
        <v>186716.37366667084</v>
      </c>
      <c r="R226">
        <f t="shared" si="961"/>
        <v>-68357024.498454526</v>
      </c>
      <c r="S226">
        <f t="shared" si="962"/>
        <v>-683.5702449845453</v>
      </c>
      <c r="T226">
        <f t="shared" si="963"/>
        <v>-0.68357024498454533</v>
      </c>
    </row>
    <row r="227" spans="1:20" x14ac:dyDescent="0.25">
      <c r="A227" s="5">
        <v>44366</v>
      </c>
      <c r="B227">
        <v>0.83620000000000005</v>
      </c>
      <c r="C227">
        <v>0.88970000000000005</v>
      </c>
      <c r="D227">
        <v>0.80400000000000005</v>
      </c>
      <c r="E227">
        <v>0.8246</v>
      </c>
      <c r="F227">
        <v>3913907.17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-0.51925320886814585</v>
      </c>
      <c r="Q227">
        <f t="shared" si="960"/>
        <v>-2032308.8572345437</v>
      </c>
      <c r="R227">
        <f t="shared" si="961"/>
        <v>-68543740.8721212</v>
      </c>
      <c r="S227">
        <f t="shared" si="962"/>
        <v>-685.43740872121202</v>
      </c>
      <c r="T227">
        <f t="shared" si="963"/>
        <v>-0.68543740872121206</v>
      </c>
    </row>
    <row r="228" spans="1:20" x14ac:dyDescent="0.25">
      <c r="A228" s="5">
        <v>44365</v>
      </c>
      <c r="B228">
        <v>0.89190000000000003</v>
      </c>
      <c r="C228">
        <v>0.89610000000000001</v>
      </c>
      <c r="D228">
        <v>0.8</v>
      </c>
      <c r="E228">
        <v>0.83660000000000001</v>
      </c>
      <c r="F228">
        <v>2522462.11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-0.23829344432882457</v>
      </c>
      <c r="Q228">
        <f t="shared" si="960"/>
        <v>-601086.18438085436</v>
      </c>
      <c r="R228">
        <f t="shared" si="961"/>
        <v>-66511432.014886655</v>
      </c>
      <c r="S228">
        <f t="shared" si="962"/>
        <v>-665.11432014886657</v>
      </c>
      <c r="T228">
        <f t="shared" si="963"/>
        <v>-0.66511432014886662</v>
      </c>
    </row>
    <row r="229" spans="1:20" x14ac:dyDescent="0.25">
      <c r="A229" s="5">
        <v>44364</v>
      </c>
      <c r="B229">
        <v>0.90559999999999996</v>
      </c>
      <c r="C229">
        <v>0.93400000000000005</v>
      </c>
      <c r="D229">
        <v>0.87409999999999999</v>
      </c>
      <c r="E229">
        <v>0.89219999999999999</v>
      </c>
      <c r="F229">
        <v>2416746.9500000002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-0.39565943238731266</v>
      </c>
      <c r="Q229">
        <f t="shared" si="960"/>
        <v>-956208.72646076919</v>
      </c>
      <c r="R229">
        <f t="shared" si="961"/>
        <v>-65910345.830505803</v>
      </c>
      <c r="S229">
        <f t="shared" si="962"/>
        <v>-659.10345830505798</v>
      </c>
      <c r="T229">
        <f t="shared" si="963"/>
        <v>-0.65910345830505801</v>
      </c>
    </row>
    <row r="230" spans="1:20" x14ac:dyDescent="0.25">
      <c r="A230" s="5">
        <v>44363</v>
      </c>
      <c r="B230">
        <v>0.96950000000000003</v>
      </c>
      <c r="C230">
        <v>0.96950000000000003</v>
      </c>
      <c r="D230">
        <v>0.89380000000000004</v>
      </c>
      <c r="E230">
        <v>0.90280000000000005</v>
      </c>
      <c r="F230">
        <v>2140921.85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-0.76221928665785976</v>
      </c>
      <c r="Q230">
        <f t="shared" si="960"/>
        <v>-1631851.9252972256</v>
      </c>
      <c r="R230">
        <f t="shared" si="961"/>
        <v>-64954137.104045033</v>
      </c>
      <c r="S230">
        <f t="shared" si="962"/>
        <v>-649.54137104045037</v>
      </c>
      <c r="T230">
        <f t="shared" si="963"/>
        <v>-0.6495413710404504</v>
      </c>
    </row>
    <row r="231" spans="1:20" x14ac:dyDescent="0.25">
      <c r="A231" s="5">
        <v>44362</v>
      </c>
      <c r="B231">
        <v>0.96930000000000005</v>
      </c>
      <c r="C231">
        <v>1.0168999999999999</v>
      </c>
      <c r="D231">
        <v>0.93320000000000003</v>
      </c>
      <c r="E231">
        <v>0.96950000000000003</v>
      </c>
      <c r="F231">
        <v>3789941.16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-0.13261648745519597</v>
      </c>
      <c r="Q231">
        <f t="shared" si="960"/>
        <v>-502608.68430107087</v>
      </c>
      <c r="R231">
        <f t="shared" si="961"/>
        <v>-63322285.17874781</v>
      </c>
      <c r="S231">
        <f t="shared" si="962"/>
        <v>-633.22285178747813</v>
      </c>
      <c r="T231">
        <f t="shared" si="963"/>
        <v>-0.63322285178747817</v>
      </c>
    </row>
    <row r="232" spans="1:20" x14ac:dyDescent="0.25">
      <c r="A232" s="5">
        <v>44361</v>
      </c>
      <c r="B232">
        <v>0.94699999999999995</v>
      </c>
      <c r="C232">
        <v>0.97699999999999998</v>
      </c>
      <c r="D232">
        <v>0.9194</v>
      </c>
      <c r="E232">
        <v>0.96930000000000005</v>
      </c>
      <c r="F232">
        <v>2723443.85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0.73263888888889128</v>
      </c>
      <c r="Q232">
        <f t="shared" si="960"/>
        <v>1995300.8762152845</v>
      </c>
      <c r="R232">
        <f t="shared" si="961"/>
        <v>-62819676.49444674</v>
      </c>
      <c r="S232">
        <f t="shared" si="962"/>
        <v>-628.19676494446742</v>
      </c>
      <c r="T232">
        <f t="shared" si="963"/>
        <v>-0.62819676494446741</v>
      </c>
    </row>
    <row r="233" spans="1:20" x14ac:dyDescent="0.25">
      <c r="A233" s="5">
        <v>44360</v>
      </c>
      <c r="B233">
        <v>0.89490000000000003</v>
      </c>
      <c r="C233">
        <v>0.96209999999999996</v>
      </c>
      <c r="D233">
        <v>0.87339999999999995</v>
      </c>
      <c r="E233">
        <v>0.94699999999999995</v>
      </c>
      <c r="F233">
        <v>3300004.03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0.65952649379932349</v>
      </c>
      <c r="Q233">
        <f t="shared" si="960"/>
        <v>2176440.0874295374</v>
      </c>
      <c r="R233">
        <f t="shared" si="961"/>
        <v>-64814977.370662026</v>
      </c>
      <c r="S233">
        <f t="shared" si="962"/>
        <v>-648.14977370662029</v>
      </c>
      <c r="T233">
        <f t="shared" si="963"/>
        <v>-0.6481497737066203</v>
      </c>
    </row>
    <row r="234" spans="1:20" x14ac:dyDescent="0.25">
      <c r="A234" s="5">
        <v>44359</v>
      </c>
      <c r="B234">
        <v>0.93830000000000002</v>
      </c>
      <c r="C234">
        <v>0.94869999999999999</v>
      </c>
      <c r="D234">
        <v>0.85089999999999999</v>
      </c>
      <c r="E234">
        <v>0.89370000000000005</v>
      </c>
      <c r="F234">
        <v>3321541.09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-0.12474437627811737</v>
      </c>
      <c r="Q234">
        <f t="shared" si="960"/>
        <v>-414343.57155418809</v>
      </c>
      <c r="R234">
        <f t="shared" si="961"/>
        <v>-66991417.458091564</v>
      </c>
      <c r="S234">
        <f t="shared" si="962"/>
        <v>-669.91417458091564</v>
      </c>
      <c r="T234">
        <f t="shared" si="963"/>
        <v>-0.66991417458091562</v>
      </c>
    </row>
    <row r="235" spans="1:20" x14ac:dyDescent="0.25">
      <c r="A235" s="5">
        <v>44358</v>
      </c>
      <c r="B235">
        <v>0.98419999999999996</v>
      </c>
      <c r="C235">
        <v>1.0732999999999999</v>
      </c>
      <c r="D235">
        <v>0.9254</v>
      </c>
      <c r="E235">
        <v>0.93630000000000002</v>
      </c>
      <c r="F235">
        <v>5240220.92</v>
      </c>
      <c r="G235">
        <v>0</v>
      </c>
      <c r="L235" t="s">
        <v>8</v>
      </c>
      <c r="M235" t="s">
        <v>7</v>
      </c>
      <c r="N235" t="s">
        <v>7</v>
      </c>
      <c r="P235">
        <f t="shared" si="959"/>
        <v>-0.85260311020960067</v>
      </c>
      <c r="Q235">
        <f t="shared" si="960"/>
        <v>-4467828.6545774145</v>
      </c>
      <c r="R235">
        <f t="shared" si="961"/>
        <v>-66577073.886537373</v>
      </c>
      <c r="S235">
        <f t="shared" si="962"/>
        <v>-665.77073886537369</v>
      </c>
      <c r="T235">
        <f t="shared" si="963"/>
        <v>-0.66577073886537363</v>
      </c>
    </row>
    <row r="236" spans="1:20" x14ac:dyDescent="0.25">
      <c r="A236" s="5">
        <v>44357</v>
      </c>
      <c r="B236">
        <v>1.0212000000000001</v>
      </c>
      <c r="C236">
        <v>1.0553999999999999</v>
      </c>
      <c r="D236">
        <v>0.9506</v>
      </c>
      <c r="E236">
        <v>0.98409999999999997</v>
      </c>
      <c r="F236">
        <v>4812755.9800000004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-0.36068702290076321</v>
      </c>
      <c r="Q236">
        <f t="shared" si="960"/>
        <v>-1735898.6263740452</v>
      </c>
      <c r="R236">
        <f t="shared" si="961"/>
        <v>-62109245.231959961</v>
      </c>
      <c r="S236">
        <f t="shared" si="962"/>
        <v>-621.0924523195996</v>
      </c>
      <c r="T236">
        <f t="shared" si="963"/>
        <v>-0.62109245231959964</v>
      </c>
    </row>
    <row r="237" spans="1:20" x14ac:dyDescent="0.25">
      <c r="A237" s="5">
        <v>44356</v>
      </c>
      <c r="B237">
        <v>1.0033000000000001</v>
      </c>
      <c r="C237">
        <v>1.0392999999999999</v>
      </c>
      <c r="D237">
        <v>0.94430000000000003</v>
      </c>
      <c r="E237">
        <v>1.0208999999999999</v>
      </c>
      <c r="F237">
        <v>3314947.09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0.61263157894736842</v>
      </c>
      <c r="Q237">
        <f t="shared" si="960"/>
        <v>2030841.269873684</v>
      </c>
      <c r="R237">
        <f t="shared" si="961"/>
        <v>-60373346.605585918</v>
      </c>
      <c r="S237">
        <f t="shared" si="962"/>
        <v>-603.73346605585914</v>
      </c>
      <c r="T237">
        <f t="shared" si="963"/>
        <v>-0.60373346605585909</v>
      </c>
    </row>
    <row r="238" spans="1:20" x14ac:dyDescent="0.25">
      <c r="A238" s="5">
        <v>44355</v>
      </c>
      <c r="B238">
        <v>1.0257000000000001</v>
      </c>
      <c r="C238">
        <v>1.0551999999999999</v>
      </c>
      <c r="D238">
        <v>0.90769999999999995</v>
      </c>
      <c r="E238">
        <v>1.0009999999999999</v>
      </c>
      <c r="F238">
        <v>5966652.9000000004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0.26508474576271135</v>
      </c>
      <c r="Q238">
        <f t="shared" si="960"/>
        <v>1581668.6670508445</v>
      </c>
      <c r="R238">
        <f t="shared" si="961"/>
        <v>-62404187.875459604</v>
      </c>
      <c r="S238">
        <f t="shared" si="962"/>
        <v>-624.04187875459604</v>
      </c>
      <c r="T238">
        <f t="shared" si="963"/>
        <v>-0.62404187875459605</v>
      </c>
    </row>
    <row r="239" spans="1:20" x14ac:dyDescent="0.25">
      <c r="A239" s="5">
        <v>44354</v>
      </c>
      <c r="B239">
        <v>1.155</v>
      </c>
      <c r="C239">
        <v>1.1689000000000001</v>
      </c>
      <c r="D239">
        <v>1.0152000000000001</v>
      </c>
      <c r="E239">
        <v>1.0275000000000001</v>
      </c>
      <c r="F239">
        <v>6469466.0999999996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-0.83994795055302562</v>
      </c>
      <c r="Q239">
        <f t="shared" si="960"/>
        <v>-5434014.7918672748</v>
      </c>
      <c r="R239">
        <f t="shared" si="961"/>
        <v>-63985856.54251045</v>
      </c>
      <c r="S239">
        <f t="shared" si="962"/>
        <v>-639.85856542510453</v>
      </c>
      <c r="T239">
        <f t="shared" si="963"/>
        <v>-0.63985856542510455</v>
      </c>
    </row>
    <row r="240" spans="1:20" x14ac:dyDescent="0.25">
      <c r="A240" s="5">
        <v>44353</v>
      </c>
      <c r="B240">
        <v>1.0629</v>
      </c>
      <c r="C240">
        <v>1.194</v>
      </c>
      <c r="D240">
        <v>1.0629</v>
      </c>
      <c r="E240">
        <v>1.1558999999999999</v>
      </c>
      <c r="F240">
        <v>12917388.76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0.41876430205949622</v>
      </c>
      <c r="Q240">
        <f t="shared" si="960"/>
        <v>5409341.288512581</v>
      </c>
      <c r="R240">
        <f t="shared" si="961"/>
        <v>-58551841.750643171</v>
      </c>
      <c r="S240">
        <f t="shared" si="962"/>
        <v>-585.51841750643166</v>
      </c>
      <c r="T240">
        <f t="shared" si="963"/>
        <v>-0.58551841750643163</v>
      </c>
    </row>
    <row r="241" spans="1:20" x14ac:dyDescent="0.25">
      <c r="A241" s="5">
        <v>44352</v>
      </c>
      <c r="B241">
        <v>1.1115999999999999</v>
      </c>
      <c r="C241">
        <v>1.1782999999999999</v>
      </c>
      <c r="D241">
        <v>1.0164</v>
      </c>
      <c r="E241">
        <v>1.0633999999999999</v>
      </c>
      <c r="F241">
        <v>5221352.0199999996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-0.41939468807906177</v>
      </c>
      <c r="Q241">
        <f t="shared" si="960"/>
        <v>-2189807.301778879</v>
      </c>
      <c r="R241">
        <f t="shared" si="961"/>
        <v>-63961183.039155751</v>
      </c>
      <c r="S241">
        <f t="shared" si="962"/>
        <v>-639.61183039155753</v>
      </c>
      <c r="T241">
        <f t="shared" si="963"/>
        <v>-0.63961183039155756</v>
      </c>
    </row>
    <row r="242" spans="1:20" x14ac:dyDescent="0.25">
      <c r="A242" s="5">
        <v>44351</v>
      </c>
      <c r="B242">
        <v>1.2205999999999999</v>
      </c>
      <c r="C242">
        <v>1.2219</v>
      </c>
      <c r="D242">
        <v>1.0427</v>
      </c>
      <c r="E242">
        <v>1.1120000000000001</v>
      </c>
      <c r="F242">
        <v>7569148.2400000002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-0.22656249999999856</v>
      </c>
      <c r="Q242">
        <f t="shared" si="960"/>
        <v>-1714885.1481249891</v>
      </c>
      <c r="R242">
        <f t="shared" si="961"/>
        <v>-61771375.737376869</v>
      </c>
      <c r="S242">
        <f t="shared" si="962"/>
        <v>-617.71375737376866</v>
      </c>
      <c r="T242">
        <f t="shared" si="963"/>
        <v>-0.61771375737376866</v>
      </c>
    </row>
    <row r="243" spans="1:20" x14ac:dyDescent="0.25">
      <c r="A243" s="5">
        <v>44350</v>
      </c>
      <c r="B243">
        <v>1.1934</v>
      </c>
      <c r="C243">
        <v>1.3010999999999999</v>
      </c>
      <c r="D243">
        <v>1.1433</v>
      </c>
      <c r="E243">
        <v>1.2205999999999999</v>
      </c>
      <c r="F243">
        <v>9710443.6699999999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-2.0278833967047483E-2</v>
      </c>
      <c r="Q243">
        <f t="shared" si="960"/>
        <v>-196916.47493029723</v>
      </c>
      <c r="R243">
        <f t="shared" si="961"/>
        <v>-60056490.589251883</v>
      </c>
      <c r="S243">
        <f t="shared" si="962"/>
        <v>-600.56490589251882</v>
      </c>
      <c r="T243">
        <f t="shared" si="963"/>
        <v>-0.60056490589251887</v>
      </c>
    </row>
    <row r="244" spans="1:20" x14ac:dyDescent="0.25">
      <c r="A244" s="5">
        <v>44349</v>
      </c>
      <c r="B244">
        <v>1.0582</v>
      </c>
      <c r="C244">
        <v>1.2555000000000001</v>
      </c>
      <c r="D244">
        <v>1.0484</v>
      </c>
      <c r="E244">
        <v>1.194</v>
      </c>
      <c r="F244">
        <v>15154243.060000001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0.40608401738290595</v>
      </c>
      <c r="Q244">
        <f t="shared" si="960"/>
        <v>6153895.902201822</v>
      </c>
      <c r="R244">
        <f t="shared" si="961"/>
        <v>-59859574.114321589</v>
      </c>
      <c r="S244">
        <f t="shared" si="962"/>
        <v>-598.59574114321595</v>
      </c>
      <c r="T244">
        <f t="shared" si="963"/>
        <v>-0.5985957411432159</v>
      </c>
    </row>
    <row r="245" spans="1:20" x14ac:dyDescent="0.25">
      <c r="A245" s="5">
        <v>44348</v>
      </c>
      <c r="B245">
        <v>1.0932999999999999</v>
      </c>
      <c r="C245">
        <v>1.0995999999999999</v>
      </c>
      <c r="D245">
        <v>1.0264</v>
      </c>
      <c r="E245">
        <v>1.0563</v>
      </c>
      <c r="F245">
        <v>3753899.18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-0.18306010928961569</v>
      </c>
      <c r="Q245">
        <f t="shared" si="960"/>
        <v>-687189.19415299874</v>
      </c>
      <c r="R245">
        <f t="shared" si="961"/>
        <v>-66013470.016523413</v>
      </c>
      <c r="S245">
        <f t="shared" si="962"/>
        <v>-660.13470016523411</v>
      </c>
      <c r="T245">
        <f t="shared" si="963"/>
        <v>-0.66013470016523412</v>
      </c>
    </row>
    <row r="246" spans="1:20" x14ac:dyDescent="0.25">
      <c r="A246" s="5">
        <v>44347</v>
      </c>
      <c r="B246">
        <v>1.0157</v>
      </c>
      <c r="C246">
        <v>1.1414</v>
      </c>
      <c r="D246">
        <v>0.96299999999999997</v>
      </c>
      <c r="E246">
        <v>1.0933999999999999</v>
      </c>
      <c r="F246">
        <v>4000613.36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0.46188340807174844</v>
      </c>
      <c r="Q246">
        <f t="shared" si="960"/>
        <v>1847816.9330941685</v>
      </c>
      <c r="R246">
        <f t="shared" si="961"/>
        <v>-65326280.822370417</v>
      </c>
      <c r="S246">
        <f t="shared" si="962"/>
        <v>-653.26280822370416</v>
      </c>
      <c r="T246">
        <f t="shared" si="963"/>
        <v>-0.65326280822370419</v>
      </c>
    </row>
    <row r="247" spans="1:20" x14ac:dyDescent="0.25">
      <c r="A247" s="5">
        <v>44346</v>
      </c>
      <c r="B247">
        <v>1.0134000000000001</v>
      </c>
      <c r="C247">
        <v>1.0634999999999999</v>
      </c>
      <c r="D247">
        <v>0.95269999999999999</v>
      </c>
      <c r="E247">
        <v>1.018</v>
      </c>
      <c r="F247">
        <v>4997075.08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0.17870036101083184</v>
      </c>
      <c r="Q247">
        <f t="shared" si="960"/>
        <v>892979.12079423142</v>
      </c>
      <c r="R247">
        <f t="shared" si="961"/>
        <v>-67174097.755464584</v>
      </c>
      <c r="S247">
        <f t="shared" si="962"/>
        <v>-671.74097755464584</v>
      </c>
      <c r="T247">
        <f t="shared" si="963"/>
        <v>-0.67174097755464579</v>
      </c>
    </row>
    <row r="248" spans="1:20" x14ac:dyDescent="0.25">
      <c r="A248" s="5">
        <v>44345</v>
      </c>
      <c r="B248">
        <v>1.0552999999999999</v>
      </c>
      <c r="C248">
        <v>1.1099000000000001</v>
      </c>
      <c r="D248">
        <v>0.93369999999999997</v>
      </c>
      <c r="E248">
        <v>1.0159</v>
      </c>
      <c r="F248">
        <v>4339547.5999999996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-6.6969353007945653E-2</v>
      </c>
      <c r="Q248">
        <f t="shared" si="960"/>
        <v>-290616.69511918334</v>
      </c>
      <c r="R248">
        <f t="shared" si="961"/>
        <v>-68067076.87625882</v>
      </c>
      <c r="S248">
        <f t="shared" si="962"/>
        <v>-680.67076876258818</v>
      </c>
      <c r="T248">
        <f t="shared" si="963"/>
        <v>-0.68067076876258814</v>
      </c>
    </row>
    <row r="249" spans="1:20" x14ac:dyDescent="0.25">
      <c r="A249" s="5">
        <v>44344</v>
      </c>
      <c r="B249">
        <v>1.2061999999999999</v>
      </c>
      <c r="C249">
        <v>1.2063999999999999</v>
      </c>
      <c r="D249">
        <v>0.99750000000000005</v>
      </c>
      <c r="E249">
        <v>1.0578000000000001</v>
      </c>
      <c r="F249">
        <v>5083010.6100000003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-0.42269028243178497</v>
      </c>
      <c r="Q249">
        <f t="shared" si="960"/>
        <v>-2148539.1903446596</v>
      </c>
      <c r="R249">
        <f t="shared" si="961"/>
        <v>-67776460.181139633</v>
      </c>
      <c r="S249">
        <f t="shared" si="962"/>
        <v>-677.76460181139635</v>
      </c>
      <c r="T249">
        <f t="shared" si="963"/>
        <v>-0.67776460181139631</v>
      </c>
    </row>
    <row r="250" spans="1:20" x14ac:dyDescent="0.25">
      <c r="A250" s="5">
        <v>44343</v>
      </c>
      <c r="B250">
        <v>1.2824</v>
      </c>
      <c r="C250">
        <v>1.2856000000000001</v>
      </c>
      <c r="D250">
        <v>1.1140000000000001</v>
      </c>
      <c r="E250">
        <v>1.206</v>
      </c>
      <c r="F250">
        <v>6217156.1399999997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7.2261072261070786E-2</v>
      </c>
      <c r="Q250">
        <f t="shared" si="960"/>
        <v>449258.36909089988</v>
      </c>
      <c r="R250">
        <f t="shared" si="961"/>
        <v>-65627920.990794972</v>
      </c>
      <c r="S250">
        <f t="shared" si="962"/>
        <v>-656.27920990794973</v>
      </c>
      <c r="T250">
        <f t="shared" si="963"/>
        <v>-0.65627920990794975</v>
      </c>
    </row>
    <row r="251" spans="1:20" x14ac:dyDescent="0.25">
      <c r="A251" s="5">
        <v>44342</v>
      </c>
      <c r="B251">
        <v>1.1043000000000001</v>
      </c>
      <c r="C251">
        <v>1.2870999999999999</v>
      </c>
      <c r="D251">
        <v>1.0699000000000001</v>
      </c>
      <c r="E251">
        <v>1.2824</v>
      </c>
      <c r="F251">
        <v>9533752.6799999997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0.95672191528545181</v>
      </c>
      <c r="Q251">
        <f t="shared" si="960"/>
        <v>9121150.1238674093</v>
      </c>
      <c r="R251">
        <f t="shared" si="961"/>
        <v>-66077179.359885871</v>
      </c>
      <c r="S251">
        <f t="shared" si="962"/>
        <v>-660.77179359885872</v>
      </c>
      <c r="T251">
        <f t="shared" si="963"/>
        <v>-0.66077179359885874</v>
      </c>
    </row>
    <row r="252" spans="1:20" x14ac:dyDescent="0.25">
      <c r="A252" s="5">
        <v>44341</v>
      </c>
      <c r="B252">
        <v>1.0901000000000001</v>
      </c>
      <c r="C252">
        <v>1.1425000000000001</v>
      </c>
      <c r="D252">
        <v>0.95789999999999997</v>
      </c>
      <c r="E252">
        <v>1.1012999999999999</v>
      </c>
      <c r="F252">
        <v>8237871.7199999997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0.55362946912242572</v>
      </c>
      <c r="Q252">
        <f t="shared" si="960"/>
        <v>4560728.5470422441</v>
      </c>
      <c r="R252">
        <f t="shared" si="961"/>
        <v>-75198329.483753279</v>
      </c>
      <c r="S252">
        <f t="shared" si="962"/>
        <v>-751.98329483753275</v>
      </c>
      <c r="T252">
        <f t="shared" si="963"/>
        <v>-0.75198329483753279</v>
      </c>
    </row>
    <row r="253" spans="1:20" x14ac:dyDescent="0.25">
      <c r="A253" s="5">
        <v>44340</v>
      </c>
      <c r="B253">
        <v>0.90580000000000005</v>
      </c>
      <c r="C253">
        <v>1.1964999999999999</v>
      </c>
      <c r="D253">
        <v>0.87139999999999995</v>
      </c>
      <c r="E253">
        <v>1.0928</v>
      </c>
      <c r="F253">
        <v>15040569.560000001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0.36204244847739203</v>
      </c>
      <c r="Q253">
        <f t="shared" si="960"/>
        <v>5445324.6299969312</v>
      </c>
      <c r="R253">
        <f t="shared" si="961"/>
        <v>-79759058.030795529</v>
      </c>
      <c r="S253">
        <f t="shared" si="962"/>
        <v>-797.59058030795529</v>
      </c>
      <c r="T253">
        <f t="shared" si="963"/>
        <v>-0.79759058030795527</v>
      </c>
    </row>
    <row r="254" spans="1:20" x14ac:dyDescent="0.25">
      <c r="A254" s="5">
        <v>44339</v>
      </c>
      <c r="B254">
        <v>1.0322</v>
      </c>
      <c r="C254">
        <v>1.35</v>
      </c>
      <c r="D254">
        <v>0.76700000000000002</v>
      </c>
      <c r="E254">
        <v>0.90339999999999998</v>
      </c>
      <c r="F254">
        <v>54352945.149999999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-0.53207547169811342</v>
      </c>
      <c r="Q254">
        <f t="shared" si="960"/>
        <v>-28919868.928867936</v>
      </c>
      <c r="R254">
        <f t="shared" si="961"/>
        <v>-85204382.660792455</v>
      </c>
      <c r="S254">
        <f t="shared" si="962"/>
        <v>-852.04382660792453</v>
      </c>
      <c r="T254">
        <f t="shared" si="963"/>
        <v>-0.85204382660792455</v>
      </c>
    </row>
    <row r="255" spans="1:20" x14ac:dyDescent="0.25">
      <c r="A255" s="5">
        <v>44338</v>
      </c>
      <c r="B255">
        <v>1.1166</v>
      </c>
      <c r="C255">
        <v>1.1684000000000001</v>
      </c>
      <c r="D255">
        <v>0.98599999999999999</v>
      </c>
      <c r="E255">
        <v>1.0343</v>
      </c>
      <c r="F255">
        <v>9620740.8200000003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-0.47039473684210548</v>
      </c>
      <c r="Q255">
        <f t="shared" si="960"/>
        <v>-4525545.8462500023</v>
      </c>
      <c r="R255">
        <f t="shared" si="961"/>
        <v>-56284513.731924519</v>
      </c>
      <c r="S255">
        <f t="shared" si="962"/>
        <v>-562.84513731924517</v>
      </c>
      <c r="T255">
        <f t="shared" si="963"/>
        <v>-0.56284513731924513</v>
      </c>
    </row>
    <row r="256" spans="1:20" x14ac:dyDescent="0.25">
      <c r="A256" s="5">
        <v>44337</v>
      </c>
      <c r="B256">
        <v>1.1970000000000001</v>
      </c>
      <c r="C256">
        <v>1.4998</v>
      </c>
      <c r="D256">
        <v>0.93899999999999995</v>
      </c>
      <c r="E256">
        <v>1.1095999999999999</v>
      </c>
      <c r="F256">
        <v>28578772.960000001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-0.39158345221112711</v>
      </c>
      <c r="Q256">
        <f t="shared" si="960"/>
        <v>-11190974.575634813</v>
      </c>
      <c r="R256">
        <f t="shared" si="961"/>
        <v>-51758967.885674514</v>
      </c>
      <c r="S256">
        <f t="shared" si="962"/>
        <v>-517.58967885674519</v>
      </c>
      <c r="T256">
        <f t="shared" si="963"/>
        <v>-0.51758967885674523</v>
      </c>
    </row>
    <row r="257" spans="1:20" x14ac:dyDescent="0.25">
      <c r="A257" s="5">
        <v>44336</v>
      </c>
      <c r="B257">
        <v>0.96719999999999995</v>
      </c>
      <c r="C257">
        <v>1.2025999999999999</v>
      </c>
      <c r="D257">
        <v>0.86009999999999998</v>
      </c>
      <c r="E257">
        <v>1.1967000000000001</v>
      </c>
      <c r="F257">
        <v>13644474.75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0.96554744525547564</v>
      </c>
      <c r="Q257">
        <f t="shared" si="960"/>
        <v>13174387.736715345</v>
      </c>
      <c r="R257">
        <f t="shared" si="961"/>
        <v>-40567993.310039699</v>
      </c>
      <c r="S257">
        <f t="shared" si="962"/>
        <v>-405.67993310039697</v>
      </c>
      <c r="T257">
        <f t="shared" si="963"/>
        <v>-0.40567993310039696</v>
      </c>
    </row>
    <row r="258" spans="1:20" x14ac:dyDescent="0.25">
      <c r="A258" s="5">
        <v>44335</v>
      </c>
      <c r="B258">
        <v>1.5386</v>
      </c>
      <c r="C258">
        <v>1.5707</v>
      </c>
      <c r="D258">
        <v>0.69389999999999996</v>
      </c>
      <c r="E258">
        <v>0.96579999999999999</v>
      </c>
      <c r="F258">
        <v>20955435.670000002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-0.3797901459854014</v>
      </c>
      <c r="Q258">
        <f t="shared" si="960"/>
        <v>-7958667.9722969886</v>
      </c>
      <c r="R258">
        <f t="shared" si="961"/>
        <v>-53742381.046755046</v>
      </c>
      <c r="S258">
        <f t="shared" si="962"/>
        <v>-537.42381046755042</v>
      </c>
      <c r="T258">
        <f t="shared" si="963"/>
        <v>-0.53742381046755039</v>
      </c>
    </row>
    <row r="259" spans="1:20" x14ac:dyDescent="0.25">
      <c r="A259" s="5">
        <v>44334</v>
      </c>
      <c r="B259">
        <v>1.504</v>
      </c>
      <c r="C259">
        <v>1.6063000000000001</v>
      </c>
      <c r="D259">
        <v>1.4791000000000001</v>
      </c>
      <c r="E259">
        <v>1.5409999999999999</v>
      </c>
      <c r="F259">
        <v>5402149.1200000001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-2.6729559748429971E-2</v>
      </c>
      <c r="Q259">
        <f t="shared" si="960"/>
        <v>-144397.06767296838</v>
      </c>
      <c r="R259">
        <f t="shared" si="961"/>
        <v>-45783713.074458055</v>
      </c>
      <c r="S259">
        <f t="shared" si="962"/>
        <v>-457.83713074458058</v>
      </c>
      <c r="T259">
        <f t="shared" si="963"/>
        <v>-0.4578371307445806</v>
      </c>
    </row>
    <row r="260" spans="1:20" x14ac:dyDescent="0.25">
      <c r="A260" s="5">
        <v>44333</v>
      </c>
      <c r="B260">
        <v>1.589</v>
      </c>
      <c r="C260">
        <v>1.5902000000000001</v>
      </c>
      <c r="D260">
        <v>1.3927</v>
      </c>
      <c r="E260">
        <v>1.5042</v>
      </c>
      <c r="F260">
        <v>7196392.4199999999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0.12911392405063218</v>
      </c>
      <c r="Q260">
        <f t="shared" si="960"/>
        <v>929154.46435442509</v>
      </c>
      <c r="R260">
        <f t="shared" si="961"/>
        <v>-45639316.006785087</v>
      </c>
      <c r="S260">
        <f t="shared" si="962"/>
        <v>-456.39316006785089</v>
      </c>
      <c r="T260">
        <f t="shared" si="963"/>
        <v>-0.45639316006785091</v>
      </c>
    </row>
    <row r="261" spans="1:20" x14ac:dyDescent="0.25">
      <c r="A261" s="5">
        <v>44332</v>
      </c>
      <c r="B261">
        <v>1.6281000000000001</v>
      </c>
      <c r="C261">
        <v>1.8274999999999999</v>
      </c>
      <c r="D261">
        <v>1.4855</v>
      </c>
      <c r="E261">
        <v>1.5903</v>
      </c>
      <c r="F261">
        <v>7598853.46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-0.38713450292397633</v>
      </c>
      <c r="Q261">
        <f t="shared" si="960"/>
        <v>-2941778.3570292378</v>
      </c>
      <c r="R261">
        <f t="shared" si="961"/>
        <v>-46568470.471139513</v>
      </c>
      <c r="S261">
        <f t="shared" si="962"/>
        <v>-465.68470471139511</v>
      </c>
      <c r="T261">
        <f t="shared" si="963"/>
        <v>-0.46568470471139511</v>
      </c>
    </row>
    <row r="262" spans="1:20" x14ac:dyDescent="0.25">
      <c r="A262" s="5">
        <v>44331</v>
      </c>
      <c r="B262">
        <v>1.8025</v>
      </c>
      <c r="C262">
        <v>1.8290999999999999</v>
      </c>
      <c r="D262">
        <v>1.6160000000000001</v>
      </c>
      <c r="E262">
        <v>1.6304000000000001</v>
      </c>
      <c r="F262">
        <v>5310704.75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-0.86485218207414383</v>
      </c>
      <c r="Q262">
        <f t="shared" ref="Q262:Q325" si="965">F262*P262</f>
        <v>-4592974.5913890209</v>
      </c>
      <c r="R262">
        <f t="shared" ref="R262:R325" si="966">R263+Q262</f>
        <v>-43626692.114110276</v>
      </c>
      <c r="S262">
        <f t="shared" ref="S262:S325" si="967">R262/100000</f>
        <v>-436.26692114110278</v>
      </c>
      <c r="T262">
        <f t="shared" ref="T262:T325" si="968">S262/1000</f>
        <v>-0.43626692114110277</v>
      </c>
    </row>
    <row r="263" spans="1:20" x14ac:dyDescent="0.25">
      <c r="A263" s="5">
        <v>44330</v>
      </c>
      <c r="B263">
        <v>1.7010000000000001</v>
      </c>
      <c r="C263">
        <v>1.8848</v>
      </c>
      <c r="D263">
        <v>1.6736</v>
      </c>
      <c r="E263">
        <v>1.8006</v>
      </c>
      <c r="F263">
        <v>6138767.8600000003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0.20265151515151486</v>
      </c>
      <c r="Q263">
        <f t="shared" si="965"/>
        <v>1244030.6079924225</v>
      </c>
      <c r="R263">
        <f t="shared" si="966"/>
        <v>-39033717.522721253</v>
      </c>
      <c r="S263">
        <f t="shared" si="967"/>
        <v>-390.33717522721253</v>
      </c>
      <c r="T263">
        <f t="shared" si="968"/>
        <v>-0.39033717522721251</v>
      </c>
    </row>
    <row r="264" spans="1:20" x14ac:dyDescent="0.25">
      <c r="A264" s="5">
        <v>44329</v>
      </c>
      <c r="B264">
        <v>1.6795</v>
      </c>
      <c r="C264">
        <v>1.8346</v>
      </c>
      <c r="D264">
        <v>1.3692</v>
      </c>
      <c r="E264">
        <v>1.6968000000000001</v>
      </c>
      <c r="F264">
        <v>12994825.300000001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0.40782122905027973</v>
      </c>
      <c r="Q264">
        <f t="shared" si="965"/>
        <v>5299565.6251396704</v>
      </c>
      <c r="R264">
        <f t="shared" si="966"/>
        <v>-40277748.130713679</v>
      </c>
      <c r="S264">
        <f t="shared" si="967"/>
        <v>-402.77748130713678</v>
      </c>
      <c r="T264">
        <f t="shared" si="968"/>
        <v>-0.40277748130713681</v>
      </c>
    </row>
    <row r="265" spans="1:20" x14ac:dyDescent="0.25">
      <c r="A265" s="5">
        <v>44328</v>
      </c>
      <c r="B265">
        <v>1.9870000000000001</v>
      </c>
      <c r="C265">
        <v>2.1360000000000001</v>
      </c>
      <c r="D265">
        <v>1.6215999999999999</v>
      </c>
      <c r="E265">
        <v>1.6794</v>
      </c>
      <c r="F265">
        <v>11641744.710000001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-0.775272161741835</v>
      </c>
      <c r="Q265">
        <f t="shared" si="965"/>
        <v>-9025520.5877682734</v>
      </c>
      <c r="R265">
        <f t="shared" si="966"/>
        <v>-45577313.755853347</v>
      </c>
      <c r="S265">
        <f t="shared" si="967"/>
        <v>-455.77313755853345</v>
      </c>
      <c r="T265">
        <f t="shared" si="968"/>
        <v>-0.45577313755853344</v>
      </c>
    </row>
    <row r="266" spans="1:20" x14ac:dyDescent="0.25">
      <c r="A266" s="5">
        <v>44327</v>
      </c>
      <c r="B266">
        <v>1.8561000000000001</v>
      </c>
      <c r="C266">
        <v>2.0768</v>
      </c>
      <c r="D266">
        <v>1.8009999999999999</v>
      </c>
      <c r="E266">
        <v>1.9886999999999999</v>
      </c>
      <c r="F266">
        <v>11452701.289999999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0.36113125453226935</v>
      </c>
      <c r="Q266">
        <f t="shared" si="965"/>
        <v>4135928.3846410392</v>
      </c>
      <c r="R266">
        <f t="shared" si="966"/>
        <v>-36551793.168085076</v>
      </c>
      <c r="S266">
        <f t="shared" si="967"/>
        <v>-365.51793168085078</v>
      </c>
      <c r="T266">
        <f t="shared" si="968"/>
        <v>-0.36551793168085078</v>
      </c>
    </row>
    <row r="267" spans="1:20" x14ac:dyDescent="0.25">
      <c r="A267" s="5">
        <v>44326</v>
      </c>
      <c r="B267">
        <v>2.1591</v>
      </c>
      <c r="C267">
        <v>2.2271000000000001</v>
      </c>
      <c r="D267">
        <v>1.7718</v>
      </c>
      <c r="E267">
        <v>1.8554999999999999</v>
      </c>
      <c r="F267">
        <v>13419366.710000001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-0.6323303316494624</v>
      </c>
      <c r="Q267">
        <f t="shared" si="965"/>
        <v>-8485472.602260055</v>
      </c>
      <c r="R267">
        <f t="shared" si="966"/>
        <v>-40687721.552726112</v>
      </c>
      <c r="S267">
        <f t="shared" si="967"/>
        <v>-406.87721552726111</v>
      </c>
      <c r="T267">
        <f t="shared" si="968"/>
        <v>-0.40687721552726114</v>
      </c>
    </row>
    <row r="268" spans="1:20" x14ac:dyDescent="0.25">
      <c r="A268" s="5">
        <v>44325</v>
      </c>
      <c r="B268">
        <v>2.2290000000000001</v>
      </c>
      <c r="C268">
        <v>2.3096999999999999</v>
      </c>
      <c r="D268">
        <v>2.0912000000000002</v>
      </c>
      <c r="E268">
        <v>2.1593</v>
      </c>
      <c r="F268">
        <v>19966035.57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-0.37665903890160252</v>
      </c>
      <c r="Q268">
        <f t="shared" si="965"/>
        <v>-7520387.7684714096</v>
      </c>
      <c r="R268">
        <f t="shared" si="966"/>
        <v>-32202248.950466055</v>
      </c>
      <c r="S268">
        <f t="shared" si="967"/>
        <v>-322.02248950466054</v>
      </c>
      <c r="T268">
        <f t="shared" si="968"/>
        <v>-0.32202248950466056</v>
      </c>
    </row>
    <row r="269" spans="1:20" x14ac:dyDescent="0.25">
      <c r="A269" s="5">
        <v>44324</v>
      </c>
      <c r="B269">
        <v>2.2353999999999998</v>
      </c>
      <c r="C269">
        <v>2.734</v>
      </c>
      <c r="D269">
        <v>2.1981999999999999</v>
      </c>
      <c r="E269">
        <v>2.2290000000000001</v>
      </c>
      <c r="F269">
        <v>58998846.990000002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-0.88503172825681165</v>
      </c>
      <c r="Q269">
        <f t="shared" si="965"/>
        <v>-52215851.516718894</v>
      </c>
      <c r="R269">
        <f t="shared" si="966"/>
        <v>-24681861.181994647</v>
      </c>
      <c r="S269">
        <f t="shared" si="967"/>
        <v>-246.81861181994645</v>
      </c>
      <c r="T269">
        <f t="shared" si="968"/>
        <v>-0.24681861181994647</v>
      </c>
    </row>
    <row r="270" spans="1:20" x14ac:dyDescent="0.25">
      <c r="A270" s="5">
        <v>44323</v>
      </c>
      <c r="B270">
        <v>1.9014</v>
      </c>
      <c r="C270">
        <v>2.5817999999999999</v>
      </c>
      <c r="D270">
        <v>1.8008</v>
      </c>
      <c r="E270">
        <v>2.2353999999999998</v>
      </c>
      <c r="F270">
        <v>44888778.909999996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0.11293213828425076</v>
      </c>
      <c r="Q270">
        <f t="shared" si="965"/>
        <v>5069385.7872752789</v>
      </c>
      <c r="R270">
        <f t="shared" si="966"/>
        <v>27533990.334724247</v>
      </c>
      <c r="S270">
        <f t="shared" si="967"/>
        <v>275.33990334724245</v>
      </c>
      <c r="T270">
        <f t="shared" si="968"/>
        <v>0.27533990334724245</v>
      </c>
    </row>
    <row r="271" spans="1:20" x14ac:dyDescent="0.25">
      <c r="A271" s="5">
        <v>44322</v>
      </c>
      <c r="B271">
        <v>1.9934000000000001</v>
      </c>
      <c r="C271">
        <v>2.0308999999999999</v>
      </c>
      <c r="D271">
        <v>1.8179000000000001</v>
      </c>
      <c r="E271">
        <v>1.9026000000000001</v>
      </c>
      <c r="F271">
        <v>9977826.7100000009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-0.20469483568075067</v>
      </c>
      <c r="Q271">
        <f t="shared" si="965"/>
        <v>-2042409.5988544552</v>
      </c>
      <c r="R271">
        <f t="shared" si="966"/>
        <v>22464604.54744897</v>
      </c>
      <c r="S271">
        <f t="shared" si="967"/>
        <v>224.64604547448971</v>
      </c>
      <c r="T271">
        <f t="shared" si="968"/>
        <v>0.22464604547448971</v>
      </c>
    </row>
    <row r="272" spans="1:20" x14ac:dyDescent="0.25">
      <c r="A272" s="5">
        <v>44321</v>
      </c>
      <c r="B272">
        <v>1.8041</v>
      </c>
      <c r="C272">
        <v>1.9964999999999999</v>
      </c>
      <c r="D272">
        <v>1.7683</v>
      </c>
      <c r="E272">
        <v>1.9939</v>
      </c>
      <c r="F272">
        <v>8227638.6399999997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0.97721297107800231</v>
      </c>
      <c r="Q272">
        <f t="shared" si="965"/>
        <v>8040155.2003505742</v>
      </c>
      <c r="R272">
        <f t="shared" si="966"/>
        <v>24507014.146303426</v>
      </c>
      <c r="S272">
        <f t="shared" si="967"/>
        <v>245.07014146303428</v>
      </c>
      <c r="T272">
        <f t="shared" si="968"/>
        <v>0.24507014146303427</v>
      </c>
    </row>
    <row r="273" spans="1:20" x14ac:dyDescent="0.25">
      <c r="A273" s="5">
        <v>44320</v>
      </c>
      <c r="B273">
        <v>2.0771999999999999</v>
      </c>
      <c r="C273">
        <v>2.0796999999999999</v>
      </c>
      <c r="D273">
        <v>1.7846</v>
      </c>
      <c r="E273">
        <v>1.8026</v>
      </c>
      <c r="F273">
        <v>10951264.720000001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-0.87800745509996592</v>
      </c>
      <c r="Q273">
        <f t="shared" si="965"/>
        <v>-9615292.0669332407</v>
      </c>
      <c r="R273">
        <f t="shared" si="966"/>
        <v>16466858.945952851</v>
      </c>
      <c r="S273">
        <f t="shared" si="967"/>
        <v>164.6685894595285</v>
      </c>
      <c r="T273">
        <f t="shared" si="968"/>
        <v>0.1646685894595285</v>
      </c>
    </row>
    <row r="274" spans="1:20" x14ac:dyDescent="0.25">
      <c r="A274" s="5">
        <v>44319</v>
      </c>
      <c r="B274">
        <v>2.0842000000000001</v>
      </c>
      <c r="C274">
        <v>2.1812999999999998</v>
      </c>
      <c r="D274">
        <v>2.0484</v>
      </c>
      <c r="E274">
        <v>2.0762999999999998</v>
      </c>
      <c r="F274">
        <v>10659305.49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-0.58013544018058905</v>
      </c>
      <c r="Q274">
        <f t="shared" si="965"/>
        <v>-6183840.8824605197</v>
      </c>
      <c r="R274">
        <f t="shared" si="966"/>
        <v>26082151.012886092</v>
      </c>
      <c r="S274">
        <f t="shared" si="967"/>
        <v>260.82151012886089</v>
      </c>
      <c r="T274">
        <f t="shared" si="968"/>
        <v>0.2608215101288609</v>
      </c>
    </row>
    <row r="275" spans="1:20" x14ac:dyDescent="0.25">
      <c r="A275" s="5">
        <v>44318</v>
      </c>
      <c r="B275">
        <v>2.1873</v>
      </c>
      <c r="C275">
        <v>2.1964999999999999</v>
      </c>
      <c r="D275">
        <v>1.9</v>
      </c>
      <c r="E275">
        <v>2.0847000000000002</v>
      </c>
      <c r="F275">
        <v>11548104.279999999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0.245868465430019</v>
      </c>
      <c r="Q275">
        <f t="shared" si="965"/>
        <v>2839314.6779494341</v>
      </c>
      <c r="R275">
        <f t="shared" si="966"/>
        <v>32265991.895346612</v>
      </c>
      <c r="S275">
        <f t="shared" si="967"/>
        <v>322.6599189534661</v>
      </c>
      <c r="T275">
        <f t="shared" si="968"/>
        <v>0.32265991895346613</v>
      </c>
    </row>
    <row r="276" spans="1:20" x14ac:dyDescent="0.25">
      <c r="A276" s="5">
        <v>44317</v>
      </c>
      <c r="B276">
        <v>2.0771999999999999</v>
      </c>
      <c r="C276">
        <v>2.2273999999999998</v>
      </c>
      <c r="D276">
        <v>2</v>
      </c>
      <c r="E276">
        <v>2.1840999999999999</v>
      </c>
      <c r="F276">
        <v>13206083.57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0.61917326297273589</v>
      </c>
      <c r="Q276">
        <f t="shared" si="965"/>
        <v>8176853.8551275367</v>
      </c>
      <c r="R276">
        <f t="shared" si="966"/>
        <v>29426677.217397179</v>
      </c>
      <c r="S276">
        <f t="shared" si="967"/>
        <v>294.26677217397179</v>
      </c>
      <c r="T276">
        <f t="shared" si="968"/>
        <v>0.29426677217397179</v>
      </c>
    </row>
    <row r="277" spans="1:20" x14ac:dyDescent="0.25">
      <c r="A277" s="5">
        <v>44316</v>
      </c>
      <c r="B277">
        <v>1.9440999999999999</v>
      </c>
      <c r="C277">
        <v>2.0977000000000001</v>
      </c>
      <c r="D277">
        <v>1.891</v>
      </c>
      <c r="E277">
        <v>2.0788000000000002</v>
      </c>
      <c r="F277">
        <v>9645554.0199999996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0.81712626995645954</v>
      </c>
      <c r="Q277">
        <f t="shared" si="965"/>
        <v>7881635.5780261336</v>
      </c>
      <c r="R277">
        <f t="shared" si="966"/>
        <v>21249823.362269644</v>
      </c>
      <c r="S277">
        <f t="shared" si="967"/>
        <v>212.49823362269643</v>
      </c>
      <c r="T277">
        <f t="shared" si="968"/>
        <v>0.21249823362269643</v>
      </c>
    </row>
    <row r="278" spans="1:20" x14ac:dyDescent="0.25">
      <c r="A278" s="5">
        <v>44315</v>
      </c>
      <c r="B278">
        <v>2.0194999999999999</v>
      </c>
      <c r="C278">
        <v>2.1135999999999999</v>
      </c>
      <c r="D278">
        <v>1.8559000000000001</v>
      </c>
      <c r="E278">
        <v>1.9464999999999999</v>
      </c>
      <c r="F278">
        <v>10604743.83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-0.29685681024447141</v>
      </c>
      <c r="Q278">
        <f t="shared" si="965"/>
        <v>-3148090.4268335393</v>
      </c>
      <c r="R278">
        <f t="shared" si="966"/>
        <v>13368187.784243509</v>
      </c>
      <c r="S278">
        <f t="shared" si="967"/>
        <v>133.68187784243509</v>
      </c>
      <c r="T278">
        <f t="shared" si="968"/>
        <v>0.1336818778424351</v>
      </c>
    </row>
    <row r="279" spans="1:20" x14ac:dyDescent="0.25">
      <c r="A279" s="5">
        <v>44314</v>
      </c>
      <c r="B279">
        <v>2.085</v>
      </c>
      <c r="C279">
        <v>2.2486999999999999</v>
      </c>
      <c r="D279">
        <v>1.8680000000000001</v>
      </c>
      <c r="E279">
        <v>2.0196000000000001</v>
      </c>
      <c r="F279">
        <v>16456494.199999999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-0.20357236669293391</v>
      </c>
      <c r="Q279">
        <f t="shared" si="965"/>
        <v>-3350087.4717625398</v>
      </c>
      <c r="R279">
        <f t="shared" si="966"/>
        <v>16516278.211077048</v>
      </c>
      <c r="S279">
        <f t="shared" si="967"/>
        <v>165.16278211077048</v>
      </c>
      <c r="T279">
        <f t="shared" si="968"/>
        <v>0.16516278211077048</v>
      </c>
    </row>
    <row r="280" spans="1:20" x14ac:dyDescent="0.25">
      <c r="A280" s="5">
        <v>44313</v>
      </c>
      <c r="B280">
        <v>1.93</v>
      </c>
      <c r="C280">
        <v>2.1375999999999999</v>
      </c>
      <c r="D280">
        <v>1.9043000000000001</v>
      </c>
      <c r="E280">
        <v>2.0851999999999999</v>
      </c>
      <c r="F280">
        <v>14398569.58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0.55079297042434605</v>
      </c>
      <c r="Q280">
        <f t="shared" si="965"/>
        <v>7930630.9088298287</v>
      </c>
      <c r="R280">
        <f t="shared" si="966"/>
        <v>19866365.682839587</v>
      </c>
      <c r="S280">
        <f t="shared" si="967"/>
        <v>198.66365682839589</v>
      </c>
      <c r="T280">
        <f t="shared" si="968"/>
        <v>0.19866365682839587</v>
      </c>
    </row>
    <row r="281" spans="1:20" x14ac:dyDescent="0.25">
      <c r="A281" s="5">
        <v>44312</v>
      </c>
      <c r="B281">
        <v>1.6666000000000001</v>
      </c>
      <c r="C281">
        <v>1.9632000000000001</v>
      </c>
      <c r="D281">
        <v>1.6283000000000001</v>
      </c>
      <c r="E281">
        <v>1.9322999999999999</v>
      </c>
      <c r="F281">
        <v>10901756.880000001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0.81546730367273723</v>
      </c>
      <c r="Q281">
        <f t="shared" si="965"/>
        <v>8890026.2882293127</v>
      </c>
      <c r="R281">
        <f t="shared" si="966"/>
        <v>11935734.77400976</v>
      </c>
      <c r="S281">
        <f t="shared" si="967"/>
        <v>119.35734774009761</v>
      </c>
      <c r="T281">
        <f t="shared" si="968"/>
        <v>0.11935734774009761</v>
      </c>
    </row>
    <row r="282" spans="1:20" x14ac:dyDescent="0.25">
      <c r="A282" s="5">
        <v>44311</v>
      </c>
      <c r="B282">
        <v>1.7366999999999999</v>
      </c>
      <c r="C282">
        <v>1.8168</v>
      </c>
      <c r="D282">
        <v>1.55</v>
      </c>
      <c r="E282">
        <v>1.6672</v>
      </c>
      <c r="F282">
        <v>7009792.6100000003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-0.12143928035982006</v>
      </c>
      <c r="Q282">
        <f t="shared" si="965"/>
        <v>-851264.17002998479</v>
      </c>
      <c r="R282">
        <f t="shared" si="966"/>
        <v>3045708.4857804477</v>
      </c>
      <c r="S282">
        <f t="shared" si="967"/>
        <v>30.457084857804478</v>
      </c>
      <c r="T282">
        <f t="shared" si="968"/>
        <v>3.0457084857804479E-2</v>
      </c>
    </row>
    <row r="283" spans="1:20" x14ac:dyDescent="0.25">
      <c r="A283" s="5">
        <v>44310</v>
      </c>
      <c r="B283">
        <v>2.0038999999999998</v>
      </c>
      <c r="C283">
        <v>2.0047999999999999</v>
      </c>
      <c r="D283">
        <v>1.6621999999999999</v>
      </c>
      <c r="E283">
        <v>1.7369000000000001</v>
      </c>
      <c r="F283">
        <v>21360667.690000001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-0.56392294220665373</v>
      </c>
      <c r="Q283">
        <f t="shared" si="965"/>
        <v>-12045770.571243407</v>
      </c>
      <c r="R283">
        <f t="shared" si="966"/>
        <v>3896972.6558104325</v>
      </c>
      <c r="S283">
        <f t="shared" si="967"/>
        <v>38.969726558104327</v>
      </c>
      <c r="T283">
        <f t="shared" si="968"/>
        <v>3.896972655810433E-2</v>
      </c>
    </row>
    <row r="284" spans="1:20" x14ac:dyDescent="0.25">
      <c r="A284" s="5">
        <v>44309</v>
      </c>
      <c r="B284">
        <v>1.5976999999999999</v>
      </c>
      <c r="C284">
        <v>2.2200000000000002</v>
      </c>
      <c r="D284">
        <v>1.2575000000000001</v>
      </c>
      <c r="E284">
        <v>2.0021</v>
      </c>
      <c r="F284">
        <v>40996104.770000003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0.54722077922077883</v>
      </c>
      <c r="Q284">
        <f t="shared" si="965"/>
        <v>22433920.397256091</v>
      </c>
      <c r="R284">
        <f t="shared" si="966"/>
        <v>15942743.22705384</v>
      </c>
      <c r="S284">
        <f t="shared" si="967"/>
        <v>159.42743227053839</v>
      </c>
      <c r="T284">
        <f t="shared" si="968"/>
        <v>0.15942743227053838</v>
      </c>
    </row>
    <row r="285" spans="1:20" x14ac:dyDescent="0.25">
      <c r="A285" s="5">
        <v>44308</v>
      </c>
      <c r="B285">
        <v>1.8305</v>
      </c>
      <c r="C285">
        <v>1.8935999999999999</v>
      </c>
      <c r="D285">
        <v>1.5813999999999999</v>
      </c>
      <c r="E285">
        <v>1.5961000000000001</v>
      </c>
      <c r="F285">
        <v>9405604.8499999996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-0.905829596412555</v>
      </c>
      <c r="Q285">
        <f t="shared" si="965"/>
        <v>-8519875.2452914696</v>
      </c>
      <c r="R285">
        <f t="shared" si="966"/>
        <v>-6491177.1702022515</v>
      </c>
      <c r="S285">
        <f t="shared" si="967"/>
        <v>-64.91177170202252</v>
      </c>
      <c r="T285">
        <f t="shared" si="968"/>
        <v>-6.4911771702022517E-2</v>
      </c>
    </row>
    <row r="286" spans="1:20" x14ac:dyDescent="0.25">
      <c r="A286" s="5">
        <v>44307</v>
      </c>
      <c r="B286">
        <v>1.9242999999999999</v>
      </c>
      <c r="C286">
        <v>2.0023</v>
      </c>
      <c r="D286">
        <v>1.8258000000000001</v>
      </c>
      <c r="E286">
        <v>1.8305</v>
      </c>
      <c r="F286">
        <v>10416064.060000001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-0.94674220963172884</v>
      </c>
      <c r="Q286">
        <f t="shared" si="965"/>
        <v>-9861327.5038300361</v>
      </c>
      <c r="R286">
        <f t="shared" si="966"/>
        <v>2028698.0750892181</v>
      </c>
      <c r="S286">
        <f t="shared" si="967"/>
        <v>20.28698075089218</v>
      </c>
      <c r="T286">
        <f t="shared" si="968"/>
        <v>2.0286980750892181E-2</v>
      </c>
    </row>
    <row r="287" spans="1:20" x14ac:dyDescent="0.25">
      <c r="A287" s="5">
        <v>44306</v>
      </c>
      <c r="B287">
        <v>1.8502000000000001</v>
      </c>
      <c r="C287">
        <v>1.9830000000000001</v>
      </c>
      <c r="D287">
        <v>1.6231</v>
      </c>
      <c r="E287">
        <v>1.9206000000000001</v>
      </c>
      <c r="F287">
        <v>12534813.380000001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0.65323701028063352</v>
      </c>
      <c r="Q287">
        <f t="shared" si="965"/>
        <v>8188204.016776883</v>
      </c>
      <c r="R287">
        <f t="shared" si="966"/>
        <v>11890025.578919254</v>
      </c>
      <c r="S287">
        <f t="shared" si="967"/>
        <v>118.90025578919254</v>
      </c>
      <c r="T287">
        <f t="shared" si="968"/>
        <v>0.11890025578919254</v>
      </c>
    </row>
    <row r="288" spans="1:20" x14ac:dyDescent="0.25">
      <c r="A288" s="5">
        <v>44305</v>
      </c>
      <c r="B288">
        <v>2.0354000000000001</v>
      </c>
      <c r="C288">
        <v>2.0979999999999999</v>
      </c>
      <c r="D288">
        <v>1.8012999999999999</v>
      </c>
      <c r="E288">
        <v>1.8481000000000001</v>
      </c>
      <c r="F288">
        <v>9034670.5600000005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-0.68452982810920004</v>
      </c>
      <c r="Q288">
        <f t="shared" si="965"/>
        <v>-6184501.4854600504</v>
      </c>
      <c r="R288">
        <f t="shared" si="966"/>
        <v>3701821.5621423721</v>
      </c>
      <c r="S288">
        <f t="shared" si="967"/>
        <v>37.018215621423721</v>
      </c>
      <c r="T288">
        <f t="shared" si="968"/>
        <v>3.7018215621423718E-2</v>
      </c>
    </row>
    <row r="289" spans="1:20" x14ac:dyDescent="0.25">
      <c r="A289" s="5">
        <v>44304</v>
      </c>
      <c r="B289">
        <v>2.3552</v>
      </c>
      <c r="C289">
        <v>2.3860000000000001</v>
      </c>
      <c r="D289">
        <v>1.6298999999999999</v>
      </c>
      <c r="E289">
        <v>2.0356999999999998</v>
      </c>
      <c r="F289">
        <v>17844219.629999999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7.3402989022615592E-2</v>
      </c>
      <c r="Q289">
        <f t="shared" si="965"/>
        <v>1309819.0576180315</v>
      </c>
      <c r="R289">
        <f t="shared" si="966"/>
        <v>9886323.0476024225</v>
      </c>
      <c r="S289">
        <f t="shared" si="967"/>
        <v>98.863230476024228</v>
      </c>
      <c r="T289">
        <f t="shared" si="968"/>
        <v>9.886323047602423E-2</v>
      </c>
    </row>
    <row r="290" spans="1:20" x14ac:dyDescent="0.25">
      <c r="A290" s="5">
        <v>44303</v>
      </c>
      <c r="B290">
        <v>2.3397000000000001</v>
      </c>
      <c r="C290">
        <v>2.6046</v>
      </c>
      <c r="D290">
        <v>2.3182</v>
      </c>
      <c r="E290">
        <v>2.3561999999999999</v>
      </c>
      <c r="F290">
        <v>17515935.120000001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-0.7346368715083812</v>
      </c>
      <c r="Q290">
        <f t="shared" si="965"/>
        <v>-12867851.778100582</v>
      </c>
      <c r="R290">
        <f t="shared" si="966"/>
        <v>8576503.9899843913</v>
      </c>
      <c r="S290">
        <f t="shared" si="967"/>
        <v>85.765039899843913</v>
      </c>
      <c r="T290">
        <f t="shared" si="968"/>
        <v>8.5765039899843909E-2</v>
      </c>
    </row>
    <row r="291" spans="1:20" x14ac:dyDescent="0.25">
      <c r="A291" s="5">
        <v>44302</v>
      </c>
      <c r="B291">
        <v>2.3418999999999999</v>
      </c>
      <c r="C291">
        <v>2.4022999999999999</v>
      </c>
      <c r="D291">
        <v>2.1671</v>
      </c>
      <c r="E291">
        <v>2.3431999999999999</v>
      </c>
      <c r="F291">
        <v>16859730.120000001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0.49744897959183704</v>
      </c>
      <c r="Q291">
        <f t="shared" si="965"/>
        <v>8386855.5443877606</v>
      </c>
      <c r="R291">
        <f t="shared" si="966"/>
        <v>21444355.768084973</v>
      </c>
      <c r="S291">
        <f t="shared" si="967"/>
        <v>214.44355768084972</v>
      </c>
      <c r="T291">
        <f t="shared" si="968"/>
        <v>0.21444355768084972</v>
      </c>
    </row>
    <row r="292" spans="1:20" x14ac:dyDescent="0.25">
      <c r="A292" s="5">
        <v>44301</v>
      </c>
      <c r="B292">
        <v>2.2850999999999999</v>
      </c>
      <c r="C292">
        <v>2.4500000000000002</v>
      </c>
      <c r="D292">
        <v>2.2366000000000001</v>
      </c>
      <c r="E292">
        <v>2.3401999999999998</v>
      </c>
      <c r="F292">
        <v>11437954.74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-2.9053420806001165E-2</v>
      </c>
      <c r="Q292">
        <f t="shared" si="965"/>
        <v>-332311.71222121565</v>
      </c>
      <c r="R292">
        <f t="shared" si="966"/>
        <v>13057500.223697212</v>
      </c>
      <c r="S292">
        <f t="shared" si="967"/>
        <v>130.57500223697213</v>
      </c>
      <c r="T292">
        <f t="shared" si="968"/>
        <v>0.13057500223697213</v>
      </c>
    </row>
    <row r="293" spans="1:20" x14ac:dyDescent="0.25">
      <c r="A293" s="5">
        <v>44300</v>
      </c>
      <c r="B293">
        <v>2.4556</v>
      </c>
      <c r="C293">
        <v>2.5</v>
      </c>
      <c r="D293">
        <v>2.1425999999999998</v>
      </c>
      <c r="E293">
        <v>2.2850999999999999</v>
      </c>
      <c r="F293">
        <v>11200010.539999999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-0.20257414661443757</v>
      </c>
      <c r="Q293">
        <f t="shared" si="965"/>
        <v>-2268832.5772132059</v>
      </c>
      <c r="R293">
        <f t="shared" si="966"/>
        <v>13389811.935918428</v>
      </c>
      <c r="S293">
        <f t="shared" si="967"/>
        <v>133.89811935918428</v>
      </c>
      <c r="T293">
        <f t="shared" si="968"/>
        <v>0.13389811935918428</v>
      </c>
    </row>
    <row r="294" spans="1:20" x14ac:dyDescent="0.25">
      <c r="A294" s="5">
        <v>44299</v>
      </c>
      <c r="B294">
        <v>2.4485000000000001</v>
      </c>
      <c r="C294">
        <v>2.5179999999999998</v>
      </c>
      <c r="D294">
        <v>2.3544</v>
      </c>
      <c r="E294">
        <v>2.4567000000000001</v>
      </c>
      <c r="F294">
        <v>7235199.8799999999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0.25061124694376791</v>
      </c>
      <c r="Q294">
        <f t="shared" si="965"/>
        <v>1813222.4638141999</v>
      </c>
      <c r="R294">
        <f t="shared" si="966"/>
        <v>15658644.513131633</v>
      </c>
      <c r="S294">
        <f t="shared" si="967"/>
        <v>156.58644513131634</v>
      </c>
      <c r="T294">
        <f t="shared" si="968"/>
        <v>0.15658644513131634</v>
      </c>
    </row>
    <row r="295" spans="1:20" x14ac:dyDescent="0.25">
      <c r="A295" s="5">
        <v>44298</v>
      </c>
      <c r="B295">
        <v>2.415</v>
      </c>
      <c r="C295">
        <v>2.6230000000000002</v>
      </c>
      <c r="D295">
        <v>2.3182999999999998</v>
      </c>
      <c r="E295">
        <v>2.4495</v>
      </c>
      <c r="F295">
        <v>14697113.33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-0.1388250738431242</v>
      </c>
      <c r="Q295">
        <f t="shared" si="965"/>
        <v>-2040327.8433180151</v>
      </c>
      <c r="R295">
        <f t="shared" si="966"/>
        <v>13845422.049317434</v>
      </c>
      <c r="S295">
        <f t="shared" si="967"/>
        <v>138.45422049317435</v>
      </c>
      <c r="T295">
        <f t="shared" si="968"/>
        <v>0.13845422049317435</v>
      </c>
    </row>
    <row r="296" spans="1:20" x14ac:dyDescent="0.25">
      <c r="A296" s="5">
        <v>44297</v>
      </c>
      <c r="B296">
        <v>2.4676</v>
      </c>
      <c r="C296">
        <v>2.4813000000000001</v>
      </c>
      <c r="D296">
        <v>2.3342000000000001</v>
      </c>
      <c r="E296">
        <v>2.415</v>
      </c>
      <c r="F296">
        <v>6270175.2800000003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9.8572399728075841E-2</v>
      </c>
      <c r="Q296">
        <f t="shared" si="965"/>
        <v>618066.22406525991</v>
      </c>
      <c r="R296">
        <f t="shared" si="966"/>
        <v>15885749.89263545</v>
      </c>
      <c r="S296">
        <f t="shared" si="967"/>
        <v>158.85749892635451</v>
      </c>
      <c r="T296">
        <f t="shared" si="968"/>
        <v>0.15885749892635451</v>
      </c>
    </row>
    <row r="297" spans="1:20" x14ac:dyDescent="0.25">
      <c r="A297" s="5">
        <v>44296</v>
      </c>
      <c r="B297">
        <v>2.5556000000000001</v>
      </c>
      <c r="C297">
        <v>2.5821999999999998</v>
      </c>
      <c r="D297">
        <v>2.3609</v>
      </c>
      <c r="E297">
        <v>2.4689000000000001</v>
      </c>
      <c r="F297">
        <v>8646489.0199999996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-2.3949389968367114E-2</v>
      </c>
      <c r="Q297">
        <f t="shared" si="965"/>
        <v>-207078.13739718439</v>
      </c>
      <c r="R297">
        <f t="shared" si="966"/>
        <v>15267683.668570191</v>
      </c>
      <c r="S297">
        <f t="shared" si="967"/>
        <v>152.67683668570191</v>
      </c>
      <c r="T297">
        <f t="shared" si="968"/>
        <v>0.15267683668570192</v>
      </c>
    </row>
    <row r="298" spans="1:20" x14ac:dyDescent="0.25">
      <c r="A298" s="5">
        <v>44295</v>
      </c>
      <c r="B298">
        <v>2.6139000000000001</v>
      </c>
      <c r="C298">
        <v>2.7155</v>
      </c>
      <c r="D298">
        <v>2.5001000000000002</v>
      </c>
      <c r="E298">
        <v>2.5577000000000001</v>
      </c>
      <c r="F298">
        <v>14055070.17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-0.46518105849582242</v>
      </c>
      <c r="Q298">
        <f t="shared" si="965"/>
        <v>-6538152.4189136587</v>
      </c>
      <c r="R298">
        <f t="shared" si="966"/>
        <v>15474761.805967376</v>
      </c>
      <c r="S298">
        <f t="shared" si="967"/>
        <v>154.74761805967375</v>
      </c>
      <c r="T298">
        <f t="shared" si="968"/>
        <v>0.15474761805967374</v>
      </c>
    </row>
    <row r="299" spans="1:20" x14ac:dyDescent="0.25">
      <c r="A299" s="5">
        <v>44294</v>
      </c>
      <c r="B299">
        <v>2.3605999999999998</v>
      </c>
      <c r="C299">
        <v>2.75</v>
      </c>
      <c r="D299">
        <v>2.2692999999999999</v>
      </c>
      <c r="E299">
        <v>2.6150000000000002</v>
      </c>
      <c r="F299">
        <v>24339536.850000001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0.43831911795298628</v>
      </c>
      <c r="Q299">
        <f t="shared" si="965"/>
        <v>10668484.323476207</v>
      </c>
      <c r="R299">
        <f t="shared" si="966"/>
        <v>22012914.224881034</v>
      </c>
      <c r="S299">
        <f t="shared" si="967"/>
        <v>220.12914224881035</v>
      </c>
      <c r="T299">
        <f t="shared" si="968"/>
        <v>0.22012914224881036</v>
      </c>
    </row>
    <row r="300" spans="1:20" x14ac:dyDescent="0.25">
      <c r="A300" s="5">
        <v>44293</v>
      </c>
      <c r="B300">
        <v>2.5701999999999998</v>
      </c>
      <c r="C300">
        <v>2.5819999999999999</v>
      </c>
      <c r="D300">
        <v>2.0499999999999998</v>
      </c>
      <c r="E300">
        <v>2.3605999999999998</v>
      </c>
      <c r="F300">
        <v>22815214.440000001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0.16766917293233072</v>
      </c>
      <c r="Q300">
        <f t="shared" si="965"/>
        <v>3825408.1354285693</v>
      </c>
      <c r="R300">
        <f t="shared" si="966"/>
        <v>11344429.901404828</v>
      </c>
      <c r="S300">
        <f t="shared" si="967"/>
        <v>113.44429901404828</v>
      </c>
      <c r="T300">
        <f t="shared" si="968"/>
        <v>0.11344429901404829</v>
      </c>
    </row>
    <row r="301" spans="1:20" x14ac:dyDescent="0.25">
      <c r="A301" s="5">
        <v>44292</v>
      </c>
      <c r="B301">
        <v>2.8226</v>
      </c>
      <c r="C301">
        <v>2.8523000000000001</v>
      </c>
      <c r="D301">
        <v>2.3877999999999999</v>
      </c>
      <c r="E301">
        <v>2.5699000000000001</v>
      </c>
      <c r="F301">
        <v>19573244.77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-0.21593110871905233</v>
      </c>
      <c r="Q301">
        <f t="shared" si="965"/>
        <v>-4226472.444415492</v>
      </c>
      <c r="R301">
        <f t="shared" si="966"/>
        <v>7519021.7659762586</v>
      </c>
      <c r="S301">
        <f t="shared" si="967"/>
        <v>75.190217659762581</v>
      </c>
      <c r="T301">
        <f t="shared" si="968"/>
        <v>7.5190217659762582E-2</v>
      </c>
    </row>
    <row r="302" spans="1:20" x14ac:dyDescent="0.25">
      <c r="A302" s="5">
        <v>44291</v>
      </c>
      <c r="B302">
        <v>2.9075000000000002</v>
      </c>
      <c r="C302">
        <v>3.0709</v>
      </c>
      <c r="D302">
        <v>2.8</v>
      </c>
      <c r="E302">
        <v>2.82</v>
      </c>
      <c r="F302">
        <v>18595385.16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-0.85234403839054995</v>
      </c>
      <c r="Q302">
        <f t="shared" si="965"/>
        <v>-15849665.682702104</v>
      </c>
      <c r="R302">
        <f t="shared" si="966"/>
        <v>11745494.210391751</v>
      </c>
      <c r="S302">
        <f t="shared" si="967"/>
        <v>117.4549421039175</v>
      </c>
      <c r="T302">
        <f t="shared" si="968"/>
        <v>0.11745494210391751</v>
      </c>
    </row>
    <row r="303" spans="1:20" x14ac:dyDescent="0.25">
      <c r="A303" s="5">
        <v>44290</v>
      </c>
      <c r="B303">
        <v>2.8035999999999999</v>
      </c>
      <c r="C303">
        <v>2.9980000000000002</v>
      </c>
      <c r="D303">
        <v>2.7437</v>
      </c>
      <c r="E303">
        <v>2.9072</v>
      </c>
      <c r="F303">
        <v>17740763.600000001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0.28588281557215772</v>
      </c>
      <c r="Q303">
        <f t="shared" si="965"/>
        <v>5071779.4483680492</v>
      </c>
      <c r="R303">
        <f t="shared" si="966"/>
        <v>27595159.893093854</v>
      </c>
      <c r="S303">
        <f t="shared" si="967"/>
        <v>275.95159893093853</v>
      </c>
      <c r="T303">
        <f t="shared" si="968"/>
        <v>0.27595159893093851</v>
      </c>
    </row>
    <row r="304" spans="1:20" x14ac:dyDescent="0.25">
      <c r="A304" s="5">
        <v>44289</v>
      </c>
      <c r="B304">
        <v>2.9811000000000001</v>
      </c>
      <c r="C304">
        <v>3.16</v>
      </c>
      <c r="D304">
        <v>2.7332999999999998</v>
      </c>
      <c r="E304">
        <v>2.8031000000000001</v>
      </c>
      <c r="F304">
        <v>24202376.370000001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-0.67283805952659825</v>
      </c>
      <c r="Q304">
        <f t="shared" si="965"/>
        <v>-16284279.952723196</v>
      </c>
      <c r="R304">
        <f t="shared" si="966"/>
        <v>22523380.444725804</v>
      </c>
      <c r="S304">
        <f t="shared" si="967"/>
        <v>225.23380444725805</v>
      </c>
      <c r="T304">
        <f t="shared" si="968"/>
        <v>0.22523380444725805</v>
      </c>
    </row>
    <row r="305" spans="1:20" x14ac:dyDescent="0.25">
      <c r="A305" s="5">
        <v>44288</v>
      </c>
      <c r="B305">
        <v>3.0122</v>
      </c>
      <c r="C305">
        <v>3.33</v>
      </c>
      <c r="D305">
        <v>2.9500999999999999</v>
      </c>
      <c r="E305">
        <v>2.9775999999999998</v>
      </c>
      <c r="F305">
        <v>39278708.280000001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-0.85522505922611292</v>
      </c>
      <c r="Q305">
        <f t="shared" si="965"/>
        <v>-33592135.61508821</v>
      </c>
      <c r="R305">
        <f t="shared" si="966"/>
        <v>38807660.397449002</v>
      </c>
      <c r="S305">
        <f t="shared" si="967"/>
        <v>388.07660397449001</v>
      </c>
      <c r="T305">
        <f t="shared" si="968"/>
        <v>0.38807660397449001</v>
      </c>
    </row>
    <row r="306" spans="1:20" x14ac:dyDescent="0.25">
      <c r="A306" s="5">
        <v>44287</v>
      </c>
      <c r="B306">
        <v>2.8178000000000001</v>
      </c>
      <c r="C306">
        <v>3.75</v>
      </c>
      <c r="D306">
        <v>2.7726999999999999</v>
      </c>
      <c r="E306">
        <v>3.0125999999999999</v>
      </c>
      <c r="F306">
        <v>92341589.599999994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-0.5090555612401515</v>
      </c>
      <c r="Q306">
        <f t="shared" si="965"/>
        <v>-47006999.719635732</v>
      </c>
      <c r="R306">
        <f t="shared" si="966"/>
        <v>72399796.012537211</v>
      </c>
      <c r="S306">
        <f t="shared" si="967"/>
        <v>723.99796012537206</v>
      </c>
      <c r="T306">
        <f t="shared" si="968"/>
        <v>0.7239979601253721</v>
      </c>
    </row>
    <row r="307" spans="1:20" x14ac:dyDescent="0.25">
      <c r="A307" s="5">
        <v>44286</v>
      </c>
      <c r="B307">
        <v>2.9624999999999999</v>
      </c>
      <c r="C307">
        <v>3.2</v>
      </c>
      <c r="D307">
        <v>2.5640000000000001</v>
      </c>
      <c r="E307">
        <v>2.8149999999999999</v>
      </c>
      <c r="F307">
        <v>48817436.57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-0.21069182389937158</v>
      </c>
      <c r="Q307">
        <f t="shared" si="965"/>
        <v>-10285434.749025183</v>
      </c>
      <c r="R307">
        <f t="shared" si="966"/>
        <v>119406795.73217294</v>
      </c>
      <c r="S307">
        <f t="shared" si="967"/>
        <v>1194.0679573217294</v>
      </c>
      <c r="T307">
        <f t="shared" si="968"/>
        <v>1.1940679573217294</v>
      </c>
    </row>
    <row r="308" spans="1:20" x14ac:dyDescent="0.25">
      <c r="A308" s="5">
        <v>44285</v>
      </c>
      <c r="B308">
        <v>2.7414999999999998</v>
      </c>
      <c r="C308">
        <v>3.2856999999999998</v>
      </c>
      <c r="D308">
        <v>2.6631999999999998</v>
      </c>
      <c r="E308">
        <v>2.9624999999999999</v>
      </c>
      <c r="F308">
        <v>63056926.100000001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-3.8393574297188447E-2</v>
      </c>
      <c r="Q308">
        <f t="shared" si="965"/>
        <v>-2420980.7771726716</v>
      </c>
      <c r="R308">
        <f t="shared" si="966"/>
        <v>129692230.48119812</v>
      </c>
      <c r="S308">
        <f t="shared" si="967"/>
        <v>1296.9223048119811</v>
      </c>
      <c r="T308">
        <f t="shared" si="968"/>
        <v>1.2969223048119811</v>
      </c>
    </row>
    <row r="309" spans="1:20" x14ac:dyDescent="0.25">
      <c r="A309" s="5">
        <v>44284</v>
      </c>
      <c r="B309">
        <v>2.7141000000000002</v>
      </c>
      <c r="C309">
        <v>3.04</v>
      </c>
      <c r="D309">
        <v>2.5808</v>
      </c>
      <c r="E309">
        <v>2.7418</v>
      </c>
      <c r="F309">
        <v>74098516.609999999</v>
      </c>
      <c r="G309">
        <v>0</v>
      </c>
      <c r="L309" t="s">
        <v>7</v>
      </c>
      <c r="M309" t="s">
        <v>7</v>
      </c>
      <c r="N309" t="s">
        <v>7</v>
      </c>
      <c r="P309">
        <f t="shared" si="964"/>
        <v>-0.29878048780487798</v>
      </c>
      <c r="Q309">
        <f t="shared" si="965"/>
        <v>-22139190.938353654</v>
      </c>
      <c r="R309">
        <f t="shared" si="966"/>
        <v>132113211.25837079</v>
      </c>
      <c r="S309">
        <f t="shared" si="967"/>
        <v>1321.1321125837078</v>
      </c>
      <c r="T309">
        <f t="shared" si="968"/>
        <v>1.3211321125837079</v>
      </c>
    </row>
    <row r="310" spans="1:20" x14ac:dyDescent="0.25">
      <c r="A310" s="5">
        <v>44283</v>
      </c>
      <c r="B310">
        <v>3.1511999999999998</v>
      </c>
      <c r="C310">
        <v>3.8330000000000002</v>
      </c>
      <c r="D310">
        <v>2.6831999999999998</v>
      </c>
      <c r="E310">
        <v>2.7141000000000002</v>
      </c>
      <c r="F310">
        <v>166236472.16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-0.94625152200382612</v>
      </c>
      <c r="Q310">
        <f t="shared" si="965"/>
        <v>-157301514.79394665</v>
      </c>
      <c r="R310">
        <f t="shared" si="966"/>
        <v>154252402.19672444</v>
      </c>
      <c r="S310">
        <f t="shared" si="967"/>
        <v>1542.5240219672444</v>
      </c>
      <c r="T310">
        <f t="shared" si="968"/>
        <v>1.5425240219672445</v>
      </c>
    </row>
    <row r="311" spans="1:20" x14ac:dyDescent="0.25">
      <c r="A311" s="5">
        <v>44282</v>
      </c>
      <c r="B311">
        <v>1.5678000000000001</v>
      </c>
      <c r="C311">
        <v>3.28</v>
      </c>
      <c r="D311">
        <v>1.5663</v>
      </c>
      <c r="E311">
        <v>3.1520000000000001</v>
      </c>
      <c r="F311">
        <v>195045337.43000001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0.85061562700589399</v>
      </c>
      <c r="Q311">
        <f t="shared" si="965"/>
        <v>165908611.99259561</v>
      </c>
      <c r="R311">
        <f t="shared" si="966"/>
        <v>311553916.9906711</v>
      </c>
      <c r="S311">
        <f t="shared" si="967"/>
        <v>3115.5391699067109</v>
      </c>
      <c r="T311">
        <f t="shared" si="968"/>
        <v>3.115539169906711</v>
      </c>
    </row>
    <row r="312" spans="1:20" x14ac:dyDescent="0.25">
      <c r="A312" s="5">
        <v>44281</v>
      </c>
      <c r="B312">
        <v>1.4318</v>
      </c>
      <c r="C312">
        <v>1.62</v>
      </c>
      <c r="D312">
        <v>1.3369</v>
      </c>
      <c r="E312">
        <v>1.5684</v>
      </c>
      <c r="F312">
        <v>49714889.969999999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0.6354645001766156</v>
      </c>
      <c r="Q312">
        <f t="shared" si="965"/>
        <v>31592047.706121489</v>
      </c>
      <c r="R312">
        <f t="shared" si="966"/>
        <v>145645304.99807549</v>
      </c>
      <c r="S312">
        <f t="shared" si="967"/>
        <v>1456.4530499807549</v>
      </c>
      <c r="T312">
        <f t="shared" si="968"/>
        <v>1.4564530499807549</v>
      </c>
    </row>
    <row r="313" spans="1:20" x14ac:dyDescent="0.25">
      <c r="A313" s="5">
        <v>44280</v>
      </c>
      <c r="B313">
        <v>1.4479</v>
      </c>
      <c r="C313">
        <v>1.7498</v>
      </c>
      <c r="D313">
        <v>1.2961</v>
      </c>
      <c r="E313">
        <v>1.4352</v>
      </c>
      <c r="F313">
        <v>89794991.349999994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-0.38681948424068768</v>
      </c>
      <c r="Q313">
        <f t="shared" si="965"/>
        <v>-34734452.241404012</v>
      </c>
      <c r="R313">
        <f t="shared" si="966"/>
        <v>114053257.291954</v>
      </c>
      <c r="S313">
        <f t="shared" si="967"/>
        <v>1140.5325729195399</v>
      </c>
      <c r="T313">
        <f t="shared" si="968"/>
        <v>1.1405325729195399</v>
      </c>
    </row>
    <row r="314" spans="1:20" x14ac:dyDescent="0.25">
      <c r="A314" s="5">
        <v>44279</v>
      </c>
      <c r="B314">
        <v>1.7652000000000001</v>
      </c>
      <c r="C314">
        <v>1.98</v>
      </c>
      <c r="D314">
        <v>1.3701000000000001</v>
      </c>
      <c r="E314">
        <v>1.4475</v>
      </c>
      <c r="F314">
        <v>90822314.75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-0.74618789965568144</v>
      </c>
      <c r="Q314">
        <f t="shared" si="965"/>
        <v>-67770512.285169721</v>
      </c>
      <c r="R314">
        <f t="shared" si="966"/>
        <v>148787709.53335801</v>
      </c>
      <c r="S314">
        <f t="shared" si="967"/>
        <v>1487.87709533358</v>
      </c>
      <c r="T314">
        <f t="shared" si="968"/>
        <v>1.48787709533358</v>
      </c>
    </row>
    <row r="315" spans="1:20" x14ac:dyDescent="0.25">
      <c r="A315" s="5">
        <v>44278</v>
      </c>
      <c r="B315">
        <v>0.91010000000000002</v>
      </c>
      <c r="C315">
        <v>2.0135999999999998</v>
      </c>
      <c r="D315">
        <v>0.82310000000000005</v>
      </c>
      <c r="E315">
        <v>1.7591000000000001</v>
      </c>
      <c r="F315">
        <v>171096652.38999999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0.57244855102897985</v>
      </c>
      <c r="Q315">
        <f t="shared" si="965"/>
        <v>97944030.746564537</v>
      </c>
      <c r="R315">
        <f t="shared" si="966"/>
        <v>216558221.81852773</v>
      </c>
      <c r="S315">
        <f t="shared" si="967"/>
        <v>2165.5822181852773</v>
      </c>
      <c r="T315">
        <f t="shared" si="968"/>
        <v>2.1655822181852771</v>
      </c>
    </row>
    <row r="316" spans="1:20" x14ac:dyDescent="0.25">
      <c r="A316" s="5">
        <v>44277</v>
      </c>
      <c r="B316">
        <v>0.92210000000000003</v>
      </c>
      <c r="C316">
        <v>1.01</v>
      </c>
      <c r="D316">
        <v>0.90439999999999998</v>
      </c>
      <c r="E316">
        <v>0.90910000000000002</v>
      </c>
      <c r="F316">
        <v>15804982.949999999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-0.91098484848484784</v>
      </c>
      <c r="Q316">
        <f t="shared" si="965"/>
        <v>-14398099.998011352</v>
      </c>
      <c r="R316">
        <f t="shared" si="966"/>
        <v>118614191.07196319</v>
      </c>
      <c r="S316">
        <f t="shared" si="967"/>
        <v>1186.1419107196318</v>
      </c>
      <c r="T316">
        <f t="shared" si="968"/>
        <v>1.1861419107196318</v>
      </c>
    </row>
    <row r="317" spans="1:20" x14ac:dyDescent="0.25">
      <c r="A317" s="5">
        <v>44276</v>
      </c>
      <c r="B317">
        <v>0.89439999999999997</v>
      </c>
      <c r="C317">
        <v>0.92330000000000001</v>
      </c>
      <c r="D317">
        <v>0.85229999999999995</v>
      </c>
      <c r="E317">
        <v>0.92120000000000002</v>
      </c>
      <c r="F317">
        <v>7969194.8200000003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0.94084507042253551</v>
      </c>
      <c r="Q317">
        <f t="shared" si="965"/>
        <v>7497777.6616338054</v>
      </c>
      <c r="R317">
        <f t="shared" si="966"/>
        <v>133012291.06997454</v>
      </c>
      <c r="S317">
        <f t="shared" si="967"/>
        <v>1330.1229106997455</v>
      </c>
      <c r="T317">
        <f t="shared" si="968"/>
        <v>1.3301229106997454</v>
      </c>
    </row>
    <row r="318" spans="1:20" x14ac:dyDescent="0.25">
      <c r="A318" s="5">
        <v>44275</v>
      </c>
      <c r="B318">
        <v>0.94189999999999996</v>
      </c>
      <c r="C318">
        <v>1.0361</v>
      </c>
      <c r="D318">
        <v>0.89180000000000004</v>
      </c>
      <c r="E318">
        <v>0.89500000000000002</v>
      </c>
      <c r="F318">
        <v>11524898.960000001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-0.9556479556479559</v>
      </c>
      <c r="Q318">
        <f t="shared" si="965"/>
        <v>-11013746.130173255</v>
      </c>
      <c r="R318">
        <f t="shared" si="966"/>
        <v>125514513.40834074</v>
      </c>
      <c r="S318">
        <f t="shared" si="967"/>
        <v>1255.1451340834074</v>
      </c>
      <c r="T318">
        <f t="shared" si="968"/>
        <v>1.2551451340834074</v>
      </c>
    </row>
    <row r="319" spans="1:20" x14ac:dyDescent="0.25">
      <c r="A319" s="5">
        <v>44274</v>
      </c>
      <c r="B319">
        <v>0.92910000000000004</v>
      </c>
      <c r="C319">
        <v>1.0390999999999999</v>
      </c>
      <c r="D319">
        <v>0.90280000000000005</v>
      </c>
      <c r="E319">
        <v>0.94199999999999995</v>
      </c>
      <c r="F319">
        <v>16148471.16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-0.42479823917828408</v>
      </c>
      <c r="Q319">
        <f t="shared" si="965"/>
        <v>-6859842.1141893025</v>
      </c>
      <c r="R319">
        <f t="shared" si="966"/>
        <v>136528259.53851399</v>
      </c>
      <c r="S319">
        <f t="shared" si="967"/>
        <v>1365.28259538514</v>
      </c>
      <c r="T319">
        <f t="shared" si="968"/>
        <v>1.36528259538514</v>
      </c>
    </row>
    <row r="320" spans="1:20" x14ac:dyDescent="0.25">
      <c r="A320" s="5">
        <v>44273</v>
      </c>
      <c r="B320">
        <v>0.93959999999999999</v>
      </c>
      <c r="C320">
        <v>0.98650000000000004</v>
      </c>
      <c r="D320">
        <v>0.87160000000000004</v>
      </c>
      <c r="E320">
        <v>0.92920000000000003</v>
      </c>
      <c r="F320">
        <v>12139241.560000001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2.6109660574409658E-3</v>
      </c>
      <c r="Q320">
        <f t="shared" si="965"/>
        <v>31695.14767623672</v>
      </c>
      <c r="R320">
        <f t="shared" si="966"/>
        <v>143388101.65270329</v>
      </c>
      <c r="S320">
        <f t="shared" si="967"/>
        <v>1433.8810165270329</v>
      </c>
      <c r="T320">
        <f t="shared" si="968"/>
        <v>1.4338810165270328</v>
      </c>
    </row>
    <row r="321" spans="1:20" x14ac:dyDescent="0.25">
      <c r="A321" s="5">
        <v>44272</v>
      </c>
      <c r="B321">
        <v>0.92259999999999998</v>
      </c>
      <c r="C321">
        <v>0.96220000000000006</v>
      </c>
      <c r="D321">
        <v>0.82150000000000001</v>
      </c>
      <c r="E321">
        <v>0.94069999999999998</v>
      </c>
      <c r="F321">
        <v>10002953.82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0.69438521677327547</v>
      </c>
      <c r="Q321">
        <f t="shared" si="965"/>
        <v>6945903.2566737644</v>
      </c>
      <c r="R321">
        <f t="shared" si="966"/>
        <v>143356406.50502706</v>
      </c>
      <c r="S321">
        <f t="shared" si="967"/>
        <v>1433.5640650502705</v>
      </c>
      <c r="T321">
        <f t="shared" si="968"/>
        <v>1.4335640650502706</v>
      </c>
    </row>
    <row r="322" spans="1:20" x14ac:dyDescent="0.25">
      <c r="A322" s="5">
        <v>44271</v>
      </c>
      <c r="B322">
        <v>0.87660000000000005</v>
      </c>
      <c r="C322">
        <v>0.98499999999999999</v>
      </c>
      <c r="D322">
        <v>0.871</v>
      </c>
      <c r="E322">
        <v>0.92230000000000001</v>
      </c>
      <c r="F322">
        <v>20773517.100000001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-9.9999999999999714E-2</v>
      </c>
      <c r="Q322">
        <f t="shared" si="965"/>
        <v>-2077351.7099999941</v>
      </c>
      <c r="R322">
        <f t="shared" si="966"/>
        <v>136410503.2483533</v>
      </c>
      <c r="S322">
        <f t="shared" si="967"/>
        <v>1364.105032483533</v>
      </c>
      <c r="T322">
        <f t="shared" si="968"/>
        <v>1.3641050324835331</v>
      </c>
    </row>
    <row r="323" spans="1:20" x14ac:dyDescent="0.25">
      <c r="A323" s="5">
        <v>44270</v>
      </c>
      <c r="B323">
        <v>0.84460000000000002</v>
      </c>
      <c r="C323">
        <v>0.98760000000000003</v>
      </c>
      <c r="D323">
        <v>0.8397</v>
      </c>
      <c r="E323">
        <v>0.87580000000000002</v>
      </c>
      <c r="F323">
        <v>21302744.789999999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-0.51183231913455018</v>
      </c>
      <c r="Q323">
        <f t="shared" si="965"/>
        <v>-10903433.269797156</v>
      </c>
      <c r="R323">
        <f t="shared" si="966"/>
        <v>138487854.95835331</v>
      </c>
      <c r="S323">
        <f t="shared" si="967"/>
        <v>1384.8785495835332</v>
      </c>
      <c r="T323">
        <f t="shared" si="968"/>
        <v>1.3848785495835332</v>
      </c>
    </row>
    <row r="324" spans="1:20" x14ac:dyDescent="0.25">
      <c r="A324" s="5">
        <v>44269</v>
      </c>
      <c r="B324">
        <v>0.76870000000000005</v>
      </c>
      <c r="C324">
        <v>0.89</v>
      </c>
      <c r="D324">
        <v>0.74019999999999997</v>
      </c>
      <c r="E324">
        <v>0.84530000000000005</v>
      </c>
      <c r="F324">
        <v>17440732.280000001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0.40320427236315154</v>
      </c>
      <c r="Q324">
        <f t="shared" si="965"/>
        <v>7032177.7684379295</v>
      </c>
      <c r="R324">
        <f t="shared" si="966"/>
        <v>149391288.22815046</v>
      </c>
      <c r="S324">
        <f t="shared" si="967"/>
        <v>1493.9128822815046</v>
      </c>
      <c r="T324">
        <f t="shared" si="968"/>
        <v>1.4939128822815047</v>
      </c>
    </row>
    <row r="325" spans="1:20" x14ac:dyDescent="0.25">
      <c r="A325" s="5">
        <v>44268</v>
      </c>
      <c r="B325">
        <v>0.76559999999999995</v>
      </c>
      <c r="C325">
        <v>0.81230000000000002</v>
      </c>
      <c r="D325">
        <v>0.71660000000000001</v>
      </c>
      <c r="E325">
        <v>0.76780000000000004</v>
      </c>
      <c r="F325">
        <v>11871222.51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7.001044932079456E-2</v>
      </c>
      <c r="Q325">
        <f t="shared" si="965"/>
        <v>831109.62191223062</v>
      </c>
      <c r="R325">
        <f t="shared" si="966"/>
        <v>142359110.45971254</v>
      </c>
      <c r="S325">
        <f t="shared" si="967"/>
        <v>1423.5911045971254</v>
      </c>
      <c r="T325">
        <f t="shared" si="968"/>
        <v>1.4235911045971255</v>
      </c>
    </row>
    <row r="326" spans="1:20" x14ac:dyDescent="0.25">
      <c r="A326" s="5">
        <v>44267</v>
      </c>
      <c r="B326">
        <v>0.69389999999999996</v>
      </c>
      <c r="C326">
        <v>0.81100000000000005</v>
      </c>
      <c r="D326">
        <v>0.68840000000000001</v>
      </c>
      <c r="E326">
        <v>0.76339999999999997</v>
      </c>
      <c r="F326">
        <v>20527770.559999999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0.22349102773246216</v>
      </c>
      <c r="Q326">
        <f t="shared" ref="Q326:Q389" si="970">F326*P326</f>
        <v>4587772.5395105798</v>
      </c>
      <c r="R326">
        <f t="shared" ref="R326:R389" si="971">R327+Q326</f>
        <v>141528000.83780029</v>
      </c>
      <c r="S326">
        <f t="shared" ref="S326:S389" si="972">R326/100000</f>
        <v>1415.280008378003</v>
      </c>
      <c r="T326">
        <f t="shared" ref="T326:T389" si="973">S326/1000</f>
        <v>1.4152800083780031</v>
      </c>
    </row>
    <row r="327" spans="1:20" x14ac:dyDescent="0.25">
      <c r="A327" s="5">
        <v>44266</v>
      </c>
      <c r="B327">
        <v>0.69710000000000005</v>
      </c>
      <c r="C327">
        <v>0.7056</v>
      </c>
      <c r="D327">
        <v>0.65080000000000005</v>
      </c>
      <c r="E327">
        <v>0.69469999999999998</v>
      </c>
      <c r="F327">
        <v>5028898.38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0.6021897810218968</v>
      </c>
      <c r="Q327">
        <f t="shared" si="970"/>
        <v>3028351.2142335717</v>
      </c>
      <c r="R327">
        <f t="shared" si="971"/>
        <v>136940228.29828972</v>
      </c>
      <c r="S327">
        <f t="shared" si="972"/>
        <v>1369.4022829828971</v>
      </c>
      <c r="T327">
        <f t="shared" si="973"/>
        <v>1.3694022829828971</v>
      </c>
    </row>
    <row r="328" spans="1:20" x14ac:dyDescent="0.25">
      <c r="A328" s="5">
        <v>44265</v>
      </c>
      <c r="B328">
        <v>0.73619999999999997</v>
      </c>
      <c r="C328">
        <v>0.73899999999999999</v>
      </c>
      <c r="D328">
        <v>0.66820000000000002</v>
      </c>
      <c r="E328">
        <v>0.69710000000000005</v>
      </c>
      <c r="F328">
        <v>6273760.96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-0.18361581920903822</v>
      </c>
      <c r="Q328">
        <f t="shared" si="970"/>
        <v>-1151961.7581920819</v>
      </c>
      <c r="R328">
        <f t="shared" si="971"/>
        <v>133911877.08405615</v>
      </c>
      <c r="S328">
        <f t="shared" si="972"/>
        <v>1339.1187708405616</v>
      </c>
      <c r="T328">
        <f t="shared" si="973"/>
        <v>1.3391187708405616</v>
      </c>
    </row>
    <row r="329" spans="1:20" x14ac:dyDescent="0.25">
      <c r="A329" s="5">
        <v>44264</v>
      </c>
      <c r="B329">
        <v>0.69140000000000001</v>
      </c>
      <c r="C329">
        <v>0.746</v>
      </c>
      <c r="D329">
        <v>0.67979999999999996</v>
      </c>
      <c r="E329">
        <v>0.73599999999999999</v>
      </c>
      <c r="F329">
        <v>11033251.369999999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0.69788519637462221</v>
      </c>
      <c r="Q329">
        <f t="shared" si="970"/>
        <v>7699942.799003019</v>
      </c>
      <c r="R329">
        <f t="shared" si="971"/>
        <v>135063838.84224823</v>
      </c>
      <c r="S329">
        <f t="shared" si="972"/>
        <v>1350.6383884224824</v>
      </c>
      <c r="T329">
        <f t="shared" si="973"/>
        <v>1.3506383884224824</v>
      </c>
    </row>
    <row r="330" spans="1:20" x14ac:dyDescent="0.25">
      <c r="A330" s="5">
        <v>44263</v>
      </c>
      <c r="B330">
        <v>0.6946</v>
      </c>
      <c r="C330">
        <v>0.69869999999999999</v>
      </c>
      <c r="D330">
        <v>0.65629999999999999</v>
      </c>
      <c r="E330">
        <v>0.6905</v>
      </c>
      <c r="F330">
        <v>4204924.6900000004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0.61320754716981196</v>
      </c>
      <c r="Q330">
        <f t="shared" si="970"/>
        <v>2578491.5551886824</v>
      </c>
      <c r="R330">
        <f t="shared" si="971"/>
        <v>127363896.04324521</v>
      </c>
      <c r="S330">
        <f t="shared" si="972"/>
        <v>1273.6389604324522</v>
      </c>
      <c r="T330">
        <f t="shared" si="973"/>
        <v>1.2736389604324523</v>
      </c>
    </row>
    <row r="331" spans="1:20" x14ac:dyDescent="0.25">
      <c r="A331" s="5">
        <v>44262</v>
      </c>
      <c r="B331">
        <v>0.68279999999999996</v>
      </c>
      <c r="C331">
        <v>0.69820000000000004</v>
      </c>
      <c r="D331">
        <v>0.6704</v>
      </c>
      <c r="E331">
        <v>0.69350000000000001</v>
      </c>
      <c r="F331">
        <v>3741942.86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0.66187050359712019</v>
      </c>
      <c r="Q331">
        <f t="shared" si="970"/>
        <v>2476681.6051798481</v>
      </c>
      <c r="R331">
        <f t="shared" si="971"/>
        <v>124785404.48805653</v>
      </c>
      <c r="S331">
        <f t="shared" si="972"/>
        <v>1247.8540448805652</v>
      </c>
      <c r="T331">
        <f t="shared" si="973"/>
        <v>1.2478540448805653</v>
      </c>
    </row>
    <row r="332" spans="1:20" x14ac:dyDescent="0.25">
      <c r="A332" s="5">
        <v>44261</v>
      </c>
      <c r="B332">
        <v>0.65459999999999996</v>
      </c>
      <c r="C332">
        <v>0.69669999999999999</v>
      </c>
      <c r="D332">
        <v>0.63859999999999995</v>
      </c>
      <c r="E332">
        <v>0.68230000000000002</v>
      </c>
      <c r="F332">
        <v>6046195.9699999997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0.50430292598967441</v>
      </c>
      <c r="Q332">
        <f t="shared" si="970"/>
        <v>3049114.3187779775</v>
      </c>
      <c r="R332">
        <f t="shared" si="971"/>
        <v>122308722.88287668</v>
      </c>
      <c r="S332">
        <f t="shared" si="972"/>
        <v>1223.0872288287667</v>
      </c>
      <c r="T332">
        <f t="shared" si="973"/>
        <v>1.2230872288287666</v>
      </c>
    </row>
    <row r="333" spans="1:20" x14ac:dyDescent="0.25">
      <c r="A333" s="5">
        <v>44260</v>
      </c>
      <c r="B333">
        <v>0.66479999999999995</v>
      </c>
      <c r="C333">
        <v>0.66479999999999995</v>
      </c>
      <c r="D333">
        <v>0.61270000000000002</v>
      </c>
      <c r="E333">
        <v>0.65329999999999999</v>
      </c>
      <c r="F333">
        <v>4148427.16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0.55854126679462679</v>
      </c>
      <c r="Q333">
        <f t="shared" si="970"/>
        <v>2317067.761151636</v>
      </c>
      <c r="R333">
        <f t="shared" si="971"/>
        <v>119259608.5640987</v>
      </c>
      <c r="S333">
        <f t="shared" si="972"/>
        <v>1192.596085640987</v>
      </c>
      <c r="T333">
        <f t="shared" si="973"/>
        <v>1.192596085640987</v>
      </c>
    </row>
    <row r="334" spans="1:20" x14ac:dyDescent="0.25">
      <c r="A334" s="5">
        <v>44259</v>
      </c>
      <c r="B334">
        <v>0.68989999999999996</v>
      </c>
      <c r="C334">
        <v>0.69899999999999995</v>
      </c>
      <c r="D334">
        <v>0.62890000000000001</v>
      </c>
      <c r="E334">
        <v>0.66679999999999995</v>
      </c>
      <c r="F334">
        <v>10133367.25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8.1312410841653818E-2</v>
      </c>
      <c r="Q334">
        <f t="shared" si="970"/>
        <v>823968.52104135975</v>
      </c>
      <c r="R334">
        <f t="shared" si="971"/>
        <v>116942540.80294706</v>
      </c>
      <c r="S334">
        <f t="shared" si="972"/>
        <v>1169.4254080294706</v>
      </c>
      <c r="T334">
        <f t="shared" si="973"/>
        <v>1.1694254080294706</v>
      </c>
    </row>
    <row r="335" spans="1:20" x14ac:dyDescent="0.25">
      <c r="A335" s="5">
        <v>44258</v>
      </c>
      <c r="B335">
        <v>0.64429999999999998</v>
      </c>
      <c r="C335">
        <v>0.70720000000000005</v>
      </c>
      <c r="D335">
        <v>0.63339999999999996</v>
      </c>
      <c r="E335">
        <v>0.68989999999999996</v>
      </c>
      <c r="F335">
        <v>6904006.7300000004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0.53116531165311454</v>
      </c>
      <c r="Q335">
        <f t="shared" si="970"/>
        <v>3667168.8863956505</v>
      </c>
      <c r="R335">
        <f t="shared" si="971"/>
        <v>116118572.2819057</v>
      </c>
      <c r="S335">
        <f t="shared" si="972"/>
        <v>1161.185722819057</v>
      </c>
      <c r="T335">
        <f t="shared" si="973"/>
        <v>1.161185722819057</v>
      </c>
    </row>
    <row r="336" spans="1:20" x14ac:dyDescent="0.25">
      <c r="A336" s="5">
        <v>44257</v>
      </c>
      <c r="B336">
        <v>0.67190000000000005</v>
      </c>
      <c r="C336">
        <v>0.6724</v>
      </c>
      <c r="D336">
        <v>0.60329999999999995</v>
      </c>
      <c r="E336">
        <v>0.64470000000000005</v>
      </c>
      <c r="F336">
        <v>7644906.4199999999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0.19826338639652891</v>
      </c>
      <c r="Q336">
        <f t="shared" si="970"/>
        <v>1515705.0355137645</v>
      </c>
      <c r="R336">
        <f t="shared" si="971"/>
        <v>112451403.39551005</v>
      </c>
      <c r="S336">
        <f t="shared" si="972"/>
        <v>1124.5140339551006</v>
      </c>
      <c r="T336">
        <f t="shared" si="973"/>
        <v>1.1245140339551005</v>
      </c>
    </row>
    <row r="337" spans="1:20" x14ac:dyDescent="0.25">
      <c r="A337" s="5">
        <v>44256</v>
      </c>
      <c r="B337">
        <v>0.6431</v>
      </c>
      <c r="C337">
        <v>0.67200000000000004</v>
      </c>
      <c r="D337">
        <v>0.61609999999999998</v>
      </c>
      <c r="E337">
        <v>0.67190000000000005</v>
      </c>
      <c r="F337">
        <v>7695210.2599999998</v>
      </c>
      <c r="G337">
        <v>0</v>
      </c>
      <c r="L337" t="s">
        <v>7</v>
      </c>
      <c r="M337" t="s">
        <v>8</v>
      </c>
      <c r="N337" t="s">
        <v>8</v>
      </c>
      <c r="P337">
        <f t="shared" si="969"/>
        <v>0.99642218246869452</v>
      </c>
      <c r="Q337">
        <f t="shared" si="970"/>
        <v>7667678.2018246902</v>
      </c>
      <c r="R337">
        <f t="shared" si="971"/>
        <v>110935698.35999629</v>
      </c>
      <c r="S337">
        <f t="shared" si="972"/>
        <v>1109.3569835999629</v>
      </c>
      <c r="T337">
        <f t="shared" si="973"/>
        <v>1.1093569835999628</v>
      </c>
    </row>
    <row r="338" spans="1:20" x14ac:dyDescent="0.25">
      <c r="A338" s="5">
        <v>44255</v>
      </c>
      <c r="B338">
        <v>0.63449999999999995</v>
      </c>
      <c r="C338">
        <v>0.72919999999999996</v>
      </c>
      <c r="D338">
        <v>0.60950000000000004</v>
      </c>
      <c r="E338">
        <v>0.6431</v>
      </c>
      <c r="F338">
        <v>23717960.48</v>
      </c>
      <c r="G338">
        <v>0</v>
      </c>
      <c r="L338" t="s">
        <v>8</v>
      </c>
      <c r="M338" t="s">
        <v>8</v>
      </c>
      <c r="N338" t="s">
        <v>8</v>
      </c>
      <c r="P338">
        <f t="shared" si="969"/>
        <v>-0.43859649122807043</v>
      </c>
      <c r="Q338">
        <f t="shared" si="970"/>
        <v>-10402614.245614041</v>
      </c>
      <c r="R338">
        <f t="shared" si="971"/>
        <v>103268020.15817159</v>
      </c>
      <c r="S338">
        <f t="shared" si="972"/>
        <v>1032.6802015817159</v>
      </c>
      <c r="T338">
        <f t="shared" si="973"/>
        <v>1.0326802015817158</v>
      </c>
    </row>
    <row r="339" spans="1:20" x14ac:dyDescent="0.25">
      <c r="A339" s="5">
        <v>44254</v>
      </c>
      <c r="B339">
        <v>0.58169999999999999</v>
      </c>
      <c r="C339">
        <v>0.67889999999999995</v>
      </c>
      <c r="D339">
        <v>0.57289999999999996</v>
      </c>
      <c r="E339">
        <v>0.63739999999999997</v>
      </c>
      <c r="F339">
        <v>8756190.8599999994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0.21698113207547193</v>
      </c>
      <c r="Q339">
        <f t="shared" si="970"/>
        <v>1899928.2054717001</v>
      </c>
      <c r="R339">
        <f t="shared" si="971"/>
        <v>113670634.40378563</v>
      </c>
      <c r="S339">
        <f t="shared" si="972"/>
        <v>1136.7063440378563</v>
      </c>
      <c r="T339">
        <f t="shared" si="973"/>
        <v>1.1367063440378562</v>
      </c>
    </row>
    <row r="340" spans="1:20" x14ac:dyDescent="0.25">
      <c r="A340" s="5">
        <v>44253</v>
      </c>
      <c r="B340">
        <v>0.57289999999999996</v>
      </c>
      <c r="C340">
        <v>0.60489999999999999</v>
      </c>
      <c r="D340">
        <v>0.53400000000000003</v>
      </c>
      <c r="E340">
        <v>0.58169999999999999</v>
      </c>
      <c r="F340">
        <v>4008918.3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0.34555712270803918</v>
      </c>
      <c r="Q340">
        <f t="shared" si="970"/>
        <v>1385310.2729196039</v>
      </c>
      <c r="R340">
        <f t="shared" si="971"/>
        <v>111770706.19831394</v>
      </c>
      <c r="S340">
        <f t="shared" si="972"/>
        <v>1117.7070619831393</v>
      </c>
      <c r="T340">
        <f t="shared" si="973"/>
        <v>1.1177070619831393</v>
      </c>
    </row>
    <row r="341" spans="1:20" x14ac:dyDescent="0.25">
      <c r="A341" s="5">
        <v>44252</v>
      </c>
      <c r="B341">
        <v>0.59399999999999997</v>
      </c>
      <c r="C341">
        <v>0.66469999999999996</v>
      </c>
      <c r="D341">
        <v>0.56740000000000002</v>
      </c>
      <c r="E341">
        <v>0.57279999999999998</v>
      </c>
      <c r="F341">
        <v>7573243.6500000004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-0.88900308324768829</v>
      </c>
      <c r="Q341">
        <f t="shared" si="970"/>
        <v>-6732636.9550359771</v>
      </c>
      <c r="R341">
        <f t="shared" si="971"/>
        <v>110385395.92539433</v>
      </c>
      <c r="S341">
        <f t="shared" si="972"/>
        <v>1103.8539592539432</v>
      </c>
      <c r="T341">
        <f t="shared" si="973"/>
        <v>1.1038539592539431</v>
      </c>
    </row>
    <row r="342" spans="1:20" x14ac:dyDescent="0.25">
      <c r="A342" s="5">
        <v>44251</v>
      </c>
      <c r="B342">
        <v>0.55989999999999995</v>
      </c>
      <c r="C342">
        <v>0.66900000000000004</v>
      </c>
      <c r="D342">
        <v>0.5212</v>
      </c>
      <c r="E342">
        <v>0.59489999999999998</v>
      </c>
      <c r="F342">
        <v>11320472.789999999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-2.7063599458732536E-3</v>
      </c>
      <c r="Q342">
        <f t="shared" si="970"/>
        <v>-30637.274127204037</v>
      </c>
      <c r="R342">
        <f t="shared" si="971"/>
        <v>117118032.8804303</v>
      </c>
      <c r="S342">
        <f t="shared" si="972"/>
        <v>1171.1803288043029</v>
      </c>
      <c r="T342">
        <f t="shared" si="973"/>
        <v>1.171180328804303</v>
      </c>
    </row>
    <row r="343" spans="1:20" x14ac:dyDescent="0.25">
      <c r="A343" s="5">
        <v>44250</v>
      </c>
      <c r="B343">
        <v>0.73460000000000003</v>
      </c>
      <c r="C343">
        <v>0.74180000000000001</v>
      </c>
      <c r="D343">
        <v>0.4501</v>
      </c>
      <c r="E343">
        <v>0.56100000000000005</v>
      </c>
      <c r="F343">
        <v>24329992.43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-0.23962975659924546</v>
      </c>
      <c r="Q343">
        <f t="shared" si="970"/>
        <v>-5830190.1640623845</v>
      </c>
      <c r="R343">
        <f t="shared" si="971"/>
        <v>117148670.1545575</v>
      </c>
      <c r="S343">
        <f t="shared" si="972"/>
        <v>1171.486701545575</v>
      </c>
      <c r="T343">
        <f t="shared" si="973"/>
        <v>1.171486701545575</v>
      </c>
    </row>
    <row r="344" spans="1:20" x14ac:dyDescent="0.25">
      <c r="A344" s="5">
        <v>44249</v>
      </c>
      <c r="B344">
        <v>0.84360000000000002</v>
      </c>
      <c r="C344">
        <v>0.84740000000000004</v>
      </c>
      <c r="D344">
        <v>0.62309999999999999</v>
      </c>
      <c r="E344">
        <v>0.73299999999999998</v>
      </c>
      <c r="F344">
        <v>11470156.42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-2.0062416406598567E-2</v>
      </c>
      <c r="Q344">
        <f t="shared" si="970"/>
        <v>-230119.05434685989</v>
      </c>
      <c r="R344">
        <f t="shared" si="971"/>
        <v>122978860.31861988</v>
      </c>
      <c r="S344">
        <f t="shared" si="972"/>
        <v>1229.7886031861988</v>
      </c>
      <c r="T344">
        <f t="shared" si="973"/>
        <v>1.2297886031861989</v>
      </c>
    </row>
    <row r="345" spans="1:20" x14ac:dyDescent="0.25">
      <c r="A345" s="5">
        <v>44248</v>
      </c>
      <c r="B345">
        <v>0.79349999999999998</v>
      </c>
      <c r="C345">
        <v>0.91920000000000002</v>
      </c>
      <c r="D345">
        <v>0.76849999999999996</v>
      </c>
      <c r="E345">
        <v>0.8427</v>
      </c>
      <c r="F345">
        <v>10833963.310000001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-1.5262110152620889E-2</v>
      </c>
      <c r="Q345">
        <f t="shared" si="970"/>
        <v>-165349.14142667322</v>
      </c>
      <c r="R345">
        <f t="shared" si="971"/>
        <v>123208979.37296674</v>
      </c>
      <c r="S345">
        <f t="shared" si="972"/>
        <v>1232.0897937296675</v>
      </c>
      <c r="T345">
        <f t="shared" si="973"/>
        <v>1.2320897937296675</v>
      </c>
    </row>
    <row r="346" spans="1:20" x14ac:dyDescent="0.25">
      <c r="A346" s="5">
        <v>44247</v>
      </c>
      <c r="B346">
        <v>0.8448</v>
      </c>
      <c r="C346">
        <v>0.90780000000000005</v>
      </c>
      <c r="D346">
        <v>0.74670000000000003</v>
      </c>
      <c r="E346">
        <v>0.79479999999999995</v>
      </c>
      <c r="F346">
        <v>13212159.67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-0.40285536933581734</v>
      </c>
      <c r="Q346">
        <f t="shared" si="970"/>
        <v>-5322589.4635816403</v>
      </c>
      <c r="R346">
        <f t="shared" si="971"/>
        <v>123374328.5143934</v>
      </c>
      <c r="S346">
        <f t="shared" si="972"/>
        <v>1233.7432851439341</v>
      </c>
      <c r="T346">
        <f t="shared" si="973"/>
        <v>1.2337432851439341</v>
      </c>
    </row>
    <row r="347" spans="1:20" x14ac:dyDescent="0.25">
      <c r="A347" s="5">
        <v>44246</v>
      </c>
      <c r="B347">
        <v>0.80410000000000004</v>
      </c>
      <c r="C347">
        <v>0.89239999999999997</v>
      </c>
      <c r="D347">
        <v>0.74</v>
      </c>
      <c r="E347">
        <v>0.84399999999999997</v>
      </c>
      <c r="F347">
        <v>12169953.09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0.36482939632545924</v>
      </c>
      <c r="Q347">
        <f t="shared" si="970"/>
        <v>4439956.6391338576</v>
      </c>
      <c r="R347">
        <f t="shared" si="971"/>
        <v>128696917.97797504</v>
      </c>
      <c r="S347">
        <f t="shared" si="972"/>
        <v>1286.9691797797504</v>
      </c>
      <c r="T347">
        <f t="shared" si="973"/>
        <v>1.2869691797797504</v>
      </c>
    </row>
    <row r="348" spans="1:20" x14ac:dyDescent="0.25">
      <c r="A348" s="5">
        <v>44245</v>
      </c>
      <c r="B348">
        <v>0.78339999999999999</v>
      </c>
      <c r="C348">
        <v>0.82230000000000003</v>
      </c>
      <c r="D348">
        <v>0.75939999999999996</v>
      </c>
      <c r="E348">
        <v>0.80589999999999995</v>
      </c>
      <c r="F348">
        <v>5640421.5099999998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0.47853736089030002</v>
      </c>
      <c r="Q348">
        <f t="shared" si="970"/>
        <v>2699152.423704281</v>
      </c>
      <c r="R348">
        <f t="shared" si="971"/>
        <v>124256961.33884118</v>
      </c>
      <c r="S348">
        <f t="shared" si="972"/>
        <v>1242.5696133884119</v>
      </c>
      <c r="T348">
        <f t="shared" si="973"/>
        <v>1.2425696133884119</v>
      </c>
    </row>
    <row r="349" spans="1:20" x14ac:dyDescent="0.25">
      <c r="A349" s="5">
        <v>44244</v>
      </c>
      <c r="B349">
        <v>0.78879999999999995</v>
      </c>
      <c r="C349">
        <v>0.81910000000000005</v>
      </c>
      <c r="D349">
        <v>0.71209999999999996</v>
      </c>
      <c r="E349">
        <v>0.78210000000000002</v>
      </c>
      <c r="F349">
        <v>9789021.9700000007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0.30841121495327101</v>
      </c>
      <c r="Q349">
        <f t="shared" si="970"/>
        <v>3019044.1589719625</v>
      </c>
      <c r="R349">
        <f t="shared" si="971"/>
        <v>121557808.9151369</v>
      </c>
      <c r="S349">
        <f t="shared" si="972"/>
        <v>1215.5780891513691</v>
      </c>
      <c r="T349">
        <f t="shared" si="973"/>
        <v>1.2155780891513692</v>
      </c>
    </row>
    <row r="350" spans="1:20" x14ac:dyDescent="0.25">
      <c r="A350" s="5">
        <v>44243</v>
      </c>
      <c r="B350">
        <v>0.8266</v>
      </c>
      <c r="C350">
        <v>0.84</v>
      </c>
      <c r="D350">
        <v>0.75</v>
      </c>
      <c r="E350">
        <v>0.78939999999999999</v>
      </c>
      <c r="F350">
        <v>6943514.9299999997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-0.12444444444444436</v>
      </c>
      <c r="Q350">
        <f t="shared" si="970"/>
        <v>-864081.85795555497</v>
      </c>
      <c r="R350">
        <f t="shared" si="971"/>
        <v>118538764.75616494</v>
      </c>
      <c r="S350">
        <f t="shared" si="972"/>
        <v>1185.3876475616494</v>
      </c>
      <c r="T350">
        <f t="shared" si="973"/>
        <v>1.1853876475616494</v>
      </c>
    </row>
    <row r="351" spans="1:20" x14ac:dyDescent="0.25">
      <c r="A351" s="5">
        <v>44242</v>
      </c>
      <c r="B351">
        <v>0.9143</v>
      </c>
      <c r="C351">
        <v>0.91920000000000002</v>
      </c>
      <c r="D351">
        <v>0.6905</v>
      </c>
      <c r="E351">
        <v>0.82530000000000003</v>
      </c>
      <c r="F351">
        <v>19681139.620000001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0.17883690424136442</v>
      </c>
      <c r="Q351">
        <f t="shared" si="970"/>
        <v>3519714.0815828633</v>
      </c>
      <c r="R351">
        <f t="shared" si="971"/>
        <v>119402846.6141205</v>
      </c>
      <c r="S351">
        <f t="shared" si="972"/>
        <v>1194.0284661412049</v>
      </c>
      <c r="T351">
        <f t="shared" si="973"/>
        <v>1.1940284661412048</v>
      </c>
    </row>
    <row r="352" spans="1:20" x14ac:dyDescent="0.25">
      <c r="A352" s="5">
        <v>44241</v>
      </c>
      <c r="B352">
        <v>0.77290000000000003</v>
      </c>
      <c r="C352">
        <v>0.92769999999999997</v>
      </c>
      <c r="D352">
        <v>0.73560000000000003</v>
      </c>
      <c r="E352">
        <v>0.91410000000000002</v>
      </c>
      <c r="F352">
        <v>26500566.739999998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0.85840707964601826</v>
      </c>
      <c r="Q352">
        <f t="shared" si="970"/>
        <v>22748274.104247801</v>
      </c>
      <c r="R352">
        <f t="shared" si="971"/>
        <v>115883132.53253764</v>
      </c>
      <c r="S352">
        <f t="shared" si="972"/>
        <v>1158.8313253253764</v>
      </c>
      <c r="T352">
        <f t="shared" si="973"/>
        <v>1.1588313253253764</v>
      </c>
    </row>
    <row r="353" spans="1:20" x14ac:dyDescent="0.25">
      <c r="A353" s="5">
        <v>44240</v>
      </c>
      <c r="B353">
        <v>0.74760000000000004</v>
      </c>
      <c r="C353">
        <v>0.84740000000000004</v>
      </c>
      <c r="D353">
        <v>0.68430000000000002</v>
      </c>
      <c r="E353">
        <v>0.77290000000000003</v>
      </c>
      <c r="F353">
        <v>16901108.27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8.6450030656039234E-2</v>
      </c>
      <c r="Q353">
        <f t="shared" si="970"/>
        <v>1461101.3280625383</v>
      </c>
      <c r="R353">
        <f t="shared" si="971"/>
        <v>93134858.428289846</v>
      </c>
      <c r="S353">
        <f t="shared" si="972"/>
        <v>931.3485842828984</v>
      </c>
      <c r="T353">
        <f t="shared" si="973"/>
        <v>0.93134858428289835</v>
      </c>
    </row>
    <row r="354" spans="1:20" x14ac:dyDescent="0.25">
      <c r="A354" s="5">
        <v>44239</v>
      </c>
      <c r="B354">
        <v>0.69059999999999999</v>
      </c>
      <c r="C354">
        <v>0.77410000000000001</v>
      </c>
      <c r="D354">
        <v>0.65290000000000004</v>
      </c>
      <c r="E354">
        <v>0.74529999999999996</v>
      </c>
      <c r="F354">
        <v>12522790.91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0.52475247524752389</v>
      </c>
      <c r="Q354">
        <f t="shared" si="970"/>
        <v>6571365.5270296922</v>
      </c>
      <c r="R354">
        <f t="shared" si="971"/>
        <v>91673757.100227311</v>
      </c>
      <c r="S354">
        <f t="shared" si="972"/>
        <v>916.73757100227306</v>
      </c>
      <c r="T354">
        <f t="shared" si="973"/>
        <v>0.91673757100227304</v>
      </c>
    </row>
    <row r="355" spans="1:20" x14ac:dyDescent="0.25">
      <c r="A355" s="5">
        <v>44238</v>
      </c>
      <c r="B355">
        <v>0.60060000000000002</v>
      </c>
      <c r="C355">
        <v>0.74750000000000005</v>
      </c>
      <c r="D355">
        <v>0.58150000000000002</v>
      </c>
      <c r="E355">
        <v>0.68940000000000001</v>
      </c>
      <c r="F355">
        <v>17854077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0.29999999999999966</v>
      </c>
      <c r="Q355">
        <f t="shared" si="970"/>
        <v>5356223.099999994</v>
      </c>
      <c r="R355">
        <f t="shared" si="971"/>
        <v>85102391.573197618</v>
      </c>
      <c r="S355">
        <f t="shared" si="972"/>
        <v>851.02391573197622</v>
      </c>
      <c r="T355">
        <f t="shared" si="973"/>
        <v>0.85102391573197622</v>
      </c>
    </row>
    <row r="356" spans="1:20" x14ac:dyDescent="0.25">
      <c r="A356" s="5">
        <v>44237</v>
      </c>
      <c r="B356">
        <v>0.62450000000000006</v>
      </c>
      <c r="C356">
        <v>0.65</v>
      </c>
      <c r="D356">
        <v>0.53500000000000003</v>
      </c>
      <c r="E356">
        <v>0.60019999999999996</v>
      </c>
      <c r="F356">
        <v>13236042.949999999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0.13391304347825964</v>
      </c>
      <c r="Q356">
        <f t="shared" si="970"/>
        <v>1772478.7950434617</v>
      </c>
      <c r="R356">
        <f t="shared" si="971"/>
        <v>79746168.473197624</v>
      </c>
      <c r="S356">
        <f t="shared" si="972"/>
        <v>797.46168473197622</v>
      </c>
      <c r="T356">
        <f t="shared" si="973"/>
        <v>0.79746168473197621</v>
      </c>
    </row>
    <row r="357" spans="1:20" x14ac:dyDescent="0.25">
      <c r="A357" s="5">
        <v>44236</v>
      </c>
      <c r="B357">
        <v>0.52600000000000002</v>
      </c>
      <c r="C357">
        <v>0.62560000000000004</v>
      </c>
      <c r="D357">
        <v>0.51890000000000003</v>
      </c>
      <c r="E357">
        <v>0.624</v>
      </c>
      <c r="F357">
        <v>16240303.08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0.97000937207122684</v>
      </c>
      <c r="Q357">
        <f t="shared" si="970"/>
        <v>15753246.192877211</v>
      </c>
      <c r="R357">
        <f t="shared" si="971"/>
        <v>77973689.678154156</v>
      </c>
      <c r="S357">
        <f t="shared" si="972"/>
        <v>779.73689678154153</v>
      </c>
      <c r="T357">
        <f t="shared" si="973"/>
        <v>0.77973689678154157</v>
      </c>
    </row>
    <row r="358" spans="1:20" x14ac:dyDescent="0.25">
      <c r="A358" s="5">
        <v>44235</v>
      </c>
      <c r="B358">
        <v>0.52529999999999999</v>
      </c>
      <c r="C358">
        <v>0.54610000000000003</v>
      </c>
      <c r="D358">
        <v>0.50519999999999998</v>
      </c>
      <c r="E358">
        <v>0.52600000000000002</v>
      </c>
      <c r="F358">
        <v>8850884.0399999991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1.7114914425428684E-2</v>
      </c>
      <c r="Q358">
        <f t="shared" si="970"/>
        <v>151482.1229339925</v>
      </c>
      <c r="R358">
        <f t="shared" si="971"/>
        <v>62220443.485276945</v>
      </c>
      <c r="S358">
        <f t="shared" si="972"/>
        <v>622.2044348527694</v>
      </c>
      <c r="T358">
        <f t="shared" si="973"/>
        <v>0.62220443485276944</v>
      </c>
    </row>
    <row r="359" spans="1:20" x14ac:dyDescent="0.25">
      <c r="A359" s="5">
        <v>44234</v>
      </c>
      <c r="B359">
        <v>0.50529999999999997</v>
      </c>
      <c r="C359">
        <v>0.52700000000000002</v>
      </c>
      <c r="D359">
        <v>0.46150000000000002</v>
      </c>
      <c r="E359">
        <v>0.52470000000000006</v>
      </c>
      <c r="F359">
        <v>11361897.82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0.92977099236641314</v>
      </c>
      <c r="Q359">
        <f t="shared" si="970"/>
        <v>10563963.011267187</v>
      </c>
      <c r="R359">
        <f t="shared" si="971"/>
        <v>62068961.362342954</v>
      </c>
      <c r="S359">
        <f t="shared" si="972"/>
        <v>620.68961362342952</v>
      </c>
      <c r="T359">
        <f t="shared" si="973"/>
        <v>0.62068961362342956</v>
      </c>
    </row>
    <row r="360" spans="1:20" x14ac:dyDescent="0.25">
      <c r="A360" s="5">
        <v>44233</v>
      </c>
      <c r="B360">
        <v>0.53410000000000002</v>
      </c>
      <c r="C360">
        <v>0.56489999999999996</v>
      </c>
      <c r="D360">
        <v>0.47499999999999998</v>
      </c>
      <c r="E360">
        <v>0.505</v>
      </c>
      <c r="F360">
        <v>15550428.039999999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-0.33259176863181239</v>
      </c>
      <c r="Q360">
        <f t="shared" si="970"/>
        <v>-5171944.3648053277</v>
      </c>
      <c r="R360">
        <f t="shared" si="971"/>
        <v>51504998.351075768</v>
      </c>
      <c r="S360">
        <f t="shared" si="972"/>
        <v>515.04998351075767</v>
      </c>
      <c r="T360">
        <f t="shared" si="973"/>
        <v>0.5150499835107577</v>
      </c>
    </row>
    <row r="361" spans="1:20" x14ac:dyDescent="0.25">
      <c r="A361" s="5">
        <v>44232</v>
      </c>
      <c r="B361">
        <v>0.46429999999999999</v>
      </c>
      <c r="C361">
        <v>0.55000000000000004</v>
      </c>
      <c r="D361">
        <v>0.45900000000000002</v>
      </c>
      <c r="E361">
        <v>0.53400000000000003</v>
      </c>
      <c r="F361">
        <v>20052968.59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0.64835164835164816</v>
      </c>
      <c r="Q361">
        <f t="shared" si="970"/>
        <v>13001375.239670325</v>
      </c>
      <c r="R361">
        <f t="shared" si="971"/>
        <v>56676942.715881094</v>
      </c>
      <c r="S361">
        <f t="shared" si="972"/>
        <v>566.76942715881091</v>
      </c>
      <c r="T361">
        <f t="shared" si="973"/>
        <v>0.56676942715881096</v>
      </c>
    </row>
    <row r="362" spans="1:20" x14ac:dyDescent="0.25">
      <c r="A362" s="5">
        <v>44231</v>
      </c>
      <c r="B362">
        <v>0.47260000000000002</v>
      </c>
      <c r="C362">
        <v>0.4854</v>
      </c>
      <c r="D362">
        <v>0.42170000000000002</v>
      </c>
      <c r="E362">
        <v>0.46350000000000002</v>
      </c>
      <c r="F362">
        <v>10183999.779999999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0.31240188383045581</v>
      </c>
      <c r="Q362">
        <f t="shared" si="970"/>
        <v>3181500.7162009473</v>
      </c>
      <c r="R362">
        <f t="shared" si="971"/>
        <v>43675567.476210766</v>
      </c>
      <c r="S362">
        <f t="shared" si="972"/>
        <v>436.75567476210767</v>
      </c>
      <c r="T362">
        <f t="shared" si="973"/>
        <v>0.43675567476210769</v>
      </c>
    </row>
    <row r="363" spans="1:20" x14ac:dyDescent="0.25">
      <c r="A363" s="5">
        <v>44230</v>
      </c>
      <c r="B363">
        <v>0.44840000000000002</v>
      </c>
      <c r="C363">
        <v>0.49059999999999998</v>
      </c>
      <c r="D363">
        <v>0.44769999999999999</v>
      </c>
      <c r="E363">
        <v>0.4718</v>
      </c>
      <c r="F363">
        <v>8193421.4100000001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0.12354312354312419</v>
      </c>
      <c r="Q363">
        <f t="shared" si="970"/>
        <v>1012240.8734965088</v>
      </c>
      <c r="R363">
        <f t="shared" si="971"/>
        <v>40494066.760009818</v>
      </c>
      <c r="S363">
        <f t="shared" si="972"/>
        <v>404.94066760009815</v>
      </c>
      <c r="T363">
        <f t="shared" si="973"/>
        <v>0.40494066760009817</v>
      </c>
    </row>
    <row r="364" spans="1:20" x14ac:dyDescent="0.25">
      <c r="A364" s="5">
        <v>44229</v>
      </c>
      <c r="B364">
        <v>0.44679999999999997</v>
      </c>
      <c r="C364">
        <v>0.45889999999999997</v>
      </c>
      <c r="D364">
        <v>0.43159999999999998</v>
      </c>
      <c r="E364">
        <v>0.44719999999999999</v>
      </c>
      <c r="F364">
        <v>10635790.27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0.14285714285714343</v>
      </c>
      <c r="Q364">
        <f t="shared" si="970"/>
        <v>1519398.6100000062</v>
      </c>
      <c r="R364">
        <f t="shared" si="971"/>
        <v>39481825.886513308</v>
      </c>
      <c r="S364">
        <f t="shared" si="972"/>
        <v>394.81825886513309</v>
      </c>
      <c r="T364">
        <f t="shared" si="973"/>
        <v>0.39481825886513311</v>
      </c>
    </row>
    <row r="365" spans="1:20" x14ac:dyDescent="0.25">
      <c r="A365" s="5">
        <v>44228</v>
      </c>
      <c r="B365">
        <v>0.42949999999999999</v>
      </c>
      <c r="C365">
        <v>0.45800000000000002</v>
      </c>
      <c r="D365">
        <v>0.41160000000000002</v>
      </c>
      <c r="E365">
        <v>0.44690000000000002</v>
      </c>
      <c r="F365">
        <v>10971021.390000001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0.52155172413793105</v>
      </c>
      <c r="Q365">
        <f t="shared" si="970"/>
        <v>5721955.1215086216</v>
      </c>
      <c r="R365">
        <f t="shared" si="971"/>
        <v>37962427.276513301</v>
      </c>
      <c r="S365">
        <f t="shared" si="972"/>
        <v>379.62427276513301</v>
      </c>
      <c r="T365">
        <f t="shared" si="973"/>
        <v>0.379624272765133</v>
      </c>
    </row>
    <row r="366" spans="1:20" x14ac:dyDescent="0.25">
      <c r="A366" s="5">
        <v>44227</v>
      </c>
      <c r="B366">
        <v>0.4325</v>
      </c>
      <c r="C366">
        <v>0.46960000000000002</v>
      </c>
      <c r="D366">
        <v>0.41660000000000003</v>
      </c>
      <c r="E366">
        <v>0.42920000000000003</v>
      </c>
      <c r="F366">
        <v>12635767.9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-0.52452830188679234</v>
      </c>
      <c r="Q366">
        <f t="shared" si="970"/>
        <v>-6627817.8796226401</v>
      </c>
      <c r="R366">
        <f t="shared" si="971"/>
        <v>32240472.15500468</v>
      </c>
      <c r="S366">
        <f t="shared" si="972"/>
        <v>322.40472155004682</v>
      </c>
      <c r="T366">
        <f t="shared" si="973"/>
        <v>0.32240472155004679</v>
      </c>
    </row>
    <row r="367" spans="1:20" x14ac:dyDescent="0.25">
      <c r="A367" s="5">
        <v>44226</v>
      </c>
      <c r="B367">
        <v>0.44540000000000002</v>
      </c>
      <c r="C367">
        <v>0.4531</v>
      </c>
      <c r="D367">
        <v>0.41499999999999998</v>
      </c>
      <c r="E367">
        <v>0.43309999999999998</v>
      </c>
      <c r="F367">
        <v>10992329.73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-4.986876640419978E-2</v>
      </c>
      <c r="Q367">
        <f t="shared" si="970"/>
        <v>-548173.92354331049</v>
      </c>
      <c r="R367">
        <f t="shared" si="971"/>
        <v>38868290.034627318</v>
      </c>
      <c r="S367">
        <f t="shared" si="972"/>
        <v>388.68290034627319</v>
      </c>
      <c r="T367">
        <f t="shared" si="973"/>
        <v>0.38868290034627317</v>
      </c>
    </row>
    <row r="368" spans="1:20" x14ac:dyDescent="0.25">
      <c r="A368" s="5">
        <v>44225</v>
      </c>
      <c r="B368">
        <v>0.39479999999999998</v>
      </c>
      <c r="C368">
        <v>0.45</v>
      </c>
      <c r="D368">
        <v>0.39410000000000001</v>
      </c>
      <c r="E368">
        <v>0.44540000000000002</v>
      </c>
      <c r="F368">
        <v>12784307.91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0.8354203935599287</v>
      </c>
      <c r="Q368">
        <f t="shared" si="970"/>
        <v>10680271.54556351</v>
      </c>
      <c r="R368">
        <f t="shared" si="971"/>
        <v>39416463.95817063</v>
      </c>
      <c r="S368">
        <f t="shared" si="972"/>
        <v>394.1646395817063</v>
      </c>
      <c r="T368">
        <f t="shared" si="973"/>
        <v>0.39416463958170628</v>
      </c>
    </row>
    <row r="369" spans="1:20" x14ac:dyDescent="0.25">
      <c r="A369" s="5">
        <v>44224</v>
      </c>
      <c r="B369">
        <v>0.3715</v>
      </c>
      <c r="C369">
        <v>0.41189999999999999</v>
      </c>
      <c r="D369">
        <v>0.36230000000000001</v>
      </c>
      <c r="E369">
        <v>0.3947</v>
      </c>
      <c r="F369">
        <v>7250914.8399999999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0.30645161290322576</v>
      </c>
      <c r="Q369">
        <f t="shared" si="970"/>
        <v>2222054.5477419351</v>
      </c>
      <c r="R369">
        <f t="shared" si="971"/>
        <v>28736192.412607122</v>
      </c>
      <c r="S369">
        <f t="shared" si="972"/>
        <v>287.36192412607124</v>
      </c>
      <c r="T369">
        <f t="shared" si="973"/>
        <v>0.28736192412607126</v>
      </c>
    </row>
    <row r="370" spans="1:20" x14ac:dyDescent="0.25">
      <c r="A370" s="5">
        <v>44223</v>
      </c>
      <c r="B370">
        <v>0.4269</v>
      </c>
      <c r="C370">
        <v>0.42749999999999999</v>
      </c>
      <c r="D370">
        <v>0.35709999999999997</v>
      </c>
      <c r="E370">
        <v>0.3715</v>
      </c>
      <c r="F370">
        <v>9068513.1400000006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-0.59090909090909038</v>
      </c>
      <c r="Q370">
        <f t="shared" si="970"/>
        <v>-5358666.8554545408</v>
      </c>
      <c r="R370">
        <f t="shared" si="971"/>
        <v>26514137.864865188</v>
      </c>
      <c r="S370">
        <f t="shared" si="972"/>
        <v>265.14137864865188</v>
      </c>
      <c r="T370">
        <f t="shared" si="973"/>
        <v>0.26514137864865189</v>
      </c>
    </row>
    <row r="371" spans="1:20" x14ac:dyDescent="0.25">
      <c r="A371" s="5">
        <v>44222</v>
      </c>
      <c r="B371">
        <v>0.38719999999999999</v>
      </c>
      <c r="C371">
        <v>0.42749999999999999</v>
      </c>
      <c r="D371">
        <v>0.37330000000000002</v>
      </c>
      <c r="E371">
        <v>0.42649999999999999</v>
      </c>
      <c r="F371">
        <v>12220699.609999999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0.96309963099630991</v>
      </c>
      <c r="Q371">
        <f t="shared" si="970"/>
        <v>11769751.284907747</v>
      </c>
      <c r="R371">
        <f t="shared" si="971"/>
        <v>31872804.720319729</v>
      </c>
      <c r="S371">
        <f t="shared" si="972"/>
        <v>318.72804720319732</v>
      </c>
      <c r="T371">
        <f t="shared" si="973"/>
        <v>0.31872804720319731</v>
      </c>
    </row>
    <row r="372" spans="1:20" x14ac:dyDescent="0.25">
      <c r="A372" s="5">
        <v>44221</v>
      </c>
      <c r="B372">
        <v>0.4123</v>
      </c>
      <c r="C372">
        <v>0.41549999999999998</v>
      </c>
      <c r="D372">
        <v>0.38140000000000002</v>
      </c>
      <c r="E372">
        <v>0.38750000000000001</v>
      </c>
      <c r="F372">
        <v>6023744.6200000001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-0.64222873900293254</v>
      </c>
      <c r="Q372">
        <f t="shared" si="970"/>
        <v>-3868621.9113782989</v>
      </c>
      <c r="R372">
        <f t="shared" si="971"/>
        <v>20103053.435411982</v>
      </c>
      <c r="S372">
        <f t="shared" si="972"/>
        <v>201.03053435411982</v>
      </c>
      <c r="T372">
        <f t="shared" si="973"/>
        <v>0.20103053435411983</v>
      </c>
    </row>
    <row r="373" spans="1:20" x14ac:dyDescent="0.25">
      <c r="A373" s="5">
        <v>44220</v>
      </c>
      <c r="B373">
        <v>0.38669999999999999</v>
      </c>
      <c r="C373">
        <v>0.41699999999999998</v>
      </c>
      <c r="D373">
        <v>0.38129999999999997</v>
      </c>
      <c r="E373">
        <v>0.4123</v>
      </c>
      <c r="F373">
        <v>9063211.5399999991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0.73669467787114951</v>
      </c>
      <c r="Q373">
        <f t="shared" si="970"/>
        <v>6676819.7059383839</v>
      </c>
      <c r="R373">
        <f t="shared" si="971"/>
        <v>23971675.34679028</v>
      </c>
      <c r="S373">
        <f t="shared" si="972"/>
        <v>239.71675346790281</v>
      </c>
      <c r="T373">
        <f t="shared" si="973"/>
        <v>0.2397167534679028</v>
      </c>
    </row>
    <row r="374" spans="1:20" x14ac:dyDescent="0.25">
      <c r="A374" s="5">
        <v>44219</v>
      </c>
      <c r="B374">
        <v>0.38190000000000002</v>
      </c>
      <c r="C374">
        <v>0.40410000000000001</v>
      </c>
      <c r="D374">
        <v>0.36530000000000001</v>
      </c>
      <c r="E374">
        <v>0.3866</v>
      </c>
      <c r="F374">
        <v>9106240.6799999997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9.7938144329896129E-2</v>
      </c>
      <c r="Q374">
        <f t="shared" si="970"/>
        <v>891848.31402061146</v>
      </c>
      <c r="R374">
        <f t="shared" si="971"/>
        <v>17294855.640851896</v>
      </c>
      <c r="S374">
        <f t="shared" si="972"/>
        <v>172.94855640851895</v>
      </c>
      <c r="T374">
        <f t="shared" si="973"/>
        <v>0.17294855640851894</v>
      </c>
    </row>
    <row r="375" spans="1:20" x14ac:dyDescent="0.25">
      <c r="A375" s="5">
        <v>44218</v>
      </c>
      <c r="B375">
        <v>0.35460000000000003</v>
      </c>
      <c r="C375">
        <v>0.39879999999999999</v>
      </c>
      <c r="D375">
        <v>0.32269999999999999</v>
      </c>
      <c r="E375">
        <v>0.38169999999999998</v>
      </c>
      <c r="F375">
        <v>10886921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0.55059132720105119</v>
      </c>
      <c r="Q375">
        <f t="shared" si="970"/>
        <v>5994244.282522995</v>
      </c>
      <c r="R375">
        <f t="shared" si="971"/>
        <v>16403007.326831283</v>
      </c>
      <c r="S375">
        <f t="shared" si="972"/>
        <v>164.03007326831283</v>
      </c>
      <c r="T375">
        <f t="shared" si="973"/>
        <v>0.16403007326831284</v>
      </c>
    </row>
    <row r="376" spans="1:20" x14ac:dyDescent="0.25">
      <c r="A376" s="5">
        <v>44217</v>
      </c>
      <c r="B376">
        <v>0.40710000000000002</v>
      </c>
      <c r="C376">
        <v>0.4093</v>
      </c>
      <c r="D376">
        <v>0.35099999999999998</v>
      </c>
      <c r="E376">
        <v>0.35510000000000003</v>
      </c>
      <c r="F376">
        <v>9186801.5500000007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-0.85934819897083892</v>
      </c>
      <c r="Q376">
        <f t="shared" si="970"/>
        <v>-7894661.3662950117</v>
      </c>
      <c r="R376">
        <f t="shared" si="971"/>
        <v>10408763.044308288</v>
      </c>
      <c r="S376">
        <f t="shared" si="972"/>
        <v>104.08763044308289</v>
      </c>
      <c r="T376">
        <f t="shared" si="973"/>
        <v>0.10408763044308289</v>
      </c>
    </row>
    <row r="377" spans="1:20" x14ac:dyDescent="0.25">
      <c r="A377" s="5">
        <v>44216</v>
      </c>
      <c r="B377">
        <v>0.40839999999999999</v>
      </c>
      <c r="C377">
        <v>0.42920000000000003</v>
      </c>
      <c r="D377">
        <v>0.36940000000000001</v>
      </c>
      <c r="E377">
        <v>0.40639999999999998</v>
      </c>
      <c r="F377">
        <v>9381873.25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0.23745819397993195</v>
      </c>
      <c r="Q377">
        <f t="shared" si="970"/>
        <v>2227802.6780936345</v>
      </c>
      <c r="R377">
        <f t="shared" si="971"/>
        <v>18303424.4106033</v>
      </c>
      <c r="S377">
        <f t="shared" si="972"/>
        <v>183.03424410603299</v>
      </c>
      <c r="T377">
        <f t="shared" si="973"/>
        <v>0.18303424410603297</v>
      </c>
    </row>
    <row r="378" spans="1:20" x14ac:dyDescent="0.25">
      <c r="A378" s="5">
        <v>44215</v>
      </c>
      <c r="B378">
        <v>0.4264</v>
      </c>
      <c r="C378">
        <v>0.45</v>
      </c>
      <c r="D378">
        <v>0.40139999999999998</v>
      </c>
      <c r="E378">
        <v>0.40649999999999997</v>
      </c>
      <c r="F378">
        <v>10465324.779999999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-0.79012345679012386</v>
      </c>
      <c r="Q378">
        <f t="shared" si="970"/>
        <v>-8268898.5916049415</v>
      </c>
      <c r="R378">
        <f t="shared" si="971"/>
        <v>16075621.732509665</v>
      </c>
      <c r="S378">
        <f t="shared" si="972"/>
        <v>160.75621732509666</v>
      </c>
      <c r="T378">
        <f t="shared" si="973"/>
        <v>0.16075621732509665</v>
      </c>
    </row>
    <row r="379" spans="1:20" x14ac:dyDescent="0.25">
      <c r="A379" s="5">
        <v>44214</v>
      </c>
      <c r="B379">
        <v>0.41649999999999998</v>
      </c>
      <c r="C379">
        <v>0.46839999999999998</v>
      </c>
      <c r="D379">
        <v>0.38540000000000002</v>
      </c>
      <c r="E379">
        <v>0.4269</v>
      </c>
      <c r="F379">
        <v>17454449.390000001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</v>
      </c>
      <c r="Q379">
        <f t="shared" si="970"/>
        <v>0</v>
      </c>
      <c r="R379">
        <f t="shared" si="971"/>
        <v>24344520.324114606</v>
      </c>
      <c r="S379">
        <f t="shared" si="972"/>
        <v>243.44520324114606</v>
      </c>
      <c r="T379">
        <f t="shared" si="973"/>
        <v>0.24344520324114607</v>
      </c>
    </row>
    <row r="380" spans="1:20" x14ac:dyDescent="0.25">
      <c r="A380" s="5">
        <v>44213</v>
      </c>
      <c r="B380">
        <v>0.3831</v>
      </c>
      <c r="C380">
        <v>0.434</v>
      </c>
      <c r="D380">
        <v>0.36030000000000001</v>
      </c>
      <c r="E380">
        <v>0.41520000000000001</v>
      </c>
      <c r="F380">
        <v>15290438.630000001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0.48982360922659468</v>
      </c>
      <c r="Q380">
        <f t="shared" si="970"/>
        <v>7489617.8364043478</v>
      </c>
      <c r="R380">
        <f t="shared" si="971"/>
        <v>24344520.324114606</v>
      </c>
      <c r="S380">
        <f t="shared" si="972"/>
        <v>243.44520324114606</v>
      </c>
      <c r="T380">
        <f t="shared" si="973"/>
        <v>0.24344520324114607</v>
      </c>
    </row>
    <row r="381" spans="1:20" x14ac:dyDescent="0.25">
      <c r="A381" s="5">
        <v>44212</v>
      </c>
      <c r="B381">
        <v>0.35920000000000002</v>
      </c>
      <c r="C381">
        <v>0.42</v>
      </c>
      <c r="D381">
        <v>0.35399999999999998</v>
      </c>
      <c r="E381">
        <v>0.38369999999999999</v>
      </c>
      <c r="F381">
        <v>13888935.52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-9.9999999999999922E-2</v>
      </c>
      <c r="Q381">
        <f t="shared" si="970"/>
        <v>-1388893.551999999</v>
      </c>
      <c r="R381">
        <f t="shared" si="971"/>
        <v>16854902.487710256</v>
      </c>
      <c r="S381">
        <f t="shared" si="972"/>
        <v>168.54902487710257</v>
      </c>
      <c r="T381">
        <f t="shared" si="973"/>
        <v>0.16854902487710258</v>
      </c>
    </row>
    <row r="382" spans="1:20" x14ac:dyDescent="0.25">
      <c r="A382" s="5">
        <v>44211</v>
      </c>
      <c r="B382">
        <v>0.37769999999999998</v>
      </c>
      <c r="C382">
        <v>0.38250000000000001</v>
      </c>
      <c r="D382">
        <v>0.3251</v>
      </c>
      <c r="E382">
        <v>0.35920000000000002</v>
      </c>
      <c r="F382">
        <v>9259459.6500000004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0.18815331010453015</v>
      </c>
      <c r="Q382">
        <f t="shared" si="970"/>
        <v>1742197.9829268344</v>
      </c>
      <c r="R382">
        <f t="shared" si="971"/>
        <v>18243796.039710253</v>
      </c>
      <c r="S382">
        <f t="shared" si="972"/>
        <v>182.43796039710253</v>
      </c>
      <c r="T382">
        <f t="shared" si="973"/>
        <v>0.18243796039710253</v>
      </c>
    </row>
    <row r="383" spans="1:20" x14ac:dyDescent="0.25">
      <c r="A383" s="5">
        <v>44210</v>
      </c>
      <c r="B383">
        <v>0.35610000000000003</v>
      </c>
      <c r="C383">
        <v>0.38290000000000002</v>
      </c>
      <c r="D383">
        <v>0.3427</v>
      </c>
      <c r="E383">
        <v>0.37780000000000002</v>
      </c>
      <c r="F383">
        <v>6684601.2199999997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0.74626865671641829</v>
      </c>
      <c r="Q383">
        <f t="shared" si="970"/>
        <v>4988508.3731343308</v>
      </c>
      <c r="R383">
        <f t="shared" si="971"/>
        <v>16501598.056783419</v>
      </c>
      <c r="S383">
        <f t="shared" si="972"/>
        <v>165.01598056783419</v>
      </c>
      <c r="T383">
        <f t="shared" si="973"/>
        <v>0.1650159805678342</v>
      </c>
    </row>
    <row r="384" spans="1:20" x14ac:dyDescent="0.25">
      <c r="A384" s="5">
        <v>44209</v>
      </c>
      <c r="B384">
        <v>0.32669999999999999</v>
      </c>
      <c r="C384">
        <v>0.35649999999999998</v>
      </c>
      <c r="D384">
        <v>0.31390000000000001</v>
      </c>
      <c r="E384">
        <v>0.35520000000000002</v>
      </c>
      <c r="F384">
        <v>4718836.74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0.93896713615023619</v>
      </c>
      <c r="Q384">
        <f t="shared" si="970"/>
        <v>4430832.6197183169</v>
      </c>
      <c r="R384">
        <f t="shared" si="971"/>
        <v>11513089.683649089</v>
      </c>
      <c r="S384">
        <f t="shared" si="972"/>
        <v>115.13089683649089</v>
      </c>
      <c r="T384">
        <f t="shared" si="973"/>
        <v>0.11513089683649089</v>
      </c>
    </row>
    <row r="385" spans="1:20" x14ac:dyDescent="0.25">
      <c r="A385" s="5">
        <v>44208</v>
      </c>
      <c r="B385">
        <v>0.33090000000000003</v>
      </c>
      <c r="C385">
        <v>0.35</v>
      </c>
      <c r="D385">
        <v>0.30690000000000001</v>
      </c>
      <c r="E385">
        <v>0.32640000000000002</v>
      </c>
      <c r="F385">
        <v>7867305.2800000003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-9.5127610208815314E-2</v>
      </c>
      <c r="Q385">
        <f t="shared" si="970"/>
        <v>-748397.95006959466</v>
      </c>
      <c r="R385">
        <f t="shared" si="971"/>
        <v>7082257.0639307722</v>
      </c>
      <c r="S385">
        <f t="shared" si="972"/>
        <v>70.822570639307727</v>
      </c>
      <c r="T385">
        <f t="shared" si="973"/>
        <v>7.0822570639307733E-2</v>
      </c>
    </row>
    <row r="386" spans="1:20" x14ac:dyDescent="0.25">
      <c r="A386" s="5">
        <v>44207</v>
      </c>
      <c r="B386">
        <v>0.4037</v>
      </c>
      <c r="C386">
        <v>0.40500000000000003</v>
      </c>
      <c r="D386">
        <v>0.29020000000000001</v>
      </c>
      <c r="E386">
        <v>0.33090000000000003</v>
      </c>
      <c r="F386">
        <v>13436859.25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-0.29094076655052248</v>
      </c>
      <c r="Q386">
        <f t="shared" si="970"/>
        <v>-3909330.1302264784</v>
      </c>
      <c r="R386">
        <f t="shared" si="971"/>
        <v>7830655.0140003674</v>
      </c>
      <c r="S386">
        <f t="shared" si="972"/>
        <v>78.306550140003679</v>
      </c>
      <c r="T386">
        <f t="shared" si="973"/>
        <v>7.8306550140003678E-2</v>
      </c>
    </row>
    <row r="387" spans="1:20" x14ac:dyDescent="0.25">
      <c r="A387" s="5">
        <v>44206</v>
      </c>
      <c r="B387">
        <v>0.39950000000000002</v>
      </c>
      <c r="C387">
        <v>0.48599999999999999</v>
      </c>
      <c r="D387">
        <v>0.36120000000000002</v>
      </c>
      <c r="E387">
        <v>0.40360000000000001</v>
      </c>
      <c r="F387">
        <v>23817162.489999998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-0.32051282051282043</v>
      </c>
      <c r="Q387">
        <f t="shared" si="970"/>
        <v>-7633705.9262820492</v>
      </c>
      <c r="R387">
        <f t="shared" si="971"/>
        <v>11739985.144226845</v>
      </c>
      <c r="S387">
        <f t="shared" si="972"/>
        <v>117.39985144226846</v>
      </c>
      <c r="T387">
        <f t="shared" si="973"/>
        <v>0.11739985144226846</v>
      </c>
    </row>
    <row r="388" spans="1:20" x14ac:dyDescent="0.25">
      <c r="A388" s="5">
        <v>44205</v>
      </c>
      <c r="B388">
        <v>0.37990000000000002</v>
      </c>
      <c r="C388">
        <v>0.438</v>
      </c>
      <c r="D388">
        <v>0.35670000000000002</v>
      </c>
      <c r="E388">
        <v>0.39839999999999998</v>
      </c>
      <c r="F388">
        <v>16358182.890000001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2.5830258302582235E-2</v>
      </c>
      <c r="Q388">
        <f t="shared" si="970"/>
        <v>422536.08940958115</v>
      </c>
      <c r="R388">
        <f t="shared" si="971"/>
        <v>19373691.070508894</v>
      </c>
      <c r="S388">
        <f t="shared" si="972"/>
        <v>193.73691070508895</v>
      </c>
      <c r="T388">
        <f t="shared" si="973"/>
        <v>0.19373691070508894</v>
      </c>
    </row>
    <row r="389" spans="1:20" x14ac:dyDescent="0.25">
      <c r="A389" s="5">
        <v>44204</v>
      </c>
      <c r="B389">
        <v>0.3468</v>
      </c>
      <c r="C389">
        <v>0.42</v>
      </c>
      <c r="D389">
        <v>0.31190000000000001</v>
      </c>
      <c r="E389">
        <v>0.37990000000000002</v>
      </c>
      <c r="F389">
        <v>17207760.57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0.25809435707678113</v>
      </c>
      <c r="Q389">
        <f t="shared" si="970"/>
        <v>4441225.9010453345</v>
      </c>
      <c r="R389">
        <f t="shared" si="971"/>
        <v>18951154.981099311</v>
      </c>
      <c r="S389">
        <f t="shared" si="972"/>
        <v>189.5115498109931</v>
      </c>
      <c r="T389">
        <f t="shared" si="973"/>
        <v>0.18951154981099311</v>
      </c>
    </row>
    <row r="390" spans="1:20" x14ac:dyDescent="0.25">
      <c r="A390" s="5">
        <v>44203</v>
      </c>
      <c r="B390">
        <v>0.35239999999999999</v>
      </c>
      <c r="C390">
        <v>0.37990000000000002</v>
      </c>
      <c r="D390">
        <v>0.32100000000000001</v>
      </c>
      <c r="E390">
        <v>0.34739999999999999</v>
      </c>
      <c r="F390">
        <v>11737512.699999999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-0.10356536502546773</v>
      </c>
      <c r="Q390">
        <f t="shared" ref="Q390:Q453" si="975">F390*P390</f>
        <v>-1215599.7872665632</v>
      </c>
      <c r="R390">
        <f t="shared" ref="R390:R453" si="976">R391+Q390</f>
        <v>14509929.080053978</v>
      </c>
      <c r="S390">
        <f t="shared" ref="S390:S453" si="977">R390/100000</f>
        <v>145.09929080053979</v>
      </c>
      <c r="T390">
        <f t="shared" ref="T390:T453" si="978">S390/1000</f>
        <v>0.14509929080053979</v>
      </c>
    </row>
    <row r="391" spans="1:20" x14ac:dyDescent="0.25">
      <c r="A391" s="5">
        <v>44202</v>
      </c>
      <c r="B391">
        <v>0.31090000000000001</v>
      </c>
      <c r="C391">
        <v>0.35639999999999999</v>
      </c>
      <c r="D391">
        <v>0.30520000000000003</v>
      </c>
      <c r="E391">
        <v>0.3523</v>
      </c>
      <c r="F391">
        <v>9356918.1199999992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0.83984375000000022</v>
      </c>
      <c r="Q391">
        <f t="shared" si="975"/>
        <v>7858349.2023437517</v>
      </c>
      <c r="R391">
        <f t="shared" si="976"/>
        <v>15725528.867320541</v>
      </c>
      <c r="S391">
        <f t="shared" si="977"/>
        <v>157.2552886732054</v>
      </c>
      <c r="T391">
        <f t="shared" si="978"/>
        <v>0.1572552886732054</v>
      </c>
    </row>
    <row r="392" spans="1:20" x14ac:dyDescent="0.25">
      <c r="A392" s="5">
        <v>44201</v>
      </c>
      <c r="B392">
        <v>0.30420000000000003</v>
      </c>
      <c r="C392">
        <v>0.32079999999999997</v>
      </c>
      <c r="D392">
        <v>0.28399999999999997</v>
      </c>
      <c r="E392">
        <v>0.3105</v>
      </c>
      <c r="F392">
        <v>8865390.0099999998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0.44021739130434911</v>
      </c>
      <c r="Q392">
        <f t="shared" si="975"/>
        <v>3902698.8630978372</v>
      </c>
      <c r="R392">
        <f t="shared" si="976"/>
        <v>7867179.6649767905</v>
      </c>
      <c r="S392">
        <f t="shared" si="977"/>
        <v>78.671796649767899</v>
      </c>
      <c r="T392">
        <f t="shared" si="978"/>
        <v>7.8671796649767894E-2</v>
      </c>
    </row>
    <row r="393" spans="1:20" x14ac:dyDescent="0.25">
      <c r="A393" s="5">
        <v>44200</v>
      </c>
      <c r="B393">
        <v>0.3125</v>
      </c>
      <c r="C393">
        <v>0.33939999999999998</v>
      </c>
      <c r="D393">
        <v>0.27889999999999998</v>
      </c>
      <c r="E393">
        <v>0.30380000000000001</v>
      </c>
      <c r="F393">
        <v>8636567.6600000001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-0.17685950413223028</v>
      </c>
      <c r="Q393">
        <f t="shared" si="975"/>
        <v>-1527459.0737520563</v>
      </c>
      <c r="R393">
        <f t="shared" si="976"/>
        <v>3964480.8018789529</v>
      </c>
      <c r="S393">
        <f t="shared" si="977"/>
        <v>39.644808018789526</v>
      </c>
      <c r="T393">
        <f t="shared" si="978"/>
        <v>3.9644808018789529E-2</v>
      </c>
    </row>
    <row r="394" spans="1:20" x14ac:dyDescent="0.25">
      <c r="A394" s="5">
        <v>44199</v>
      </c>
      <c r="B394">
        <v>0.29249999999999998</v>
      </c>
      <c r="C394">
        <v>0.3357</v>
      </c>
      <c r="D394">
        <v>0.29149999999999998</v>
      </c>
      <c r="E394">
        <v>0.31159999999999999</v>
      </c>
      <c r="F394">
        <v>9503256.3399999999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-9.0497737556561125E-2</v>
      </c>
      <c r="Q394">
        <f t="shared" si="975"/>
        <v>-860023.19819004566</v>
      </c>
      <c r="R394">
        <f t="shared" si="976"/>
        <v>5491939.8756310092</v>
      </c>
      <c r="S394">
        <f t="shared" si="977"/>
        <v>54.919398756310095</v>
      </c>
      <c r="T394">
        <f t="shared" si="978"/>
        <v>5.4919398756310092E-2</v>
      </c>
    </row>
    <row r="395" spans="1:20" x14ac:dyDescent="0.25">
      <c r="A395" s="5">
        <v>44198</v>
      </c>
      <c r="B395">
        <v>0.29530000000000001</v>
      </c>
      <c r="C395">
        <v>0.2974</v>
      </c>
      <c r="D395">
        <v>0.28449999999999998</v>
      </c>
      <c r="E395">
        <v>0.2928</v>
      </c>
      <c r="F395">
        <v>2341750.0299999998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0.28682170542635893</v>
      </c>
      <c r="Q395">
        <f t="shared" si="975"/>
        <v>671664.73728682718</v>
      </c>
      <c r="R395">
        <f t="shared" si="976"/>
        <v>6351963.0738210548</v>
      </c>
      <c r="S395">
        <f t="shared" si="977"/>
        <v>63.519630738210545</v>
      </c>
      <c r="T395">
        <f t="shared" si="978"/>
        <v>6.3519630738210542E-2</v>
      </c>
    </row>
    <row r="396" spans="1:20" x14ac:dyDescent="0.25">
      <c r="A396" s="5">
        <v>44197</v>
      </c>
      <c r="B396">
        <v>0.29049999999999998</v>
      </c>
      <c r="C396">
        <v>0.30480000000000002</v>
      </c>
      <c r="D396">
        <v>0.28620000000000001</v>
      </c>
      <c r="E396">
        <v>0.29530000000000001</v>
      </c>
      <c r="F396">
        <v>5725878.0099999998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-2.150537634408663E-2</v>
      </c>
      <c r="Q396">
        <f t="shared" si="975"/>
        <v>-123137.16150537983</v>
      </c>
      <c r="R396">
        <f t="shared" si="976"/>
        <v>5680298.3365342272</v>
      </c>
      <c r="S396">
        <f t="shared" si="977"/>
        <v>56.802983365342271</v>
      </c>
      <c r="T396">
        <f t="shared" si="978"/>
        <v>5.6802983365342272E-2</v>
      </c>
    </row>
    <row r="397" spans="1:20" x14ac:dyDescent="0.25">
      <c r="A397" s="5">
        <v>44196</v>
      </c>
      <c r="B397">
        <v>0.29110000000000003</v>
      </c>
      <c r="C397">
        <v>0.29170000000000001</v>
      </c>
      <c r="D397">
        <v>0.27539999999999998</v>
      </c>
      <c r="E397">
        <v>0.29089999999999999</v>
      </c>
      <c r="F397">
        <v>2994976.84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0.90184049079754347</v>
      </c>
      <c r="Q397">
        <f t="shared" si="975"/>
        <v>2700991.3833128759</v>
      </c>
      <c r="R397">
        <f t="shared" si="976"/>
        <v>5803435.498039607</v>
      </c>
      <c r="S397">
        <f t="shared" si="977"/>
        <v>58.034354980396067</v>
      </c>
      <c r="T397">
        <f t="shared" si="978"/>
        <v>5.8034354980396066E-2</v>
      </c>
    </row>
    <row r="398" spans="1:20" x14ac:dyDescent="0.25">
      <c r="A398" s="5">
        <v>44195</v>
      </c>
      <c r="B398">
        <v>0.29830000000000001</v>
      </c>
      <c r="C398">
        <v>0.30099999999999999</v>
      </c>
      <c r="D398">
        <v>0.2838</v>
      </c>
      <c r="E398">
        <v>0.29049999999999998</v>
      </c>
      <c r="F398">
        <v>1818717.65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-0.22093023255814112</v>
      </c>
      <c r="Q398">
        <f t="shared" si="975"/>
        <v>-401809.7133720959</v>
      </c>
      <c r="R398">
        <f t="shared" si="976"/>
        <v>3102444.1147267316</v>
      </c>
      <c r="S398">
        <f t="shared" si="977"/>
        <v>31.024441147267314</v>
      </c>
      <c r="T398">
        <f t="shared" si="978"/>
        <v>3.1024441147267313E-2</v>
      </c>
    </row>
    <row r="399" spans="1:20" x14ac:dyDescent="0.25">
      <c r="A399" s="5">
        <v>44194</v>
      </c>
      <c r="B399">
        <v>0.31219999999999998</v>
      </c>
      <c r="C399">
        <v>0.31659999999999999</v>
      </c>
      <c r="D399">
        <v>0.28079999999999999</v>
      </c>
      <c r="E399">
        <v>0.29849999999999999</v>
      </c>
      <c r="F399">
        <v>4421636.1100000003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-1.1173184357542221E-2</v>
      </c>
      <c r="Q399">
        <f t="shared" si="975"/>
        <v>-49403.755418995839</v>
      </c>
      <c r="R399">
        <f t="shared" si="976"/>
        <v>3504253.8280988275</v>
      </c>
      <c r="S399">
        <f t="shared" si="977"/>
        <v>35.042538280988275</v>
      </c>
      <c r="T399">
        <f t="shared" si="978"/>
        <v>3.5042538280988272E-2</v>
      </c>
    </row>
    <row r="400" spans="1:20" x14ac:dyDescent="0.25">
      <c r="A400" s="5">
        <v>44193</v>
      </c>
      <c r="B400">
        <v>0.29809999999999998</v>
      </c>
      <c r="C400">
        <v>0.32119999999999999</v>
      </c>
      <c r="D400">
        <v>0.29549999999999998</v>
      </c>
      <c r="E400">
        <v>0.3115</v>
      </c>
      <c r="F400">
        <v>3205786.61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0.24513618677042909</v>
      </c>
      <c r="Q400">
        <f t="shared" si="975"/>
        <v>785854.30517510069</v>
      </c>
      <c r="R400">
        <f t="shared" si="976"/>
        <v>3553657.5835178234</v>
      </c>
      <c r="S400">
        <f t="shared" si="977"/>
        <v>35.536575835178233</v>
      </c>
      <c r="T400">
        <f t="shared" si="978"/>
        <v>3.5536575835178233E-2</v>
      </c>
    </row>
    <row r="401" spans="1:20" x14ac:dyDescent="0.25">
      <c r="A401" s="5">
        <v>44192</v>
      </c>
      <c r="B401">
        <v>0.29509999999999997</v>
      </c>
      <c r="C401">
        <v>0.31669999999999998</v>
      </c>
      <c r="D401">
        <v>0.28610000000000002</v>
      </c>
      <c r="E401">
        <v>0.2974</v>
      </c>
      <c r="F401">
        <v>3923713.85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-0.2614379084967326</v>
      </c>
      <c r="Q401">
        <f t="shared" si="975"/>
        <v>-1025807.5424836624</v>
      </c>
      <c r="R401">
        <f t="shared" si="976"/>
        <v>2767803.2783427229</v>
      </c>
      <c r="S401">
        <f t="shared" si="977"/>
        <v>27.678032783427231</v>
      </c>
      <c r="T401">
        <f t="shared" si="978"/>
        <v>2.7678032783427231E-2</v>
      </c>
    </row>
    <row r="402" spans="1:20" x14ac:dyDescent="0.25">
      <c r="A402" s="5">
        <v>44191</v>
      </c>
      <c r="B402">
        <v>0.30130000000000001</v>
      </c>
      <c r="C402">
        <v>0.3039</v>
      </c>
      <c r="D402">
        <v>0.28470000000000001</v>
      </c>
      <c r="E402">
        <v>0.29520000000000002</v>
      </c>
      <c r="F402">
        <v>2168683.71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9.3750000000001263E-2</v>
      </c>
      <c r="Q402">
        <f t="shared" si="975"/>
        <v>203314.09781250273</v>
      </c>
      <c r="R402">
        <f t="shared" si="976"/>
        <v>3793610.8208263852</v>
      </c>
      <c r="S402">
        <f t="shared" si="977"/>
        <v>37.936108208263853</v>
      </c>
      <c r="T402">
        <f t="shared" si="978"/>
        <v>3.7936108208263854E-2</v>
      </c>
    </row>
    <row r="403" spans="1:20" x14ac:dyDescent="0.25">
      <c r="A403" s="5">
        <v>44190</v>
      </c>
      <c r="B403">
        <v>0.30959999999999999</v>
      </c>
      <c r="C403">
        <v>0.31419999999999998</v>
      </c>
      <c r="D403">
        <v>0.28949999999999998</v>
      </c>
      <c r="E403">
        <v>0.3009</v>
      </c>
      <c r="F403">
        <v>3744659.79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-7.6923076923075193E-2</v>
      </c>
      <c r="Q403">
        <f t="shared" si="975"/>
        <v>-288050.75307691662</v>
      </c>
      <c r="R403">
        <f t="shared" si="976"/>
        <v>3590296.7230138825</v>
      </c>
      <c r="S403">
        <f t="shared" si="977"/>
        <v>35.902967230138827</v>
      </c>
      <c r="T403">
        <f t="shared" si="978"/>
        <v>3.5902967230138826E-2</v>
      </c>
    </row>
    <row r="404" spans="1:20" x14ac:dyDescent="0.25">
      <c r="A404" s="5">
        <v>44189</v>
      </c>
      <c r="B404">
        <v>0.27810000000000001</v>
      </c>
      <c r="C404">
        <v>0.30959999999999999</v>
      </c>
      <c r="D404">
        <v>0.26</v>
      </c>
      <c r="E404">
        <v>0.30830000000000002</v>
      </c>
      <c r="F404">
        <v>3618100.84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0.94758064516129159</v>
      </c>
      <c r="Q404">
        <f t="shared" si="975"/>
        <v>3428442.328225811</v>
      </c>
      <c r="R404">
        <f t="shared" si="976"/>
        <v>3878347.4760907991</v>
      </c>
      <c r="S404">
        <f t="shared" si="977"/>
        <v>38.783474760907993</v>
      </c>
      <c r="T404">
        <f t="shared" si="978"/>
        <v>3.8783474760907995E-2</v>
      </c>
    </row>
    <row r="405" spans="1:20" x14ac:dyDescent="0.25">
      <c r="A405" s="5">
        <v>44188</v>
      </c>
      <c r="B405">
        <v>0.33910000000000001</v>
      </c>
      <c r="C405">
        <v>0.34289999999999998</v>
      </c>
      <c r="D405">
        <v>0.25230000000000002</v>
      </c>
      <c r="E405">
        <v>0.27800000000000002</v>
      </c>
      <c r="F405">
        <v>4098672.07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-0.43267108167770391</v>
      </c>
      <c r="Q405">
        <f t="shared" si="975"/>
        <v>-1773376.8779690936</v>
      </c>
      <c r="R405">
        <f t="shared" si="976"/>
        <v>449905.14786498807</v>
      </c>
      <c r="S405">
        <f t="shared" si="977"/>
        <v>4.4990514786498803</v>
      </c>
      <c r="T405">
        <f t="shared" si="978"/>
        <v>4.4990514786498806E-3</v>
      </c>
    </row>
    <row r="406" spans="1:20" x14ac:dyDescent="0.25">
      <c r="A406" s="5">
        <v>44187</v>
      </c>
      <c r="B406">
        <v>0.33989999999999998</v>
      </c>
      <c r="C406">
        <v>0.34739999999999999</v>
      </c>
      <c r="D406">
        <v>0.32640000000000002</v>
      </c>
      <c r="E406">
        <v>0.3392</v>
      </c>
      <c r="F406">
        <v>2300469.62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0.2190476190476191</v>
      </c>
      <c r="Q406">
        <f t="shared" si="975"/>
        <v>503912.39295238111</v>
      </c>
      <c r="R406">
        <f t="shared" si="976"/>
        <v>2223282.0258340817</v>
      </c>
      <c r="S406">
        <f t="shared" si="977"/>
        <v>22.232820258340816</v>
      </c>
      <c r="T406">
        <f t="shared" si="978"/>
        <v>2.2232820258340814E-2</v>
      </c>
    </row>
    <row r="407" spans="1:20" x14ac:dyDescent="0.25">
      <c r="A407" s="5">
        <v>44186</v>
      </c>
      <c r="B407">
        <v>0.35820000000000002</v>
      </c>
      <c r="C407">
        <v>0.37040000000000001</v>
      </c>
      <c r="D407">
        <v>0.3276</v>
      </c>
      <c r="E407">
        <v>0.34039999999999998</v>
      </c>
      <c r="F407">
        <v>3258729.1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-0.40186915887850577</v>
      </c>
      <c r="Q407">
        <f t="shared" si="975"/>
        <v>-1309582.7224299102</v>
      </c>
      <c r="R407">
        <f t="shared" si="976"/>
        <v>1719369.6328817005</v>
      </c>
      <c r="S407">
        <f t="shared" si="977"/>
        <v>17.193696328817005</v>
      </c>
      <c r="T407">
        <f t="shared" si="978"/>
        <v>1.7193696328817006E-2</v>
      </c>
    </row>
    <row r="408" spans="1:20" x14ac:dyDescent="0.25">
      <c r="A408" s="5">
        <v>44185</v>
      </c>
      <c r="B408">
        <v>0.38179999999999997</v>
      </c>
      <c r="C408">
        <v>0.38429999999999997</v>
      </c>
      <c r="D408">
        <v>0.34810000000000002</v>
      </c>
      <c r="E408">
        <v>0.35820000000000002</v>
      </c>
      <c r="F408">
        <v>2886503.94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-0.44198895027624252</v>
      </c>
      <c r="Q408">
        <f t="shared" si="975"/>
        <v>-1275802.8464088382</v>
      </c>
      <c r="R408">
        <f t="shared" si="976"/>
        <v>3028952.3553116107</v>
      </c>
      <c r="S408">
        <f t="shared" si="977"/>
        <v>30.289523553116108</v>
      </c>
      <c r="T408">
        <f t="shared" si="978"/>
        <v>3.0289523553116107E-2</v>
      </c>
    </row>
    <row r="409" spans="1:20" x14ac:dyDescent="0.25">
      <c r="A409" s="5">
        <v>44184</v>
      </c>
      <c r="B409">
        <v>0.36249999999999999</v>
      </c>
      <c r="C409">
        <v>0.40400000000000003</v>
      </c>
      <c r="D409">
        <v>0.36249999999999999</v>
      </c>
      <c r="E409">
        <v>0.38100000000000001</v>
      </c>
      <c r="F409">
        <v>6874669.4900000002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-0.10843373493975904</v>
      </c>
      <c r="Q409">
        <f t="shared" si="975"/>
        <v>-745446.08927710843</v>
      </c>
      <c r="R409">
        <f t="shared" si="976"/>
        <v>4304755.2017204491</v>
      </c>
      <c r="S409">
        <f t="shared" si="977"/>
        <v>43.047552017204488</v>
      </c>
      <c r="T409">
        <f t="shared" si="978"/>
        <v>4.3047552017204491E-2</v>
      </c>
    </row>
    <row r="410" spans="1:20" x14ac:dyDescent="0.25">
      <c r="A410" s="5">
        <v>44183</v>
      </c>
      <c r="B410">
        <v>0.3543</v>
      </c>
      <c r="C410">
        <v>0.36470000000000002</v>
      </c>
      <c r="D410">
        <v>0.34620000000000001</v>
      </c>
      <c r="E410">
        <v>0.36220000000000002</v>
      </c>
      <c r="F410">
        <v>2715223.38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0.72972972972972971</v>
      </c>
      <c r="Q410">
        <f t="shared" si="975"/>
        <v>1981379.2232432431</v>
      </c>
      <c r="R410">
        <f t="shared" si="976"/>
        <v>5050201.2909975573</v>
      </c>
      <c r="S410">
        <f t="shared" si="977"/>
        <v>50.502012909975576</v>
      </c>
      <c r="T410">
        <f t="shared" si="978"/>
        <v>5.0502012909975573E-2</v>
      </c>
    </row>
    <row r="411" spans="1:20" x14ac:dyDescent="0.25">
      <c r="A411" s="5">
        <v>44182</v>
      </c>
      <c r="B411">
        <v>0.36230000000000001</v>
      </c>
      <c r="C411">
        <v>0.37809999999999999</v>
      </c>
      <c r="D411">
        <v>0.35099999999999998</v>
      </c>
      <c r="E411">
        <v>0.35489999999999999</v>
      </c>
      <c r="F411">
        <v>4457488.84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-0.71217712177121673</v>
      </c>
      <c r="Q411">
        <f t="shared" si="975"/>
        <v>-3174521.5723985196</v>
      </c>
      <c r="R411">
        <f t="shared" si="976"/>
        <v>3068822.0677543147</v>
      </c>
      <c r="S411">
        <f t="shared" si="977"/>
        <v>30.688220677543146</v>
      </c>
      <c r="T411">
        <f t="shared" si="978"/>
        <v>3.0688220677543145E-2</v>
      </c>
    </row>
    <row r="412" spans="1:20" x14ac:dyDescent="0.25">
      <c r="A412" s="5">
        <v>44181</v>
      </c>
      <c r="B412">
        <v>0.35699999999999998</v>
      </c>
      <c r="C412">
        <v>0.37059999999999998</v>
      </c>
      <c r="D412">
        <v>0.35149999999999998</v>
      </c>
      <c r="E412">
        <v>0.36180000000000001</v>
      </c>
      <c r="F412">
        <v>5036684.47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7.8534031413615521E-2</v>
      </c>
      <c r="Q412">
        <f t="shared" si="975"/>
        <v>395551.1363874494</v>
      </c>
      <c r="R412">
        <f t="shared" si="976"/>
        <v>6243343.6401528344</v>
      </c>
      <c r="S412">
        <f t="shared" si="977"/>
        <v>62.433436401528347</v>
      </c>
      <c r="T412">
        <f t="shared" si="978"/>
        <v>6.2433436401528347E-2</v>
      </c>
    </row>
    <row r="413" spans="1:20" x14ac:dyDescent="0.25">
      <c r="A413" s="5">
        <v>44180</v>
      </c>
      <c r="B413">
        <v>0.34560000000000002</v>
      </c>
      <c r="C413">
        <v>0.35809999999999997</v>
      </c>
      <c r="D413">
        <v>0.3392</v>
      </c>
      <c r="E413">
        <v>0.35809999999999997</v>
      </c>
      <c r="F413">
        <v>1959675.45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1</v>
      </c>
      <c r="Q413">
        <f t="shared" si="975"/>
        <v>1959675.45</v>
      </c>
      <c r="R413">
        <f t="shared" si="976"/>
        <v>5847792.5037653847</v>
      </c>
      <c r="S413">
        <f t="shared" si="977"/>
        <v>58.477925037653847</v>
      </c>
      <c r="T413">
        <f t="shared" si="978"/>
        <v>5.8477925037653845E-2</v>
      </c>
    </row>
    <row r="414" spans="1:20" x14ac:dyDescent="0.25">
      <c r="A414" s="5">
        <v>44179</v>
      </c>
      <c r="B414">
        <v>0.34989999999999999</v>
      </c>
      <c r="C414">
        <v>0.35070000000000001</v>
      </c>
      <c r="D414">
        <v>0.34079999999999999</v>
      </c>
      <c r="E414">
        <v>0.34510000000000002</v>
      </c>
      <c r="F414">
        <v>871273.04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-0.1313131313131278</v>
      </c>
      <c r="Q414">
        <f t="shared" si="975"/>
        <v>-114409.59111110805</v>
      </c>
      <c r="R414">
        <f t="shared" si="976"/>
        <v>3888117.0537653849</v>
      </c>
      <c r="S414">
        <f t="shared" si="977"/>
        <v>38.881170537653851</v>
      </c>
      <c r="T414">
        <f t="shared" si="978"/>
        <v>3.8881170537653852E-2</v>
      </c>
    </row>
    <row r="415" spans="1:20" x14ac:dyDescent="0.25">
      <c r="A415" s="5">
        <v>44178</v>
      </c>
      <c r="B415">
        <v>0.34300000000000003</v>
      </c>
      <c r="C415">
        <v>0.3553</v>
      </c>
      <c r="D415">
        <v>0.33910000000000001</v>
      </c>
      <c r="E415">
        <v>0.35039999999999999</v>
      </c>
      <c r="F415">
        <v>1079254.32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0.39506172839505954</v>
      </c>
      <c r="Q415">
        <f t="shared" si="975"/>
        <v>426372.07703703473</v>
      </c>
      <c r="R415">
        <f t="shared" si="976"/>
        <v>4002526.6448764931</v>
      </c>
      <c r="S415">
        <f t="shared" si="977"/>
        <v>40.025266448764931</v>
      </c>
      <c r="T415">
        <f t="shared" si="978"/>
        <v>4.0025266448764932E-2</v>
      </c>
    </row>
    <row r="416" spans="1:20" x14ac:dyDescent="0.25">
      <c r="A416" s="5">
        <v>44177</v>
      </c>
      <c r="B416">
        <v>0.32869999999999999</v>
      </c>
      <c r="C416">
        <v>0.34989999999999999</v>
      </c>
      <c r="D416">
        <v>0.32829999999999998</v>
      </c>
      <c r="E416">
        <v>0.34250000000000003</v>
      </c>
      <c r="F416">
        <v>1527284.18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0.3148148148148186</v>
      </c>
      <c r="Q416">
        <f t="shared" si="975"/>
        <v>480811.68629630207</v>
      </c>
      <c r="R416">
        <f t="shared" si="976"/>
        <v>3576154.5678394586</v>
      </c>
      <c r="S416">
        <f t="shared" si="977"/>
        <v>35.761545678394583</v>
      </c>
      <c r="T416">
        <f t="shared" si="978"/>
        <v>3.5761545678394582E-2</v>
      </c>
    </row>
    <row r="417" spans="1:20" x14ac:dyDescent="0.25">
      <c r="A417" s="5">
        <v>44176</v>
      </c>
      <c r="B417">
        <v>0.34329999999999999</v>
      </c>
      <c r="C417">
        <v>0.34870000000000001</v>
      </c>
      <c r="D417">
        <v>0.31950000000000001</v>
      </c>
      <c r="E417">
        <v>0.32840000000000003</v>
      </c>
      <c r="F417">
        <v>2578873.4700000002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-0.39041095890410837</v>
      </c>
      <c r="Q417">
        <f t="shared" si="975"/>
        <v>-1006820.4643150654</v>
      </c>
      <c r="R417">
        <f t="shared" si="976"/>
        <v>3095342.8815431567</v>
      </c>
      <c r="S417">
        <f t="shared" si="977"/>
        <v>30.953428815431568</v>
      </c>
      <c r="T417">
        <f t="shared" si="978"/>
        <v>3.0953428815431568E-2</v>
      </c>
    </row>
    <row r="418" spans="1:20" x14ac:dyDescent="0.25">
      <c r="A418" s="5">
        <v>44175</v>
      </c>
      <c r="B418">
        <v>0.33929999999999999</v>
      </c>
      <c r="C418">
        <v>0.36199999999999999</v>
      </c>
      <c r="D418">
        <v>0.32</v>
      </c>
      <c r="E418">
        <v>0.34300000000000003</v>
      </c>
      <c r="F418">
        <v>3463343.53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9.523809523809669E-2</v>
      </c>
      <c r="Q418">
        <f t="shared" si="975"/>
        <v>329842.24095238594</v>
      </c>
      <c r="R418">
        <f t="shared" si="976"/>
        <v>4102163.3458582223</v>
      </c>
      <c r="S418">
        <f t="shared" si="977"/>
        <v>41.021633458582222</v>
      </c>
      <c r="T418">
        <f t="shared" si="978"/>
        <v>4.1021633458582223E-2</v>
      </c>
    </row>
    <row r="419" spans="1:20" x14ac:dyDescent="0.25">
      <c r="A419" s="5">
        <v>44174</v>
      </c>
      <c r="B419">
        <v>0.34960000000000002</v>
      </c>
      <c r="C419">
        <v>0.3503</v>
      </c>
      <c r="D419">
        <v>0.31819999999999998</v>
      </c>
      <c r="E419">
        <v>0.3392</v>
      </c>
      <c r="F419">
        <v>2583247.41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0.30841121495327151</v>
      </c>
      <c r="Q419">
        <f t="shared" si="975"/>
        <v>796702.47224299191</v>
      </c>
      <c r="R419">
        <f t="shared" si="976"/>
        <v>3772321.1049058363</v>
      </c>
      <c r="S419">
        <f t="shared" si="977"/>
        <v>37.723211049058364</v>
      </c>
      <c r="T419">
        <f t="shared" si="978"/>
        <v>3.7723211049058361E-2</v>
      </c>
    </row>
    <row r="420" spans="1:20" x14ac:dyDescent="0.25">
      <c r="A420" s="5">
        <v>44173</v>
      </c>
      <c r="B420">
        <v>0.3528</v>
      </c>
      <c r="C420">
        <v>0.37880000000000003</v>
      </c>
      <c r="D420">
        <v>0.34239999999999998</v>
      </c>
      <c r="E420">
        <v>0.35010000000000002</v>
      </c>
      <c r="F420">
        <v>4886621.2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-0.57692307692307521</v>
      </c>
      <c r="Q420">
        <f t="shared" si="975"/>
        <v>-2819204.5384615301</v>
      </c>
      <c r="R420">
        <f t="shared" si="976"/>
        <v>2975618.6326628444</v>
      </c>
      <c r="S420">
        <f t="shared" si="977"/>
        <v>29.756186326628445</v>
      </c>
      <c r="T420">
        <f t="shared" si="978"/>
        <v>2.9756186326628443E-2</v>
      </c>
    </row>
    <row r="421" spans="1:20" x14ac:dyDescent="0.25">
      <c r="A421" s="5">
        <v>44172</v>
      </c>
      <c r="B421">
        <v>0.35680000000000001</v>
      </c>
      <c r="C421">
        <v>0.35849999999999999</v>
      </c>
      <c r="D421">
        <v>0.34439999999999998</v>
      </c>
      <c r="E421">
        <v>0.3528</v>
      </c>
      <c r="F421">
        <v>940283.21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0.19148936170213018</v>
      </c>
      <c r="Q421">
        <f t="shared" si="975"/>
        <v>180054.23170213003</v>
      </c>
      <c r="R421">
        <f t="shared" si="976"/>
        <v>5794823.1711243745</v>
      </c>
      <c r="S421">
        <f t="shared" si="977"/>
        <v>57.948231711243743</v>
      </c>
      <c r="T421">
        <f t="shared" si="978"/>
        <v>5.794823171124374E-2</v>
      </c>
    </row>
    <row r="422" spans="1:20" x14ac:dyDescent="0.25">
      <c r="A422" s="5">
        <v>44171</v>
      </c>
      <c r="B422">
        <v>0.372</v>
      </c>
      <c r="C422">
        <v>0.37490000000000001</v>
      </c>
      <c r="D422">
        <v>0.34699999999999998</v>
      </c>
      <c r="E422">
        <v>0.3569</v>
      </c>
      <c r="F422">
        <v>1590062.05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-0.29032258064516075</v>
      </c>
      <c r="Q422">
        <f t="shared" si="975"/>
        <v>-461630.91774193465</v>
      </c>
      <c r="R422">
        <f t="shared" si="976"/>
        <v>5614768.9394222442</v>
      </c>
      <c r="S422">
        <f t="shared" si="977"/>
        <v>56.147689394222439</v>
      </c>
      <c r="T422">
        <f t="shared" si="978"/>
        <v>5.614768939422244E-2</v>
      </c>
    </row>
    <row r="423" spans="1:20" x14ac:dyDescent="0.25">
      <c r="A423" s="5">
        <v>44170</v>
      </c>
      <c r="B423">
        <v>0.33689999999999998</v>
      </c>
      <c r="C423">
        <v>0.372</v>
      </c>
      <c r="D423">
        <v>0.3342</v>
      </c>
      <c r="E423">
        <v>0.37159999999999999</v>
      </c>
      <c r="F423">
        <v>2220811.08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0.97883597883597828</v>
      </c>
      <c r="Q423">
        <f t="shared" si="975"/>
        <v>2173809.787301586</v>
      </c>
      <c r="R423">
        <f t="shared" si="976"/>
        <v>6076399.857164179</v>
      </c>
      <c r="S423">
        <f t="shared" si="977"/>
        <v>60.763998571641793</v>
      </c>
      <c r="T423">
        <f t="shared" si="978"/>
        <v>6.0763998571641789E-2</v>
      </c>
    </row>
    <row r="424" spans="1:20" x14ac:dyDescent="0.25">
      <c r="A424" s="5">
        <v>44169</v>
      </c>
      <c r="B424">
        <v>0.376</v>
      </c>
      <c r="C424">
        <v>0.39</v>
      </c>
      <c r="D424">
        <v>0.33529999999999999</v>
      </c>
      <c r="E424">
        <v>0.33800000000000002</v>
      </c>
      <c r="F424">
        <v>3351748.02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-0.90127970749542841</v>
      </c>
      <c r="Q424">
        <f t="shared" si="975"/>
        <v>-3020862.4750639815</v>
      </c>
      <c r="R424">
        <f t="shared" si="976"/>
        <v>3902590.069862593</v>
      </c>
      <c r="S424">
        <f t="shared" si="977"/>
        <v>39.025900698625932</v>
      </c>
      <c r="T424">
        <f t="shared" si="978"/>
        <v>3.902590069862593E-2</v>
      </c>
    </row>
    <row r="425" spans="1:20" x14ac:dyDescent="0.25">
      <c r="A425" s="5">
        <v>44168</v>
      </c>
      <c r="B425">
        <v>0.38200000000000001</v>
      </c>
      <c r="C425">
        <v>0.40250000000000002</v>
      </c>
      <c r="D425">
        <v>0.36799999999999999</v>
      </c>
      <c r="E425">
        <v>0.37640000000000001</v>
      </c>
      <c r="F425">
        <v>3037582.9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-0.51304347826086893</v>
      </c>
      <c r="Q425">
        <f t="shared" si="975"/>
        <v>-1558412.0965217371</v>
      </c>
      <c r="R425">
        <f t="shared" si="976"/>
        <v>6923452.5449265745</v>
      </c>
      <c r="S425">
        <f t="shared" si="977"/>
        <v>69.234525449265746</v>
      </c>
      <c r="T425">
        <f t="shared" si="978"/>
        <v>6.9234525449265741E-2</v>
      </c>
    </row>
    <row r="426" spans="1:20" x14ac:dyDescent="0.25">
      <c r="A426" s="5">
        <v>44167</v>
      </c>
      <c r="B426">
        <v>0.34820000000000001</v>
      </c>
      <c r="C426">
        <v>0.38869999999999999</v>
      </c>
      <c r="D426">
        <v>0.34189999999999998</v>
      </c>
      <c r="E426">
        <v>0.38219999999999998</v>
      </c>
      <c r="F426">
        <v>4439510.16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0.72222222222222199</v>
      </c>
      <c r="Q426">
        <f t="shared" si="975"/>
        <v>3206312.8933333326</v>
      </c>
      <c r="R426">
        <f t="shared" si="976"/>
        <v>8481864.6414483115</v>
      </c>
      <c r="S426">
        <f t="shared" si="977"/>
        <v>84.818646414483112</v>
      </c>
      <c r="T426">
        <f t="shared" si="978"/>
        <v>8.4818646414483112E-2</v>
      </c>
    </row>
    <row r="427" spans="1:20" x14ac:dyDescent="0.25">
      <c r="A427" s="5">
        <v>44166</v>
      </c>
      <c r="B427">
        <v>0.3533</v>
      </c>
      <c r="C427">
        <v>0.3745</v>
      </c>
      <c r="D427">
        <v>0.32650000000000001</v>
      </c>
      <c r="E427">
        <v>0.34749999999999998</v>
      </c>
      <c r="F427">
        <v>5036339.0599999996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-0.1250000000000013</v>
      </c>
      <c r="Q427">
        <f t="shared" si="975"/>
        <v>-629542.38250000647</v>
      </c>
      <c r="R427">
        <f t="shared" si="976"/>
        <v>5275551.7481149798</v>
      </c>
      <c r="S427">
        <f t="shared" si="977"/>
        <v>52.755517481149795</v>
      </c>
      <c r="T427">
        <f t="shared" si="978"/>
        <v>5.2755517481149795E-2</v>
      </c>
    </row>
    <row r="428" spans="1:20" x14ac:dyDescent="0.25">
      <c r="A428" s="5">
        <v>44165</v>
      </c>
      <c r="B428">
        <v>0.34039999999999998</v>
      </c>
      <c r="C428">
        <v>0.35610000000000003</v>
      </c>
      <c r="D428">
        <v>0.33040000000000003</v>
      </c>
      <c r="E428">
        <v>0.35349999999999998</v>
      </c>
      <c r="F428">
        <v>2790842.74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0.79766536964980184</v>
      </c>
      <c r="Q428">
        <f t="shared" si="975"/>
        <v>2226158.6058365661</v>
      </c>
      <c r="R428">
        <f t="shared" si="976"/>
        <v>5905094.1306149866</v>
      </c>
      <c r="S428">
        <f t="shared" si="977"/>
        <v>59.050941306149866</v>
      </c>
      <c r="T428">
        <f t="shared" si="978"/>
        <v>5.9050941306149865E-2</v>
      </c>
    </row>
    <row r="429" spans="1:20" x14ac:dyDescent="0.25">
      <c r="A429" s="5">
        <v>44164</v>
      </c>
      <c r="B429">
        <v>0.34179999999999999</v>
      </c>
      <c r="C429">
        <v>0.34520000000000001</v>
      </c>
      <c r="D429">
        <v>0.33300000000000002</v>
      </c>
      <c r="E429">
        <v>0.34039999999999998</v>
      </c>
      <c r="F429">
        <v>1736335.86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0.21311475409835559</v>
      </c>
      <c r="Q429">
        <f t="shared" si="975"/>
        <v>370038.78983605682</v>
      </c>
      <c r="R429">
        <f t="shared" si="976"/>
        <v>3678935.5247784206</v>
      </c>
      <c r="S429">
        <f t="shared" si="977"/>
        <v>36.789355247784208</v>
      </c>
      <c r="T429">
        <f t="shared" si="978"/>
        <v>3.6789355247784206E-2</v>
      </c>
    </row>
    <row r="430" spans="1:20" x14ac:dyDescent="0.25">
      <c r="A430" s="5">
        <v>44163</v>
      </c>
      <c r="B430">
        <v>0.32900000000000001</v>
      </c>
      <c r="C430">
        <v>0.34739999999999999</v>
      </c>
      <c r="D430">
        <v>0.32469999999999999</v>
      </c>
      <c r="E430">
        <v>0.34179999999999999</v>
      </c>
      <c r="F430">
        <v>2316685.2200000002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0.506607929515419</v>
      </c>
      <c r="Q430">
        <f t="shared" si="975"/>
        <v>1173651.102643173</v>
      </c>
      <c r="R430">
        <f t="shared" si="976"/>
        <v>3308896.7349423636</v>
      </c>
      <c r="S430">
        <f t="shared" si="977"/>
        <v>33.088967349423633</v>
      </c>
      <c r="T430">
        <f t="shared" si="978"/>
        <v>3.3088967349423633E-2</v>
      </c>
    </row>
    <row r="431" spans="1:20" x14ac:dyDescent="0.25">
      <c r="A431" s="5">
        <v>44162</v>
      </c>
      <c r="B431">
        <v>0.33860000000000001</v>
      </c>
      <c r="C431">
        <v>0.34699999999999998</v>
      </c>
      <c r="D431">
        <v>0.31580000000000003</v>
      </c>
      <c r="E431">
        <v>0.32869999999999999</v>
      </c>
      <c r="F431">
        <v>2957473.66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-0.17307692307692388</v>
      </c>
      <c r="Q431">
        <f t="shared" si="975"/>
        <v>-511870.44115384854</v>
      </c>
      <c r="R431">
        <f t="shared" si="976"/>
        <v>2135245.6322991904</v>
      </c>
      <c r="S431">
        <f t="shared" si="977"/>
        <v>21.352456322991905</v>
      </c>
      <c r="T431">
        <f t="shared" si="978"/>
        <v>2.1352456322991906E-2</v>
      </c>
    </row>
    <row r="432" spans="1:20" x14ac:dyDescent="0.25">
      <c r="A432" s="5">
        <v>44161</v>
      </c>
      <c r="B432">
        <v>0.39779999999999999</v>
      </c>
      <c r="C432">
        <v>0.42280000000000001</v>
      </c>
      <c r="D432">
        <v>0.31109999999999999</v>
      </c>
      <c r="E432">
        <v>0.33779999999999999</v>
      </c>
      <c r="F432">
        <v>11932504.060000001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-0.52193375111906903</v>
      </c>
      <c r="Q432">
        <f t="shared" si="975"/>
        <v>-6227976.6042793207</v>
      </c>
      <c r="R432">
        <f t="shared" si="976"/>
        <v>2647116.0734530389</v>
      </c>
      <c r="S432">
        <f t="shared" si="977"/>
        <v>26.47116073453039</v>
      </c>
      <c r="T432">
        <f t="shared" si="978"/>
        <v>2.6471160734530388E-2</v>
      </c>
    </row>
    <row r="433" spans="1:20" x14ac:dyDescent="0.25">
      <c r="A433" s="5">
        <v>44160</v>
      </c>
      <c r="B433">
        <v>0.40179999999999999</v>
      </c>
      <c r="C433">
        <v>0.4526</v>
      </c>
      <c r="D433">
        <v>0.38329999999999997</v>
      </c>
      <c r="E433">
        <v>0.39879999999999999</v>
      </c>
      <c r="F433">
        <v>13263869.220000001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-0.55266955266955242</v>
      </c>
      <c r="Q433">
        <f t="shared" si="975"/>
        <v>-7330536.6684848452</v>
      </c>
      <c r="R433">
        <f t="shared" si="976"/>
        <v>8875092.6777323596</v>
      </c>
      <c r="S433">
        <f t="shared" si="977"/>
        <v>88.750926777323599</v>
      </c>
      <c r="T433">
        <f t="shared" si="978"/>
        <v>8.8750926777323602E-2</v>
      </c>
    </row>
    <row r="434" spans="1:20" x14ac:dyDescent="0.25">
      <c r="A434" s="5">
        <v>44159</v>
      </c>
      <c r="B434">
        <v>0.3679</v>
      </c>
      <c r="C434">
        <v>0.40360000000000001</v>
      </c>
      <c r="D434">
        <v>0.34589999999999999</v>
      </c>
      <c r="E434">
        <v>0.40229999999999999</v>
      </c>
      <c r="F434">
        <v>7854571.3399999999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0.95493934142114301</v>
      </c>
      <c r="Q434">
        <f t="shared" si="975"/>
        <v>7500639.182564985</v>
      </c>
      <c r="R434">
        <f t="shared" si="976"/>
        <v>16205629.346217206</v>
      </c>
      <c r="S434">
        <f t="shared" si="977"/>
        <v>162.05629346217205</v>
      </c>
      <c r="T434">
        <f t="shared" si="978"/>
        <v>0.16205629346217204</v>
      </c>
    </row>
    <row r="435" spans="1:20" x14ac:dyDescent="0.25">
      <c r="A435" s="5">
        <v>44158</v>
      </c>
      <c r="B435">
        <v>0.34570000000000001</v>
      </c>
      <c r="C435">
        <v>0.36890000000000001</v>
      </c>
      <c r="D435">
        <v>0.33600000000000002</v>
      </c>
      <c r="E435">
        <v>0.36759999999999998</v>
      </c>
      <c r="F435">
        <v>4144375.71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0.92097264437689819</v>
      </c>
      <c r="Q435">
        <f t="shared" si="975"/>
        <v>3816856.6569300848</v>
      </c>
      <c r="R435">
        <f t="shared" si="976"/>
        <v>8704990.1636522207</v>
      </c>
      <c r="S435">
        <f t="shared" si="977"/>
        <v>87.049901636522208</v>
      </c>
      <c r="T435">
        <f t="shared" si="978"/>
        <v>8.7049901636522209E-2</v>
      </c>
    </row>
    <row r="436" spans="1:20" x14ac:dyDescent="0.25">
      <c r="A436" s="5">
        <v>44157</v>
      </c>
      <c r="B436">
        <v>0.36770000000000003</v>
      </c>
      <c r="C436">
        <v>0.36930000000000002</v>
      </c>
      <c r="D436">
        <v>0.32119999999999999</v>
      </c>
      <c r="E436">
        <v>0.34489999999999998</v>
      </c>
      <c r="F436">
        <v>4759905.82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-1.4553014553015249E-2</v>
      </c>
      <c r="Q436">
        <f t="shared" si="975"/>
        <v>-69270.978669441989</v>
      </c>
      <c r="R436">
        <f t="shared" si="976"/>
        <v>4888133.5067221364</v>
      </c>
      <c r="S436">
        <f t="shared" si="977"/>
        <v>48.881335067221364</v>
      </c>
      <c r="T436">
        <f t="shared" si="978"/>
        <v>4.8881335067221365E-2</v>
      </c>
    </row>
    <row r="437" spans="1:20" x14ac:dyDescent="0.25">
      <c r="A437" s="5">
        <v>44156</v>
      </c>
      <c r="B437">
        <v>0.3271</v>
      </c>
      <c r="C437">
        <v>0.3679</v>
      </c>
      <c r="D437">
        <v>0.32340000000000002</v>
      </c>
      <c r="E437">
        <v>0.3669</v>
      </c>
      <c r="F437">
        <v>4956872.2699999996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0.95505617977528079</v>
      </c>
      <c r="Q437">
        <f t="shared" si="975"/>
        <v>4734091.493820224</v>
      </c>
      <c r="R437">
        <f t="shared" si="976"/>
        <v>4957404.4853915786</v>
      </c>
      <c r="S437">
        <f t="shared" si="977"/>
        <v>49.574044853915787</v>
      </c>
      <c r="T437">
        <f t="shared" si="978"/>
        <v>4.957404485391579E-2</v>
      </c>
    </row>
    <row r="438" spans="1:20" x14ac:dyDescent="0.25">
      <c r="A438" s="5">
        <v>44155</v>
      </c>
      <c r="B438">
        <v>0.31979999999999997</v>
      </c>
      <c r="C438">
        <v>0.33450000000000002</v>
      </c>
      <c r="D438">
        <v>0.31809999999999999</v>
      </c>
      <c r="E438">
        <v>0.3266</v>
      </c>
      <c r="F438">
        <v>2578136.98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3.6585365853657834E-2</v>
      </c>
      <c r="Q438">
        <f t="shared" si="975"/>
        <v>94322.084634144529</v>
      </c>
      <c r="R438">
        <f t="shared" si="976"/>
        <v>223312.99157135456</v>
      </c>
      <c r="S438">
        <f t="shared" si="977"/>
        <v>2.2331299157135458</v>
      </c>
      <c r="T438">
        <f t="shared" si="978"/>
        <v>2.2331299157135457E-3</v>
      </c>
    </row>
    <row r="439" spans="1:20" x14ac:dyDescent="0.25">
      <c r="A439" s="5">
        <v>44154</v>
      </c>
      <c r="B439">
        <v>0.32900000000000001</v>
      </c>
      <c r="C439">
        <v>0.33029999999999998</v>
      </c>
      <c r="D439">
        <v>0.31009999999999999</v>
      </c>
      <c r="E439">
        <v>0.31990000000000002</v>
      </c>
      <c r="F439">
        <v>2535384.2599999998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-2.9702970297026437E-2</v>
      </c>
      <c r="Q439">
        <f t="shared" si="975"/>
        <v>-75308.443366328342</v>
      </c>
      <c r="R439">
        <f t="shared" si="976"/>
        <v>128990.90693721003</v>
      </c>
      <c r="S439">
        <f t="shared" si="977"/>
        <v>1.2899090693721003</v>
      </c>
      <c r="T439">
        <f t="shared" si="978"/>
        <v>1.2899090693721002E-3</v>
      </c>
    </row>
    <row r="440" spans="1:20" x14ac:dyDescent="0.25">
      <c r="A440" s="5">
        <v>44153</v>
      </c>
      <c r="B440">
        <v>0.35299999999999998</v>
      </c>
      <c r="C440">
        <v>0.35749999999999998</v>
      </c>
      <c r="D440">
        <v>0.30759999999999998</v>
      </c>
      <c r="E440">
        <v>0.32840000000000003</v>
      </c>
      <c r="F440">
        <v>4513411.8600000003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-0.16633266533065968</v>
      </c>
      <c r="Q440">
        <f t="shared" si="975"/>
        <v>-750727.82440881035</v>
      </c>
      <c r="R440">
        <f t="shared" si="976"/>
        <v>204299.35030353838</v>
      </c>
      <c r="S440">
        <f t="shared" si="977"/>
        <v>2.0429935030353836</v>
      </c>
      <c r="T440">
        <f t="shared" si="978"/>
        <v>2.0429935030353836E-3</v>
      </c>
    </row>
    <row r="441" spans="1:20" x14ac:dyDescent="0.25">
      <c r="A441" s="5">
        <v>44152</v>
      </c>
      <c r="B441">
        <v>0.34360000000000002</v>
      </c>
      <c r="C441">
        <v>0.36220000000000002</v>
      </c>
      <c r="D441">
        <v>0.33510000000000001</v>
      </c>
      <c r="E441">
        <v>0.35299999999999998</v>
      </c>
      <c r="F441">
        <v>3864577.87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0.32103321033210058</v>
      </c>
      <c r="Q441">
        <f t="shared" si="975"/>
        <v>1240657.8401844914</v>
      </c>
      <c r="R441">
        <f t="shared" si="976"/>
        <v>955027.17471234873</v>
      </c>
      <c r="S441">
        <f t="shared" si="977"/>
        <v>9.550271747123487</v>
      </c>
      <c r="T441">
        <f t="shared" si="978"/>
        <v>9.5502717471234871E-3</v>
      </c>
    </row>
    <row r="442" spans="1:20" x14ac:dyDescent="0.25">
      <c r="A442" s="5">
        <v>44151</v>
      </c>
      <c r="B442">
        <v>0.33910000000000001</v>
      </c>
      <c r="C442">
        <v>0.35499999999999998</v>
      </c>
      <c r="D442">
        <v>0.33529999999999999</v>
      </c>
      <c r="E442">
        <v>0.34399999999999997</v>
      </c>
      <c r="F442">
        <v>3382514.17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-0.11675126903553425</v>
      </c>
      <c r="Q442">
        <f t="shared" si="975"/>
        <v>-394912.82187817682</v>
      </c>
      <c r="R442">
        <f t="shared" si="976"/>
        <v>-285630.66547214269</v>
      </c>
      <c r="S442">
        <f t="shared" si="977"/>
        <v>-2.8563066547214269</v>
      </c>
      <c r="T442">
        <f t="shared" si="978"/>
        <v>-2.8563066547214267E-3</v>
      </c>
    </row>
    <row r="443" spans="1:20" x14ac:dyDescent="0.25">
      <c r="A443" s="5">
        <v>44150</v>
      </c>
      <c r="B443">
        <v>0.35310000000000002</v>
      </c>
      <c r="C443">
        <v>0.3589</v>
      </c>
      <c r="D443">
        <v>0.32740000000000002</v>
      </c>
      <c r="E443">
        <v>0.33960000000000001</v>
      </c>
      <c r="F443">
        <v>4190767.96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-0.22539682539682543</v>
      </c>
      <c r="Q443">
        <f t="shared" si="975"/>
        <v>-944585.79415873031</v>
      </c>
      <c r="R443">
        <f t="shared" si="976"/>
        <v>109282.15640603413</v>
      </c>
      <c r="S443">
        <f t="shared" si="977"/>
        <v>1.0928215640603414</v>
      </c>
      <c r="T443">
        <f t="shared" si="978"/>
        <v>1.0928215640603413E-3</v>
      </c>
    </row>
    <row r="444" spans="1:20" x14ac:dyDescent="0.25">
      <c r="A444" s="5">
        <v>44149</v>
      </c>
      <c r="B444">
        <v>0.35699999999999998</v>
      </c>
      <c r="C444">
        <v>0.36430000000000001</v>
      </c>
      <c r="D444">
        <v>0.33860000000000001</v>
      </c>
      <c r="E444">
        <v>0.3528</v>
      </c>
      <c r="F444">
        <v>3162588.48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0.10505836575875409</v>
      </c>
      <c r="Q444">
        <f t="shared" si="975"/>
        <v>332256.37727626215</v>
      </c>
      <c r="R444">
        <f t="shared" si="976"/>
        <v>1053867.9505647644</v>
      </c>
      <c r="S444">
        <f t="shared" si="977"/>
        <v>10.538679505647645</v>
      </c>
      <c r="T444">
        <f t="shared" si="978"/>
        <v>1.0538679505647644E-2</v>
      </c>
    </row>
    <row r="445" spans="1:20" x14ac:dyDescent="0.25">
      <c r="A445" s="5">
        <v>44148</v>
      </c>
      <c r="B445">
        <v>0.34570000000000001</v>
      </c>
      <c r="C445">
        <v>0.3629</v>
      </c>
      <c r="D445">
        <v>0.34379999999999999</v>
      </c>
      <c r="E445">
        <v>0.35620000000000002</v>
      </c>
      <c r="F445">
        <v>2951458.51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0.29842931937172967</v>
      </c>
      <c r="Q445">
        <f t="shared" si="975"/>
        <v>880801.75429319928</v>
      </c>
      <c r="R445">
        <f t="shared" si="976"/>
        <v>721611.57328850229</v>
      </c>
      <c r="S445">
        <f t="shared" si="977"/>
        <v>7.2161157328850232</v>
      </c>
      <c r="T445">
        <f t="shared" si="978"/>
        <v>7.216115732885023E-3</v>
      </c>
    </row>
    <row r="446" spans="1:20" x14ac:dyDescent="0.25">
      <c r="A446" s="5">
        <v>44147</v>
      </c>
      <c r="B446">
        <v>0.3639</v>
      </c>
      <c r="C446">
        <v>0.3674</v>
      </c>
      <c r="D446">
        <v>0.33500000000000002</v>
      </c>
      <c r="E446">
        <v>0.34570000000000001</v>
      </c>
      <c r="F446">
        <v>4619247.25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-0.33950617283950663</v>
      </c>
      <c r="Q446">
        <f t="shared" si="975"/>
        <v>-1568262.9552469156</v>
      </c>
      <c r="R446">
        <f t="shared" si="976"/>
        <v>-159190.18100469699</v>
      </c>
      <c r="S446">
        <f t="shared" si="977"/>
        <v>-1.59190181004697</v>
      </c>
      <c r="T446">
        <f t="shared" si="978"/>
        <v>-1.59190181004697E-3</v>
      </c>
    </row>
    <row r="447" spans="1:20" x14ac:dyDescent="0.25">
      <c r="A447" s="5">
        <v>44146</v>
      </c>
      <c r="B447">
        <v>0.36919999999999997</v>
      </c>
      <c r="C447">
        <v>0.41289999999999999</v>
      </c>
      <c r="D447">
        <v>0.36309999999999998</v>
      </c>
      <c r="E447">
        <v>0.36380000000000001</v>
      </c>
      <c r="F447">
        <v>6087733.2199999997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-0.97188755020080186</v>
      </c>
      <c r="Q447">
        <f t="shared" si="975"/>
        <v>-5916592.1254618391</v>
      </c>
      <c r="R447">
        <f t="shared" si="976"/>
        <v>1409072.7742422186</v>
      </c>
      <c r="S447">
        <f t="shared" si="977"/>
        <v>14.090727742422185</v>
      </c>
      <c r="T447">
        <f t="shared" si="978"/>
        <v>1.4090727742422185E-2</v>
      </c>
    </row>
    <row r="448" spans="1:20" x14ac:dyDescent="0.25">
      <c r="A448" s="5">
        <v>44145</v>
      </c>
      <c r="B448">
        <v>0.34899999999999998</v>
      </c>
      <c r="C448">
        <v>0.37759999999999999</v>
      </c>
      <c r="D448">
        <v>0.34429999999999999</v>
      </c>
      <c r="E448">
        <v>0.36809999999999998</v>
      </c>
      <c r="F448">
        <v>3871749.29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0.42942942942942885</v>
      </c>
      <c r="Q448">
        <f t="shared" si="975"/>
        <v>1662643.0884984962</v>
      </c>
      <c r="R448">
        <f t="shared" si="976"/>
        <v>7325664.8997040577</v>
      </c>
      <c r="S448">
        <f t="shared" si="977"/>
        <v>73.256648997040571</v>
      </c>
      <c r="T448">
        <f t="shared" si="978"/>
        <v>7.3256648997040569E-2</v>
      </c>
    </row>
    <row r="449" spans="1:20" x14ac:dyDescent="0.25">
      <c r="A449" s="5">
        <v>44144</v>
      </c>
      <c r="B449">
        <v>0.35360000000000003</v>
      </c>
      <c r="C449">
        <v>0.35870000000000002</v>
      </c>
      <c r="D449">
        <v>0.33</v>
      </c>
      <c r="E449">
        <v>0.34720000000000001</v>
      </c>
      <c r="F449">
        <v>3348249.9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0.19860627177700285</v>
      </c>
      <c r="Q449">
        <f t="shared" si="975"/>
        <v>664983.42961672263</v>
      </c>
      <c r="R449">
        <f t="shared" si="976"/>
        <v>5663021.8112055613</v>
      </c>
      <c r="S449">
        <f t="shared" si="977"/>
        <v>56.630218112055616</v>
      </c>
      <c r="T449">
        <f t="shared" si="978"/>
        <v>5.6630218112055618E-2</v>
      </c>
    </row>
    <row r="450" spans="1:20" x14ac:dyDescent="0.25">
      <c r="A450" s="5">
        <v>44143</v>
      </c>
      <c r="B450">
        <v>0.32829999999999998</v>
      </c>
      <c r="C450">
        <v>0.36520000000000002</v>
      </c>
      <c r="D450">
        <v>0.3221</v>
      </c>
      <c r="E450">
        <v>0.35399999999999998</v>
      </c>
      <c r="F450">
        <v>4507632.34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0.4802784222737802</v>
      </c>
      <c r="Q450">
        <f t="shared" si="975"/>
        <v>2164918.5484454678</v>
      </c>
      <c r="R450">
        <f t="shared" si="976"/>
        <v>4998038.381588839</v>
      </c>
      <c r="S450">
        <f t="shared" si="977"/>
        <v>49.980383815888388</v>
      </c>
      <c r="T450">
        <f t="shared" si="978"/>
        <v>4.9980383815888388E-2</v>
      </c>
    </row>
    <row r="451" spans="1:20" x14ac:dyDescent="0.25">
      <c r="A451" s="5">
        <v>44142</v>
      </c>
      <c r="B451">
        <v>0.36909999999999998</v>
      </c>
      <c r="C451">
        <v>0.38469999999999999</v>
      </c>
      <c r="D451">
        <v>0.31569999999999998</v>
      </c>
      <c r="E451">
        <v>0.32919999999999999</v>
      </c>
      <c r="F451">
        <v>7510045.3099999996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-0.60869565217391275</v>
      </c>
      <c r="Q451">
        <f t="shared" si="975"/>
        <v>-4571331.9278260842</v>
      </c>
      <c r="R451">
        <f t="shared" si="976"/>
        <v>2833119.8331433712</v>
      </c>
      <c r="S451">
        <f t="shared" si="977"/>
        <v>28.331198331433711</v>
      </c>
      <c r="T451">
        <f t="shared" si="978"/>
        <v>2.8331198331433712E-2</v>
      </c>
    </row>
    <row r="452" spans="1:20" x14ac:dyDescent="0.25">
      <c r="A452" s="5">
        <v>44141</v>
      </c>
      <c r="B452">
        <v>0.2833</v>
      </c>
      <c r="C452">
        <v>0.38669999999999999</v>
      </c>
      <c r="D452">
        <v>0.28220000000000001</v>
      </c>
      <c r="E452">
        <v>0.36909999999999998</v>
      </c>
      <c r="F452">
        <v>8045304.29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0.66315789473684195</v>
      </c>
      <c r="Q452">
        <f t="shared" si="975"/>
        <v>5335307.0554736834</v>
      </c>
      <c r="R452">
        <f t="shared" si="976"/>
        <v>7404451.7609694554</v>
      </c>
      <c r="S452">
        <f t="shared" si="977"/>
        <v>74.044517609694552</v>
      </c>
      <c r="T452">
        <f t="shared" si="978"/>
        <v>7.4044517609694549E-2</v>
      </c>
    </row>
    <row r="453" spans="1:20" x14ac:dyDescent="0.25">
      <c r="A453" s="5">
        <v>44140</v>
      </c>
      <c r="B453">
        <v>0.27139999999999997</v>
      </c>
      <c r="C453">
        <v>0.28670000000000001</v>
      </c>
      <c r="D453">
        <v>0.26729999999999998</v>
      </c>
      <c r="E453">
        <v>0.2833</v>
      </c>
      <c r="F453">
        <v>2117169.73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0.64948453608247325</v>
      </c>
      <c r="Q453">
        <f t="shared" si="975"/>
        <v>1375068.9998969052</v>
      </c>
      <c r="R453">
        <f t="shared" si="976"/>
        <v>2069144.7054957722</v>
      </c>
      <c r="S453">
        <f t="shared" si="977"/>
        <v>20.69144705495772</v>
      </c>
      <c r="T453">
        <f t="shared" si="978"/>
        <v>2.0691447054957721E-2</v>
      </c>
    </row>
    <row r="454" spans="1:20" x14ac:dyDescent="0.25">
      <c r="A454" s="5">
        <v>44139</v>
      </c>
      <c r="B454">
        <v>0.28510000000000002</v>
      </c>
      <c r="C454">
        <v>0.28770000000000001</v>
      </c>
      <c r="D454">
        <v>0.26</v>
      </c>
      <c r="E454">
        <v>0.27150000000000002</v>
      </c>
      <c r="F454">
        <v>1896818.23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-0.16967509025270691</v>
      </c>
      <c r="Q454">
        <f t="shared" ref="Q454:Q517" si="980">F454*P454</f>
        <v>-321842.80436822976</v>
      </c>
      <c r="R454">
        <f t="shared" ref="R454:R517" si="981">R455+Q454</f>
        <v>694075.70559886703</v>
      </c>
      <c r="S454">
        <f t="shared" ref="S454:S517" si="982">R454/100000</f>
        <v>6.9407570559886702</v>
      </c>
      <c r="T454">
        <f t="shared" ref="T454:T517" si="983">S454/1000</f>
        <v>6.94075705598867E-3</v>
      </c>
    </row>
    <row r="455" spans="1:20" x14ac:dyDescent="0.25">
      <c r="A455" s="5">
        <v>44138</v>
      </c>
      <c r="B455">
        <v>0.30320000000000003</v>
      </c>
      <c r="C455">
        <v>0.30420000000000003</v>
      </c>
      <c r="D455">
        <v>0.27510000000000001</v>
      </c>
      <c r="E455">
        <v>0.28510000000000002</v>
      </c>
      <c r="F455">
        <v>2439342.35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-0.31271477663230213</v>
      </c>
      <c r="Q455">
        <f t="shared" si="980"/>
        <v>-762818.39810996503</v>
      </c>
      <c r="R455">
        <f t="shared" si="981"/>
        <v>1015918.5099670968</v>
      </c>
      <c r="S455">
        <f t="shared" si="982"/>
        <v>10.159185099670969</v>
      </c>
      <c r="T455">
        <f t="shared" si="983"/>
        <v>1.0159185099670969E-2</v>
      </c>
    </row>
    <row r="456" spans="1:20" x14ac:dyDescent="0.25">
      <c r="A456" s="5">
        <v>44137</v>
      </c>
      <c r="B456">
        <v>0.32629999999999998</v>
      </c>
      <c r="C456">
        <v>0.33</v>
      </c>
      <c r="D456">
        <v>0.30180000000000001</v>
      </c>
      <c r="E456">
        <v>0.30370000000000003</v>
      </c>
      <c r="F456">
        <v>2085637.73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-0.86524822695035375</v>
      </c>
      <c r="Q456">
        <f t="shared" si="980"/>
        <v>-1804594.3479432606</v>
      </c>
      <c r="R456">
        <f t="shared" si="981"/>
        <v>1778736.9080770619</v>
      </c>
      <c r="S456">
        <f t="shared" si="982"/>
        <v>17.78736908077062</v>
      </c>
      <c r="T456">
        <f t="shared" si="983"/>
        <v>1.778736908077062E-2</v>
      </c>
    </row>
    <row r="457" spans="1:20" x14ac:dyDescent="0.25">
      <c r="A457" s="5">
        <v>44136</v>
      </c>
      <c r="B457">
        <v>0.31759999999999999</v>
      </c>
      <c r="C457">
        <v>0.33</v>
      </c>
      <c r="D457">
        <v>0.31090000000000001</v>
      </c>
      <c r="E457">
        <v>0.32540000000000002</v>
      </c>
      <c r="F457">
        <v>1464501.93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0.51832460732984387</v>
      </c>
      <c r="Q457">
        <f t="shared" si="980"/>
        <v>759087.38780104846</v>
      </c>
      <c r="R457">
        <f t="shared" si="981"/>
        <v>3583331.2560203224</v>
      </c>
      <c r="S457">
        <f t="shared" si="982"/>
        <v>35.833312560203225</v>
      </c>
      <c r="T457">
        <f t="shared" si="983"/>
        <v>3.5833312560203223E-2</v>
      </c>
    </row>
    <row r="458" spans="1:20" x14ac:dyDescent="0.25">
      <c r="A458" s="5">
        <v>44135</v>
      </c>
      <c r="B458">
        <v>0.31809999999999999</v>
      </c>
      <c r="C458">
        <v>0.33310000000000001</v>
      </c>
      <c r="D458">
        <v>0.316</v>
      </c>
      <c r="E458">
        <v>0.31780000000000003</v>
      </c>
      <c r="F458">
        <v>1538875.17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-0.78947368421052355</v>
      </c>
      <c r="Q458">
        <f t="shared" si="980"/>
        <v>-1214901.4499999958</v>
      </c>
      <c r="R458">
        <f t="shared" si="981"/>
        <v>2824243.8682192741</v>
      </c>
      <c r="S458">
        <f t="shared" si="982"/>
        <v>28.242438682192741</v>
      </c>
      <c r="T458">
        <f t="shared" si="983"/>
        <v>2.8242438682192741E-2</v>
      </c>
    </row>
    <row r="459" spans="1:20" x14ac:dyDescent="0.25">
      <c r="A459" s="5">
        <v>44134</v>
      </c>
      <c r="B459">
        <v>0.33810000000000001</v>
      </c>
      <c r="C459">
        <v>0.34200000000000003</v>
      </c>
      <c r="D459">
        <v>0.31</v>
      </c>
      <c r="E459">
        <v>0.31790000000000002</v>
      </c>
      <c r="F459">
        <v>2993327.96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-0.50624999999999931</v>
      </c>
      <c r="Q459">
        <f t="shared" si="980"/>
        <v>-1515372.2797499979</v>
      </c>
      <c r="R459">
        <f t="shared" si="981"/>
        <v>4039145.3182192696</v>
      </c>
      <c r="S459">
        <f t="shared" si="982"/>
        <v>40.391453182192699</v>
      </c>
      <c r="T459">
        <f t="shared" si="983"/>
        <v>4.0391453182192699E-2</v>
      </c>
    </row>
    <row r="460" spans="1:20" x14ac:dyDescent="0.25">
      <c r="A460" s="5">
        <v>44133</v>
      </c>
      <c r="B460">
        <v>0.33079999999999998</v>
      </c>
      <c r="C460">
        <v>0.34470000000000001</v>
      </c>
      <c r="D460">
        <v>0.31769999999999998</v>
      </c>
      <c r="E460">
        <v>0.33700000000000002</v>
      </c>
      <c r="F460">
        <v>2885817.45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0.42962962962963125</v>
      </c>
      <c r="Q460">
        <f t="shared" si="980"/>
        <v>1239832.6822222269</v>
      </c>
      <c r="R460">
        <f t="shared" si="981"/>
        <v>5554517.5979692675</v>
      </c>
      <c r="S460">
        <f t="shared" si="982"/>
        <v>55.545175979692672</v>
      </c>
      <c r="T460">
        <f t="shared" si="983"/>
        <v>5.5545175979692669E-2</v>
      </c>
    </row>
    <row r="461" spans="1:20" x14ac:dyDescent="0.25">
      <c r="A461" s="5">
        <v>44132</v>
      </c>
      <c r="B461">
        <v>0.36030000000000001</v>
      </c>
      <c r="C461">
        <v>0.36249999999999999</v>
      </c>
      <c r="D461">
        <v>0.3201</v>
      </c>
      <c r="E461">
        <v>0.33079999999999998</v>
      </c>
      <c r="F461">
        <v>3217694.43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-0.49528301886792503</v>
      </c>
      <c r="Q461">
        <f t="shared" si="980"/>
        <v>-1593669.4110849074</v>
      </c>
      <c r="R461">
        <f t="shared" si="981"/>
        <v>4314684.9157470409</v>
      </c>
      <c r="S461">
        <f t="shared" si="982"/>
        <v>43.146849157470406</v>
      </c>
      <c r="T461">
        <f t="shared" si="983"/>
        <v>4.3146849157470406E-2</v>
      </c>
    </row>
    <row r="462" spans="1:20" x14ac:dyDescent="0.25">
      <c r="A462" s="5">
        <v>44131</v>
      </c>
      <c r="B462">
        <v>0.36990000000000001</v>
      </c>
      <c r="C462">
        <v>0.37630000000000002</v>
      </c>
      <c r="D462">
        <v>0.3493</v>
      </c>
      <c r="E462">
        <v>0.3609</v>
      </c>
      <c r="F462">
        <v>3981906.16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-0.14074074074074155</v>
      </c>
      <c r="Q462">
        <f t="shared" si="980"/>
        <v>-560416.42251852178</v>
      </c>
      <c r="R462">
        <f t="shared" si="981"/>
        <v>5908354.326831948</v>
      </c>
      <c r="S462">
        <f t="shared" si="982"/>
        <v>59.083543268319481</v>
      </c>
      <c r="T462">
        <f t="shared" si="983"/>
        <v>5.908354326831948E-2</v>
      </c>
    </row>
    <row r="463" spans="1:20" x14ac:dyDescent="0.25">
      <c r="A463" s="5">
        <v>44130</v>
      </c>
      <c r="B463">
        <v>0.41360000000000002</v>
      </c>
      <c r="C463">
        <v>0.4148</v>
      </c>
      <c r="D463">
        <v>0.35489999999999999</v>
      </c>
      <c r="E463">
        <v>0.36880000000000002</v>
      </c>
      <c r="F463">
        <v>4706960.46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-0.53589315525876391</v>
      </c>
      <c r="Q463">
        <f t="shared" si="980"/>
        <v>-2522427.8925876427</v>
      </c>
      <c r="R463">
        <f t="shared" si="981"/>
        <v>6468770.7493504696</v>
      </c>
      <c r="S463">
        <f t="shared" si="982"/>
        <v>64.687707493504689</v>
      </c>
      <c r="T463">
        <f t="shared" si="983"/>
        <v>6.4687707493504693E-2</v>
      </c>
    </row>
    <row r="464" spans="1:20" x14ac:dyDescent="0.25">
      <c r="A464" s="5">
        <v>44129</v>
      </c>
      <c r="B464">
        <v>0.39250000000000002</v>
      </c>
      <c r="C464">
        <v>0.41710000000000003</v>
      </c>
      <c r="D464">
        <v>0.38550000000000001</v>
      </c>
      <c r="E464">
        <v>0.4138</v>
      </c>
      <c r="F464">
        <v>5196783.8099999996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0.79113924050632767</v>
      </c>
      <c r="Q464">
        <f t="shared" si="980"/>
        <v>4111379.5965189794</v>
      </c>
      <c r="R464">
        <f t="shared" si="981"/>
        <v>8991198.6419381127</v>
      </c>
      <c r="S464">
        <f t="shared" si="982"/>
        <v>89.911986419381122</v>
      </c>
      <c r="T464">
        <f t="shared" si="983"/>
        <v>8.9911986419381126E-2</v>
      </c>
    </row>
    <row r="465" spans="1:20" x14ac:dyDescent="0.25">
      <c r="A465" s="5">
        <v>44128</v>
      </c>
      <c r="B465">
        <v>0.38140000000000002</v>
      </c>
      <c r="C465">
        <v>0.4002</v>
      </c>
      <c r="D465">
        <v>0.37109999999999999</v>
      </c>
      <c r="E465">
        <v>0.39300000000000002</v>
      </c>
      <c r="F465">
        <v>2820533.8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0.50515463917525905</v>
      </c>
      <c r="Q465">
        <f t="shared" si="980"/>
        <v>1424805.7340206222</v>
      </c>
      <c r="R465">
        <f t="shared" si="981"/>
        <v>4879819.0454191323</v>
      </c>
      <c r="S465">
        <f t="shared" si="982"/>
        <v>48.798190454191321</v>
      </c>
      <c r="T465">
        <f t="shared" si="983"/>
        <v>4.8798190454191322E-2</v>
      </c>
    </row>
    <row r="466" spans="1:20" x14ac:dyDescent="0.25">
      <c r="A466" s="5">
        <v>44127</v>
      </c>
      <c r="B466">
        <v>0.38919999999999999</v>
      </c>
      <c r="C466">
        <v>0.39369999999999999</v>
      </c>
      <c r="D466">
        <v>0.36990000000000001</v>
      </c>
      <c r="E466">
        <v>0.38200000000000001</v>
      </c>
      <c r="F466">
        <v>2180138.17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1.6806722689076119E-2</v>
      </c>
      <c r="Q466">
        <f t="shared" si="980"/>
        <v>36640.977647059888</v>
      </c>
      <c r="R466">
        <f t="shared" si="981"/>
        <v>3455013.3113985099</v>
      </c>
      <c r="S466">
        <f t="shared" si="982"/>
        <v>34.550133113985098</v>
      </c>
      <c r="T466">
        <f t="shared" si="983"/>
        <v>3.4550133113985096E-2</v>
      </c>
    </row>
    <row r="467" spans="1:20" x14ac:dyDescent="0.25">
      <c r="A467" s="5">
        <v>44126</v>
      </c>
      <c r="B467">
        <v>0.38219999999999998</v>
      </c>
      <c r="C467">
        <v>0.40460000000000002</v>
      </c>
      <c r="D467">
        <v>0.37090000000000001</v>
      </c>
      <c r="E467">
        <v>0.3891</v>
      </c>
      <c r="F467">
        <v>3246899.49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8.0118694362017198E-2</v>
      </c>
      <c r="Q467">
        <f t="shared" si="980"/>
        <v>260137.34786349954</v>
      </c>
      <c r="R467">
        <f t="shared" si="981"/>
        <v>3418372.3337514498</v>
      </c>
      <c r="S467">
        <f t="shared" si="982"/>
        <v>34.1837233375145</v>
      </c>
      <c r="T467">
        <f t="shared" si="983"/>
        <v>3.4183723337514502E-2</v>
      </c>
    </row>
    <row r="468" spans="1:20" x14ac:dyDescent="0.25">
      <c r="A468" s="5">
        <v>44125</v>
      </c>
      <c r="B468">
        <v>0.37159999999999999</v>
      </c>
      <c r="C468">
        <v>0.39539999999999997</v>
      </c>
      <c r="D468">
        <v>0.36799999999999999</v>
      </c>
      <c r="E468">
        <v>0.38240000000000002</v>
      </c>
      <c r="F468">
        <v>3857875.56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5.1094890510951417E-2</v>
      </c>
      <c r="Q468">
        <f t="shared" si="980"/>
        <v>197117.72934307539</v>
      </c>
      <c r="R468">
        <f t="shared" si="981"/>
        <v>3158234.9858879503</v>
      </c>
      <c r="S468">
        <f t="shared" si="982"/>
        <v>31.582349858879503</v>
      </c>
      <c r="T468">
        <f t="shared" si="983"/>
        <v>3.1582349858879505E-2</v>
      </c>
    </row>
    <row r="469" spans="1:20" x14ac:dyDescent="0.25">
      <c r="A469" s="5">
        <v>44124</v>
      </c>
      <c r="B469">
        <v>0.40250000000000002</v>
      </c>
      <c r="C469">
        <v>0.40479999999999999</v>
      </c>
      <c r="D469">
        <v>0.36580000000000001</v>
      </c>
      <c r="E469">
        <v>0.37159999999999999</v>
      </c>
      <c r="F469">
        <v>4239329.2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-0.70256410256410384</v>
      </c>
      <c r="Q469">
        <f t="shared" si="980"/>
        <v>-2978400.5148718003</v>
      </c>
      <c r="R469">
        <f t="shared" si="981"/>
        <v>2961117.256544875</v>
      </c>
      <c r="S469">
        <f t="shared" si="982"/>
        <v>29.611172565448751</v>
      </c>
      <c r="T469">
        <f t="shared" si="983"/>
        <v>2.9611172565448752E-2</v>
      </c>
    </row>
    <row r="470" spans="1:20" x14ac:dyDescent="0.25">
      <c r="A470" s="5">
        <v>44123</v>
      </c>
      <c r="B470">
        <v>0.44550000000000001</v>
      </c>
      <c r="C470">
        <v>0.44700000000000001</v>
      </c>
      <c r="D470">
        <v>0.39369999999999999</v>
      </c>
      <c r="E470">
        <v>0.40260000000000001</v>
      </c>
      <c r="F470">
        <v>5145043.66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-0.66604127579737271</v>
      </c>
      <c r="Q470">
        <f t="shared" si="980"/>
        <v>-3426811.4433395839</v>
      </c>
      <c r="R470">
        <f t="shared" si="981"/>
        <v>5939517.7714166753</v>
      </c>
      <c r="S470">
        <f t="shared" si="982"/>
        <v>59.395177714166756</v>
      </c>
      <c r="T470">
        <f t="shared" si="983"/>
        <v>5.9395177714166754E-2</v>
      </c>
    </row>
    <row r="471" spans="1:20" x14ac:dyDescent="0.25">
      <c r="A471" s="5">
        <v>44122</v>
      </c>
      <c r="B471">
        <v>0.43180000000000002</v>
      </c>
      <c r="C471">
        <v>0.45229999999999998</v>
      </c>
      <c r="D471">
        <v>0.42449999999999999</v>
      </c>
      <c r="E471">
        <v>0.44540000000000002</v>
      </c>
      <c r="F471">
        <v>3077537.85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0.50359712230216092</v>
      </c>
      <c r="Q471">
        <f t="shared" si="980"/>
        <v>1549839.2050359794</v>
      </c>
      <c r="R471">
        <f t="shared" si="981"/>
        <v>9366329.2147562597</v>
      </c>
      <c r="S471">
        <f t="shared" si="982"/>
        <v>93.663292147562601</v>
      </c>
      <c r="T471">
        <f t="shared" si="983"/>
        <v>9.3663292147562596E-2</v>
      </c>
    </row>
    <row r="472" spans="1:20" x14ac:dyDescent="0.25">
      <c r="A472" s="5">
        <v>44121</v>
      </c>
      <c r="B472">
        <v>0.4289</v>
      </c>
      <c r="C472">
        <v>0.44590000000000002</v>
      </c>
      <c r="D472">
        <v>0.41020000000000001</v>
      </c>
      <c r="E472">
        <v>0.4325</v>
      </c>
      <c r="F472">
        <v>5385146.8200000003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0.2492997198879541</v>
      </c>
      <c r="Q472">
        <f t="shared" si="980"/>
        <v>1342515.5937815069</v>
      </c>
      <c r="R472">
        <f t="shared" si="981"/>
        <v>7816490.0097202808</v>
      </c>
      <c r="S472">
        <f t="shared" si="982"/>
        <v>78.164900097202803</v>
      </c>
      <c r="T472">
        <f t="shared" si="983"/>
        <v>7.8164900097202797E-2</v>
      </c>
    </row>
    <row r="473" spans="1:20" x14ac:dyDescent="0.25">
      <c r="A473" s="5">
        <v>44120</v>
      </c>
      <c r="B473">
        <v>0.47539999999999999</v>
      </c>
      <c r="C473">
        <v>0.47720000000000001</v>
      </c>
      <c r="D473">
        <v>0.41689999999999999</v>
      </c>
      <c r="E473">
        <v>0.42899999999999999</v>
      </c>
      <c r="F473">
        <v>8823530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-0.59867330016583764</v>
      </c>
      <c r="Q473">
        <f t="shared" si="980"/>
        <v>-5282411.8242122736</v>
      </c>
      <c r="R473">
        <f t="shared" si="981"/>
        <v>6473974.4159387741</v>
      </c>
      <c r="S473">
        <f t="shared" si="982"/>
        <v>64.73974415938774</v>
      </c>
      <c r="T473">
        <f t="shared" si="983"/>
        <v>6.4739744159387741E-2</v>
      </c>
    </row>
    <row r="474" spans="1:20" x14ac:dyDescent="0.25">
      <c r="A474" s="5">
        <v>44119</v>
      </c>
      <c r="B474">
        <v>0.51870000000000005</v>
      </c>
      <c r="C474">
        <v>0.53259999999999996</v>
      </c>
      <c r="D474">
        <v>0.46689999999999998</v>
      </c>
      <c r="E474">
        <v>0.47549999999999998</v>
      </c>
      <c r="F474">
        <v>11062675.24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-0.73820395738203959</v>
      </c>
      <c r="Q474">
        <f t="shared" si="980"/>
        <v>-8166510.6414003046</v>
      </c>
      <c r="R474">
        <f t="shared" si="981"/>
        <v>11756386.240151048</v>
      </c>
      <c r="S474">
        <f t="shared" si="982"/>
        <v>117.56386240151048</v>
      </c>
      <c r="T474">
        <f t="shared" si="983"/>
        <v>0.11756386240151048</v>
      </c>
    </row>
    <row r="475" spans="1:20" x14ac:dyDescent="0.25">
      <c r="A475" s="5">
        <v>44118</v>
      </c>
      <c r="B475">
        <v>0.58630000000000004</v>
      </c>
      <c r="C475">
        <v>0.60750000000000004</v>
      </c>
      <c r="D475">
        <v>0.51229999999999998</v>
      </c>
      <c r="E475">
        <v>0.51859999999999995</v>
      </c>
      <c r="F475">
        <v>7639981.5599999996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-0.8676470588235301</v>
      </c>
      <c r="Q475">
        <f t="shared" si="980"/>
        <v>-6628807.5300000049</v>
      </c>
      <c r="R475">
        <f t="shared" si="981"/>
        <v>19922896.881551351</v>
      </c>
      <c r="S475">
        <f t="shared" si="982"/>
        <v>199.22896881551353</v>
      </c>
      <c r="T475">
        <f t="shared" si="983"/>
        <v>0.19922896881551352</v>
      </c>
    </row>
    <row r="476" spans="1:20" x14ac:dyDescent="0.25">
      <c r="A476" s="5">
        <v>44117</v>
      </c>
      <c r="B476">
        <v>0.5847</v>
      </c>
      <c r="C476">
        <v>0.6351</v>
      </c>
      <c r="D476">
        <v>0.57679999999999998</v>
      </c>
      <c r="E476">
        <v>0.58499999999999996</v>
      </c>
      <c r="F476">
        <v>6555994.8300000001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-0.71869639794168161</v>
      </c>
      <c r="Q476">
        <f t="shared" si="980"/>
        <v>-4711769.869245287</v>
      </c>
      <c r="R476">
        <f t="shared" si="981"/>
        <v>26551704.411551356</v>
      </c>
      <c r="S476">
        <f t="shared" si="982"/>
        <v>265.51704411551356</v>
      </c>
      <c r="T476">
        <f t="shared" si="983"/>
        <v>0.26551704411551358</v>
      </c>
    </row>
    <row r="477" spans="1:20" x14ac:dyDescent="0.25">
      <c r="A477" s="5">
        <v>44116</v>
      </c>
      <c r="B477">
        <v>0.59130000000000005</v>
      </c>
      <c r="C477">
        <v>0.62860000000000005</v>
      </c>
      <c r="D477">
        <v>0.56100000000000005</v>
      </c>
      <c r="E477">
        <v>0.58440000000000003</v>
      </c>
      <c r="F477">
        <v>10150851.539999999</v>
      </c>
      <c r="G477">
        <v>0</v>
      </c>
      <c r="L477" t="s">
        <v>7</v>
      </c>
      <c r="M477" t="s">
        <v>8</v>
      </c>
      <c r="N477" t="s">
        <v>8</v>
      </c>
      <c r="P477">
        <f t="shared" si="979"/>
        <v>-0.30769230769230832</v>
      </c>
      <c r="Q477">
        <f t="shared" si="980"/>
        <v>-3123338.9353846214</v>
      </c>
      <c r="R477">
        <f t="shared" si="981"/>
        <v>31263474.280796643</v>
      </c>
      <c r="S477">
        <f t="shared" si="982"/>
        <v>312.63474280796646</v>
      </c>
      <c r="T477">
        <f t="shared" si="983"/>
        <v>0.31263474280796644</v>
      </c>
    </row>
    <row r="478" spans="1:20" x14ac:dyDescent="0.25">
      <c r="A478" s="5">
        <v>44115</v>
      </c>
      <c r="B478">
        <v>0.64100000000000001</v>
      </c>
      <c r="C478">
        <v>0.6411</v>
      </c>
      <c r="D478">
        <v>0.56889999999999996</v>
      </c>
      <c r="E478">
        <v>0.5907</v>
      </c>
      <c r="F478">
        <v>11480408.74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-0.39612188365650891</v>
      </c>
      <c r="Q478">
        <f t="shared" si="980"/>
        <v>-4547641.1352354484</v>
      </c>
      <c r="R478">
        <f t="shared" si="981"/>
        <v>34386813.216181263</v>
      </c>
      <c r="S478">
        <f t="shared" si="982"/>
        <v>343.86813216181264</v>
      </c>
      <c r="T478">
        <f t="shared" si="983"/>
        <v>0.34386813216181261</v>
      </c>
    </row>
    <row r="479" spans="1:20" x14ac:dyDescent="0.25">
      <c r="A479" s="5">
        <v>44114</v>
      </c>
      <c r="B479">
        <v>0.51419999999999999</v>
      </c>
      <c r="C479">
        <v>0.66569999999999996</v>
      </c>
      <c r="D479">
        <v>0.51</v>
      </c>
      <c r="E479">
        <v>0.64100000000000001</v>
      </c>
      <c r="F479">
        <v>14490220.029999999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0.68272318561335965</v>
      </c>
      <c r="Q479">
        <f t="shared" si="980"/>
        <v>9892809.1791201122</v>
      </c>
      <c r="R479">
        <f t="shared" si="981"/>
        <v>38934454.351416714</v>
      </c>
      <c r="S479">
        <f t="shared" si="982"/>
        <v>389.34454351416713</v>
      </c>
      <c r="T479">
        <f t="shared" si="983"/>
        <v>0.38934454351416714</v>
      </c>
    </row>
    <row r="480" spans="1:20" x14ac:dyDescent="0.25">
      <c r="A480" s="5">
        <v>44113</v>
      </c>
      <c r="B480">
        <v>0.48299999999999998</v>
      </c>
      <c r="C480">
        <v>0.5323</v>
      </c>
      <c r="D480">
        <v>0.46479999999999999</v>
      </c>
      <c r="E480">
        <v>0.51439999999999997</v>
      </c>
      <c r="F480">
        <v>5241469.95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0.46962962962962884</v>
      </c>
      <c r="Q480">
        <f t="shared" si="980"/>
        <v>2461549.5913333292</v>
      </c>
      <c r="R480">
        <f t="shared" si="981"/>
        <v>29041645.172296602</v>
      </c>
      <c r="S480">
        <f t="shared" si="982"/>
        <v>290.41645172296603</v>
      </c>
      <c r="T480">
        <f t="shared" si="983"/>
        <v>0.29041645172296604</v>
      </c>
    </row>
    <row r="481" spans="1:20" x14ac:dyDescent="0.25">
      <c r="A481" s="5">
        <v>44112</v>
      </c>
      <c r="B481">
        <v>0.47920000000000001</v>
      </c>
      <c r="C481">
        <v>0.48570000000000002</v>
      </c>
      <c r="D481">
        <v>0.4516</v>
      </c>
      <c r="E481">
        <v>0.48139999999999999</v>
      </c>
      <c r="F481">
        <v>4564059.05</v>
      </c>
      <c r="G481">
        <v>0</v>
      </c>
      <c r="L481" t="s">
        <v>7</v>
      </c>
      <c r="M481" t="s">
        <v>8</v>
      </c>
      <c r="N481" t="s">
        <v>8</v>
      </c>
      <c r="P481">
        <f t="shared" si="979"/>
        <v>0.7478005865102626</v>
      </c>
      <c r="Q481">
        <f t="shared" si="980"/>
        <v>3413006.0344574717</v>
      </c>
      <c r="R481">
        <f t="shared" si="981"/>
        <v>26580095.580963273</v>
      </c>
      <c r="S481">
        <f t="shared" si="982"/>
        <v>265.80095580963274</v>
      </c>
      <c r="T481">
        <f t="shared" si="983"/>
        <v>0.26580095580963276</v>
      </c>
    </row>
    <row r="482" spans="1:20" x14ac:dyDescent="0.25">
      <c r="A482" s="5">
        <v>44111</v>
      </c>
      <c r="B482">
        <v>0.4536</v>
      </c>
      <c r="C482">
        <v>0.48809999999999998</v>
      </c>
      <c r="D482">
        <v>0.43980000000000002</v>
      </c>
      <c r="E482">
        <v>0.4793</v>
      </c>
      <c r="F482">
        <v>6457288.96</v>
      </c>
      <c r="G482">
        <v>0</v>
      </c>
      <c r="L482" t="s">
        <v>8</v>
      </c>
      <c r="M482" t="s">
        <v>8</v>
      </c>
      <c r="N482" t="s">
        <v>8</v>
      </c>
      <c r="P482">
        <f t="shared" si="979"/>
        <v>0.63561076604554934</v>
      </c>
      <c r="Q482">
        <f t="shared" si="980"/>
        <v>4104322.3824430685</v>
      </c>
      <c r="R482">
        <f t="shared" si="981"/>
        <v>23167089.546505801</v>
      </c>
      <c r="S482">
        <f t="shared" si="982"/>
        <v>231.67089546505801</v>
      </c>
      <c r="T482">
        <f t="shared" si="983"/>
        <v>0.23167089546505801</v>
      </c>
    </row>
    <row r="483" spans="1:20" x14ac:dyDescent="0.25">
      <c r="A483" s="5">
        <v>44110</v>
      </c>
      <c r="B483">
        <v>0.50380000000000003</v>
      </c>
      <c r="C483">
        <v>0.50719999999999998</v>
      </c>
      <c r="D483">
        <v>0.44280000000000003</v>
      </c>
      <c r="E483">
        <v>0.45369999999999999</v>
      </c>
      <c r="F483">
        <v>4840838.84</v>
      </c>
      <c r="G483">
        <v>0</v>
      </c>
      <c r="L483" t="s">
        <v>7</v>
      </c>
      <c r="M483" t="s">
        <v>8</v>
      </c>
      <c r="N483" t="s">
        <v>8</v>
      </c>
      <c r="P483">
        <f t="shared" si="979"/>
        <v>-0.66149068322981452</v>
      </c>
      <c r="Q483">
        <f t="shared" si="980"/>
        <v>-3202169.7916770228</v>
      </c>
      <c r="R483">
        <f t="shared" si="981"/>
        <v>19062767.164062735</v>
      </c>
      <c r="S483">
        <f t="shared" si="982"/>
        <v>190.62767164062734</v>
      </c>
      <c r="T483">
        <f t="shared" si="983"/>
        <v>0.19062767164062733</v>
      </c>
    </row>
    <row r="484" spans="1:20" x14ac:dyDescent="0.25">
      <c r="A484" s="5">
        <v>44109</v>
      </c>
      <c r="B484">
        <v>0.46710000000000002</v>
      </c>
      <c r="C484">
        <v>0.50890000000000002</v>
      </c>
      <c r="D484">
        <v>0.46700000000000003</v>
      </c>
      <c r="E484">
        <v>0.50339999999999996</v>
      </c>
      <c r="F484">
        <v>4904538.46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0.73747016706443624</v>
      </c>
      <c r="Q484">
        <f t="shared" si="980"/>
        <v>3616950.7974701528</v>
      </c>
      <c r="R484">
        <f t="shared" si="981"/>
        <v>22264936.955739759</v>
      </c>
      <c r="S484">
        <f t="shared" si="982"/>
        <v>222.64936955739759</v>
      </c>
      <c r="T484">
        <f t="shared" si="983"/>
        <v>0.22264936955739759</v>
      </c>
    </row>
    <row r="485" spans="1:20" x14ac:dyDescent="0.25">
      <c r="A485" s="5">
        <v>44108</v>
      </c>
      <c r="B485">
        <v>0.4597</v>
      </c>
      <c r="C485">
        <v>0.46949999999999997</v>
      </c>
      <c r="D485">
        <v>0.4405</v>
      </c>
      <c r="E485">
        <v>0.46739999999999998</v>
      </c>
      <c r="F485">
        <v>2841407.22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0.85517241379310394</v>
      </c>
      <c r="Q485">
        <f t="shared" si="980"/>
        <v>2429893.0708965533</v>
      </c>
      <c r="R485">
        <f t="shared" si="981"/>
        <v>18647986.158269607</v>
      </c>
      <c r="S485">
        <f t="shared" si="982"/>
        <v>186.47986158269606</v>
      </c>
      <c r="T485">
        <f t="shared" si="983"/>
        <v>0.18647986158269605</v>
      </c>
    </row>
    <row r="486" spans="1:20" x14ac:dyDescent="0.25">
      <c r="A486" s="5">
        <v>44107</v>
      </c>
      <c r="B486">
        <v>0.46810000000000002</v>
      </c>
      <c r="C486">
        <v>0.4768</v>
      </c>
      <c r="D486">
        <v>0.45610000000000001</v>
      </c>
      <c r="E486">
        <v>0.46060000000000001</v>
      </c>
      <c r="F486">
        <v>3052070.81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-0.56521739130434734</v>
      </c>
      <c r="Q486">
        <f t="shared" si="980"/>
        <v>-1725083.5013043464</v>
      </c>
      <c r="R486">
        <f t="shared" si="981"/>
        <v>16218093.087373052</v>
      </c>
      <c r="S486">
        <f t="shared" si="982"/>
        <v>162.18093087373052</v>
      </c>
      <c r="T486">
        <f t="shared" si="983"/>
        <v>0.16218093087373051</v>
      </c>
    </row>
    <row r="487" spans="1:20" x14ac:dyDescent="0.25">
      <c r="A487" s="5">
        <v>44106</v>
      </c>
      <c r="B487">
        <v>0.47389999999999999</v>
      </c>
      <c r="C487">
        <v>0.50729999999999997</v>
      </c>
      <c r="D487">
        <v>0.4224</v>
      </c>
      <c r="E487">
        <v>0.46760000000000002</v>
      </c>
      <c r="F487">
        <v>9553813.7599999998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6.478209658421745E-2</v>
      </c>
      <c r="Q487">
        <f t="shared" si="980"/>
        <v>618916.0857479457</v>
      </c>
      <c r="R487">
        <f t="shared" si="981"/>
        <v>17943176.588677399</v>
      </c>
      <c r="S487">
        <f t="shared" si="982"/>
        <v>179.431765886774</v>
      </c>
      <c r="T487">
        <f t="shared" si="983"/>
        <v>0.17943176588677401</v>
      </c>
    </row>
    <row r="488" spans="1:20" x14ac:dyDescent="0.25">
      <c r="A488" s="5">
        <v>44105</v>
      </c>
      <c r="B488">
        <v>0.51290000000000002</v>
      </c>
      <c r="C488">
        <v>0.51790000000000003</v>
      </c>
      <c r="D488">
        <v>0.44879999999999998</v>
      </c>
      <c r="E488">
        <v>0.47420000000000001</v>
      </c>
      <c r="F488">
        <v>6541231.4500000002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-0.26483357452966672</v>
      </c>
      <c r="Q488">
        <f t="shared" si="980"/>
        <v>-1732337.7067293748</v>
      </c>
      <c r="R488">
        <f t="shared" si="981"/>
        <v>17324260.502929453</v>
      </c>
      <c r="S488">
        <f t="shared" si="982"/>
        <v>173.24260502929454</v>
      </c>
      <c r="T488">
        <f t="shared" si="983"/>
        <v>0.17324260502929453</v>
      </c>
    </row>
    <row r="489" spans="1:20" x14ac:dyDescent="0.25">
      <c r="A489" s="5">
        <v>44104</v>
      </c>
      <c r="B489">
        <v>0.50570000000000004</v>
      </c>
      <c r="C489">
        <v>0.54100000000000004</v>
      </c>
      <c r="D489">
        <v>0.4859</v>
      </c>
      <c r="E489">
        <v>0.51290000000000002</v>
      </c>
      <c r="F489">
        <v>8627149.6600000001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-1.9963702359346445E-2</v>
      </c>
      <c r="Q489">
        <f t="shared" si="980"/>
        <v>-172229.84802177688</v>
      </c>
      <c r="R489">
        <f t="shared" si="981"/>
        <v>19056598.209658828</v>
      </c>
      <c r="S489">
        <f t="shared" si="982"/>
        <v>190.56598209658827</v>
      </c>
      <c r="T489">
        <f t="shared" si="983"/>
        <v>0.19056598209658826</v>
      </c>
    </row>
    <row r="490" spans="1:20" x14ac:dyDescent="0.25">
      <c r="A490" s="5">
        <v>44103</v>
      </c>
      <c r="B490">
        <v>0.43780000000000002</v>
      </c>
      <c r="C490">
        <v>0.52329999999999999</v>
      </c>
      <c r="D490">
        <v>0.4304</v>
      </c>
      <c r="E490">
        <v>0.50390000000000001</v>
      </c>
      <c r="F490">
        <v>14747986.66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0.58234660925726633</v>
      </c>
      <c r="Q490">
        <f t="shared" si="980"/>
        <v>8588440.0248223972</v>
      </c>
      <c r="R490">
        <f t="shared" si="981"/>
        <v>19228828.057680603</v>
      </c>
      <c r="S490">
        <f t="shared" si="982"/>
        <v>192.28828057680605</v>
      </c>
      <c r="T490">
        <f t="shared" si="983"/>
        <v>0.19228828057680605</v>
      </c>
    </row>
    <row r="491" spans="1:20" x14ac:dyDescent="0.25">
      <c r="A491" s="5">
        <v>44102</v>
      </c>
      <c r="B491">
        <v>0.39169999999999999</v>
      </c>
      <c r="C491">
        <v>0.46060000000000001</v>
      </c>
      <c r="D491">
        <v>0.38969999999999999</v>
      </c>
      <c r="E491">
        <v>0.43769999999999998</v>
      </c>
      <c r="F491">
        <v>10232429.779999999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0.35401974612129689</v>
      </c>
      <c r="Q491">
        <f t="shared" si="980"/>
        <v>3622482.1929195975</v>
      </c>
      <c r="R491">
        <f t="shared" si="981"/>
        <v>10640388.032858206</v>
      </c>
      <c r="S491">
        <f t="shared" si="982"/>
        <v>106.40388032858206</v>
      </c>
      <c r="T491">
        <f t="shared" si="983"/>
        <v>0.10640388032858206</v>
      </c>
    </row>
    <row r="492" spans="1:20" x14ac:dyDescent="0.25">
      <c r="A492" s="5">
        <v>44101</v>
      </c>
      <c r="B492">
        <v>0.40139999999999998</v>
      </c>
      <c r="C492">
        <v>0.40720000000000001</v>
      </c>
      <c r="D492">
        <v>0.36730000000000002</v>
      </c>
      <c r="E492">
        <v>0.39129999999999998</v>
      </c>
      <c r="F492">
        <v>2312446.4700000002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0.20300751879699103</v>
      </c>
      <c r="Q492">
        <f t="shared" si="980"/>
        <v>469444.02022556058</v>
      </c>
      <c r="R492">
        <f t="shared" si="981"/>
        <v>7017905.8399386089</v>
      </c>
      <c r="S492">
        <f t="shared" si="982"/>
        <v>70.179058399386093</v>
      </c>
      <c r="T492">
        <f t="shared" si="983"/>
        <v>7.0179058399386096E-2</v>
      </c>
    </row>
    <row r="493" spans="1:20" x14ac:dyDescent="0.25">
      <c r="A493" s="5">
        <v>44100</v>
      </c>
      <c r="B493">
        <v>0.36509999999999998</v>
      </c>
      <c r="C493">
        <v>0.4083</v>
      </c>
      <c r="D493">
        <v>0.36280000000000001</v>
      </c>
      <c r="E493">
        <v>0.40139999999999998</v>
      </c>
      <c r="F493">
        <v>5717661.6600000001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0.69670329670329589</v>
      </c>
      <c r="Q493">
        <f t="shared" si="980"/>
        <v>3983513.7279560394</v>
      </c>
      <c r="R493">
        <f t="shared" si="981"/>
        <v>6548461.8197130486</v>
      </c>
      <c r="S493">
        <f t="shared" si="982"/>
        <v>65.484618197130487</v>
      </c>
      <c r="T493">
        <f t="shared" si="983"/>
        <v>6.5484618197130487E-2</v>
      </c>
    </row>
    <row r="494" spans="1:20" x14ac:dyDescent="0.25">
      <c r="A494" s="5">
        <v>44099</v>
      </c>
      <c r="B494">
        <v>0.33860000000000001</v>
      </c>
      <c r="C494">
        <v>0.38379999999999997</v>
      </c>
      <c r="D494">
        <v>0.32369999999999999</v>
      </c>
      <c r="E494">
        <v>0.3654</v>
      </c>
      <c r="F494">
        <v>4537372.93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0.38768718801996754</v>
      </c>
      <c r="Q494">
        <f t="shared" si="980"/>
        <v>1759081.352229621</v>
      </c>
      <c r="R494">
        <f t="shared" si="981"/>
        <v>2564948.0917570097</v>
      </c>
      <c r="S494">
        <f t="shared" si="982"/>
        <v>25.649480917570099</v>
      </c>
      <c r="T494">
        <f t="shared" si="983"/>
        <v>2.5649480917570099E-2</v>
      </c>
    </row>
    <row r="495" spans="1:20" x14ac:dyDescent="0.25">
      <c r="A495" s="5">
        <v>44098</v>
      </c>
      <c r="B495">
        <v>0.3029</v>
      </c>
      <c r="C495">
        <v>0.33910000000000001</v>
      </c>
      <c r="D495">
        <v>0.29709999999999998</v>
      </c>
      <c r="E495">
        <v>0.33829999999999999</v>
      </c>
      <c r="F495">
        <v>2343447.56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0.96190476190476082</v>
      </c>
      <c r="Q495">
        <f t="shared" si="980"/>
        <v>2254173.3672380927</v>
      </c>
      <c r="R495">
        <f t="shared" si="981"/>
        <v>805866.73952738894</v>
      </c>
      <c r="S495">
        <f t="shared" si="982"/>
        <v>8.0586673952738899</v>
      </c>
      <c r="T495">
        <f t="shared" si="983"/>
        <v>8.0586673952738903E-3</v>
      </c>
    </row>
    <row r="496" spans="1:20" x14ac:dyDescent="0.25">
      <c r="A496" s="5">
        <v>44097</v>
      </c>
      <c r="B496">
        <v>0.33679999999999999</v>
      </c>
      <c r="C496">
        <v>0.34310000000000002</v>
      </c>
      <c r="D496">
        <v>0.3004</v>
      </c>
      <c r="E496">
        <v>0.30159999999999998</v>
      </c>
      <c r="F496">
        <v>2597009.17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-0.94379391100702681</v>
      </c>
      <c r="Q496">
        <f t="shared" si="980"/>
        <v>-2451041.4414754123</v>
      </c>
      <c r="R496">
        <f t="shared" si="981"/>
        <v>-1448306.6277107038</v>
      </c>
      <c r="S496">
        <f t="shared" si="982"/>
        <v>-14.483066277107037</v>
      </c>
      <c r="T496">
        <f t="shared" si="983"/>
        <v>-1.4483066277107036E-2</v>
      </c>
    </row>
    <row r="497" spans="1:20" x14ac:dyDescent="0.25">
      <c r="A497" s="5">
        <v>44096</v>
      </c>
      <c r="B497">
        <v>0.34449999999999997</v>
      </c>
      <c r="C497">
        <v>0.3584</v>
      </c>
      <c r="D497">
        <v>0.30459999999999998</v>
      </c>
      <c r="E497">
        <v>0.33679999999999999</v>
      </c>
      <c r="F497">
        <v>3664840.39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0.19702602230483263</v>
      </c>
      <c r="Q497">
        <f t="shared" si="980"/>
        <v>722068.92442379158</v>
      </c>
      <c r="R497">
        <f t="shared" si="981"/>
        <v>1002734.8137647087</v>
      </c>
      <c r="S497">
        <f t="shared" si="982"/>
        <v>10.027348137647087</v>
      </c>
      <c r="T497">
        <f t="shared" si="983"/>
        <v>1.0027348137647087E-2</v>
      </c>
    </row>
    <row r="498" spans="1:20" x14ac:dyDescent="0.25">
      <c r="A498" s="5">
        <v>44095</v>
      </c>
      <c r="B498">
        <v>0.4093</v>
      </c>
      <c r="C498">
        <v>0.41070000000000001</v>
      </c>
      <c r="D498">
        <v>0.33289999999999997</v>
      </c>
      <c r="E498">
        <v>0.34389999999999998</v>
      </c>
      <c r="F498">
        <v>2647322.6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-0.71722365038560398</v>
      </c>
      <c r="Q498">
        <f t="shared" si="980"/>
        <v>-1898722.3789203083</v>
      </c>
      <c r="R498">
        <f t="shared" si="981"/>
        <v>280665.88934091711</v>
      </c>
      <c r="S498">
        <f t="shared" si="982"/>
        <v>2.8066588934091712</v>
      </c>
      <c r="T498">
        <f t="shared" si="983"/>
        <v>2.8066588934091714E-3</v>
      </c>
    </row>
    <row r="499" spans="1:20" x14ac:dyDescent="0.25">
      <c r="A499" s="5">
        <v>44094</v>
      </c>
      <c r="B499">
        <v>0.4405</v>
      </c>
      <c r="C499">
        <v>0.4405</v>
      </c>
      <c r="D499">
        <v>0.39219999999999999</v>
      </c>
      <c r="E499">
        <v>0.40860000000000002</v>
      </c>
      <c r="F499">
        <v>1910555.44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-0.3209109730848852</v>
      </c>
      <c r="Q499">
        <f t="shared" si="980"/>
        <v>-613118.20538302104</v>
      </c>
      <c r="R499">
        <f t="shared" si="981"/>
        <v>2179388.2682612254</v>
      </c>
      <c r="S499">
        <f t="shared" si="982"/>
        <v>21.793882682612253</v>
      </c>
      <c r="T499">
        <f t="shared" si="983"/>
        <v>2.1793882682612252E-2</v>
      </c>
    </row>
    <row r="500" spans="1:20" x14ac:dyDescent="0.25">
      <c r="A500" s="5">
        <v>44093</v>
      </c>
      <c r="B500">
        <v>0.4118</v>
      </c>
      <c r="C500">
        <v>0.44269999999999998</v>
      </c>
      <c r="D500">
        <v>0.40500000000000003</v>
      </c>
      <c r="E500">
        <v>0.44030000000000002</v>
      </c>
      <c r="F500">
        <v>1545088.21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0.87267904509284033</v>
      </c>
      <c r="Q500">
        <f t="shared" si="980"/>
        <v>1348366.1036870058</v>
      </c>
      <c r="R500">
        <f t="shared" si="981"/>
        <v>2792506.4736442463</v>
      </c>
      <c r="S500">
        <f t="shared" si="982"/>
        <v>27.925064736442465</v>
      </c>
      <c r="T500">
        <f t="shared" si="983"/>
        <v>2.7925064736442465E-2</v>
      </c>
    </row>
    <row r="501" spans="1:20" x14ac:dyDescent="0.25">
      <c r="A501" s="5">
        <v>44092</v>
      </c>
      <c r="B501">
        <v>0.4209</v>
      </c>
      <c r="C501">
        <v>0.44450000000000001</v>
      </c>
      <c r="D501">
        <v>0.3947</v>
      </c>
      <c r="E501">
        <v>0.40989999999999999</v>
      </c>
      <c r="F501">
        <v>2114066.9500000002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-0.38955823293172737</v>
      </c>
      <c r="Q501">
        <f t="shared" si="980"/>
        <v>-823552.18534136645</v>
      </c>
      <c r="R501">
        <f t="shared" si="981"/>
        <v>1444140.3699572408</v>
      </c>
      <c r="S501">
        <f t="shared" si="982"/>
        <v>14.441403699572408</v>
      </c>
      <c r="T501">
        <f t="shared" si="983"/>
        <v>1.4441403699572409E-2</v>
      </c>
    </row>
    <row r="502" spans="1:20" x14ac:dyDescent="0.25">
      <c r="A502" s="5">
        <v>44091</v>
      </c>
      <c r="B502">
        <v>0.44130000000000003</v>
      </c>
      <c r="C502">
        <v>0.45100000000000001</v>
      </c>
      <c r="D502">
        <v>0.40839999999999999</v>
      </c>
      <c r="E502">
        <v>0.41980000000000001</v>
      </c>
      <c r="F502">
        <v>1674621.73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-0.46478873239436552</v>
      </c>
      <c r="Q502">
        <f t="shared" si="980"/>
        <v>-778345.31112675939</v>
      </c>
      <c r="R502">
        <f t="shared" si="981"/>
        <v>2267692.5552986073</v>
      </c>
      <c r="S502">
        <f t="shared" si="982"/>
        <v>22.676925552986074</v>
      </c>
      <c r="T502">
        <f t="shared" si="983"/>
        <v>2.2676925552986074E-2</v>
      </c>
    </row>
    <row r="503" spans="1:20" x14ac:dyDescent="0.25">
      <c r="A503" s="5">
        <v>44090</v>
      </c>
      <c r="B503">
        <v>0.45140000000000002</v>
      </c>
      <c r="C503">
        <v>0.45679999999999998</v>
      </c>
      <c r="D503">
        <v>0.4153</v>
      </c>
      <c r="E503">
        <v>0.44159999999999999</v>
      </c>
      <c r="F503">
        <v>2902033.32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0.26746987951807238</v>
      </c>
      <c r="Q503">
        <f t="shared" si="980"/>
        <v>776206.50245783152</v>
      </c>
      <c r="R503">
        <f t="shared" si="981"/>
        <v>3046037.8664253666</v>
      </c>
      <c r="S503">
        <f t="shared" si="982"/>
        <v>30.460378664253668</v>
      </c>
      <c r="T503">
        <f t="shared" si="983"/>
        <v>3.0460378664253669E-2</v>
      </c>
    </row>
    <row r="504" spans="1:20" x14ac:dyDescent="0.25">
      <c r="A504" s="5">
        <v>44089</v>
      </c>
      <c r="B504">
        <v>0.47289999999999999</v>
      </c>
      <c r="C504">
        <v>0.50800000000000001</v>
      </c>
      <c r="D504">
        <v>0.44779999999999998</v>
      </c>
      <c r="E504">
        <v>0.45129999999999998</v>
      </c>
      <c r="F504">
        <v>3021301.31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-0.88372093023255804</v>
      </c>
      <c r="Q504">
        <f t="shared" si="980"/>
        <v>-2669987.2041860465</v>
      </c>
      <c r="R504">
        <f t="shared" si="981"/>
        <v>2269831.3639675351</v>
      </c>
      <c r="S504">
        <f t="shared" si="982"/>
        <v>22.698313639675352</v>
      </c>
      <c r="T504">
        <f t="shared" si="983"/>
        <v>2.2698313639675352E-2</v>
      </c>
    </row>
    <row r="505" spans="1:20" x14ac:dyDescent="0.25">
      <c r="A505" s="5">
        <v>44088</v>
      </c>
      <c r="B505">
        <v>0.48180000000000001</v>
      </c>
      <c r="C505">
        <v>0.49299999999999999</v>
      </c>
      <c r="D505">
        <v>0.46050000000000002</v>
      </c>
      <c r="E505">
        <v>0.4723</v>
      </c>
      <c r="F505">
        <v>2892835.66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-0.27384615384615468</v>
      </c>
      <c r="Q505">
        <f t="shared" si="980"/>
        <v>-792191.91920000245</v>
      </c>
      <c r="R505">
        <f t="shared" si="981"/>
        <v>4939818.5681535816</v>
      </c>
      <c r="S505">
        <f t="shared" si="982"/>
        <v>49.398185681535814</v>
      </c>
      <c r="T505">
        <f t="shared" si="983"/>
        <v>4.9398185681535811E-2</v>
      </c>
    </row>
    <row r="506" spans="1:20" x14ac:dyDescent="0.25">
      <c r="A506" s="5">
        <v>44087</v>
      </c>
      <c r="B506">
        <v>0.53600000000000003</v>
      </c>
      <c r="C506">
        <v>0.53700000000000003</v>
      </c>
      <c r="D506">
        <v>0.46289999999999998</v>
      </c>
      <c r="E506">
        <v>0.48180000000000001</v>
      </c>
      <c r="F506">
        <v>2960144.99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-0.48987854251012108</v>
      </c>
      <c r="Q506">
        <f t="shared" si="980"/>
        <v>-1450111.5133198372</v>
      </c>
      <c r="R506">
        <f t="shared" si="981"/>
        <v>5732010.4873535838</v>
      </c>
      <c r="S506">
        <f t="shared" si="982"/>
        <v>57.32010487353584</v>
      </c>
      <c r="T506">
        <f t="shared" si="983"/>
        <v>5.7320104873535838E-2</v>
      </c>
    </row>
    <row r="507" spans="1:20" x14ac:dyDescent="0.25">
      <c r="A507" s="5">
        <v>44086</v>
      </c>
      <c r="B507">
        <v>0.53859999999999997</v>
      </c>
      <c r="C507">
        <v>0.55940000000000001</v>
      </c>
      <c r="D507">
        <v>0.50039999999999996</v>
      </c>
      <c r="E507">
        <v>0.53779999999999994</v>
      </c>
      <c r="F507">
        <v>2922280.8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0.26779661016949002</v>
      </c>
      <c r="Q507">
        <f t="shared" si="980"/>
        <v>782576.89220338536</v>
      </c>
      <c r="R507">
        <f t="shared" si="981"/>
        <v>7182122.0006734207</v>
      </c>
      <c r="S507">
        <f t="shared" si="982"/>
        <v>71.821220006734208</v>
      </c>
      <c r="T507">
        <f t="shared" si="983"/>
        <v>7.1821220006734202E-2</v>
      </c>
    </row>
    <row r="508" spans="1:20" x14ac:dyDescent="0.25">
      <c r="A508" s="5">
        <v>44085</v>
      </c>
      <c r="B508">
        <v>0.50349999999999995</v>
      </c>
      <c r="C508">
        <v>0.57999999999999996</v>
      </c>
      <c r="D508">
        <v>0.50260000000000005</v>
      </c>
      <c r="E508">
        <v>0.53620000000000001</v>
      </c>
      <c r="F508">
        <v>6516693.4800000004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-0.13178294573643409</v>
      </c>
      <c r="Q508">
        <f t="shared" si="980"/>
        <v>-858789.0632558139</v>
      </c>
      <c r="R508">
        <f t="shared" si="981"/>
        <v>6399545.1084700357</v>
      </c>
      <c r="S508">
        <f t="shared" si="982"/>
        <v>63.995451084700356</v>
      </c>
      <c r="T508">
        <f t="shared" si="983"/>
        <v>6.3995451084700353E-2</v>
      </c>
    </row>
    <row r="509" spans="1:20" x14ac:dyDescent="0.25">
      <c r="A509" s="5">
        <v>44084</v>
      </c>
      <c r="B509">
        <v>0.46529999999999999</v>
      </c>
      <c r="C509">
        <v>0.52869999999999995</v>
      </c>
      <c r="D509">
        <v>0.45729999999999998</v>
      </c>
      <c r="E509">
        <v>0.50509999999999999</v>
      </c>
      <c r="F509">
        <v>3086718.27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0.33893557422969284</v>
      </c>
      <c r="Q509">
        <f t="shared" si="980"/>
        <v>1046198.6293277341</v>
      </c>
      <c r="R509">
        <f t="shared" si="981"/>
        <v>7258334.1717258496</v>
      </c>
      <c r="S509">
        <f t="shared" si="982"/>
        <v>72.583341717258492</v>
      </c>
      <c r="T509">
        <f t="shared" si="983"/>
        <v>7.2583341717258498E-2</v>
      </c>
    </row>
    <row r="510" spans="1:20" x14ac:dyDescent="0.25">
      <c r="A510" s="5">
        <v>44083</v>
      </c>
      <c r="B510">
        <v>0.46400000000000002</v>
      </c>
      <c r="C510">
        <v>0.48359999999999997</v>
      </c>
      <c r="D510">
        <v>0.43719999999999998</v>
      </c>
      <c r="E510">
        <v>0.46539999999999998</v>
      </c>
      <c r="F510">
        <v>2438221.4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0.21551724137931055</v>
      </c>
      <c r="Q510">
        <f t="shared" si="980"/>
        <v>525478.75000000047</v>
      </c>
      <c r="R510">
        <f t="shared" si="981"/>
        <v>6212135.5423981156</v>
      </c>
      <c r="S510">
        <f t="shared" si="982"/>
        <v>62.121355423981157</v>
      </c>
      <c r="T510">
        <f t="shared" si="983"/>
        <v>6.2121355423981159E-2</v>
      </c>
    </row>
    <row r="511" spans="1:20" x14ac:dyDescent="0.25">
      <c r="A511" s="5">
        <v>44082</v>
      </c>
      <c r="B511">
        <v>0.50180000000000002</v>
      </c>
      <c r="C511">
        <v>0.51600000000000001</v>
      </c>
      <c r="D511">
        <v>0.45100000000000001</v>
      </c>
      <c r="E511">
        <v>0.46339999999999998</v>
      </c>
      <c r="F511">
        <v>1853145.12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-0.61846153846153951</v>
      </c>
      <c r="Q511">
        <f t="shared" si="980"/>
        <v>-1146098.9819076944</v>
      </c>
      <c r="R511">
        <f t="shared" si="981"/>
        <v>5686656.7923981156</v>
      </c>
      <c r="S511">
        <f t="shared" si="982"/>
        <v>56.866567923981158</v>
      </c>
      <c r="T511">
        <f t="shared" si="983"/>
        <v>5.6866567923981155E-2</v>
      </c>
    </row>
    <row r="512" spans="1:20" x14ac:dyDescent="0.25">
      <c r="A512" s="5">
        <v>44081</v>
      </c>
      <c r="B512">
        <v>0.52459999999999996</v>
      </c>
      <c r="C512">
        <v>0.56000000000000005</v>
      </c>
      <c r="D512">
        <v>0.45029999999999998</v>
      </c>
      <c r="E512">
        <v>0.49990000000000001</v>
      </c>
      <c r="F512">
        <v>2888604.84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-9.5715587967183241E-2</v>
      </c>
      <c r="Q512">
        <f t="shared" si="980"/>
        <v>-276484.51066545123</v>
      </c>
      <c r="R512">
        <f t="shared" si="981"/>
        <v>6832755.7743058102</v>
      </c>
      <c r="S512">
        <f t="shared" si="982"/>
        <v>68.327557743058108</v>
      </c>
      <c r="T512">
        <f t="shared" si="983"/>
        <v>6.8327557743058112E-2</v>
      </c>
    </row>
    <row r="513" spans="1:20" x14ac:dyDescent="0.25">
      <c r="A513" s="5">
        <v>44080</v>
      </c>
      <c r="B513">
        <v>0.52890000000000004</v>
      </c>
      <c r="C513">
        <v>0.54190000000000005</v>
      </c>
      <c r="D513">
        <v>0.48</v>
      </c>
      <c r="E513">
        <v>0.52149999999999996</v>
      </c>
      <c r="F513">
        <v>4160978.73</v>
      </c>
      <c r="G513">
        <v>0</v>
      </c>
      <c r="L513" t="s">
        <v>8</v>
      </c>
      <c r="M513" t="s">
        <v>7</v>
      </c>
      <c r="N513" t="s">
        <v>8</v>
      </c>
      <c r="P513">
        <f t="shared" si="979"/>
        <v>0.34087237479805937</v>
      </c>
      <c r="Q513">
        <f t="shared" si="980"/>
        <v>1418362.701179313</v>
      </c>
      <c r="R513">
        <f t="shared" si="981"/>
        <v>7109240.2849712614</v>
      </c>
      <c r="S513">
        <f t="shared" si="982"/>
        <v>71.092402849712613</v>
      </c>
      <c r="T513">
        <f t="shared" si="983"/>
        <v>7.1092402849712619E-2</v>
      </c>
    </row>
    <row r="514" spans="1:20" x14ac:dyDescent="0.25">
      <c r="A514" s="5">
        <v>44079</v>
      </c>
      <c r="B514">
        <v>0.59279999999999999</v>
      </c>
      <c r="C514">
        <v>0.60870000000000002</v>
      </c>
      <c r="D514">
        <v>0.46689999999999998</v>
      </c>
      <c r="E514">
        <v>0.53010000000000002</v>
      </c>
      <c r="F514">
        <v>10444763.539999999</v>
      </c>
      <c r="G514">
        <v>0</v>
      </c>
      <c r="L514" t="s">
        <v>7</v>
      </c>
      <c r="M514" t="s">
        <v>7</v>
      </c>
      <c r="N514" t="s">
        <v>8</v>
      </c>
      <c r="P514">
        <f t="shared" si="979"/>
        <v>-0.10860366713681216</v>
      </c>
      <c r="Q514">
        <f t="shared" si="980"/>
        <v>-1134339.6228208716</v>
      </c>
      <c r="R514">
        <f t="shared" si="981"/>
        <v>5690877.5837919479</v>
      </c>
      <c r="S514">
        <f t="shared" si="982"/>
        <v>56.908775837919478</v>
      </c>
      <c r="T514">
        <f t="shared" si="983"/>
        <v>5.6908775837919479E-2</v>
      </c>
    </row>
    <row r="515" spans="1:20" x14ac:dyDescent="0.25">
      <c r="A515" s="5">
        <v>44078</v>
      </c>
      <c r="B515">
        <v>0.40600000000000003</v>
      </c>
      <c r="C515">
        <v>0.63</v>
      </c>
      <c r="D515">
        <v>0.4</v>
      </c>
      <c r="E515">
        <v>0.59050000000000002</v>
      </c>
      <c r="F515">
        <v>18960343.809999999</v>
      </c>
      <c r="G515">
        <v>0</v>
      </c>
      <c r="L515" t="s">
        <v>8</v>
      </c>
      <c r="M515" t="s">
        <v>8</v>
      </c>
      <c r="N515" t="s">
        <v>8</v>
      </c>
      <c r="P515">
        <f t="shared" si="979"/>
        <v>0.65652173913043499</v>
      </c>
      <c r="Q515">
        <f t="shared" si="980"/>
        <v>12447877.892652176</v>
      </c>
      <c r="R515">
        <f t="shared" si="981"/>
        <v>6825217.2066128198</v>
      </c>
      <c r="S515">
        <f t="shared" si="982"/>
        <v>68.252172066128196</v>
      </c>
      <c r="T515">
        <f t="shared" si="983"/>
        <v>6.82521720661282E-2</v>
      </c>
    </row>
    <row r="516" spans="1:20" x14ac:dyDescent="0.25">
      <c r="A516" s="5">
        <v>44077</v>
      </c>
      <c r="B516">
        <v>0.53159999999999996</v>
      </c>
      <c r="C516">
        <v>0.54</v>
      </c>
      <c r="D516">
        <v>0.38</v>
      </c>
      <c r="E516">
        <v>0.40089999999999998</v>
      </c>
      <c r="F516">
        <v>4286848.33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-0.73875000000000035</v>
      </c>
      <c r="Q516">
        <f t="shared" si="980"/>
        <v>-3166909.2037875014</v>
      </c>
      <c r="R516">
        <f t="shared" si="981"/>
        <v>-5622660.6860393565</v>
      </c>
      <c r="S516">
        <f t="shared" si="982"/>
        <v>-56.226606860393566</v>
      </c>
      <c r="T516">
        <f t="shared" si="983"/>
        <v>-5.6226606860393567E-2</v>
      </c>
    </row>
    <row r="517" spans="1:20" x14ac:dyDescent="0.25">
      <c r="A517" s="5">
        <v>44076</v>
      </c>
      <c r="B517">
        <v>0.56320000000000003</v>
      </c>
      <c r="C517">
        <v>0.61660000000000004</v>
      </c>
      <c r="D517">
        <v>0.47</v>
      </c>
      <c r="E517">
        <v>0.53300000000000003</v>
      </c>
      <c r="F517">
        <v>4728241.33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-0.14051841746248256</v>
      </c>
      <c r="Q517">
        <f t="shared" si="980"/>
        <v>-664404.98907230375</v>
      </c>
      <c r="R517">
        <f t="shared" si="981"/>
        <v>-2455751.4822518546</v>
      </c>
      <c r="S517">
        <f t="shared" si="982"/>
        <v>-24.557514822518545</v>
      </c>
      <c r="T517">
        <f t="shared" si="983"/>
        <v>-2.4557514822518545E-2</v>
      </c>
    </row>
    <row r="518" spans="1:20" x14ac:dyDescent="0.25">
      <c r="A518" s="5">
        <v>44075</v>
      </c>
      <c r="B518">
        <v>0.60329999999999995</v>
      </c>
      <c r="C518">
        <v>0.61250000000000004</v>
      </c>
      <c r="D518">
        <v>0.54559999999999997</v>
      </c>
      <c r="E518">
        <v>0.56430000000000002</v>
      </c>
      <c r="F518">
        <v>6462686.2400000002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-0.44095665171898263</v>
      </c>
      <c r="Q518">
        <f t="shared" ref="Q518:Q581" si="985">F518*P518</f>
        <v>-2849764.4855007413</v>
      </c>
      <c r="R518">
        <f t="shared" ref="R518:R581" si="986">R519+Q518</f>
        <v>-1791346.4931795509</v>
      </c>
      <c r="S518">
        <f t="shared" ref="S518:S581" si="987">R518/100000</f>
        <v>-17.913464931795509</v>
      </c>
      <c r="T518">
        <f t="shared" ref="T518:T581" si="988">S518/1000</f>
        <v>-1.7913464931795509E-2</v>
      </c>
    </row>
    <row r="519" spans="1:20" x14ac:dyDescent="0.25">
      <c r="A519" s="5">
        <v>44074</v>
      </c>
      <c r="B519">
        <v>0.64639999999999997</v>
      </c>
      <c r="C519">
        <v>0.69979999999999998</v>
      </c>
      <c r="D519">
        <v>0.58069999999999999</v>
      </c>
      <c r="E519">
        <v>0.60329999999999995</v>
      </c>
      <c r="F519">
        <v>5392076.9299999997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-0.62048698572628114</v>
      </c>
      <c r="Q519">
        <f t="shared" si="985"/>
        <v>-3345713.5610999195</v>
      </c>
      <c r="R519">
        <f t="shared" si="986"/>
        <v>1058417.9923211904</v>
      </c>
      <c r="S519">
        <f t="shared" si="987"/>
        <v>10.584179923211904</v>
      </c>
      <c r="T519">
        <f t="shared" si="988"/>
        <v>1.0584179923211904E-2</v>
      </c>
    </row>
    <row r="520" spans="1:20" x14ac:dyDescent="0.25">
      <c r="A520" s="5">
        <v>44073</v>
      </c>
      <c r="B520">
        <v>0.68500000000000005</v>
      </c>
      <c r="C520">
        <v>0.69799999999999995</v>
      </c>
      <c r="D520">
        <v>0.622</v>
      </c>
      <c r="E520">
        <v>0.64739999999999998</v>
      </c>
      <c r="F520">
        <v>9304968.5500000007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-0.33157894736842125</v>
      </c>
      <c r="Q520">
        <f t="shared" si="985"/>
        <v>-3085331.6771052652</v>
      </c>
      <c r="R520">
        <f t="shared" si="986"/>
        <v>4404131.5534211099</v>
      </c>
      <c r="S520">
        <f t="shared" si="987"/>
        <v>44.041315534211101</v>
      </c>
      <c r="T520">
        <f t="shared" si="988"/>
        <v>4.4041315534211103E-2</v>
      </c>
    </row>
    <row r="521" spans="1:20" x14ac:dyDescent="0.25">
      <c r="A521" s="5">
        <v>44072</v>
      </c>
      <c r="B521">
        <v>0.58130000000000004</v>
      </c>
      <c r="C521">
        <v>0.78759999999999997</v>
      </c>
      <c r="D521">
        <v>0.57479999999999998</v>
      </c>
      <c r="E521">
        <v>0.68489999999999995</v>
      </c>
      <c r="F521">
        <v>31960236.010000002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3.4774436090225389E-2</v>
      </c>
      <c r="Q521">
        <f t="shared" si="985"/>
        <v>1111399.1845582651</v>
      </c>
      <c r="R521">
        <f t="shared" si="986"/>
        <v>7489463.2305263756</v>
      </c>
      <c r="S521">
        <f t="shared" si="987"/>
        <v>74.894632305263755</v>
      </c>
      <c r="T521">
        <f t="shared" si="988"/>
        <v>7.4894632305263761E-2</v>
      </c>
    </row>
    <row r="522" spans="1:20" x14ac:dyDescent="0.25">
      <c r="A522" s="5">
        <v>44071</v>
      </c>
      <c r="B522">
        <v>0.4461</v>
      </c>
      <c r="C522">
        <v>0.59</v>
      </c>
      <c r="D522">
        <v>0.4461</v>
      </c>
      <c r="E522">
        <v>0.58140000000000003</v>
      </c>
      <c r="F522">
        <v>12094922.4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0.88047255038221062</v>
      </c>
      <c r="Q522">
        <f t="shared" si="985"/>
        <v>10649247.172202928</v>
      </c>
      <c r="R522">
        <f t="shared" si="986"/>
        <v>6378064.0459681107</v>
      </c>
      <c r="S522">
        <f t="shared" si="987"/>
        <v>63.780640459681109</v>
      </c>
      <c r="T522">
        <f t="shared" si="988"/>
        <v>6.3780640459681112E-2</v>
      </c>
    </row>
    <row r="523" spans="1:20" x14ac:dyDescent="0.25">
      <c r="A523" s="5">
        <v>44070</v>
      </c>
      <c r="B523">
        <v>0.47110000000000002</v>
      </c>
      <c r="C523">
        <v>0.52949999999999997</v>
      </c>
      <c r="D523">
        <v>0.41620000000000001</v>
      </c>
      <c r="E523">
        <v>0.44800000000000001</v>
      </c>
      <c r="F523">
        <v>14756661.59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-0.43865842894969098</v>
      </c>
      <c r="Q523">
        <f t="shared" si="985"/>
        <v>-6473133.989611649</v>
      </c>
      <c r="R523">
        <f t="shared" si="986"/>
        <v>-4271183.1262348173</v>
      </c>
      <c r="S523">
        <f t="shared" si="987"/>
        <v>-42.71183126234817</v>
      </c>
      <c r="T523">
        <f t="shared" si="988"/>
        <v>-4.271183126234817E-2</v>
      </c>
    </row>
    <row r="524" spans="1:20" x14ac:dyDescent="0.25">
      <c r="A524" s="5">
        <v>44069</v>
      </c>
      <c r="B524">
        <v>0.34749999999999998</v>
      </c>
      <c r="C524">
        <v>0.50049999999999994</v>
      </c>
      <c r="D524">
        <v>0.33050000000000002</v>
      </c>
      <c r="E524">
        <v>0.47320000000000001</v>
      </c>
      <c r="F524">
        <v>9463616.2799999993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0.67882352941176538</v>
      </c>
      <c r="Q524">
        <f t="shared" si="985"/>
        <v>6424125.4041882409</v>
      </c>
      <c r="R524">
        <f t="shared" si="986"/>
        <v>2201950.8633768316</v>
      </c>
      <c r="S524">
        <f t="shared" si="987"/>
        <v>22.019508633768318</v>
      </c>
      <c r="T524">
        <f t="shared" si="988"/>
        <v>2.2019508633768319E-2</v>
      </c>
    </row>
    <row r="525" spans="1:20" x14ac:dyDescent="0.25">
      <c r="A525" s="5">
        <v>44068</v>
      </c>
      <c r="B525">
        <v>0.3831</v>
      </c>
      <c r="C525">
        <v>0.39560000000000001</v>
      </c>
      <c r="D525">
        <v>0.3241</v>
      </c>
      <c r="E525">
        <v>0.34749999999999998</v>
      </c>
      <c r="F525">
        <v>4466312.16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-0.34545454545454618</v>
      </c>
      <c r="Q525">
        <f t="shared" si="985"/>
        <v>-1542907.8370909123</v>
      </c>
      <c r="R525">
        <f t="shared" si="986"/>
        <v>-4222174.5408114092</v>
      </c>
      <c r="S525">
        <f t="shared" si="987"/>
        <v>-42.221745408114096</v>
      </c>
      <c r="T525">
        <f t="shared" si="988"/>
        <v>-4.2221745408114096E-2</v>
      </c>
    </row>
    <row r="526" spans="1:20" x14ac:dyDescent="0.25">
      <c r="A526" s="5">
        <v>44067</v>
      </c>
      <c r="B526">
        <v>0.39589999999999997</v>
      </c>
      <c r="C526">
        <v>0.46829999999999999</v>
      </c>
      <c r="D526">
        <v>0.36020000000000002</v>
      </c>
      <c r="E526">
        <v>0.3831</v>
      </c>
      <c r="F526">
        <v>13127141.439999999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-0.57631822386679032</v>
      </c>
      <c r="Q526">
        <f t="shared" si="985"/>
        <v>-7565410.8391489396</v>
      </c>
      <c r="R526">
        <f t="shared" si="986"/>
        <v>-2679266.703720497</v>
      </c>
      <c r="S526">
        <f t="shared" si="987"/>
        <v>-26.792667037204971</v>
      </c>
      <c r="T526">
        <f t="shared" si="988"/>
        <v>-2.6792667037204971E-2</v>
      </c>
    </row>
    <row r="527" spans="1:20" x14ac:dyDescent="0.25">
      <c r="A527" s="5">
        <v>44066</v>
      </c>
      <c r="B527">
        <v>0.28179999999999999</v>
      </c>
      <c r="C527">
        <v>0.49359999999999998</v>
      </c>
      <c r="D527">
        <v>0.27939999999999998</v>
      </c>
      <c r="E527">
        <v>0.39529999999999998</v>
      </c>
      <c r="F527">
        <v>15172068.039999999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8.2166199813258664E-2</v>
      </c>
      <c r="Q527">
        <f t="shared" si="985"/>
        <v>1246631.1741549957</v>
      </c>
      <c r="R527">
        <f t="shared" si="986"/>
        <v>4886144.1354284426</v>
      </c>
      <c r="S527">
        <f t="shared" si="987"/>
        <v>48.861441354284423</v>
      </c>
      <c r="T527">
        <f t="shared" si="988"/>
        <v>4.8861441354284427E-2</v>
      </c>
    </row>
    <row r="528" spans="1:20" x14ac:dyDescent="0.25">
      <c r="A528" s="5">
        <v>44065</v>
      </c>
      <c r="B528">
        <v>0.2626</v>
      </c>
      <c r="C528">
        <v>0.28989999999999999</v>
      </c>
      <c r="D528">
        <v>0.25</v>
      </c>
      <c r="E528">
        <v>0.28189999999999998</v>
      </c>
      <c r="F528">
        <v>747054.65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0.59899749373433542</v>
      </c>
      <c r="Q528">
        <f t="shared" si="985"/>
        <v>447483.86303258117</v>
      </c>
      <c r="R528">
        <f t="shared" si="986"/>
        <v>3639512.9612734467</v>
      </c>
      <c r="S528">
        <f t="shared" si="987"/>
        <v>36.395129612734465</v>
      </c>
      <c r="T528">
        <f t="shared" si="988"/>
        <v>3.6395129612734466E-2</v>
      </c>
    </row>
    <row r="529" spans="1:20" x14ac:dyDescent="0.25">
      <c r="A529" s="5">
        <v>44064</v>
      </c>
      <c r="B529">
        <v>0.28960000000000002</v>
      </c>
      <c r="C529">
        <v>0.29699999999999999</v>
      </c>
      <c r="D529">
        <v>0.25159999999999999</v>
      </c>
      <c r="E529">
        <v>0.2626</v>
      </c>
      <c r="F529">
        <v>1313870.0900000001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-0.51541850220264274</v>
      </c>
      <c r="Q529">
        <f t="shared" si="985"/>
        <v>-677192.95387665147</v>
      </c>
      <c r="R529">
        <f t="shared" si="986"/>
        <v>3192029.0982408654</v>
      </c>
      <c r="S529">
        <f t="shared" si="987"/>
        <v>31.920290982408655</v>
      </c>
      <c r="T529">
        <f t="shared" si="988"/>
        <v>3.1920290982408658E-2</v>
      </c>
    </row>
    <row r="530" spans="1:20" x14ac:dyDescent="0.25">
      <c r="A530" s="5">
        <v>44063</v>
      </c>
      <c r="B530">
        <v>0.25640000000000002</v>
      </c>
      <c r="C530">
        <v>0.28939999999999999</v>
      </c>
      <c r="D530">
        <v>0.25430000000000003</v>
      </c>
      <c r="E530">
        <v>0.28920000000000001</v>
      </c>
      <c r="F530">
        <v>603971.74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0.9886039886039899</v>
      </c>
      <c r="Q530">
        <f t="shared" si="985"/>
        <v>597088.87116809189</v>
      </c>
      <c r="R530">
        <f t="shared" si="986"/>
        <v>3869222.0521175168</v>
      </c>
      <c r="S530">
        <f t="shared" si="987"/>
        <v>38.692220521175166</v>
      </c>
      <c r="T530">
        <f t="shared" si="988"/>
        <v>3.8692220521175165E-2</v>
      </c>
    </row>
    <row r="531" spans="1:20" x14ac:dyDescent="0.25">
      <c r="A531" s="5">
        <v>44062</v>
      </c>
      <c r="B531">
        <v>0.28120000000000001</v>
      </c>
      <c r="C531">
        <v>0.28320000000000001</v>
      </c>
      <c r="D531">
        <v>0.25130000000000002</v>
      </c>
      <c r="E531">
        <v>0.25519999999999998</v>
      </c>
      <c r="F531">
        <v>1205687.44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-0.7554858934169304</v>
      </c>
      <c r="Q531">
        <f t="shared" si="985"/>
        <v>-910879.85278997163</v>
      </c>
      <c r="R531">
        <f t="shared" si="986"/>
        <v>3272133.1809494249</v>
      </c>
      <c r="S531">
        <f t="shared" si="987"/>
        <v>32.721331809494245</v>
      </c>
      <c r="T531">
        <f t="shared" si="988"/>
        <v>3.2721331809494242E-2</v>
      </c>
    </row>
    <row r="532" spans="1:20" x14ac:dyDescent="0.25">
      <c r="A532" s="5">
        <v>44061</v>
      </c>
      <c r="B532">
        <v>0.29770000000000002</v>
      </c>
      <c r="C532">
        <v>0.30420000000000003</v>
      </c>
      <c r="D532">
        <v>0.26100000000000001</v>
      </c>
      <c r="E532">
        <v>0.28249999999999997</v>
      </c>
      <c r="F532">
        <v>1676385.99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-4.6296296296316876E-3</v>
      </c>
      <c r="Q532">
        <f t="shared" si="985"/>
        <v>-7761.04625000345</v>
      </c>
      <c r="R532">
        <f t="shared" si="986"/>
        <v>4183013.0337393964</v>
      </c>
      <c r="S532">
        <f t="shared" si="987"/>
        <v>41.83013033739396</v>
      </c>
      <c r="T532">
        <f t="shared" si="988"/>
        <v>4.183013033739396E-2</v>
      </c>
    </row>
    <row r="533" spans="1:20" x14ac:dyDescent="0.25">
      <c r="A533" s="5">
        <v>44060</v>
      </c>
      <c r="B533">
        <v>0.3286</v>
      </c>
      <c r="C533">
        <v>0.33550000000000002</v>
      </c>
      <c r="D533">
        <v>0.28999999999999998</v>
      </c>
      <c r="E533">
        <v>0.29809999999999998</v>
      </c>
      <c r="F533">
        <v>1514379.09</v>
      </c>
      <c r="G533">
        <v>0</v>
      </c>
      <c r="L533" t="s">
        <v>8</v>
      </c>
      <c r="M533" t="s">
        <v>8</v>
      </c>
      <c r="N533" t="s">
        <v>7</v>
      </c>
      <c r="P533">
        <f t="shared" si="984"/>
        <v>-0.64395604395604444</v>
      </c>
      <c r="Q533">
        <f t="shared" si="985"/>
        <v>-975193.56784615468</v>
      </c>
      <c r="R533">
        <f t="shared" si="986"/>
        <v>4190774.0799893998</v>
      </c>
      <c r="S533">
        <f t="shared" si="987"/>
        <v>41.907740799894</v>
      </c>
      <c r="T533">
        <f t="shared" si="988"/>
        <v>4.1907740799893997E-2</v>
      </c>
    </row>
    <row r="534" spans="1:20" x14ac:dyDescent="0.25">
      <c r="A534" s="5">
        <v>44059</v>
      </c>
      <c r="B534">
        <v>0.2737</v>
      </c>
      <c r="C534">
        <v>0.32869999999999999</v>
      </c>
      <c r="D534">
        <v>0.27050000000000002</v>
      </c>
      <c r="E534">
        <v>0.32869999999999999</v>
      </c>
      <c r="F534">
        <v>1982122.46</v>
      </c>
      <c r="G534">
        <v>0</v>
      </c>
      <c r="L534" t="s">
        <v>8</v>
      </c>
      <c r="M534" t="s">
        <v>8</v>
      </c>
      <c r="N534" t="s">
        <v>7</v>
      </c>
      <c r="P534">
        <f t="shared" si="984"/>
        <v>1</v>
      </c>
      <c r="Q534">
        <f t="shared" si="985"/>
        <v>1982122.46</v>
      </c>
      <c r="R534">
        <f t="shared" si="986"/>
        <v>5165967.6478355546</v>
      </c>
      <c r="S534">
        <f t="shared" si="987"/>
        <v>51.659676478355543</v>
      </c>
      <c r="T534">
        <f t="shared" si="988"/>
        <v>5.1659676478355544E-2</v>
      </c>
    </row>
    <row r="535" spans="1:20" x14ac:dyDescent="0.25">
      <c r="A535" s="5">
        <v>44058</v>
      </c>
      <c r="B535">
        <v>0.2969</v>
      </c>
      <c r="C535">
        <v>0.3</v>
      </c>
      <c r="D535">
        <v>0.27</v>
      </c>
      <c r="E535">
        <v>0.27510000000000001</v>
      </c>
      <c r="F535">
        <v>1896716.61</v>
      </c>
      <c r="G535">
        <v>0</v>
      </c>
      <c r="L535" t="s">
        <v>8</v>
      </c>
      <c r="M535" t="s">
        <v>7</v>
      </c>
      <c r="N535" t="s">
        <v>7</v>
      </c>
      <c r="P535">
        <f t="shared" si="984"/>
        <v>-0.66000000000000014</v>
      </c>
      <c r="Q535">
        <f t="shared" si="985"/>
        <v>-1251832.9626000004</v>
      </c>
      <c r="R535">
        <f t="shared" si="986"/>
        <v>3183845.1878355546</v>
      </c>
      <c r="S535">
        <f t="shared" si="987"/>
        <v>31.838451878355546</v>
      </c>
      <c r="T535">
        <f t="shared" si="988"/>
        <v>3.1838451878355545E-2</v>
      </c>
    </row>
    <row r="536" spans="1:20" x14ac:dyDescent="0.25">
      <c r="A536" s="5">
        <v>44057</v>
      </c>
      <c r="B536">
        <v>0.2712</v>
      </c>
      <c r="C536">
        <v>0.31</v>
      </c>
      <c r="D536">
        <v>0.25800000000000001</v>
      </c>
      <c r="E536">
        <v>0.2969</v>
      </c>
      <c r="F536">
        <v>4287858.4400000004</v>
      </c>
      <c r="G536">
        <v>0</v>
      </c>
      <c r="L536" t="s">
        <v>7</v>
      </c>
      <c r="M536" t="s">
        <v>7</v>
      </c>
      <c r="N536" t="s">
        <v>7</v>
      </c>
      <c r="P536">
        <f t="shared" si="984"/>
        <v>0.49615384615384606</v>
      </c>
      <c r="Q536">
        <f t="shared" si="985"/>
        <v>2127437.4567692308</v>
      </c>
      <c r="R536">
        <f t="shared" si="986"/>
        <v>4435678.1504355548</v>
      </c>
      <c r="S536">
        <f t="shared" si="987"/>
        <v>44.356781504355546</v>
      </c>
      <c r="T536">
        <f t="shared" si="988"/>
        <v>4.4356781504355548E-2</v>
      </c>
    </row>
    <row r="537" spans="1:20" x14ac:dyDescent="0.25">
      <c r="A537" s="5">
        <v>44056</v>
      </c>
      <c r="B537">
        <v>0.224</v>
      </c>
      <c r="C537">
        <v>0.36780000000000002</v>
      </c>
      <c r="D537">
        <v>0.22</v>
      </c>
      <c r="E537">
        <v>0.27339999999999998</v>
      </c>
      <c r="F537">
        <v>5587964.1100000003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-0.27740189445196251</v>
      </c>
      <c r="Q537">
        <f t="shared" si="985"/>
        <v>-1550111.8302435747</v>
      </c>
      <c r="R537">
        <f t="shared" si="986"/>
        <v>2308240.693666324</v>
      </c>
      <c r="S537">
        <f t="shared" si="987"/>
        <v>23.08240693666324</v>
      </c>
      <c r="T537">
        <f t="shared" si="988"/>
        <v>2.308240693666324E-2</v>
      </c>
    </row>
    <row r="538" spans="1:20" x14ac:dyDescent="0.25">
      <c r="A538" s="5">
        <v>44055</v>
      </c>
      <c r="B538">
        <v>0.20480000000000001</v>
      </c>
      <c r="C538">
        <v>0.22950000000000001</v>
      </c>
      <c r="D538">
        <v>0.1925</v>
      </c>
      <c r="E538">
        <v>0.22439999999999999</v>
      </c>
      <c r="F538">
        <v>1294165.05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0.72432432432432325</v>
      </c>
      <c r="Q538">
        <f t="shared" si="985"/>
        <v>937395.22540540411</v>
      </c>
      <c r="R538">
        <f t="shared" si="986"/>
        <v>3858352.5239098985</v>
      </c>
      <c r="S538">
        <f t="shared" si="987"/>
        <v>38.583525239098982</v>
      </c>
      <c r="T538">
        <f t="shared" si="988"/>
        <v>3.8583525239098984E-2</v>
      </c>
    </row>
    <row r="539" spans="1:20" x14ac:dyDescent="0.25">
      <c r="A539" s="5">
        <v>44054</v>
      </c>
      <c r="B539">
        <v>0.22239999999999999</v>
      </c>
      <c r="C539">
        <v>0.2346</v>
      </c>
      <c r="D539">
        <v>0.1966</v>
      </c>
      <c r="E539">
        <v>0.20300000000000001</v>
      </c>
      <c r="F539">
        <v>1917301.61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-0.66315789473684128</v>
      </c>
      <c r="Q539">
        <f t="shared" si="985"/>
        <v>-1271473.6992631564</v>
      </c>
      <c r="R539">
        <f t="shared" si="986"/>
        <v>2920957.2985044941</v>
      </c>
      <c r="S539">
        <f t="shared" si="987"/>
        <v>29.209572985044943</v>
      </c>
      <c r="T539">
        <f t="shared" si="988"/>
        <v>2.9209572985044945E-2</v>
      </c>
    </row>
    <row r="540" spans="1:20" x14ac:dyDescent="0.25">
      <c r="A540" s="5">
        <v>44053</v>
      </c>
      <c r="B540">
        <v>0.20960000000000001</v>
      </c>
      <c r="C540">
        <v>0.23</v>
      </c>
      <c r="D540">
        <v>0.1986</v>
      </c>
      <c r="E540">
        <v>0.22420000000000001</v>
      </c>
      <c r="F540">
        <v>1973321.65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0.63057324840764351</v>
      </c>
      <c r="Q540">
        <f t="shared" si="985"/>
        <v>1244323.8429936308</v>
      </c>
      <c r="R540">
        <f t="shared" si="986"/>
        <v>4192430.9977676505</v>
      </c>
      <c r="S540">
        <f t="shared" si="987"/>
        <v>41.924309977676508</v>
      </c>
      <c r="T540">
        <f t="shared" si="988"/>
        <v>4.1924309977676509E-2</v>
      </c>
    </row>
    <row r="541" spans="1:20" x14ac:dyDescent="0.25">
      <c r="A541" s="5">
        <v>44052</v>
      </c>
      <c r="B541">
        <v>0.20250000000000001</v>
      </c>
      <c r="C541">
        <v>0.21</v>
      </c>
      <c r="D541">
        <v>0.19639999999999999</v>
      </c>
      <c r="E541">
        <v>0.2087</v>
      </c>
      <c r="F541">
        <v>1009769.94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0.80882352941176539</v>
      </c>
      <c r="Q541">
        <f t="shared" si="985"/>
        <v>816725.68676470651</v>
      </c>
      <c r="R541">
        <f t="shared" si="986"/>
        <v>2948107.15477402</v>
      </c>
      <c r="S541">
        <f t="shared" si="987"/>
        <v>29.4810715477402</v>
      </c>
      <c r="T541">
        <f t="shared" si="988"/>
        <v>2.9481071547740201E-2</v>
      </c>
    </row>
    <row r="542" spans="1:20" x14ac:dyDescent="0.25">
      <c r="A542" s="5">
        <v>44051</v>
      </c>
      <c r="B542">
        <v>0.19370000000000001</v>
      </c>
      <c r="C542">
        <v>0.20449999999999999</v>
      </c>
      <c r="D542">
        <v>0.19239999999999999</v>
      </c>
      <c r="E542">
        <v>0.20250000000000001</v>
      </c>
      <c r="F542">
        <v>1321963.68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0.66942148760331011</v>
      </c>
      <c r="Q542">
        <f t="shared" si="985"/>
        <v>884950.89322314621</v>
      </c>
      <c r="R542">
        <f t="shared" si="986"/>
        <v>2131381.4680093136</v>
      </c>
      <c r="S542">
        <f t="shared" si="987"/>
        <v>21.313814680093135</v>
      </c>
      <c r="T542">
        <f t="shared" si="988"/>
        <v>2.1313814680093135E-2</v>
      </c>
    </row>
    <row r="543" spans="1:20" x14ac:dyDescent="0.25">
      <c r="A543" s="5">
        <v>44050</v>
      </c>
      <c r="B543">
        <v>0.1976</v>
      </c>
      <c r="C543">
        <v>0.20499999999999999</v>
      </c>
      <c r="D543">
        <v>0.1835</v>
      </c>
      <c r="E543">
        <v>0.19500000000000001</v>
      </c>
      <c r="F543">
        <v>751138.99</v>
      </c>
      <c r="G543">
        <v>0</v>
      </c>
      <c r="L543" t="s">
        <v>7</v>
      </c>
      <c r="M543" t="s">
        <v>8</v>
      </c>
      <c r="N543" t="s">
        <v>7</v>
      </c>
      <c r="P543">
        <f t="shared" si="984"/>
        <v>6.9767441860466503E-2</v>
      </c>
      <c r="Q543">
        <f t="shared" si="985"/>
        <v>52405.04581395453</v>
      </c>
      <c r="R543">
        <f t="shared" si="986"/>
        <v>1246430.5747861671</v>
      </c>
      <c r="S543">
        <f t="shared" si="987"/>
        <v>12.464305747861671</v>
      </c>
      <c r="T543">
        <f t="shared" si="988"/>
        <v>1.246430574786167E-2</v>
      </c>
    </row>
    <row r="544" spans="1:20" x14ac:dyDescent="0.25">
      <c r="A544" s="5">
        <v>44049</v>
      </c>
      <c r="B544">
        <v>0.19739999999999999</v>
      </c>
      <c r="C544">
        <v>0.2024</v>
      </c>
      <c r="D544">
        <v>0.19420000000000001</v>
      </c>
      <c r="E544">
        <v>0.1976</v>
      </c>
      <c r="F544">
        <v>679608.8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-0.17073170731707499</v>
      </c>
      <c r="Q544">
        <f t="shared" si="985"/>
        <v>-116030.77073170856</v>
      </c>
      <c r="R544">
        <f t="shared" si="986"/>
        <v>1194025.5289722127</v>
      </c>
      <c r="S544">
        <f t="shared" si="987"/>
        <v>11.940255289722128</v>
      </c>
      <c r="T544">
        <f t="shared" si="988"/>
        <v>1.1940255289722129E-2</v>
      </c>
    </row>
    <row r="545" spans="1:20" x14ac:dyDescent="0.25">
      <c r="A545" s="5">
        <v>44048</v>
      </c>
      <c r="B545">
        <v>0.19020000000000001</v>
      </c>
      <c r="C545">
        <v>0.2006</v>
      </c>
      <c r="D545">
        <v>0.18859999999999999</v>
      </c>
      <c r="E545">
        <v>0.19739999999999999</v>
      </c>
      <c r="F545">
        <v>1279680.69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0.46666666666666573</v>
      </c>
      <c r="Q545">
        <f t="shared" si="985"/>
        <v>597184.32199999876</v>
      </c>
      <c r="R545">
        <f t="shared" si="986"/>
        <v>1310056.2997039212</v>
      </c>
      <c r="S545">
        <f t="shared" si="987"/>
        <v>13.100562997039212</v>
      </c>
      <c r="T545">
        <f t="shared" si="988"/>
        <v>1.3100562997039213E-2</v>
      </c>
    </row>
    <row r="546" spans="1:20" x14ac:dyDescent="0.25">
      <c r="A546" s="5">
        <v>44047</v>
      </c>
      <c r="B546">
        <v>0.18820000000000001</v>
      </c>
      <c r="C546">
        <v>0.19520000000000001</v>
      </c>
      <c r="D546">
        <v>0.1847</v>
      </c>
      <c r="E546">
        <v>0.18990000000000001</v>
      </c>
      <c r="F546">
        <v>428413.89</v>
      </c>
      <c r="G546">
        <v>0</v>
      </c>
      <c r="L546" t="s">
        <v>7</v>
      </c>
      <c r="M546" t="s">
        <v>8</v>
      </c>
      <c r="N546" t="s">
        <v>7</v>
      </c>
      <c r="P546">
        <f t="shared" si="984"/>
        <v>-9.5238095238084665E-3</v>
      </c>
      <c r="Q546">
        <f t="shared" si="985"/>
        <v>-4080.132285713833</v>
      </c>
      <c r="R546">
        <f t="shared" si="986"/>
        <v>712871.97770392243</v>
      </c>
      <c r="S546">
        <f t="shared" si="987"/>
        <v>7.1287197770392243</v>
      </c>
      <c r="T546">
        <f t="shared" si="988"/>
        <v>7.1287197770392241E-3</v>
      </c>
    </row>
    <row r="547" spans="1:20" x14ac:dyDescent="0.25">
      <c r="A547" s="5">
        <v>44046</v>
      </c>
      <c r="B547">
        <v>0.18640000000000001</v>
      </c>
      <c r="C547">
        <v>0.2</v>
      </c>
      <c r="D547">
        <v>0.18410000000000001</v>
      </c>
      <c r="E547">
        <v>0.18709999999999999</v>
      </c>
      <c r="F547">
        <v>668011.34</v>
      </c>
      <c r="G547">
        <v>0</v>
      </c>
      <c r="L547" t="s">
        <v>7</v>
      </c>
      <c r="M547" t="s">
        <v>8</v>
      </c>
      <c r="N547" t="s">
        <v>7</v>
      </c>
      <c r="P547">
        <f t="shared" si="984"/>
        <v>-0.62264150943396535</v>
      </c>
      <c r="Q547">
        <f t="shared" si="985"/>
        <v>-415931.58905660582</v>
      </c>
      <c r="R547">
        <f t="shared" si="986"/>
        <v>716952.10998963623</v>
      </c>
      <c r="S547">
        <f t="shared" si="987"/>
        <v>7.1695210998963619</v>
      </c>
      <c r="T547">
        <f t="shared" si="988"/>
        <v>7.1695210998963619E-3</v>
      </c>
    </row>
    <row r="548" spans="1:20" x14ac:dyDescent="0.25">
      <c r="A548" s="5">
        <v>44045</v>
      </c>
      <c r="B548">
        <v>0.18629999999999999</v>
      </c>
      <c r="C548">
        <v>0.1978</v>
      </c>
      <c r="D548">
        <v>0.17</v>
      </c>
      <c r="E548">
        <v>0.18779999999999999</v>
      </c>
      <c r="F548">
        <v>941067.81</v>
      </c>
      <c r="G548">
        <v>0</v>
      </c>
      <c r="L548" t="s">
        <v>8</v>
      </c>
      <c r="M548" t="s">
        <v>8</v>
      </c>
      <c r="N548" t="s">
        <v>7</v>
      </c>
      <c r="P548">
        <f t="shared" si="984"/>
        <v>0.28057553956834447</v>
      </c>
      <c r="Q548">
        <f t="shared" si="985"/>
        <v>264040.60856115026</v>
      </c>
      <c r="R548">
        <f t="shared" si="986"/>
        <v>1132883.6990462421</v>
      </c>
      <c r="S548">
        <f t="shared" si="987"/>
        <v>11.32883699046242</v>
      </c>
      <c r="T548">
        <f t="shared" si="988"/>
        <v>1.1328836990462421E-2</v>
      </c>
    </row>
    <row r="549" spans="1:20" x14ac:dyDescent="0.25">
      <c r="A549" s="5">
        <v>44044</v>
      </c>
      <c r="B549">
        <v>0.1857</v>
      </c>
      <c r="C549">
        <v>0.19159999999999999</v>
      </c>
      <c r="D549">
        <v>0.15</v>
      </c>
      <c r="E549">
        <v>0.18720000000000001</v>
      </c>
      <c r="F549">
        <v>814644.73</v>
      </c>
      <c r="G549">
        <v>0</v>
      </c>
      <c r="L549" t="s">
        <v>7</v>
      </c>
      <c r="M549" t="s">
        <v>7</v>
      </c>
      <c r="N549" t="s">
        <v>7</v>
      </c>
      <c r="P549">
        <f t="shared" si="984"/>
        <v>0.7884615384615391</v>
      </c>
      <c r="Q549">
        <f t="shared" si="985"/>
        <v>642316.03711538517</v>
      </c>
      <c r="R549">
        <f t="shared" si="986"/>
        <v>868843.09048509179</v>
      </c>
      <c r="S549">
        <f t="shared" si="987"/>
        <v>8.6884309048509181</v>
      </c>
      <c r="T549">
        <f t="shared" si="988"/>
        <v>8.6884309048509186E-3</v>
      </c>
    </row>
    <row r="550" spans="1:20" x14ac:dyDescent="0.25">
      <c r="A550" s="5">
        <v>44043</v>
      </c>
      <c r="B550">
        <v>0.19239999999999999</v>
      </c>
      <c r="C550">
        <v>0.19719999999999999</v>
      </c>
      <c r="D550">
        <v>0.16470000000000001</v>
      </c>
      <c r="E550">
        <v>0.18590000000000001</v>
      </c>
      <c r="F550">
        <v>428205.95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0.30461538461538545</v>
      </c>
      <c r="Q550">
        <f t="shared" si="985"/>
        <v>130438.12015384651</v>
      </c>
      <c r="R550">
        <f t="shared" si="986"/>
        <v>226527.05336970661</v>
      </c>
      <c r="S550">
        <f t="shared" si="987"/>
        <v>2.2652705336970662</v>
      </c>
      <c r="T550">
        <f t="shared" si="988"/>
        <v>2.2652705336970664E-3</v>
      </c>
    </row>
    <row r="551" spans="1:20" x14ac:dyDescent="0.25">
      <c r="A551" s="5">
        <v>44042</v>
      </c>
      <c r="B551">
        <v>0.18229999999999999</v>
      </c>
      <c r="C551">
        <v>0.21429999999999999</v>
      </c>
      <c r="D551">
        <v>0.16889999999999999</v>
      </c>
      <c r="E551">
        <v>0.19320000000000001</v>
      </c>
      <c r="F551">
        <v>1363261.74</v>
      </c>
      <c r="G551">
        <v>0</v>
      </c>
      <c r="P551">
        <f t="shared" si="984"/>
        <v>7.0484581497798154E-2</v>
      </c>
      <c r="Q551">
        <f t="shared" si="985"/>
        <v>96088.933215860117</v>
      </c>
      <c r="R551">
        <f t="shared" si="986"/>
        <v>96088.933215860117</v>
      </c>
      <c r="S551">
        <f t="shared" si="987"/>
        <v>0.96088933215860117</v>
      </c>
      <c r="T551">
        <f t="shared" si="988"/>
        <v>9.6088933215860122E-4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H584" sqref="KH58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$A$583</v>
      </c>
      <c r="D111" s="1" t="str">
        <f>ADDRESS(C121-1,D121,1,1)</f>
        <v>$KH$583</v>
      </c>
      <c r="E111"/>
    </row>
    <row r="112" spans="1:5" x14ac:dyDescent="0.25">
      <c r="A112" s="7">
        <v>12164.144957890772</v>
      </c>
      <c r="C112" s="1" t="str">
        <f>ADDRESS(C121,1,1,1)</f>
        <v>$A$584</v>
      </c>
      <c r="D112" s="1" t="str">
        <f>ADDRESS(C121,D121-1,1,1)</f>
        <v>$KG$584</v>
      </c>
      <c r="E112"/>
    </row>
    <row r="113" spans="1:5" x14ac:dyDescent="0.25">
      <c r="A113" s="7">
        <v>11925.63231165762</v>
      </c>
      <c r="C113" s="1" t="str">
        <f>ADDRESS(C121+1,1,1,1)</f>
        <v>$A$585</v>
      </c>
      <c r="D113" s="1" t="str">
        <f>ADDRESS(C121-1,D121+1,1,1)</f>
        <v>$KI$583</v>
      </c>
    </row>
    <row r="114" spans="1:5" x14ac:dyDescent="0.25">
      <c r="A114" s="7">
        <v>11691.796383978059</v>
      </c>
      <c r="C114" s="1" t="str">
        <f>ADDRESS(C121,D121,1,1)</f>
        <v>$KH$584</v>
      </c>
      <c r="D114" s="1" t="str">
        <f>ADDRESS(C121+1,D121+1,1,1)</f>
        <v>$KI$585</v>
      </c>
    </row>
    <row r="115" spans="1:5" x14ac:dyDescent="0.25">
      <c r="A115" s="7">
        <v>11462.545474488292</v>
      </c>
      <c r="C115" s="1" t="str">
        <f>ADDRESS(C121+1,D121,1,1)</f>
        <v>$KH$585</v>
      </c>
    </row>
    <row r="116" spans="1:5" x14ac:dyDescent="0.25">
      <c r="A116" s="7">
        <v>11237.789680870874</v>
      </c>
      <c r="C116" s="1">
        <f>C117-1</f>
        <v>583</v>
      </c>
    </row>
    <row r="117" spans="1:5" x14ac:dyDescent="0.25">
      <c r="A117" s="7">
        <v>11017.440863598895</v>
      </c>
      <c r="C117" s="1">
        <f>C121</f>
        <v>584</v>
      </c>
      <c r="D117" s="1">
        <f>D121</f>
        <v>294</v>
      </c>
    </row>
    <row r="118" spans="1:5" x14ac:dyDescent="0.25">
      <c r="A118" s="7">
        <v>10801.412611371465</v>
      </c>
      <c r="C118" s="1">
        <f>C117+1</f>
        <v>585</v>
      </c>
      <c r="D118" s="1">
        <f>D117+1</f>
        <v>295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584</v>
      </c>
      <c r="D121" s="19">
        <v>294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R584</v>
      </c>
      <c r="D123" s="1" t="str">
        <f>"C"&amp;D121</f>
        <v>C294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1.0612079999999999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266" x14ac:dyDescent="0.25">
      <c r="A513" s="7">
        <v>4.3292504462035977</v>
      </c>
      <c r="B513"/>
      <c r="C513"/>
      <c r="D513"/>
      <c r="E513"/>
    </row>
    <row r="514" spans="1:266" x14ac:dyDescent="0.25">
      <c r="A514" s="7">
        <v>4.2443631825525463</v>
      </c>
      <c r="B514"/>
      <c r="C514"/>
      <c r="D514"/>
      <c r="E514"/>
    </row>
    <row r="515" spans="1:266" x14ac:dyDescent="0.25">
      <c r="A515" s="7">
        <v>4.1611403750515157</v>
      </c>
      <c r="B515"/>
      <c r="C515"/>
      <c r="D515"/>
      <c r="E515"/>
    </row>
    <row r="516" spans="1:266" x14ac:dyDescent="0.25">
      <c r="A516" s="7">
        <v>4.0795493873054074</v>
      </c>
      <c r="B516"/>
      <c r="C516"/>
      <c r="D516"/>
      <c r="E516"/>
    </row>
    <row r="517" spans="1:266" x14ac:dyDescent="0.25">
      <c r="A517" s="7">
        <v>3.9995582228484383</v>
      </c>
      <c r="B517"/>
      <c r="C517"/>
      <c r="D517"/>
      <c r="E517"/>
    </row>
    <row r="518" spans="1:266" x14ac:dyDescent="0.25">
      <c r="A518" s="7">
        <v>3.9211355125965079</v>
      </c>
      <c r="B518"/>
      <c r="C518"/>
      <c r="D518"/>
      <c r="E518"/>
    </row>
    <row r="519" spans="1:266" x14ac:dyDescent="0.25">
      <c r="A519" s="7">
        <v>3.844250502545596</v>
      </c>
      <c r="B519"/>
      <c r="C519"/>
      <c r="D519"/>
      <c r="E519"/>
    </row>
    <row r="520" spans="1:266" x14ac:dyDescent="0.25">
      <c r="A520" s="7">
        <v>3.7688730417113687</v>
      </c>
      <c r="B520"/>
      <c r="C520"/>
      <c r="D520"/>
      <c r="E520"/>
      <c r="DW520" s="27" t="s">
        <v>8</v>
      </c>
    </row>
    <row r="521" spans="1:266" x14ac:dyDescent="0.25">
      <c r="A521" s="7">
        <v>3.6949735703052635</v>
      </c>
      <c r="B521"/>
      <c r="C521"/>
      <c r="D521"/>
      <c r="E521"/>
      <c r="DW521" s="27" t="s">
        <v>8</v>
      </c>
      <c r="DX521" s="27" t="s">
        <v>7</v>
      </c>
      <c r="EA521" s="27" t="s">
        <v>8</v>
      </c>
    </row>
    <row r="522" spans="1:266" x14ac:dyDescent="0.25">
      <c r="A522" s="7">
        <v>3.6225231081424152</v>
      </c>
      <c r="B522"/>
      <c r="C522"/>
      <c r="D522"/>
      <c r="E522"/>
      <c r="DW522" s="27" t="s">
        <v>8</v>
      </c>
      <c r="DX522" s="27" t="s">
        <v>7</v>
      </c>
      <c r="EA522" s="27" t="s">
        <v>8</v>
      </c>
      <c r="EB522" s="27" t="s">
        <v>7</v>
      </c>
    </row>
    <row r="523" spans="1:266" x14ac:dyDescent="0.25">
      <c r="A523" s="7">
        <v>3.5514932432768775</v>
      </c>
      <c r="B523"/>
      <c r="C523"/>
      <c r="D523"/>
      <c r="E523"/>
      <c r="DW523" s="27" t="s">
        <v>8</v>
      </c>
      <c r="DX523" s="27" t="s">
        <v>7</v>
      </c>
      <c r="EA523" s="27" t="s">
        <v>8</v>
      </c>
      <c r="EB523" s="27" t="s">
        <v>7</v>
      </c>
    </row>
    <row r="524" spans="1:266" x14ac:dyDescent="0.25">
      <c r="A524" s="7">
        <v>3.4818561208596837</v>
      </c>
      <c r="B524"/>
      <c r="C524"/>
      <c r="D524"/>
      <c r="E524"/>
      <c r="DW524" s="27" t="s">
        <v>8</v>
      </c>
      <c r="DX524" s="27" t="s">
        <v>7</v>
      </c>
      <c r="EA524" s="27" t="s">
        <v>8</v>
      </c>
      <c r="EB524" s="27" t="s">
        <v>7</v>
      </c>
      <c r="JE524" s="27" t="s">
        <v>8</v>
      </c>
    </row>
    <row r="525" spans="1:266" x14ac:dyDescent="0.25">
      <c r="A525" s="7">
        <v>3.4135844322153761</v>
      </c>
      <c r="B525"/>
      <c r="C525"/>
      <c r="D525"/>
      <c r="E525"/>
      <c r="DW525" s="27" t="s">
        <v>8</v>
      </c>
      <c r="DX525" s="27" t="s">
        <v>7</v>
      </c>
      <c r="EA525" s="27" t="s">
        <v>8</v>
      </c>
      <c r="EB525" s="27" t="s">
        <v>7</v>
      </c>
      <c r="JE525" s="27" t="s">
        <v>8</v>
      </c>
      <c r="JF525" s="27" t="s">
        <v>7</v>
      </c>
    </row>
    <row r="526" spans="1:266" x14ac:dyDescent="0.25">
      <c r="A526" s="7">
        <v>3.3466514041327216</v>
      </c>
      <c r="B526"/>
      <c r="C526"/>
      <c r="D526"/>
      <c r="E526"/>
      <c r="DW526" s="27" t="s">
        <v>8</v>
      </c>
      <c r="DX526" s="27" t="s">
        <v>7</v>
      </c>
      <c r="EA526" s="27" t="s">
        <v>8</v>
      </c>
      <c r="EB526" s="27" t="s">
        <v>7</v>
      </c>
      <c r="JE526" s="27" t="s">
        <v>8</v>
      </c>
      <c r="JF526" s="27" t="s">
        <v>7</v>
      </c>
    </row>
    <row r="527" spans="1:266" x14ac:dyDescent="0.25">
      <c r="A527" s="7">
        <v>3.2810307883654133</v>
      </c>
      <c r="B527"/>
      <c r="C527"/>
      <c r="D527"/>
      <c r="E527"/>
      <c r="DW527" s="27" t="s">
        <v>8</v>
      </c>
      <c r="DX527" s="27" t="s">
        <v>7</v>
      </c>
      <c r="DY527" s="27" t="s">
        <v>8</v>
      </c>
      <c r="EA527" s="27" t="s">
        <v>8</v>
      </c>
      <c r="EB527" s="27" t="s">
        <v>7</v>
      </c>
      <c r="JE527" s="27" t="s">
        <v>8</v>
      </c>
      <c r="JF527" s="27" t="s">
        <v>7</v>
      </c>
    </row>
    <row r="528" spans="1:266" x14ac:dyDescent="0.25">
      <c r="A528" s="7">
        <v>3.2166968513386403</v>
      </c>
      <c r="B528"/>
      <c r="C528"/>
      <c r="D528"/>
      <c r="E528"/>
      <c r="DW528" s="27" t="s">
        <v>8</v>
      </c>
      <c r="DX528" s="27" t="s">
        <v>7</v>
      </c>
      <c r="DY528" s="27" t="s">
        <v>8</v>
      </c>
      <c r="DZ528" s="27" t="s">
        <v>7</v>
      </c>
      <c r="EA528" s="27" t="s">
        <v>8</v>
      </c>
      <c r="EB528" s="27" t="s">
        <v>7</v>
      </c>
      <c r="JE528" s="27" t="s">
        <v>8</v>
      </c>
      <c r="JF528" s="27" t="s">
        <v>7</v>
      </c>
    </row>
    <row r="529" spans="1:268" x14ac:dyDescent="0.25">
      <c r="A529" s="7">
        <v>3.1536243640574906</v>
      </c>
      <c r="B529"/>
      <c r="C529"/>
      <c r="D529"/>
      <c r="E529"/>
      <c r="DW529" s="27" t="s">
        <v>8</v>
      </c>
      <c r="DX529" s="27" t="s">
        <v>7</v>
      </c>
      <c r="DY529" s="27" t="s">
        <v>8</v>
      </c>
      <c r="DZ529" s="27" t="s">
        <v>7</v>
      </c>
      <c r="EA529" s="27" t="s">
        <v>8</v>
      </c>
      <c r="EB529" s="27" t="s">
        <v>7</v>
      </c>
      <c r="JE529" s="27" t="s">
        <v>8</v>
      </c>
      <c r="JF529" s="27" t="s">
        <v>7</v>
      </c>
    </row>
    <row r="530" spans="1:268" x14ac:dyDescent="0.25">
      <c r="A530" s="7">
        <v>3.0917885922132262</v>
      </c>
      <c r="B530"/>
      <c r="C530"/>
      <c r="D530"/>
      <c r="E530"/>
      <c r="DW530" s="27" t="s">
        <v>8</v>
      </c>
      <c r="DX530" s="27" t="s">
        <v>7</v>
      </c>
      <c r="DY530" s="27" t="s">
        <v>8</v>
      </c>
      <c r="DZ530" s="27" t="s">
        <v>7</v>
      </c>
      <c r="EA530" s="27" t="s">
        <v>8</v>
      </c>
      <c r="EB530" s="27" t="s">
        <v>7</v>
      </c>
      <c r="JE530" s="27" t="s">
        <v>8</v>
      </c>
      <c r="JF530" s="27" t="s">
        <v>7</v>
      </c>
      <c r="JG530" s="27" t="s">
        <v>8</v>
      </c>
    </row>
    <row r="531" spans="1:268" x14ac:dyDescent="0.25">
      <c r="A531" s="7">
        <v>3.0311652864835552</v>
      </c>
      <c r="B531"/>
      <c r="C531"/>
      <c r="D531"/>
      <c r="E531"/>
      <c r="DW531" s="27" t="s">
        <v>8</v>
      </c>
      <c r="DX531" s="27" t="s">
        <v>7</v>
      </c>
      <c r="DY531" s="27" t="s">
        <v>8</v>
      </c>
      <c r="DZ531" s="27" t="s">
        <v>7</v>
      </c>
      <c r="EA531" s="27" t="s">
        <v>8</v>
      </c>
      <c r="EB531" s="27" t="s">
        <v>7</v>
      </c>
      <c r="EC531" s="27" t="s">
        <v>8</v>
      </c>
      <c r="JE531" s="27" t="s">
        <v>8</v>
      </c>
      <c r="JF531" s="27" t="s">
        <v>7</v>
      </c>
      <c r="JG531" s="27" t="s">
        <v>8</v>
      </c>
      <c r="JH531" s="27" t="s">
        <v>7</v>
      </c>
    </row>
    <row r="532" spans="1:268" x14ac:dyDescent="0.25">
      <c r="A532" s="7">
        <v>2.9717306730230932</v>
      </c>
      <c r="B532"/>
      <c r="C532"/>
      <c r="D532"/>
      <c r="E532"/>
      <c r="DW532" s="27" t="s">
        <v>8</v>
      </c>
      <c r="DX532" s="27" t="s">
        <v>7</v>
      </c>
      <c r="DY532" s="27" t="s">
        <v>8</v>
      </c>
      <c r="DZ532" s="27" t="s">
        <v>7</v>
      </c>
      <c r="EA532" s="27" t="s">
        <v>8</v>
      </c>
      <c r="EB532" s="27" t="s">
        <v>7</v>
      </c>
      <c r="EC532" s="27" t="s">
        <v>8</v>
      </c>
      <c r="ED532" s="27" t="s">
        <v>7</v>
      </c>
      <c r="IO532" s="27" t="s">
        <v>8</v>
      </c>
      <c r="JE532" s="27" t="s">
        <v>8</v>
      </c>
      <c r="JF532" s="27" t="s">
        <v>7</v>
      </c>
      <c r="JG532" s="27" t="s">
        <v>8</v>
      </c>
      <c r="JH532" s="27" t="s">
        <v>7</v>
      </c>
    </row>
    <row r="533" spans="1:268" x14ac:dyDescent="0.25">
      <c r="A533" s="7">
        <v>2.9134614441402875</v>
      </c>
      <c r="B533"/>
      <c r="C533"/>
      <c r="D533"/>
      <c r="E533"/>
      <c r="DW533" s="27" t="s">
        <v>8</v>
      </c>
      <c r="DX533" s="27" t="s">
        <v>7</v>
      </c>
      <c r="DY533" s="27" t="s">
        <v>8</v>
      </c>
      <c r="DZ533" s="27" t="s">
        <v>7</v>
      </c>
      <c r="EA533" s="27" t="s">
        <v>8</v>
      </c>
      <c r="EB533" s="27" t="s">
        <v>7</v>
      </c>
      <c r="EC533" s="27" t="s">
        <v>8</v>
      </c>
      <c r="ED533" s="27" t="s">
        <v>7</v>
      </c>
      <c r="IO533" s="27" t="s">
        <v>8</v>
      </c>
      <c r="IP533" s="27" t="s">
        <v>7</v>
      </c>
      <c r="JE533" s="27" t="s">
        <v>8</v>
      </c>
      <c r="JF533" s="27" t="s">
        <v>7</v>
      </c>
      <c r="JG533" s="27" t="s">
        <v>8</v>
      </c>
      <c r="JH533" s="27" t="s">
        <v>7</v>
      </c>
    </row>
    <row r="534" spans="1:268" x14ac:dyDescent="0.25">
      <c r="A534" s="7">
        <v>2.8563347491571447</v>
      </c>
      <c r="B534"/>
      <c r="C534"/>
      <c r="D534"/>
      <c r="E534"/>
      <c r="DW534" s="27" t="s">
        <v>8</v>
      </c>
      <c r="DX534" s="27" t="s">
        <v>7</v>
      </c>
      <c r="DY534" s="27" t="s">
        <v>8</v>
      </c>
      <c r="DZ534" s="27" t="s">
        <v>7</v>
      </c>
      <c r="EA534" s="27" t="s">
        <v>8</v>
      </c>
      <c r="EB534" s="27" t="s">
        <v>7</v>
      </c>
      <c r="EC534" s="27" t="s">
        <v>8</v>
      </c>
      <c r="ED534" s="27" t="s">
        <v>7</v>
      </c>
      <c r="IO534" s="27" t="s">
        <v>8</v>
      </c>
      <c r="IP534" s="27" t="s">
        <v>7</v>
      </c>
      <c r="JE534" s="27" t="s">
        <v>8</v>
      </c>
      <c r="JF534" s="27" t="s">
        <v>7</v>
      </c>
      <c r="JG534" s="27" t="s">
        <v>8</v>
      </c>
      <c r="JH534" s="27" t="s">
        <v>7</v>
      </c>
    </row>
    <row r="535" spans="1:268" x14ac:dyDescent="0.25">
      <c r="A535" s="7">
        <v>2.8003281854481812</v>
      </c>
      <c r="B535"/>
      <c r="C535"/>
      <c r="D535"/>
      <c r="E535"/>
      <c r="DW535" s="27" t="s">
        <v>8</v>
      </c>
      <c r="DX535" s="27" t="s">
        <v>7</v>
      </c>
      <c r="DY535" s="27" t="s">
        <v>8</v>
      </c>
      <c r="DZ535" s="27" t="s">
        <v>7</v>
      </c>
      <c r="EA535" s="27" t="s">
        <v>8</v>
      </c>
      <c r="EB535" s="27" t="s">
        <v>7</v>
      </c>
      <c r="EC535" s="27" t="s">
        <v>8</v>
      </c>
      <c r="ED535" s="27" t="s">
        <v>7</v>
      </c>
      <c r="IO535" s="27" t="s">
        <v>8</v>
      </c>
      <c r="IP535" s="27" t="s">
        <v>7</v>
      </c>
      <c r="JE535" s="27" t="s">
        <v>8</v>
      </c>
      <c r="JF535" s="27" t="s">
        <v>7</v>
      </c>
      <c r="JG535" s="27" t="s">
        <v>8</v>
      </c>
      <c r="JH535" s="27" t="s">
        <v>7</v>
      </c>
    </row>
    <row r="536" spans="1:268" x14ac:dyDescent="0.25">
      <c r="A536" s="7">
        <v>2.7454197896550796</v>
      </c>
      <c r="B536"/>
      <c r="C536"/>
      <c r="D536"/>
      <c r="E536"/>
      <c r="DW536" s="27" t="s">
        <v>8</v>
      </c>
      <c r="DX536" s="27" t="s">
        <v>7</v>
      </c>
      <c r="DY536" s="27" t="s">
        <v>8</v>
      </c>
      <c r="DZ536" s="27" t="s">
        <v>7</v>
      </c>
      <c r="EA536" s="27" t="s">
        <v>8</v>
      </c>
      <c r="EB536" s="27" t="s">
        <v>7</v>
      </c>
      <c r="ED536" s="27" t="s">
        <v>7</v>
      </c>
      <c r="EE536" s="27" t="s">
        <v>8</v>
      </c>
      <c r="IO536" s="27" t="s">
        <v>8</v>
      </c>
      <c r="IP536" s="27" t="s">
        <v>7</v>
      </c>
      <c r="JE536" s="27" t="s">
        <v>8</v>
      </c>
      <c r="JF536" s="27" t="s">
        <v>7</v>
      </c>
      <c r="JG536" s="27" t="s">
        <v>8</v>
      </c>
      <c r="JH536" s="27" t="s">
        <v>7</v>
      </c>
    </row>
    <row r="537" spans="1:268" x14ac:dyDescent="0.25">
      <c r="A537" s="7">
        <v>2.6915880290736074</v>
      </c>
      <c r="B537"/>
      <c r="C537"/>
      <c r="D537"/>
      <c r="E537"/>
      <c r="DW537" s="27" t="s">
        <v>8</v>
      </c>
      <c r="DX537" s="27" t="s">
        <v>7</v>
      </c>
      <c r="DY537" s="27" t="s">
        <v>8</v>
      </c>
      <c r="DZ537" s="27" t="s">
        <v>7</v>
      </c>
      <c r="EA537" s="27" t="s">
        <v>8</v>
      </c>
      <c r="ED537" s="27" t="s">
        <v>7</v>
      </c>
      <c r="EE537" s="27" t="s">
        <v>8</v>
      </c>
      <c r="EF537" s="27" t="s">
        <v>7</v>
      </c>
      <c r="EY537" s="27" t="s">
        <v>8</v>
      </c>
      <c r="IO537" s="27" t="s">
        <v>8</v>
      </c>
      <c r="IP537" s="27" t="s">
        <v>7</v>
      </c>
      <c r="JE537" s="27" t="s">
        <v>8</v>
      </c>
      <c r="JF537" s="27" t="s">
        <v>7</v>
      </c>
      <c r="JG537" s="27" t="s">
        <v>8</v>
      </c>
      <c r="JH537" s="27" t="s">
        <v>7</v>
      </c>
    </row>
    <row r="538" spans="1:268" x14ac:dyDescent="0.25">
      <c r="A538" s="7">
        <v>2.6388117932094191</v>
      </c>
      <c r="B538"/>
      <c r="C538"/>
      <c r="D538"/>
      <c r="E538"/>
      <c r="DW538" s="27" t="s">
        <v>8</v>
      </c>
      <c r="DX538" s="27" t="s">
        <v>7</v>
      </c>
      <c r="DY538" s="27" t="s">
        <v>8</v>
      </c>
      <c r="DZ538" s="27" t="s">
        <v>7</v>
      </c>
      <c r="EA538" s="27" t="s">
        <v>8</v>
      </c>
      <c r="ED538" s="27" t="s">
        <v>7</v>
      </c>
      <c r="EE538" s="27" t="s">
        <v>8</v>
      </c>
      <c r="EF538" s="27" t="s">
        <v>7</v>
      </c>
      <c r="EY538" s="27" t="s">
        <v>8</v>
      </c>
      <c r="EZ538" s="27" t="s">
        <v>7</v>
      </c>
      <c r="IO538" s="27" t="s">
        <v>8</v>
      </c>
      <c r="IP538" s="27" t="s">
        <v>7</v>
      </c>
      <c r="JE538" s="27" t="s">
        <v>8</v>
      </c>
      <c r="JF538" s="27" t="s">
        <v>7</v>
      </c>
      <c r="JG538" s="27" t="s">
        <v>8</v>
      </c>
      <c r="JH538" s="27" t="s">
        <v>7</v>
      </c>
    </row>
    <row r="539" spans="1:268" x14ac:dyDescent="0.25">
      <c r="A539" s="7">
        <v>2.5870703854994304</v>
      </c>
      <c r="B539"/>
      <c r="C539"/>
      <c r="D539"/>
      <c r="E539"/>
      <c r="DW539" s="27" t="s">
        <v>8</v>
      </c>
      <c r="DX539" s="27" t="s">
        <v>7</v>
      </c>
      <c r="DZ539" s="27" t="s">
        <v>7</v>
      </c>
      <c r="ED539" s="27" t="s">
        <v>7</v>
      </c>
      <c r="EE539" s="27" t="s">
        <v>8</v>
      </c>
      <c r="EF539" s="27" t="s">
        <v>7</v>
      </c>
      <c r="EG539" s="27" t="s">
        <v>8</v>
      </c>
      <c r="EK539" s="27" t="s">
        <v>8</v>
      </c>
      <c r="EY539" s="27" t="s">
        <v>8</v>
      </c>
      <c r="EZ539" s="27" t="s">
        <v>7</v>
      </c>
      <c r="IO539" s="27" t="s">
        <v>8</v>
      </c>
      <c r="IP539" s="27" t="s">
        <v>7</v>
      </c>
      <c r="JE539" s="27" t="s">
        <v>8</v>
      </c>
      <c r="JF539" s="27" t="s">
        <v>7</v>
      </c>
      <c r="JG539" s="27" t="s">
        <v>8</v>
      </c>
      <c r="JH539" s="27" t="s">
        <v>7</v>
      </c>
    </row>
    <row r="540" spans="1:268" x14ac:dyDescent="0.25">
      <c r="A540" s="7">
        <v>2.53634351519552</v>
      </c>
      <c r="B540"/>
      <c r="C540"/>
      <c r="D540"/>
      <c r="E540"/>
      <c r="DW540" s="27" t="s">
        <v>8</v>
      </c>
      <c r="ED540" s="27" t="s">
        <v>7</v>
      </c>
      <c r="EE540" s="27" t="s">
        <v>8</v>
      </c>
      <c r="EF540" s="27" t="s">
        <v>7</v>
      </c>
      <c r="EG540" s="27" t="s">
        <v>8</v>
      </c>
      <c r="EH540" s="27" t="s">
        <v>7</v>
      </c>
      <c r="EK540" s="27" t="s">
        <v>8</v>
      </c>
      <c r="EL540" s="27" t="s">
        <v>7</v>
      </c>
      <c r="EY540" s="27" t="s">
        <v>8</v>
      </c>
      <c r="EZ540" s="27" t="s">
        <v>7</v>
      </c>
      <c r="IO540" s="27" t="s">
        <v>8</v>
      </c>
      <c r="IP540" s="27" t="s">
        <v>7</v>
      </c>
      <c r="JE540" s="27" t="s">
        <v>8</v>
      </c>
      <c r="JF540" s="27" t="s">
        <v>7</v>
      </c>
      <c r="JH540" s="27" t="s">
        <v>7</v>
      </c>
    </row>
    <row r="541" spans="1:268" x14ac:dyDescent="0.25">
      <c r="A541" s="7">
        <v>2.4866112894073726</v>
      </c>
      <c r="B541"/>
      <c r="C541"/>
      <c r="D541"/>
      <c r="E541"/>
      <c r="DW541" s="27" t="s">
        <v>8</v>
      </c>
      <c r="ED541" s="27" t="s">
        <v>7</v>
      </c>
      <c r="EE541" s="27" t="s">
        <v>8</v>
      </c>
      <c r="EF541" s="27" t="s">
        <v>7</v>
      </c>
      <c r="EG541" s="27" t="s">
        <v>8</v>
      </c>
      <c r="EH541" s="27" t="s">
        <v>7</v>
      </c>
      <c r="EK541" s="27" t="s">
        <v>8</v>
      </c>
      <c r="EL541" s="27" t="s">
        <v>7</v>
      </c>
      <c r="EY541" s="27" t="s">
        <v>8</v>
      </c>
      <c r="EZ541" s="27" t="s">
        <v>7</v>
      </c>
      <c r="IO541" s="27" t="s">
        <v>8</v>
      </c>
      <c r="IP541" s="27" t="s">
        <v>7</v>
      </c>
      <c r="JE541" s="27" t="s">
        <v>8</v>
      </c>
      <c r="JH541" s="27" t="s">
        <v>7</v>
      </c>
    </row>
    <row r="542" spans="1:268" x14ac:dyDescent="0.25">
      <c r="A542" s="7">
        <v>2.4378542053013459</v>
      </c>
      <c r="B542"/>
      <c r="C542"/>
      <c r="D542"/>
      <c r="E542"/>
      <c r="DW542" s="27" t="s">
        <v>8</v>
      </c>
      <c r="ED542" s="27" t="s">
        <v>7</v>
      </c>
      <c r="EE542" s="27" t="s">
        <v>8</v>
      </c>
      <c r="EF542" s="27" t="s">
        <v>7</v>
      </c>
      <c r="EG542" s="27" t="s">
        <v>8</v>
      </c>
      <c r="EH542" s="27" t="s">
        <v>7</v>
      </c>
      <c r="EI542" s="27" t="s">
        <v>8</v>
      </c>
      <c r="EK542" s="27" t="s">
        <v>8</v>
      </c>
      <c r="EL542" s="27" t="s">
        <v>7</v>
      </c>
      <c r="EY542" s="27" t="s">
        <v>8</v>
      </c>
      <c r="EZ542" s="27" t="s">
        <v>7</v>
      </c>
      <c r="IO542" s="27" t="s">
        <v>8</v>
      </c>
      <c r="IP542" s="27" t="s">
        <v>7</v>
      </c>
      <c r="JE542" s="27" t="s">
        <v>8</v>
      </c>
      <c r="JH542" s="27" t="s">
        <v>7</v>
      </c>
    </row>
    <row r="543" spans="1:268" x14ac:dyDescent="0.25">
      <c r="A543" s="7">
        <v>2.3900531424522997</v>
      </c>
      <c r="B543"/>
      <c r="C543"/>
      <c r="D543"/>
      <c r="E543"/>
      <c r="DW543" s="27" t="s">
        <v>8</v>
      </c>
      <c r="ED543" s="27" t="s">
        <v>7</v>
      </c>
      <c r="EE543" s="27" t="s">
        <v>8</v>
      </c>
      <c r="EF543" s="27" t="s">
        <v>7</v>
      </c>
      <c r="EG543" s="27" t="s">
        <v>8</v>
      </c>
      <c r="EH543" s="27" t="s">
        <v>7</v>
      </c>
      <c r="EI543" s="27" t="s">
        <v>8</v>
      </c>
      <c r="EJ543" s="27" t="s">
        <v>7</v>
      </c>
      <c r="EK543" s="27" t="s">
        <v>8</v>
      </c>
      <c r="EL543" s="27" t="s">
        <v>7</v>
      </c>
      <c r="EY543" s="27" t="s">
        <v>8</v>
      </c>
      <c r="EZ543" s="27" t="s">
        <v>7</v>
      </c>
      <c r="IO543" s="27" t="s">
        <v>8</v>
      </c>
      <c r="IP543" s="27" t="s">
        <v>7</v>
      </c>
      <c r="JA543" s="27" t="s">
        <v>8</v>
      </c>
      <c r="JE543" s="27" t="s">
        <v>8</v>
      </c>
      <c r="JH543" s="27" t="s">
        <v>7</v>
      </c>
    </row>
    <row r="544" spans="1:268" x14ac:dyDescent="0.25">
      <c r="A544" s="7">
        <v>2.343189355345392</v>
      </c>
      <c r="B544"/>
      <c r="C544"/>
      <c r="D544"/>
      <c r="E544"/>
      <c r="DW544" s="27" t="s">
        <v>8</v>
      </c>
      <c r="ED544" s="27" t="s">
        <v>7</v>
      </c>
      <c r="EE544" s="27" t="s">
        <v>8</v>
      </c>
      <c r="EF544" s="27" t="s">
        <v>7</v>
      </c>
      <c r="EH544" s="27" t="s">
        <v>7</v>
      </c>
      <c r="EI544" s="27" t="s">
        <v>8</v>
      </c>
      <c r="EJ544" s="27" t="s">
        <v>7</v>
      </c>
      <c r="EK544" s="27" t="s">
        <v>8</v>
      </c>
      <c r="EL544" s="27" t="s">
        <v>7</v>
      </c>
      <c r="EY544" s="27" t="s">
        <v>8</v>
      </c>
      <c r="EZ544" s="27" t="s">
        <v>7</v>
      </c>
      <c r="IO544" s="27" t="s">
        <v>8</v>
      </c>
      <c r="IP544" s="27" t="s">
        <v>7</v>
      </c>
      <c r="JA544" s="27" t="s">
        <v>8</v>
      </c>
      <c r="JB544" s="27" t="s">
        <v>7</v>
      </c>
      <c r="JC544" s="27" t="s">
        <v>8</v>
      </c>
      <c r="JE544" s="27" t="s">
        <v>8</v>
      </c>
      <c r="JH544" s="27" t="s">
        <v>7</v>
      </c>
    </row>
    <row r="545" spans="1:290" x14ac:dyDescent="0.25">
      <c r="A545" s="7">
        <v>2.2972444660248938</v>
      </c>
      <c r="B545"/>
      <c r="C545"/>
      <c r="D545"/>
      <c r="E545"/>
      <c r="DW545" s="27" t="s">
        <v>8</v>
      </c>
      <c r="ED545" s="27" t="s">
        <v>7</v>
      </c>
      <c r="EE545" s="27" t="s">
        <v>8</v>
      </c>
      <c r="EH545" s="27" t="s">
        <v>7</v>
      </c>
      <c r="EI545" s="27" t="s">
        <v>8</v>
      </c>
      <c r="EJ545" s="27" t="s">
        <v>7</v>
      </c>
      <c r="EK545" s="27" t="s">
        <v>8</v>
      </c>
      <c r="EL545" s="27" t="s">
        <v>7</v>
      </c>
      <c r="EY545" s="27" t="s">
        <v>8</v>
      </c>
      <c r="EZ545" s="27" t="s">
        <v>7</v>
      </c>
      <c r="IO545" s="27" t="s">
        <v>8</v>
      </c>
      <c r="IP545" s="27" t="s">
        <v>7</v>
      </c>
      <c r="JA545" s="27" t="s">
        <v>8</v>
      </c>
      <c r="JB545" s="27" t="s">
        <v>7</v>
      </c>
      <c r="JC545" s="27" t="s">
        <v>8</v>
      </c>
      <c r="JD545" s="27" t="s">
        <v>7</v>
      </c>
      <c r="JE545" s="27" t="s">
        <v>8</v>
      </c>
      <c r="JH545" s="27" t="s">
        <v>7</v>
      </c>
    </row>
    <row r="546" spans="1:290" x14ac:dyDescent="0.25">
      <c r="A546" s="7">
        <v>2.252200456887151</v>
      </c>
      <c r="B546"/>
      <c r="C546"/>
      <c r="D546"/>
      <c r="E546"/>
      <c r="DW546" s="27" t="s">
        <v>8</v>
      </c>
      <c r="ED546" s="27" t="s">
        <v>7</v>
      </c>
      <c r="EE546" s="27" t="s">
        <v>8</v>
      </c>
      <c r="EH546" s="27" t="s">
        <v>7</v>
      </c>
      <c r="EI546" s="27" t="s">
        <v>8</v>
      </c>
      <c r="EJ546" s="27" t="s">
        <v>7</v>
      </c>
      <c r="EK546" s="27" t="s">
        <v>8</v>
      </c>
      <c r="EL546" s="27" t="s">
        <v>7</v>
      </c>
      <c r="EY546" s="27" t="s">
        <v>8</v>
      </c>
      <c r="EZ546" s="27" t="s">
        <v>7</v>
      </c>
      <c r="IO546" s="27" t="s">
        <v>8</v>
      </c>
      <c r="IP546" s="27" t="s">
        <v>7</v>
      </c>
      <c r="JA546" s="27" t="s">
        <v>8</v>
      </c>
      <c r="JB546" s="27" t="s">
        <v>7</v>
      </c>
      <c r="JC546" s="27" t="s">
        <v>8</v>
      </c>
      <c r="JD546" s="27" t="s">
        <v>7</v>
      </c>
      <c r="JE546" s="27" t="s">
        <v>8</v>
      </c>
      <c r="JH546" s="27" t="s">
        <v>7</v>
      </c>
    </row>
    <row r="547" spans="1:290" x14ac:dyDescent="0.25">
      <c r="A547" s="7">
        <v>2.208039663614854</v>
      </c>
      <c r="B547"/>
      <c r="C547"/>
      <c r="D547"/>
      <c r="E547"/>
      <c r="DW547" s="27" t="s">
        <v>8</v>
      </c>
      <c r="ED547" s="27" t="s">
        <v>7</v>
      </c>
      <c r="EE547" s="27" t="s">
        <v>8</v>
      </c>
      <c r="EH547" s="27" t="s">
        <v>7</v>
      </c>
      <c r="EI547" s="27" t="s">
        <v>8</v>
      </c>
      <c r="EJ547" s="27" t="s">
        <v>7</v>
      </c>
      <c r="EL547" s="27" t="s">
        <v>7</v>
      </c>
      <c r="ES547" s="27" t="s">
        <v>8</v>
      </c>
      <c r="EU547" s="27" t="s">
        <v>8</v>
      </c>
      <c r="EY547" s="27" t="s">
        <v>8</v>
      </c>
      <c r="EZ547" s="27" t="s">
        <v>7</v>
      </c>
      <c r="IO547" s="27" t="s">
        <v>8</v>
      </c>
      <c r="IP547" s="27" t="s">
        <v>7</v>
      </c>
      <c r="JA547" s="27" t="s">
        <v>8</v>
      </c>
      <c r="JB547" s="27" t="s">
        <v>7</v>
      </c>
      <c r="JC547" s="27" t="s">
        <v>8</v>
      </c>
      <c r="JD547" s="27" t="s">
        <v>7</v>
      </c>
      <c r="JE547" s="27" t="s">
        <v>8</v>
      </c>
      <c r="JH547" s="27" t="s">
        <v>7</v>
      </c>
    </row>
    <row r="548" spans="1:290" x14ac:dyDescent="0.25">
      <c r="A548" s="7">
        <v>2.1647447682498568</v>
      </c>
      <c r="B548"/>
      <c r="C548"/>
      <c r="D548"/>
      <c r="E548"/>
      <c r="DW548" s="27" t="s">
        <v>8</v>
      </c>
      <c r="ED548" s="27" t="s">
        <v>7</v>
      </c>
      <c r="EE548" s="27" t="s">
        <v>8</v>
      </c>
      <c r="EH548" s="27" t="s">
        <v>7</v>
      </c>
      <c r="EL548" s="27" t="s">
        <v>7</v>
      </c>
      <c r="ES548" s="27" t="s">
        <v>8</v>
      </c>
      <c r="ET548" s="27" t="s">
        <v>7</v>
      </c>
      <c r="EU548" s="27" t="s">
        <v>8</v>
      </c>
      <c r="EV548" s="27" t="s">
        <v>7</v>
      </c>
      <c r="EW548" s="27" t="s">
        <v>8</v>
      </c>
      <c r="EY548" s="27" t="s">
        <v>8</v>
      </c>
      <c r="EZ548" s="27" t="s">
        <v>7</v>
      </c>
      <c r="IO548" s="27" t="s">
        <v>8</v>
      </c>
      <c r="IP548" s="27" t="s">
        <v>7</v>
      </c>
      <c r="IQ548" s="27" t="s">
        <v>8</v>
      </c>
      <c r="JA548" s="27" t="s">
        <v>8</v>
      </c>
      <c r="JB548" s="27" t="s">
        <v>7</v>
      </c>
      <c r="JC548" s="27" t="s">
        <v>8</v>
      </c>
      <c r="JD548" s="27" t="s">
        <v>7</v>
      </c>
      <c r="JE548" s="27" t="s">
        <v>8</v>
      </c>
      <c r="JH548" s="27" t="s">
        <v>7</v>
      </c>
      <c r="JS548" s="27" t="s">
        <v>8</v>
      </c>
    </row>
    <row r="549" spans="1:290" x14ac:dyDescent="0.25">
      <c r="A549" s="7">
        <v>2.1222987924018204</v>
      </c>
      <c r="B549"/>
      <c r="C549"/>
      <c r="D549"/>
      <c r="E549"/>
      <c r="DW549" s="27" t="s">
        <v>8</v>
      </c>
      <c r="ED549" s="27" t="s">
        <v>7</v>
      </c>
      <c r="EE549" s="27" t="s">
        <v>8</v>
      </c>
      <c r="EL549" s="27" t="s">
        <v>7</v>
      </c>
      <c r="ES549" s="27" t="s">
        <v>8</v>
      </c>
      <c r="ET549" s="27" t="s">
        <v>7</v>
      </c>
      <c r="EU549" s="27" t="s">
        <v>8</v>
      </c>
      <c r="EV549" s="27" t="s">
        <v>7</v>
      </c>
      <c r="EW549" s="27" t="s">
        <v>8</v>
      </c>
      <c r="EX549" s="27" t="s">
        <v>7</v>
      </c>
      <c r="EY549" s="27" t="s">
        <v>8</v>
      </c>
      <c r="EZ549" s="27" t="s">
        <v>7</v>
      </c>
      <c r="FA549" s="27" t="s">
        <v>8</v>
      </c>
      <c r="IO549" s="27" t="s">
        <v>8</v>
      </c>
      <c r="IP549" s="27" t="s">
        <v>7</v>
      </c>
      <c r="IQ549" s="27" t="s">
        <v>8</v>
      </c>
      <c r="IR549" s="27" t="s">
        <v>7</v>
      </c>
      <c r="JA549" s="27" t="s">
        <v>8</v>
      </c>
      <c r="JB549" s="27" t="s">
        <v>7</v>
      </c>
      <c r="JC549" s="27" t="s">
        <v>8</v>
      </c>
      <c r="JD549" s="27" t="s">
        <v>7</v>
      </c>
      <c r="JE549" s="27" t="s">
        <v>8</v>
      </c>
      <c r="JH549" s="27" t="s">
        <v>7</v>
      </c>
      <c r="JS549" s="27" t="s">
        <v>8</v>
      </c>
      <c r="JT549" s="27" t="s">
        <v>7</v>
      </c>
    </row>
    <row r="550" spans="1:290" x14ac:dyDescent="0.25">
      <c r="A550" s="7">
        <v>2.0806850905900198</v>
      </c>
      <c r="B550"/>
      <c r="C550"/>
      <c r="D550"/>
      <c r="E550"/>
      <c r="DW550" s="27" t="s">
        <v>8</v>
      </c>
      <c r="ED550" s="27" t="s">
        <v>7</v>
      </c>
      <c r="EL550" s="27" t="s">
        <v>7</v>
      </c>
      <c r="EM550" s="27" t="s">
        <v>8</v>
      </c>
      <c r="ES550" s="27" t="s">
        <v>8</v>
      </c>
      <c r="ET550" s="27" t="s">
        <v>7</v>
      </c>
      <c r="EU550" s="27" t="s">
        <v>8</v>
      </c>
      <c r="EV550" s="27" t="s">
        <v>7</v>
      </c>
      <c r="EW550" s="27" t="s">
        <v>8</v>
      </c>
      <c r="EX550" s="27" t="s">
        <v>7</v>
      </c>
      <c r="EY550" s="27" t="s">
        <v>8</v>
      </c>
      <c r="EZ550" s="27" t="s">
        <v>7</v>
      </c>
      <c r="FA550" s="27" t="s">
        <v>8</v>
      </c>
      <c r="FB550" s="27" t="s">
        <v>7</v>
      </c>
      <c r="IO550" s="27" t="s">
        <v>8</v>
      </c>
      <c r="IP550" s="27" t="s">
        <v>7</v>
      </c>
      <c r="IQ550" s="27" t="s">
        <v>8</v>
      </c>
      <c r="IR550" s="27" t="s">
        <v>7</v>
      </c>
      <c r="JA550" s="27" t="s">
        <v>8</v>
      </c>
      <c r="JB550" s="27" t="s">
        <v>7</v>
      </c>
      <c r="JC550" s="27" t="s">
        <v>8</v>
      </c>
      <c r="JD550" s="27" t="s">
        <v>7</v>
      </c>
      <c r="JE550" s="27" t="s">
        <v>8</v>
      </c>
      <c r="JH550" s="27" t="s">
        <v>7</v>
      </c>
      <c r="JQ550" s="27" t="s">
        <v>8</v>
      </c>
      <c r="JS550" s="27" t="s">
        <v>8</v>
      </c>
      <c r="JT550" s="27" t="s">
        <v>7</v>
      </c>
    </row>
    <row r="551" spans="1:290" x14ac:dyDescent="0.25">
      <c r="A551" s="7">
        <v>2.0398873437157055</v>
      </c>
      <c r="B551"/>
      <c r="C551"/>
      <c r="D551"/>
      <c r="E551"/>
      <c r="DW551" s="27" t="s">
        <v>8</v>
      </c>
      <c r="EL551" s="27" t="s">
        <v>7</v>
      </c>
      <c r="EM551" s="27" t="s">
        <v>8</v>
      </c>
      <c r="EN551" s="27" t="s">
        <v>7</v>
      </c>
      <c r="ES551" s="27" t="s">
        <v>8</v>
      </c>
      <c r="ET551" s="27" t="s">
        <v>7</v>
      </c>
      <c r="EU551" s="27" t="s">
        <v>8</v>
      </c>
      <c r="EV551" s="27" t="s">
        <v>7</v>
      </c>
      <c r="EW551" s="27" t="s">
        <v>8</v>
      </c>
      <c r="EX551" s="27" t="s">
        <v>7</v>
      </c>
      <c r="EY551" s="27" t="s">
        <v>8</v>
      </c>
      <c r="EZ551" s="27" t="s">
        <v>7</v>
      </c>
      <c r="FA551" s="27" t="s">
        <v>8</v>
      </c>
      <c r="FB551" s="27" t="s">
        <v>7</v>
      </c>
      <c r="IO551" s="27" t="s">
        <v>8</v>
      </c>
      <c r="IP551" s="27" t="s">
        <v>7</v>
      </c>
      <c r="IQ551" s="27" t="s">
        <v>8</v>
      </c>
      <c r="IR551" s="27" t="s">
        <v>7</v>
      </c>
      <c r="JA551" s="27" t="s">
        <v>8</v>
      </c>
      <c r="JB551" s="27" t="s">
        <v>7</v>
      </c>
      <c r="JC551" s="27" t="s">
        <v>8</v>
      </c>
      <c r="JD551" s="27" t="s">
        <v>7</v>
      </c>
      <c r="JE551" s="27" t="s">
        <v>8</v>
      </c>
      <c r="JH551" s="27" t="s">
        <v>7</v>
      </c>
      <c r="JQ551" s="27" t="s">
        <v>8</v>
      </c>
      <c r="JR551" s="27" t="s">
        <v>7</v>
      </c>
      <c r="JS551" s="27" t="s">
        <v>8</v>
      </c>
      <c r="JT551" s="27" t="s">
        <v>7</v>
      </c>
    </row>
    <row r="552" spans="1:290" x14ac:dyDescent="0.25">
      <c r="A552" s="7">
        <v>1.9998895526624565</v>
      </c>
      <c r="B552"/>
      <c r="C552"/>
      <c r="D552"/>
      <c r="E552"/>
      <c r="DU552" s="27" t="s">
        <v>8</v>
      </c>
      <c r="DW552" s="27" t="s">
        <v>8</v>
      </c>
      <c r="EL552" s="27" t="s">
        <v>7</v>
      </c>
      <c r="EM552" s="27" t="s">
        <v>8</v>
      </c>
      <c r="EN552" s="27" t="s">
        <v>7</v>
      </c>
      <c r="EO552" s="27" t="s">
        <v>8</v>
      </c>
      <c r="EQ552" s="27" t="s">
        <v>8</v>
      </c>
      <c r="ES552" s="27" t="s">
        <v>8</v>
      </c>
      <c r="ET552" s="27" t="s">
        <v>7</v>
      </c>
      <c r="EU552" s="27" t="s">
        <v>8</v>
      </c>
      <c r="EV552" s="27" t="s">
        <v>7</v>
      </c>
      <c r="EW552" s="27" t="s">
        <v>8</v>
      </c>
      <c r="EX552" s="27" t="s">
        <v>7</v>
      </c>
      <c r="EY552" s="27" t="s">
        <v>8</v>
      </c>
      <c r="EZ552" s="27" t="s">
        <v>7</v>
      </c>
      <c r="FA552" s="27" t="s">
        <v>8</v>
      </c>
      <c r="FB552" s="27" t="s">
        <v>7</v>
      </c>
      <c r="IO552" s="27" t="s">
        <v>8</v>
      </c>
      <c r="IP552" s="27" t="s">
        <v>7</v>
      </c>
      <c r="IQ552" s="27" t="s">
        <v>8</v>
      </c>
      <c r="IR552" s="27" t="s">
        <v>7</v>
      </c>
      <c r="JA552" s="27" t="s">
        <v>8</v>
      </c>
      <c r="JB552" s="27" t="s">
        <v>7</v>
      </c>
      <c r="JC552" s="27" t="s">
        <v>8</v>
      </c>
      <c r="JD552" s="27" t="s">
        <v>7</v>
      </c>
      <c r="JE552" s="27" t="s">
        <v>8</v>
      </c>
      <c r="JH552" s="27" t="s">
        <v>7</v>
      </c>
      <c r="JK552" s="27" t="s">
        <v>8</v>
      </c>
      <c r="JQ552" s="27" t="s">
        <v>8</v>
      </c>
      <c r="JR552" s="27" t="s">
        <v>7</v>
      </c>
      <c r="JS552" s="27" t="s">
        <v>8</v>
      </c>
      <c r="JT552" s="27" t="s">
        <v>7</v>
      </c>
      <c r="JU552" s="27" t="s">
        <v>8</v>
      </c>
    </row>
    <row r="553" spans="1:290" x14ac:dyDescent="0.25">
      <c r="A553" s="7">
        <v>1.9606760320220162</v>
      </c>
      <c r="B553"/>
      <c r="C553"/>
      <c r="D553"/>
      <c r="E553"/>
      <c r="DU553" s="27" t="s">
        <v>8</v>
      </c>
      <c r="DV553" s="27" t="s">
        <v>7</v>
      </c>
      <c r="DW553" s="27" t="s">
        <v>8</v>
      </c>
      <c r="EL553" s="27" t="s">
        <v>7</v>
      </c>
      <c r="EM553" s="27" t="s">
        <v>8</v>
      </c>
      <c r="EN553" s="27" t="s">
        <v>7</v>
      </c>
      <c r="EO553" s="27" t="s">
        <v>8</v>
      </c>
      <c r="EP553" s="27" t="s">
        <v>7</v>
      </c>
      <c r="EQ553" s="27" t="s">
        <v>8</v>
      </c>
      <c r="ER553" s="27" t="s">
        <v>7</v>
      </c>
      <c r="ES553" s="27" t="s">
        <v>8</v>
      </c>
      <c r="ET553" s="27" t="s">
        <v>7</v>
      </c>
      <c r="EU553" s="27" t="s">
        <v>8</v>
      </c>
      <c r="EV553" s="27" t="s">
        <v>7</v>
      </c>
      <c r="EW553" s="27" t="s">
        <v>8</v>
      </c>
      <c r="EX553" s="27" t="s">
        <v>7</v>
      </c>
      <c r="EY553" s="27" t="s">
        <v>8</v>
      </c>
      <c r="EZ553" s="27" t="s">
        <v>7</v>
      </c>
      <c r="FA553" s="27" t="s">
        <v>8</v>
      </c>
      <c r="FB553" s="27" t="s">
        <v>7</v>
      </c>
      <c r="HM553" s="27" t="s">
        <v>8</v>
      </c>
      <c r="IO553" s="27" t="s">
        <v>8</v>
      </c>
      <c r="IP553" s="27" t="s">
        <v>7</v>
      </c>
      <c r="IQ553" s="27" t="s">
        <v>8</v>
      </c>
      <c r="IR553" s="27" t="s">
        <v>7</v>
      </c>
      <c r="JA553" s="27" t="s">
        <v>8</v>
      </c>
      <c r="JB553" s="27" t="s">
        <v>7</v>
      </c>
      <c r="JC553" s="27" t="s">
        <v>8</v>
      </c>
      <c r="JD553" s="27" t="s">
        <v>7</v>
      </c>
      <c r="JE553" s="27" t="s">
        <v>8</v>
      </c>
      <c r="JH553" s="27" t="s">
        <v>7</v>
      </c>
      <c r="JI553" s="27" t="s">
        <v>8</v>
      </c>
      <c r="JK553" s="27" t="s">
        <v>8</v>
      </c>
      <c r="JL553" s="27" t="s">
        <v>7</v>
      </c>
      <c r="JQ553" s="27" t="s">
        <v>8</v>
      </c>
      <c r="JR553" s="27" t="s">
        <v>7</v>
      </c>
      <c r="JT553" s="27" t="s">
        <v>7</v>
      </c>
      <c r="JU553" s="27" t="s">
        <v>8</v>
      </c>
      <c r="JV553" s="27" t="s">
        <v>7</v>
      </c>
    </row>
    <row r="554" spans="1:290" x14ac:dyDescent="0.25">
      <c r="A554" s="7">
        <v>1.9222314039431532</v>
      </c>
      <c r="B554"/>
      <c r="C554"/>
      <c r="D554"/>
      <c r="E554"/>
      <c r="DU554" s="27" t="s">
        <v>8</v>
      </c>
      <c r="DV554" s="27" t="s">
        <v>7</v>
      </c>
      <c r="DW554" s="27" t="s">
        <v>8</v>
      </c>
      <c r="EL554" s="27" t="s">
        <v>7</v>
      </c>
      <c r="EM554" s="27" t="s">
        <v>8</v>
      </c>
      <c r="EN554" s="27" t="s">
        <v>7</v>
      </c>
      <c r="EO554" s="27" t="s">
        <v>8</v>
      </c>
      <c r="EP554" s="27" t="s">
        <v>7</v>
      </c>
      <c r="EQ554" s="27" t="s">
        <v>8</v>
      </c>
      <c r="ER554" s="27" t="s">
        <v>7</v>
      </c>
      <c r="ES554" s="27" t="s">
        <v>8</v>
      </c>
      <c r="ET554" s="27" t="s">
        <v>7</v>
      </c>
      <c r="EU554" s="27" t="s">
        <v>8</v>
      </c>
      <c r="EV554" s="27" t="s">
        <v>7</v>
      </c>
      <c r="EX554" s="27" t="s">
        <v>7</v>
      </c>
      <c r="EY554" s="27" t="s">
        <v>8</v>
      </c>
      <c r="EZ554" s="27" t="s">
        <v>7</v>
      </c>
      <c r="FA554" s="27" t="s">
        <v>8</v>
      </c>
      <c r="FB554" s="27" t="s">
        <v>7</v>
      </c>
      <c r="HM554" s="27" t="s">
        <v>8</v>
      </c>
      <c r="HN554" s="27" t="s">
        <v>7</v>
      </c>
      <c r="IO554" s="27" t="s">
        <v>8</v>
      </c>
      <c r="IP554" s="27" t="s">
        <v>7</v>
      </c>
      <c r="IQ554" s="27" t="s">
        <v>8</v>
      </c>
      <c r="IR554" s="27" t="s">
        <v>7</v>
      </c>
      <c r="JA554" s="27" t="s">
        <v>8</v>
      </c>
      <c r="JB554" s="27" t="s">
        <v>7</v>
      </c>
      <c r="JC554" s="27" t="s">
        <v>8</v>
      </c>
      <c r="JD554" s="27" t="s">
        <v>7</v>
      </c>
      <c r="JE554" s="27" t="s">
        <v>8</v>
      </c>
      <c r="JH554" s="27" t="s">
        <v>7</v>
      </c>
      <c r="JI554" s="27" t="s">
        <v>8</v>
      </c>
      <c r="JJ554" s="27" t="s">
        <v>7</v>
      </c>
      <c r="JK554" s="27" t="s">
        <v>8</v>
      </c>
      <c r="JL554" s="27" t="s">
        <v>7</v>
      </c>
      <c r="JQ554" s="27" t="s">
        <v>8</v>
      </c>
      <c r="JT554" s="27" t="s">
        <v>7</v>
      </c>
      <c r="JU554" s="27" t="s">
        <v>8</v>
      </c>
      <c r="JV554" s="27" t="s">
        <v>7</v>
      </c>
    </row>
    <row r="555" spans="1:290" x14ac:dyDescent="0.25">
      <c r="A555" s="7">
        <v>1.8845405921011305</v>
      </c>
      <c r="B555"/>
      <c r="C555"/>
      <c r="D555"/>
      <c r="E555"/>
      <c r="DU555" s="27" t="s">
        <v>8</v>
      </c>
      <c r="DV555" s="27" t="s">
        <v>7</v>
      </c>
      <c r="DW555" s="27" t="s">
        <v>8</v>
      </c>
      <c r="EL555" s="27" t="s">
        <v>7</v>
      </c>
      <c r="EM555" s="27" t="s">
        <v>8</v>
      </c>
      <c r="EN555" s="27" t="s">
        <v>7</v>
      </c>
      <c r="EO555" s="27" t="s">
        <v>8</v>
      </c>
      <c r="EP555" s="27" t="s">
        <v>7</v>
      </c>
      <c r="EQ555" s="27" t="s">
        <v>8</v>
      </c>
      <c r="ER555" s="27" t="s">
        <v>7</v>
      </c>
      <c r="ES555" s="27" t="s">
        <v>8</v>
      </c>
      <c r="ET555" s="27" t="s">
        <v>7</v>
      </c>
      <c r="EX555" s="27" t="s">
        <v>7</v>
      </c>
      <c r="EY555" s="27" t="s">
        <v>8</v>
      </c>
      <c r="EZ555" s="27" t="s">
        <v>7</v>
      </c>
      <c r="FA555" s="27" t="s">
        <v>8</v>
      </c>
      <c r="FB555" s="27" t="s">
        <v>7</v>
      </c>
      <c r="FC555" s="27" t="s">
        <v>8</v>
      </c>
      <c r="HM555" s="27" t="s">
        <v>8</v>
      </c>
      <c r="HN555" s="27" t="s">
        <v>7</v>
      </c>
      <c r="IO555" s="27" t="s">
        <v>8</v>
      </c>
      <c r="IP555" s="27" t="s">
        <v>7</v>
      </c>
      <c r="IQ555" s="27" t="s">
        <v>8</v>
      </c>
      <c r="IR555" s="27" t="s">
        <v>7</v>
      </c>
      <c r="IW555" s="27" t="s">
        <v>8</v>
      </c>
      <c r="JA555" s="27" t="s">
        <v>8</v>
      </c>
      <c r="JB555" s="27" t="s">
        <v>7</v>
      </c>
      <c r="JC555" s="27" t="s">
        <v>8</v>
      </c>
      <c r="JD555" s="27" t="s">
        <v>7</v>
      </c>
      <c r="JE555" s="27" t="s">
        <v>8</v>
      </c>
      <c r="JH555" s="27" t="s">
        <v>7</v>
      </c>
      <c r="JI555" s="27" t="s">
        <v>8</v>
      </c>
      <c r="JJ555" s="27" t="s">
        <v>7</v>
      </c>
      <c r="JK555" s="27" t="s">
        <v>8</v>
      </c>
      <c r="JL555" s="27" t="s">
        <v>7</v>
      </c>
      <c r="JQ555" s="27" t="s">
        <v>8</v>
      </c>
      <c r="JT555" s="27" t="s">
        <v>7</v>
      </c>
      <c r="JU555" s="27" t="s">
        <v>8</v>
      </c>
      <c r="JV555" s="27" t="s">
        <v>7</v>
      </c>
    </row>
    <row r="556" spans="1:290" x14ac:dyDescent="0.25">
      <c r="A556" s="7">
        <v>1.8475888157854219</v>
      </c>
      <c r="B556"/>
      <c r="C556"/>
      <c r="D556"/>
      <c r="E556"/>
      <c r="DU556" s="27" t="s">
        <v>8</v>
      </c>
      <c r="DV556" s="27" t="s">
        <v>7</v>
      </c>
      <c r="DW556" s="27" t="s">
        <v>8</v>
      </c>
      <c r="EL556" s="27" t="s">
        <v>7</v>
      </c>
      <c r="EM556" s="27" t="s">
        <v>8</v>
      </c>
      <c r="EN556" s="27" t="s">
        <v>7</v>
      </c>
      <c r="EO556" s="27" t="s">
        <v>8</v>
      </c>
      <c r="EP556" s="27" t="s">
        <v>7</v>
      </c>
      <c r="EQ556" s="27" t="s">
        <v>8</v>
      </c>
      <c r="ER556" s="27" t="s">
        <v>7</v>
      </c>
      <c r="ES556" s="27" t="s">
        <v>8</v>
      </c>
      <c r="EX556" s="27" t="s">
        <v>7</v>
      </c>
      <c r="EY556" s="27" t="s">
        <v>8</v>
      </c>
      <c r="EZ556" s="27" t="s">
        <v>7</v>
      </c>
      <c r="FA556" s="27" t="s">
        <v>8</v>
      </c>
      <c r="FB556" s="27" t="s">
        <v>7</v>
      </c>
      <c r="FC556" s="27" t="s">
        <v>8</v>
      </c>
      <c r="FD556" s="27" t="s">
        <v>7</v>
      </c>
      <c r="HM556" s="27" t="s">
        <v>8</v>
      </c>
      <c r="HN556" s="27" t="s">
        <v>7</v>
      </c>
      <c r="IO556" s="27" t="s">
        <v>8</v>
      </c>
      <c r="IP556" s="27" t="s">
        <v>7</v>
      </c>
      <c r="IQ556" s="27" t="s">
        <v>8</v>
      </c>
      <c r="IR556" s="27" t="s">
        <v>7</v>
      </c>
      <c r="IW556" s="27" t="s">
        <v>8</v>
      </c>
      <c r="IX556" s="27" t="s">
        <v>7</v>
      </c>
      <c r="IY556" s="27" t="s">
        <v>8</v>
      </c>
      <c r="JA556" s="27" t="s">
        <v>8</v>
      </c>
      <c r="JB556" s="27" t="s">
        <v>7</v>
      </c>
      <c r="JC556" s="27" t="s">
        <v>8</v>
      </c>
      <c r="JD556" s="27" t="s">
        <v>7</v>
      </c>
      <c r="JH556" s="27" t="s">
        <v>7</v>
      </c>
      <c r="JI556" s="27" t="s">
        <v>8</v>
      </c>
      <c r="JJ556" s="27" t="s">
        <v>7</v>
      </c>
      <c r="JK556" s="27" t="s">
        <v>8</v>
      </c>
      <c r="JL556" s="27" t="s">
        <v>7</v>
      </c>
      <c r="JO556" s="27" t="s">
        <v>8</v>
      </c>
      <c r="JQ556" s="27" t="s">
        <v>8</v>
      </c>
      <c r="JT556" s="27" t="s">
        <v>7</v>
      </c>
      <c r="JU556" s="27" t="s">
        <v>8</v>
      </c>
      <c r="JV556" s="27" t="s">
        <v>7</v>
      </c>
    </row>
    <row r="557" spans="1:290" x14ac:dyDescent="0.25">
      <c r="A557" s="7">
        <v>1.8113615841033548</v>
      </c>
      <c r="B557"/>
      <c r="C557"/>
      <c r="D557"/>
      <c r="E557"/>
      <c r="DU557" s="27" t="s">
        <v>8</v>
      </c>
      <c r="DV557" s="27" t="s">
        <v>7</v>
      </c>
      <c r="DW557" s="27" t="s">
        <v>8</v>
      </c>
      <c r="EL557" s="27" t="s">
        <v>7</v>
      </c>
      <c r="EM557" s="27" t="s">
        <v>8</v>
      </c>
      <c r="EN557" s="27" t="s">
        <v>7</v>
      </c>
      <c r="EO557" s="27" t="s">
        <v>8</v>
      </c>
      <c r="EP557" s="27" t="s">
        <v>7</v>
      </c>
      <c r="EQ557" s="27" t="s">
        <v>8</v>
      </c>
      <c r="ER557" s="27" t="s">
        <v>7</v>
      </c>
      <c r="ES557" s="27" t="s">
        <v>8</v>
      </c>
      <c r="EX557" s="27" t="s">
        <v>7</v>
      </c>
      <c r="EY557" s="27" t="s">
        <v>8</v>
      </c>
      <c r="EZ557" s="27" t="s">
        <v>7</v>
      </c>
      <c r="FA557" s="27" t="s">
        <v>8</v>
      </c>
      <c r="FB557" s="27" t="s">
        <v>7</v>
      </c>
      <c r="FC557" s="27" t="s">
        <v>8</v>
      </c>
      <c r="FD557" s="27" t="s">
        <v>7</v>
      </c>
      <c r="HM557" s="27" t="s">
        <v>8</v>
      </c>
      <c r="HN557" s="27" t="s">
        <v>7</v>
      </c>
      <c r="IO557" s="27" t="s">
        <v>8</v>
      </c>
      <c r="IP557" s="27" t="s">
        <v>7</v>
      </c>
      <c r="IQ557" s="27" t="s">
        <v>8</v>
      </c>
      <c r="IR557" s="27" t="s">
        <v>7</v>
      </c>
      <c r="IW557" s="27" t="s">
        <v>8</v>
      </c>
      <c r="IX557" s="27" t="s">
        <v>7</v>
      </c>
      <c r="IY557" s="27" t="s">
        <v>8</v>
      </c>
      <c r="IZ557" s="27" t="s">
        <v>7</v>
      </c>
      <c r="JA557" s="27" t="s">
        <v>8</v>
      </c>
      <c r="JB557" s="27" t="s">
        <v>7</v>
      </c>
      <c r="JC557" s="27" t="s">
        <v>8</v>
      </c>
      <c r="JH557" s="27" t="s">
        <v>7</v>
      </c>
      <c r="JI557" s="27" t="s">
        <v>8</v>
      </c>
      <c r="JJ557" s="27" t="s">
        <v>7</v>
      </c>
      <c r="JK557" s="27" t="s">
        <v>8</v>
      </c>
      <c r="JL557" s="27" t="s">
        <v>7</v>
      </c>
      <c r="JO557" s="27" t="s">
        <v>8</v>
      </c>
      <c r="JP557" s="27" t="s">
        <v>7</v>
      </c>
      <c r="JQ557" s="27" t="s">
        <v>8</v>
      </c>
      <c r="JT557" s="27" t="s">
        <v>7</v>
      </c>
      <c r="JU557" s="27" t="s">
        <v>8</v>
      </c>
      <c r="JV557" s="27" t="s">
        <v>7</v>
      </c>
    </row>
    <row r="558" spans="1:290" x14ac:dyDescent="0.25">
      <c r="A558" s="7">
        <v>1.7758446902974065</v>
      </c>
      <c r="B558"/>
      <c r="C558"/>
      <c r="D558"/>
      <c r="E558"/>
      <c r="DU558" s="27" t="s">
        <v>8</v>
      </c>
      <c r="DV558" s="27" t="s">
        <v>7</v>
      </c>
      <c r="DW558" s="27" t="s">
        <v>8</v>
      </c>
      <c r="EL558" s="27" t="s">
        <v>7</v>
      </c>
      <c r="EM558" s="27" t="s">
        <v>8</v>
      </c>
      <c r="EN558" s="27" t="s">
        <v>7</v>
      </c>
      <c r="EO558" s="27" t="s">
        <v>8</v>
      </c>
      <c r="EP558" s="27" t="s">
        <v>7</v>
      </c>
      <c r="EQ558" s="27" t="s">
        <v>8</v>
      </c>
      <c r="ER558" s="27" t="s">
        <v>7</v>
      </c>
      <c r="ES558" s="27" t="s">
        <v>8</v>
      </c>
      <c r="EX558" s="27" t="s">
        <v>7</v>
      </c>
      <c r="EZ558" s="27" t="s">
        <v>7</v>
      </c>
      <c r="FB558" s="27" t="s">
        <v>7</v>
      </c>
      <c r="FC558" s="27" t="s">
        <v>8</v>
      </c>
      <c r="FD558" s="27" t="s">
        <v>7</v>
      </c>
      <c r="HM558" s="27" t="s">
        <v>8</v>
      </c>
      <c r="HN558" s="27" t="s">
        <v>7</v>
      </c>
      <c r="IO558" s="27" t="s">
        <v>8</v>
      </c>
      <c r="IP558" s="27" t="s">
        <v>7</v>
      </c>
      <c r="IQ558" s="27" t="s">
        <v>8</v>
      </c>
      <c r="IR558" s="27" t="s">
        <v>7</v>
      </c>
      <c r="IW558" s="27" t="s">
        <v>8</v>
      </c>
      <c r="IX558" s="27" t="s">
        <v>7</v>
      </c>
      <c r="IY558" s="27" t="s">
        <v>8</v>
      </c>
      <c r="IZ558" s="27" t="s">
        <v>7</v>
      </c>
      <c r="JA558" s="27" t="s">
        <v>8</v>
      </c>
      <c r="JB558" s="27" t="s">
        <v>7</v>
      </c>
      <c r="JC558" s="27" t="s">
        <v>8</v>
      </c>
      <c r="JH558" s="27" t="s">
        <v>7</v>
      </c>
      <c r="JI558" s="27" t="s">
        <v>8</v>
      </c>
      <c r="JJ558" s="27" t="s">
        <v>7</v>
      </c>
      <c r="JK558" s="27" t="s">
        <v>8</v>
      </c>
      <c r="JL558" s="27" t="s">
        <v>7</v>
      </c>
      <c r="JO558" s="27" t="s">
        <v>8</v>
      </c>
      <c r="JP558" s="27" t="s">
        <v>7</v>
      </c>
      <c r="JQ558" s="27" t="s">
        <v>8</v>
      </c>
      <c r="JT558" s="27" t="s">
        <v>7</v>
      </c>
      <c r="JU558" s="27" t="s">
        <v>8</v>
      </c>
      <c r="JV558" s="27" t="s">
        <v>7</v>
      </c>
      <c r="KC558" s="27" t="s">
        <v>8</v>
      </c>
    </row>
    <row r="559" spans="1:290" x14ac:dyDescent="0.25">
      <c r="A559" s="7">
        <v>1.7410242061739281</v>
      </c>
      <c r="B559"/>
      <c r="C559"/>
      <c r="D559"/>
      <c r="E559"/>
      <c r="DU559" s="27" t="s">
        <v>8</v>
      </c>
      <c r="DV559" s="27" t="s">
        <v>7</v>
      </c>
      <c r="DW559" s="27" t="s">
        <v>8</v>
      </c>
      <c r="EL559" s="27" t="s">
        <v>7</v>
      </c>
      <c r="EM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FB559" s="27" t="s">
        <v>7</v>
      </c>
      <c r="FC559" s="27" t="s">
        <v>8</v>
      </c>
      <c r="FD559" s="27" t="s">
        <v>7</v>
      </c>
      <c r="HG559" s="27" t="s">
        <v>8</v>
      </c>
      <c r="HM559" s="27" t="s">
        <v>8</v>
      </c>
      <c r="HN559" s="27" t="s">
        <v>7</v>
      </c>
      <c r="IO559" s="27" t="s">
        <v>8</v>
      </c>
      <c r="IP559" s="27" t="s">
        <v>7</v>
      </c>
      <c r="IQ559" s="27" t="s">
        <v>8</v>
      </c>
      <c r="IR559" s="27" t="s">
        <v>7</v>
      </c>
      <c r="IW559" s="27" t="s">
        <v>8</v>
      </c>
      <c r="IX559" s="27" t="s">
        <v>7</v>
      </c>
      <c r="IY559" s="27" t="s">
        <v>8</v>
      </c>
      <c r="IZ559" s="27" t="s">
        <v>7</v>
      </c>
      <c r="JA559" s="27" t="s">
        <v>8</v>
      </c>
      <c r="JB559" s="27" t="s">
        <v>7</v>
      </c>
      <c r="JC559" s="27" t="s">
        <v>8</v>
      </c>
      <c r="JH559" s="27" t="s">
        <v>7</v>
      </c>
      <c r="JI559" s="27" t="s">
        <v>8</v>
      </c>
      <c r="JJ559" s="27" t="s">
        <v>7</v>
      </c>
      <c r="JK559" s="27" t="s">
        <v>8</v>
      </c>
      <c r="JL559" s="27" t="s">
        <v>7</v>
      </c>
      <c r="JO559" s="27" t="s">
        <v>8</v>
      </c>
      <c r="JP559" s="27" t="s">
        <v>7</v>
      </c>
      <c r="JQ559" s="27" t="s">
        <v>8</v>
      </c>
      <c r="JT559" s="27" t="s">
        <v>7</v>
      </c>
      <c r="JU559" s="27" t="s">
        <v>8</v>
      </c>
      <c r="JV559" s="27" t="s">
        <v>7</v>
      </c>
      <c r="KC559" s="27" t="s">
        <v>8</v>
      </c>
      <c r="KD559" s="27" t="s">
        <v>7</v>
      </c>
    </row>
    <row r="560" spans="1:290" x14ac:dyDescent="0.25">
      <c r="A560" s="7">
        <v>1.7068864766411058</v>
      </c>
      <c r="B560"/>
      <c r="C560"/>
      <c r="D560"/>
      <c r="E560"/>
      <c r="DU560" s="27" t="s">
        <v>8</v>
      </c>
      <c r="DV560" s="27" t="s">
        <v>7</v>
      </c>
      <c r="DW560" s="27" t="s">
        <v>8</v>
      </c>
      <c r="EL560" s="27" t="s">
        <v>7</v>
      </c>
      <c r="EM560" s="27" t="s">
        <v>8</v>
      </c>
      <c r="EN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FB560" s="27" t="s">
        <v>7</v>
      </c>
      <c r="FC560" s="27" t="s">
        <v>8</v>
      </c>
      <c r="FD560" s="27" t="s">
        <v>7</v>
      </c>
      <c r="HG560" s="27" t="s">
        <v>8</v>
      </c>
      <c r="HH560" s="27" t="s">
        <v>7</v>
      </c>
      <c r="HM560" s="27" t="s">
        <v>8</v>
      </c>
      <c r="HN560" s="27" t="s">
        <v>7</v>
      </c>
      <c r="IO560" s="27" t="s">
        <v>8</v>
      </c>
      <c r="IP560" s="27" t="s">
        <v>7</v>
      </c>
      <c r="IQ560" s="27" t="s">
        <v>8</v>
      </c>
      <c r="IR560" s="27" t="s">
        <v>7</v>
      </c>
      <c r="IS560" s="27" t="s">
        <v>8</v>
      </c>
      <c r="IU560" s="27" t="s">
        <v>8</v>
      </c>
      <c r="IW560" s="27" t="s">
        <v>8</v>
      </c>
      <c r="IX560" s="27" t="s">
        <v>7</v>
      </c>
      <c r="IY560" s="27" t="s">
        <v>8</v>
      </c>
      <c r="IZ560" s="27" t="s">
        <v>7</v>
      </c>
      <c r="JA560" s="27" t="s">
        <v>8</v>
      </c>
      <c r="JB560" s="27" t="s">
        <v>7</v>
      </c>
      <c r="JH560" s="27" t="s">
        <v>7</v>
      </c>
      <c r="JI560" s="27" t="s">
        <v>8</v>
      </c>
      <c r="JJ560" s="27" t="s">
        <v>7</v>
      </c>
      <c r="JK560" s="27" t="s">
        <v>8</v>
      </c>
      <c r="JL560" s="27" t="s">
        <v>7</v>
      </c>
      <c r="JM560" s="27" t="s">
        <v>8</v>
      </c>
      <c r="JO560" s="27" t="s">
        <v>8</v>
      </c>
      <c r="JP560" s="27" t="s">
        <v>7</v>
      </c>
      <c r="JQ560" s="27" t="s">
        <v>8</v>
      </c>
      <c r="JT560" s="27" t="s">
        <v>7</v>
      </c>
      <c r="JU560" s="27" t="s">
        <v>8</v>
      </c>
      <c r="JV560" s="27" t="s">
        <v>7</v>
      </c>
      <c r="JW560" s="27" t="s">
        <v>8</v>
      </c>
      <c r="KC560" s="27" t="s">
        <v>8</v>
      </c>
      <c r="KD560" s="27" t="s">
        <v>7</v>
      </c>
    </row>
    <row r="561" spans="1:290" x14ac:dyDescent="0.25">
      <c r="A561" s="7">
        <v>1.6734181143540252</v>
      </c>
      <c r="B561"/>
      <c r="C561"/>
      <c r="D561"/>
      <c r="E561"/>
      <c r="DU561" s="27" t="s">
        <v>8</v>
      </c>
      <c r="DV561" s="27" t="s">
        <v>7</v>
      </c>
      <c r="DW561" s="27" t="s">
        <v>8</v>
      </c>
      <c r="EL561" s="27" t="s">
        <v>7</v>
      </c>
      <c r="EM561" s="27" t="s">
        <v>8</v>
      </c>
      <c r="EN561" s="27" t="s">
        <v>7</v>
      </c>
      <c r="EO561" s="27" t="s">
        <v>8</v>
      </c>
      <c r="EP561" s="27" t="s">
        <v>7</v>
      </c>
      <c r="EQ561" s="27" t="s">
        <v>8</v>
      </c>
      <c r="ER561" s="27" t="s">
        <v>7</v>
      </c>
      <c r="ES561" s="27" t="s">
        <v>8</v>
      </c>
      <c r="FB561" s="27" t="s">
        <v>7</v>
      </c>
      <c r="FC561" s="27" t="s">
        <v>8</v>
      </c>
      <c r="FD561" s="27" t="s">
        <v>7</v>
      </c>
      <c r="HG561" s="27" t="s">
        <v>8</v>
      </c>
      <c r="HH561" s="27" t="s">
        <v>7</v>
      </c>
      <c r="HM561" s="27" t="s">
        <v>8</v>
      </c>
      <c r="HN561" s="27" t="s">
        <v>7</v>
      </c>
      <c r="IO561" s="27" t="s">
        <v>8</v>
      </c>
      <c r="IP561" s="27" t="s">
        <v>7</v>
      </c>
      <c r="IR561" s="27" t="s">
        <v>7</v>
      </c>
      <c r="IS561" s="27" t="s">
        <v>8</v>
      </c>
      <c r="IT561" s="27" t="s">
        <v>7</v>
      </c>
      <c r="IU561" s="27" t="s">
        <v>8</v>
      </c>
      <c r="IV561" s="27" t="s">
        <v>7</v>
      </c>
      <c r="IW561" s="27" t="s">
        <v>8</v>
      </c>
      <c r="IX561" s="27" t="s">
        <v>7</v>
      </c>
      <c r="IY561" s="27" t="s">
        <v>8</v>
      </c>
      <c r="IZ561" s="27" t="s">
        <v>7</v>
      </c>
      <c r="JA561" s="27" t="s">
        <v>8</v>
      </c>
      <c r="JH561" s="27" t="s">
        <v>7</v>
      </c>
      <c r="JI561" s="27" t="s">
        <v>8</v>
      </c>
      <c r="JJ561" s="27" t="s">
        <v>7</v>
      </c>
      <c r="JK561" s="27" t="s">
        <v>8</v>
      </c>
      <c r="JL561" s="27" t="s">
        <v>7</v>
      </c>
      <c r="JM561" s="27" t="s">
        <v>8</v>
      </c>
      <c r="JN561" s="27" t="s">
        <v>7</v>
      </c>
      <c r="JO561" s="27" t="s">
        <v>8</v>
      </c>
      <c r="JP561" s="27" t="s">
        <v>7</v>
      </c>
      <c r="JQ561" s="27" t="s">
        <v>8</v>
      </c>
      <c r="JT561" s="27" t="s">
        <v>7</v>
      </c>
      <c r="JV561" s="27" t="s">
        <v>7</v>
      </c>
      <c r="JW561" s="27" t="s">
        <v>8</v>
      </c>
      <c r="JX561" s="27" t="s">
        <v>7</v>
      </c>
      <c r="KA561" s="27" t="s">
        <v>8</v>
      </c>
      <c r="KC561" s="27" t="s">
        <v>8</v>
      </c>
      <c r="KD561" s="27" t="s">
        <v>7</v>
      </c>
    </row>
    <row r="562" spans="1:290" x14ac:dyDescent="0.25">
      <c r="A562" s="7">
        <v>1.6406059944647307</v>
      </c>
      <c r="B562"/>
      <c r="C562"/>
      <c r="D562"/>
      <c r="E562"/>
      <c r="DU562" s="27" t="s">
        <v>8</v>
      </c>
      <c r="DV562" s="27" t="s">
        <v>7</v>
      </c>
      <c r="DW562" s="27" t="s">
        <v>8</v>
      </c>
      <c r="EL562" s="27" t="s">
        <v>7</v>
      </c>
      <c r="EN562" s="27" t="s">
        <v>7</v>
      </c>
      <c r="EP562" s="27" t="s">
        <v>7</v>
      </c>
      <c r="EQ562" s="27" t="s">
        <v>8</v>
      </c>
      <c r="ER562" s="27" t="s">
        <v>7</v>
      </c>
      <c r="ES562" s="27" t="s">
        <v>8</v>
      </c>
      <c r="FB562" s="27" t="s">
        <v>7</v>
      </c>
      <c r="FC562" s="27" t="s">
        <v>8</v>
      </c>
      <c r="FD562" s="27" t="s">
        <v>7</v>
      </c>
      <c r="HG562" s="27" t="s">
        <v>8</v>
      </c>
      <c r="HH562" s="27" t="s">
        <v>7</v>
      </c>
      <c r="HM562" s="27" t="s">
        <v>8</v>
      </c>
      <c r="HN562" s="27" t="s">
        <v>7</v>
      </c>
      <c r="IO562" s="27" t="s">
        <v>8</v>
      </c>
      <c r="IR562" s="27" t="s">
        <v>7</v>
      </c>
      <c r="IS562" s="27" t="s">
        <v>8</v>
      </c>
      <c r="IT562" s="27" t="s">
        <v>7</v>
      </c>
      <c r="IU562" s="27" t="s">
        <v>8</v>
      </c>
      <c r="IV562" s="27" t="s">
        <v>7</v>
      </c>
      <c r="IW562" s="27" t="s">
        <v>8</v>
      </c>
      <c r="IX562" s="27" t="s">
        <v>7</v>
      </c>
      <c r="IZ562" s="27" t="s">
        <v>7</v>
      </c>
      <c r="JA562" s="27" t="s">
        <v>8</v>
      </c>
      <c r="JH562" s="27" t="s">
        <v>7</v>
      </c>
      <c r="JI562" s="27" t="s">
        <v>8</v>
      </c>
      <c r="JJ562" s="27" t="s">
        <v>7</v>
      </c>
      <c r="JK562" s="27" t="s">
        <v>8</v>
      </c>
      <c r="JL562" s="27" t="s">
        <v>7</v>
      </c>
      <c r="JM562" s="27" t="s">
        <v>8</v>
      </c>
      <c r="JN562" s="27" t="s">
        <v>7</v>
      </c>
      <c r="JO562" s="27" t="s">
        <v>8</v>
      </c>
      <c r="JP562" s="27" t="s">
        <v>7</v>
      </c>
      <c r="JQ562" s="27" t="s">
        <v>8</v>
      </c>
      <c r="JV562" s="27" t="s">
        <v>7</v>
      </c>
      <c r="JW562" s="27" t="s">
        <v>8</v>
      </c>
      <c r="JX562" s="27" t="s">
        <v>7</v>
      </c>
      <c r="KA562" s="27" t="s">
        <v>8</v>
      </c>
      <c r="KB562" s="27" t="s">
        <v>7</v>
      </c>
      <c r="KC562" s="27" t="s">
        <v>8</v>
      </c>
      <c r="KD562" s="27" t="s">
        <v>7</v>
      </c>
    </row>
    <row r="563" spans="1:290" x14ac:dyDescent="0.25">
      <c r="A563" s="7">
        <v>1.6084372494752261</v>
      </c>
      <c r="B563"/>
      <c r="C563"/>
      <c r="D563"/>
      <c r="E563"/>
      <c r="DU563" s="27" t="s">
        <v>8</v>
      </c>
      <c r="DV563" s="27" t="s">
        <v>7</v>
      </c>
      <c r="DW563" s="27" t="s">
        <v>8</v>
      </c>
      <c r="EP563" s="27" t="s">
        <v>7</v>
      </c>
      <c r="EQ563" s="27" t="s">
        <v>8</v>
      </c>
      <c r="ER563" s="27" t="s">
        <v>7</v>
      </c>
      <c r="ES563" s="27" t="s">
        <v>8</v>
      </c>
      <c r="FB563" s="27" t="s">
        <v>7</v>
      </c>
      <c r="FC563" s="27" t="s">
        <v>8</v>
      </c>
      <c r="FD563" s="27" t="s">
        <v>7</v>
      </c>
      <c r="HG563" s="27" t="s">
        <v>8</v>
      </c>
      <c r="HH563" s="27" t="s">
        <v>7</v>
      </c>
      <c r="HM563" s="27" t="s">
        <v>8</v>
      </c>
      <c r="HN563" s="27" t="s">
        <v>7</v>
      </c>
      <c r="IO563" s="27" t="s">
        <v>8</v>
      </c>
      <c r="IR563" s="27" t="s">
        <v>7</v>
      </c>
      <c r="IS563" s="27" t="s">
        <v>8</v>
      </c>
      <c r="IT563" s="27" t="s">
        <v>7</v>
      </c>
      <c r="IU563" s="27" t="s">
        <v>8</v>
      </c>
      <c r="IV563" s="27" t="s">
        <v>7</v>
      </c>
      <c r="IW563" s="27" t="s">
        <v>8</v>
      </c>
      <c r="IZ563" s="27" t="s">
        <v>7</v>
      </c>
      <c r="JA563" s="27" t="s">
        <v>8</v>
      </c>
      <c r="JH563" s="27" t="s">
        <v>7</v>
      </c>
      <c r="JI563" s="27" t="s">
        <v>8</v>
      </c>
      <c r="JJ563" s="27" t="s">
        <v>7</v>
      </c>
      <c r="JK563" s="27" t="s">
        <v>8</v>
      </c>
      <c r="JL563" s="27" t="s">
        <v>7</v>
      </c>
      <c r="JM563" s="27" t="s">
        <v>8</v>
      </c>
      <c r="JN563" s="27" t="s">
        <v>7</v>
      </c>
      <c r="JO563" s="27" t="s">
        <v>8</v>
      </c>
      <c r="JP563" s="27" t="s">
        <v>7</v>
      </c>
      <c r="JQ563" s="27" t="s">
        <v>8</v>
      </c>
      <c r="JV563" s="27" t="s">
        <v>7</v>
      </c>
      <c r="JW563" s="27" t="s">
        <v>8</v>
      </c>
      <c r="JX563" s="27" t="s">
        <v>7</v>
      </c>
      <c r="JY563" s="27" t="s">
        <v>8</v>
      </c>
      <c r="KA563" s="27" t="s">
        <v>8</v>
      </c>
      <c r="KB563" s="27" t="s">
        <v>7</v>
      </c>
      <c r="KC563" s="27" t="s">
        <v>8</v>
      </c>
      <c r="KD563" s="27" t="s">
        <v>7</v>
      </c>
    </row>
    <row r="564" spans="1:290" x14ac:dyDescent="0.25">
      <c r="A564" s="7">
        <v>1.5768992641913981</v>
      </c>
      <c r="B564"/>
      <c r="C564"/>
      <c r="D564"/>
      <c r="E564"/>
      <c r="DU564" s="27" t="s">
        <v>8</v>
      </c>
      <c r="DV564" s="27" t="s">
        <v>7</v>
      </c>
      <c r="DW564" s="27" t="s">
        <v>8</v>
      </c>
      <c r="EP564" s="27" t="s">
        <v>7</v>
      </c>
      <c r="EQ564" s="27" t="s">
        <v>8</v>
      </c>
      <c r="ER564" s="27" t="s">
        <v>7</v>
      </c>
      <c r="FB564" s="27" t="s">
        <v>7</v>
      </c>
      <c r="FC564" s="27" t="s">
        <v>8</v>
      </c>
      <c r="FD564" s="27" t="s">
        <v>7</v>
      </c>
      <c r="FE564" s="27" t="s">
        <v>8</v>
      </c>
      <c r="HG564" s="27" t="s">
        <v>8</v>
      </c>
      <c r="HH564" s="27" t="s">
        <v>7</v>
      </c>
      <c r="HI564" s="27" t="s">
        <v>8</v>
      </c>
      <c r="HK564" s="27" t="s">
        <v>8</v>
      </c>
      <c r="HM564" s="27" t="s">
        <v>8</v>
      </c>
      <c r="HN564" s="27" t="s">
        <v>7</v>
      </c>
      <c r="HO564" s="27" t="s">
        <v>8</v>
      </c>
      <c r="IO564" s="27" t="s">
        <v>8</v>
      </c>
      <c r="IR564" s="27" t="s">
        <v>7</v>
      </c>
      <c r="IT564" s="27" t="s">
        <v>7</v>
      </c>
      <c r="IV564" s="27" t="s">
        <v>7</v>
      </c>
      <c r="IW564" s="27" t="s">
        <v>8</v>
      </c>
      <c r="IZ564" s="27" t="s">
        <v>7</v>
      </c>
      <c r="JA564" s="27" t="s">
        <v>8</v>
      </c>
      <c r="JH564" s="27" t="s">
        <v>7</v>
      </c>
      <c r="JI564" s="27" t="s">
        <v>8</v>
      </c>
      <c r="JJ564" s="27" t="s">
        <v>7</v>
      </c>
      <c r="JL564" s="27" t="s">
        <v>7</v>
      </c>
      <c r="JN564" s="27" t="s">
        <v>7</v>
      </c>
      <c r="JO564" s="27" t="s">
        <v>8</v>
      </c>
      <c r="JP564" s="27" t="s">
        <v>7</v>
      </c>
      <c r="JV564" s="27" t="s">
        <v>7</v>
      </c>
      <c r="JW564" s="27" t="s">
        <v>8</v>
      </c>
      <c r="JX564" s="27" t="s">
        <v>7</v>
      </c>
      <c r="JY564" s="27" t="s">
        <v>8</v>
      </c>
      <c r="JZ564" s="27" t="s">
        <v>7</v>
      </c>
      <c r="KA564" s="27" t="s">
        <v>8</v>
      </c>
      <c r="KB564" s="27" t="s">
        <v>7</v>
      </c>
      <c r="KC564" s="27" t="s">
        <v>8</v>
      </c>
      <c r="KD564" s="27" t="s">
        <v>7</v>
      </c>
    </row>
    <row r="565" spans="1:290" x14ac:dyDescent="0.25">
      <c r="A565" s="7">
        <v>1.5459796707758806</v>
      </c>
      <c r="B565"/>
      <c r="C565"/>
      <c r="D565"/>
      <c r="E565"/>
      <c r="DU565" s="27" t="s">
        <v>8</v>
      </c>
      <c r="DV565" s="27" t="s">
        <v>7</v>
      </c>
      <c r="DW565" s="27" t="s">
        <v>8</v>
      </c>
      <c r="EP565" s="27" t="s">
        <v>7</v>
      </c>
      <c r="EQ565" s="27" t="s">
        <v>8</v>
      </c>
      <c r="FB565" s="27" t="s">
        <v>7</v>
      </c>
      <c r="FC565" s="27" t="s">
        <v>8</v>
      </c>
      <c r="FD565" s="27" t="s">
        <v>7</v>
      </c>
      <c r="FE565" s="27" t="s">
        <v>8</v>
      </c>
      <c r="FF565" s="27" t="s">
        <v>7</v>
      </c>
      <c r="HG565" s="27" t="s">
        <v>8</v>
      </c>
      <c r="HH565" s="27" t="s">
        <v>7</v>
      </c>
      <c r="HI565" s="27" t="s">
        <v>8</v>
      </c>
      <c r="HJ565" s="27" t="s">
        <v>7</v>
      </c>
      <c r="HK565" s="27" t="s">
        <v>8</v>
      </c>
      <c r="HL565" s="27" t="s">
        <v>7</v>
      </c>
      <c r="HM565" s="27" t="s">
        <v>8</v>
      </c>
      <c r="HN565" s="27" t="s">
        <v>7</v>
      </c>
      <c r="HO565" s="27" t="s">
        <v>8</v>
      </c>
      <c r="HP565" s="27" t="s">
        <v>7</v>
      </c>
      <c r="IO565" s="27" t="s">
        <v>8</v>
      </c>
      <c r="IV565" s="27" t="s">
        <v>7</v>
      </c>
      <c r="IW565" s="27" t="s">
        <v>8</v>
      </c>
      <c r="IZ565" s="27" t="s">
        <v>7</v>
      </c>
      <c r="JA565" s="27" t="s">
        <v>8</v>
      </c>
      <c r="JH565" s="27" t="s">
        <v>7</v>
      </c>
      <c r="JI565" s="27" t="s">
        <v>8</v>
      </c>
      <c r="JN565" s="27" t="s">
        <v>7</v>
      </c>
      <c r="JO565" s="27" t="s">
        <v>8</v>
      </c>
      <c r="JV565" s="27" t="s">
        <v>7</v>
      </c>
      <c r="JX565" s="27" t="s">
        <v>7</v>
      </c>
      <c r="JY565" s="27" t="s">
        <v>8</v>
      </c>
      <c r="JZ565" s="27" t="s">
        <v>7</v>
      </c>
      <c r="KA565" s="27" t="s">
        <v>8</v>
      </c>
      <c r="KB565" s="27" t="s">
        <v>7</v>
      </c>
      <c r="KD565" s="27" t="s">
        <v>7</v>
      </c>
    </row>
    <row r="566" spans="1:290" x14ac:dyDescent="0.25">
      <c r="A566" s="7">
        <v>1.5156663438979221</v>
      </c>
      <c r="B566"/>
      <c r="C566"/>
      <c r="D566"/>
      <c r="E566"/>
      <c r="DU566" s="27" t="s">
        <v>8</v>
      </c>
      <c r="DV566" s="27" t="s">
        <v>7</v>
      </c>
      <c r="DW566" s="27" t="s">
        <v>8</v>
      </c>
      <c r="EP566" s="27" t="s">
        <v>7</v>
      </c>
      <c r="EQ566" s="27" t="s">
        <v>8</v>
      </c>
      <c r="FB566" s="27" t="s">
        <v>7</v>
      </c>
      <c r="FC566" s="27" t="s">
        <v>8</v>
      </c>
      <c r="FD566" s="27" t="s">
        <v>7</v>
      </c>
      <c r="FE566" s="27" t="s">
        <v>8</v>
      </c>
      <c r="FF566" s="27" t="s">
        <v>7</v>
      </c>
      <c r="HG566" s="27" t="s">
        <v>8</v>
      </c>
      <c r="HH566" s="27" t="s">
        <v>7</v>
      </c>
      <c r="HI566" s="27" t="s">
        <v>8</v>
      </c>
      <c r="HJ566" s="27" t="s">
        <v>7</v>
      </c>
      <c r="HK566" s="27" t="s">
        <v>8</v>
      </c>
      <c r="HL566" s="27" t="s">
        <v>7</v>
      </c>
      <c r="HM566" s="27" t="s">
        <v>8</v>
      </c>
      <c r="HN566" s="27" t="s">
        <v>7</v>
      </c>
      <c r="HO566" s="27" t="s">
        <v>8</v>
      </c>
      <c r="HP566" s="27" t="s">
        <v>7</v>
      </c>
      <c r="HQ566" s="27" t="s">
        <v>8</v>
      </c>
      <c r="IA566" s="27" t="s">
        <v>8</v>
      </c>
      <c r="IO566" s="27" t="s">
        <v>8</v>
      </c>
      <c r="IV566" s="27" t="s">
        <v>7</v>
      </c>
      <c r="IW566" s="27" t="s">
        <v>8</v>
      </c>
      <c r="IZ566" s="27" t="s">
        <v>7</v>
      </c>
      <c r="JA566" s="27" t="s">
        <v>8</v>
      </c>
      <c r="JH566" s="27" t="s">
        <v>7</v>
      </c>
      <c r="JI566" s="27" t="s">
        <v>8</v>
      </c>
      <c r="JN566" s="27" t="s">
        <v>7</v>
      </c>
      <c r="JO566" s="27" t="s">
        <v>8</v>
      </c>
      <c r="JX566" s="27" t="s">
        <v>7</v>
      </c>
      <c r="JY566" s="27" t="s">
        <v>8</v>
      </c>
      <c r="JZ566" s="27" t="s">
        <v>7</v>
      </c>
      <c r="KA566" s="27" t="s">
        <v>8</v>
      </c>
      <c r="KD566" s="27" t="s">
        <v>7</v>
      </c>
    </row>
    <row r="567" spans="1:290" x14ac:dyDescent="0.25">
      <c r="A567" s="7">
        <v>1.4859473959783549</v>
      </c>
      <c r="B567"/>
      <c r="C567"/>
      <c r="D567"/>
      <c r="E567"/>
      <c r="DU567" s="27" t="s">
        <v>8</v>
      </c>
      <c r="DV567" s="27" t="s">
        <v>7</v>
      </c>
      <c r="DW567" s="27" t="s">
        <v>8</v>
      </c>
      <c r="EP567" s="27" t="s">
        <v>7</v>
      </c>
      <c r="EQ567" s="27" t="s">
        <v>8</v>
      </c>
      <c r="FB567" s="27" t="s">
        <v>7</v>
      </c>
      <c r="FC567" s="27" t="s">
        <v>8</v>
      </c>
      <c r="FD567" s="27" t="s">
        <v>7</v>
      </c>
      <c r="FE567" s="27" t="s">
        <v>8</v>
      </c>
      <c r="FF567" s="27" t="s">
        <v>7</v>
      </c>
      <c r="FG567" s="27" t="s">
        <v>8</v>
      </c>
      <c r="HG567" s="27" t="s">
        <v>8</v>
      </c>
      <c r="HH567" s="27" t="s">
        <v>7</v>
      </c>
      <c r="HI567" s="27" t="s">
        <v>8</v>
      </c>
      <c r="HJ567" s="27" t="s">
        <v>7</v>
      </c>
      <c r="HK567" s="27" t="s">
        <v>8</v>
      </c>
      <c r="HL567" s="27" t="s">
        <v>7</v>
      </c>
      <c r="HN567" s="27" t="s">
        <v>7</v>
      </c>
      <c r="HO567" s="27" t="s">
        <v>8</v>
      </c>
      <c r="HP567" s="27" t="s">
        <v>7</v>
      </c>
      <c r="HQ567" s="27" t="s">
        <v>8</v>
      </c>
      <c r="HR567" s="27" t="s">
        <v>7</v>
      </c>
      <c r="HS567" s="27" t="s">
        <v>8</v>
      </c>
      <c r="HY567" s="27" t="s">
        <v>8</v>
      </c>
      <c r="IA567" s="27" t="s">
        <v>8</v>
      </c>
      <c r="IB567" s="27" t="s">
        <v>7</v>
      </c>
      <c r="IO567" s="27" t="s">
        <v>8</v>
      </c>
      <c r="IV567" s="27" t="s">
        <v>7</v>
      </c>
      <c r="IW567" s="27" t="s">
        <v>8</v>
      </c>
      <c r="IZ567" s="27" t="s">
        <v>7</v>
      </c>
      <c r="JA567" s="27" t="s">
        <v>8</v>
      </c>
      <c r="JH567" s="27" t="s">
        <v>7</v>
      </c>
      <c r="JI567" s="27" t="s">
        <v>8</v>
      </c>
      <c r="JN567" s="27" t="s">
        <v>7</v>
      </c>
      <c r="JO567" s="27" t="s">
        <v>8</v>
      </c>
      <c r="JX567" s="27" t="s">
        <v>7</v>
      </c>
      <c r="JY567" s="27" t="s">
        <v>8</v>
      </c>
      <c r="JZ567" s="27" t="s">
        <v>7</v>
      </c>
      <c r="KA567" s="27" t="s">
        <v>8</v>
      </c>
      <c r="KD567" s="27" t="s">
        <v>7</v>
      </c>
    </row>
    <row r="568" spans="1:290" x14ac:dyDescent="0.25">
      <c r="A568" s="7">
        <v>1.4568111725277988</v>
      </c>
      <c r="B568"/>
      <c r="C568"/>
      <c r="D568"/>
      <c r="E568"/>
      <c r="DU568" s="27" t="s">
        <v>8</v>
      </c>
      <c r="DV568" s="27" t="s">
        <v>7</v>
      </c>
      <c r="DW568" s="27" t="s">
        <v>8</v>
      </c>
      <c r="EP568" s="27" t="s">
        <v>7</v>
      </c>
      <c r="EQ568" s="27" t="s">
        <v>8</v>
      </c>
      <c r="FB568" s="27" t="s">
        <v>7</v>
      </c>
      <c r="FC568" s="27" t="s">
        <v>8</v>
      </c>
      <c r="FD568" s="27" t="s">
        <v>7</v>
      </c>
      <c r="FE568" s="27" t="s">
        <v>8</v>
      </c>
      <c r="FF568" s="27" t="s">
        <v>7</v>
      </c>
      <c r="FG568" s="27" t="s">
        <v>8</v>
      </c>
      <c r="FH568" s="27" t="s">
        <v>7</v>
      </c>
      <c r="HE568" s="27" t="s">
        <v>8</v>
      </c>
      <c r="HG568" s="27" t="s">
        <v>8</v>
      </c>
      <c r="HH568" s="27" t="s">
        <v>7</v>
      </c>
      <c r="HI568" s="27" t="s">
        <v>8</v>
      </c>
      <c r="HJ568" s="27" t="s">
        <v>7</v>
      </c>
      <c r="HK568" s="27" t="s">
        <v>8</v>
      </c>
      <c r="HN568" s="27" t="s">
        <v>7</v>
      </c>
      <c r="HO568" s="27" t="s">
        <v>8</v>
      </c>
      <c r="HP568" s="27" t="s">
        <v>7</v>
      </c>
      <c r="HQ568" s="27" t="s">
        <v>8</v>
      </c>
      <c r="HR568" s="27" t="s">
        <v>7</v>
      </c>
      <c r="HS568" s="27" t="s">
        <v>8</v>
      </c>
      <c r="HT568" s="27" t="s">
        <v>7</v>
      </c>
      <c r="HY568" s="27" t="s">
        <v>8</v>
      </c>
      <c r="HZ568" s="27" t="s">
        <v>7</v>
      </c>
      <c r="IA568" s="27" t="s">
        <v>8</v>
      </c>
      <c r="IB568" s="27" t="s">
        <v>7</v>
      </c>
      <c r="IO568" s="27" t="s">
        <v>8</v>
      </c>
      <c r="IV568" s="27" t="s">
        <v>7</v>
      </c>
      <c r="IW568" s="27" t="s">
        <v>8</v>
      </c>
      <c r="IZ568" s="27" t="s">
        <v>7</v>
      </c>
      <c r="JH568" s="27" t="s">
        <v>7</v>
      </c>
      <c r="JI568" s="27" t="s">
        <v>8</v>
      </c>
      <c r="JN568" s="27" t="s">
        <v>7</v>
      </c>
      <c r="JO568" s="27" t="s">
        <v>8</v>
      </c>
      <c r="JX568" s="27" t="s">
        <v>7</v>
      </c>
      <c r="JZ568" s="27" t="s">
        <v>7</v>
      </c>
      <c r="KA568" s="27" t="s">
        <v>8</v>
      </c>
      <c r="KD568" s="27" t="s">
        <v>7</v>
      </c>
    </row>
    <row r="569" spans="1:290" x14ac:dyDescent="0.25">
      <c r="A569" s="7">
        <v>1.4282462475762734</v>
      </c>
      <c r="B569"/>
      <c r="C569"/>
      <c r="D569"/>
      <c r="E569"/>
      <c r="DU569" s="27" t="s">
        <v>8</v>
      </c>
      <c r="DV569" s="27" t="s">
        <v>7</v>
      </c>
      <c r="DW569" s="27" t="s">
        <v>8</v>
      </c>
      <c r="EP569" s="27" t="s">
        <v>7</v>
      </c>
      <c r="EQ569" s="27" t="s">
        <v>8</v>
      </c>
      <c r="FB569" s="27" t="s">
        <v>7</v>
      </c>
      <c r="FC569" s="27" t="s">
        <v>8</v>
      </c>
      <c r="FD569" s="27" t="s">
        <v>7</v>
      </c>
      <c r="FE569" s="27" t="s">
        <v>8</v>
      </c>
      <c r="FF569" s="27" t="s">
        <v>7</v>
      </c>
      <c r="FG569" s="27" t="s">
        <v>8</v>
      </c>
      <c r="FH569" s="27" t="s">
        <v>7</v>
      </c>
      <c r="HC569" s="27" t="s">
        <v>8</v>
      </c>
      <c r="HE569" s="27" t="s">
        <v>8</v>
      </c>
      <c r="HF569" s="27" t="s">
        <v>7</v>
      </c>
      <c r="HG569" s="27" t="s">
        <v>8</v>
      </c>
      <c r="HH569" s="27" t="s">
        <v>7</v>
      </c>
      <c r="HI569" s="27" t="s">
        <v>8</v>
      </c>
      <c r="HJ569" s="27" t="s">
        <v>7</v>
      </c>
      <c r="HN569" s="27" t="s">
        <v>7</v>
      </c>
      <c r="HO569" s="27" t="s">
        <v>8</v>
      </c>
      <c r="HP569" s="27" t="s">
        <v>7</v>
      </c>
      <c r="HQ569" s="27" t="s">
        <v>8</v>
      </c>
      <c r="HR569" s="27" t="s">
        <v>7</v>
      </c>
      <c r="HS569" s="27" t="s">
        <v>8</v>
      </c>
      <c r="HT569" s="27" t="s">
        <v>7</v>
      </c>
      <c r="HY569" s="27" t="s">
        <v>8</v>
      </c>
      <c r="HZ569" s="27" t="s">
        <v>7</v>
      </c>
      <c r="IA569" s="27" t="s">
        <v>8</v>
      </c>
      <c r="IB569" s="27" t="s">
        <v>7</v>
      </c>
      <c r="IO569" s="27" t="s">
        <v>8</v>
      </c>
      <c r="IV569" s="27" t="s">
        <v>7</v>
      </c>
      <c r="IW569" s="27" t="s">
        <v>8</v>
      </c>
      <c r="JH569" s="27" t="s">
        <v>7</v>
      </c>
      <c r="JN569" s="27" t="s">
        <v>7</v>
      </c>
      <c r="JO569" s="27" t="s">
        <v>8</v>
      </c>
      <c r="JZ569" s="27" t="s">
        <v>7</v>
      </c>
      <c r="KA569" s="27" t="s">
        <v>8</v>
      </c>
      <c r="KD569" s="27" t="s">
        <v>7</v>
      </c>
    </row>
    <row r="570" spans="1:290" x14ac:dyDescent="0.25">
      <c r="A570" s="7">
        <v>1.4002414191924248</v>
      </c>
      <c r="B570"/>
      <c r="C570"/>
      <c r="D570"/>
      <c r="E570"/>
      <c r="DU570" s="27" t="s">
        <v>8</v>
      </c>
      <c r="DV570" s="27" t="s">
        <v>7</v>
      </c>
      <c r="DW570" s="27" t="s">
        <v>8</v>
      </c>
      <c r="EP570" s="27" t="s">
        <v>7</v>
      </c>
      <c r="EQ570" s="27" t="s">
        <v>8</v>
      </c>
      <c r="FB570" s="27" t="s">
        <v>7</v>
      </c>
      <c r="FC570" s="27" t="s">
        <v>8</v>
      </c>
      <c r="FD570" s="27" t="s">
        <v>7</v>
      </c>
      <c r="FF570" s="27" t="s">
        <v>7</v>
      </c>
      <c r="FG570" s="27" t="s">
        <v>8</v>
      </c>
      <c r="FH570" s="27" t="s">
        <v>7</v>
      </c>
      <c r="HC570" s="27" t="s">
        <v>8</v>
      </c>
      <c r="HD570" s="27" t="s">
        <v>7</v>
      </c>
      <c r="HE570" s="27" t="s">
        <v>8</v>
      </c>
      <c r="HF570" s="27" t="s">
        <v>7</v>
      </c>
      <c r="HG570" s="27" t="s">
        <v>8</v>
      </c>
      <c r="HH570" s="27" t="s">
        <v>7</v>
      </c>
      <c r="HI570" s="27" t="s">
        <v>8</v>
      </c>
      <c r="HN570" s="27" t="s">
        <v>7</v>
      </c>
      <c r="HO570" s="27" t="s">
        <v>8</v>
      </c>
      <c r="HP570" s="27" t="s">
        <v>7</v>
      </c>
      <c r="HQ570" s="27" t="s">
        <v>8</v>
      </c>
      <c r="HR570" s="27" t="s">
        <v>7</v>
      </c>
      <c r="HS570" s="27" t="s">
        <v>8</v>
      </c>
      <c r="HT570" s="27" t="s">
        <v>7</v>
      </c>
      <c r="HY570" s="27" t="s">
        <v>8</v>
      </c>
      <c r="HZ570" s="27" t="s">
        <v>7</v>
      </c>
      <c r="IA570" s="27" t="s">
        <v>8</v>
      </c>
      <c r="IB570" s="27" t="s">
        <v>7</v>
      </c>
      <c r="IE570" s="27" t="s">
        <v>8</v>
      </c>
      <c r="IO570" s="27" t="s">
        <v>8</v>
      </c>
      <c r="IV570" s="27" t="s">
        <v>7</v>
      </c>
      <c r="IW570" s="27" t="s">
        <v>8</v>
      </c>
      <c r="JN570" s="27" t="s">
        <v>7</v>
      </c>
      <c r="JO570" s="27" t="s">
        <v>8</v>
      </c>
      <c r="JZ570" s="27" t="s">
        <v>7</v>
      </c>
      <c r="KD570" s="27" t="s">
        <v>7</v>
      </c>
    </row>
    <row r="571" spans="1:290" x14ac:dyDescent="0.25">
      <c r="A571" s="7">
        <v>1.3727857050906125</v>
      </c>
      <c r="B571"/>
      <c r="C571"/>
      <c r="D571"/>
      <c r="E571"/>
      <c r="DU571" s="27" t="s">
        <v>8</v>
      </c>
      <c r="DV571" s="27" t="s">
        <v>7</v>
      </c>
      <c r="DW571" s="27" t="s">
        <v>8</v>
      </c>
      <c r="EP571" s="27" t="s">
        <v>7</v>
      </c>
      <c r="EQ571" s="27" t="s">
        <v>8</v>
      </c>
      <c r="FB571" s="27" t="s">
        <v>7</v>
      </c>
      <c r="FF571" s="27" t="s">
        <v>7</v>
      </c>
      <c r="FG571" s="27" t="s">
        <v>8</v>
      </c>
      <c r="FH571" s="27" t="s">
        <v>7</v>
      </c>
      <c r="HC571" s="27" t="s">
        <v>8</v>
      </c>
      <c r="HD571" s="27" t="s">
        <v>7</v>
      </c>
      <c r="HE571" s="27" t="s">
        <v>8</v>
      </c>
      <c r="HF571" s="27" t="s">
        <v>7</v>
      </c>
      <c r="HG571" s="27" t="s">
        <v>8</v>
      </c>
      <c r="HH571" s="27" t="s">
        <v>7</v>
      </c>
      <c r="HI571" s="27" t="s">
        <v>8</v>
      </c>
      <c r="HN571" s="27" t="s">
        <v>7</v>
      </c>
      <c r="HO571" s="27" t="s">
        <v>8</v>
      </c>
      <c r="HP571" s="27" t="s">
        <v>7</v>
      </c>
      <c r="HR571" s="27" t="s">
        <v>7</v>
      </c>
      <c r="HS571" s="27" t="s">
        <v>8</v>
      </c>
      <c r="HT571" s="27" t="s">
        <v>7</v>
      </c>
      <c r="HY571" s="27" t="s">
        <v>8</v>
      </c>
      <c r="HZ571" s="27" t="s">
        <v>7</v>
      </c>
      <c r="IA571" s="27" t="s">
        <v>8</v>
      </c>
      <c r="IB571" s="27" t="s">
        <v>7</v>
      </c>
      <c r="IE571" s="27" t="s">
        <v>8</v>
      </c>
      <c r="IF571" s="27" t="s">
        <v>7</v>
      </c>
      <c r="IO571" s="27" t="s">
        <v>8</v>
      </c>
      <c r="IV571" s="27" t="s">
        <v>7</v>
      </c>
      <c r="JN571" s="27" t="s">
        <v>7</v>
      </c>
      <c r="JO571" s="27" t="s">
        <v>8</v>
      </c>
      <c r="KD571" s="27" t="s">
        <v>7</v>
      </c>
    </row>
    <row r="572" spans="1:290" x14ac:dyDescent="0.25">
      <c r="A572" s="7">
        <v>1.3458683383241299</v>
      </c>
      <c r="B572"/>
      <c r="C572"/>
      <c r="D572"/>
      <c r="E572"/>
      <c r="DU572" s="27" t="s">
        <v>8</v>
      </c>
      <c r="DV572" s="27" t="s">
        <v>7</v>
      </c>
      <c r="DW572" s="27" t="s">
        <v>8</v>
      </c>
      <c r="EP572" s="27" t="s">
        <v>7</v>
      </c>
      <c r="EQ572" s="27" t="s">
        <v>8</v>
      </c>
      <c r="FF572" s="27" t="s">
        <v>7</v>
      </c>
      <c r="FG572" s="27" t="s">
        <v>8</v>
      </c>
      <c r="FH572" s="27" t="s">
        <v>7</v>
      </c>
      <c r="HA572" s="27" t="s">
        <v>8</v>
      </c>
      <c r="HC572" s="27" t="s">
        <v>8</v>
      </c>
      <c r="HD572" s="27" t="s">
        <v>7</v>
      </c>
      <c r="HE572" s="27" t="s">
        <v>8</v>
      </c>
      <c r="HF572" s="27" t="s">
        <v>7</v>
      </c>
      <c r="HG572" s="27" t="s">
        <v>8</v>
      </c>
      <c r="HH572" s="27" t="s">
        <v>7</v>
      </c>
      <c r="HI572" s="27" t="s">
        <v>8</v>
      </c>
      <c r="HN572" s="27" t="s">
        <v>7</v>
      </c>
      <c r="HO572" s="27" t="s">
        <v>8</v>
      </c>
      <c r="HR572" s="27" t="s">
        <v>7</v>
      </c>
      <c r="HT572" s="27" t="s">
        <v>7</v>
      </c>
      <c r="HY572" s="27" t="s">
        <v>8</v>
      </c>
      <c r="HZ572" s="27" t="s">
        <v>7</v>
      </c>
      <c r="IA572" s="27" t="s">
        <v>8</v>
      </c>
      <c r="IB572" s="27" t="s">
        <v>7</v>
      </c>
      <c r="IC572" s="27" t="s">
        <v>8</v>
      </c>
      <c r="IE572" s="27" t="s">
        <v>8</v>
      </c>
      <c r="IF572" s="27" t="s">
        <v>7</v>
      </c>
      <c r="IM572" s="27" t="s">
        <v>8</v>
      </c>
      <c r="IO572" s="27" t="s">
        <v>8</v>
      </c>
      <c r="JN572" s="27" t="s">
        <v>7</v>
      </c>
      <c r="KD572" s="27" t="s">
        <v>7</v>
      </c>
    </row>
    <row r="573" spans="1:290" x14ac:dyDescent="0.25">
      <c r="A573" s="7">
        <v>1.3194787630628724</v>
      </c>
      <c r="B573"/>
      <c r="C573"/>
      <c r="D573"/>
      <c r="E573"/>
      <c r="DU573" s="27" t="s">
        <v>8</v>
      </c>
      <c r="DV573" s="27" t="s">
        <v>7</v>
      </c>
      <c r="EP573" s="27" t="s">
        <v>7</v>
      </c>
      <c r="EQ573" s="27" t="s">
        <v>8</v>
      </c>
      <c r="FF573" s="27" t="s">
        <v>7</v>
      </c>
      <c r="FG573" s="27" t="s">
        <v>8</v>
      </c>
      <c r="FH573" s="27" t="s">
        <v>7</v>
      </c>
      <c r="HA573" s="27" t="s">
        <v>8</v>
      </c>
      <c r="HB573" s="27" t="s">
        <v>7</v>
      </c>
      <c r="HC573" s="27" t="s">
        <v>8</v>
      </c>
      <c r="HD573" s="27" t="s">
        <v>7</v>
      </c>
      <c r="HE573" s="27" t="s">
        <v>8</v>
      </c>
      <c r="HF573" s="27" t="s">
        <v>7</v>
      </c>
      <c r="HG573" s="27" t="s">
        <v>8</v>
      </c>
      <c r="HH573" s="27" t="s">
        <v>7</v>
      </c>
      <c r="HN573" s="27" t="s">
        <v>7</v>
      </c>
      <c r="HO573" s="27" t="s">
        <v>8</v>
      </c>
      <c r="HT573" s="27" t="s">
        <v>7</v>
      </c>
      <c r="HY573" s="27" t="s">
        <v>8</v>
      </c>
      <c r="HZ573" s="27" t="s">
        <v>7</v>
      </c>
      <c r="IB573" s="27" t="s">
        <v>7</v>
      </c>
      <c r="IC573" s="27" t="s">
        <v>8</v>
      </c>
      <c r="ID573" s="27" t="s">
        <v>7</v>
      </c>
      <c r="IE573" s="27" t="s">
        <v>8</v>
      </c>
      <c r="IF573" s="27" t="s">
        <v>7</v>
      </c>
      <c r="IG573" s="27" t="s">
        <v>8</v>
      </c>
      <c r="II573" s="27" t="s">
        <v>8</v>
      </c>
      <c r="IK573" s="27" t="s">
        <v>8</v>
      </c>
      <c r="IM573" s="27" t="s">
        <v>8</v>
      </c>
      <c r="IN573" s="27" t="s">
        <v>7</v>
      </c>
      <c r="IO573" s="27" t="s">
        <v>8</v>
      </c>
      <c r="KD573" s="27" t="s">
        <v>7</v>
      </c>
    </row>
    <row r="574" spans="1:290" x14ac:dyDescent="0.25">
      <c r="A574" s="7">
        <v>1.2936066304537963</v>
      </c>
      <c r="B574"/>
      <c r="C574"/>
      <c r="D574"/>
      <c r="E574"/>
      <c r="DU574" s="27" t="s">
        <v>8</v>
      </c>
      <c r="EP574" s="27" t="s">
        <v>7</v>
      </c>
      <c r="EQ574" s="27" t="s">
        <v>8</v>
      </c>
      <c r="FF574" s="27" t="s">
        <v>7</v>
      </c>
      <c r="FG574" s="27" t="s">
        <v>8</v>
      </c>
      <c r="FH574" s="27" t="s">
        <v>7</v>
      </c>
      <c r="FO574" s="27" t="s">
        <v>8</v>
      </c>
      <c r="HA574" s="27" t="s">
        <v>8</v>
      </c>
      <c r="HB574" s="27" t="s">
        <v>7</v>
      </c>
      <c r="HC574" s="27" t="s">
        <v>8</v>
      </c>
      <c r="HD574" s="27" t="s">
        <v>7</v>
      </c>
      <c r="HE574" s="27" t="s">
        <v>8</v>
      </c>
      <c r="HF574" s="27" t="s">
        <v>7</v>
      </c>
      <c r="HG574" s="27" t="s">
        <v>8</v>
      </c>
      <c r="HN574" s="27" t="s">
        <v>7</v>
      </c>
      <c r="HO574" s="27" t="s">
        <v>8</v>
      </c>
      <c r="HT574" s="27" t="s">
        <v>7</v>
      </c>
      <c r="HY574" s="27" t="s">
        <v>8</v>
      </c>
      <c r="IB574" s="27" t="s">
        <v>7</v>
      </c>
      <c r="IC574" s="27" t="s">
        <v>8</v>
      </c>
      <c r="ID574" s="27" t="s">
        <v>7</v>
      </c>
      <c r="IE574" s="27" t="s">
        <v>8</v>
      </c>
      <c r="IF574" s="27" t="s">
        <v>7</v>
      </c>
      <c r="IG574" s="27" t="s">
        <v>8</v>
      </c>
      <c r="IH574" s="27" t="s">
        <v>7</v>
      </c>
      <c r="II574" s="27" t="s">
        <v>8</v>
      </c>
      <c r="IJ574" s="27" t="s">
        <v>7</v>
      </c>
      <c r="IK574" s="27" t="s">
        <v>8</v>
      </c>
      <c r="IL574" s="27" t="s">
        <v>7</v>
      </c>
      <c r="IM574" s="27" t="s">
        <v>8</v>
      </c>
      <c r="IN574" s="27" t="s">
        <v>7</v>
      </c>
      <c r="IO574" s="27" t="s">
        <v>8</v>
      </c>
      <c r="KD574" s="27" t="s">
        <v>7</v>
      </c>
    </row>
    <row r="575" spans="1:290" x14ac:dyDescent="0.25">
      <c r="A575" s="7">
        <v>1.2682417945625455</v>
      </c>
      <c r="B575"/>
      <c r="C575"/>
      <c r="D575"/>
      <c r="E575"/>
      <c r="DU575" s="27" t="s">
        <v>8</v>
      </c>
      <c r="EP575" s="27" t="s">
        <v>7</v>
      </c>
      <c r="FF575" s="27" t="s">
        <v>7</v>
      </c>
      <c r="FG575" s="27" t="s">
        <v>8</v>
      </c>
      <c r="FH575" s="27" t="s">
        <v>7</v>
      </c>
      <c r="FK575" s="27" t="s">
        <v>8</v>
      </c>
      <c r="FO575" s="27" t="s">
        <v>8</v>
      </c>
      <c r="FP575" s="27" t="s">
        <v>7</v>
      </c>
      <c r="GY575" s="27" t="s">
        <v>8</v>
      </c>
      <c r="HA575" s="27" t="s">
        <v>8</v>
      </c>
      <c r="HB575" s="27" t="s">
        <v>7</v>
      </c>
      <c r="HD575" s="27" t="s">
        <v>7</v>
      </c>
      <c r="HE575" s="27" t="s">
        <v>8</v>
      </c>
      <c r="HF575" s="27" t="s">
        <v>7</v>
      </c>
      <c r="HG575" s="27" t="s">
        <v>8</v>
      </c>
      <c r="HN575" s="27" t="s">
        <v>7</v>
      </c>
      <c r="HO575" s="27" t="s">
        <v>8</v>
      </c>
      <c r="HT575" s="27" t="s">
        <v>7</v>
      </c>
      <c r="HY575" s="27" t="s">
        <v>8</v>
      </c>
      <c r="IB575" s="27" t="s">
        <v>7</v>
      </c>
      <c r="IC575" s="27" t="s">
        <v>8</v>
      </c>
      <c r="ID575" s="27" t="s">
        <v>7</v>
      </c>
      <c r="IF575" s="27" t="s">
        <v>7</v>
      </c>
      <c r="IG575" s="27" t="s">
        <v>8</v>
      </c>
      <c r="IH575" s="27" t="s">
        <v>7</v>
      </c>
      <c r="II575" s="27" t="s">
        <v>8</v>
      </c>
      <c r="IJ575" s="27" t="s">
        <v>7</v>
      </c>
      <c r="IK575" s="27" t="s">
        <v>8</v>
      </c>
      <c r="IL575" s="27" t="s">
        <v>7</v>
      </c>
      <c r="IM575" s="27" t="s">
        <v>8</v>
      </c>
      <c r="IN575" s="27" t="s">
        <v>7</v>
      </c>
      <c r="IO575" s="27" t="s">
        <v>8</v>
      </c>
      <c r="KD575" s="27" t="s">
        <v>7</v>
      </c>
    </row>
    <row r="576" spans="1:290" x14ac:dyDescent="0.25">
      <c r="A576" s="7">
        <v>1.2433743083946525</v>
      </c>
      <c r="B576"/>
      <c r="C576"/>
      <c r="D576"/>
      <c r="E576"/>
      <c r="DU576" s="27" t="s">
        <v>8</v>
      </c>
      <c r="FF576" s="27" t="s">
        <v>7</v>
      </c>
      <c r="FG576" s="27" t="s">
        <v>8</v>
      </c>
      <c r="FH576" s="27" t="s">
        <v>7</v>
      </c>
      <c r="FK576" s="27" t="s">
        <v>8</v>
      </c>
      <c r="FL576" s="27" t="s">
        <v>7</v>
      </c>
      <c r="FO576" s="27" t="s">
        <v>8</v>
      </c>
      <c r="FP576" s="27" t="s">
        <v>7</v>
      </c>
      <c r="GY576" s="27" t="s">
        <v>8</v>
      </c>
      <c r="GZ576" s="27" t="s">
        <v>7</v>
      </c>
      <c r="HA576" s="27" t="s">
        <v>8</v>
      </c>
      <c r="HD576" s="27" t="s">
        <v>7</v>
      </c>
      <c r="HE576" s="27" t="s">
        <v>8</v>
      </c>
      <c r="HF576" s="27" t="s">
        <v>7</v>
      </c>
      <c r="HN576" s="27" t="s">
        <v>7</v>
      </c>
      <c r="HO576" s="27" t="s">
        <v>8</v>
      </c>
      <c r="HT576" s="27" t="s">
        <v>7</v>
      </c>
      <c r="HY576" s="27" t="s">
        <v>8</v>
      </c>
      <c r="IB576" s="27" t="s">
        <v>7</v>
      </c>
      <c r="IF576" s="27" t="s">
        <v>7</v>
      </c>
      <c r="IH576" s="27" t="s">
        <v>7</v>
      </c>
      <c r="II576" s="27" t="s">
        <v>8</v>
      </c>
      <c r="IJ576" s="27" t="s">
        <v>7</v>
      </c>
      <c r="IL576" s="27" t="s">
        <v>7</v>
      </c>
      <c r="IN576" s="27" t="s">
        <v>7</v>
      </c>
      <c r="IO576" s="27" t="s">
        <v>8</v>
      </c>
      <c r="KD576" s="27" t="s">
        <v>7</v>
      </c>
    </row>
    <row r="577" spans="1:294" x14ac:dyDescent="0.25">
      <c r="A577" s="7">
        <v>1.2189944199947573</v>
      </c>
      <c r="B577"/>
      <c r="C577"/>
      <c r="D577"/>
      <c r="E577"/>
      <c r="DU577" s="27" t="s">
        <v>8</v>
      </c>
      <c r="FF577" s="27" t="s">
        <v>7</v>
      </c>
      <c r="FG577" s="27" t="s">
        <v>8</v>
      </c>
      <c r="FH577" s="27" t="s">
        <v>7</v>
      </c>
      <c r="FK577" s="27" t="s">
        <v>8</v>
      </c>
      <c r="FL577" s="27" t="s">
        <v>7</v>
      </c>
      <c r="FO577" s="27" t="s">
        <v>8</v>
      </c>
      <c r="FP577" s="27" t="s">
        <v>7</v>
      </c>
      <c r="GY577" s="27" t="s">
        <v>8</v>
      </c>
      <c r="GZ577" s="27" t="s">
        <v>7</v>
      </c>
      <c r="HA577" s="27" t="s">
        <v>8</v>
      </c>
      <c r="HD577" s="27" t="s">
        <v>7</v>
      </c>
      <c r="HE577" s="27" t="s">
        <v>8</v>
      </c>
      <c r="HN577" s="27" t="s">
        <v>7</v>
      </c>
      <c r="HT577" s="27" t="s">
        <v>7</v>
      </c>
      <c r="HY577" s="27" t="s">
        <v>8</v>
      </c>
      <c r="IH577" s="27" t="s">
        <v>7</v>
      </c>
      <c r="IN577" s="27" t="s">
        <v>7</v>
      </c>
      <c r="IO577" s="27" t="s">
        <v>8</v>
      </c>
      <c r="KD577" s="27" t="s">
        <v>7</v>
      </c>
    </row>
    <row r="578" spans="1:294" x14ac:dyDescent="0.25">
      <c r="A578" s="7">
        <v>1.1950925686223111</v>
      </c>
      <c r="B578"/>
      <c r="C578"/>
      <c r="D578"/>
      <c r="E578"/>
      <c r="DU578" s="27" t="s">
        <v>8</v>
      </c>
      <c r="FF578" s="27" t="s">
        <v>7</v>
      </c>
      <c r="FG578" s="27" t="s">
        <v>8</v>
      </c>
      <c r="FH578" s="27" t="s">
        <v>7</v>
      </c>
      <c r="FI578" s="27" t="s">
        <v>8</v>
      </c>
      <c r="FK578" s="27" t="s">
        <v>8</v>
      </c>
      <c r="FL578" s="27" t="s">
        <v>7</v>
      </c>
      <c r="FO578" s="27" t="s">
        <v>8</v>
      </c>
      <c r="FP578" s="27" t="s">
        <v>7</v>
      </c>
      <c r="GS578" s="27" t="s">
        <v>8</v>
      </c>
      <c r="GU578" s="27" t="s">
        <v>8</v>
      </c>
      <c r="GW578" s="27" t="s">
        <v>8</v>
      </c>
      <c r="GY578" s="27" t="s">
        <v>8</v>
      </c>
      <c r="GZ578" s="27" t="s">
        <v>7</v>
      </c>
      <c r="HA578" s="27" t="s">
        <v>8</v>
      </c>
      <c r="HD578" s="27" t="s">
        <v>7</v>
      </c>
      <c r="HE578" s="27" t="s">
        <v>8</v>
      </c>
      <c r="HT578" s="27" t="s">
        <v>7</v>
      </c>
      <c r="HU578" s="27" t="s">
        <v>8</v>
      </c>
      <c r="HY578" s="27" t="s">
        <v>8</v>
      </c>
      <c r="IN578" s="27" t="s">
        <v>7</v>
      </c>
      <c r="IO578" s="27" t="s">
        <v>8</v>
      </c>
      <c r="KD578" s="27" t="s">
        <v>7</v>
      </c>
    </row>
    <row r="579" spans="1:294" x14ac:dyDescent="0.25">
      <c r="A579" s="7">
        <v>1.1716593810022657</v>
      </c>
      <c r="B579"/>
      <c r="C579"/>
      <c r="D579"/>
      <c r="E579"/>
      <c r="DU579" s="27" t="s">
        <v>8</v>
      </c>
      <c r="FF579" s="27" t="s">
        <v>7</v>
      </c>
      <c r="FG579" s="27" t="s">
        <v>8</v>
      </c>
      <c r="FH579" s="27" t="s">
        <v>7</v>
      </c>
      <c r="FI579" s="27" t="s">
        <v>8</v>
      </c>
      <c r="FJ579" s="27" t="s">
        <v>7</v>
      </c>
      <c r="FK579" s="27" t="s">
        <v>8</v>
      </c>
      <c r="FL579" s="27" t="s">
        <v>7</v>
      </c>
      <c r="FO579" s="27" t="s">
        <v>8</v>
      </c>
      <c r="FP579" s="27" t="s">
        <v>7</v>
      </c>
      <c r="FQ579" s="27" t="s">
        <v>8</v>
      </c>
      <c r="GS579" s="27" t="s">
        <v>8</v>
      </c>
      <c r="GT579" s="27" t="s">
        <v>7</v>
      </c>
      <c r="GU579" s="27" t="s">
        <v>8</v>
      </c>
      <c r="GV579" s="27" t="s">
        <v>7</v>
      </c>
      <c r="GW579" s="27" t="s">
        <v>8</v>
      </c>
      <c r="GX579" s="27" t="s">
        <v>7</v>
      </c>
      <c r="GY579" s="27" t="s">
        <v>8</v>
      </c>
      <c r="GZ579" s="27" t="s">
        <v>7</v>
      </c>
      <c r="HA579" s="27" t="s">
        <v>8</v>
      </c>
      <c r="HD579" s="27" t="s">
        <v>7</v>
      </c>
      <c r="HE579" s="27" t="s">
        <v>8</v>
      </c>
      <c r="HT579" s="27" t="s">
        <v>7</v>
      </c>
      <c r="HU579" s="27" t="s">
        <v>8</v>
      </c>
      <c r="HV579" s="27" t="s">
        <v>7</v>
      </c>
      <c r="HY579" s="27" t="s">
        <v>8</v>
      </c>
      <c r="IN579" s="27" t="s">
        <v>7</v>
      </c>
      <c r="IO579" s="27" t="s">
        <v>8</v>
      </c>
      <c r="KD579" s="27" t="s">
        <v>7</v>
      </c>
    </row>
    <row r="580" spans="1:294" x14ac:dyDescent="0.25">
      <c r="A580" s="7">
        <v>1.14868566764928</v>
      </c>
      <c r="B580"/>
      <c r="C580"/>
      <c r="D580"/>
      <c r="E580"/>
      <c r="DU580" s="27" t="s">
        <v>8</v>
      </c>
      <c r="FF580" s="27" t="s">
        <v>7</v>
      </c>
      <c r="FG580" s="27" t="s">
        <v>8</v>
      </c>
      <c r="FH580" s="27" t="s">
        <v>7</v>
      </c>
      <c r="FI580" s="27" t="s">
        <v>8</v>
      </c>
      <c r="FJ580" s="27" t="s">
        <v>7</v>
      </c>
      <c r="FK580" s="27" t="s">
        <v>8</v>
      </c>
      <c r="FL580" s="27" t="s">
        <v>7</v>
      </c>
      <c r="FO580" s="27" t="s">
        <v>8</v>
      </c>
      <c r="FP580" s="27" t="s">
        <v>7</v>
      </c>
      <c r="FQ580" s="27" t="s">
        <v>8</v>
      </c>
      <c r="FR580" s="27" t="s">
        <v>7</v>
      </c>
      <c r="GS580" s="27" t="s">
        <v>8</v>
      </c>
      <c r="GT580" s="27" t="s">
        <v>7</v>
      </c>
      <c r="GU580" s="27" t="s">
        <v>8</v>
      </c>
      <c r="GV580" s="27" t="s">
        <v>7</v>
      </c>
      <c r="GW580" s="27" t="s">
        <v>8</v>
      </c>
      <c r="GX580" s="27" t="s">
        <v>7</v>
      </c>
      <c r="GY580" s="27" t="s">
        <v>8</v>
      </c>
      <c r="GZ580" s="27" t="s">
        <v>7</v>
      </c>
      <c r="HA580" s="27" t="s">
        <v>8</v>
      </c>
      <c r="HD580" s="27" t="s">
        <v>7</v>
      </c>
      <c r="HT580" s="27" t="s">
        <v>7</v>
      </c>
      <c r="HU580" s="27" t="s">
        <v>8</v>
      </c>
      <c r="HV580" s="27" t="s">
        <v>7</v>
      </c>
      <c r="HY580" s="27" t="s">
        <v>8</v>
      </c>
      <c r="IN580" s="27" t="s">
        <v>7</v>
      </c>
      <c r="IO580" s="27" t="s">
        <v>8</v>
      </c>
      <c r="KD580" s="27" t="s">
        <v>7</v>
      </c>
    </row>
    <row r="581" spans="1:294" x14ac:dyDescent="0.25">
      <c r="A581" s="7">
        <v>1.1261624192640001</v>
      </c>
      <c r="B581"/>
      <c r="C581"/>
      <c r="D581"/>
      <c r="E581"/>
      <c r="DU581" s="27" t="s">
        <v>8</v>
      </c>
      <c r="FF581" s="27" t="s">
        <v>7</v>
      </c>
      <c r="FG581" s="27" t="s">
        <v>8</v>
      </c>
      <c r="FH581" s="27" t="s">
        <v>7</v>
      </c>
      <c r="FI581" s="27" t="s">
        <v>8</v>
      </c>
      <c r="FJ581" s="27" t="s">
        <v>7</v>
      </c>
      <c r="FK581" s="27" t="s">
        <v>8</v>
      </c>
      <c r="FL581" s="27" t="s">
        <v>7</v>
      </c>
      <c r="FM581" s="27" t="s">
        <v>8</v>
      </c>
      <c r="FO581" s="27" t="s">
        <v>8</v>
      </c>
      <c r="FP581" s="27" t="s">
        <v>7</v>
      </c>
      <c r="FQ581" s="27" t="s">
        <v>8</v>
      </c>
      <c r="FR581" s="27" t="s">
        <v>7</v>
      </c>
      <c r="GQ581" s="27" t="s">
        <v>8</v>
      </c>
      <c r="GS581" s="27" t="s">
        <v>8</v>
      </c>
      <c r="GT581" s="27" t="s">
        <v>7</v>
      </c>
      <c r="GU581" s="27" t="s">
        <v>8</v>
      </c>
      <c r="GV581" s="27" t="s">
        <v>7</v>
      </c>
      <c r="GW581" s="27" t="s">
        <v>8</v>
      </c>
      <c r="GX581" s="27" t="s">
        <v>7</v>
      </c>
      <c r="GY581" s="27" t="s">
        <v>8</v>
      </c>
      <c r="GZ581" s="27" t="s">
        <v>7</v>
      </c>
      <c r="HT581" s="27" t="s">
        <v>7</v>
      </c>
      <c r="HU581" s="27" t="s">
        <v>8</v>
      </c>
      <c r="HV581" s="27" t="s">
        <v>7</v>
      </c>
      <c r="HW581" s="27" t="s">
        <v>8</v>
      </c>
      <c r="HY581" s="27" t="s">
        <v>8</v>
      </c>
      <c r="IN581" s="27" t="s">
        <v>7</v>
      </c>
      <c r="IO581" s="27" t="s">
        <v>8</v>
      </c>
      <c r="KD581" s="27" t="s">
        <v>7</v>
      </c>
      <c r="KG581" s="27" t="s">
        <v>8</v>
      </c>
    </row>
    <row r="582" spans="1:294" x14ac:dyDescent="0.25">
      <c r="A582" s="7">
        <v>1.1040808032</v>
      </c>
      <c r="B582"/>
      <c r="C582"/>
      <c r="D582"/>
      <c r="E582"/>
      <c r="DU582" s="27" t="s">
        <v>8</v>
      </c>
      <c r="FF582" s="27" t="s">
        <v>7</v>
      </c>
      <c r="FG582" s="27" t="s">
        <v>8</v>
      </c>
      <c r="FH582" s="27" t="s">
        <v>7</v>
      </c>
      <c r="FI582" s="27" t="s">
        <v>8</v>
      </c>
      <c r="FJ582" s="27" t="s">
        <v>7</v>
      </c>
      <c r="FK582" s="27" t="s">
        <v>8</v>
      </c>
      <c r="FL582" s="27" t="s">
        <v>7</v>
      </c>
      <c r="FM582" s="27" t="s">
        <v>8</v>
      </c>
      <c r="FN582" s="27" t="s">
        <v>7</v>
      </c>
      <c r="FO582" s="27" t="s">
        <v>8</v>
      </c>
      <c r="FP582" s="27" t="s">
        <v>7</v>
      </c>
      <c r="FQ582" s="27" t="s">
        <v>8</v>
      </c>
      <c r="FR582" s="27" t="s">
        <v>7</v>
      </c>
      <c r="GG582" s="27" t="s">
        <v>8</v>
      </c>
      <c r="GQ582" s="27" t="s">
        <v>8</v>
      </c>
      <c r="GR582" s="27" t="s">
        <v>7</v>
      </c>
      <c r="GS582" s="27" t="s">
        <v>8</v>
      </c>
      <c r="GT582" s="27" t="s">
        <v>7</v>
      </c>
      <c r="GU582" s="27" t="s">
        <v>8</v>
      </c>
      <c r="GV582" s="27" t="s">
        <v>7</v>
      </c>
      <c r="GW582" s="27" t="s">
        <v>8</v>
      </c>
      <c r="GX582" s="27" t="s">
        <v>7</v>
      </c>
      <c r="GY582" s="27" t="s">
        <v>8</v>
      </c>
      <c r="HT582" s="27" t="s">
        <v>7</v>
      </c>
      <c r="HU582" s="27" t="s">
        <v>8</v>
      </c>
      <c r="HV582" s="27" t="s">
        <v>7</v>
      </c>
      <c r="HW582" s="27" t="s">
        <v>8</v>
      </c>
      <c r="HX582" s="27" t="s">
        <v>7</v>
      </c>
      <c r="HY582" s="27" t="s">
        <v>8</v>
      </c>
      <c r="IN582" s="27" t="s">
        <v>7</v>
      </c>
      <c r="KD582" s="27" t="s">
        <v>7</v>
      </c>
      <c r="KG582" s="27" t="s">
        <v>8</v>
      </c>
      <c r="KH582" s="27" t="s">
        <v>7</v>
      </c>
    </row>
    <row r="583" spans="1:294" x14ac:dyDescent="0.25">
      <c r="A583" s="7">
        <v>1.08243216</v>
      </c>
      <c r="B583"/>
      <c r="C583"/>
      <c r="D583"/>
      <c r="E583"/>
      <c r="DU583" s="27" t="s">
        <v>8</v>
      </c>
      <c r="FF583" s="27" t="s">
        <v>7</v>
      </c>
      <c r="FG583" s="27" t="s">
        <v>8</v>
      </c>
      <c r="FH583" s="27" t="s">
        <v>7</v>
      </c>
      <c r="FI583" s="27" t="s">
        <v>8</v>
      </c>
      <c r="FJ583" s="27" t="s">
        <v>7</v>
      </c>
      <c r="FK583" s="27" t="s">
        <v>8</v>
      </c>
      <c r="FL583" s="27" t="s">
        <v>7</v>
      </c>
      <c r="FM583" s="27" t="s">
        <v>8</v>
      </c>
      <c r="FN583" s="27" t="s">
        <v>7</v>
      </c>
      <c r="FO583" s="27" t="s">
        <v>8</v>
      </c>
      <c r="FP583" s="27" t="s">
        <v>7</v>
      </c>
      <c r="FQ583" s="27" t="s">
        <v>8</v>
      </c>
      <c r="FR583" s="27" t="s">
        <v>7</v>
      </c>
      <c r="GG583" s="27" t="s">
        <v>8</v>
      </c>
      <c r="GH583" s="27" t="s">
        <v>7</v>
      </c>
      <c r="GQ583" s="27" t="s">
        <v>8</v>
      </c>
      <c r="GR583" s="27" t="s">
        <v>7</v>
      </c>
      <c r="GS583" s="27" t="s">
        <v>8</v>
      </c>
      <c r="GT583" s="27" t="s">
        <v>7</v>
      </c>
      <c r="GU583" s="27" t="s">
        <v>8</v>
      </c>
      <c r="GV583" s="27" t="s">
        <v>7</v>
      </c>
      <c r="GW583" s="27" t="s">
        <v>8</v>
      </c>
      <c r="GX583" s="27" t="s">
        <v>7</v>
      </c>
      <c r="GY583" s="27" t="s">
        <v>8</v>
      </c>
      <c r="HT583" s="27" t="s">
        <v>7</v>
      </c>
      <c r="HU583" s="27" t="s">
        <v>8</v>
      </c>
      <c r="HV583" s="27" t="s">
        <v>7</v>
      </c>
      <c r="HW583" s="27" t="s">
        <v>8</v>
      </c>
      <c r="HX583" s="27" t="s">
        <v>7</v>
      </c>
      <c r="HY583" s="27" t="s">
        <v>8</v>
      </c>
      <c r="KD583" s="27" t="s">
        <v>7</v>
      </c>
      <c r="KE583" s="27" t="s">
        <v>8</v>
      </c>
      <c r="KG583" s="27" t="s">
        <v>8</v>
      </c>
      <c r="KH583" s="27" t="s">
        <v>7</v>
      </c>
    </row>
    <row r="584" spans="1:294" x14ac:dyDescent="0.25">
      <c r="A584" s="7">
        <v>1.0612079999999999</v>
      </c>
      <c r="B584"/>
      <c r="C584"/>
      <c r="D584"/>
      <c r="E584"/>
      <c r="DU584" s="27" t="s">
        <v>8</v>
      </c>
      <c r="FF584" s="27" t="s">
        <v>7</v>
      </c>
      <c r="FG584" s="27" t="s">
        <v>8</v>
      </c>
      <c r="FH584" s="27" t="s">
        <v>7</v>
      </c>
      <c r="FI584" s="27" t="s">
        <v>8</v>
      </c>
      <c r="FJ584" s="27" t="s">
        <v>7</v>
      </c>
      <c r="FK584" s="27" t="s">
        <v>8</v>
      </c>
      <c r="FL584" s="27" t="s">
        <v>7</v>
      </c>
      <c r="FM584" s="27" t="s">
        <v>8</v>
      </c>
      <c r="FN584" s="27" t="s">
        <v>7</v>
      </c>
      <c r="FO584" s="27" t="s">
        <v>8</v>
      </c>
      <c r="FP584" s="27" t="s">
        <v>7</v>
      </c>
      <c r="FQ584" s="27" t="s">
        <v>8</v>
      </c>
      <c r="FR584" s="27" t="s">
        <v>7</v>
      </c>
      <c r="FS584" s="27" t="s">
        <v>8</v>
      </c>
      <c r="GG584" s="27" t="s">
        <v>8</v>
      </c>
      <c r="GH584" s="27" t="s">
        <v>7</v>
      </c>
      <c r="GI584" s="27" t="s">
        <v>8</v>
      </c>
      <c r="GQ584" s="27" t="s">
        <v>8</v>
      </c>
      <c r="GR584" s="27" t="s">
        <v>7</v>
      </c>
      <c r="GS584" s="27" t="s">
        <v>8</v>
      </c>
      <c r="GT584" s="27" t="s">
        <v>7</v>
      </c>
      <c r="GU584" s="27" t="s">
        <v>8</v>
      </c>
      <c r="GV584" s="27" t="s">
        <v>7</v>
      </c>
      <c r="GW584" s="27" t="s">
        <v>8</v>
      </c>
      <c r="GX584" s="27" t="s">
        <v>7</v>
      </c>
      <c r="HT584" s="27" t="s">
        <v>7</v>
      </c>
      <c r="HU584" s="27" t="s">
        <v>8</v>
      </c>
      <c r="HV584" s="27" t="s">
        <v>7</v>
      </c>
      <c r="HW584" s="27" t="s">
        <v>8</v>
      </c>
      <c r="HX584" s="27" t="s">
        <v>7</v>
      </c>
      <c r="HY584" s="27" t="s">
        <v>8</v>
      </c>
      <c r="KD584" s="27" t="s">
        <v>7</v>
      </c>
      <c r="KE584" s="27" t="s">
        <v>8</v>
      </c>
      <c r="KF584" s="27" t="s">
        <v>7</v>
      </c>
      <c r="KG584" s="27" t="s">
        <v>8</v>
      </c>
      <c r="KH584" s="27" t="s">
        <v>7</v>
      </c>
    </row>
    <row r="585" spans="1:294" x14ac:dyDescent="0.25">
      <c r="A585" s="7">
        <v>1.0404</v>
      </c>
      <c r="B585"/>
      <c r="C585"/>
      <c r="D585"/>
      <c r="E585"/>
      <c r="DU585" s="27" t="s">
        <v>8</v>
      </c>
      <c r="FF585" s="27" t="s">
        <v>7</v>
      </c>
      <c r="FG585" s="27" t="s">
        <v>8</v>
      </c>
      <c r="FH585" s="27" t="s">
        <v>7</v>
      </c>
      <c r="FI585" s="27" t="s">
        <v>8</v>
      </c>
      <c r="FJ585" s="27" t="s">
        <v>7</v>
      </c>
      <c r="FK585" s="27" t="s">
        <v>8</v>
      </c>
      <c r="FL585" s="27" t="s">
        <v>7</v>
      </c>
      <c r="FM585" s="27" t="s">
        <v>8</v>
      </c>
      <c r="FN585" s="27" t="s">
        <v>7</v>
      </c>
      <c r="FP585" s="27" t="s">
        <v>7</v>
      </c>
      <c r="FQ585" s="27" t="s">
        <v>8</v>
      </c>
      <c r="FR585" s="27" t="s">
        <v>7</v>
      </c>
      <c r="FS585" s="27" t="s">
        <v>8</v>
      </c>
      <c r="FT585" s="27" t="s">
        <v>7</v>
      </c>
      <c r="GG585" s="27" t="s">
        <v>8</v>
      </c>
      <c r="GH585" s="27" t="s">
        <v>7</v>
      </c>
      <c r="GI585" s="27" t="s">
        <v>8</v>
      </c>
      <c r="GJ585" s="27" t="s">
        <v>7</v>
      </c>
      <c r="GQ585" s="27" t="s">
        <v>8</v>
      </c>
      <c r="GR585" s="27" t="s">
        <v>7</v>
      </c>
      <c r="GS585" s="27" t="s">
        <v>8</v>
      </c>
      <c r="GT585" s="27" t="s">
        <v>7</v>
      </c>
      <c r="GU585" s="27" t="s">
        <v>8</v>
      </c>
      <c r="GV585" s="27" t="s">
        <v>7</v>
      </c>
      <c r="HT585" s="27" t="s">
        <v>7</v>
      </c>
      <c r="HU585" s="27" t="s">
        <v>8</v>
      </c>
      <c r="HV585" s="27" t="s">
        <v>7</v>
      </c>
      <c r="HW585" s="27" t="s">
        <v>8</v>
      </c>
      <c r="HX585" s="27" t="s">
        <v>7</v>
      </c>
      <c r="HY585" s="27" t="s">
        <v>8</v>
      </c>
      <c r="KD585" s="27" t="s">
        <v>7</v>
      </c>
      <c r="KE585" s="27" t="s">
        <v>8</v>
      </c>
      <c r="KF585" s="27" t="s">
        <v>7</v>
      </c>
      <c r="KG585" s="27" t="s">
        <v>8</v>
      </c>
    </row>
    <row r="586" spans="1:294" x14ac:dyDescent="0.25">
      <c r="A586" s="7">
        <v>1.02</v>
      </c>
      <c r="B586"/>
      <c r="C586"/>
      <c r="D586"/>
      <c r="E586"/>
      <c r="DS586" s="27" t="s">
        <v>8</v>
      </c>
      <c r="DU586" s="27" t="s">
        <v>8</v>
      </c>
      <c r="FF586" s="27" t="s">
        <v>7</v>
      </c>
      <c r="FG586" s="27" t="s">
        <v>8</v>
      </c>
      <c r="FH586" s="27" t="s">
        <v>7</v>
      </c>
      <c r="FI586" s="27" t="s">
        <v>8</v>
      </c>
      <c r="FJ586" s="27" t="s">
        <v>7</v>
      </c>
      <c r="FK586" s="27" t="s">
        <v>8</v>
      </c>
      <c r="FL586" s="27" t="s">
        <v>7</v>
      </c>
      <c r="FM586" s="27" t="s">
        <v>8</v>
      </c>
      <c r="FP586" s="27" t="s">
        <v>7</v>
      </c>
      <c r="FR586" s="27" t="s">
        <v>7</v>
      </c>
      <c r="FS586" s="27" t="s">
        <v>8</v>
      </c>
      <c r="FT586" s="27" t="s">
        <v>7</v>
      </c>
      <c r="GG586" s="27" t="s">
        <v>8</v>
      </c>
      <c r="GH586" s="27" t="s">
        <v>7</v>
      </c>
      <c r="GI586" s="27" t="s">
        <v>8</v>
      </c>
      <c r="GJ586" s="27" t="s">
        <v>7</v>
      </c>
      <c r="GK586" s="27" t="s">
        <v>8</v>
      </c>
      <c r="GQ586" s="27" t="s">
        <v>8</v>
      </c>
      <c r="GR586" s="27" t="s">
        <v>7</v>
      </c>
      <c r="GS586" s="27" t="s">
        <v>8</v>
      </c>
      <c r="GT586" s="27" t="s">
        <v>7</v>
      </c>
      <c r="GU586" s="27" t="s">
        <v>8</v>
      </c>
      <c r="HT586" s="27" t="s">
        <v>7</v>
      </c>
      <c r="HV586" s="27" t="s">
        <v>7</v>
      </c>
      <c r="HX586" s="27" t="s">
        <v>7</v>
      </c>
      <c r="HY586" s="27" t="s">
        <v>8</v>
      </c>
      <c r="KD586" s="27" t="s">
        <v>7</v>
      </c>
      <c r="KE586" s="27" t="s">
        <v>8</v>
      </c>
      <c r="KF586" s="27" t="s">
        <v>7</v>
      </c>
      <c r="KG586" s="27" t="s">
        <v>8</v>
      </c>
    </row>
    <row r="587" spans="1:294" x14ac:dyDescent="0.25">
      <c r="A587" s="7">
        <v>1</v>
      </c>
      <c r="B587"/>
      <c r="C587"/>
      <c r="D587"/>
      <c r="E587" s="29" t="s">
        <v>8</v>
      </c>
      <c r="DS587" s="27" t="s">
        <v>8</v>
      </c>
      <c r="DT587" s="27" t="s">
        <v>7</v>
      </c>
      <c r="DU587" s="27" t="s">
        <v>8</v>
      </c>
      <c r="FF587" s="27" t="s">
        <v>7</v>
      </c>
      <c r="FG587" s="27" t="s">
        <v>8</v>
      </c>
      <c r="FH587" s="27" t="s">
        <v>7</v>
      </c>
      <c r="FI587" s="27" t="s">
        <v>8</v>
      </c>
      <c r="FJ587" s="27" t="s">
        <v>7</v>
      </c>
      <c r="FK587" s="27" t="s">
        <v>8</v>
      </c>
      <c r="FL587" s="27" t="s">
        <v>7</v>
      </c>
      <c r="FM587" s="27" t="s">
        <v>8</v>
      </c>
      <c r="FR587" s="27" t="s">
        <v>7</v>
      </c>
      <c r="FS587" s="27" t="s">
        <v>8</v>
      </c>
      <c r="FT587" s="27" t="s">
        <v>7</v>
      </c>
      <c r="FU587" s="27" t="s">
        <v>8</v>
      </c>
      <c r="GG587" s="27" t="s">
        <v>8</v>
      </c>
      <c r="GH587" s="27" t="s">
        <v>7</v>
      </c>
      <c r="GI587" s="27" t="s">
        <v>8</v>
      </c>
      <c r="GJ587" s="27" t="s">
        <v>7</v>
      </c>
      <c r="GK587" s="27" t="s">
        <v>8</v>
      </c>
      <c r="GL587" s="27" t="s">
        <v>7</v>
      </c>
      <c r="GQ587" s="27" t="s">
        <v>8</v>
      </c>
      <c r="GR587" s="27" t="s">
        <v>7</v>
      </c>
      <c r="GS587" s="27" t="s">
        <v>8</v>
      </c>
      <c r="GT587" s="27" t="s">
        <v>7</v>
      </c>
      <c r="GU587" s="27" t="s">
        <v>8</v>
      </c>
      <c r="HX587" s="27" t="s">
        <v>7</v>
      </c>
      <c r="HY587" s="27" t="s">
        <v>8</v>
      </c>
      <c r="KD587" s="27" t="s">
        <v>7</v>
      </c>
      <c r="KE587" s="27" t="s">
        <v>8</v>
      </c>
      <c r="KF587" s="27" t="s">
        <v>7</v>
      </c>
      <c r="KG587" s="27" t="s">
        <v>8</v>
      </c>
    </row>
    <row r="588" spans="1:294" x14ac:dyDescent="0.25">
      <c r="A588" s="7">
        <v>0.98039215686274506</v>
      </c>
      <c r="B588"/>
      <c r="C588"/>
      <c r="D588"/>
      <c r="E588"/>
      <c r="F588" s="27" t="s">
        <v>7</v>
      </c>
      <c r="DQ588" s="27" t="s">
        <v>8</v>
      </c>
      <c r="DS588" s="27" t="s">
        <v>8</v>
      </c>
      <c r="DT588" s="27" t="s">
        <v>7</v>
      </c>
      <c r="DU588" s="27" t="s">
        <v>8</v>
      </c>
      <c r="FF588" s="27" t="s">
        <v>7</v>
      </c>
      <c r="FG588" s="27" t="s">
        <v>8</v>
      </c>
      <c r="FH588" s="27" t="s">
        <v>7</v>
      </c>
      <c r="FI588" s="27" t="s">
        <v>8</v>
      </c>
      <c r="FJ588" s="27" t="s">
        <v>7</v>
      </c>
      <c r="FK588" s="27" t="s">
        <v>8</v>
      </c>
      <c r="FL588" s="27" t="s">
        <v>7</v>
      </c>
      <c r="FM588" s="27" t="s">
        <v>8</v>
      </c>
      <c r="FR588" s="27" t="s">
        <v>7</v>
      </c>
      <c r="FS588" s="27" t="s">
        <v>8</v>
      </c>
      <c r="FT588" s="27" t="s">
        <v>7</v>
      </c>
      <c r="FU588" s="27" t="s">
        <v>8</v>
      </c>
      <c r="FV588" s="27" t="s">
        <v>7</v>
      </c>
      <c r="GG588" s="27" t="s">
        <v>8</v>
      </c>
      <c r="GH588" s="27" t="s">
        <v>7</v>
      </c>
      <c r="GI588" s="27" t="s">
        <v>8</v>
      </c>
      <c r="GJ588" s="27" t="s">
        <v>7</v>
      </c>
      <c r="GK588" s="27" t="s">
        <v>8</v>
      </c>
      <c r="GL588" s="27" t="s">
        <v>7</v>
      </c>
      <c r="GQ588" s="27" t="s">
        <v>8</v>
      </c>
      <c r="GR588" s="27" t="s">
        <v>7</v>
      </c>
      <c r="GS588" s="27" t="s">
        <v>8</v>
      </c>
      <c r="GT588" s="27" t="s">
        <v>7</v>
      </c>
      <c r="HX588" s="27" t="s">
        <v>7</v>
      </c>
      <c r="KD588" s="27" t="s">
        <v>7</v>
      </c>
      <c r="KE588" s="27" t="s">
        <v>8</v>
      </c>
      <c r="KF588" s="27" t="s">
        <v>7</v>
      </c>
      <c r="KG588" s="27" t="s">
        <v>8</v>
      </c>
    </row>
    <row r="589" spans="1:294" x14ac:dyDescent="0.25">
      <c r="A589" s="7">
        <v>0.96116878123798544</v>
      </c>
      <c r="B589"/>
      <c r="C589"/>
      <c r="D589"/>
      <c r="E589"/>
      <c r="F589" s="27" t="s">
        <v>7</v>
      </c>
      <c r="DQ589" s="27" t="s">
        <v>8</v>
      </c>
      <c r="DR589" s="27" t="s">
        <v>7</v>
      </c>
      <c r="DS589" s="27" t="s">
        <v>8</v>
      </c>
      <c r="DT589" s="27" t="s">
        <v>7</v>
      </c>
      <c r="DU589" s="27" t="s">
        <v>8</v>
      </c>
      <c r="FF589" s="27" t="s">
        <v>7</v>
      </c>
      <c r="FG589" s="27" t="s">
        <v>8</v>
      </c>
      <c r="FH589" s="27" t="s">
        <v>7</v>
      </c>
      <c r="FI589" s="27" t="s">
        <v>8</v>
      </c>
      <c r="FJ589" s="27" t="s">
        <v>7</v>
      </c>
      <c r="FL589" s="27" t="s">
        <v>7</v>
      </c>
      <c r="FM589" s="27" t="s">
        <v>8</v>
      </c>
      <c r="FR589" s="27" t="s">
        <v>7</v>
      </c>
      <c r="FS589" s="27" t="s">
        <v>8</v>
      </c>
      <c r="FT589" s="27" t="s">
        <v>7</v>
      </c>
      <c r="FU589" s="27" t="s">
        <v>8</v>
      </c>
      <c r="FV589" s="27" t="s">
        <v>7</v>
      </c>
      <c r="GG589" s="27" t="s">
        <v>8</v>
      </c>
      <c r="GH589" s="27" t="s">
        <v>7</v>
      </c>
      <c r="GI589" s="27" t="s">
        <v>8</v>
      </c>
      <c r="GJ589" s="27" t="s">
        <v>7</v>
      </c>
      <c r="GK589" s="27" t="s">
        <v>8</v>
      </c>
      <c r="GL589" s="27" t="s">
        <v>7</v>
      </c>
      <c r="GQ589" s="27" t="s">
        <v>8</v>
      </c>
      <c r="GR589" s="27" t="s">
        <v>7</v>
      </c>
      <c r="GS589" s="27" t="s">
        <v>8</v>
      </c>
      <c r="KD589" s="27" t="s">
        <v>7</v>
      </c>
      <c r="KE589" s="27" t="s">
        <v>8</v>
      </c>
      <c r="KF589" s="27" t="s">
        <v>7</v>
      </c>
      <c r="KG589" s="27" t="s">
        <v>8</v>
      </c>
    </row>
    <row r="590" spans="1:294" x14ac:dyDescent="0.25">
      <c r="A590" s="7">
        <v>0.94232233454704462</v>
      </c>
      <c r="B590"/>
      <c r="C590"/>
      <c r="D590"/>
      <c r="E590"/>
      <c r="F590" s="27" t="s">
        <v>7</v>
      </c>
      <c r="DQ590" s="27" t="s">
        <v>8</v>
      </c>
      <c r="DR590" s="27" t="s">
        <v>7</v>
      </c>
      <c r="DS590" s="27" t="s">
        <v>8</v>
      </c>
      <c r="DT590" s="27" t="s">
        <v>7</v>
      </c>
      <c r="DU590" s="27" t="s">
        <v>8</v>
      </c>
      <c r="FF590" s="27" t="s">
        <v>7</v>
      </c>
      <c r="FG590" s="27" t="s">
        <v>8</v>
      </c>
      <c r="FH590" s="27" t="s">
        <v>7</v>
      </c>
      <c r="FI590" s="27" t="s">
        <v>8</v>
      </c>
      <c r="FL590" s="27" t="s">
        <v>7</v>
      </c>
      <c r="FR590" s="27" t="s">
        <v>7</v>
      </c>
      <c r="FS590" s="27" t="s">
        <v>8</v>
      </c>
      <c r="FT590" s="27" t="s">
        <v>7</v>
      </c>
      <c r="FU590" s="27" t="s">
        <v>8</v>
      </c>
      <c r="FV590" s="27" t="s">
        <v>7</v>
      </c>
      <c r="GG590" s="27" t="s">
        <v>8</v>
      </c>
      <c r="GH590" s="27" t="s">
        <v>7</v>
      </c>
      <c r="GI590" s="27" t="s">
        <v>8</v>
      </c>
      <c r="GJ590" s="27" t="s">
        <v>7</v>
      </c>
      <c r="GK590" s="27" t="s">
        <v>8</v>
      </c>
      <c r="GL590" s="27" t="s">
        <v>7</v>
      </c>
      <c r="GQ590" s="27" t="s">
        <v>8</v>
      </c>
      <c r="GR590" s="27" t="s">
        <v>7</v>
      </c>
      <c r="KD590" s="27" t="s">
        <v>7</v>
      </c>
      <c r="KF590" s="27" t="s">
        <v>7</v>
      </c>
    </row>
    <row r="591" spans="1:294" x14ac:dyDescent="0.25">
      <c r="A591" s="7">
        <v>0.92384542602651432</v>
      </c>
      <c r="B591"/>
      <c r="C591"/>
      <c r="D591"/>
      <c r="E591"/>
      <c r="F591" s="27" t="s">
        <v>7</v>
      </c>
      <c r="DA591" s="27" t="s">
        <v>8</v>
      </c>
      <c r="DQ591" s="27" t="s">
        <v>8</v>
      </c>
      <c r="DR591" s="27" t="s">
        <v>7</v>
      </c>
      <c r="DS591" s="27" t="s">
        <v>8</v>
      </c>
      <c r="DT591" s="27" t="s">
        <v>7</v>
      </c>
      <c r="DU591" s="27" t="s">
        <v>8</v>
      </c>
      <c r="FF591" s="27" t="s">
        <v>7</v>
      </c>
      <c r="FG591" s="27" t="s">
        <v>8</v>
      </c>
      <c r="FH591" s="27" t="s">
        <v>7</v>
      </c>
      <c r="FI591" s="27" t="s">
        <v>8</v>
      </c>
      <c r="FR591" s="27" t="s">
        <v>7</v>
      </c>
      <c r="FT591" s="27" t="s">
        <v>7</v>
      </c>
      <c r="FU591" s="27" t="s">
        <v>8</v>
      </c>
      <c r="FV591" s="27" t="s">
        <v>7</v>
      </c>
      <c r="GA591" s="27" t="s">
        <v>8</v>
      </c>
      <c r="GE591" s="27" t="s">
        <v>8</v>
      </c>
      <c r="GG591" s="27" t="s">
        <v>8</v>
      </c>
      <c r="GH591" s="27" t="s">
        <v>7</v>
      </c>
      <c r="GI591" s="27" t="s">
        <v>8</v>
      </c>
      <c r="GJ591" s="27" t="s">
        <v>7</v>
      </c>
      <c r="GK591" s="27" t="s">
        <v>8</v>
      </c>
      <c r="GL591" s="27" t="s">
        <v>7</v>
      </c>
      <c r="GQ591" s="27" t="s">
        <v>8</v>
      </c>
    </row>
    <row r="592" spans="1:294" x14ac:dyDescent="0.25">
      <c r="A592" s="7">
        <v>0.90573080982991594</v>
      </c>
      <c r="B592"/>
      <c r="C592"/>
      <c r="D592"/>
      <c r="E592"/>
      <c r="F592" s="27" t="s">
        <v>7</v>
      </c>
      <c r="DA592" s="27" t="s">
        <v>8</v>
      </c>
      <c r="DB592" s="27" t="s">
        <v>7</v>
      </c>
      <c r="DE592" s="27" t="s">
        <v>8</v>
      </c>
      <c r="DQ592" s="27" t="s">
        <v>8</v>
      </c>
      <c r="DR592" s="27" t="s">
        <v>7</v>
      </c>
      <c r="DS592" s="27" t="s">
        <v>8</v>
      </c>
      <c r="DT592" s="27" t="s">
        <v>7</v>
      </c>
      <c r="DU592" s="27" t="s">
        <v>8</v>
      </c>
      <c r="FF592" s="27" t="s">
        <v>7</v>
      </c>
      <c r="FG592" s="27" t="s">
        <v>8</v>
      </c>
      <c r="FH592" s="27" t="s">
        <v>7</v>
      </c>
      <c r="FI592" s="27" t="s">
        <v>8</v>
      </c>
      <c r="FT592" s="27" t="s">
        <v>7</v>
      </c>
      <c r="FU592" s="27" t="s">
        <v>8</v>
      </c>
      <c r="FV592" s="27" t="s">
        <v>7</v>
      </c>
      <c r="GA592" s="27" t="s">
        <v>8</v>
      </c>
      <c r="GB592" s="27" t="s">
        <v>7</v>
      </c>
      <c r="GE592" s="27" t="s">
        <v>8</v>
      </c>
      <c r="GF592" s="27" t="s">
        <v>7</v>
      </c>
      <c r="GG592" s="27" t="s">
        <v>8</v>
      </c>
      <c r="GH592" s="27" t="s">
        <v>7</v>
      </c>
      <c r="GJ592" s="27" t="s">
        <v>7</v>
      </c>
      <c r="GK592" s="27" t="s">
        <v>8</v>
      </c>
      <c r="GL592" s="27" t="s">
        <v>7</v>
      </c>
      <c r="GQ592" s="27" t="s">
        <v>8</v>
      </c>
    </row>
    <row r="593" spans="1:199" x14ac:dyDescent="0.25">
      <c r="A593" s="7">
        <v>0.8879713821861922</v>
      </c>
      <c r="B593"/>
      <c r="C593"/>
      <c r="D593"/>
      <c r="E593"/>
      <c r="F593" s="27" t="s">
        <v>7</v>
      </c>
      <c r="DA593" s="27" t="s">
        <v>8</v>
      </c>
      <c r="DB593" s="27" t="s">
        <v>7</v>
      </c>
      <c r="DE593" s="27" t="s">
        <v>8</v>
      </c>
      <c r="DF593" s="27" t="s">
        <v>7</v>
      </c>
      <c r="DQ593" s="27" t="s">
        <v>8</v>
      </c>
      <c r="DR593" s="27" t="s">
        <v>7</v>
      </c>
      <c r="DS593" s="27" t="s">
        <v>8</v>
      </c>
      <c r="DT593" s="27" t="s">
        <v>7</v>
      </c>
      <c r="DU593" s="27" t="s">
        <v>8</v>
      </c>
      <c r="FF593" s="27" t="s">
        <v>7</v>
      </c>
      <c r="FG593" s="27" t="s">
        <v>8</v>
      </c>
      <c r="FH593" s="27" t="s">
        <v>7</v>
      </c>
      <c r="FI593" s="27" t="s">
        <v>8</v>
      </c>
      <c r="FT593" s="27" t="s">
        <v>7</v>
      </c>
      <c r="FU593" s="27" t="s">
        <v>8</v>
      </c>
      <c r="FV593" s="27" t="s">
        <v>7</v>
      </c>
      <c r="FW593" s="27" t="s">
        <v>8</v>
      </c>
      <c r="GA593" s="27" t="s">
        <v>8</v>
      </c>
      <c r="GB593" s="27" t="s">
        <v>7</v>
      </c>
      <c r="GE593" s="27" t="s">
        <v>8</v>
      </c>
      <c r="GF593" s="27" t="s">
        <v>7</v>
      </c>
      <c r="GG593" s="27" t="s">
        <v>8</v>
      </c>
      <c r="GJ593" s="27" t="s">
        <v>7</v>
      </c>
      <c r="GK593" s="27" t="s">
        <v>8</v>
      </c>
      <c r="GL593" s="27" t="s">
        <v>7</v>
      </c>
      <c r="GQ593" s="27" t="s">
        <v>8</v>
      </c>
    </row>
    <row r="594" spans="1:199" x14ac:dyDescent="0.25">
      <c r="A594" s="7">
        <v>0.87056017861391399</v>
      </c>
      <c r="B594"/>
      <c r="C594"/>
      <c r="D594"/>
      <c r="E594"/>
      <c r="F594" s="27" t="s">
        <v>7</v>
      </c>
      <c r="DA594" s="27" t="s">
        <v>8</v>
      </c>
      <c r="DB594" s="27" t="s">
        <v>7</v>
      </c>
      <c r="DE594" s="27" t="s">
        <v>8</v>
      </c>
      <c r="DF594" s="27" t="s">
        <v>7</v>
      </c>
      <c r="DQ594" s="27" t="s">
        <v>8</v>
      </c>
      <c r="DR594" s="27" t="s">
        <v>7</v>
      </c>
      <c r="DS594" s="27" t="s">
        <v>8</v>
      </c>
      <c r="DT594" s="27" t="s">
        <v>7</v>
      </c>
      <c r="DU594" s="27" t="s">
        <v>8</v>
      </c>
      <c r="FF594" s="27" t="s">
        <v>7</v>
      </c>
      <c r="FG594" s="27" t="s">
        <v>8</v>
      </c>
      <c r="FH594" s="27" t="s">
        <v>7</v>
      </c>
      <c r="FI594" s="27" t="s">
        <v>8</v>
      </c>
      <c r="FT594" s="27" t="s">
        <v>7</v>
      </c>
      <c r="FU594" s="27" t="s">
        <v>8</v>
      </c>
      <c r="FV594" s="27" t="s">
        <v>7</v>
      </c>
      <c r="FW594" s="27" t="s">
        <v>8</v>
      </c>
      <c r="FX594" s="27" t="s">
        <v>7</v>
      </c>
      <c r="GA594" s="27" t="s">
        <v>8</v>
      </c>
      <c r="GB594" s="27" t="s">
        <v>7</v>
      </c>
      <c r="GC594" s="27" t="s">
        <v>8</v>
      </c>
      <c r="GE594" s="27" t="s">
        <v>8</v>
      </c>
      <c r="GF594" s="27" t="s">
        <v>7</v>
      </c>
      <c r="GG594" s="27" t="s">
        <v>8</v>
      </c>
      <c r="GJ594" s="27" t="s">
        <v>7</v>
      </c>
      <c r="GK594" s="27" t="s">
        <v>8</v>
      </c>
      <c r="GL594" s="27" t="s">
        <v>7</v>
      </c>
      <c r="GM594" s="18" t="s">
        <v>8</v>
      </c>
      <c r="GQ594" s="27" t="s">
        <v>8</v>
      </c>
    </row>
    <row r="595" spans="1:199" x14ac:dyDescent="0.25">
      <c r="A595" s="7">
        <v>0.85349037119011173</v>
      </c>
      <c r="B595"/>
      <c r="C595"/>
      <c r="D595"/>
      <c r="E595"/>
      <c r="F595" s="27" t="s">
        <v>7</v>
      </c>
      <c r="DA595" s="27" t="s">
        <v>8</v>
      </c>
      <c r="DB595" s="27" t="s">
        <v>7</v>
      </c>
      <c r="DE595" s="27" t="s">
        <v>8</v>
      </c>
      <c r="DF595" s="27" t="s">
        <v>7</v>
      </c>
      <c r="DQ595" s="27" t="s">
        <v>8</v>
      </c>
      <c r="DR595" s="27" t="s">
        <v>7</v>
      </c>
      <c r="DS595" s="27" t="s">
        <v>8</v>
      </c>
      <c r="DT595" s="27" t="s">
        <v>7</v>
      </c>
      <c r="FF595" s="27" t="s">
        <v>7</v>
      </c>
      <c r="FG595" s="27" t="s">
        <v>8</v>
      </c>
      <c r="FH595" s="27" t="s">
        <v>7</v>
      </c>
      <c r="FI595" s="27" t="s">
        <v>8</v>
      </c>
      <c r="FT595" s="27" t="s">
        <v>7</v>
      </c>
      <c r="FV595" s="27" t="s">
        <v>7</v>
      </c>
      <c r="FW595" s="27" t="s">
        <v>8</v>
      </c>
      <c r="FX595" s="27" t="s">
        <v>7</v>
      </c>
      <c r="GA595" s="27" t="s">
        <v>8</v>
      </c>
      <c r="GB595" s="27" t="s">
        <v>7</v>
      </c>
      <c r="GC595" s="27" t="s">
        <v>8</v>
      </c>
      <c r="GD595" s="27" t="s">
        <v>7</v>
      </c>
      <c r="GE595" s="27" t="s">
        <v>8</v>
      </c>
      <c r="GF595" s="27" t="s">
        <v>7</v>
      </c>
      <c r="GG595" s="27" t="s">
        <v>8</v>
      </c>
      <c r="GJ595" s="27" t="s">
        <v>7</v>
      </c>
      <c r="GL595" s="27" t="s">
        <v>7</v>
      </c>
      <c r="GM595" s="27" t="s">
        <v>8</v>
      </c>
      <c r="GN595" s="27" t="s">
        <v>7</v>
      </c>
      <c r="GO595" s="27" t="s">
        <v>8</v>
      </c>
      <c r="GQ595" s="27" t="s">
        <v>8</v>
      </c>
    </row>
    <row r="596" spans="1:199" x14ac:dyDescent="0.25">
      <c r="A596" s="7">
        <v>0.83675526587265858</v>
      </c>
      <c r="B596"/>
      <c r="C596"/>
      <c r="D596"/>
      <c r="E596"/>
      <c r="F596" s="27" t="s">
        <v>7</v>
      </c>
      <c r="DA596" s="27" t="s">
        <v>8</v>
      </c>
      <c r="DB596" s="27" t="s">
        <v>7</v>
      </c>
      <c r="DC596" s="27" t="s">
        <v>8</v>
      </c>
      <c r="DE596" s="27" t="s">
        <v>8</v>
      </c>
      <c r="DF596" s="27" t="s">
        <v>7</v>
      </c>
      <c r="DQ596" s="27" t="s">
        <v>8</v>
      </c>
      <c r="DR596" s="27" t="s">
        <v>7</v>
      </c>
      <c r="FF596" s="27" t="s">
        <v>7</v>
      </c>
      <c r="FG596" s="27" t="s">
        <v>8</v>
      </c>
      <c r="FH596" s="27" t="s">
        <v>7</v>
      </c>
      <c r="FI596" s="27" t="s">
        <v>8</v>
      </c>
      <c r="FV596" s="27" t="s">
        <v>7</v>
      </c>
      <c r="FW596" s="27" t="s">
        <v>8</v>
      </c>
      <c r="FX596" s="27" t="s">
        <v>7</v>
      </c>
      <c r="GA596" s="27" t="s">
        <v>8</v>
      </c>
      <c r="GB596" s="27" t="s">
        <v>7</v>
      </c>
      <c r="GC596" s="27" t="s">
        <v>8</v>
      </c>
      <c r="GD596" s="27" t="s">
        <v>7</v>
      </c>
      <c r="GE596" s="27" t="s">
        <v>8</v>
      </c>
      <c r="GF596" s="27" t="s">
        <v>7</v>
      </c>
      <c r="GG596" s="27" t="s">
        <v>8</v>
      </c>
      <c r="GL596" s="27" t="s">
        <v>7</v>
      </c>
      <c r="GM596" s="27" t="s">
        <v>8</v>
      </c>
      <c r="GN596" s="27" t="s">
        <v>7</v>
      </c>
      <c r="GO596" s="27" t="s">
        <v>8</v>
      </c>
      <c r="GP596" s="27" t="s">
        <v>7</v>
      </c>
      <c r="GQ596" s="27" t="s">
        <v>8</v>
      </c>
    </row>
    <row r="597" spans="1:199" x14ac:dyDescent="0.25">
      <c r="A597" s="7">
        <v>0.82034829987515545</v>
      </c>
      <c r="B597"/>
      <c r="C597"/>
      <c r="D597"/>
      <c r="E597"/>
      <c r="F597" s="27" t="s">
        <v>7</v>
      </c>
      <c r="DA597" s="27" t="s">
        <v>8</v>
      </c>
      <c r="DB597" s="27" t="s">
        <v>7</v>
      </c>
      <c r="DC597" s="27" t="s">
        <v>8</v>
      </c>
      <c r="DD597" s="27" t="s">
        <v>7</v>
      </c>
      <c r="DE597" s="27" t="s">
        <v>8</v>
      </c>
      <c r="DF597" s="27" t="s">
        <v>7</v>
      </c>
      <c r="DQ597" s="27" t="s">
        <v>8</v>
      </c>
      <c r="FF597" s="27" t="s">
        <v>7</v>
      </c>
      <c r="FG597" s="27" t="s">
        <v>8</v>
      </c>
      <c r="FH597" s="27" t="s">
        <v>7</v>
      </c>
      <c r="FI597" s="27" t="s">
        <v>8</v>
      </c>
      <c r="FV597" s="27" t="s">
        <v>7</v>
      </c>
      <c r="FW597" s="27" t="s">
        <v>8</v>
      </c>
      <c r="FX597" s="27" t="s">
        <v>7</v>
      </c>
      <c r="GA597" s="27" t="s">
        <v>8</v>
      </c>
      <c r="GB597" s="27" t="s">
        <v>7</v>
      </c>
      <c r="GC597" s="27" t="s">
        <v>8</v>
      </c>
      <c r="GD597" s="27" t="s">
        <v>7</v>
      </c>
      <c r="GF597" s="27" t="s">
        <v>7</v>
      </c>
      <c r="GL597" s="27" t="s">
        <v>7</v>
      </c>
      <c r="GM597" s="27" t="s">
        <v>8</v>
      </c>
      <c r="GN597" s="27" t="s">
        <v>7</v>
      </c>
      <c r="GO597" s="27" t="s">
        <v>8</v>
      </c>
      <c r="GP597" s="27" t="s">
        <v>7</v>
      </c>
      <c r="GQ597" s="27" t="s">
        <v>8</v>
      </c>
    </row>
    <row r="598" spans="1:199" x14ac:dyDescent="0.25">
      <c r="A598" s="7">
        <v>0.80426303909328967</v>
      </c>
      <c r="B598"/>
      <c r="C598"/>
      <c r="D598"/>
      <c r="E598"/>
      <c r="F598" s="27" t="s">
        <v>7</v>
      </c>
      <c r="DA598" s="27" t="s">
        <v>8</v>
      </c>
      <c r="DB598" s="27" t="s">
        <v>7</v>
      </c>
      <c r="DC598" s="27" t="s">
        <v>8</v>
      </c>
      <c r="DD598" s="27" t="s">
        <v>7</v>
      </c>
      <c r="DE598" s="27" t="s">
        <v>8</v>
      </c>
      <c r="DF598" s="27" t="s">
        <v>7</v>
      </c>
      <c r="DO598" s="27" t="s">
        <v>8</v>
      </c>
      <c r="DQ598" s="27" t="s">
        <v>8</v>
      </c>
      <c r="FF598" s="27" t="s">
        <v>7</v>
      </c>
      <c r="FG598" s="27" t="s">
        <v>8</v>
      </c>
      <c r="FH598" s="27" t="s">
        <v>7</v>
      </c>
      <c r="FI598" s="27" t="s">
        <v>8</v>
      </c>
      <c r="FV598" s="27" t="s">
        <v>7</v>
      </c>
      <c r="FX598" s="27" t="s">
        <v>7</v>
      </c>
      <c r="GA598" s="27" t="s">
        <v>8</v>
      </c>
      <c r="GB598" s="27" t="s">
        <v>7</v>
      </c>
      <c r="GC598" s="27" t="s">
        <v>8</v>
      </c>
      <c r="GL598" s="27" t="s">
        <v>7</v>
      </c>
      <c r="GM598" s="27" t="s">
        <v>8</v>
      </c>
      <c r="GN598" s="27" t="s">
        <v>7</v>
      </c>
      <c r="GO598" s="27" t="s">
        <v>8</v>
      </c>
      <c r="GP598" s="27" t="s">
        <v>7</v>
      </c>
    </row>
    <row r="599" spans="1:199" x14ac:dyDescent="0.25">
      <c r="A599" s="7">
        <v>0.78849317558165644</v>
      </c>
      <c r="B599"/>
      <c r="C599"/>
      <c r="D599"/>
      <c r="E599"/>
      <c r="F599" s="27" t="s">
        <v>7</v>
      </c>
      <c r="DA599" s="27" t="s">
        <v>8</v>
      </c>
      <c r="DB599" s="27" t="s">
        <v>7</v>
      </c>
      <c r="DC599" s="27" t="s">
        <v>8</v>
      </c>
      <c r="DD599" s="27" t="s">
        <v>7</v>
      </c>
      <c r="DE599" s="27" t="s">
        <v>8</v>
      </c>
      <c r="DF599" s="27" t="s">
        <v>7</v>
      </c>
      <c r="DO599" s="27" t="s">
        <v>8</v>
      </c>
      <c r="DP599" s="27" t="s">
        <v>7</v>
      </c>
      <c r="DQ599" s="27" t="s">
        <v>8</v>
      </c>
      <c r="FF599" s="27" t="s">
        <v>7</v>
      </c>
      <c r="FG599" s="27" t="s">
        <v>8</v>
      </c>
      <c r="FH599" s="27" t="s">
        <v>7</v>
      </c>
      <c r="FI599" s="27" t="s">
        <v>8</v>
      </c>
      <c r="FX599" s="27" t="s">
        <v>7</v>
      </c>
      <c r="GA599" s="27" t="s">
        <v>8</v>
      </c>
      <c r="GB599" s="27" t="s">
        <v>7</v>
      </c>
      <c r="GC599" s="27" t="s">
        <v>8</v>
      </c>
      <c r="GL599" s="27" t="s">
        <v>7</v>
      </c>
      <c r="GM599" s="27" t="s">
        <v>8</v>
      </c>
      <c r="GN599" s="27" t="s">
        <v>7</v>
      </c>
      <c r="GO599" s="27" t="s">
        <v>8</v>
      </c>
    </row>
    <row r="600" spans="1:199" x14ac:dyDescent="0.25">
      <c r="A600" s="7">
        <v>0.77303252508005538</v>
      </c>
      <c r="B600"/>
      <c r="C600"/>
      <c r="D600"/>
      <c r="E600"/>
      <c r="F600" s="27" t="s">
        <v>7</v>
      </c>
      <c r="U600" s="27" t="s">
        <v>8</v>
      </c>
      <c r="DA600" s="27" t="s">
        <v>8</v>
      </c>
      <c r="DB600" s="27" t="s">
        <v>7</v>
      </c>
      <c r="DC600" s="27" t="s">
        <v>8</v>
      </c>
      <c r="DD600" s="27" t="s">
        <v>7</v>
      </c>
      <c r="DE600" s="27" t="s">
        <v>8</v>
      </c>
      <c r="DF600" s="27" t="s">
        <v>7</v>
      </c>
      <c r="DO600" s="27" t="s">
        <v>8</v>
      </c>
      <c r="DP600" s="27" t="s">
        <v>7</v>
      </c>
      <c r="DQ600" s="27" t="s">
        <v>8</v>
      </c>
      <c r="FF600" s="27" t="s">
        <v>7</v>
      </c>
      <c r="FG600" s="27" t="s">
        <v>8</v>
      </c>
      <c r="FH600" s="27" t="s">
        <v>7</v>
      </c>
      <c r="FX600" s="27" t="s">
        <v>7</v>
      </c>
      <c r="GA600" s="27" t="s">
        <v>8</v>
      </c>
      <c r="GB600" s="27" t="s">
        <v>7</v>
      </c>
      <c r="GC600" s="27" t="s">
        <v>8</v>
      </c>
      <c r="GL600" s="27" t="s">
        <v>7</v>
      </c>
      <c r="GN600" s="27" t="s">
        <v>7</v>
      </c>
      <c r="GO600" s="27" t="s">
        <v>8</v>
      </c>
    </row>
    <row r="601" spans="1:199" x14ac:dyDescent="0.25">
      <c r="A601" s="7">
        <v>0.75787502458828959</v>
      </c>
      <c r="B601"/>
      <c r="C601"/>
      <c r="D601"/>
      <c r="E601"/>
      <c r="F601" s="27" t="s">
        <v>7</v>
      </c>
      <c r="U601" s="27" t="s">
        <v>8</v>
      </c>
      <c r="V601" s="27" t="s">
        <v>7</v>
      </c>
      <c r="DA601" s="27" t="s">
        <v>8</v>
      </c>
      <c r="DB601" s="27" t="s">
        <v>7</v>
      </c>
      <c r="DC601" s="27" t="s">
        <v>8</v>
      </c>
      <c r="DD601" s="27" t="s">
        <v>7</v>
      </c>
      <c r="DE601" s="27" t="s">
        <v>8</v>
      </c>
      <c r="DF601" s="27" t="s">
        <v>7</v>
      </c>
      <c r="DO601" s="27" t="s">
        <v>8</v>
      </c>
      <c r="DP601" s="27" t="s">
        <v>7</v>
      </c>
      <c r="DQ601" s="27" t="s">
        <v>8</v>
      </c>
      <c r="FF601" s="27" t="s">
        <v>7</v>
      </c>
      <c r="FG601" s="27" t="s">
        <v>8</v>
      </c>
      <c r="FX601" s="27" t="s">
        <v>7</v>
      </c>
      <c r="GA601" s="27" t="s">
        <v>8</v>
      </c>
      <c r="GB601" s="27" t="s">
        <v>7</v>
      </c>
      <c r="GN601" s="27" t="s">
        <v>7</v>
      </c>
      <c r="GO601" s="27" t="s">
        <v>8</v>
      </c>
    </row>
    <row r="602" spans="1:199" x14ac:dyDescent="0.25">
      <c r="A602" s="7">
        <v>0.74301472998851925</v>
      </c>
      <c r="B602"/>
      <c r="C602"/>
      <c r="D602"/>
      <c r="E602"/>
      <c r="F602" s="27" t="s">
        <v>7</v>
      </c>
      <c r="U602" s="27" t="s">
        <v>8</v>
      </c>
      <c r="V602" s="27" t="s">
        <v>7</v>
      </c>
      <c r="DA602" s="27" t="s">
        <v>8</v>
      </c>
      <c r="DB602" s="27" t="s">
        <v>7</v>
      </c>
      <c r="DC602" s="27" t="s">
        <v>8</v>
      </c>
      <c r="DD602" s="27" t="s">
        <v>7</v>
      </c>
      <c r="DE602" s="27" t="s">
        <v>8</v>
      </c>
      <c r="DF602" s="27" t="s">
        <v>7</v>
      </c>
      <c r="DM602" s="27" t="s">
        <v>8</v>
      </c>
      <c r="DO602" s="27" t="s">
        <v>8</v>
      </c>
      <c r="DP602" s="27" t="s">
        <v>7</v>
      </c>
      <c r="DQ602" s="27" t="s">
        <v>8</v>
      </c>
      <c r="FF602" s="27" t="s">
        <v>7</v>
      </c>
      <c r="FG602" s="27" t="s">
        <v>8</v>
      </c>
      <c r="FX602" s="27" t="s">
        <v>7</v>
      </c>
      <c r="GA602" s="27" t="s">
        <v>8</v>
      </c>
      <c r="GN602" s="27" t="s">
        <v>7</v>
      </c>
      <c r="GO602" s="27" t="s">
        <v>8</v>
      </c>
    </row>
    <row r="603" spans="1:199" x14ac:dyDescent="0.25">
      <c r="A603" s="7">
        <v>0.72844581371423456</v>
      </c>
      <c r="B603"/>
      <c r="C603"/>
      <c r="D603"/>
      <c r="E603"/>
      <c r="F603" s="27" t="s">
        <v>7</v>
      </c>
      <c r="U603" s="27" t="s">
        <v>8</v>
      </c>
      <c r="V603" s="27" t="s">
        <v>7</v>
      </c>
      <c r="DA603" s="27" t="s">
        <v>8</v>
      </c>
      <c r="DB603" s="27" t="s">
        <v>7</v>
      </c>
      <c r="DC603" s="27" t="s">
        <v>8</v>
      </c>
      <c r="DD603" s="27" t="s">
        <v>7</v>
      </c>
      <c r="DE603" s="27" t="s">
        <v>8</v>
      </c>
      <c r="DF603" s="27" t="s">
        <v>7</v>
      </c>
      <c r="DI603" s="27" t="s">
        <v>8</v>
      </c>
      <c r="DM603" s="27" t="s">
        <v>8</v>
      </c>
      <c r="DN603" s="27" t="s">
        <v>7</v>
      </c>
      <c r="DO603" s="27" t="s">
        <v>8</v>
      </c>
      <c r="DP603" s="27" t="s">
        <v>7</v>
      </c>
      <c r="FF603" s="27" t="s">
        <v>7</v>
      </c>
      <c r="FG603" s="27" t="s">
        <v>8</v>
      </c>
      <c r="FX603" s="27" t="s">
        <v>7</v>
      </c>
      <c r="GA603" s="27" t="s">
        <v>8</v>
      </c>
      <c r="GN603" s="27" t="s">
        <v>7</v>
      </c>
      <c r="GO603" s="27" t="s">
        <v>8</v>
      </c>
    </row>
    <row r="604" spans="1:199" x14ac:dyDescent="0.25">
      <c r="A604" s="7">
        <v>0.71416256246493581</v>
      </c>
      <c r="B604"/>
      <c r="C604"/>
      <c r="D604"/>
      <c r="E604"/>
      <c r="F604" s="27" t="s">
        <v>7</v>
      </c>
      <c r="U604" s="27" t="s">
        <v>8</v>
      </c>
      <c r="V604" s="27" t="s">
        <v>7</v>
      </c>
      <c r="DA604" s="27" t="s">
        <v>8</v>
      </c>
      <c r="DB604" s="27" t="s">
        <v>7</v>
      </c>
      <c r="DC604" s="27" t="s">
        <v>8</v>
      </c>
      <c r="DD604" s="27" t="s">
        <v>7</v>
      </c>
      <c r="DF604" s="27" t="s">
        <v>7</v>
      </c>
      <c r="DI604" s="27" t="s">
        <v>8</v>
      </c>
      <c r="DJ604" s="27" t="s">
        <v>7</v>
      </c>
      <c r="DM604" s="27" t="s">
        <v>8</v>
      </c>
      <c r="DN604" s="27" t="s">
        <v>7</v>
      </c>
      <c r="DO604" s="27" t="s">
        <v>8</v>
      </c>
      <c r="FF604" s="27" t="s">
        <v>7</v>
      </c>
      <c r="FG604" s="27" t="s">
        <v>8</v>
      </c>
      <c r="FX604" s="27" t="s">
        <v>7</v>
      </c>
      <c r="GA604" s="27" t="s">
        <v>8</v>
      </c>
      <c r="GN604" s="27" t="s">
        <v>7</v>
      </c>
      <c r="GO604" s="27" t="s">
        <v>8</v>
      </c>
    </row>
    <row r="605" spans="1:199" x14ac:dyDescent="0.25">
      <c r="A605" s="7">
        <v>0.7001593749656233</v>
      </c>
      <c r="B605"/>
      <c r="C605"/>
      <c r="D605"/>
      <c r="E605"/>
      <c r="F605" s="27" t="s">
        <v>7</v>
      </c>
      <c r="U605" s="27" t="s">
        <v>8</v>
      </c>
      <c r="V605" s="27" t="s">
        <v>7</v>
      </c>
      <c r="DA605" s="27" t="s">
        <v>8</v>
      </c>
      <c r="DB605" s="27" t="s">
        <v>7</v>
      </c>
      <c r="DF605" s="27" t="s">
        <v>7</v>
      </c>
      <c r="DI605" s="27" t="s">
        <v>8</v>
      </c>
      <c r="DJ605" s="27" t="s">
        <v>7</v>
      </c>
      <c r="DK605" s="27" t="s">
        <v>8</v>
      </c>
      <c r="DM605" s="27" t="s">
        <v>8</v>
      </c>
      <c r="DN605" s="27" t="s">
        <v>7</v>
      </c>
      <c r="DO605" s="27" t="s">
        <v>8</v>
      </c>
      <c r="FF605" s="27" t="s">
        <v>7</v>
      </c>
      <c r="FX605" s="27" t="s">
        <v>7</v>
      </c>
      <c r="GA605" s="27" t="s">
        <v>8</v>
      </c>
      <c r="GN605" s="27" t="s">
        <v>7</v>
      </c>
      <c r="GO605" s="27" t="s">
        <v>8</v>
      </c>
    </row>
    <row r="606" spans="1:199" x14ac:dyDescent="0.25">
      <c r="A606" s="7">
        <v>0.68643075977021883</v>
      </c>
      <c r="B606"/>
      <c r="C606"/>
      <c r="D606"/>
      <c r="E606"/>
      <c r="F606" s="27" t="s">
        <v>7</v>
      </c>
      <c r="U606" s="27" t="s">
        <v>8</v>
      </c>
      <c r="V606" s="27" t="s">
        <v>7</v>
      </c>
      <c r="DA606" s="27" t="s">
        <v>8</v>
      </c>
      <c r="DF606" s="27" t="s">
        <v>7</v>
      </c>
      <c r="DI606" s="27" t="s">
        <v>8</v>
      </c>
      <c r="DJ606" s="27" t="s">
        <v>7</v>
      </c>
      <c r="DK606" s="27" t="s">
        <v>8</v>
      </c>
      <c r="DL606" s="27" t="s">
        <v>7</v>
      </c>
      <c r="DM606" s="27" t="s">
        <v>8</v>
      </c>
      <c r="DN606" s="27" t="s">
        <v>7</v>
      </c>
      <c r="DO606" s="27" t="s">
        <v>8</v>
      </c>
      <c r="FX606" s="27" t="s">
        <v>7</v>
      </c>
      <c r="FY606" s="27" t="s">
        <v>8</v>
      </c>
      <c r="GA606" s="27" t="s">
        <v>8</v>
      </c>
      <c r="GN606" s="27" t="s">
        <v>7</v>
      </c>
    </row>
    <row r="607" spans="1:199" x14ac:dyDescent="0.25">
      <c r="A607" s="7">
        <v>0.67297133310805768</v>
      </c>
      <c r="B607"/>
      <c r="C607"/>
      <c r="D607"/>
      <c r="E607"/>
      <c r="F607" s="27" t="s">
        <v>7</v>
      </c>
      <c r="U607" s="27" t="s">
        <v>8</v>
      </c>
      <c r="V607" s="27" t="s">
        <v>7</v>
      </c>
      <c r="DA607" s="27" t="s">
        <v>8</v>
      </c>
      <c r="DF607" s="27" t="s">
        <v>7</v>
      </c>
      <c r="DI607" s="27" t="s">
        <v>8</v>
      </c>
      <c r="DJ607" s="27" t="s">
        <v>7</v>
      </c>
      <c r="DK607" s="27" t="s">
        <v>8</v>
      </c>
      <c r="DL607" s="27" t="s">
        <v>7</v>
      </c>
      <c r="DM607" s="27" t="s">
        <v>8</v>
      </c>
      <c r="DN607" s="27" t="s">
        <v>7</v>
      </c>
      <c r="DO607" s="27" t="s">
        <v>8</v>
      </c>
      <c r="FX607" s="27" t="s">
        <v>7</v>
      </c>
      <c r="FY607" s="27" t="s">
        <v>8</v>
      </c>
      <c r="FZ607" s="27" t="s">
        <v>7</v>
      </c>
      <c r="GA607" s="27" t="s">
        <v>8</v>
      </c>
    </row>
    <row r="608" spans="1:199" x14ac:dyDescent="0.25">
      <c r="A608" s="7">
        <v>0.65977581677260566</v>
      </c>
      <c r="B608"/>
      <c r="C608"/>
      <c r="D608"/>
      <c r="E608"/>
      <c r="F608" s="27" t="s">
        <v>7</v>
      </c>
      <c r="U608" s="27" t="s">
        <v>8</v>
      </c>
      <c r="V608" s="27" t="s">
        <v>7</v>
      </c>
      <c r="AQ608" s="27" t="s">
        <v>8</v>
      </c>
      <c r="DA608" s="27" t="s">
        <v>8</v>
      </c>
      <c r="DF608" s="27" t="s">
        <v>7</v>
      </c>
      <c r="DG608" s="27" t="s">
        <v>8</v>
      </c>
      <c r="DI608" s="27" t="s">
        <v>8</v>
      </c>
      <c r="DJ608" s="27" t="s">
        <v>7</v>
      </c>
      <c r="DK608" s="27" t="s">
        <v>8</v>
      </c>
      <c r="DL608" s="27" t="s">
        <v>7</v>
      </c>
      <c r="DM608" s="27" t="s">
        <v>8</v>
      </c>
      <c r="DN608" s="27" t="s">
        <v>7</v>
      </c>
      <c r="FX608" s="27" t="s">
        <v>7</v>
      </c>
      <c r="FY608" s="27" t="s">
        <v>8</v>
      </c>
      <c r="FZ608" s="27" t="s">
        <v>7</v>
      </c>
      <c r="GA608" s="27" t="s">
        <v>8</v>
      </c>
    </row>
    <row r="609" spans="1:183" x14ac:dyDescent="0.25">
      <c r="A609" s="7">
        <v>0.64683903605157422</v>
      </c>
      <c r="B609"/>
      <c r="C609"/>
      <c r="D609"/>
      <c r="E609"/>
      <c r="F609" s="27" t="s">
        <v>7</v>
      </c>
      <c r="U609" s="27" t="s">
        <v>8</v>
      </c>
      <c r="V609" s="27" t="s">
        <v>7</v>
      </c>
      <c r="AQ609" s="27" t="s">
        <v>8</v>
      </c>
      <c r="AR609" s="27" t="s">
        <v>7</v>
      </c>
      <c r="DA609" s="27" t="s">
        <v>8</v>
      </c>
      <c r="DF609" s="27" t="s">
        <v>7</v>
      </c>
      <c r="DG609" s="27" t="s">
        <v>8</v>
      </c>
      <c r="DH609" s="27" t="s">
        <v>7</v>
      </c>
      <c r="DI609" s="27" t="s">
        <v>8</v>
      </c>
      <c r="DJ609" s="27" t="s">
        <v>7</v>
      </c>
      <c r="DK609" s="27" t="s">
        <v>8</v>
      </c>
      <c r="DL609" s="27" t="s">
        <v>7</v>
      </c>
      <c r="DM609" s="27" t="s">
        <v>8</v>
      </c>
      <c r="FX609" s="27" t="s">
        <v>7</v>
      </c>
      <c r="FY609" s="27" t="s">
        <v>8</v>
      </c>
      <c r="FZ609" s="27" t="s">
        <v>7</v>
      </c>
      <c r="GA609" s="27" t="s">
        <v>8</v>
      </c>
    </row>
    <row r="610" spans="1:183" x14ac:dyDescent="0.25">
      <c r="A610" s="7">
        <v>0.63415591769762181</v>
      </c>
      <c r="B610"/>
      <c r="C610"/>
      <c r="D610"/>
      <c r="E610"/>
      <c r="F610" s="27" t="s">
        <v>7</v>
      </c>
      <c r="U610" s="27" t="s">
        <v>8</v>
      </c>
      <c r="V610" s="27" t="s">
        <v>7</v>
      </c>
      <c r="AQ610" s="27" t="s">
        <v>8</v>
      </c>
      <c r="AR610" s="27" t="s">
        <v>7</v>
      </c>
      <c r="AS610" s="27" t="s">
        <v>8</v>
      </c>
      <c r="DA610" s="27" t="s">
        <v>8</v>
      </c>
      <c r="DF610" s="27" t="s">
        <v>7</v>
      </c>
      <c r="DG610" s="27" t="s">
        <v>8</v>
      </c>
      <c r="DH610" s="27" t="s">
        <v>7</v>
      </c>
      <c r="DI610" s="27" t="s">
        <v>8</v>
      </c>
      <c r="DJ610" s="27" t="s">
        <v>7</v>
      </c>
      <c r="DK610" s="27" t="s">
        <v>8</v>
      </c>
      <c r="DL610" s="27" t="s">
        <v>7</v>
      </c>
      <c r="DM610" s="27" t="s">
        <v>8</v>
      </c>
      <c r="FX610" s="27" t="s">
        <v>7</v>
      </c>
      <c r="FY610" s="27" t="s">
        <v>8</v>
      </c>
      <c r="FZ610" s="27" t="s">
        <v>7</v>
      </c>
      <c r="GA610" s="27" t="s">
        <v>8</v>
      </c>
    </row>
    <row r="611" spans="1:183" x14ac:dyDescent="0.25">
      <c r="A611" s="7">
        <v>0.62172148793884496</v>
      </c>
      <c r="B611"/>
      <c r="C611"/>
      <c r="D611"/>
      <c r="E611"/>
      <c r="F611" s="27" t="s">
        <v>7</v>
      </c>
      <c r="U611" s="27" t="s">
        <v>8</v>
      </c>
      <c r="V611" s="27" t="s">
        <v>7</v>
      </c>
      <c r="W611" s="27" t="s">
        <v>8</v>
      </c>
      <c r="AQ611" s="27" t="s">
        <v>8</v>
      </c>
      <c r="AR611" s="27" t="s">
        <v>7</v>
      </c>
      <c r="AS611" s="27" t="s">
        <v>8</v>
      </c>
      <c r="AT611" s="27" t="s">
        <v>7</v>
      </c>
      <c r="DA611" s="27" t="s">
        <v>8</v>
      </c>
      <c r="DF611" s="27" t="s">
        <v>7</v>
      </c>
      <c r="DG611" s="27" t="s">
        <v>8</v>
      </c>
      <c r="DH611" s="27" t="s">
        <v>7</v>
      </c>
      <c r="DI611" s="27" t="s">
        <v>8</v>
      </c>
      <c r="DJ611" s="27" t="s">
        <v>7</v>
      </c>
      <c r="DK611" s="27" t="s">
        <v>8</v>
      </c>
      <c r="DL611" s="27" t="s">
        <v>7</v>
      </c>
      <c r="FX611" s="27" t="s">
        <v>7</v>
      </c>
      <c r="FY611" s="27" t="s">
        <v>8</v>
      </c>
      <c r="FZ611" s="27" t="s">
        <v>7</v>
      </c>
      <c r="GA611" s="27" t="s">
        <v>8</v>
      </c>
    </row>
    <row r="612" spans="1:183" x14ac:dyDescent="0.25">
      <c r="A612" s="7">
        <v>0.60953087052827937</v>
      </c>
      <c r="B612"/>
      <c r="C612"/>
      <c r="D612"/>
      <c r="E612"/>
      <c r="F612" s="27" t="s">
        <v>7</v>
      </c>
      <c r="U612" s="27" t="s">
        <v>8</v>
      </c>
      <c r="V612" s="27" t="s">
        <v>7</v>
      </c>
      <c r="W612" s="27" t="s">
        <v>8</v>
      </c>
      <c r="X612" s="27" t="s">
        <v>7</v>
      </c>
      <c r="AQ612" s="27" t="s">
        <v>8</v>
      </c>
      <c r="AR612" s="27" t="s">
        <v>7</v>
      </c>
      <c r="AS612" s="27" t="s">
        <v>8</v>
      </c>
      <c r="AT612" s="27" t="s">
        <v>7</v>
      </c>
      <c r="DA612" s="27" t="s">
        <v>8</v>
      </c>
      <c r="DF612" s="27" t="s">
        <v>7</v>
      </c>
      <c r="DG612" s="27" t="s">
        <v>8</v>
      </c>
      <c r="DH612" s="27" t="s">
        <v>7</v>
      </c>
      <c r="DI612" s="27" t="s">
        <v>8</v>
      </c>
      <c r="DJ612" s="27" t="s">
        <v>7</v>
      </c>
      <c r="FX612" s="27" t="s">
        <v>7</v>
      </c>
      <c r="FY612" s="27" t="s">
        <v>8</v>
      </c>
      <c r="FZ612" s="27" t="s">
        <v>7</v>
      </c>
      <c r="GA612" s="27" t="s">
        <v>8</v>
      </c>
    </row>
    <row r="613" spans="1:183" x14ac:dyDescent="0.25">
      <c r="A613" s="7">
        <v>0.59757928483164646</v>
      </c>
      <c r="B613"/>
      <c r="C613"/>
      <c r="D613"/>
      <c r="E613"/>
      <c r="F613" s="27" t="s">
        <v>7</v>
      </c>
      <c r="U613" s="27" t="s">
        <v>8</v>
      </c>
      <c r="V613" s="27" t="s">
        <v>7</v>
      </c>
      <c r="W613" s="27" t="s">
        <v>8</v>
      </c>
      <c r="X613" s="27" t="s">
        <v>7</v>
      </c>
      <c r="AQ613" s="27" t="s">
        <v>8</v>
      </c>
      <c r="AR613" s="27" t="s">
        <v>7</v>
      </c>
      <c r="AS613" s="27" t="s">
        <v>8</v>
      </c>
      <c r="AT613" s="27" t="s">
        <v>7</v>
      </c>
      <c r="DA613" s="27" t="s">
        <v>8</v>
      </c>
      <c r="DF613" s="27" t="s">
        <v>7</v>
      </c>
      <c r="DG613" s="27" t="s">
        <v>8</v>
      </c>
      <c r="DH613" s="27" t="s">
        <v>7</v>
      </c>
      <c r="DI613" s="27" t="s">
        <v>8</v>
      </c>
      <c r="FX613" s="27" t="s">
        <v>7</v>
      </c>
      <c r="FY613" s="27" t="s">
        <v>8</v>
      </c>
      <c r="FZ613" s="27" t="s">
        <v>7</v>
      </c>
      <c r="GA613" s="27" t="s">
        <v>8</v>
      </c>
    </row>
    <row r="614" spans="1:183" x14ac:dyDescent="0.25">
      <c r="A614" s="7">
        <v>0.58586204395259456</v>
      </c>
      <c r="B614"/>
      <c r="C614"/>
      <c r="D614"/>
      <c r="E614"/>
      <c r="F614" s="27" t="s">
        <v>7</v>
      </c>
      <c r="U614" s="27" t="s">
        <v>8</v>
      </c>
      <c r="V614" s="27" t="s">
        <v>7</v>
      </c>
      <c r="W614" s="27" t="s">
        <v>8</v>
      </c>
      <c r="X614" s="27" t="s">
        <v>7</v>
      </c>
      <c r="AQ614" s="27" t="s">
        <v>8</v>
      </c>
      <c r="AR614" s="27" t="s">
        <v>7</v>
      </c>
      <c r="AS614" s="27" t="s">
        <v>8</v>
      </c>
      <c r="AT614" s="27" t="s">
        <v>7</v>
      </c>
      <c r="DA614" s="27" t="s">
        <v>8</v>
      </c>
      <c r="DF614" s="27" t="s">
        <v>7</v>
      </c>
      <c r="DG614" s="27" t="s">
        <v>8</v>
      </c>
      <c r="DH614" s="27" t="s">
        <v>7</v>
      </c>
      <c r="DI614" s="27" t="s">
        <v>8</v>
      </c>
      <c r="FX614" s="27" t="s">
        <v>7</v>
      </c>
      <c r="FY614" s="27" t="s">
        <v>8</v>
      </c>
      <c r="FZ614" s="27" t="s">
        <v>7</v>
      </c>
    </row>
    <row r="615" spans="1:183" x14ac:dyDescent="0.25">
      <c r="A615" s="7">
        <v>0.57437455289470052</v>
      </c>
      <c r="B615"/>
      <c r="C615"/>
      <c r="D615"/>
      <c r="E615"/>
      <c r="F615" s="27" t="s">
        <v>7</v>
      </c>
      <c r="U615" s="27" t="s">
        <v>8</v>
      </c>
      <c r="V615" s="27" t="s">
        <v>7</v>
      </c>
      <c r="W615" s="27" t="s">
        <v>8</v>
      </c>
      <c r="X615" s="27" t="s">
        <v>7</v>
      </c>
      <c r="AA615" s="27" t="s">
        <v>8</v>
      </c>
      <c r="AQ615" s="27" t="s">
        <v>8</v>
      </c>
      <c r="AR615" s="27" t="s">
        <v>7</v>
      </c>
      <c r="AS615" s="27" t="s">
        <v>8</v>
      </c>
      <c r="AT615" s="27" t="s">
        <v>7</v>
      </c>
      <c r="DA615" s="27" t="s">
        <v>8</v>
      </c>
      <c r="DF615" s="27" t="s">
        <v>7</v>
      </c>
      <c r="DG615" s="27" t="s">
        <v>8</v>
      </c>
      <c r="DH615" s="27" t="s">
        <v>7</v>
      </c>
      <c r="DI615" s="27" t="s">
        <v>8</v>
      </c>
      <c r="FX615" s="27" t="s">
        <v>7</v>
      </c>
      <c r="FY615" s="27" t="s">
        <v>8</v>
      </c>
    </row>
    <row r="616" spans="1:183" x14ac:dyDescent="0.25">
      <c r="A616" s="7">
        <v>0.56311230675951029</v>
      </c>
      <c r="B616"/>
      <c r="C616"/>
      <c r="D616"/>
      <c r="E616"/>
      <c r="F616" s="27" t="s">
        <v>7</v>
      </c>
      <c r="U616" s="27" t="s">
        <v>8</v>
      </c>
      <c r="V616" s="27" t="s">
        <v>7</v>
      </c>
      <c r="W616" s="27" t="s">
        <v>8</v>
      </c>
      <c r="X616" s="27" t="s">
        <v>7</v>
      </c>
      <c r="AA616" s="27" t="s">
        <v>8</v>
      </c>
      <c r="AB616" s="27" t="s">
        <v>7</v>
      </c>
      <c r="AQ616" s="27" t="s">
        <v>8</v>
      </c>
      <c r="AR616" s="27" t="s">
        <v>7</v>
      </c>
      <c r="AT616" s="27" t="s">
        <v>7</v>
      </c>
      <c r="CY616" s="27" t="s">
        <v>8</v>
      </c>
      <c r="DA616" s="27" t="s">
        <v>8</v>
      </c>
      <c r="DF616" s="27" t="s">
        <v>7</v>
      </c>
      <c r="DG616" s="27" t="s">
        <v>8</v>
      </c>
      <c r="DH616" s="27" t="s">
        <v>7</v>
      </c>
      <c r="DI616" s="27" t="s">
        <v>8</v>
      </c>
      <c r="FX616" s="27" t="s">
        <v>7</v>
      </c>
      <c r="FY616" s="27" t="s">
        <v>8</v>
      </c>
    </row>
    <row r="617" spans="1:183" x14ac:dyDescent="0.25">
      <c r="A617" s="7">
        <v>0.55207088897991208</v>
      </c>
      <c r="B617"/>
      <c r="C617"/>
      <c r="D617"/>
      <c r="E617"/>
      <c r="F617" s="27" t="s">
        <v>7</v>
      </c>
      <c r="U617" s="27" t="s">
        <v>8</v>
      </c>
      <c r="V617" s="27" t="s">
        <v>7</v>
      </c>
      <c r="W617" s="27" t="s">
        <v>8</v>
      </c>
      <c r="X617" s="27" t="s">
        <v>7</v>
      </c>
      <c r="Y617" s="27" t="s">
        <v>8</v>
      </c>
      <c r="AA617" s="27" t="s">
        <v>8</v>
      </c>
      <c r="AB617" s="27" t="s">
        <v>7</v>
      </c>
      <c r="AQ617" s="27" t="s">
        <v>8</v>
      </c>
      <c r="AT617" s="27" t="s">
        <v>7</v>
      </c>
      <c r="CY617" s="27" t="s">
        <v>8</v>
      </c>
      <c r="CZ617" s="27" t="s">
        <v>7</v>
      </c>
      <c r="DA617" s="27" t="s">
        <v>8</v>
      </c>
      <c r="DF617" s="27" t="s">
        <v>7</v>
      </c>
      <c r="DG617" s="27" t="s">
        <v>8</v>
      </c>
      <c r="DH617" s="27" t="s">
        <v>7</v>
      </c>
      <c r="DI617" s="27" t="s">
        <v>8</v>
      </c>
      <c r="FX617" s="27" t="s">
        <v>7</v>
      </c>
      <c r="FY617" s="27" t="s">
        <v>8</v>
      </c>
    </row>
    <row r="618" spans="1:183" x14ac:dyDescent="0.25">
      <c r="A618" s="7">
        <v>0.54124596958814908</v>
      </c>
      <c r="B618"/>
      <c r="C618"/>
      <c r="D618"/>
      <c r="E618"/>
      <c r="F618" s="27" t="s">
        <v>7</v>
      </c>
      <c r="U618" s="27" t="s">
        <v>8</v>
      </c>
      <c r="V618" s="27" t="s">
        <v>7</v>
      </c>
      <c r="W618" s="27" t="s">
        <v>8</v>
      </c>
      <c r="X618" s="27" t="s">
        <v>7</v>
      </c>
      <c r="Y618" s="27" t="s">
        <v>8</v>
      </c>
      <c r="Z618" s="27" t="s">
        <v>7</v>
      </c>
      <c r="AA618" s="27" t="s">
        <v>8</v>
      </c>
      <c r="AB618" s="27" t="s">
        <v>7</v>
      </c>
      <c r="AQ618" s="27" t="s">
        <v>8</v>
      </c>
      <c r="AT618" s="27" t="s">
        <v>7</v>
      </c>
      <c r="CY618" s="27" t="s">
        <v>8</v>
      </c>
      <c r="CZ618" s="27" t="s">
        <v>7</v>
      </c>
      <c r="DA618" s="27" t="s">
        <v>8</v>
      </c>
      <c r="DF618" s="27" t="s">
        <v>7</v>
      </c>
      <c r="DG618" s="27" t="s">
        <v>8</v>
      </c>
      <c r="DH618" s="27" t="s">
        <v>7</v>
      </c>
      <c r="FX618" s="27" t="s">
        <v>7</v>
      </c>
      <c r="FY618" s="27" t="s">
        <v>8</v>
      </c>
    </row>
    <row r="619" spans="1:183" x14ac:dyDescent="0.25">
      <c r="A619" s="7">
        <v>0.53063330351779314</v>
      </c>
      <c r="B619"/>
      <c r="C619"/>
      <c r="D619"/>
      <c r="E619"/>
      <c r="F619" s="27" t="s">
        <v>7</v>
      </c>
      <c r="U619" s="27" t="s">
        <v>8</v>
      </c>
      <c r="V619" s="27" t="s">
        <v>7</v>
      </c>
      <c r="W619" s="27" t="s">
        <v>8</v>
      </c>
      <c r="X619" s="27" t="s">
        <v>7</v>
      </c>
      <c r="Y619" s="27" t="s">
        <v>8</v>
      </c>
      <c r="Z619" s="27" t="s">
        <v>7</v>
      </c>
      <c r="AA619" s="27" t="s">
        <v>8</v>
      </c>
      <c r="AB619" s="27" t="s">
        <v>7</v>
      </c>
      <c r="AI619" s="27" t="s">
        <v>8</v>
      </c>
      <c r="AQ619" s="27" t="s">
        <v>8</v>
      </c>
      <c r="AT619" s="27" t="s">
        <v>7</v>
      </c>
      <c r="CY619" s="27" t="s">
        <v>8</v>
      </c>
      <c r="CZ619" s="27" t="s">
        <v>7</v>
      </c>
      <c r="DA619" s="27" t="s">
        <v>8</v>
      </c>
      <c r="DF619" s="27" t="s">
        <v>7</v>
      </c>
      <c r="DG619" s="27" t="s">
        <v>8</v>
      </c>
      <c r="FX619" s="27" t="s">
        <v>7</v>
      </c>
      <c r="FY619" s="27" t="s">
        <v>8</v>
      </c>
    </row>
    <row r="620" spans="1:183" x14ac:dyDescent="0.25">
      <c r="A620" s="7">
        <v>0.52022872893901284</v>
      </c>
      <c r="B620"/>
      <c r="C620"/>
      <c r="D620"/>
      <c r="E620"/>
      <c r="F620" s="27" t="s">
        <v>7</v>
      </c>
      <c r="U620" s="27" t="s">
        <v>8</v>
      </c>
      <c r="V620" s="27" t="s">
        <v>7</v>
      </c>
      <c r="W620" s="27" t="s">
        <v>8</v>
      </c>
      <c r="X620" s="27" t="s">
        <v>7</v>
      </c>
      <c r="Y620" s="27" t="s">
        <v>8</v>
      </c>
      <c r="Z620" s="27" t="s">
        <v>7</v>
      </c>
      <c r="AA620" s="27" t="s">
        <v>8</v>
      </c>
      <c r="AB620" s="27" t="s">
        <v>7</v>
      </c>
      <c r="AI620" s="27" t="s">
        <v>8</v>
      </c>
      <c r="AJ620" s="27" t="s">
        <v>7</v>
      </c>
      <c r="AQ620" s="27" t="s">
        <v>8</v>
      </c>
      <c r="AT620" s="27" t="s">
        <v>7</v>
      </c>
      <c r="CY620" s="27" t="s">
        <v>8</v>
      </c>
      <c r="CZ620" s="27" t="s">
        <v>7</v>
      </c>
      <c r="DA620" s="27" t="s">
        <v>8</v>
      </c>
      <c r="DF620" s="27" t="s">
        <v>7</v>
      </c>
      <c r="DG620" s="27" t="s">
        <v>8</v>
      </c>
      <c r="FX620" s="27" t="s">
        <v>7</v>
      </c>
      <c r="FY620" s="27" t="s">
        <v>8</v>
      </c>
    </row>
    <row r="621" spans="1:183" x14ac:dyDescent="0.25">
      <c r="A621" s="7">
        <v>0.51002816562648323</v>
      </c>
      <c r="B621"/>
      <c r="C621"/>
      <c r="D621"/>
      <c r="E621"/>
      <c r="F621" s="27" t="s">
        <v>7</v>
      </c>
      <c r="U621" s="27" t="s">
        <v>8</v>
      </c>
      <c r="V621" s="27" t="s">
        <v>7</v>
      </c>
      <c r="W621" s="27" t="s">
        <v>8</v>
      </c>
      <c r="X621" s="27" t="s">
        <v>7</v>
      </c>
      <c r="Y621" s="27" t="s">
        <v>8</v>
      </c>
      <c r="Z621" s="27" t="s">
        <v>7</v>
      </c>
      <c r="AA621" s="27" t="s">
        <v>8</v>
      </c>
      <c r="AB621" s="27" t="s">
        <v>7</v>
      </c>
      <c r="AI621" s="27" t="s">
        <v>8</v>
      </c>
      <c r="AJ621" s="27" t="s">
        <v>7</v>
      </c>
      <c r="AQ621" s="27" t="s">
        <v>8</v>
      </c>
      <c r="AT621" s="27" t="s">
        <v>7</v>
      </c>
      <c r="CY621" s="27" t="s">
        <v>8</v>
      </c>
      <c r="CZ621" s="27" t="s">
        <v>7</v>
      </c>
      <c r="DA621" s="27" t="s">
        <v>8</v>
      </c>
      <c r="DF621" s="27" t="s">
        <v>7</v>
      </c>
      <c r="DG621" s="27" t="s">
        <v>8</v>
      </c>
      <c r="FX621" s="27" t="s">
        <v>7</v>
      </c>
    </row>
    <row r="622" spans="1:183" x14ac:dyDescent="0.25">
      <c r="A622" s="7">
        <v>0.50002761335929735</v>
      </c>
      <c r="B622"/>
      <c r="C622"/>
      <c r="D622"/>
      <c r="E622"/>
      <c r="F622" s="27" t="s">
        <v>7</v>
      </c>
      <c r="U622" s="27" t="s">
        <v>8</v>
      </c>
      <c r="V622" s="27" t="s">
        <v>7</v>
      </c>
      <c r="W622" s="27" t="s">
        <v>8</v>
      </c>
      <c r="X622" s="27" t="s">
        <v>7</v>
      </c>
      <c r="Y622" s="27" t="s">
        <v>8</v>
      </c>
      <c r="Z622" s="27" t="s">
        <v>7</v>
      </c>
      <c r="AA622" s="27" t="s">
        <v>8</v>
      </c>
      <c r="AB622" s="27" t="s">
        <v>7</v>
      </c>
      <c r="AI622" s="27" t="s">
        <v>8</v>
      </c>
      <c r="AJ622" s="27" t="s">
        <v>7</v>
      </c>
      <c r="AM622" s="27" t="s">
        <v>8</v>
      </c>
      <c r="AQ622" s="27" t="s">
        <v>8</v>
      </c>
      <c r="AT622" s="27" t="s">
        <v>7</v>
      </c>
      <c r="CY622" s="27" t="s">
        <v>8</v>
      </c>
      <c r="CZ622" s="27" t="s">
        <v>7</v>
      </c>
      <c r="DA622" s="27" t="s">
        <v>8</v>
      </c>
      <c r="DF622" s="27" t="s">
        <v>7</v>
      </c>
      <c r="DG622" s="27" t="s">
        <v>8</v>
      </c>
    </row>
    <row r="623" spans="1:183" x14ac:dyDescent="0.25">
      <c r="A623" s="7">
        <v>0.49022315035225228</v>
      </c>
      <c r="B623"/>
      <c r="C623"/>
      <c r="D623"/>
      <c r="E623"/>
      <c r="F623" s="27" t="s">
        <v>7</v>
      </c>
      <c r="S623" s="27" t="s">
        <v>8</v>
      </c>
      <c r="U623" s="27" t="s">
        <v>8</v>
      </c>
      <c r="V623" s="27" t="s">
        <v>7</v>
      </c>
      <c r="W623" s="27" t="s">
        <v>8</v>
      </c>
      <c r="X623" s="27" t="s">
        <v>7</v>
      </c>
      <c r="Y623" s="27" t="s">
        <v>8</v>
      </c>
      <c r="Z623" s="27" t="s">
        <v>7</v>
      </c>
      <c r="AA623" s="27" t="s">
        <v>8</v>
      </c>
      <c r="AB623" s="27" t="s">
        <v>7</v>
      </c>
      <c r="AI623" s="27" t="s">
        <v>8</v>
      </c>
      <c r="AJ623" s="27" t="s">
        <v>7</v>
      </c>
      <c r="AM623" s="27" t="s">
        <v>8</v>
      </c>
      <c r="AN623" s="27" t="s">
        <v>7</v>
      </c>
      <c r="AQ623" s="27" t="s">
        <v>8</v>
      </c>
      <c r="AT623" s="27" t="s">
        <v>7</v>
      </c>
      <c r="CW623" s="27" t="s">
        <v>8</v>
      </c>
      <c r="CY623" s="27" t="s">
        <v>8</v>
      </c>
      <c r="CZ623" s="27" t="s">
        <v>7</v>
      </c>
      <c r="DA623" s="27" t="s">
        <v>8</v>
      </c>
      <c r="DF623" s="27" t="s">
        <v>7</v>
      </c>
      <c r="DG623" s="27" t="s">
        <v>8</v>
      </c>
    </row>
    <row r="624" spans="1:183" x14ac:dyDescent="0.25">
      <c r="A624" s="7">
        <v>0.48061093171789437</v>
      </c>
      <c r="B624"/>
      <c r="C624"/>
      <c r="D624"/>
      <c r="E624"/>
      <c r="F624" s="27" t="s">
        <v>7</v>
      </c>
      <c r="S624" s="27" t="s">
        <v>8</v>
      </c>
      <c r="T624" s="27" t="s">
        <v>7</v>
      </c>
      <c r="U624" s="27" t="s">
        <v>8</v>
      </c>
      <c r="V624" s="27" t="s">
        <v>7</v>
      </c>
      <c r="W624" s="27" t="s">
        <v>8</v>
      </c>
      <c r="X624" s="27" t="s">
        <v>7</v>
      </c>
      <c r="Y624" s="27" t="s">
        <v>8</v>
      </c>
      <c r="Z624" s="27" t="s">
        <v>7</v>
      </c>
      <c r="AA624" s="27" t="s">
        <v>8</v>
      </c>
      <c r="AB624" s="27" t="s">
        <v>7</v>
      </c>
      <c r="AI624" s="27" t="s">
        <v>8</v>
      </c>
      <c r="AJ624" s="27" t="s">
        <v>7</v>
      </c>
      <c r="AM624" s="27" t="s">
        <v>8</v>
      </c>
      <c r="AN624" s="27" t="s">
        <v>7</v>
      </c>
      <c r="AO624" s="27" t="s">
        <v>8</v>
      </c>
      <c r="AQ624" s="27" t="s">
        <v>8</v>
      </c>
      <c r="AT624" s="27" t="s">
        <v>7</v>
      </c>
      <c r="CM624" s="27" t="s">
        <v>8</v>
      </c>
      <c r="CW624" s="27" t="s">
        <v>8</v>
      </c>
      <c r="CX624" s="27" t="s">
        <v>7</v>
      </c>
      <c r="CY624" s="27" t="s">
        <v>8</v>
      </c>
      <c r="CZ624" s="27" t="s">
        <v>7</v>
      </c>
      <c r="DA624" s="27" t="s">
        <v>8</v>
      </c>
      <c r="DF624" s="27" t="s">
        <v>7</v>
      </c>
      <c r="DG624" s="27" t="s">
        <v>8</v>
      </c>
    </row>
    <row r="625" spans="1:111" x14ac:dyDescent="0.25">
      <c r="A625" s="7">
        <v>0.47118718795871994</v>
      </c>
      <c r="B625"/>
      <c r="C625"/>
      <c r="D625"/>
      <c r="E625"/>
      <c r="F625" s="27" t="s">
        <v>7</v>
      </c>
      <c r="S625" s="27" t="s">
        <v>8</v>
      </c>
      <c r="T625" s="27" t="s">
        <v>7</v>
      </c>
      <c r="U625" s="27" t="s">
        <v>8</v>
      </c>
      <c r="V625" s="27" t="s">
        <v>7</v>
      </c>
      <c r="W625" s="27" t="s">
        <v>8</v>
      </c>
      <c r="X625" s="27" t="s">
        <v>7</v>
      </c>
      <c r="Z625" s="27" t="s">
        <v>7</v>
      </c>
      <c r="AA625" s="27" t="s">
        <v>8</v>
      </c>
      <c r="AB625" s="27" t="s">
        <v>7</v>
      </c>
      <c r="AI625" s="27" t="s">
        <v>8</v>
      </c>
      <c r="AJ625" s="27" t="s">
        <v>7</v>
      </c>
      <c r="AK625" s="27" t="s">
        <v>8</v>
      </c>
      <c r="AM625" s="27" t="s">
        <v>8</v>
      </c>
      <c r="AN625" s="27" t="s">
        <v>7</v>
      </c>
      <c r="AO625" s="27" t="s">
        <v>8</v>
      </c>
      <c r="AP625" s="27" t="s">
        <v>7</v>
      </c>
      <c r="AQ625" s="27" t="s">
        <v>8</v>
      </c>
      <c r="AT625" s="27" t="s">
        <v>7</v>
      </c>
      <c r="CM625" s="27" t="s">
        <v>8</v>
      </c>
      <c r="CN625" s="27" t="s">
        <v>7</v>
      </c>
      <c r="CW625" s="27" t="s">
        <v>8</v>
      </c>
      <c r="CX625" s="27" t="s">
        <v>7</v>
      </c>
      <c r="CY625" s="27" t="s">
        <v>8</v>
      </c>
      <c r="CZ625" s="27" t="s">
        <v>7</v>
      </c>
      <c r="DA625" s="27" t="s">
        <v>8</v>
      </c>
      <c r="DF625" s="27" t="s">
        <v>7</v>
      </c>
      <c r="DG625" s="27" t="s">
        <v>8</v>
      </c>
    </row>
    <row r="626" spans="1:111" x14ac:dyDescent="0.25">
      <c r="A626" s="7">
        <v>0.46194822348894116</v>
      </c>
      <c r="B626"/>
      <c r="C626"/>
      <c r="D626"/>
      <c r="E626"/>
      <c r="F626" s="27" t="s">
        <v>7</v>
      </c>
      <c r="S626" s="27" t="s">
        <v>8</v>
      </c>
      <c r="T626" s="27" t="s">
        <v>7</v>
      </c>
      <c r="U626" s="27" t="s">
        <v>8</v>
      </c>
      <c r="V626" s="27" t="s">
        <v>7</v>
      </c>
      <c r="W626" s="27" t="s">
        <v>8</v>
      </c>
      <c r="Z626" s="27" t="s">
        <v>7</v>
      </c>
      <c r="AA626" s="27" t="s">
        <v>8</v>
      </c>
      <c r="AB626" s="27" t="s">
        <v>7</v>
      </c>
      <c r="AI626" s="27" t="s">
        <v>8</v>
      </c>
      <c r="AJ626" s="27" t="s">
        <v>7</v>
      </c>
      <c r="AK626" s="27" t="s">
        <v>8</v>
      </c>
      <c r="AL626" s="27" t="s">
        <v>7</v>
      </c>
      <c r="AM626" s="27" t="s">
        <v>8</v>
      </c>
      <c r="AN626" s="27" t="s">
        <v>7</v>
      </c>
      <c r="AO626" s="27" t="s">
        <v>8</v>
      </c>
      <c r="AP626" s="27" t="s">
        <v>7</v>
      </c>
      <c r="AQ626" s="27" t="s">
        <v>8</v>
      </c>
      <c r="AT626" s="27" t="s">
        <v>7</v>
      </c>
      <c r="CM626" s="27" t="s">
        <v>8</v>
      </c>
      <c r="CN626" s="27" t="s">
        <v>7</v>
      </c>
      <c r="CQ626" s="27" t="s">
        <v>8</v>
      </c>
      <c r="CU626" s="27" t="s">
        <v>8</v>
      </c>
      <c r="CW626" s="27" t="s">
        <v>8</v>
      </c>
      <c r="CX626" s="27" t="s">
        <v>7</v>
      </c>
      <c r="CY626" s="27" t="s">
        <v>8</v>
      </c>
      <c r="CZ626" s="27" t="s">
        <v>7</v>
      </c>
      <c r="DF626" s="27" t="s">
        <v>7</v>
      </c>
      <c r="DG626" s="27" t="s">
        <v>8</v>
      </c>
    </row>
    <row r="627" spans="1:111" x14ac:dyDescent="0.25">
      <c r="A627" s="7">
        <v>0.45289041518523643</v>
      </c>
      <c r="B627"/>
      <c r="C627"/>
      <c r="D627"/>
      <c r="E627"/>
      <c r="F627" s="27" t="s">
        <v>7</v>
      </c>
      <c r="S627" s="27" t="s">
        <v>8</v>
      </c>
      <c r="T627" s="27" t="s">
        <v>7</v>
      </c>
      <c r="U627" s="27" t="s">
        <v>8</v>
      </c>
      <c r="V627" s="27" t="s">
        <v>7</v>
      </c>
      <c r="W627" s="27" t="s">
        <v>8</v>
      </c>
      <c r="Z627" s="27" t="s">
        <v>7</v>
      </c>
      <c r="AA627" s="27" t="s">
        <v>8</v>
      </c>
      <c r="AB627" s="27" t="s">
        <v>7</v>
      </c>
      <c r="AI627" s="27" t="s">
        <v>8</v>
      </c>
      <c r="AJ627" s="27" t="s">
        <v>7</v>
      </c>
      <c r="AK627" s="27" t="s">
        <v>8</v>
      </c>
      <c r="AL627" s="27" t="s">
        <v>7</v>
      </c>
      <c r="AM627" s="27" t="s">
        <v>8</v>
      </c>
      <c r="AN627" s="27" t="s">
        <v>7</v>
      </c>
      <c r="AO627" s="27" t="s">
        <v>8</v>
      </c>
      <c r="AP627" s="27" t="s">
        <v>7</v>
      </c>
      <c r="AT627" s="27" t="s">
        <v>7</v>
      </c>
      <c r="CM627" s="27" t="s">
        <v>8</v>
      </c>
      <c r="CN627" s="27" t="s">
        <v>7</v>
      </c>
      <c r="CQ627" s="27" t="s">
        <v>8</v>
      </c>
      <c r="CR627" s="27" t="s">
        <v>7</v>
      </c>
      <c r="CU627" s="27" t="s">
        <v>8</v>
      </c>
      <c r="CV627" s="27" t="s">
        <v>7</v>
      </c>
      <c r="CW627" s="27" t="s">
        <v>8</v>
      </c>
      <c r="CX627" s="27" t="s">
        <v>7</v>
      </c>
      <c r="CY627" s="27" t="s">
        <v>8</v>
      </c>
      <c r="DF627" s="27" t="s">
        <v>7</v>
      </c>
    </row>
    <row r="628" spans="1:111" x14ac:dyDescent="0.25">
      <c r="A628" s="7">
        <v>0.44401021096591808</v>
      </c>
      <c r="B628"/>
      <c r="C628"/>
      <c r="D628"/>
      <c r="E628"/>
      <c r="F628" s="27" t="s">
        <v>7</v>
      </c>
      <c r="S628" s="27" t="s">
        <v>8</v>
      </c>
      <c r="T628" s="27" t="s">
        <v>7</v>
      </c>
      <c r="U628" s="27" t="s">
        <v>8</v>
      </c>
      <c r="V628" s="27" t="s">
        <v>7</v>
      </c>
      <c r="W628" s="27" t="s">
        <v>8</v>
      </c>
      <c r="Z628" s="27" t="s">
        <v>7</v>
      </c>
      <c r="AB628" s="27" t="s">
        <v>7</v>
      </c>
      <c r="AI628" s="27" t="s">
        <v>8</v>
      </c>
      <c r="AJ628" s="27" t="s">
        <v>7</v>
      </c>
      <c r="AK628" s="27" t="s">
        <v>8</v>
      </c>
      <c r="AL628" s="27" t="s">
        <v>7</v>
      </c>
      <c r="AN628" s="27" t="s">
        <v>7</v>
      </c>
      <c r="AT628" s="27" t="s">
        <v>7</v>
      </c>
      <c r="AU628" s="27" t="s">
        <v>8</v>
      </c>
      <c r="BQ628" s="27" t="s">
        <v>8</v>
      </c>
      <c r="CM628" s="27" t="s">
        <v>8</v>
      </c>
      <c r="CN628" s="27" t="s">
        <v>7</v>
      </c>
      <c r="CQ628" s="27" t="s">
        <v>8</v>
      </c>
      <c r="CR628" s="27" t="s">
        <v>7</v>
      </c>
      <c r="CU628" s="27" t="s">
        <v>8</v>
      </c>
      <c r="CV628" s="27" t="s">
        <v>7</v>
      </c>
      <c r="CW628" s="27" t="s">
        <v>8</v>
      </c>
      <c r="CX628" s="27" t="s">
        <v>7</v>
      </c>
      <c r="CY628" s="27" t="s">
        <v>8</v>
      </c>
    </row>
    <row r="629" spans="1:111" x14ac:dyDescent="0.25">
      <c r="A629" s="7">
        <v>0.4353041283979589</v>
      </c>
      <c r="B629"/>
      <c r="C629"/>
      <c r="D629"/>
      <c r="E629"/>
      <c r="F629" s="27" t="s">
        <v>7</v>
      </c>
      <c r="S629" s="27" t="s">
        <v>8</v>
      </c>
      <c r="T629" s="27" t="s">
        <v>7</v>
      </c>
      <c r="U629" s="27" t="s">
        <v>8</v>
      </c>
      <c r="V629" s="27" t="s">
        <v>7</v>
      </c>
      <c r="W629" s="27" t="s">
        <v>8</v>
      </c>
      <c r="AB629" s="27" t="s">
        <v>7</v>
      </c>
      <c r="AC629" s="27" t="s">
        <v>8</v>
      </c>
      <c r="AI629" s="27" t="s">
        <v>8</v>
      </c>
      <c r="AJ629" s="27" t="s">
        <v>7</v>
      </c>
      <c r="AK629" s="27" t="s">
        <v>8</v>
      </c>
      <c r="AT629" s="27" t="s">
        <v>7</v>
      </c>
      <c r="AU629" s="27" t="s">
        <v>8</v>
      </c>
      <c r="AV629" s="27" t="s">
        <v>7</v>
      </c>
      <c r="BQ629" s="27" t="s">
        <v>8</v>
      </c>
      <c r="BR629" s="27" t="s">
        <v>7</v>
      </c>
      <c r="CM629" s="27" t="s">
        <v>8</v>
      </c>
      <c r="CN629" s="27" t="s">
        <v>7</v>
      </c>
      <c r="CQ629" s="27" t="s">
        <v>8</v>
      </c>
      <c r="CR629" s="27" t="s">
        <v>7</v>
      </c>
      <c r="CU629" s="27" t="s">
        <v>8</v>
      </c>
      <c r="CV629" s="27" t="s">
        <v>7</v>
      </c>
      <c r="CW629" s="27" t="s">
        <v>8</v>
      </c>
      <c r="CX629" s="27" t="s">
        <v>7</v>
      </c>
      <c r="CY629" s="27" t="s">
        <v>8</v>
      </c>
    </row>
    <row r="630" spans="1:111" x14ac:dyDescent="0.25">
      <c r="A630" s="7">
        <v>0.4267687533313323</v>
      </c>
      <c r="B630"/>
      <c r="C630"/>
      <c r="D630"/>
      <c r="E630"/>
      <c r="F630" s="27" t="s">
        <v>7</v>
      </c>
      <c r="S630" s="27" t="s">
        <v>8</v>
      </c>
      <c r="T630" s="27" t="s">
        <v>7</v>
      </c>
      <c r="U630" s="27" t="s">
        <v>8</v>
      </c>
      <c r="V630" s="27" t="s">
        <v>7</v>
      </c>
      <c r="W630" s="27" t="s">
        <v>8</v>
      </c>
      <c r="AB630" s="27" t="s">
        <v>7</v>
      </c>
      <c r="AC630" s="27" t="s">
        <v>8</v>
      </c>
      <c r="AD630" s="27" t="s">
        <v>7</v>
      </c>
      <c r="AI630" s="27" t="s">
        <v>8</v>
      </c>
      <c r="AJ630" s="27" t="s">
        <v>7</v>
      </c>
      <c r="AT630" s="27" t="s">
        <v>7</v>
      </c>
      <c r="AU630" s="27" t="s">
        <v>8</v>
      </c>
      <c r="AV630" s="27" t="s">
        <v>7</v>
      </c>
      <c r="BQ630" s="27" t="s">
        <v>8</v>
      </c>
      <c r="BR630" s="27" t="s">
        <v>7</v>
      </c>
      <c r="CM630" s="27" t="s">
        <v>8</v>
      </c>
      <c r="CN630" s="27" t="s">
        <v>7</v>
      </c>
      <c r="CQ630" s="27" t="s">
        <v>8</v>
      </c>
      <c r="CR630" s="27" t="s">
        <v>7</v>
      </c>
      <c r="CU630" s="27" t="s">
        <v>8</v>
      </c>
      <c r="CV630" s="27" t="s">
        <v>7</v>
      </c>
      <c r="CW630" s="27" t="s">
        <v>8</v>
      </c>
      <c r="CX630" s="27" t="s">
        <v>7</v>
      </c>
    </row>
    <row r="631" spans="1:111" x14ac:dyDescent="0.25">
      <c r="A631" s="7">
        <v>0.41840073856012971</v>
      </c>
      <c r="B631"/>
      <c r="C631"/>
      <c r="D631"/>
      <c r="E631"/>
      <c r="F631" s="27" t="s">
        <v>7</v>
      </c>
      <c r="S631" s="27" t="s">
        <v>8</v>
      </c>
      <c r="T631" s="27" t="s">
        <v>7</v>
      </c>
      <c r="U631" s="27" t="s">
        <v>8</v>
      </c>
      <c r="V631" s="27" t="s">
        <v>7</v>
      </c>
      <c r="W631" s="27" t="s">
        <v>8</v>
      </c>
      <c r="AB631" s="27" t="s">
        <v>7</v>
      </c>
      <c r="AC631" s="27" t="s">
        <v>8</v>
      </c>
      <c r="AD631" s="27" t="s">
        <v>7</v>
      </c>
      <c r="AI631" s="27" t="s">
        <v>8</v>
      </c>
      <c r="AT631" s="27" t="s">
        <v>7</v>
      </c>
      <c r="AV631" s="27" t="s">
        <v>7</v>
      </c>
      <c r="BQ631" s="27" t="s">
        <v>8</v>
      </c>
      <c r="BR631" s="27" t="s">
        <v>7</v>
      </c>
      <c r="CM631" s="27" t="s">
        <v>8</v>
      </c>
      <c r="CN631" s="27" t="s">
        <v>7</v>
      </c>
      <c r="CQ631" s="27" t="s">
        <v>8</v>
      </c>
      <c r="CR631" s="27" t="s">
        <v>7</v>
      </c>
      <c r="CU631" s="27" t="s">
        <v>8</v>
      </c>
      <c r="CV631" s="27" t="s">
        <v>7</v>
      </c>
    </row>
    <row r="632" spans="1:111" x14ac:dyDescent="0.25">
      <c r="A632" s="7">
        <v>0.41019680250993112</v>
      </c>
      <c r="B632"/>
      <c r="C632"/>
      <c r="D632"/>
      <c r="E632"/>
      <c r="F632" s="27" t="s">
        <v>7</v>
      </c>
      <c r="S632" s="27" t="s">
        <v>8</v>
      </c>
      <c r="T632" s="27" t="s">
        <v>7</v>
      </c>
      <c r="U632" s="27" t="s">
        <v>8</v>
      </c>
      <c r="V632" s="27" t="s">
        <v>7</v>
      </c>
      <c r="W632" s="27" t="s">
        <v>8</v>
      </c>
      <c r="AB632" s="27" t="s">
        <v>7</v>
      </c>
      <c r="AC632" s="27" t="s">
        <v>8</v>
      </c>
      <c r="AD632" s="27" t="s">
        <v>7</v>
      </c>
      <c r="AI632" s="27" t="s">
        <v>8</v>
      </c>
      <c r="AV632" s="27" t="s">
        <v>7</v>
      </c>
      <c r="AY632" s="27" t="s">
        <v>8</v>
      </c>
      <c r="BI632" s="27" t="s">
        <v>8</v>
      </c>
      <c r="BQ632" s="27" t="s">
        <v>8</v>
      </c>
      <c r="BR632" s="27" t="s">
        <v>7</v>
      </c>
      <c r="CM632" s="27" t="s">
        <v>8</v>
      </c>
      <c r="CN632" s="27" t="s">
        <v>7</v>
      </c>
      <c r="CQ632" s="27" t="s">
        <v>8</v>
      </c>
      <c r="CR632" s="27" t="s">
        <v>7</v>
      </c>
      <c r="CS632" s="27" t="s">
        <v>8</v>
      </c>
      <c r="CU632" s="27" t="s">
        <v>8</v>
      </c>
    </row>
    <row r="633" spans="1:111" x14ac:dyDescent="0.25">
      <c r="A633" s="7">
        <v>0.40215372795091286</v>
      </c>
      <c r="B633"/>
      <c r="C633"/>
      <c r="D633"/>
      <c r="E633"/>
      <c r="F633" s="27" t="s">
        <v>7</v>
      </c>
      <c r="S633" s="27" t="s">
        <v>8</v>
      </c>
      <c r="T633" s="27" t="s">
        <v>7</v>
      </c>
      <c r="U633" s="27" t="s">
        <v>8</v>
      </c>
      <c r="V633" s="27" t="s">
        <v>7</v>
      </c>
      <c r="W633" s="27" t="s">
        <v>8</v>
      </c>
      <c r="AB633" s="27" t="s">
        <v>7</v>
      </c>
      <c r="AD633" s="27" t="s">
        <v>7</v>
      </c>
      <c r="AG633" s="27" t="s">
        <v>8</v>
      </c>
      <c r="AI633" s="27" t="s">
        <v>8</v>
      </c>
      <c r="AV633" s="27" t="s">
        <v>7</v>
      </c>
      <c r="AW633" s="27" t="s">
        <v>8</v>
      </c>
      <c r="AY633" s="27" t="s">
        <v>8</v>
      </c>
      <c r="AZ633" s="27" t="s">
        <v>7</v>
      </c>
      <c r="BI633" s="27" t="s">
        <v>8</v>
      </c>
      <c r="BJ633" s="27" t="s">
        <v>7</v>
      </c>
      <c r="BQ633" s="27" t="s">
        <v>8</v>
      </c>
      <c r="BR633" s="27" t="s">
        <v>7</v>
      </c>
      <c r="BS633" s="27" t="s">
        <v>8</v>
      </c>
      <c r="CA633" s="27" t="s">
        <v>8</v>
      </c>
      <c r="CM633" s="27" t="s">
        <v>8</v>
      </c>
      <c r="CN633" s="27" t="s">
        <v>7</v>
      </c>
      <c r="CQ633" s="27" t="s">
        <v>8</v>
      </c>
      <c r="CR633" s="27" t="s">
        <v>7</v>
      </c>
      <c r="CS633" s="27" t="s">
        <v>8</v>
      </c>
      <c r="CT633" s="27" t="s">
        <v>7</v>
      </c>
      <c r="CU633" s="27" t="s">
        <v>8</v>
      </c>
    </row>
    <row r="634" spans="1:111" x14ac:dyDescent="0.25">
      <c r="A634" s="7">
        <v>0.39426836073618904</v>
      </c>
      <c r="B634"/>
      <c r="C634"/>
      <c r="D634"/>
      <c r="E634"/>
      <c r="F634" s="27" t="s">
        <v>7</v>
      </c>
      <c r="S634" s="27" t="s">
        <v>8</v>
      </c>
      <c r="T634" s="27" t="s">
        <v>7</v>
      </c>
      <c r="U634" s="27" t="s">
        <v>8</v>
      </c>
      <c r="V634" s="27" t="s">
        <v>7</v>
      </c>
      <c r="W634" s="27" t="s">
        <v>8</v>
      </c>
      <c r="AD634" s="27" t="s">
        <v>7</v>
      </c>
      <c r="AG634" s="27" t="s">
        <v>8</v>
      </c>
      <c r="AH634" s="27" t="s">
        <v>7</v>
      </c>
      <c r="AI634" s="27" t="s">
        <v>8</v>
      </c>
      <c r="AV634" s="27" t="s">
        <v>7</v>
      </c>
      <c r="AW634" s="27" t="s">
        <v>8</v>
      </c>
      <c r="AX634" s="27" t="s">
        <v>7</v>
      </c>
      <c r="AY634" s="27" t="s">
        <v>8</v>
      </c>
      <c r="AZ634" s="27" t="s">
        <v>7</v>
      </c>
      <c r="BI634" s="27" t="s">
        <v>8</v>
      </c>
      <c r="BJ634" s="27" t="s">
        <v>7</v>
      </c>
      <c r="BQ634" s="27" t="s">
        <v>8</v>
      </c>
      <c r="BR634" s="27" t="s">
        <v>7</v>
      </c>
      <c r="BS634" s="27" t="s">
        <v>8</v>
      </c>
      <c r="BT634" s="27" t="s">
        <v>7</v>
      </c>
      <c r="CA634" s="27" t="s">
        <v>8</v>
      </c>
      <c r="CB634" s="27" t="s">
        <v>7</v>
      </c>
      <c r="CM634" s="27" t="s">
        <v>8</v>
      </c>
      <c r="CN634" s="27" t="s">
        <v>7</v>
      </c>
      <c r="CQ634" s="27" t="s">
        <v>8</v>
      </c>
      <c r="CR634" s="27" t="s">
        <v>7</v>
      </c>
      <c r="CS634" s="27" t="s">
        <v>8</v>
      </c>
      <c r="CT634" s="27" t="s">
        <v>7</v>
      </c>
      <c r="CU634" s="27" t="s">
        <v>8</v>
      </c>
    </row>
    <row r="635" spans="1:111" x14ac:dyDescent="0.25">
      <c r="A635" s="7">
        <v>0.38653760856489122</v>
      </c>
      <c r="B635"/>
      <c r="C635"/>
      <c r="D635"/>
      <c r="E635"/>
      <c r="F635" s="27" t="s">
        <v>7</v>
      </c>
      <c r="S635" s="27" t="s">
        <v>8</v>
      </c>
      <c r="T635" s="27" t="s">
        <v>7</v>
      </c>
      <c r="U635" s="27" t="s">
        <v>8</v>
      </c>
      <c r="V635" s="27" t="s">
        <v>7</v>
      </c>
      <c r="AD635" s="27" t="s">
        <v>7</v>
      </c>
      <c r="AG635" s="27" t="s">
        <v>8</v>
      </c>
      <c r="AH635" s="27" t="s">
        <v>7</v>
      </c>
      <c r="AI635" s="27" t="s">
        <v>8</v>
      </c>
      <c r="AV635" s="27" t="s">
        <v>7</v>
      </c>
      <c r="AW635" s="27" t="s">
        <v>8</v>
      </c>
      <c r="AX635" s="27" t="s">
        <v>7</v>
      </c>
      <c r="AY635" s="27" t="s">
        <v>8</v>
      </c>
      <c r="AZ635" s="27" t="s">
        <v>7</v>
      </c>
      <c r="BE635" s="27" t="s">
        <v>8</v>
      </c>
      <c r="BI635" s="27" t="s">
        <v>8</v>
      </c>
      <c r="BJ635" s="27" t="s">
        <v>7</v>
      </c>
      <c r="BQ635" s="27" t="s">
        <v>8</v>
      </c>
      <c r="BR635" s="27" t="s">
        <v>7</v>
      </c>
      <c r="BS635" s="27" t="s">
        <v>8</v>
      </c>
      <c r="BT635" s="27" t="s">
        <v>7</v>
      </c>
      <c r="CA635" s="27" t="s">
        <v>8</v>
      </c>
      <c r="CB635" s="27" t="s">
        <v>7</v>
      </c>
      <c r="CM635" s="27" t="s">
        <v>8</v>
      </c>
      <c r="CN635" s="27" t="s">
        <v>7</v>
      </c>
      <c r="CQ635" s="27" t="s">
        <v>8</v>
      </c>
      <c r="CR635" s="27" t="s">
        <v>7</v>
      </c>
      <c r="CS635" s="27" t="s">
        <v>8</v>
      </c>
      <c r="CT635" s="27" t="s">
        <v>7</v>
      </c>
      <c r="CU635" s="27" t="s">
        <v>8</v>
      </c>
    </row>
    <row r="636" spans="1:111" x14ac:dyDescent="0.25">
      <c r="A636" s="7">
        <v>0.37895843976950117</v>
      </c>
      <c r="B636"/>
      <c r="C636"/>
      <c r="D636"/>
      <c r="E636"/>
      <c r="F636" s="27" t="s">
        <v>7</v>
      </c>
      <c r="S636" s="27" t="s">
        <v>8</v>
      </c>
      <c r="T636" s="27" t="s">
        <v>7</v>
      </c>
      <c r="U636" s="27" t="s">
        <v>8</v>
      </c>
      <c r="AD636" s="27" t="s">
        <v>7</v>
      </c>
      <c r="AG636" s="27" t="s">
        <v>8</v>
      </c>
      <c r="AH636" s="27" t="s">
        <v>7</v>
      </c>
      <c r="AI636" s="27" t="s">
        <v>8</v>
      </c>
      <c r="AV636" s="27" t="s">
        <v>7</v>
      </c>
      <c r="AW636" s="27" t="s">
        <v>8</v>
      </c>
      <c r="AX636" s="27" t="s">
        <v>7</v>
      </c>
      <c r="AY636" s="27" t="s">
        <v>8</v>
      </c>
      <c r="AZ636" s="27" t="s">
        <v>7</v>
      </c>
      <c r="BE636" s="27" t="s">
        <v>8</v>
      </c>
      <c r="BF636" s="27" t="s">
        <v>7</v>
      </c>
      <c r="BI636" s="27" t="s">
        <v>8</v>
      </c>
      <c r="BJ636" s="27" t="s">
        <v>7</v>
      </c>
      <c r="BQ636" s="27" t="s">
        <v>8</v>
      </c>
      <c r="BR636" s="27" t="s">
        <v>7</v>
      </c>
      <c r="BS636" s="27" t="s">
        <v>8</v>
      </c>
      <c r="BT636" s="27" t="s">
        <v>7</v>
      </c>
      <c r="CA636" s="27" t="s">
        <v>8</v>
      </c>
      <c r="CB636" s="27" t="s">
        <v>7</v>
      </c>
      <c r="CM636" s="27" t="s">
        <v>8</v>
      </c>
      <c r="CN636" s="27" t="s">
        <v>7</v>
      </c>
      <c r="CO636" s="27" t="s">
        <v>8</v>
      </c>
      <c r="CQ636" s="27" t="s">
        <v>8</v>
      </c>
      <c r="CR636" s="27" t="s">
        <v>7</v>
      </c>
      <c r="CS636" s="27" t="s">
        <v>8</v>
      </c>
      <c r="CT636" s="27" t="s">
        <v>7</v>
      </c>
      <c r="CU636" s="27" t="s">
        <v>8</v>
      </c>
    </row>
    <row r="637" spans="1:111" x14ac:dyDescent="0.25">
      <c r="A637" s="7">
        <v>0.37152788212696197</v>
      </c>
      <c r="B637"/>
      <c r="C637"/>
      <c r="D637"/>
      <c r="E637"/>
      <c r="F637" s="27" t="s">
        <v>7</v>
      </c>
      <c r="S637" s="27" t="s">
        <v>8</v>
      </c>
      <c r="T637" s="27" t="s">
        <v>7</v>
      </c>
      <c r="U637" s="27" t="s">
        <v>8</v>
      </c>
      <c r="AD637" s="27" t="s">
        <v>7</v>
      </c>
      <c r="AG637" s="27" t="s">
        <v>8</v>
      </c>
      <c r="AH637" s="27" t="s">
        <v>7</v>
      </c>
      <c r="AV637" s="27" t="s">
        <v>7</v>
      </c>
      <c r="AX637" s="27" t="s">
        <v>7</v>
      </c>
      <c r="AZ637" s="27" t="s">
        <v>7</v>
      </c>
      <c r="BE637" s="27" t="s">
        <v>8</v>
      </c>
      <c r="BF637" s="27" t="s">
        <v>7</v>
      </c>
      <c r="BI637" s="27" t="s">
        <v>8</v>
      </c>
      <c r="BJ637" s="27" t="s">
        <v>7</v>
      </c>
      <c r="BQ637" s="27" t="s">
        <v>8</v>
      </c>
      <c r="BR637" s="27" t="s">
        <v>7</v>
      </c>
      <c r="BS637" s="27" t="s">
        <v>8</v>
      </c>
      <c r="BT637" s="27" t="s">
        <v>7</v>
      </c>
      <c r="BU637" s="27" t="s">
        <v>8</v>
      </c>
      <c r="BY637" s="27" t="s">
        <v>8</v>
      </c>
      <c r="CA637" s="27" t="s">
        <v>8</v>
      </c>
      <c r="CB637" s="27" t="s">
        <v>7</v>
      </c>
      <c r="CM637" s="27" t="s">
        <v>8</v>
      </c>
      <c r="CN637" s="27" t="s">
        <v>7</v>
      </c>
      <c r="CO637" s="27" t="s">
        <v>8</v>
      </c>
      <c r="CP637" s="27" t="s">
        <v>7</v>
      </c>
      <c r="CQ637" s="27" t="s">
        <v>8</v>
      </c>
      <c r="CR637" s="27" t="s">
        <v>7</v>
      </c>
      <c r="CS637" s="27" t="s">
        <v>8</v>
      </c>
      <c r="CT637" s="27" t="s">
        <v>7</v>
      </c>
      <c r="CU637" s="27" t="s">
        <v>8</v>
      </c>
    </row>
    <row r="638" spans="1:111" x14ac:dyDescent="0.25">
      <c r="A638" s="7">
        <v>0.36424302169310002</v>
      </c>
      <c r="B638"/>
      <c r="C638"/>
      <c r="D638"/>
      <c r="E638"/>
      <c r="F638" s="27" t="s">
        <v>7</v>
      </c>
      <c r="M638" s="27" t="s">
        <v>8</v>
      </c>
      <c r="S638" s="27" t="s">
        <v>8</v>
      </c>
      <c r="T638" s="27" t="s">
        <v>7</v>
      </c>
      <c r="U638" s="27" t="s">
        <v>8</v>
      </c>
      <c r="AD638" s="27" t="s">
        <v>7</v>
      </c>
      <c r="AG638" s="27" t="s">
        <v>8</v>
      </c>
      <c r="AZ638" s="27" t="s">
        <v>7</v>
      </c>
      <c r="BE638" s="27" t="s">
        <v>8</v>
      </c>
      <c r="BF638" s="27" t="s">
        <v>7</v>
      </c>
      <c r="BG638" s="27" t="s">
        <v>8</v>
      </c>
      <c r="BI638" s="27" t="s">
        <v>8</v>
      </c>
      <c r="BJ638" s="27" t="s">
        <v>7</v>
      </c>
      <c r="BK638" s="27" t="s">
        <v>8</v>
      </c>
      <c r="BO638" s="27" t="s">
        <v>8</v>
      </c>
      <c r="BQ638" s="27" t="s">
        <v>8</v>
      </c>
      <c r="BR638" s="27" t="s">
        <v>7</v>
      </c>
      <c r="BS638" s="27" t="s">
        <v>8</v>
      </c>
      <c r="BT638" s="27" t="s">
        <v>7</v>
      </c>
      <c r="BU638" s="27" t="s">
        <v>8</v>
      </c>
      <c r="BV638" s="27" t="s">
        <v>7</v>
      </c>
      <c r="BY638" s="27" t="s">
        <v>8</v>
      </c>
      <c r="BZ638" s="27" t="s">
        <v>7</v>
      </c>
      <c r="CA638" s="27" t="s">
        <v>8</v>
      </c>
      <c r="CB638" s="27" t="s">
        <v>7</v>
      </c>
      <c r="CM638" s="27" t="s">
        <v>8</v>
      </c>
      <c r="CN638" s="27" t="s">
        <v>7</v>
      </c>
      <c r="CO638" s="27" t="s">
        <v>8</v>
      </c>
      <c r="CP638" s="27" t="s">
        <v>7</v>
      </c>
      <c r="CQ638" s="27" t="s">
        <v>8</v>
      </c>
      <c r="CR638" s="27" t="s">
        <v>7</v>
      </c>
      <c r="CS638" s="27" t="s">
        <v>8</v>
      </c>
      <c r="CT638" s="27" t="s">
        <v>7</v>
      </c>
      <c r="CU638" s="27" t="s">
        <v>8</v>
      </c>
    </row>
    <row r="639" spans="1:111" x14ac:dyDescent="0.25">
      <c r="A639" s="7">
        <v>0.35710100165990194</v>
      </c>
      <c r="B639"/>
      <c r="C639"/>
      <c r="D639"/>
      <c r="E639"/>
      <c r="F639" s="27" t="s">
        <v>7</v>
      </c>
      <c r="M639" s="27" t="s">
        <v>8</v>
      </c>
      <c r="N639" s="27" t="s">
        <v>7</v>
      </c>
      <c r="S639" s="27" t="s">
        <v>8</v>
      </c>
      <c r="T639" s="27" t="s">
        <v>7</v>
      </c>
      <c r="U639" s="27" t="s">
        <v>8</v>
      </c>
      <c r="AD639" s="27" t="s">
        <v>7</v>
      </c>
      <c r="AG639" s="27" t="s">
        <v>8</v>
      </c>
      <c r="AZ639" s="27" t="s">
        <v>7</v>
      </c>
      <c r="BE639" s="27" t="s">
        <v>8</v>
      </c>
      <c r="BF639" s="27" t="s">
        <v>7</v>
      </c>
      <c r="BG639" s="27" t="s">
        <v>8</v>
      </c>
      <c r="BH639" s="27" t="s">
        <v>7</v>
      </c>
      <c r="BI639" s="27" t="s">
        <v>8</v>
      </c>
      <c r="BJ639" s="27" t="s">
        <v>7</v>
      </c>
      <c r="BK639" s="27" t="s">
        <v>8</v>
      </c>
      <c r="BL639" s="27" t="s">
        <v>7</v>
      </c>
      <c r="BM639" s="27" t="s">
        <v>8</v>
      </c>
      <c r="BO639" s="27" t="s">
        <v>8</v>
      </c>
      <c r="BP639" s="27" t="s">
        <v>7</v>
      </c>
      <c r="BQ639" s="27" t="s">
        <v>8</v>
      </c>
      <c r="BR639" s="27" t="s">
        <v>7</v>
      </c>
      <c r="BS639" s="27" t="s">
        <v>8</v>
      </c>
      <c r="BT639" s="27" t="s">
        <v>7</v>
      </c>
      <c r="BU639" s="27" t="s">
        <v>8</v>
      </c>
      <c r="BV639" s="27" t="s">
        <v>7</v>
      </c>
      <c r="BW639" s="27" t="s">
        <v>8</v>
      </c>
      <c r="BY639" s="27" t="s">
        <v>8</v>
      </c>
      <c r="BZ639" s="27" t="s">
        <v>7</v>
      </c>
      <c r="CA639" s="27" t="s">
        <v>8</v>
      </c>
      <c r="CB639" s="27" t="s">
        <v>7</v>
      </c>
      <c r="CM639" s="27" t="s">
        <v>8</v>
      </c>
      <c r="CN639" s="27" t="s">
        <v>7</v>
      </c>
      <c r="CO639" s="27" t="s">
        <v>8</v>
      </c>
      <c r="CP639" s="27" t="s">
        <v>7</v>
      </c>
      <c r="CQ639" s="27" t="s">
        <v>8</v>
      </c>
      <c r="CR639" s="27" t="s">
        <v>7</v>
      </c>
      <c r="CS639" s="27" t="s">
        <v>8</v>
      </c>
      <c r="CT639" s="27" t="s">
        <v>7</v>
      </c>
    </row>
    <row r="640" spans="1:111" x14ac:dyDescent="0.25">
      <c r="A640" s="7">
        <v>0.35009902123519804</v>
      </c>
      <c r="B640"/>
      <c r="C640"/>
      <c r="D640"/>
      <c r="E640"/>
      <c r="F640" s="27" t="s">
        <v>7</v>
      </c>
      <c r="M640" s="27" t="s">
        <v>8</v>
      </c>
      <c r="N640" s="27" t="s">
        <v>7</v>
      </c>
      <c r="S640" s="27" t="s">
        <v>8</v>
      </c>
      <c r="T640" s="27" t="s">
        <v>7</v>
      </c>
      <c r="U640" s="27" t="s">
        <v>8</v>
      </c>
      <c r="AD640" s="27" t="s">
        <v>7</v>
      </c>
      <c r="AG640" s="27" t="s">
        <v>8</v>
      </c>
      <c r="AZ640" s="27" t="s">
        <v>7</v>
      </c>
      <c r="BE640" s="27" t="s">
        <v>8</v>
      </c>
      <c r="BF640" s="27" t="s">
        <v>7</v>
      </c>
      <c r="BG640" s="27" t="s">
        <v>8</v>
      </c>
      <c r="BH640" s="27" t="s">
        <v>7</v>
      </c>
      <c r="BI640" s="27" t="s">
        <v>8</v>
      </c>
      <c r="BJ640" s="27" t="s">
        <v>7</v>
      </c>
      <c r="BK640" s="27" t="s">
        <v>8</v>
      </c>
      <c r="BL640" s="27" t="s">
        <v>7</v>
      </c>
      <c r="BM640" s="27" t="s">
        <v>8</v>
      </c>
      <c r="BN640" s="27" t="s">
        <v>7</v>
      </c>
      <c r="BO640" s="27" t="s">
        <v>8</v>
      </c>
      <c r="BP640" s="27" t="s">
        <v>7</v>
      </c>
      <c r="BQ640" s="27" t="s">
        <v>8</v>
      </c>
      <c r="BR640" s="27" t="s">
        <v>7</v>
      </c>
      <c r="BS640" s="27" t="s">
        <v>8</v>
      </c>
      <c r="BT640" s="27" t="s">
        <v>7</v>
      </c>
      <c r="BU640" s="27" t="s">
        <v>8</v>
      </c>
      <c r="BV640" s="27" t="s">
        <v>7</v>
      </c>
      <c r="BW640" s="27" t="s">
        <v>8</v>
      </c>
      <c r="BX640" s="27" t="s">
        <v>7</v>
      </c>
      <c r="BY640" s="27" t="s">
        <v>8</v>
      </c>
      <c r="BZ640" s="27" t="s">
        <v>7</v>
      </c>
      <c r="CB640" s="27" t="s">
        <v>7</v>
      </c>
      <c r="CM640" s="27" t="s">
        <v>8</v>
      </c>
      <c r="CN640" s="27" t="s">
        <v>7</v>
      </c>
      <c r="CO640" s="27" t="s">
        <v>8</v>
      </c>
      <c r="CP640" s="27" t="s">
        <v>7</v>
      </c>
      <c r="CQ640" s="27" t="s">
        <v>8</v>
      </c>
      <c r="CR640" s="27" t="s">
        <v>7</v>
      </c>
      <c r="CS640" s="27" t="s">
        <v>8</v>
      </c>
    </row>
    <row r="641" spans="1:97" x14ac:dyDescent="0.25">
      <c r="A641" s="7">
        <v>0.34323433454431179</v>
      </c>
      <c r="B641"/>
      <c r="C641"/>
      <c r="D641"/>
      <c r="E641"/>
      <c r="F641" s="27" t="s">
        <v>7</v>
      </c>
      <c r="M641" s="27" t="s">
        <v>8</v>
      </c>
      <c r="N641" s="27" t="s">
        <v>7</v>
      </c>
      <c r="S641" s="27" t="s">
        <v>8</v>
      </c>
      <c r="T641" s="27" t="s">
        <v>7</v>
      </c>
      <c r="U641" s="27" t="s">
        <v>8</v>
      </c>
      <c r="AD641" s="27" t="s">
        <v>7</v>
      </c>
      <c r="AG641" s="27" t="s">
        <v>8</v>
      </c>
      <c r="AZ641" s="27" t="s">
        <v>7</v>
      </c>
      <c r="BA641" s="27" t="s">
        <v>8</v>
      </c>
      <c r="BE641" s="27" t="s">
        <v>8</v>
      </c>
      <c r="BF641" s="27" t="s">
        <v>7</v>
      </c>
      <c r="BG641" s="27" t="s">
        <v>8</v>
      </c>
      <c r="BH641" s="27" t="s">
        <v>7</v>
      </c>
      <c r="BI641" s="27" t="s">
        <v>8</v>
      </c>
      <c r="BJ641" s="27" t="s">
        <v>7</v>
      </c>
      <c r="BK641" s="27" t="s">
        <v>8</v>
      </c>
      <c r="BL641" s="27" t="s">
        <v>7</v>
      </c>
      <c r="BM641" s="27" t="s">
        <v>8</v>
      </c>
      <c r="BN641" s="27" t="s">
        <v>7</v>
      </c>
      <c r="BO641" s="27" t="s">
        <v>8</v>
      </c>
      <c r="BP641" s="27" t="s">
        <v>7</v>
      </c>
      <c r="BQ641" s="27" t="s">
        <v>8</v>
      </c>
      <c r="BR641" s="27" t="s">
        <v>7</v>
      </c>
      <c r="BS641" s="27" t="s">
        <v>8</v>
      </c>
      <c r="BT641" s="27" t="s">
        <v>7</v>
      </c>
      <c r="BU641" s="27" t="s">
        <v>8</v>
      </c>
      <c r="BV641" s="27" t="s">
        <v>7</v>
      </c>
      <c r="BW641" s="27" t="s">
        <v>8</v>
      </c>
      <c r="BX641" s="27" t="s">
        <v>7</v>
      </c>
      <c r="BY641" s="27" t="s">
        <v>8</v>
      </c>
      <c r="CB641" s="27" t="s">
        <v>7</v>
      </c>
      <c r="CM641" s="27" t="s">
        <v>8</v>
      </c>
      <c r="CN641" s="27" t="s">
        <v>7</v>
      </c>
      <c r="CO641" s="27" t="s">
        <v>8</v>
      </c>
      <c r="CP641" s="27" t="s">
        <v>7</v>
      </c>
      <c r="CQ641" s="27" t="s">
        <v>8</v>
      </c>
      <c r="CR641" s="27" t="s">
        <v>7</v>
      </c>
      <c r="CS641" s="27" t="s">
        <v>8</v>
      </c>
    </row>
    <row r="642" spans="1:97" x14ac:dyDescent="0.25">
      <c r="A642" s="7">
        <v>0.33650424955324681</v>
      </c>
      <c r="B642"/>
      <c r="C642"/>
      <c r="D642"/>
      <c r="E642"/>
      <c r="F642" s="27" t="s">
        <v>7</v>
      </c>
      <c r="M642" s="27" t="s">
        <v>8</v>
      </c>
      <c r="N642" s="27" t="s">
        <v>7</v>
      </c>
      <c r="S642" s="27" t="s">
        <v>8</v>
      </c>
      <c r="T642" s="27" t="s">
        <v>7</v>
      </c>
      <c r="U642" s="27" t="s">
        <v>8</v>
      </c>
      <c r="AD642" s="27" t="s">
        <v>7</v>
      </c>
      <c r="AE642" s="27" t="s">
        <v>8</v>
      </c>
      <c r="AG642" s="27" t="s">
        <v>8</v>
      </c>
      <c r="AZ642" s="27" t="s">
        <v>7</v>
      </c>
      <c r="BA642" s="27" t="s">
        <v>8</v>
      </c>
      <c r="BB642" s="27" t="s">
        <v>7</v>
      </c>
      <c r="BE642" s="27" t="s">
        <v>8</v>
      </c>
      <c r="BF642" s="27" t="s">
        <v>7</v>
      </c>
      <c r="BG642" s="27" t="s">
        <v>8</v>
      </c>
      <c r="BH642" s="27" t="s">
        <v>7</v>
      </c>
      <c r="BJ642" s="27" t="s">
        <v>7</v>
      </c>
      <c r="BL642" s="27" t="s">
        <v>7</v>
      </c>
      <c r="BM642" s="27" t="s">
        <v>8</v>
      </c>
      <c r="BN642" s="27" t="s">
        <v>7</v>
      </c>
      <c r="BO642" s="27" t="s">
        <v>8</v>
      </c>
      <c r="BP642" s="27" t="s">
        <v>7</v>
      </c>
      <c r="BQ642" s="27" t="s">
        <v>8</v>
      </c>
      <c r="BR642" s="27" t="s">
        <v>7</v>
      </c>
      <c r="BS642" s="27" t="s">
        <v>8</v>
      </c>
      <c r="BT642" s="27" t="s">
        <v>7</v>
      </c>
      <c r="BV642" s="27" t="s">
        <v>7</v>
      </c>
      <c r="BW642" s="27" t="s">
        <v>8</v>
      </c>
      <c r="BX642" s="27" t="s">
        <v>7</v>
      </c>
      <c r="BY642" s="27" t="s">
        <v>8</v>
      </c>
      <c r="CB642" s="27" t="s">
        <v>7</v>
      </c>
      <c r="CK642" s="27" t="s">
        <v>8</v>
      </c>
      <c r="CM642" s="27" t="s">
        <v>8</v>
      </c>
      <c r="CN642" s="27" t="s">
        <v>7</v>
      </c>
      <c r="CO642" s="27" t="s">
        <v>8</v>
      </c>
      <c r="CP642" s="27" t="s">
        <v>7</v>
      </c>
      <c r="CQ642" s="27" t="s">
        <v>8</v>
      </c>
      <c r="CR642" s="27" t="s">
        <v>7</v>
      </c>
      <c r="CS642" s="27" t="s">
        <v>8</v>
      </c>
    </row>
    <row r="643" spans="1:97" x14ac:dyDescent="0.25">
      <c r="A643" s="7">
        <v>0.3299061270129871</v>
      </c>
      <c r="B643"/>
      <c r="C643"/>
      <c r="D643"/>
      <c r="E643"/>
      <c r="F643" s="27" t="s">
        <v>7</v>
      </c>
      <c r="M643" s="27" t="s">
        <v>8</v>
      </c>
      <c r="N643" s="27" t="s">
        <v>7</v>
      </c>
      <c r="O643" s="27" t="s">
        <v>8</v>
      </c>
      <c r="S643" s="27" t="s">
        <v>8</v>
      </c>
      <c r="T643" s="27" t="s">
        <v>7</v>
      </c>
      <c r="AD643" s="27" t="s">
        <v>7</v>
      </c>
      <c r="AE643" s="27" t="s">
        <v>8</v>
      </c>
      <c r="AF643" s="27" t="s">
        <v>7</v>
      </c>
      <c r="AG643" s="27" t="s">
        <v>8</v>
      </c>
      <c r="AZ643" s="27" t="s">
        <v>7</v>
      </c>
      <c r="BA643" s="27" t="s">
        <v>8</v>
      </c>
      <c r="BB643" s="27" t="s">
        <v>7</v>
      </c>
      <c r="BC643" s="27" t="s">
        <v>8</v>
      </c>
      <c r="BE643" s="27" t="s">
        <v>8</v>
      </c>
      <c r="BF643" s="27" t="s">
        <v>7</v>
      </c>
      <c r="BG643" s="27" t="s">
        <v>8</v>
      </c>
      <c r="BL643" s="27" t="s">
        <v>7</v>
      </c>
      <c r="BN643" s="27" t="s">
        <v>7</v>
      </c>
      <c r="BO643" s="27" t="s">
        <v>8</v>
      </c>
      <c r="BP643" s="27" t="s">
        <v>7</v>
      </c>
      <c r="BQ643" s="27" t="s">
        <v>8</v>
      </c>
      <c r="BR643" s="27" t="s">
        <v>7</v>
      </c>
      <c r="BS643" s="27" t="s">
        <v>8</v>
      </c>
      <c r="BV643" s="27" t="s">
        <v>7</v>
      </c>
      <c r="BW643" s="27" t="s">
        <v>8</v>
      </c>
      <c r="BX643" s="27" t="s">
        <v>7</v>
      </c>
      <c r="BY643" s="27" t="s">
        <v>8</v>
      </c>
      <c r="CB643" s="27" t="s">
        <v>7</v>
      </c>
      <c r="CK643" s="27" t="s">
        <v>8</v>
      </c>
      <c r="CL643" s="27" t="s">
        <v>7</v>
      </c>
      <c r="CM643" s="27" t="s">
        <v>8</v>
      </c>
      <c r="CN643" s="27" t="s">
        <v>7</v>
      </c>
      <c r="CO643" s="27" t="s">
        <v>8</v>
      </c>
      <c r="CP643" s="27" t="s">
        <v>7</v>
      </c>
      <c r="CR643" s="27" t="s">
        <v>7</v>
      </c>
      <c r="CS643" s="27" t="s">
        <v>8</v>
      </c>
    </row>
    <row r="644" spans="1:97" x14ac:dyDescent="0.25">
      <c r="A644" s="7">
        <v>0.32343737942449713</v>
      </c>
      <c r="B644"/>
      <c r="C644"/>
      <c r="D644"/>
      <c r="E644"/>
      <c r="F644" s="27" t="s">
        <v>7</v>
      </c>
      <c r="M644" s="27" t="s">
        <v>8</v>
      </c>
      <c r="N644" s="27" t="s">
        <v>7</v>
      </c>
      <c r="O644" s="27" t="s">
        <v>8</v>
      </c>
      <c r="P644" s="27" t="s">
        <v>7</v>
      </c>
      <c r="S644" s="27" t="s">
        <v>8</v>
      </c>
      <c r="AD644" s="27" t="s">
        <v>7</v>
      </c>
      <c r="AE644" s="27" t="s">
        <v>8</v>
      </c>
      <c r="AF644" s="27" t="s">
        <v>7</v>
      </c>
      <c r="AG644" s="27" t="s">
        <v>8</v>
      </c>
      <c r="AZ644" s="27" t="s">
        <v>7</v>
      </c>
      <c r="BB644" s="27" t="s">
        <v>7</v>
      </c>
      <c r="BC644" s="27" t="s">
        <v>8</v>
      </c>
      <c r="BD644" s="27" t="s">
        <v>7</v>
      </c>
      <c r="BE644" s="27" t="s">
        <v>8</v>
      </c>
      <c r="BF644" s="27" t="s">
        <v>7</v>
      </c>
      <c r="BG644" s="27" t="s">
        <v>8</v>
      </c>
      <c r="BN644" s="27" t="s">
        <v>7</v>
      </c>
      <c r="BO644" s="27" t="s">
        <v>8</v>
      </c>
      <c r="BP644" s="27" t="s">
        <v>7</v>
      </c>
      <c r="BR644" s="27" t="s">
        <v>7</v>
      </c>
      <c r="BS644" s="27" t="s">
        <v>8</v>
      </c>
      <c r="BV644" s="27" t="s">
        <v>7</v>
      </c>
      <c r="BX644" s="27" t="s">
        <v>7</v>
      </c>
      <c r="CB644" s="27" t="s">
        <v>7</v>
      </c>
      <c r="CK644" s="27" t="s">
        <v>8</v>
      </c>
      <c r="CL644" s="27" t="s">
        <v>7</v>
      </c>
      <c r="CM644" s="27" t="s">
        <v>8</v>
      </c>
      <c r="CN644" s="27" t="s">
        <v>7</v>
      </c>
      <c r="CO644" s="27" t="s">
        <v>8</v>
      </c>
      <c r="CR644" s="27" t="s">
        <v>7</v>
      </c>
    </row>
    <row r="645" spans="1:97" x14ac:dyDescent="0.25">
      <c r="A645" s="7">
        <v>0.31709547002401678</v>
      </c>
      <c r="B645"/>
      <c r="C645"/>
      <c r="D645"/>
      <c r="E645"/>
      <c r="F645" s="27" t="s">
        <v>7</v>
      </c>
      <c r="M645" s="27" t="s">
        <v>8</v>
      </c>
      <c r="N645" s="27" t="s">
        <v>7</v>
      </c>
      <c r="O645" s="27" t="s">
        <v>8</v>
      </c>
      <c r="P645" s="27" t="s">
        <v>7</v>
      </c>
      <c r="S645" s="27" t="s">
        <v>8</v>
      </c>
      <c r="AD645" s="27" t="s">
        <v>7</v>
      </c>
      <c r="AE645" s="27" t="s">
        <v>8</v>
      </c>
      <c r="AF645" s="27" t="s">
        <v>7</v>
      </c>
      <c r="AG645" s="27" t="s">
        <v>8</v>
      </c>
      <c r="BB645" s="27" t="s">
        <v>7</v>
      </c>
      <c r="BC645" s="27" t="s">
        <v>8</v>
      </c>
      <c r="BD645" s="27" t="s">
        <v>7</v>
      </c>
      <c r="BE645" s="27" t="s">
        <v>8</v>
      </c>
      <c r="BF645" s="27" t="s">
        <v>7</v>
      </c>
      <c r="BN645" s="27" t="s">
        <v>7</v>
      </c>
      <c r="BO645" s="27" t="s">
        <v>8</v>
      </c>
      <c r="BR645" s="27" t="s">
        <v>7</v>
      </c>
      <c r="CB645" s="27" t="s">
        <v>7</v>
      </c>
      <c r="CE645" s="27" t="s">
        <v>8</v>
      </c>
      <c r="CK645" s="27" t="s">
        <v>8</v>
      </c>
      <c r="CL645" s="27" t="s">
        <v>7</v>
      </c>
      <c r="CM645" s="27" t="s">
        <v>8</v>
      </c>
      <c r="CN645" s="27" t="s">
        <v>7</v>
      </c>
      <c r="CO645" s="27" t="s">
        <v>8</v>
      </c>
    </row>
    <row r="646" spans="1:97" x14ac:dyDescent="0.25">
      <c r="A646" s="7">
        <v>0.31087791178825175</v>
      </c>
      <c r="B646"/>
      <c r="C646"/>
      <c r="D646"/>
      <c r="E646"/>
      <c r="F646" s="27" t="s">
        <v>7</v>
      </c>
      <c r="M646" s="27" t="s">
        <v>8</v>
      </c>
      <c r="N646" s="27" t="s">
        <v>7</v>
      </c>
      <c r="O646" s="27" t="s">
        <v>8</v>
      </c>
      <c r="P646" s="27" t="s">
        <v>7</v>
      </c>
      <c r="S646" s="27" t="s">
        <v>8</v>
      </c>
      <c r="AD646" s="27" t="s">
        <v>7</v>
      </c>
      <c r="AE646" s="27" t="s">
        <v>8</v>
      </c>
      <c r="AF646" s="27" t="s">
        <v>7</v>
      </c>
      <c r="AG646" s="27" t="s">
        <v>8</v>
      </c>
      <c r="BB646" s="27" t="s">
        <v>7</v>
      </c>
      <c r="BD646" s="27" t="s">
        <v>7</v>
      </c>
      <c r="BE646" s="27" t="s">
        <v>8</v>
      </c>
      <c r="BN646" s="27" t="s">
        <v>7</v>
      </c>
      <c r="CB646" s="27" t="s">
        <v>7</v>
      </c>
      <c r="CC646" s="27" t="s">
        <v>8</v>
      </c>
      <c r="CE646" s="27" t="s">
        <v>8</v>
      </c>
      <c r="CF646" s="27" t="s">
        <v>7</v>
      </c>
      <c r="CK646" s="27" t="s">
        <v>8</v>
      </c>
      <c r="CL646" s="27" t="s">
        <v>7</v>
      </c>
      <c r="CM646" s="27" t="s">
        <v>8</v>
      </c>
      <c r="CN646" s="27" t="s">
        <v>7</v>
      </c>
      <c r="CO646" s="27" t="s">
        <v>8</v>
      </c>
    </row>
    <row r="647" spans="1:97" x14ac:dyDescent="0.25">
      <c r="A647" s="7">
        <v>0.30478226645907036</v>
      </c>
      <c r="B647"/>
      <c r="C647"/>
      <c r="D647"/>
      <c r="E647"/>
      <c r="F647" s="27" t="s">
        <v>7</v>
      </c>
      <c r="M647" s="27" t="s">
        <v>8</v>
      </c>
      <c r="N647" s="27" t="s">
        <v>7</v>
      </c>
      <c r="O647" s="27" t="s">
        <v>8</v>
      </c>
      <c r="P647" s="27" t="s">
        <v>7</v>
      </c>
      <c r="S647" s="27" t="s">
        <v>8</v>
      </c>
      <c r="AD647" s="27" t="s">
        <v>7</v>
      </c>
      <c r="AF647" s="27" t="s">
        <v>7</v>
      </c>
      <c r="AG647" s="27" t="s">
        <v>8</v>
      </c>
      <c r="BD647" s="27" t="s">
        <v>7</v>
      </c>
      <c r="BE647" s="27" t="s">
        <v>8</v>
      </c>
      <c r="CB647" s="27" t="s">
        <v>7</v>
      </c>
      <c r="CC647" s="27" t="s">
        <v>8</v>
      </c>
      <c r="CD647" s="27" t="s">
        <v>7</v>
      </c>
      <c r="CE647" s="27" t="s">
        <v>8</v>
      </c>
      <c r="CF647" s="27" t="s">
        <v>7</v>
      </c>
      <c r="CI647" s="27" t="s">
        <v>8</v>
      </c>
      <c r="CK647" s="27" t="s">
        <v>8</v>
      </c>
      <c r="CL647" s="27" t="s">
        <v>7</v>
      </c>
      <c r="CM647" s="27" t="s">
        <v>8</v>
      </c>
      <c r="CN647" s="27" t="s">
        <v>7</v>
      </c>
      <c r="CO647" s="27" t="s">
        <v>8</v>
      </c>
    </row>
    <row r="648" spans="1:97" x14ac:dyDescent="0.25">
      <c r="A648" s="7">
        <v>0.29880614358732388</v>
      </c>
      <c r="B648"/>
      <c r="C648"/>
      <c r="D648"/>
      <c r="E648"/>
      <c r="F648" s="27" t="s">
        <v>7</v>
      </c>
      <c r="M648" s="27" t="s">
        <v>8</v>
      </c>
      <c r="N648" s="27" t="s">
        <v>7</v>
      </c>
      <c r="O648" s="27" t="s">
        <v>8</v>
      </c>
      <c r="P648" s="27" t="s">
        <v>7</v>
      </c>
      <c r="S648" s="27" t="s">
        <v>8</v>
      </c>
      <c r="AF648" s="27" t="s">
        <v>7</v>
      </c>
      <c r="BD648" s="27" t="s">
        <v>7</v>
      </c>
      <c r="BE648" s="27" t="s">
        <v>8</v>
      </c>
      <c r="CB648" s="27" t="s">
        <v>7</v>
      </c>
      <c r="CC648" s="27" t="s">
        <v>8</v>
      </c>
      <c r="CD648" s="27" t="s">
        <v>7</v>
      </c>
      <c r="CE648" s="27" t="s">
        <v>8</v>
      </c>
      <c r="CF648" s="27" t="s">
        <v>7</v>
      </c>
      <c r="CG648" s="27" t="s">
        <v>8</v>
      </c>
      <c r="CI648" s="27" t="s">
        <v>8</v>
      </c>
      <c r="CJ648" s="27" t="s">
        <v>7</v>
      </c>
      <c r="CK648" s="27" t="s">
        <v>8</v>
      </c>
      <c r="CL648" s="27" t="s">
        <v>7</v>
      </c>
      <c r="CM648" s="27" t="s">
        <v>8</v>
      </c>
      <c r="CN648" s="27" t="s">
        <v>7</v>
      </c>
      <c r="CO648" s="27" t="s">
        <v>8</v>
      </c>
    </row>
    <row r="649" spans="1:97" x14ac:dyDescent="0.25">
      <c r="A649" s="7">
        <v>0.2929471995954156</v>
      </c>
      <c r="B649"/>
      <c r="C649"/>
      <c r="D649"/>
      <c r="E649"/>
      <c r="F649" s="27" t="s">
        <v>7</v>
      </c>
      <c r="M649" s="27" t="s">
        <v>8</v>
      </c>
      <c r="N649" s="27" t="s">
        <v>7</v>
      </c>
      <c r="O649" s="27" t="s">
        <v>8</v>
      </c>
      <c r="P649" s="27" t="s">
        <v>7</v>
      </c>
      <c r="Q649" s="27" t="s">
        <v>8</v>
      </c>
      <c r="S649" s="27" t="s">
        <v>8</v>
      </c>
      <c r="BD649" s="27" t="s">
        <v>7</v>
      </c>
      <c r="BE649" s="27" t="s">
        <v>8</v>
      </c>
      <c r="CB649" s="27" t="s">
        <v>7</v>
      </c>
      <c r="CC649" s="27" t="s">
        <v>8</v>
      </c>
      <c r="CD649" s="27" t="s">
        <v>7</v>
      </c>
      <c r="CE649" s="27" t="s">
        <v>8</v>
      </c>
      <c r="CF649" s="27" t="s">
        <v>7</v>
      </c>
      <c r="CG649" s="27" t="s">
        <v>8</v>
      </c>
      <c r="CH649" s="27" t="s">
        <v>7</v>
      </c>
      <c r="CI649" s="27" t="s">
        <v>8</v>
      </c>
      <c r="CJ649" s="27" t="s">
        <v>7</v>
      </c>
      <c r="CK649" s="27" t="s">
        <v>8</v>
      </c>
      <c r="CL649" s="27" t="s">
        <v>7</v>
      </c>
      <c r="CM649" s="27" t="s">
        <v>8</v>
      </c>
      <c r="CN649" s="27" t="s">
        <v>7</v>
      </c>
    </row>
    <row r="650" spans="1:97" x14ac:dyDescent="0.25">
      <c r="A650" s="7">
        <v>0.28720313685825055</v>
      </c>
      <c r="B650"/>
      <c r="C650"/>
      <c r="D650"/>
      <c r="E650"/>
      <c r="F650" s="27" t="s">
        <v>7</v>
      </c>
      <c r="M650" s="27" t="s">
        <v>8</v>
      </c>
      <c r="N650" s="27" t="s">
        <v>7</v>
      </c>
      <c r="O650" s="27" t="s">
        <v>8</v>
      </c>
      <c r="P650" s="27" t="s">
        <v>7</v>
      </c>
      <c r="Q650" s="27" t="s">
        <v>8</v>
      </c>
      <c r="R650" s="27" t="s">
        <v>7</v>
      </c>
      <c r="S650" s="27" t="s">
        <v>8</v>
      </c>
      <c r="BD650" s="27" t="s">
        <v>7</v>
      </c>
      <c r="BE650" s="27" t="s">
        <v>8</v>
      </c>
      <c r="CB650" s="27" t="s">
        <v>7</v>
      </c>
      <c r="CC650" s="27" t="s">
        <v>8</v>
      </c>
      <c r="CD650" s="27" t="s">
        <v>7</v>
      </c>
      <c r="CF650" s="27" t="s">
        <v>7</v>
      </c>
      <c r="CG650" s="27" t="s">
        <v>8</v>
      </c>
      <c r="CH650" s="27" t="s">
        <v>7</v>
      </c>
      <c r="CI650" s="27" t="s">
        <v>8</v>
      </c>
      <c r="CJ650" s="27" t="s">
        <v>7</v>
      </c>
      <c r="CL650" s="27" t="s">
        <v>7</v>
      </c>
    </row>
    <row r="651" spans="1:97" x14ac:dyDescent="0.25">
      <c r="A651" s="7">
        <v>0.28157170280220645</v>
      </c>
      <c r="B651"/>
      <c r="C651"/>
      <c r="D651"/>
      <c r="E651"/>
      <c r="F651" s="27" t="s">
        <v>7</v>
      </c>
      <c r="M651" s="27" t="s">
        <v>8</v>
      </c>
      <c r="N651" s="27" t="s">
        <v>7</v>
      </c>
      <c r="O651" s="27" t="s">
        <v>8</v>
      </c>
      <c r="P651" s="27" t="s">
        <v>7</v>
      </c>
      <c r="Q651" s="27" t="s">
        <v>8</v>
      </c>
      <c r="R651" s="27" t="s">
        <v>7</v>
      </c>
      <c r="S651" s="27" t="s">
        <v>8</v>
      </c>
      <c r="BD651" s="27" t="s">
        <v>7</v>
      </c>
      <c r="BE651" s="27" t="s">
        <v>8</v>
      </c>
      <c r="CB651" s="27" t="s">
        <v>7</v>
      </c>
      <c r="CC651" s="27" t="s">
        <v>8</v>
      </c>
      <c r="CF651" s="27" t="s">
        <v>7</v>
      </c>
      <c r="CH651" s="27" t="s">
        <v>7</v>
      </c>
      <c r="CI651" s="27" t="s">
        <v>8</v>
      </c>
    </row>
    <row r="652" spans="1:97" x14ac:dyDescent="0.25">
      <c r="A652" s="7">
        <v>0.27605068902177105</v>
      </c>
      <c r="B652"/>
      <c r="C652"/>
      <c r="D652"/>
      <c r="E652"/>
      <c r="F652" s="27" t="s">
        <v>7</v>
      </c>
      <c r="M652" s="27" t="s">
        <v>8</v>
      </c>
      <c r="N652" s="27" t="s">
        <v>7</v>
      </c>
      <c r="O652" s="27" t="s">
        <v>8</v>
      </c>
      <c r="P652" s="27" t="s">
        <v>7</v>
      </c>
      <c r="Q652" s="27" t="s">
        <v>8</v>
      </c>
      <c r="R652" s="27" t="s">
        <v>7</v>
      </c>
      <c r="S652" s="27" t="s">
        <v>8</v>
      </c>
      <c r="BD652" s="27" t="s">
        <v>7</v>
      </c>
      <c r="BE652" s="27" t="s">
        <v>8</v>
      </c>
      <c r="CB652" s="27" t="s">
        <v>7</v>
      </c>
      <c r="CC652" s="27" t="s">
        <v>8</v>
      </c>
      <c r="CH652" s="27" t="s">
        <v>7</v>
      </c>
    </row>
    <row r="653" spans="1:97" x14ac:dyDescent="0.25">
      <c r="A653" s="7">
        <v>0.27063793041350104</v>
      </c>
      <c r="B653"/>
      <c r="C653"/>
      <c r="D653"/>
      <c r="E653"/>
      <c r="F653" s="27" t="s">
        <v>7</v>
      </c>
      <c r="M653" s="27" t="s">
        <v>8</v>
      </c>
      <c r="N653" s="27" t="s">
        <v>7</v>
      </c>
      <c r="O653" s="27" t="s">
        <v>8</v>
      </c>
      <c r="P653" s="27" t="s">
        <v>7</v>
      </c>
      <c r="Q653" s="27" t="s">
        <v>8</v>
      </c>
      <c r="R653" s="27" t="s">
        <v>7</v>
      </c>
      <c r="S653" s="27" t="s">
        <v>8</v>
      </c>
      <c r="BD653" s="27" t="s">
        <v>7</v>
      </c>
      <c r="BE653" s="27" t="s">
        <v>8</v>
      </c>
      <c r="CB653" s="27" t="s">
        <v>7</v>
      </c>
      <c r="CC653" s="27" t="s">
        <v>8</v>
      </c>
    </row>
    <row r="654" spans="1:97" x14ac:dyDescent="0.25">
      <c r="A654" s="7">
        <v>0.26533130432696184</v>
      </c>
      <c r="B654"/>
      <c r="C654"/>
      <c r="D654"/>
      <c r="E654"/>
      <c r="F654" s="27" t="s">
        <v>7</v>
      </c>
      <c r="M654" s="27" t="s">
        <v>8</v>
      </c>
      <c r="N654" s="27" t="s">
        <v>7</v>
      </c>
      <c r="O654" s="27" t="s">
        <v>8</v>
      </c>
      <c r="P654" s="27" t="s">
        <v>7</v>
      </c>
      <c r="Q654" s="27" t="s">
        <v>8</v>
      </c>
      <c r="R654" s="27" t="s">
        <v>7</v>
      </c>
      <c r="S654" s="27" t="s">
        <v>8</v>
      </c>
      <c r="BD654" s="27" t="s">
        <v>7</v>
      </c>
      <c r="BE654" s="27" t="s">
        <v>8</v>
      </c>
      <c r="CB654" s="27" t="s">
        <v>7</v>
      </c>
      <c r="CC654" s="27" t="s">
        <v>8</v>
      </c>
    </row>
    <row r="655" spans="1:97" x14ac:dyDescent="0.25">
      <c r="A655" s="7">
        <v>0.26012872973231554</v>
      </c>
      <c r="B655"/>
      <c r="C655"/>
      <c r="D655"/>
      <c r="E655"/>
      <c r="F655" s="27" t="s">
        <v>7</v>
      </c>
      <c r="M655" s="27" t="s">
        <v>8</v>
      </c>
      <c r="N655" s="27" t="s">
        <v>7</v>
      </c>
      <c r="P655" s="27" t="s">
        <v>7</v>
      </c>
      <c r="Q655" s="27" t="s">
        <v>8</v>
      </c>
      <c r="R655" s="27" t="s">
        <v>7</v>
      </c>
      <c r="S655" s="27" t="s">
        <v>8</v>
      </c>
      <c r="BD655" s="27" t="s">
        <v>7</v>
      </c>
      <c r="CB655" s="27" t="s">
        <v>7</v>
      </c>
      <c r="CC655" s="27" t="s">
        <v>8</v>
      </c>
    </row>
    <row r="656" spans="1:97" x14ac:dyDescent="0.25">
      <c r="A656" s="7">
        <v>0.25502816640423093</v>
      </c>
      <c r="B656"/>
      <c r="C656"/>
      <c r="D656"/>
      <c r="E656"/>
      <c r="F656" s="27" t="s">
        <v>7</v>
      </c>
      <c r="M656" s="27" t="s">
        <v>8</v>
      </c>
      <c r="P656" s="27" t="s">
        <v>7</v>
      </c>
      <c r="R656" s="27" t="s">
        <v>7</v>
      </c>
      <c r="S656" s="27" t="s">
        <v>8</v>
      </c>
      <c r="CB656" s="27" t="s">
        <v>7</v>
      </c>
    </row>
    <row r="657" spans="1:18" x14ac:dyDescent="0.25">
      <c r="A657" s="7">
        <v>0.25002761412179503</v>
      </c>
      <c r="B657"/>
      <c r="C657"/>
      <c r="D657"/>
      <c r="E657"/>
      <c r="F657" s="27" t="s">
        <v>7</v>
      </c>
      <c r="M657" s="27" t="s">
        <v>8</v>
      </c>
      <c r="R657" s="27" t="s">
        <v>7</v>
      </c>
    </row>
    <row r="658" spans="1:18" x14ac:dyDescent="0.25">
      <c r="A658" s="7">
        <v>0.24512511188411276</v>
      </c>
      <c r="B658"/>
      <c r="C658"/>
      <c r="D658"/>
      <c r="E658"/>
      <c r="F658" s="27" t="s">
        <v>7</v>
      </c>
      <c r="M658" s="27" t="s">
        <v>8</v>
      </c>
    </row>
    <row r="659" spans="1:18" x14ac:dyDescent="0.25">
      <c r="A659" s="7">
        <v>0.24031873714128701</v>
      </c>
      <c r="B659"/>
      <c r="C659"/>
      <c r="D659"/>
      <c r="E659"/>
      <c r="F659" s="27" t="s">
        <v>7</v>
      </c>
      <c r="M659" s="27" t="s">
        <v>8</v>
      </c>
    </row>
    <row r="660" spans="1:18" x14ac:dyDescent="0.25">
      <c r="A660" s="7">
        <v>0.23560660504047748</v>
      </c>
      <c r="B660"/>
      <c r="C660"/>
      <c r="D660"/>
      <c r="E660"/>
      <c r="F660" s="27" t="s">
        <v>7</v>
      </c>
      <c r="M660" s="27" t="s">
        <v>8</v>
      </c>
    </row>
    <row r="661" spans="1:18" x14ac:dyDescent="0.25">
      <c r="A661" s="7">
        <v>0.23098686768674265</v>
      </c>
      <c r="B661"/>
      <c r="C661"/>
      <c r="D661"/>
      <c r="E661"/>
      <c r="F661" s="27" t="s">
        <v>7</v>
      </c>
      <c r="K661" s="27" t="s">
        <v>8</v>
      </c>
      <c r="M661" s="27" t="s">
        <v>8</v>
      </c>
    </row>
    <row r="662" spans="1:18" x14ac:dyDescent="0.25">
      <c r="A662" s="7">
        <v>0.22645771341837515</v>
      </c>
      <c r="B662"/>
      <c r="C662"/>
      <c r="D662"/>
      <c r="E662"/>
      <c r="F662" s="27" t="s">
        <v>7</v>
      </c>
      <c r="K662" s="27" t="s">
        <v>8</v>
      </c>
      <c r="L662" s="27" t="s">
        <v>7</v>
      </c>
      <c r="M662" s="27" t="s">
        <v>8</v>
      </c>
    </row>
    <row r="663" spans="1:18" x14ac:dyDescent="0.25">
      <c r="A663" s="7">
        <v>0.22201736609644623</v>
      </c>
      <c r="B663"/>
      <c r="C663"/>
      <c r="D663"/>
      <c r="E663"/>
      <c r="F663" s="27" t="s">
        <v>7</v>
      </c>
      <c r="K663" s="27" t="s">
        <v>8</v>
      </c>
      <c r="L663" s="27" t="s">
        <v>7</v>
      </c>
      <c r="M663" s="27" t="s">
        <v>8</v>
      </c>
    </row>
    <row r="664" spans="1:18" x14ac:dyDescent="0.25">
      <c r="A664" s="7">
        <v>0.21766408440828061</v>
      </c>
      <c r="B664"/>
      <c r="C664"/>
      <c r="D664"/>
      <c r="E664"/>
      <c r="F664" s="27" t="s">
        <v>7</v>
      </c>
      <c r="K664" s="27" t="s">
        <v>8</v>
      </c>
      <c r="L664" s="27" t="s">
        <v>7</v>
      </c>
      <c r="M664" s="27" t="s">
        <v>8</v>
      </c>
    </row>
    <row r="665" spans="1:18" x14ac:dyDescent="0.25">
      <c r="A665" s="7">
        <v>0.21339616118458882</v>
      </c>
      <c r="B665"/>
      <c r="C665"/>
      <c r="D665"/>
      <c r="E665"/>
      <c r="F665" s="27" t="s">
        <v>7</v>
      </c>
      <c r="K665" s="27" t="s">
        <v>8</v>
      </c>
      <c r="L665" s="27" t="s">
        <v>7</v>
      </c>
      <c r="M665" s="27" t="s">
        <v>8</v>
      </c>
    </row>
    <row r="666" spans="1:18" x14ac:dyDescent="0.25">
      <c r="A666" s="7">
        <v>0.20921192272998904</v>
      </c>
      <c r="B666"/>
      <c r="C666"/>
      <c r="D666"/>
      <c r="E666"/>
      <c r="F666" s="27" t="s">
        <v>7</v>
      </c>
      <c r="K666" s="27" t="s">
        <v>8</v>
      </c>
      <c r="L666" s="27" t="s">
        <v>7</v>
      </c>
      <c r="M666" s="27" t="s">
        <v>8</v>
      </c>
    </row>
    <row r="667" spans="1:18" x14ac:dyDescent="0.25">
      <c r="A667" s="7">
        <v>0.20510972816665593</v>
      </c>
      <c r="B667"/>
      <c r="C667"/>
      <c r="D667"/>
      <c r="E667"/>
      <c r="F667" s="27" t="s">
        <v>7</v>
      </c>
      <c r="K667" s="27" t="s">
        <v>8</v>
      </c>
      <c r="L667" s="27" t="s">
        <v>7</v>
      </c>
      <c r="M667" s="27" t="s">
        <v>8</v>
      </c>
    </row>
    <row r="668" spans="1:18" x14ac:dyDescent="0.25">
      <c r="A668" s="7">
        <v>0.20108796879083912</v>
      </c>
      <c r="B668"/>
      <c r="C668"/>
      <c r="D668"/>
      <c r="E668"/>
      <c r="F668" s="27" t="s">
        <v>7</v>
      </c>
      <c r="I668" s="27" t="s">
        <v>8</v>
      </c>
      <c r="K668" s="27" t="s">
        <v>8</v>
      </c>
      <c r="L668" s="27" t="s">
        <v>7</v>
      </c>
      <c r="M668" s="27" t="s">
        <v>8</v>
      </c>
    </row>
    <row r="669" spans="1:18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  <c r="I669" s="27" t="s">
        <v>8</v>
      </c>
      <c r="J669" s="27" t="s">
        <v>7</v>
      </c>
      <c r="K669" s="27" t="s">
        <v>8</v>
      </c>
      <c r="L669" s="27" t="s">
        <v>7</v>
      </c>
      <c r="M669" s="27" t="s">
        <v>8</v>
      </c>
    </row>
    <row r="670" spans="1:18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  <c r="H670" s="27" t="s">
        <v>7</v>
      </c>
      <c r="I670" s="27" t="s">
        <v>8</v>
      </c>
      <c r="J670" s="27" t="s">
        <v>7</v>
      </c>
      <c r="K670" s="27" t="s">
        <v>8</v>
      </c>
      <c r="L670" s="27" t="s">
        <v>7</v>
      </c>
    </row>
    <row r="671" spans="1:18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  <c r="H671" s="27" t="s">
        <v>7</v>
      </c>
      <c r="I671" s="27" t="s">
        <v>8</v>
      </c>
      <c r="J671" s="27" t="s">
        <v>7</v>
      </c>
      <c r="K671" s="27" t="s">
        <v>8</v>
      </c>
    </row>
    <row r="672" spans="1:18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  <c r="H672" s="27" t="s">
        <v>7</v>
      </c>
      <c r="J672" s="27" t="s">
        <v>7</v>
      </c>
    </row>
    <row r="673" spans="1:7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</row>
    <row r="674" spans="1:7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</row>
    <row r="675" spans="1:7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</row>
    <row r="676" spans="1:7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</row>
    <row r="677" spans="1:7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</row>
    <row r="678" spans="1:7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</row>
    <row r="679" spans="1:7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</row>
    <row r="680" spans="1:7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</row>
    <row r="681" spans="1:7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</row>
    <row r="682" spans="1:7" x14ac:dyDescent="0.25">
      <c r="A682" s="7">
        <v>0.15239954929176638</v>
      </c>
      <c r="B682"/>
      <c r="C682"/>
      <c r="D682"/>
      <c r="E682"/>
      <c r="F682" s="27" t="s">
        <v>7</v>
      </c>
    </row>
    <row r="683" spans="1:7" x14ac:dyDescent="0.25">
      <c r="A683" s="7">
        <v>0.14941132283506509</v>
      </c>
      <c r="B683"/>
      <c r="C683"/>
      <c r="D683"/>
      <c r="E683"/>
    </row>
    <row r="684" spans="1:7" x14ac:dyDescent="0.25">
      <c r="A684" s="7">
        <v>0.14648168905398537</v>
      </c>
      <c r="B684"/>
      <c r="C684"/>
      <c r="D684"/>
      <c r="E684"/>
    </row>
    <row r="685" spans="1:7" x14ac:dyDescent="0.25">
      <c r="A685" s="7">
        <v>0.14360949907253467</v>
      </c>
      <c r="B685"/>
      <c r="C685"/>
      <c r="D685"/>
      <c r="E685"/>
    </row>
    <row r="686" spans="1:7" x14ac:dyDescent="0.25">
      <c r="A686" s="7">
        <v>0.14079362654170066</v>
      </c>
      <c r="B686"/>
      <c r="C686"/>
      <c r="D686"/>
      <c r="E686"/>
    </row>
    <row r="687" spans="1:7" x14ac:dyDescent="0.25">
      <c r="A687" s="7">
        <v>0.13803296719774574</v>
      </c>
      <c r="B687"/>
      <c r="C687"/>
      <c r="D687"/>
      <c r="E687"/>
    </row>
    <row r="688" spans="1:7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52" operator="equal">
      <formula>$U$1</formula>
    </cfRule>
    <cfRule type="cellIs" dxfId="89" priority="953" operator="equal">
      <formula>$S$1</formula>
    </cfRule>
  </conditionalFormatting>
  <conditionalFormatting sqref="D27">
    <cfRule type="cellIs" dxfId="88" priority="950" operator="equal">
      <formula>$S$1</formula>
    </cfRule>
    <cfRule type="cellIs" dxfId="87" priority="951" operator="equal">
      <formula>$U$1</formula>
    </cfRule>
  </conditionalFormatting>
  <conditionalFormatting sqref="C164">
    <cfRule type="cellIs" dxfId="86" priority="948" operator="equal">
      <formula>$U$1</formula>
    </cfRule>
    <cfRule type="cellIs" dxfId="85" priority="949" operator="equal">
      <formula>$S$1</formula>
    </cfRule>
  </conditionalFormatting>
  <conditionalFormatting sqref="D164">
    <cfRule type="cellIs" dxfId="84" priority="946" operator="equal">
      <formula>$S$1</formula>
    </cfRule>
    <cfRule type="cellIs" dxfId="83" priority="947" operator="equal">
      <formula>$U$1</formula>
    </cfRule>
  </conditionalFormatting>
  <conditionalFormatting sqref="C55">
    <cfRule type="cellIs" dxfId="82" priority="944" operator="equal">
      <formula>$U$1</formula>
    </cfRule>
    <cfRule type="cellIs" dxfId="81" priority="945" operator="equal">
      <formula>$S$1</formula>
    </cfRule>
  </conditionalFormatting>
  <conditionalFormatting sqref="D55">
    <cfRule type="cellIs" dxfId="80" priority="942" operator="equal">
      <formula>$S$1</formula>
    </cfRule>
    <cfRule type="cellIs" dxfId="79" priority="943" operator="equal">
      <formula>$U$1</formula>
    </cfRule>
  </conditionalFormatting>
  <conditionalFormatting sqref="C89">
    <cfRule type="cellIs" dxfId="78" priority="940" operator="equal">
      <formula>$U$1</formula>
    </cfRule>
    <cfRule type="cellIs" dxfId="77" priority="941" operator="equal">
      <formula>$S$1</formula>
    </cfRule>
  </conditionalFormatting>
  <conditionalFormatting sqref="D89">
    <cfRule type="cellIs" dxfId="76" priority="938" operator="equal">
      <formula>$S$1</formula>
    </cfRule>
    <cfRule type="cellIs" dxfId="75" priority="939" operator="equal">
      <formula>$U$1</formula>
    </cfRule>
  </conditionalFormatting>
  <conditionalFormatting sqref="C136">
    <cfRule type="cellIs" dxfId="74" priority="936" operator="equal">
      <formula>$U$1</formula>
    </cfRule>
    <cfRule type="cellIs" dxfId="73" priority="937" operator="equal">
      <formula>$S$1</formula>
    </cfRule>
  </conditionalFormatting>
  <conditionalFormatting sqref="D136">
    <cfRule type="cellIs" dxfId="72" priority="934" operator="equal">
      <formula>$S$1</formula>
    </cfRule>
    <cfRule type="cellIs" dxfId="71" priority="935" operator="equal">
      <formula>$U$1</formula>
    </cfRule>
  </conditionalFormatting>
  <conditionalFormatting sqref="C1">
    <cfRule type="cellIs" dxfId="70" priority="93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0" zoomScale="90" zoomScaleNormal="90" workbookViewId="0">
      <pane xSplit="4" topLeftCell="CH1" activePane="topRight" state="frozen"/>
      <selection activeCell="A109" sqref="A109"/>
      <selection pane="topRight" activeCell="ES238" sqref="ES23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$A$237</v>
      </c>
      <c r="D111" s="1" t="str">
        <f>ADDRESS(C121-1,D121,1,1)</f>
        <v>$ES$237</v>
      </c>
      <c r="E111"/>
    </row>
    <row r="112" spans="1:5" x14ac:dyDescent="0.25">
      <c r="A112" s="30">
        <v>515.50191262726139</v>
      </c>
      <c r="C112" s="1" t="str">
        <f>ADDRESS(C121,1,1,1)</f>
        <v>$A$238</v>
      </c>
      <c r="D112" s="1" t="str">
        <f>ADDRESS(C121,D121-1,1,1)</f>
        <v>$ER$238</v>
      </c>
      <c r="E112"/>
    </row>
    <row r="113" spans="1:5" x14ac:dyDescent="0.25">
      <c r="A113" s="30">
        <v>490.95420250215363</v>
      </c>
      <c r="C113" s="1" t="str">
        <f>ADDRESS(C121+1,1,1,1)</f>
        <v>$A$239</v>
      </c>
      <c r="D113" s="1" t="str">
        <f>ADDRESS(C121-1,D121+1,1,1)</f>
        <v>$ET$237</v>
      </c>
    </row>
    <row r="114" spans="1:5" x14ac:dyDescent="0.25">
      <c r="A114" s="30">
        <v>467.57543095443202</v>
      </c>
      <c r="C114" s="1" t="str">
        <f>ADDRESS(C121,D121,1,1)</f>
        <v>$ES$238</v>
      </c>
      <c r="D114" s="1" t="str">
        <f>ADDRESS(C121+1,D121+1,1,1)</f>
        <v>$ET$239</v>
      </c>
    </row>
    <row r="115" spans="1:5" x14ac:dyDescent="0.25">
      <c r="A115" s="30">
        <v>445.30993424231622</v>
      </c>
      <c r="C115" s="1" t="str">
        <f>ADDRESS(C121+1,D121,1,1)</f>
        <v>$ES$239</v>
      </c>
    </row>
    <row r="116" spans="1:5" x14ac:dyDescent="0.25">
      <c r="A116" s="30">
        <v>424.10469927839637</v>
      </c>
      <c r="C116" s="1">
        <f>C117-1</f>
        <v>237</v>
      </c>
    </row>
    <row r="117" spans="1:5" x14ac:dyDescent="0.25">
      <c r="A117" s="30">
        <v>403.9092374079965</v>
      </c>
      <c r="C117" s="1">
        <f>C121</f>
        <v>238</v>
      </c>
      <c r="D117" s="1">
        <f>D121</f>
        <v>149</v>
      </c>
    </row>
    <row r="118" spans="1:5" x14ac:dyDescent="0.25">
      <c r="A118" s="30">
        <v>384.6754641980919</v>
      </c>
      <c r="C118" s="1">
        <f>C117+1</f>
        <v>239</v>
      </c>
      <c r="D118" s="1">
        <f>D117+1</f>
        <v>150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238</v>
      </c>
      <c r="D121" s="19">
        <v>149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R238</v>
      </c>
      <c r="D123" s="1" t="str">
        <f>"C"&amp;D121</f>
        <v>C149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1.1025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43" x14ac:dyDescent="0.25">
      <c r="A209" s="30">
        <v>4.5380394939082018</v>
      </c>
      <c r="E209"/>
    </row>
    <row r="210" spans="1:143" x14ac:dyDescent="0.25">
      <c r="A210" s="30">
        <v>4.3219423751506678</v>
      </c>
      <c r="C210"/>
      <c r="E210"/>
    </row>
    <row r="211" spans="1:143" x14ac:dyDescent="0.25">
      <c r="A211" s="30">
        <v>4.1161355953815884</v>
      </c>
      <c r="E211"/>
    </row>
    <row r="212" spans="1:143" x14ac:dyDescent="0.25">
      <c r="A212" s="30">
        <v>3.9201291384586554</v>
      </c>
      <c r="E212"/>
    </row>
    <row r="213" spans="1:143" x14ac:dyDescent="0.25">
      <c r="A213" s="30">
        <v>3.7334563223415764</v>
      </c>
      <c r="E213"/>
      <c r="BK213" s="27" t="s">
        <v>8</v>
      </c>
      <c r="BO213" s="31" t="s">
        <v>8</v>
      </c>
    </row>
    <row r="214" spans="1:143" x14ac:dyDescent="0.25">
      <c r="A214" s="30">
        <v>3.5556726879443583</v>
      </c>
      <c r="E214"/>
      <c r="BK214" s="27" t="s">
        <v>8</v>
      </c>
      <c r="BL214" s="27" t="s">
        <v>7</v>
      </c>
      <c r="BO214" s="27" t="s">
        <v>8</v>
      </c>
      <c r="BP214" s="31" t="s">
        <v>7</v>
      </c>
    </row>
    <row r="215" spans="1:143" x14ac:dyDescent="0.25">
      <c r="A215" s="30">
        <v>3.3863549408993889</v>
      </c>
      <c r="E215"/>
      <c r="BK215" s="27" t="s">
        <v>8</v>
      </c>
      <c r="BL215" s="27" t="s">
        <v>7</v>
      </c>
      <c r="BO215" s="27" t="s">
        <v>8</v>
      </c>
      <c r="BP215" s="27" t="s">
        <v>7</v>
      </c>
      <c r="BQ215" s="31"/>
      <c r="EC215" s="27" t="s">
        <v>8</v>
      </c>
    </row>
    <row r="216" spans="1:143" x14ac:dyDescent="0.25">
      <c r="A216" s="30">
        <v>3.2250999437137038</v>
      </c>
      <c r="E216"/>
      <c r="BK216" s="27" t="s">
        <v>8</v>
      </c>
      <c r="BL216" s="27" t="s">
        <v>7</v>
      </c>
      <c r="BM216" s="27" t="s">
        <v>8</v>
      </c>
      <c r="BO216" s="27" t="s">
        <v>8</v>
      </c>
      <c r="BP216" s="27" t="s">
        <v>7</v>
      </c>
      <c r="BR216" s="31"/>
      <c r="EC216" s="27" t="s">
        <v>8</v>
      </c>
      <c r="ED216" s="27" t="s">
        <v>7</v>
      </c>
    </row>
    <row r="217" spans="1:143" x14ac:dyDescent="0.25">
      <c r="A217" s="30">
        <v>3.0715237559178128</v>
      </c>
      <c r="E217"/>
      <c r="BK217" s="27" t="s">
        <v>8</v>
      </c>
      <c r="BL217" s="27" t="s">
        <v>7</v>
      </c>
      <c r="BM217" s="27" t="s">
        <v>8</v>
      </c>
      <c r="BN217" s="27" t="s">
        <v>7</v>
      </c>
      <c r="BO217" s="27" t="s">
        <v>8</v>
      </c>
      <c r="BP217" s="27" t="s">
        <v>7</v>
      </c>
      <c r="BS217" s="31"/>
      <c r="EC217" s="27" t="s">
        <v>8</v>
      </c>
      <c r="ED217" s="27" t="s">
        <v>7</v>
      </c>
      <c r="EE217" s="27" t="s">
        <v>8</v>
      </c>
    </row>
    <row r="218" spans="1:143" x14ac:dyDescent="0.25">
      <c r="A218" s="30">
        <v>2.9252607199217264</v>
      </c>
      <c r="E218"/>
      <c r="BK218" s="27" t="s">
        <v>8</v>
      </c>
      <c r="BL218" s="27" t="s">
        <v>7</v>
      </c>
      <c r="BM218" s="27" t="s">
        <v>8</v>
      </c>
      <c r="BN218" s="27" t="s">
        <v>7</v>
      </c>
      <c r="BO218" s="27" t="s">
        <v>8</v>
      </c>
      <c r="BP218" s="27" t="s">
        <v>7</v>
      </c>
      <c r="BT218" s="31"/>
      <c r="DS218" s="27" t="s">
        <v>8</v>
      </c>
      <c r="EC218" s="27" t="s">
        <v>8</v>
      </c>
      <c r="ED218" s="27" t="s">
        <v>7</v>
      </c>
      <c r="EE218" s="27" t="s">
        <v>8</v>
      </c>
      <c r="EF218" s="27" t="s">
        <v>7</v>
      </c>
    </row>
    <row r="219" spans="1:143" x14ac:dyDescent="0.25">
      <c r="A219" s="30">
        <v>2.7859625904016441</v>
      </c>
      <c r="E219"/>
      <c r="BK219" s="27" t="s">
        <v>8</v>
      </c>
      <c r="BL219" s="27" t="s">
        <v>7</v>
      </c>
      <c r="BM219" s="27" t="s">
        <v>8</v>
      </c>
      <c r="BN219" s="27" t="s">
        <v>7</v>
      </c>
      <c r="BO219" s="27" t="s">
        <v>8</v>
      </c>
      <c r="BP219" s="27" t="s">
        <v>7</v>
      </c>
      <c r="BU219" s="31"/>
      <c r="DS219" s="27" t="s">
        <v>8</v>
      </c>
      <c r="DT219" s="27" t="s">
        <v>7</v>
      </c>
      <c r="EC219" s="27" t="s">
        <v>8</v>
      </c>
      <c r="ED219" s="27" t="s">
        <v>7</v>
      </c>
      <c r="EE219" s="27" t="s">
        <v>8</v>
      </c>
      <c r="EF219" s="27" t="s">
        <v>7</v>
      </c>
    </row>
    <row r="220" spans="1:143" x14ac:dyDescent="0.25">
      <c r="A220" s="30">
        <v>2.6532977051444226</v>
      </c>
      <c r="E220"/>
      <c r="BK220" s="27" t="s">
        <v>8</v>
      </c>
      <c r="BL220" s="27" t="s">
        <v>7</v>
      </c>
      <c r="BN220" s="27" t="s">
        <v>7</v>
      </c>
      <c r="BP220" s="27" t="s">
        <v>7</v>
      </c>
      <c r="BQ220" s="27" t="s">
        <v>8</v>
      </c>
      <c r="BV220" s="31"/>
      <c r="CE220" s="31" t="s">
        <v>8</v>
      </c>
      <c r="DS220" s="27" t="s">
        <v>8</v>
      </c>
      <c r="DT220" s="27" t="s">
        <v>7</v>
      </c>
      <c r="EC220" s="27" t="s">
        <v>8</v>
      </c>
      <c r="ED220" s="27" t="s">
        <v>7</v>
      </c>
      <c r="EE220" s="27" t="s">
        <v>8</v>
      </c>
      <c r="EF220" s="27" t="s">
        <v>7</v>
      </c>
    </row>
    <row r="221" spans="1:143" x14ac:dyDescent="0.25">
      <c r="A221" s="30">
        <v>2.5269501953756404</v>
      </c>
      <c r="E221"/>
      <c r="BK221" s="27" t="s">
        <v>8</v>
      </c>
      <c r="BP221" s="27" t="s">
        <v>7</v>
      </c>
      <c r="BQ221" s="27" t="s">
        <v>8</v>
      </c>
      <c r="BR221" s="27" t="s">
        <v>7</v>
      </c>
      <c r="BS221" s="27" t="s">
        <v>8</v>
      </c>
      <c r="BW221" s="31"/>
      <c r="CE221" s="27" t="s">
        <v>8</v>
      </c>
      <c r="CF221" s="31" t="s">
        <v>7</v>
      </c>
      <c r="DS221" s="27" t="s">
        <v>8</v>
      </c>
      <c r="DT221" s="27" t="s">
        <v>7</v>
      </c>
      <c r="EC221" s="27" t="s">
        <v>8</v>
      </c>
      <c r="ED221" s="27" t="s">
        <v>7</v>
      </c>
      <c r="EF221" s="27" t="s">
        <v>7</v>
      </c>
    </row>
    <row r="222" spans="1:143" x14ac:dyDescent="0.25">
      <c r="A222" s="30">
        <v>2.4066192336910861</v>
      </c>
      <c r="E222"/>
      <c r="BK222" s="27" t="s">
        <v>8</v>
      </c>
      <c r="BP222" s="27" t="s">
        <v>7</v>
      </c>
      <c r="BQ222" s="27" t="s">
        <v>8</v>
      </c>
      <c r="BR222" s="27" t="s">
        <v>7</v>
      </c>
      <c r="BS222" s="27" t="s">
        <v>8</v>
      </c>
      <c r="BT222" s="27" t="s">
        <v>7</v>
      </c>
      <c r="BX222" s="31"/>
      <c r="CE222" s="27" t="s">
        <v>8</v>
      </c>
      <c r="CF222" s="27" t="s">
        <v>7</v>
      </c>
      <c r="CG222" s="31"/>
      <c r="DS222" s="27" t="s">
        <v>8</v>
      </c>
      <c r="DT222" s="27" t="s">
        <v>7</v>
      </c>
      <c r="DY222" s="27" t="s">
        <v>8</v>
      </c>
      <c r="EC222" s="27" t="s">
        <v>8</v>
      </c>
      <c r="EF222" s="27" t="s">
        <v>7</v>
      </c>
    </row>
    <row r="223" spans="1:143" x14ac:dyDescent="0.25">
      <c r="A223" s="30">
        <v>2.2920183178010345</v>
      </c>
      <c r="E223"/>
      <c r="BK223" s="27" t="s">
        <v>8</v>
      </c>
      <c r="BP223" s="27" t="s">
        <v>7</v>
      </c>
      <c r="BQ223" s="27" t="s">
        <v>8</v>
      </c>
      <c r="BR223" s="27" t="s">
        <v>7</v>
      </c>
      <c r="BS223" s="27" t="s">
        <v>8</v>
      </c>
      <c r="BT223" s="27" t="s">
        <v>7</v>
      </c>
      <c r="BY223" s="31"/>
      <c r="CE223" s="27" t="s">
        <v>8</v>
      </c>
      <c r="CF223" s="27" t="s">
        <v>7</v>
      </c>
      <c r="CH223" s="31"/>
      <c r="DS223" s="27" t="s">
        <v>8</v>
      </c>
      <c r="DT223" s="27" t="s">
        <v>7</v>
      </c>
      <c r="DY223" s="27" t="s">
        <v>8</v>
      </c>
      <c r="DZ223" s="27" t="s">
        <v>7</v>
      </c>
      <c r="EA223" s="27" t="s">
        <v>8</v>
      </c>
      <c r="EC223" s="27" t="s">
        <v>8</v>
      </c>
      <c r="EF223" s="27" t="s">
        <v>7</v>
      </c>
    </row>
    <row r="224" spans="1:143" x14ac:dyDescent="0.25">
      <c r="A224" s="30">
        <v>2.1828745883819374</v>
      </c>
      <c r="E224"/>
      <c r="BK224" s="27" t="s">
        <v>8</v>
      </c>
      <c r="BP224" s="27" t="s">
        <v>7</v>
      </c>
      <c r="BQ224" s="27" t="s">
        <v>8</v>
      </c>
      <c r="BR224" s="27" t="s">
        <v>7</v>
      </c>
      <c r="BT224" s="27" t="s">
        <v>7</v>
      </c>
      <c r="BZ224" s="31"/>
      <c r="CA224" s="27" t="s">
        <v>8</v>
      </c>
      <c r="CC224" s="27" t="s">
        <v>8</v>
      </c>
      <c r="CE224" s="27" t="s">
        <v>8</v>
      </c>
      <c r="CF224" s="27" t="s">
        <v>7</v>
      </c>
      <c r="CI224" s="31"/>
      <c r="DS224" s="27" t="s">
        <v>8</v>
      </c>
      <c r="DT224" s="27" t="s">
        <v>7</v>
      </c>
      <c r="DU224" s="27" t="s">
        <v>8</v>
      </c>
      <c r="DY224" s="27" t="s">
        <v>8</v>
      </c>
      <c r="DZ224" s="27" t="s">
        <v>7</v>
      </c>
      <c r="EA224" s="27" t="s">
        <v>8</v>
      </c>
      <c r="EB224" s="27" t="s">
        <v>7</v>
      </c>
      <c r="EC224" s="27" t="s">
        <v>8</v>
      </c>
      <c r="EF224" s="27" t="s">
        <v>7</v>
      </c>
      <c r="EM224" s="27" t="s">
        <v>8</v>
      </c>
    </row>
    <row r="225" spans="1:149" x14ac:dyDescent="0.25">
      <c r="A225" s="30">
        <v>2.0789281794113688</v>
      </c>
      <c r="E225"/>
      <c r="BK225" s="27" t="s">
        <v>8</v>
      </c>
      <c r="BP225" s="27" t="s">
        <v>7</v>
      </c>
      <c r="BT225" s="27" t="s">
        <v>7</v>
      </c>
      <c r="BU225" s="27" t="s">
        <v>8</v>
      </c>
      <c r="CA225" s="31" t="s">
        <v>8</v>
      </c>
      <c r="CB225" s="27" t="s">
        <v>7</v>
      </c>
      <c r="CC225" s="27" t="s">
        <v>8</v>
      </c>
      <c r="CD225" s="27" t="s">
        <v>7</v>
      </c>
      <c r="CE225" s="27" t="s">
        <v>8</v>
      </c>
      <c r="CF225" s="27" t="s">
        <v>7</v>
      </c>
      <c r="CJ225" s="31"/>
      <c r="DS225" s="27" t="s">
        <v>8</v>
      </c>
      <c r="DT225" s="27" t="s">
        <v>7</v>
      </c>
      <c r="DU225" s="27" t="s">
        <v>8</v>
      </c>
      <c r="DV225" s="27" t="s">
        <v>7</v>
      </c>
      <c r="DY225" s="27" t="s">
        <v>8</v>
      </c>
      <c r="DZ225" s="27" t="s">
        <v>7</v>
      </c>
      <c r="EA225" s="27" t="s">
        <v>8</v>
      </c>
      <c r="EB225" s="27" t="s">
        <v>7</v>
      </c>
      <c r="EC225" s="27" t="s">
        <v>8</v>
      </c>
      <c r="EF225" s="27" t="s">
        <v>7</v>
      </c>
      <c r="EM225" s="27" t="s">
        <v>8</v>
      </c>
      <c r="EN225" s="27" t="s">
        <v>7</v>
      </c>
    </row>
    <row r="226" spans="1:149" x14ac:dyDescent="0.25">
      <c r="A226" s="30">
        <v>1.9799315994393987</v>
      </c>
      <c r="E226"/>
      <c r="BI226" s="27" t="s">
        <v>8</v>
      </c>
      <c r="BK226" s="27" t="s">
        <v>8</v>
      </c>
      <c r="BT226" s="27" t="s">
        <v>7</v>
      </c>
      <c r="BU226" s="27" t="s">
        <v>8</v>
      </c>
      <c r="BV226" s="27" t="s">
        <v>7</v>
      </c>
      <c r="BW226" s="27" t="s">
        <v>8</v>
      </c>
      <c r="BY226" s="27" t="s">
        <v>8</v>
      </c>
      <c r="CA226" s="27" t="s">
        <v>8</v>
      </c>
      <c r="CB226" s="27" t="s">
        <v>7</v>
      </c>
      <c r="CC226" s="27" t="s">
        <v>8</v>
      </c>
      <c r="CD226" s="27" t="s">
        <v>7</v>
      </c>
      <c r="CE226" s="27" t="s">
        <v>8</v>
      </c>
      <c r="CF226" s="27" t="s">
        <v>7</v>
      </c>
      <c r="CK226" s="31"/>
      <c r="DS226" s="27" t="s">
        <v>8</v>
      </c>
      <c r="DT226" s="27" t="s">
        <v>7</v>
      </c>
      <c r="DU226" s="27" t="s">
        <v>8</v>
      </c>
      <c r="DV226" s="27" t="s">
        <v>7</v>
      </c>
      <c r="DY226" s="27" t="s">
        <v>8</v>
      </c>
      <c r="DZ226" s="27" t="s">
        <v>7</v>
      </c>
      <c r="EA226" s="27" t="s">
        <v>8</v>
      </c>
      <c r="EB226" s="27" t="s">
        <v>7</v>
      </c>
      <c r="EC226" s="27" t="s">
        <v>8</v>
      </c>
      <c r="EF226" s="27" t="s">
        <v>7</v>
      </c>
      <c r="EG226" s="27" t="s">
        <v>8</v>
      </c>
      <c r="EI226" s="27" t="s">
        <v>8</v>
      </c>
      <c r="EM226" s="27" t="s">
        <v>8</v>
      </c>
      <c r="EN226" s="27" t="s">
        <v>7</v>
      </c>
      <c r="EO226" s="27" t="s">
        <v>8</v>
      </c>
    </row>
    <row r="227" spans="1:149" x14ac:dyDescent="0.25">
      <c r="A227" s="30">
        <v>1.8856491423232367</v>
      </c>
      <c r="E227"/>
      <c r="BI227" s="27" t="s">
        <v>8</v>
      </c>
      <c r="BJ227" s="27" t="s">
        <v>7</v>
      </c>
      <c r="BK227" s="27" t="s">
        <v>8</v>
      </c>
      <c r="BT227" s="27" t="s">
        <v>7</v>
      </c>
      <c r="BU227" s="27" t="s">
        <v>8</v>
      </c>
      <c r="BV227" s="27" t="s">
        <v>7</v>
      </c>
      <c r="BW227" s="27" t="s">
        <v>8</v>
      </c>
      <c r="BX227" s="27" t="s">
        <v>7</v>
      </c>
      <c r="BY227" s="27" t="s">
        <v>8</v>
      </c>
      <c r="BZ227" s="27" t="s">
        <v>7</v>
      </c>
      <c r="CA227" s="27" t="s">
        <v>8</v>
      </c>
      <c r="CB227" s="27" t="s">
        <v>7</v>
      </c>
      <c r="CD227" s="27" t="s">
        <v>7</v>
      </c>
      <c r="CE227" s="27" t="s">
        <v>8</v>
      </c>
      <c r="CF227" s="27" t="s">
        <v>7</v>
      </c>
      <c r="CL227" s="31"/>
      <c r="DK227" s="27" t="s">
        <v>8</v>
      </c>
      <c r="DS227" s="27" t="s">
        <v>8</v>
      </c>
      <c r="DT227" s="27" t="s">
        <v>7</v>
      </c>
      <c r="DU227" s="27" t="s">
        <v>8</v>
      </c>
      <c r="DV227" s="27" t="s">
        <v>7</v>
      </c>
      <c r="DW227" s="27" t="s">
        <v>8</v>
      </c>
      <c r="DY227" s="27" t="s">
        <v>8</v>
      </c>
      <c r="DZ227" s="27" t="s">
        <v>7</v>
      </c>
      <c r="EA227" s="27" t="s">
        <v>8</v>
      </c>
      <c r="EB227" s="27" t="s">
        <v>7</v>
      </c>
      <c r="EF227" s="27" t="s">
        <v>7</v>
      </c>
      <c r="EG227" s="27" t="s">
        <v>8</v>
      </c>
      <c r="EH227" s="27" t="s">
        <v>7</v>
      </c>
      <c r="EI227" s="27" t="s">
        <v>8</v>
      </c>
      <c r="EJ227" s="27" t="s">
        <v>7</v>
      </c>
      <c r="EM227" s="27" t="s">
        <v>8</v>
      </c>
      <c r="EN227" s="27" t="s">
        <v>7</v>
      </c>
      <c r="EO227" s="27" t="s">
        <v>8</v>
      </c>
      <c r="EP227" s="27" t="s">
        <v>7</v>
      </c>
    </row>
    <row r="228" spans="1:149" x14ac:dyDescent="0.25">
      <c r="A228" s="30">
        <v>1.7958563260221301</v>
      </c>
      <c r="C228" s="7"/>
      <c r="D228"/>
      <c r="E228"/>
      <c r="BI228" s="27" t="s">
        <v>8</v>
      </c>
      <c r="BJ228" s="27" t="s">
        <v>7</v>
      </c>
      <c r="BK228" s="27" t="s">
        <v>8</v>
      </c>
      <c r="BT228" s="27" t="s">
        <v>7</v>
      </c>
      <c r="BU228" s="27" t="s">
        <v>8</v>
      </c>
      <c r="BV228" s="27" t="s">
        <v>7</v>
      </c>
      <c r="BW228" s="27" t="s">
        <v>8</v>
      </c>
      <c r="BX228" s="27" t="s">
        <v>7</v>
      </c>
      <c r="BY228" s="27" t="s">
        <v>8</v>
      </c>
      <c r="BZ228" s="27" t="s">
        <v>7</v>
      </c>
      <c r="CA228" s="27" t="s">
        <v>8</v>
      </c>
      <c r="CD228" s="27" t="s">
        <v>7</v>
      </c>
      <c r="CF228" s="27" t="s">
        <v>7</v>
      </c>
      <c r="CG228" s="27" t="s">
        <v>8</v>
      </c>
      <c r="CM228" s="31"/>
      <c r="DK228" s="27" t="s">
        <v>8</v>
      </c>
      <c r="DL228" s="27" t="s">
        <v>7</v>
      </c>
      <c r="DS228" s="27" t="s">
        <v>8</v>
      </c>
      <c r="DT228" s="27" t="s">
        <v>7</v>
      </c>
      <c r="DU228" s="27" t="s">
        <v>8</v>
      </c>
      <c r="DV228" s="27" t="s">
        <v>7</v>
      </c>
      <c r="DW228" s="27" t="s">
        <v>8</v>
      </c>
      <c r="DX228" s="27" t="s">
        <v>7</v>
      </c>
      <c r="DY228" s="27" t="s">
        <v>8</v>
      </c>
      <c r="DZ228" s="27" t="s">
        <v>7</v>
      </c>
      <c r="EA228" s="27" t="s">
        <v>8</v>
      </c>
      <c r="EF228" s="27" t="s">
        <v>7</v>
      </c>
      <c r="EG228" s="27" t="s">
        <v>8</v>
      </c>
      <c r="EH228" s="27" t="s">
        <v>7</v>
      </c>
      <c r="EI228" s="27" t="s">
        <v>8</v>
      </c>
      <c r="EJ228" s="27" t="s">
        <v>7</v>
      </c>
      <c r="EK228" s="27" t="s">
        <v>8</v>
      </c>
      <c r="EM228" s="27" t="s">
        <v>8</v>
      </c>
      <c r="EN228" s="27" t="s">
        <v>7</v>
      </c>
      <c r="EO228" s="27" t="s">
        <v>8</v>
      </c>
      <c r="EP228" s="27" t="s">
        <v>7</v>
      </c>
      <c r="EQ228" s="27" t="s">
        <v>8</v>
      </c>
    </row>
    <row r="229" spans="1:149" x14ac:dyDescent="0.25">
      <c r="A229" s="30">
        <v>1.7103393581163142</v>
      </c>
      <c r="E229"/>
      <c r="BI229" s="27" t="s">
        <v>8</v>
      </c>
      <c r="BJ229" s="27" t="s">
        <v>7</v>
      </c>
      <c r="BK229" s="27" t="s">
        <v>8</v>
      </c>
      <c r="BT229" s="27" t="s">
        <v>7</v>
      </c>
      <c r="BV229" s="27" t="s">
        <v>7</v>
      </c>
      <c r="BW229" s="27" t="s">
        <v>8</v>
      </c>
      <c r="BX229" s="27" t="s">
        <v>7</v>
      </c>
      <c r="BY229" s="27" t="s">
        <v>8</v>
      </c>
      <c r="BZ229" s="27" t="s">
        <v>7</v>
      </c>
      <c r="CA229" s="27" t="s">
        <v>8</v>
      </c>
      <c r="CF229" s="27" t="s">
        <v>7</v>
      </c>
      <c r="CG229" s="27" t="s">
        <v>8</v>
      </c>
      <c r="CH229" s="27" t="s">
        <v>7</v>
      </c>
      <c r="CN229" s="31"/>
      <c r="DI229" s="27" t="s">
        <v>8</v>
      </c>
      <c r="DK229" s="27" t="s">
        <v>8</v>
      </c>
      <c r="DL229" s="27" t="s">
        <v>7</v>
      </c>
      <c r="DS229" s="27" t="s">
        <v>8</v>
      </c>
      <c r="DT229" s="27" t="s">
        <v>7</v>
      </c>
      <c r="DV229" s="27" t="s">
        <v>7</v>
      </c>
      <c r="DW229" s="27" t="s">
        <v>8</v>
      </c>
      <c r="DX229" s="27" t="s">
        <v>7</v>
      </c>
      <c r="DY229" s="27" t="s">
        <v>8</v>
      </c>
      <c r="DZ229" s="27" t="s">
        <v>7</v>
      </c>
      <c r="EF229" s="27" t="s">
        <v>7</v>
      </c>
      <c r="EG229" s="27" t="s">
        <v>8</v>
      </c>
      <c r="EH229" s="27" t="s">
        <v>7</v>
      </c>
      <c r="EI229" s="27" t="s">
        <v>8</v>
      </c>
      <c r="EJ229" s="27" t="s">
        <v>7</v>
      </c>
      <c r="EK229" s="27" t="s">
        <v>8</v>
      </c>
      <c r="EL229" s="27" t="s">
        <v>7</v>
      </c>
      <c r="EM229" s="27" t="s">
        <v>8</v>
      </c>
      <c r="EN229" s="27" t="s">
        <v>7</v>
      </c>
      <c r="EP229" s="27" t="s">
        <v>7</v>
      </c>
      <c r="EQ229" s="27" t="s">
        <v>8</v>
      </c>
      <c r="ER229" s="27" t="s">
        <v>7</v>
      </c>
    </row>
    <row r="230" spans="1:149" x14ac:dyDescent="0.25">
      <c r="A230" s="30">
        <v>1.628894626777442</v>
      </c>
      <c r="E230"/>
      <c r="BI230" s="27" t="s">
        <v>8</v>
      </c>
      <c r="BJ230" s="27" t="s">
        <v>7</v>
      </c>
      <c r="BK230" s="27" t="s">
        <v>8</v>
      </c>
      <c r="BV230" s="27" t="s">
        <v>7</v>
      </c>
      <c r="BX230" s="27" t="s">
        <v>7</v>
      </c>
      <c r="BY230" s="27" t="s">
        <v>8</v>
      </c>
      <c r="BZ230" s="27" t="s">
        <v>7</v>
      </c>
      <c r="CA230" s="27" t="s">
        <v>8</v>
      </c>
      <c r="CF230" s="27" t="s">
        <v>7</v>
      </c>
      <c r="CG230" s="27" t="s">
        <v>8</v>
      </c>
      <c r="CH230" s="27" t="s">
        <v>7</v>
      </c>
      <c r="CO230" s="31"/>
      <c r="DI230" s="27" t="s">
        <v>8</v>
      </c>
      <c r="DJ230" s="27" t="s">
        <v>7</v>
      </c>
      <c r="DK230" s="27" t="s">
        <v>8</v>
      </c>
      <c r="DL230" s="27" t="s">
        <v>7</v>
      </c>
      <c r="DS230" s="27" t="s">
        <v>8</v>
      </c>
      <c r="DV230" s="27" t="s">
        <v>7</v>
      </c>
      <c r="DW230" s="27" t="s">
        <v>8</v>
      </c>
      <c r="DX230" s="27" t="s">
        <v>7</v>
      </c>
      <c r="DY230" s="27" t="s">
        <v>8</v>
      </c>
      <c r="EF230" s="27" t="s">
        <v>7</v>
      </c>
      <c r="EG230" s="27" t="s">
        <v>8</v>
      </c>
      <c r="EH230" s="27" t="s">
        <v>7</v>
      </c>
      <c r="EJ230" s="27" t="s">
        <v>7</v>
      </c>
      <c r="EK230" s="27" t="s">
        <v>8</v>
      </c>
      <c r="EL230" s="27" t="s">
        <v>7</v>
      </c>
      <c r="EM230" s="27" t="s">
        <v>8</v>
      </c>
      <c r="EP230" s="27" t="s">
        <v>7</v>
      </c>
      <c r="EQ230" s="27" t="s">
        <v>8</v>
      </c>
      <c r="ER230" s="27" t="s">
        <v>7</v>
      </c>
    </row>
    <row r="231" spans="1:149" x14ac:dyDescent="0.25">
      <c r="A231" s="30">
        <v>1.5513282159785162</v>
      </c>
      <c r="C231"/>
      <c r="D231"/>
      <c r="E231"/>
      <c r="BI231" s="27" t="s">
        <v>8</v>
      </c>
      <c r="BJ231" s="27" t="s">
        <v>7</v>
      </c>
      <c r="BK231" s="27" t="s">
        <v>8</v>
      </c>
      <c r="BX231" s="27" t="s">
        <v>7</v>
      </c>
      <c r="BY231" s="27" t="s">
        <v>8</v>
      </c>
      <c r="BZ231" s="27" t="s">
        <v>7</v>
      </c>
      <c r="CF231" s="27" t="s">
        <v>7</v>
      </c>
      <c r="CG231" s="27" t="s">
        <v>8</v>
      </c>
      <c r="CH231" s="27" t="s">
        <v>7</v>
      </c>
      <c r="CP231" s="31"/>
      <c r="DI231" s="27" t="s">
        <v>8</v>
      </c>
      <c r="DJ231" s="27" t="s">
        <v>7</v>
      </c>
      <c r="DK231" s="27" t="s">
        <v>8</v>
      </c>
      <c r="DL231" s="27" t="s">
        <v>7</v>
      </c>
      <c r="DM231" s="27" t="s">
        <v>8</v>
      </c>
      <c r="DS231" s="27" t="s">
        <v>8</v>
      </c>
      <c r="DV231" s="27" t="s">
        <v>7</v>
      </c>
      <c r="DW231" s="27" t="s">
        <v>8</v>
      </c>
      <c r="DX231" s="27" t="s">
        <v>7</v>
      </c>
      <c r="DY231" s="27" t="s">
        <v>8</v>
      </c>
      <c r="EF231" s="27" t="s">
        <v>7</v>
      </c>
      <c r="EG231" s="27" t="s">
        <v>8</v>
      </c>
      <c r="EJ231" s="27" t="s">
        <v>7</v>
      </c>
      <c r="EK231" s="27" t="s">
        <v>8</v>
      </c>
      <c r="EL231" s="27" t="s">
        <v>7</v>
      </c>
      <c r="EP231" s="27" t="s">
        <v>7</v>
      </c>
      <c r="EQ231" s="27" t="s">
        <v>8</v>
      </c>
      <c r="ER231" s="27" t="s">
        <v>7</v>
      </c>
    </row>
    <row r="232" spans="1:149" x14ac:dyDescent="0.25">
      <c r="A232" s="30">
        <v>1.477455443789063</v>
      </c>
      <c r="E232"/>
      <c r="BI232" s="27" t="s">
        <v>8</v>
      </c>
      <c r="BJ232" s="27" t="s">
        <v>7</v>
      </c>
      <c r="BK232" s="27" t="s">
        <v>8</v>
      </c>
      <c r="BX232" s="27" t="s">
        <v>7</v>
      </c>
      <c r="BY232" s="27" t="s">
        <v>8</v>
      </c>
      <c r="CF232" s="27" t="s">
        <v>7</v>
      </c>
      <c r="CG232" s="27" t="s">
        <v>8</v>
      </c>
      <c r="CH232" s="27" t="s">
        <v>7</v>
      </c>
      <c r="CI232" s="27" t="s">
        <v>8</v>
      </c>
      <c r="CQ232" s="31"/>
      <c r="DI232" s="27" t="s">
        <v>8</v>
      </c>
      <c r="DJ232" s="27" t="s">
        <v>7</v>
      </c>
      <c r="DK232" s="27" t="s">
        <v>8</v>
      </c>
      <c r="DL232" s="27" t="s">
        <v>7</v>
      </c>
      <c r="DM232" s="27" t="s">
        <v>8</v>
      </c>
      <c r="DN232" s="27" t="s">
        <v>7</v>
      </c>
      <c r="DO232" s="27" t="s">
        <v>8</v>
      </c>
      <c r="DQ232" s="27" t="s">
        <v>8</v>
      </c>
      <c r="DS232" s="27" t="s">
        <v>8</v>
      </c>
      <c r="DV232" s="27" t="s">
        <v>7</v>
      </c>
      <c r="DW232" s="27" t="s">
        <v>8</v>
      </c>
      <c r="DX232" s="27" t="s">
        <v>7</v>
      </c>
      <c r="EF232" s="27" t="s">
        <v>7</v>
      </c>
      <c r="EG232" s="27" t="s">
        <v>8</v>
      </c>
      <c r="EJ232" s="27" t="s">
        <v>7</v>
      </c>
      <c r="EK232" s="27" t="s">
        <v>8</v>
      </c>
      <c r="EP232" s="27" t="s">
        <v>7</v>
      </c>
      <c r="EQ232" s="27" t="s">
        <v>8</v>
      </c>
      <c r="ER232" s="27" t="s">
        <v>7</v>
      </c>
    </row>
    <row r="233" spans="1:149" x14ac:dyDescent="0.25">
      <c r="A233" s="30">
        <v>1.4071004226562505</v>
      </c>
      <c r="E233"/>
      <c r="BI233" s="27" t="s">
        <v>8</v>
      </c>
      <c r="BJ233" s="27" t="s">
        <v>7</v>
      </c>
      <c r="BK233" s="27" t="s">
        <v>8</v>
      </c>
      <c r="BX233" s="27" t="s">
        <v>7</v>
      </c>
      <c r="BY233" s="27" t="s">
        <v>8</v>
      </c>
      <c r="CF233" s="27" t="s">
        <v>7</v>
      </c>
      <c r="CH233" s="27" t="s">
        <v>7</v>
      </c>
      <c r="CI233" s="27" t="s">
        <v>8</v>
      </c>
      <c r="CJ233" s="27" t="s">
        <v>7</v>
      </c>
      <c r="CR233" s="31"/>
      <c r="DG233" s="27" t="s">
        <v>8</v>
      </c>
      <c r="DI233" s="27" t="s">
        <v>8</v>
      </c>
      <c r="DJ233" s="27" t="s">
        <v>7</v>
      </c>
      <c r="DK233" s="27" t="s">
        <v>8</v>
      </c>
      <c r="DL233" s="27" t="s">
        <v>7</v>
      </c>
      <c r="DM233" s="27" t="s">
        <v>8</v>
      </c>
      <c r="DN233" s="27" t="s">
        <v>7</v>
      </c>
      <c r="DO233" s="27" t="s">
        <v>8</v>
      </c>
      <c r="DP233" s="27" t="s">
        <v>7</v>
      </c>
      <c r="DQ233" s="27" t="s">
        <v>8</v>
      </c>
      <c r="DR233" s="27" t="s">
        <v>7</v>
      </c>
      <c r="DS233" s="27" t="s">
        <v>8</v>
      </c>
      <c r="DV233" s="27" t="s">
        <v>7</v>
      </c>
      <c r="EF233" s="27" t="s">
        <v>7</v>
      </c>
      <c r="EJ233" s="27" t="s">
        <v>7</v>
      </c>
      <c r="EP233" s="27" t="s">
        <v>7</v>
      </c>
      <c r="ER233" s="27" t="s">
        <v>7</v>
      </c>
    </row>
    <row r="234" spans="1:149" x14ac:dyDescent="0.25">
      <c r="A234" s="30">
        <v>1.3400956406250004</v>
      </c>
      <c r="E234"/>
      <c r="BI234" s="27" t="s">
        <v>8</v>
      </c>
      <c r="BJ234" s="27" t="s">
        <v>7</v>
      </c>
      <c r="BX234" s="27" t="s">
        <v>7</v>
      </c>
      <c r="BY234" s="27" t="s">
        <v>8</v>
      </c>
      <c r="CH234" s="27" t="s">
        <v>7</v>
      </c>
      <c r="CI234" s="27" t="s">
        <v>8</v>
      </c>
      <c r="CJ234" s="27" t="s">
        <v>7</v>
      </c>
      <c r="CS234" s="31"/>
      <c r="DG234" s="27" t="s">
        <v>8</v>
      </c>
      <c r="DH234" s="27" t="s">
        <v>7</v>
      </c>
      <c r="DI234" s="27" t="s">
        <v>8</v>
      </c>
      <c r="DJ234" s="27" t="s">
        <v>7</v>
      </c>
      <c r="DL234" s="27" t="s">
        <v>7</v>
      </c>
      <c r="DM234" s="27" t="s">
        <v>8</v>
      </c>
      <c r="DN234" s="27" t="s">
        <v>7</v>
      </c>
      <c r="DO234" s="27" t="s">
        <v>8</v>
      </c>
      <c r="DP234" s="27" t="s">
        <v>7</v>
      </c>
      <c r="DQ234" s="27" t="s">
        <v>8</v>
      </c>
      <c r="DR234" s="27" t="s">
        <v>7</v>
      </c>
      <c r="DS234" s="27" t="s">
        <v>8</v>
      </c>
      <c r="ER234" s="27" t="s">
        <v>7</v>
      </c>
    </row>
    <row r="235" spans="1:149" x14ac:dyDescent="0.25">
      <c r="A235" s="30">
        <v>1.2762815625000004</v>
      </c>
      <c r="C235"/>
      <c r="E235"/>
      <c r="BI235" s="27" t="s">
        <v>8</v>
      </c>
      <c r="BX235" s="27" t="s">
        <v>7</v>
      </c>
      <c r="CH235" s="27" t="s">
        <v>7</v>
      </c>
      <c r="CI235" s="27" t="s">
        <v>8</v>
      </c>
      <c r="CJ235" s="27" t="s">
        <v>7</v>
      </c>
      <c r="CM235" s="27" t="s">
        <v>8</v>
      </c>
      <c r="CO235" s="27" t="s">
        <v>8</v>
      </c>
      <c r="CT235" s="31"/>
      <c r="DG235" s="27" t="s">
        <v>8</v>
      </c>
      <c r="DH235" s="27" t="s">
        <v>7</v>
      </c>
      <c r="DI235" s="27" t="s">
        <v>8</v>
      </c>
      <c r="DL235" s="27" t="s">
        <v>7</v>
      </c>
      <c r="DM235" s="27" t="s">
        <v>8</v>
      </c>
      <c r="DN235" s="27" t="s">
        <v>7</v>
      </c>
      <c r="DP235" s="27" t="s">
        <v>7</v>
      </c>
      <c r="DQ235" s="27" t="s">
        <v>8</v>
      </c>
      <c r="DR235" s="27" t="s">
        <v>7</v>
      </c>
      <c r="DS235" s="27" t="s">
        <v>8</v>
      </c>
      <c r="ER235" s="27" t="s">
        <v>7</v>
      </c>
    </row>
    <row r="236" spans="1:149" x14ac:dyDescent="0.25">
      <c r="A236" s="30">
        <v>1.2155062500000002</v>
      </c>
      <c r="E236"/>
      <c r="BI236" s="27" t="s">
        <v>8</v>
      </c>
      <c r="CH236" s="27" t="s">
        <v>7</v>
      </c>
      <c r="CI236" s="27" t="s">
        <v>8</v>
      </c>
      <c r="CJ236" s="27" t="s">
        <v>7</v>
      </c>
      <c r="CM236" s="27" t="s">
        <v>8</v>
      </c>
      <c r="CN236" s="27" t="s">
        <v>7</v>
      </c>
      <c r="CO236" s="27" t="s">
        <v>8</v>
      </c>
      <c r="CP236" s="27" t="s">
        <v>7</v>
      </c>
      <c r="CU236" s="31"/>
      <c r="DG236" s="27" t="s">
        <v>8</v>
      </c>
      <c r="DH236" s="27" t="s">
        <v>7</v>
      </c>
      <c r="DI236" s="27" t="s">
        <v>8</v>
      </c>
      <c r="DL236" s="27" t="s">
        <v>7</v>
      </c>
      <c r="DP236" s="27" t="s">
        <v>7</v>
      </c>
      <c r="DQ236" s="27" t="s">
        <v>8</v>
      </c>
      <c r="DR236" s="27" t="s">
        <v>7</v>
      </c>
      <c r="DS236" s="27" t="s">
        <v>8</v>
      </c>
      <c r="ER236" s="27" t="s">
        <v>7</v>
      </c>
    </row>
    <row r="237" spans="1:14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I237" s="27" t="s">
        <v>8</v>
      </c>
      <c r="CH237" s="27" t="s">
        <v>7</v>
      </c>
      <c r="CI237" s="27" t="s">
        <v>8</v>
      </c>
      <c r="CJ237" s="27" t="s">
        <v>7</v>
      </c>
      <c r="CK237" s="27" t="s">
        <v>8</v>
      </c>
      <c r="CM237" s="27" t="s">
        <v>8</v>
      </c>
      <c r="CN237" s="27" t="s">
        <v>7</v>
      </c>
      <c r="CO237" s="27" t="s">
        <v>8</v>
      </c>
      <c r="CP237" s="27" t="s">
        <v>7</v>
      </c>
      <c r="CV237" s="31"/>
      <c r="DE237" s="27" t="s">
        <v>8</v>
      </c>
      <c r="DG237" s="27" t="s">
        <v>8</v>
      </c>
      <c r="DH237" s="27" t="s">
        <v>7</v>
      </c>
      <c r="DP237" s="27" t="s">
        <v>7</v>
      </c>
      <c r="DQ237" s="27" t="s">
        <v>8</v>
      </c>
      <c r="DR237" s="27" t="s">
        <v>7</v>
      </c>
      <c r="DS237" s="27" t="s">
        <v>8</v>
      </c>
      <c r="ER237" s="27" t="s">
        <v>7</v>
      </c>
    </row>
    <row r="238" spans="1:149" x14ac:dyDescent="0.25">
      <c r="A238" s="30">
        <v>1.1025</v>
      </c>
      <c r="E238"/>
      <c r="BI238" s="27" t="s">
        <v>8</v>
      </c>
      <c r="CH238" s="27" t="s">
        <v>7</v>
      </c>
      <c r="CI238" s="27" t="s">
        <v>8</v>
      </c>
      <c r="CJ238" s="27" t="s">
        <v>7</v>
      </c>
      <c r="CK238" s="27" t="s">
        <v>8</v>
      </c>
      <c r="CL238" s="27" t="s">
        <v>7</v>
      </c>
      <c r="CM238" s="27" t="s">
        <v>8</v>
      </c>
      <c r="CN238" s="27" t="s">
        <v>7</v>
      </c>
      <c r="CO238" s="27" t="s">
        <v>8</v>
      </c>
      <c r="CP238" s="27" t="s">
        <v>7</v>
      </c>
      <c r="CW238" s="31" t="s">
        <v>8</v>
      </c>
      <c r="DC238" s="27" t="s">
        <v>8</v>
      </c>
      <c r="DE238" s="27" t="s">
        <v>8</v>
      </c>
      <c r="DF238" s="27" t="s">
        <v>7</v>
      </c>
      <c r="DG238" s="27" t="s">
        <v>8</v>
      </c>
      <c r="DP238" s="27" t="s">
        <v>7</v>
      </c>
      <c r="DQ238" s="27" t="s">
        <v>8</v>
      </c>
      <c r="DR238" s="27" t="s">
        <v>7</v>
      </c>
      <c r="ER238" s="27" t="s">
        <v>7</v>
      </c>
      <c r="ES238" s="27" t="s">
        <v>8</v>
      </c>
    </row>
    <row r="239" spans="1:149" x14ac:dyDescent="0.25">
      <c r="A239" s="30">
        <v>1.05</v>
      </c>
      <c r="E239"/>
      <c r="BI239" s="27" t="s">
        <v>8</v>
      </c>
      <c r="CH239" s="27" t="s">
        <v>7</v>
      </c>
      <c r="CI239" s="27" t="s">
        <v>8</v>
      </c>
      <c r="CJ239" s="27" t="s">
        <v>7</v>
      </c>
      <c r="CK239" s="27" t="s">
        <v>8</v>
      </c>
      <c r="CL239" s="27" t="s">
        <v>7</v>
      </c>
      <c r="CM239" s="27" t="s">
        <v>8</v>
      </c>
      <c r="CN239" s="27" t="s">
        <v>7</v>
      </c>
      <c r="CO239" s="27" t="s">
        <v>8</v>
      </c>
      <c r="CP239" s="27" t="s">
        <v>7</v>
      </c>
      <c r="CW239" s="27" t="s">
        <v>8</v>
      </c>
      <c r="CX239" s="31" t="s">
        <v>7</v>
      </c>
      <c r="CY239" s="27" t="s">
        <v>8</v>
      </c>
      <c r="DC239" s="33" t="s">
        <v>8</v>
      </c>
      <c r="DD239" s="27" t="s">
        <v>7</v>
      </c>
      <c r="DE239" s="27" t="s">
        <v>8</v>
      </c>
      <c r="DF239" s="27" t="s">
        <v>7</v>
      </c>
      <c r="DG239" s="27" t="s">
        <v>8</v>
      </c>
      <c r="DP239" s="27" t="s">
        <v>7</v>
      </c>
      <c r="DQ239" s="27" t="s">
        <v>8</v>
      </c>
      <c r="ER239" s="27" t="s">
        <v>7</v>
      </c>
      <c r="ES239" s="27" t="s">
        <v>8</v>
      </c>
    </row>
    <row r="240" spans="1:149" x14ac:dyDescent="0.25">
      <c r="A240" s="30">
        <v>1</v>
      </c>
      <c r="E240" s="29" t="s">
        <v>8</v>
      </c>
      <c r="BG240" s="27" t="s">
        <v>8</v>
      </c>
      <c r="BI240" s="27" t="s">
        <v>8</v>
      </c>
      <c r="CH240" s="27" t="s">
        <v>7</v>
      </c>
      <c r="CI240" s="27" t="s">
        <v>8</v>
      </c>
      <c r="CJ240" s="27" t="s">
        <v>7</v>
      </c>
      <c r="CK240" s="27" t="s">
        <v>8</v>
      </c>
      <c r="CL240" s="27" t="s">
        <v>7</v>
      </c>
      <c r="CN240" s="27" t="s">
        <v>7</v>
      </c>
      <c r="CO240" s="27" t="s">
        <v>8</v>
      </c>
      <c r="CP240" s="27" t="s">
        <v>7</v>
      </c>
      <c r="CQ240" s="27" t="s">
        <v>8</v>
      </c>
      <c r="CW240" s="27" t="s">
        <v>8</v>
      </c>
      <c r="CX240" s="27" t="s">
        <v>7</v>
      </c>
      <c r="CY240" s="27" t="s">
        <v>8</v>
      </c>
      <c r="CZ240" s="27" t="s">
        <v>7</v>
      </c>
      <c r="DA240" s="27" t="s">
        <v>8</v>
      </c>
      <c r="DC240" s="27" t="s">
        <v>8</v>
      </c>
      <c r="DD240" s="27" t="s">
        <v>7</v>
      </c>
      <c r="DE240" s="27" t="s">
        <v>8</v>
      </c>
      <c r="DF240" s="27" t="s">
        <v>7</v>
      </c>
      <c r="DP240" s="27" t="s">
        <v>7</v>
      </c>
      <c r="ER240" s="27" t="s">
        <v>7</v>
      </c>
      <c r="ES240" s="27" t="s">
        <v>8</v>
      </c>
    </row>
    <row r="241" spans="1:148" x14ac:dyDescent="0.25">
      <c r="A241" s="30">
        <v>0.952380952380952</v>
      </c>
      <c r="B241"/>
      <c r="C241"/>
      <c r="D241"/>
      <c r="E241"/>
      <c r="F241" s="27" t="s">
        <v>7</v>
      </c>
      <c r="BE241" s="27" t="s">
        <v>8</v>
      </c>
      <c r="BG241" s="27" t="s">
        <v>8</v>
      </c>
      <c r="BH241" s="27" t="s">
        <v>7</v>
      </c>
      <c r="BI241" s="27" t="s">
        <v>8</v>
      </c>
      <c r="CH241" s="27" t="s">
        <v>7</v>
      </c>
      <c r="CI241" s="27" t="s">
        <v>8</v>
      </c>
      <c r="CJ241" s="27" t="s">
        <v>7</v>
      </c>
      <c r="CK241" s="27" t="s">
        <v>8</v>
      </c>
      <c r="CN241" s="27" t="s">
        <v>7</v>
      </c>
      <c r="CP241" s="27" t="s">
        <v>7</v>
      </c>
      <c r="CQ241" s="27" t="s">
        <v>8</v>
      </c>
      <c r="CR241" s="27" t="s">
        <v>7</v>
      </c>
      <c r="CW241" s="27" t="s">
        <v>8</v>
      </c>
      <c r="CX241" s="27" t="s">
        <v>7</v>
      </c>
      <c r="CY241" s="27" t="s">
        <v>8</v>
      </c>
      <c r="CZ241" s="27" t="s">
        <v>7</v>
      </c>
      <c r="DA241" s="27" t="s">
        <v>8</v>
      </c>
      <c r="DB241" s="27" t="s">
        <v>7</v>
      </c>
      <c r="DC241" s="27" t="s">
        <v>8</v>
      </c>
      <c r="DD241" s="27" t="s">
        <v>7</v>
      </c>
      <c r="ER241" s="27" t="s">
        <v>7</v>
      </c>
    </row>
    <row r="242" spans="1:148" x14ac:dyDescent="0.25">
      <c r="A242" s="30">
        <v>0.90702947845804915</v>
      </c>
      <c r="B242"/>
      <c r="C242"/>
      <c r="D242"/>
      <c r="E242"/>
      <c r="F242" s="27" t="s">
        <v>7</v>
      </c>
      <c r="AW242" s="27" t="s">
        <v>8</v>
      </c>
      <c r="AY242" s="27" t="s">
        <v>8</v>
      </c>
      <c r="BE242" s="27" t="s">
        <v>8</v>
      </c>
      <c r="BF242" s="27" t="s">
        <v>7</v>
      </c>
      <c r="BG242" s="27" t="s">
        <v>8</v>
      </c>
      <c r="BH242" s="27" t="s">
        <v>7</v>
      </c>
      <c r="BI242" s="27" t="s">
        <v>8</v>
      </c>
      <c r="CH242" s="27" t="s">
        <v>7</v>
      </c>
      <c r="CI242" s="27" t="s">
        <v>8</v>
      </c>
      <c r="CJ242" s="27" t="s">
        <v>7</v>
      </c>
      <c r="CK242" s="27" t="s">
        <v>8</v>
      </c>
      <c r="CP242" s="27" t="s">
        <v>7</v>
      </c>
      <c r="CQ242" s="27" t="s">
        <v>8</v>
      </c>
      <c r="CR242" s="27" t="s">
        <v>7</v>
      </c>
      <c r="CU242" s="27" t="s">
        <v>8</v>
      </c>
      <c r="CW242" s="27" t="s">
        <v>8</v>
      </c>
      <c r="CX242" s="27" t="s">
        <v>7</v>
      </c>
      <c r="CZ242" s="27" t="s">
        <v>7</v>
      </c>
      <c r="DA242" s="27" t="s">
        <v>8</v>
      </c>
      <c r="DB242" s="27" t="s">
        <v>7</v>
      </c>
      <c r="DC242" s="27" t="s">
        <v>8</v>
      </c>
    </row>
    <row r="243" spans="1:148" x14ac:dyDescent="0.25">
      <c r="A243" s="30">
        <v>0.86383759853147501</v>
      </c>
      <c r="B243"/>
      <c r="C243"/>
      <c r="D243"/>
      <c r="E243"/>
      <c r="F243" s="27" t="s">
        <v>7</v>
      </c>
      <c r="AW243" s="27" t="s">
        <v>8</v>
      </c>
      <c r="AX243" s="27" t="s">
        <v>7</v>
      </c>
      <c r="AY243" s="27" t="s">
        <v>8</v>
      </c>
      <c r="AZ243" s="27" t="s">
        <v>7</v>
      </c>
      <c r="BE243" s="27" t="s">
        <v>8</v>
      </c>
      <c r="BF243" s="27" t="s">
        <v>7</v>
      </c>
      <c r="BG243" s="27" t="s">
        <v>8</v>
      </c>
      <c r="BH243" s="27" t="s">
        <v>7</v>
      </c>
      <c r="CH243" s="27" t="s">
        <v>7</v>
      </c>
      <c r="CI243" s="27" t="s">
        <v>8</v>
      </c>
      <c r="CJ243" s="27" t="s">
        <v>7</v>
      </c>
      <c r="CK243" s="27" t="s">
        <v>8</v>
      </c>
      <c r="CP243" s="27" t="s">
        <v>7</v>
      </c>
      <c r="CR243" s="27" t="s">
        <v>7</v>
      </c>
      <c r="CU243" s="27" t="s">
        <v>8</v>
      </c>
      <c r="CV243" s="27" t="s">
        <v>7</v>
      </c>
      <c r="CW243" s="27" t="s">
        <v>8</v>
      </c>
      <c r="CZ243" s="32" t="s">
        <v>7</v>
      </c>
      <c r="DB243" s="27" t="s">
        <v>7</v>
      </c>
      <c r="DC243" s="27" t="s">
        <v>8</v>
      </c>
    </row>
    <row r="244" spans="1:148" x14ac:dyDescent="0.25">
      <c r="A244" s="30">
        <v>0.82270247479188063</v>
      </c>
      <c r="B244"/>
      <c r="C244"/>
      <c r="D244"/>
      <c r="E244"/>
      <c r="F244" s="27" t="s">
        <v>7</v>
      </c>
      <c r="AW244" s="27" t="s">
        <v>8</v>
      </c>
      <c r="AX244" s="27" t="s">
        <v>7</v>
      </c>
      <c r="AY244" s="27" t="s">
        <v>8</v>
      </c>
      <c r="AZ244" s="27" t="s">
        <v>7</v>
      </c>
      <c r="BE244" s="27" t="s">
        <v>8</v>
      </c>
      <c r="BF244" s="27" t="s">
        <v>7</v>
      </c>
      <c r="CH244" s="27" t="s">
        <v>7</v>
      </c>
      <c r="CI244" s="27" t="s">
        <v>8</v>
      </c>
      <c r="CJ244" s="27" t="s">
        <v>7</v>
      </c>
      <c r="CK244" s="27" t="s">
        <v>8</v>
      </c>
      <c r="CR244" s="27" t="s">
        <v>7</v>
      </c>
      <c r="CU244" s="27" t="s">
        <v>8</v>
      </c>
      <c r="CV244" s="27" t="s">
        <v>7</v>
      </c>
      <c r="CW244" s="27" t="s">
        <v>8</v>
      </c>
      <c r="DB244" s="27" t="s">
        <v>7</v>
      </c>
      <c r="DC244" s="27" t="s">
        <v>8</v>
      </c>
    </row>
    <row r="245" spans="1:148" x14ac:dyDescent="0.25">
      <c r="A245" s="30">
        <v>0.78352616646845741</v>
      </c>
      <c r="B245"/>
      <c r="C245"/>
      <c r="D245"/>
      <c r="E245"/>
      <c r="F245" s="27" t="s">
        <v>7</v>
      </c>
      <c r="Q245" s="27" t="s">
        <v>8</v>
      </c>
      <c r="AW245" s="27" t="s">
        <v>8</v>
      </c>
      <c r="AX245" s="27" t="s">
        <v>7</v>
      </c>
      <c r="AY245" s="27" t="s">
        <v>8</v>
      </c>
      <c r="AZ245" s="27" t="s">
        <v>7</v>
      </c>
      <c r="BE245" s="27" t="s">
        <v>8</v>
      </c>
      <c r="CH245" s="27" t="s">
        <v>7</v>
      </c>
      <c r="CI245" s="27" t="s">
        <v>8</v>
      </c>
      <c r="CJ245" s="27" t="s">
        <v>7</v>
      </c>
      <c r="CR245" s="27" t="s">
        <v>7</v>
      </c>
      <c r="CU245" s="27" t="s">
        <v>8</v>
      </c>
      <c r="CV245" s="27" t="s">
        <v>7</v>
      </c>
      <c r="DB245" s="18" t="s">
        <v>7</v>
      </c>
      <c r="DC245" s="27" t="s">
        <v>8</v>
      </c>
    </row>
    <row r="246" spans="1:148" x14ac:dyDescent="0.25">
      <c r="A246" s="30">
        <v>0.74621539663662584</v>
      </c>
      <c r="B246"/>
      <c r="C246"/>
      <c r="D246"/>
      <c r="E246"/>
      <c r="F246" s="27" t="s">
        <v>7</v>
      </c>
      <c r="Q246" s="27" t="s">
        <v>8</v>
      </c>
      <c r="R246" s="27" t="s">
        <v>7</v>
      </c>
      <c r="AW246" s="27" t="s">
        <v>8</v>
      </c>
      <c r="AX246" s="27" t="s">
        <v>7</v>
      </c>
      <c r="AY246" s="27" t="s">
        <v>8</v>
      </c>
      <c r="AZ246" s="27" t="s">
        <v>7</v>
      </c>
      <c r="BE246" s="27" t="s">
        <v>8</v>
      </c>
      <c r="CH246" s="27" t="s">
        <v>7</v>
      </c>
      <c r="CI246" s="27" t="s">
        <v>8</v>
      </c>
      <c r="CR246" s="27" t="s">
        <v>7</v>
      </c>
      <c r="CU246" s="27" t="s">
        <v>8</v>
      </c>
      <c r="DB246" s="27" t="s">
        <v>7</v>
      </c>
      <c r="DC246" s="27" t="s">
        <v>8</v>
      </c>
    </row>
    <row r="247" spans="1:148" x14ac:dyDescent="0.25">
      <c r="A247" s="30">
        <v>0.71068133013011958</v>
      </c>
      <c r="B247"/>
      <c r="C247"/>
      <c r="D247"/>
      <c r="E247"/>
      <c r="F247" s="27" t="s">
        <v>7</v>
      </c>
      <c r="Q247" s="27" t="s">
        <v>8</v>
      </c>
      <c r="R247" s="27" t="s">
        <v>7</v>
      </c>
      <c r="AW247" s="27" t="s">
        <v>8</v>
      </c>
      <c r="AX247" s="27" t="s">
        <v>7</v>
      </c>
      <c r="AZ247" s="27" t="s">
        <v>7</v>
      </c>
      <c r="BC247" s="27" t="s">
        <v>8</v>
      </c>
      <c r="BE247" s="27" t="s">
        <v>8</v>
      </c>
      <c r="CH247" s="27" t="s">
        <v>7</v>
      </c>
      <c r="CR247" s="27" t="s">
        <v>7</v>
      </c>
      <c r="CU247" s="27" t="s">
        <v>8</v>
      </c>
      <c r="DB247" s="27" t="s">
        <v>7</v>
      </c>
      <c r="DC247" s="27" t="s">
        <v>8</v>
      </c>
    </row>
    <row r="248" spans="1:148" x14ac:dyDescent="0.25">
      <c r="A248" s="30">
        <v>0.676839362028685</v>
      </c>
      <c r="B248"/>
      <c r="C248"/>
      <c r="D248"/>
      <c r="E248"/>
      <c r="F248" s="27" t="s">
        <v>7</v>
      </c>
      <c r="Q248" s="27" t="s">
        <v>8</v>
      </c>
      <c r="R248" s="27" t="s">
        <v>7</v>
      </c>
      <c r="AW248" s="27" t="s">
        <v>8</v>
      </c>
      <c r="AZ248" s="27" t="s">
        <v>7</v>
      </c>
      <c r="BC248" s="27" t="s">
        <v>8</v>
      </c>
      <c r="BD248" s="27" t="s">
        <v>7</v>
      </c>
      <c r="BE248" s="27" t="s">
        <v>8</v>
      </c>
      <c r="CR248" s="27" t="s">
        <v>7</v>
      </c>
      <c r="CS248" s="27" t="s">
        <v>8</v>
      </c>
      <c r="CU248" s="27" t="s">
        <v>8</v>
      </c>
      <c r="DB248" s="27" t="s">
        <v>7</v>
      </c>
    </row>
    <row r="249" spans="1:148" x14ac:dyDescent="0.25">
      <c r="A249" s="30">
        <v>0.64460891621779492</v>
      </c>
      <c r="B249"/>
      <c r="C249"/>
      <c r="D249"/>
      <c r="E249"/>
      <c r="F249" s="27" t="s">
        <v>7</v>
      </c>
      <c r="Q249" s="27" t="s">
        <v>8</v>
      </c>
      <c r="R249" s="27" t="s">
        <v>7</v>
      </c>
      <c r="Y249" s="27" t="s">
        <v>8</v>
      </c>
      <c r="AW249" s="27" t="s">
        <v>8</v>
      </c>
      <c r="AZ249" s="27" t="s">
        <v>7</v>
      </c>
      <c r="BA249" s="27" t="s">
        <v>8</v>
      </c>
      <c r="BC249" s="27" t="s">
        <v>8</v>
      </c>
      <c r="BD249" s="27" t="s">
        <v>7</v>
      </c>
      <c r="BE249" s="27" t="s">
        <v>8</v>
      </c>
      <c r="CR249" s="27" t="s">
        <v>7</v>
      </c>
      <c r="CS249" s="27" t="s">
        <v>8</v>
      </c>
      <c r="CT249" s="27" t="s">
        <v>7</v>
      </c>
      <c r="CU249" s="27" t="s">
        <v>8</v>
      </c>
    </row>
    <row r="250" spans="1:148" x14ac:dyDescent="0.25">
      <c r="A250" s="30">
        <v>0.61391325354075688</v>
      </c>
      <c r="B250"/>
      <c r="C250"/>
      <c r="D250"/>
      <c r="E250"/>
      <c r="F250" s="27" t="s">
        <v>7</v>
      </c>
      <c r="Q250" s="27" t="s">
        <v>8</v>
      </c>
      <c r="R250" s="27" t="s">
        <v>7</v>
      </c>
      <c r="S250" s="27" t="s">
        <v>8</v>
      </c>
      <c r="Y250" s="27" t="s">
        <v>8</v>
      </c>
      <c r="Z250" s="27" t="s">
        <v>7</v>
      </c>
      <c r="AW250" s="27" t="s">
        <v>8</v>
      </c>
      <c r="AZ250" s="27" t="s">
        <v>7</v>
      </c>
      <c r="BA250" s="27" t="s">
        <v>8</v>
      </c>
      <c r="BB250" s="27" t="s">
        <v>7</v>
      </c>
      <c r="BC250" s="27" t="s">
        <v>8</v>
      </c>
      <c r="BD250" s="27" t="s">
        <v>7</v>
      </c>
      <c r="CR250" s="27" t="s">
        <v>7</v>
      </c>
      <c r="CS250" s="27" t="s">
        <v>8</v>
      </c>
      <c r="CT250" s="27" t="s">
        <v>7</v>
      </c>
      <c r="CU250" s="27" t="s">
        <v>8</v>
      </c>
    </row>
    <row r="251" spans="1:148" x14ac:dyDescent="0.25">
      <c r="A251" s="30">
        <v>0.58467928908643485</v>
      </c>
      <c r="B251"/>
      <c r="C251"/>
      <c r="D251"/>
      <c r="E251"/>
      <c r="F251" s="27" t="s">
        <v>7</v>
      </c>
      <c r="Q251" s="27" t="s">
        <v>8</v>
      </c>
      <c r="R251" s="27" t="s">
        <v>7</v>
      </c>
      <c r="S251" s="27" t="s">
        <v>8</v>
      </c>
      <c r="T251" s="27" t="s">
        <v>7</v>
      </c>
      <c r="Y251" s="27" t="s">
        <v>8</v>
      </c>
      <c r="Z251" s="27" t="s">
        <v>7</v>
      </c>
      <c r="AW251" s="27" t="s">
        <v>8</v>
      </c>
      <c r="AZ251" s="27" t="s">
        <v>7</v>
      </c>
      <c r="BA251" s="27" t="s">
        <v>8</v>
      </c>
      <c r="BB251" s="27" t="s">
        <v>7</v>
      </c>
      <c r="BC251" s="27" t="s">
        <v>8</v>
      </c>
      <c r="CR251" s="27" t="s">
        <v>7</v>
      </c>
      <c r="CS251" s="27" t="s">
        <v>8</v>
      </c>
      <c r="CT251" s="27" t="s">
        <v>7</v>
      </c>
    </row>
    <row r="252" spans="1:148" x14ac:dyDescent="0.25">
      <c r="A252" s="30">
        <v>0.55683741817755672</v>
      </c>
      <c r="B252"/>
      <c r="C252"/>
      <c r="D252"/>
      <c r="E252"/>
      <c r="F252" s="27" t="s">
        <v>7</v>
      </c>
      <c r="Q252" s="27" t="s">
        <v>8</v>
      </c>
      <c r="R252" s="27" t="s">
        <v>7</v>
      </c>
      <c r="S252" s="27" t="s">
        <v>8</v>
      </c>
      <c r="T252" s="27" t="s">
        <v>7</v>
      </c>
      <c r="U252" s="27" t="s">
        <v>8</v>
      </c>
      <c r="Y252" s="27" t="s">
        <v>8</v>
      </c>
      <c r="Z252" s="27" t="s">
        <v>7</v>
      </c>
      <c r="AU252" s="27" t="s">
        <v>8</v>
      </c>
      <c r="AW252" s="27" t="s">
        <v>8</v>
      </c>
      <c r="AZ252" s="27" t="s">
        <v>7</v>
      </c>
      <c r="BA252" s="27" t="s">
        <v>8</v>
      </c>
      <c r="BB252" s="27" t="s">
        <v>7</v>
      </c>
      <c r="CR252" s="27" t="s">
        <v>7</v>
      </c>
      <c r="CS252" s="27" t="s">
        <v>8</v>
      </c>
    </row>
    <row r="253" spans="1:148" x14ac:dyDescent="0.25">
      <c r="A253" s="30">
        <v>0.53032135064529184</v>
      </c>
      <c r="B253"/>
      <c r="C253"/>
      <c r="D253"/>
      <c r="E253"/>
      <c r="F253" s="27" t="s">
        <v>7</v>
      </c>
      <c r="Q253" s="27" t="s">
        <v>8</v>
      </c>
      <c r="R253" s="27" t="s">
        <v>7</v>
      </c>
      <c r="S253" s="27" t="s">
        <v>8</v>
      </c>
      <c r="T253" s="27" t="s">
        <v>7</v>
      </c>
      <c r="U253" s="27" t="s">
        <v>8</v>
      </c>
      <c r="V253" s="27" t="s">
        <v>7</v>
      </c>
      <c r="W253" s="27" t="s">
        <v>8</v>
      </c>
      <c r="Y253" s="27" t="s">
        <v>8</v>
      </c>
      <c r="Z253" s="27" t="s">
        <v>7</v>
      </c>
      <c r="AU253" s="27" t="s">
        <v>8</v>
      </c>
      <c r="AV253" s="27" t="s">
        <v>7</v>
      </c>
      <c r="AW253" s="27" t="s">
        <v>8</v>
      </c>
      <c r="AZ253" s="27" t="s">
        <v>7</v>
      </c>
      <c r="BA253" s="27" t="s">
        <v>8</v>
      </c>
      <c r="CR253" s="27" t="s">
        <v>7</v>
      </c>
      <c r="CS253" s="27" t="s">
        <v>8</v>
      </c>
    </row>
    <row r="254" spans="1:148" x14ac:dyDescent="0.25">
      <c r="A254" s="30">
        <v>0.50506795299551588</v>
      </c>
      <c r="B254"/>
      <c r="C254"/>
      <c r="D254"/>
      <c r="E254"/>
      <c r="F254" s="27" t="s">
        <v>7</v>
      </c>
      <c r="Q254" s="27" t="s">
        <v>8</v>
      </c>
      <c r="R254" s="27" t="s">
        <v>7</v>
      </c>
      <c r="S254" s="27" t="s">
        <v>8</v>
      </c>
      <c r="T254" s="27" t="s">
        <v>7</v>
      </c>
      <c r="U254" s="27" t="s">
        <v>8</v>
      </c>
      <c r="V254" s="27" t="s">
        <v>7</v>
      </c>
      <c r="W254" s="27" t="s">
        <v>8</v>
      </c>
      <c r="X254" s="27" t="s">
        <v>7</v>
      </c>
      <c r="Y254" s="27" t="s">
        <v>8</v>
      </c>
      <c r="Z254" s="27" t="s">
        <v>7</v>
      </c>
      <c r="AU254" s="27" t="s">
        <v>8</v>
      </c>
      <c r="AV254" s="27" t="s">
        <v>7</v>
      </c>
      <c r="AW254" s="27" t="s">
        <v>8</v>
      </c>
      <c r="AZ254" s="27" t="s">
        <v>7</v>
      </c>
      <c r="BA254" s="27" t="s">
        <v>8</v>
      </c>
      <c r="CR254" s="27" t="s">
        <v>7</v>
      </c>
    </row>
    <row r="255" spans="1:148" x14ac:dyDescent="0.25">
      <c r="A255" s="30">
        <v>0.48101709809096732</v>
      </c>
      <c r="E255"/>
      <c r="F255" s="27" t="s">
        <v>7</v>
      </c>
      <c r="O255" s="27" t="s">
        <v>8</v>
      </c>
      <c r="Q255" s="27" t="s">
        <v>8</v>
      </c>
      <c r="R255" s="27" t="s">
        <v>7</v>
      </c>
      <c r="S255" s="27" t="s">
        <v>8</v>
      </c>
      <c r="T255" s="27" t="s">
        <v>7</v>
      </c>
      <c r="U255" s="27" t="s">
        <v>8</v>
      </c>
      <c r="V255" s="27" t="s">
        <v>7</v>
      </c>
      <c r="W255" s="27" t="s">
        <v>8</v>
      </c>
      <c r="X255" s="27" t="s">
        <v>7</v>
      </c>
      <c r="Y255" s="27" t="s">
        <v>8</v>
      </c>
      <c r="Z255" s="27" t="s">
        <v>7</v>
      </c>
      <c r="AM255" s="27" t="s">
        <v>8</v>
      </c>
      <c r="AU255" s="27" t="s">
        <v>8</v>
      </c>
      <c r="AV255" s="27" t="s">
        <v>7</v>
      </c>
      <c r="AZ255" s="27" t="s">
        <v>7</v>
      </c>
      <c r="BA255" s="27" t="s">
        <v>8</v>
      </c>
    </row>
    <row r="256" spans="1:148" x14ac:dyDescent="0.25">
      <c r="A256" s="30">
        <v>0.45811152199139726</v>
      </c>
      <c r="E256"/>
      <c r="F256" s="27" t="s">
        <v>7</v>
      </c>
      <c r="O256" s="27" t="s">
        <v>8</v>
      </c>
      <c r="P256" s="27" t="s">
        <v>7</v>
      </c>
      <c r="Q256" s="27" t="s">
        <v>8</v>
      </c>
      <c r="R256" s="27" t="s">
        <v>7</v>
      </c>
      <c r="S256" s="27" t="s">
        <v>8</v>
      </c>
      <c r="T256" s="27" t="s">
        <v>7</v>
      </c>
      <c r="V256" s="27" t="s">
        <v>7</v>
      </c>
      <c r="W256" s="27" t="s">
        <v>8</v>
      </c>
      <c r="X256" s="27" t="s">
        <v>7</v>
      </c>
      <c r="Y256" s="27" t="s">
        <v>8</v>
      </c>
      <c r="Z256" s="27" t="s">
        <v>7</v>
      </c>
      <c r="AM256" s="27" t="s">
        <v>8</v>
      </c>
      <c r="AN256" s="27" t="s">
        <v>7</v>
      </c>
      <c r="AQ256" s="27" t="s">
        <v>8</v>
      </c>
      <c r="AU256" s="27" t="s">
        <v>8</v>
      </c>
      <c r="AZ256" s="27" t="s">
        <v>7</v>
      </c>
    </row>
    <row r="257" spans="1:47" x14ac:dyDescent="0.25">
      <c r="A257" s="30">
        <v>0.43629668761085438</v>
      </c>
      <c r="B257"/>
      <c r="C257"/>
      <c r="D257"/>
      <c r="E257"/>
      <c r="F257" s="27" t="s">
        <v>7</v>
      </c>
      <c r="O257" s="27" t="s">
        <v>8</v>
      </c>
      <c r="P257" s="27" t="s">
        <v>7</v>
      </c>
      <c r="Q257" s="27" t="s">
        <v>8</v>
      </c>
      <c r="R257" s="27" t="s">
        <v>7</v>
      </c>
      <c r="S257" s="27" t="s">
        <v>8</v>
      </c>
      <c r="V257" s="27" t="s">
        <v>7</v>
      </c>
      <c r="W257" s="27" t="s">
        <v>8</v>
      </c>
      <c r="X257" s="27" t="s">
        <v>7</v>
      </c>
      <c r="Z257" s="27" t="s">
        <v>7</v>
      </c>
      <c r="AE257" s="27" t="s">
        <v>8</v>
      </c>
      <c r="AM257" s="27" t="s">
        <v>8</v>
      </c>
      <c r="AN257" s="27" t="s">
        <v>7</v>
      </c>
      <c r="AQ257" s="27" t="s">
        <v>8</v>
      </c>
      <c r="AR257" s="27" t="s">
        <v>7</v>
      </c>
      <c r="AU257" s="27" t="s">
        <v>8</v>
      </c>
    </row>
    <row r="258" spans="1:47" x14ac:dyDescent="0.25">
      <c r="A258" s="30">
        <v>0.41552065486748019</v>
      </c>
      <c r="B258"/>
      <c r="C258"/>
      <c r="D258"/>
      <c r="E258"/>
      <c r="F258" s="27" t="s">
        <v>7</v>
      </c>
      <c r="O258" s="27" t="s">
        <v>8</v>
      </c>
      <c r="P258" s="27" t="s">
        <v>7</v>
      </c>
      <c r="Q258" s="27" t="s">
        <v>8</v>
      </c>
      <c r="R258" s="27" t="s">
        <v>7</v>
      </c>
      <c r="S258" s="27" t="s">
        <v>8</v>
      </c>
      <c r="V258" s="27" t="s">
        <v>7</v>
      </c>
      <c r="W258" s="27" t="s">
        <v>8</v>
      </c>
      <c r="Z258" s="27" t="s">
        <v>7</v>
      </c>
      <c r="AE258" s="27" t="s">
        <v>8</v>
      </c>
      <c r="AF258" s="27" t="s">
        <v>7</v>
      </c>
      <c r="AM258" s="27" t="s">
        <v>8</v>
      </c>
      <c r="AN258" s="27" t="s">
        <v>7</v>
      </c>
      <c r="AQ258" s="27" t="s">
        <v>8</v>
      </c>
      <c r="AR258" s="27" t="s">
        <v>7</v>
      </c>
      <c r="AS258" s="27" t="s">
        <v>8</v>
      </c>
      <c r="AU258" s="27" t="s">
        <v>8</v>
      </c>
    </row>
    <row r="259" spans="1:47" x14ac:dyDescent="0.25">
      <c r="A259" s="30">
        <v>0.39573395701664765</v>
      </c>
      <c r="B259"/>
      <c r="C259"/>
      <c r="D259"/>
      <c r="E259"/>
      <c r="F259" s="27" t="s">
        <v>7</v>
      </c>
      <c r="O259" s="27" t="s">
        <v>8</v>
      </c>
      <c r="P259" s="27" t="s">
        <v>7</v>
      </c>
      <c r="Q259" s="27" t="s">
        <v>8</v>
      </c>
      <c r="R259" s="27" t="s">
        <v>7</v>
      </c>
      <c r="V259" s="27" t="s">
        <v>7</v>
      </c>
      <c r="W259" s="27" t="s">
        <v>8</v>
      </c>
      <c r="Z259" s="27" t="s">
        <v>7</v>
      </c>
      <c r="AC259" s="27" t="s">
        <v>8</v>
      </c>
      <c r="AE259" s="27" t="s">
        <v>8</v>
      </c>
      <c r="AF259" s="27" t="s">
        <v>7</v>
      </c>
      <c r="AG259" s="27" t="s">
        <v>8</v>
      </c>
      <c r="AI259" s="27" t="s">
        <v>8</v>
      </c>
      <c r="AM259" s="27" t="s">
        <v>8</v>
      </c>
      <c r="AN259" s="27" t="s">
        <v>7</v>
      </c>
      <c r="AQ259" s="27" t="s">
        <v>8</v>
      </c>
      <c r="AR259" s="27" t="s">
        <v>7</v>
      </c>
      <c r="AS259" s="27" t="s">
        <v>8</v>
      </c>
      <c r="AT259" s="27" t="s">
        <v>7</v>
      </c>
      <c r="AU259" s="27" t="s">
        <v>8</v>
      </c>
    </row>
    <row r="260" spans="1:47" x14ac:dyDescent="0.25">
      <c r="A260" s="30">
        <v>0.37688948287299762</v>
      </c>
      <c r="B260"/>
      <c r="C260"/>
      <c r="D260"/>
      <c r="E260"/>
      <c r="F260" s="27" t="s">
        <v>7</v>
      </c>
      <c r="O260" s="27" t="s">
        <v>8</v>
      </c>
      <c r="P260" s="27" t="s">
        <v>7</v>
      </c>
      <c r="Q260" s="27" t="s">
        <v>8</v>
      </c>
      <c r="V260" s="27" t="s">
        <v>7</v>
      </c>
      <c r="W260" s="27" t="s">
        <v>8</v>
      </c>
      <c r="Z260" s="27" t="s">
        <v>7</v>
      </c>
      <c r="AA260" s="27" t="s">
        <v>8</v>
      </c>
      <c r="AC260" s="27" t="s">
        <v>8</v>
      </c>
      <c r="AD260" s="27" t="s">
        <v>7</v>
      </c>
      <c r="AE260" s="27" t="s">
        <v>8</v>
      </c>
      <c r="AF260" s="27" t="s">
        <v>7</v>
      </c>
      <c r="AG260" s="27" t="s">
        <v>8</v>
      </c>
      <c r="AH260" s="27" t="s">
        <v>7</v>
      </c>
      <c r="AI260" s="27" t="s">
        <v>8</v>
      </c>
      <c r="AJ260" s="27" t="s">
        <v>7</v>
      </c>
      <c r="AM260" s="27" t="s">
        <v>8</v>
      </c>
      <c r="AN260" s="27" t="s">
        <v>7</v>
      </c>
      <c r="AO260" s="27" t="s">
        <v>8</v>
      </c>
      <c r="AQ260" s="27" t="s">
        <v>8</v>
      </c>
      <c r="AR260" s="27" t="s">
        <v>7</v>
      </c>
      <c r="AS260" s="27" t="s">
        <v>8</v>
      </c>
      <c r="AT260" s="27" t="s">
        <v>7</v>
      </c>
      <c r="AU260" s="27" t="s">
        <v>8</v>
      </c>
    </row>
    <row r="261" spans="1:47" x14ac:dyDescent="0.25">
      <c r="A261" s="30">
        <v>0.35894236464094997</v>
      </c>
      <c r="B261"/>
      <c r="C261"/>
      <c r="D261"/>
      <c r="E261"/>
      <c r="F261" s="27" t="s">
        <v>7</v>
      </c>
      <c r="I261" s="27" t="s">
        <v>8</v>
      </c>
      <c r="O261" s="27" t="s">
        <v>8</v>
      </c>
      <c r="P261" s="27" t="s">
        <v>7</v>
      </c>
      <c r="Q261" s="27" t="s">
        <v>8</v>
      </c>
      <c r="V261" s="27" t="s">
        <v>7</v>
      </c>
      <c r="W261" s="27" t="s">
        <v>8</v>
      </c>
      <c r="Z261" s="27" t="s">
        <v>7</v>
      </c>
      <c r="AA261" s="27" t="s">
        <v>8</v>
      </c>
      <c r="AB261" s="27" t="s">
        <v>7</v>
      </c>
      <c r="AC261" s="27" t="s">
        <v>8</v>
      </c>
      <c r="AD261" s="27" t="s">
        <v>7</v>
      </c>
      <c r="AE261" s="27" t="s">
        <v>8</v>
      </c>
      <c r="AF261" s="27" t="s">
        <v>7</v>
      </c>
      <c r="AG261" s="27" t="s">
        <v>8</v>
      </c>
      <c r="AH261" s="27" t="s">
        <v>7</v>
      </c>
      <c r="AI261" s="27" t="s">
        <v>8</v>
      </c>
      <c r="AJ261" s="27" t="s">
        <v>7</v>
      </c>
      <c r="AM261" s="27" t="s">
        <v>8</v>
      </c>
      <c r="AN261" s="27" t="s">
        <v>7</v>
      </c>
      <c r="AO261" s="27" t="s">
        <v>8</v>
      </c>
      <c r="AP261" s="27" t="s">
        <v>7</v>
      </c>
      <c r="AQ261" s="27" t="s">
        <v>8</v>
      </c>
      <c r="AR261" s="27" t="s">
        <v>7</v>
      </c>
      <c r="AS261" s="27" t="s">
        <v>8</v>
      </c>
      <c r="AT261" s="27" t="s">
        <v>7</v>
      </c>
    </row>
    <row r="262" spans="1:47" x14ac:dyDescent="0.25">
      <c r="A262" s="30">
        <v>0.34184987108661891</v>
      </c>
      <c r="B262"/>
      <c r="C262"/>
      <c r="D262"/>
      <c r="E262"/>
      <c r="F262" s="27" t="s">
        <v>7</v>
      </c>
      <c r="I262" s="27" t="s">
        <v>8</v>
      </c>
      <c r="J262" s="27" t="s">
        <v>7</v>
      </c>
      <c r="O262" s="27" t="s">
        <v>8</v>
      </c>
      <c r="P262" s="27" t="s">
        <v>7</v>
      </c>
      <c r="Q262" s="27" t="s">
        <v>8</v>
      </c>
      <c r="V262" s="27" t="s">
        <v>7</v>
      </c>
      <c r="W262" s="27" t="s">
        <v>8</v>
      </c>
      <c r="Z262" s="27" t="s">
        <v>7</v>
      </c>
      <c r="AA262" s="27" t="s">
        <v>8</v>
      </c>
      <c r="AB262" s="27" t="s">
        <v>7</v>
      </c>
      <c r="AC262" s="27" t="s">
        <v>8</v>
      </c>
      <c r="AD262" s="27" t="s">
        <v>7</v>
      </c>
      <c r="AE262" s="27" t="s">
        <v>8</v>
      </c>
      <c r="AF262" s="27" t="s">
        <v>7</v>
      </c>
      <c r="AG262" s="27" t="s">
        <v>8</v>
      </c>
      <c r="AH262" s="27" t="s">
        <v>7</v>
      </c>
      <c r="AI262" s="27" t="s">
        <v>8</v>
      </c>
      <c r="AJ262" s="27" t="s">
        <v>7</v>
      </c>
      <c r="AM262" s="27" t="s">
        <v>8</v>
      </c>
      <c r="AN262" s="27" t="s">
        <v>7</v>
      </c>
      <c r="AO262" s="27" t="s">
        <v>8</v>
      </c>
      <c r="AP262" s="27" t="s">
        <v>7</v>
      </c>
      <c r="AQ262" s="27" t="s">
        <v>8</v>
      </c>
      <c r="AR262" s="27" t="s">
        <v>7</v>
      </c>
      <c r="AS262" s="27" t="s">
        <v>8</v>
      </c>
    </row>
    <row r="263" spans="1:47" x14ac:dyDescent="0.25">
      <c r="A263" s="30">
        <v>0.32557130579677979</v>
      </c>
      <c r="B263"/>
      <c r="C263"/>
      <c r="D263"/>
      <c r="E263"/>
      <c r="F263" s="27" t="s">
        <v>7</v>
      </c>
      <c r="I263" s="27" t="s">
        <v>8</v>
      </c>
      <c r="J263" s="27" t="s">
        <v>7</v>
      </c>
      <c r="K263" s="27" t="s">
        <v>8</v>
      </c>
      <c r="O263" s="27" t="s">
        <v>8</v>
      </c>
      <c r="P263" s="27" t="s">
        <v>7</v>
      </c>
      <c r="V263" s="27" t="s">
        <v>7</v>
      </c>
      <c r="W263" s="27" t="s">
        <v>8</v>
      </c>
      <c r="Z263" s="27" t="s">
        <v>7</v>
      </c>
      <c r="AA263" s="27" t="s">
        <v>8</v>
      </c>
      <c r="AB263" s="27" t="s">
        <v>7</v>
      </c>
      <c r="AD263" s="27" t="s">
        <v>7</v>
      </c>
      <c r="AE263" s="27" t="s">
        <v>8</v>
      </c>
      <c r="AF263" s="27" t="s">
        <v>7</v>
      </c>
      <c r="AH263" s="27" t="s">
        <v>7</v>
      </c>
      <c r="AJ263" s="27" t="s">
        <v>7</v>
      </c>
      <c r="AK263" s="27" t="s">
        <v>8</v>
      </c>
      <c r="AM263" s="27" t="s">
        <v>8</v>
      </c>
      <c r="AN263" s="27" t="s">
        <v>7</v>
      </c>
      <c r="AO263" s="27" t="s">
        <v>8</v>
      </c>
      <c r="AP263" s="27" t="s">
        <v>7</v>
      </c>
      <c r="AR263" s="27" t="s">
        <v>7</v>
      </c>
    </row>
    <row r="264" spans="1:47" x14ac:dyDescent="0.25">
      <c r="A264" s="30">
        <v>0.3100679102826473</v>
      </c>
      <c r="B264"/>
      <c r="C264"/>
      <c r="D264"/>
      <c r="E264"/>
      <c r="F264" s="27" t="s">
        <v>7</v>
      </c>
      <c r="I264" s="27" t="s">
        <v>8</v>
      </c>
      <c r="J264" s="27" t="s">
        <v>7</v>
      </c>
      <c r="K264" s="27" t="s">
        <v>8</v>
      </c>
      <c r="L264" s="27" t="s">
        <v>7</v>
      </c>
      <c r="O264" s="27" t="s">
        <v>8</v>
      </c>
      <c r="V264" s="27" t="s">
        <v>7</v>
      </c>
      <c r="Z264" s="27" t="s">
        <v>7</v>
      </c>
      <c r="AA264" s="27" t="s">
        <v>8</v>
      </c>
      <c r="AD264" s="27" t="s">
        <v>7</v>
      </c>
      <c r="AJ264" s="27" t="s">
        <v>7</v>
      </c>
      <c r="AK264" s="27" t="s">
        <v>8</v>
      </c>
      <c r="AL264" s="27" t="s">
        <v>7</v>
      </c>
      <c r="AM264" s="27" t="s">
        <v>8</v>
      </c>
      <c r="AN264" s="27" t="s">
        <v>7</v>
      </c>
      <c r="AO264" s="27" t="s">
        <v>8</v>
      </c>
    </row>
    <row r="265" spans="1:47" x14ac:dyDescent="0.25">
      <c r="A265" s="30">
        <v>0.2953027716977592</v>
      </c>
      <c r="B265"/>
      <c r="C265"/>
      <c r="D265"/>
      <c r="E265"/>
      <c r="F265" s="27" t="s">
        <v>7</v>
      </c>
      <c r="I265" s="27" t="s">
        <v>8</v>
      </c>
      <c r="J265" s="27" t="s">
        <v>7</v>
      </c>
      <c r="K265" s="27" t="s">
        <v>8</v>
      </c>
      <c r="L265" s="27" t="s">
        <v>7</v>
      </c>
      <c r="M265" s="27" t="s">
        <v>8</v>
      </c>
      <c r="O265" s="27" t="s">
        <v>8</v>
      </c>
      <c r="Z265" s="27" t="s">
        <v>7</v>
      </c>
      <c r="AA265" s="27" t="s">
        <v>8</v>
      </c>
      <c r="AJ265" s="27" t="s">
        <v>7</v>
      </c>
      <c r="AK265" s="27" t="s">
        <v>8</v>
      </c>
      <c r="AL265" s="27" t="s">
        <v>7</v>
      </c>
      <c r="AM265" s="27" t="s">
        <v>8</v>
      </c>
      <c r="AN265" s="27" t="s">
        <v>7</v>
      </c>
    </row>
    <row r="266" spans="1:47" x14ac:dyDescent="0.25">
      <c r="A266" s="30">
        <v>0.28124073495024676</v>
      </c>
      <c r="B266"/>
      <c r="C266"/>
      <c r="D266"/>
      <c r="E266"/>
      <c r="F266" s="27" t="s">
        <v>7</v>
      </c>
      <c r="I266" s="27" t="s">
        <v>8</v>
      </c>
      <c r="J266" s="27" t="s">
        <v>7</v>
      </c>
      <c r="K266" s="27" t="s">
        <v>8</v>
      </c>
      <c r="L266" s="27" t="s">
        <v>7</v>
      </c>
      <c r="M266" s="27" t="s">
        <v>8</v>
      </c>
      <c r="N266" s="27" t="s">
        <v>7</v>
      </c>
      <c r="O266" s="27" t="s">
        <v>8</v>
      </c>
      <c r="Z266" s="27" t="s">
        <v>7</v>
      </c>
      <c r="AA266" s="27" t="s">
        <v>8</v>
      </c>
      <c r="AJ266" s="27" t="s">
        <v>7</v>
      </c>
      <c r="AK266" s="27" t="s">
        <v>8</v>
      </c>
      <c r="AL266" s="27" t="s">
        <v>7</v>
      </c>
    </row>
    <row r="267" spans="1:47" x14ac:dyDescent="0.25">
      <c r="A267" s="30">
        <v>0.26784831900023492</v>
      </c>
      <c r="B267"/>
      <c r="C267"/>
      <c r="D267"/>
      <c r="E267"/>
      <c r="F267" s="27" t="s">
        <v>7</v>
      </c>
      <c r="I267" s="27" t="s">
        <v>8</v>
      </c>
      <c r="J267" s="27" t="s">
        <v>7</v>
      </c>
      <c r="L267" s="27" t="s">
        <v>7</v>
      </c>
      <c r="M267" s="27" t="s">
        <v>8</v>
      </c>
      <c r="N267" s="27" t="s">
        <v>7</v>
      </c>
      <c r="O267" s="27" t="s">
        <v>8</v>
      </c>
      <c r="Z267" s="27" t="s">
        <v>7</v>
      </c>
      <c r="AJ267" s="27" t="s">
        <v>7</v>
      </c>
      <c r="AK267" s="27" t="s">
        <v>8</v>
      </c>
    </row>
    <row r="268" spans="1:47" x14ac:dyDescent="0.25">
      <c r="A268" s="30">
        <v>0.25509363714308075</v>
      </c>
      <c r="B268"/>
      <c r="C268"/>
      <c r="D268"/>
      <c r="E268"/>
      <c r="F268" s="27" t="s">
        <v>7</v>
      </c>
      <c r="I268" s="27" t="s">
        <v>8</v>
      </c>
      <c r="L268" s="27" t="s">
        <v>7</v>
      </c>
      <c r="N268" s="27" t="s">
        <v>7</v>
      </c>
      <c r="AJ268" s="27" t="s">
        <v>7</v>
      </c>
    </row>
    <row r="269" spans="1:47" x14ac:dyDescent="0.25">
      <c r="A269" s="30">
        <v>0.24294632108864825</v>
      </c>
      <c r="B269"/>
      <c r="C269"/>
      <c r="D269"/>
      <c r="E269"/>
      <c r="F269" s="27" t="s">
        <v>7</v>
      </c>
      <c r="I269" s="27" t="s">
        <v>8</v>
      </c>
    </row>
    <row r="270" spans="1:47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I270" s="27" t="s">
        <v>8</v>
      </c>
    </row>
    <row r="271" spans="1:47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H271" s="27" t="s">
        <v>7</v>
      </c>
      <c r="I271" s="27" t="s">
        <v>8</v>
      </c>
    </row>
    <row r="272" spans="1:47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  <c r="H272" s="27" t="s">
        <v>7</v>
      </c>
      <c r="I272" s="27" t="s">
        <v>8</v>
      </c>
    </row>
    <row r="273" spans="1:8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  <c r="H273" s="27" t="s">
        <v>7</v>
      </c>
    </row>
    <row r="274" spans="1:8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</row>
    <row r="275" spans="1:8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</row>
    <row r="276" spans="1:8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</row>
    <row r="277" spans="1:8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</row>
    <row r="278" spans="1:8" x14ac:dyDescent="0.25">
      <c r="A278" s="30">
        <v>0.15660536473605399</v>
      </c>
      <c r="B278"/>
      <c r="C278"/>
      <c r="D278"/>
      <c r="E278"/>
      <c r="F278" s="27" t="s">
        <v>7</v>
      </c>
    </row>
    <row r="279" spans="1:8" x14ac:dyDescent="0.25">
      <c r="A279" s="30">
        <v>0.14914796641528946</v>
      </c>
      <c r="B279"/>
      <c r="C279"/>
      <c r="D279"/>
      <c r="E279"/>
    </row>
    <row r="280" spans="1:8" x14ac:dyDescent="0.25">
      <c r="A280" s="30">
        <v>0.14204568230027562</v>
      </c>
      <c r="B280"/>
      <c r="C280"/>
      <c r="D280"/>
      <c r="E280"/>
    </row>
    <row r="281" spans="1:8" x14ac:dyDescent="0.25">
      <c r="A281" s="30">
        <v>0.13528160219073862</v>
      </c>
      <c r="B281"/>
      <c r="C281"/>
      <c r="D281"/>
      <c r="E281"/>
    </row>
    <row r="282" spans="1:8" x14ac:dyDescent="0.25">
      <c r="A282" s="30">
        <v>0.12883962113403674</v>
      </c>
      <c r="B282"/>
      <c r="C282"/>
      <c r="D282"/>
      <c r="E282"/>
    </row>
    <row r="283" spans="1:8" x14ac:dyDescent="0.25">
      <c r="A283" s="30">
        <v>0.12270440108003494</v>
      </c>
      <c r="B283"/>
      <c r="C283"/>
      <c r="D283"/>
      <c r="E283"/>
    </row>
    <row r="284" spans="1:8" x14ac:dyDescent="0.25">
      <c r="A284" s="30">
        <v>0.11686133436193799</v>
      </c>
      <c r="B284"/>
      <c r="C284"/>
      <c r="D284"/>
      <c r="E284"/>
    </row>
    <row r="285" spans="1:8" x14ac:dyDescent="0.25">
      <c r="A285" s="30">
        <v>0.11129650891613138</v>
      </c>
      <c r="B285"/>
      <c r="C285"/>
      <c r="D285"/>
      <c r="E285"/>
    </row>
    <row r="286" spans="1:8" x14ac:dyDescent="0.25">
      <c r="A286" s="30">
        <v>0.10599667515822032</v>
      </c>
      <c r="B286"/>
      <c r="C286"/>
      <c r="D286"/>
      <c r="E286"/>
    </row>
    <row r="287" spans="1:8" x14ac:dyDescent="0.25">
      <c r="A287" s="30">
        <v>0.10094921443640027</v>
      </c>
      <c r="B287"/>
      <c r="C287"/>
      <c r="D287"/>
      <c r="E287"/>
    </row>
    <row r="288" spans="1:8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67" operator="equal">
      <formula>$U$1</formula>
    </cfRule>
    <cfRule type="cellIs" dxfId="67" priority="968" operator="equal">
      <formula>$S$1</formula>
    </cfRule>
  </conditionalFormatting>
  <conditionalFormatting sqref="D136">
    <cfRule type="cellIs" dxfId="66" priority="965" operator="equal">
      <formula>$S$1</formula>
    </cfRule>
    <cfRule type="cellIs" dxfId="65" priority="966" operator="equal">
      <formula>$U$1</formula>
    </cfRule>
  </conditionalFormatting>
  <conditionalFormatting sqref="C162">
    <cfRule type="cellIs" dxfId="64" priority="963" operator="equal">
      <formula>$U$1</formula>
    </cfRule>
    <cfRule type="cellIs" dxfId="63" priority="964" operator="equal">
      <formula>$S$1</formula>
    </cfRule>
  </conditionalFormatting>
  <conditionalFormatting sqref="D162">
    <cfRule type="cellIs" dxfId="62" priority="961" operator="equal">
      <formula>$S$1</formula>
    </cfRule>
    <cfRule type="cellIs" dxfId="61" priority="962" operator="equal">
      <formula>$U$1</formula>
    </cfRule>
  </conditionalFormatting>
  <conditionalFormatting sqref="C187">
    <cfRule type="cellIs" dxfId="60" priority="959" operator="equal">
      <formula>$U$1</formula>
    </cfRule>
    <cfRule type="cellIs" dxfId="59" priority="960" operator="equal">
      <formula>$S$1</formula>
    </cfRule>
  </conditionalFormatting>
  <conditionalFormatting sqref="D187">
    <cfRule type="cellIs" dxfId="58" priority="957" operator="equal">
      <formula>$S$1</formula>
    </cfRule>
    <cfRule type="cellIs" dxfId="57" priority="958" operator="equal">
      <formula>$U$1</formula>
    </cfRule>
  </conditionalFormatting>
  <conditionalFormatting sqref="C212">
    <cfRule type="cellIs" dxfId="56" priority="955" operator="equal">
      <formula>$U$1</formula>
    </cfRule>
    <cfRule type="cellIs" dxfId="55" priority="956" operator="equal">
      <formula>$S$1</formula>
    </cfRule>
  </conditionalFormatting>
  <conditionalFormatting sqref="D212">
    <cfRule type="cellIs" dxfId="54" priority="953" operator="equal">
      <formula>$S$1</formula>
    </cfRule>
    <cfRule type="cellIs" dxfId="53" priority="954" operator="equal">
      <formula>$U$1</formula>
    </cfRule>
  </conditionalFormatting>
  <conditionalFormatting sqref="C237">
    <cfRule type="cellIs" dxfId="52" priority="951" operator="equal">
      <formula>$U$1</formula>
    </cfRule>
    <cfRule type="cellIs" dxfId="51" priority="952" operator="equal">
      <formula>$S$1</formula>
    </cfRule>
  </conditionalFormatting>
  <conditionalFormatting sqref="D237">
    <cfRule type="cellIs" dxfId="50" priority="949" operator="equal">
      <formula>$S$1</formula>
    </cfRule>
    <cfRule type="cellIs" dxfId="49" priority="950" operator="equal">
      <formula>$U$1</formula>
    </cfRule>
  </conditionalFormatting>
  <conditionalFormatting sqref="C106">
    <cfRule type="cellIs" dxfId="48" priority="947" operator="equal">
      <formula>$U$1</formula>
    </cfRule>
    <cfRule type="cellIs" dxfId="47" priority="948" operator="equal">
      <formula>$S$1</formula>
    </cfRule>
  </conditionalFormatting>
  <conditionalFormatting sqref="D106">
    <cfRule type="cellIs" dxfId="46" priority="945" operator="equal">
      <formula>$S$1</formula>
    </cfRule>
    <cfRule type="cellIs" dxfId="45" priority="946" operator="equal">
      <formula>$U$1</formula>
    </cfRule>
  </conditionalFormatting>
  <conditionalFormatting sqref="C81">
    <cfRule type="cellIs" dxfId="44" priority="943" operator="equal">
      <formula>$U$1</formula>
    </cfRule>
    <cfRule type="cellIs" dxfId="43" priority="944" operator="equal">
      <formula>$S$1</formula>
    </cfRule>
  </conditionalFormatting>
  <conditionalFormatting sqref="D81">
    <cfRule type="cellIs" dxfId="42" priority="941" operator="equal">
      <formula>$S$1</formula>
    </cfRule>
    <cfRule type="cellIs" dxfId="41" priority="942" operator="equal">
      <formula>$U$1</formula>
    </cfRule>
  </conditionalFormatting>
  <conditionalFormatting sqref="C56">
    <cfRule type="cellIs" dxfId="40" priority="939" operator="equal">
      <formula>$U$1</formula>
    </cfRule>
    <cfRule type="cellIs" dxfId="39" priority="940" operator="equal">
      <formula>$S$1</formula>
    </cfRule>
  </conditionalFormatting>
  <conditionalFormatting sqref="D56">
    <cfRule type="cellIs" dxfId="38" priority="937" operator="equal">
      <formula>$S$1</formula>
    </cfRule>
    <cfRule type="cellIs" dxfId="37" priority="938" operator="equal">
      <formula>$U$1</formula>
    </cfRule>
  </conditionalFormatting>
  <conditionalFormatting sqref="C31">
    <cfRule type="cellIs" dxfId="36" priority="935" operator="equal">
      <formula>$U$1</formula>
    </cfRule>
    <cfRule type="cellIs" dxfId="35" priority="936" operator="equal">
      <formula>$S$1</formula>
    </cfRule>
  </conditionalFormatting>
  <conditionalFormatting sqref="D31">
    <cfRule type="cellIs" dxfId="34" priority="933" operator="equal">
      <formula>$S$1</formula>
    </cfRule>
    <cfRule type="cellIs" dxfId="33" priority="93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4" zoomScale="90" zoomScaleNormal="90" workbookViewId="0">
      <pane xSplit="4" topLeftCell="G1" activePane="topRight" state="frozen"/>
      <selection activeCell="A109" sqref="A109"/>
      <selection pane="topRight" activeCell="AZ121" sqref="AZ12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8" x14ac:dyDescent="0.25">
      <c r="A97" s="30">
        <v>9.849732675807628</v>
      </c>
      <c r="E97"/>
    </row>
    <row r="98" spans="1:48" x14ac:dyDescent="0.25">
      <c r="A98" s="30">
        <v>8.9543024325523888</v>
      </c>
      <c r="C98" s="1" t="s">
        <v>13</v>
      </c>
      <c r="E98"/>
    </row>
    <row r="99" spans="1:48" x14ac:dyDescent="0.25">
      <c r="A99" s="30">
        <v>8.140274938683989</v>
      </c>
      <c r="C99" s="1">
        <f>C88</f>
        <v>0</v>
      </c>
      <c r="E99"/>
    </row>
    <row r="100" spans="1:48" x14ac:dyDescent="0.25">
      <c r="A100" s="30">
        <v>7.4002499442581717</v>
      </c>
      <c r="C100"/>
      <c r="D100"/>
      <c r="E100"/>
    </row>
    <row r="101" spans="1:48" x14ac:dyDescent="0.25">
      <c r="A101" s="30">
        <v>6.72749994932561</v>
      </c>
      <c r="C101" s="1" t="s">
        <v>14</v>
      </c>
      <c r="E101"/>
    </row>
    <row r="102" spans="1:4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8" x14ac:dyDescent="0.25">
      <c r="A103" s="30">
        <v>5.5599173134922388</v>
      </c>
      <c r="E103"/>
    </row>
    <row r="104" spans="1:48" x14ac:dyDescent="0.25">
      <c r="A104" s="30">
        <v>5.0544702849929442</v>
      </c>
      <c r="E104"/>
    </row>
    <row r="105" spans="1:48" x14ac:dyDescent="0.25">
      <c r="A105" s="30">
        <v>4.594972986357222</v>
      </c>
      <c r="E105"/>
    </row>
    <row r="106" spans="1:48" x14ac:dyDescent="0.25">
      <c r="A106" s="30">
        <v>4.1772481694156562</v>
      </c>
      <c r="E106"/>
    </row>
    <row r="107" spans="1:48" x14ac:dyDescent="0.25">
      <c r="A107" s="30">
        <v>3.7974983358324148</v>
      </c>
      <c r="E107"/>
      <c r="AA107" s="27" t="s">
        <v>8</v>
      </c>
    </row>
    <row r="108" spans="1:48" x14ac:dyDescent="0.25">
      <c r="A108" s="30">
        <v>3.4522712143931042</v>
      </c>
      <c r="E108"/>
      <c r="AA108" s="27" t="s">
        <v>8</v>
      </c>
      <c r="AB108" s="27" t="s">
        <v>7</v>
      </c>
      <c r="AC108" s="31" t="s">
        <v>8</v>
      </c>
      <c r="AU108" s="27" t="s">
        <v>8</v>
      </c>
    </row>
    <row r="109" spans="1:48" x14ac:dyDescent="0.25">
      <c r="A109" s="30">
        <v>3.1384283767210035</v>
      </c>
      <c r="E109"/>
      <c r="AA109" s="27" t="s">
        <v>8</v>
      </c>
      <c r="AB109" s="27" t="s">
        <v>7</v>
      </c>
      <c r="AC109" s="27" t="s">
        <v>8</v>
      </c>
      <c r="AD109" s="31" t="s">
        <v>7</v>
      </c>
      <c r="AU109" s="27" t="s">
        <v>8</v>
      </c>
      <c r="AV109" s="27" t="s">
        <v>7</v>
      </c>
    </row>
    <row r="110" spans="1:48" x14ac:dyDescent="0.25">
      <c r="A110" s="30">
        <v>2.8531167061100029</v>
      </c>
      <c r="E110"/>
      <c r="AA110" s="27" t="s">
        <v>8</v>
      </c>
      <c r="AB110" s="27" t="s">
        <v>7</v>
      </c>
      <c r="AC110" s="27" t="s">
        <v>8</v>
      </c>
      <c r="AD110" s="27" t="s">
        <v>7</v>
      </c>
      <c r="AE110" s="31"/>
      <c r="AQ110" s="27" t="s">
        <v>8</v>
      </c>
      <c r="AU110" s="27" t="s">
        <v>8</v>
      </c>
      <c r="AV110" s="27" t="s">
        <v>7</v>
      </c>
    </row>
    <row r="111" spans="1:48" x14ac:dyDescent="0.25">
      <c r="A111" s="30">
        <v>2.5937424601000023</v>
      </c>
      <c r="C111" s="1" t="str">
        <f>ADDRESS(C121-1,1,1,1)</f>
        <v>$A$120</v>
      </c>
      <c r="D111" s="1" t="str">
        <f>ADDRESS(C121-1,D121,1,1)</f>
        <v>$AZ$120</v>
      </c>
      <c r="E111"/>
      <c r="AA111" s="27" t="s">
        <v>8</v>
      </c>
      <c r="AB111" s="27" t="s">
        <v>7</v>
      </c>
      <c r="AD111" s="27" t="s">
        <v>7</v>
      </c>
      <c r="AE111" s="27" t="s">
        <v>8</v>
      </c>
      <c r="AF111" s="31"/>
      <c r="AQ111" s="27" t="s">
        <v>8</v>
      </c>
      <c r="AR111" s="27" t="s">
        <v>7</v>
      </c>
      <c r="AU111" s="27" t="s">
        <v>8</v>
      </c>
      <c r="AV111" s="27" t="s">
        <v>7</v>
      </c>
    </row>
    <row r="112" spans="1:48" x14ac:dyDescent="0.25">
      <c r="A112" s="30">
        <v>2.3579476910000019</v>
      </c>
      <c r="C112" s="1" t="str">
        <f>ADDRESS(C121,1,1,1)</f>
        <v>$A$121</v>
      </c>
      <c r="D112" s="1" t="str">
        <f>ADDRESS(C121,D121-1,1,1)</f>
        <v>$AY$121</v>
      </c>
      <c r="E112"/>
      <c r="AA112" s="27" t="s">
        <v>8</v>
      </c>
      <c r="AD112" s="27" t="s">
        <v>7</v>
      </c>
      <c r="AE112" s="27" t="s">
        <v>8</v>
      </c>
      <c r="AF112" s="27" t="s">
        <v>7</v>
      </c>
      <c r="AG112" s="31"/>
      <c r="AQ112" s="27" t="s">
        <v>8</v>
      </c>
      <c r="AR112" s="27" t="s">
        <v>7</v>
      </c>
      <c r="AS112" s="27" t="s">
        <v>8</v>
      </c>
      <c r="AU112" s="27" t="s">
        <v>8</v>
      </c>
      <c r="AV112" s="27" t="s">
        <v>7</v>
      </c>
    </row>
    <row r="113" spans="1:52" x14ac:dyDescent="0.25">
      <c r="A113" s="30">
        <v>2.1435888100000016</v>
      </c>
      <c r="C113" s="1" t="str">
        <f>ADDRESS(C121+1,1,1,1)</f>
        <v>$A$122</v>
      </c>
      <c r="D113" s="1" t="str">
        <f>ADDRESS(C121-1,D121+1,1,1)</f>
        <v>$BA$120</v>
      </c>
      <c r="AA113" s="27" t="s">
        <v>8</v>
      </c>
      <c r="AD113" s="27" t="s">
        <v>7</v>
      </c>
      <c r="AE113" s="27" t="s">
        <v>8</v>
      </c>
      <c r="AF113" s="27" t="s">
        <v>7</v>
      </c>
      <c r="AH113" s="31"/>
      <c r="AQ113" s="27" t="s">
        <v>8</v>
      </c>
      <c r="AR113" s="27" t="s">
        <v>7</v>
      </c>
      <c r="AS113" s="27" t="s">
        <v>8</v>
      </c>
      <c r="AT113" s="27" t="s">
        <v>7</v>
      </c>
      <c r="AU113" s="27" t="s">
        <v>8</v>
      </c>
      <c r="AV113" s="27" t="s">
        <v>7</v>
      </c>
      <c r="AY113" s="27" t="s">
        <v>8</v>
      </c>
    </row>
    <row r="114" spans="1:52" x14ac:dyDescent="0.25">
      <c r="A114" s="30">
        <v>1.9487171000000014</v>
      </c>
      <c r="C114" s="1" t="str">
        <f>ADDRESS(C121,D121,1,1)</f>
        <v>$AZ$121</v>
      </c>
      <c r="D114" s="1" t="str">
        <f>ADDRESS(C121+1,D121+1,1,1)</f>
        <v>$BA$122</v>
      </c>
      <c r="Y114" s="27" t="s">
        <v>8</v>
      </c>
      <c r="AA114" s="27" t="s">
        <v>8</v>
      </c>
      <c r="AD114" s="27" t="s">
        <v>7</v>
      </c>
      <c r="AE114" s="27" t="s">
        <v>8</v>
      </c>
      <c r="AF114" s="27" t="s">
        <v>7</v>
      </c>
      <c r="AI114" s="31"/>
      <c r="AM114" s="27" t="s">
        <v>8</v>
      </c>
      <c r="AQ114" s="27" t="s">
        <v>8</v>
      </c>
      <c r="AR114" s="27" t="s">
        <v>7</v>
      </c>
      <c r="AS114" s="27" t="s">
        <v>8</v>
      </c>
      <c r="AT114" s="27" t="s">
        <v>7</v>
      </c>
      <c r="AU114" s="27" t="s">
        <v>8</v>
      </c>
      <c r="AV114" s="27" t="s">
        <v>7</v>
      </c>
      <c r="AW114" s="27" t="s">
        <v>8</v>
      </c>
      <c r="AY114" s="27" t="s">
        <v>8</v>
      </c>
      <c r="AZ114" s="27" t="s">
        <v>7</v>
      </c>
    </row>
    <row r="115" spans="1:52" x14ac:dyDescent="0.25">
      <c r="A115" s="30">
        <v>1.7715610000000011</v>
      </c>
      <c r="C115" s="1" t="str">
        <f>ADDRESS(C121+1,D121,1,1)</f>
        <v>$AZ$122</v>
      </c>
      <c r="Y115" s="27" t="s">
        <v>8</v>
      </c>
      <c r="Z115" s="27" t="s">
        <v>7</v>
      </c>
      <c r="AA115" s="27" t="s">
        <v>8</v>
      </c>
      <c r="AD115" s="27" t="s">
        <v>7</v>
      </c>
      <c r="AE115" s="27" t="s">
        <v>8</v>
      </c>
      <c r="AF115" s="27" t="s">
        <v>7</v>
      </c>
      <c r="AJ115" s="31"/>
      <c r="AM115" s="27" t="s">
        <v>8</v>
      </c>
      <c r="AN115" s="27" t="s">
        <v>7</v>
      </c>
      <c r="AQ115" s="27" t="s">
        <v>8</v>
      </c>
      <c r="AR115" s="27" t="s">
        <v>7</v>
      </c>
      <c r="AS115" s="27" t="s">
        <v>8</v>
      </c>
      <c r="AT115" s="27" t="s">
        <v>7</v>
      </c>
      <c r="AV115" s="27" t="s">
        <v>7</v>
      </c>
      <c r="AW115" s="27" t="s">
        <v>8</v>
      </c>
      <c r="AX115" s="27" t="s">
        <v>7</v>
      </c>
      <c r="AY115" s="27" t="s">
        <v>8</v>
      </c>
      <c r="AZ115" s="27" t="s">
        <v>7</v>
      </c>
    </row>
    <row r="116" spans="1:52" x14ac:dyDescent="0.25">
      <c r="A116" s="30">
        <v>1.6105100000000008</v>
      </c>
      <c r="C116" s="1">
        <f>C117-1</f>
        <v>120</v>
      </c>
      <c r="Y116" s="27" t="s">
        <v>8</v>
      </c>
      <c r="Z116" s="27" t="s">
        <v>7</v>
      </c>
      <c r="AA116" s="27" t="s">
        <v>8</v>
      </c>
      <c r="AD116" s="27" t="s">
        <v>7</v>
      </c>
      <c r="AE116" s="27" t="s">
        <v>8</v>
      </c>
      <c r="AF116" s="27" t="s">
        <v>7</v>
      </c>
      <c r="AK116" s="31"/>
      <c r="AM116" s="27" t="s">
        <v>8</v>
      </c>
      <c r="AN116" s="27" t="s">
        <v>7</v>
      </c>
      <c r="AQ116" s="27" t="s">
        <v>8</v>
      </c>
      <c r="AR116" s="27" t="s">
        <v>7</v>
      </c>
      <c r="AS116" s="27" t="s">
        <v>8</v>
      </c>
      <c r="AV116" s="27" t="s">
        <v>7</v>
      </c>
      <c r="AW116" s="27" t="s">
        <v>8</v>
      </c>
      <c r="AX116" s="27" t="s">
        <v>7</v>
      </c>
      <c r="AY116" s="27" t="s">
        <v>8</v>
      </c>
      <c r="AZ116" s="27" t="s">
        <v>7</v>
      </c>
    </row>
    <row r="117" spans="1:52" x14ac:dyDescent="0.25">
      <c r="A117" s="30">
        <v>1.4641000000000006</v>
      </c>
      <c r="C117" s="1">
        <f>C121</f>
        <v>121</v>
      </c>
      <c r="D117" s="1">
        <f>D121</f>
        <v>52</v>
      </c>
      <c r="Y117" s="27" t="s">
        <v>8</v>
      </c>
      <c r="Z117" s="27" t="s">
        <v>7</v>
      </c>
      <c r="AA117" s="27" t="s">
        <v>8</v>
      </c>
      <c r="AD117" s="27" t="s">
        <v>7</v>
      </c>
      <c r="AE117" s="27" t="s">
        <v>8</v>
      </c>
      <c r="AF117" s="27" t="s">
        <v>7</v>
      </c>
      <c r="AG117" s="27" t="s">
        <v>8</v>
      </c>
      <c r="AL117" s="31"/>
      <c r="AM117" s="27" t="s">
        <v>8</v>
      </c>
      <c r="AN117" s="27" t="s">
        <v>7</v>
      </c>
      <c r="AO117" s="27" t="s">
        <v>8</v>
      </c>
      <c r="AQ117" s="27" t="s">
        <v>8</v>
      </c>
      <c r="AR117" s="27" t="s">
        <v>7</v>
      </c>
      <c r="AV117" s="27" t="s">
        <v>7</v>
      </c>
      <c r="AX117" s="27" t="s">
        <v>7</v>
      </c>
      <c r="AZ117" s="27" t="s">
        <v>7</v>
      </c>
    </row>
    <row r="118" spans="1:52" x14ac:dyDescent="0.25">
      <c r="A118" s="30">
        <v>1.3310000000000004</v>
      </c>
      <c r="C118" s="1">
        <f>C117+1</f>
        <v>122</v>
      </c>
      <c r="D118" s="1">
        <f>D117+1</f>
        <v>53</v>
      </c>
      <c r="Y118" s="27" t="s">
        <v>8</v>
      </c>
      <c r="Z118" s="27" t="s">
        <v>7</v>
      </c>
      <c r="AD118" s="27" t="s">
        <v>7</v>
      </c>
      <c r="AF118" s="27" t="s">
        <v>7</v>
      </c>
      <c r="AG118" s="27" t="s">
        <v>8</v>
      </c>
      <c r="AH118" s="27" t="s">
        <v>7</v>
      </c>
      <c r="AM118" s="31" t="s">
        <v>8</v>
      </c>
      <c r="AN118" s="27" t="s">
        <v>7</v>
      </c>
      <c r="AO118" s="27" t="s">
        <v>8</v>
      </c>
      <c r="AP118" s="27" t="s">
        <v>7</v>
      </c>
      <c r="AQ118" s="27" t="s">
        <v>8</v>
      </c>
      <c r="AZ118" s="27" t="s">
        <v>7</v>
      </c>
    </row>
    <row r="119" spans="1:52" x14ac:dyDescent="0.25">
      <c r="A119" s="30">
        <v>1.2100000000000002</v>
      </c>
      <c r="Y119" s="27" t="s">
        <v>8</v>
      </c>
      <c r="AF119" s="27" t="s">
        <v>7</v>
      </c>
      <c r="AG119" s="27" t="s">
        <v>8</v>
      </c>
      <c r="AH119" s="27" t="s">
        <v>7</v>
      </c>
      <c r="AI119" s="27" t="s">
        <v>8</v>
      </c>
      <c r="AM119" s="27" t="s">
        <v>8</v>
      </c>
      <c r="AN119" s="31" t="s">
        <v>7</v>
      </c>
      <c r="AO119" s="27" t="s">
        <v>8</v>
      </c>
      <c r="AP119" s="27" t="s">
        <v>7</v>
      </c>
      <c r="AQ119" s="27" t="s">
        <v>8</v>
      </c>
      <c r="AZ119" s="27" t="s">
        <v>7</v>
      </c>
    </row>
    <row r="120" spans="1:52" x14ac:dyDescent="0.25">
      <c r="A120" s="30">
        <v>1.1000000000000001</v>
      </c>
      <c r="C120" s="1" t="s">
        <v>9</v>
      </c>
      <c r="Y120" s="27" t="s">
        <v>8</v>
      </c>
      <c r="AF120" s="27" t="s">
        <v>7</v>
      </c>
      <c r="AG120" s="27" t="s">
        <v>8</v>
      </c>
      <c r="AH120" s="27" t="s">
        <v>7</v>
      </c>
      <c r="AI120" s="27" t="s">
        <v>8</v>
      </c>
      <c r="AJ120" s="27" t="s">
        <v>7</v>
      </c>
      <c r="AK120" s="27" t="s">
        <v>8</v>
      </c>
      <c r="AM120" s="27" t="s">
        <v>8</v>
      </c>
      <c r="AN120" s="27" t="s">
        <v>7</v>
      </c>
      <c r="AO120" s="27" t="s">
        <v>8</v>
      </c>
      <c r="AP120" s="27" t="s">
        <v>7</v>
      </c>
      <c r="AZ120" s="27" t="s">
        <v>7</v>
      </c>
    </row>
    <row r="121" spans="1:52" x14ac:dyDescent="0.25">
      <c r="A121" s="30">
        <v>1</v>
      </c>
      <c r="C121" s="18">
        <v>121</v>
      </c>
      <c r="D121" s="19">
        <v>52</v>
      </c>
      <c r="E121" s="18" t="s">
        <v>8</v>
      </c>
      <c r="Y121" s="27" t="s">
        <v>8</v>
      </c>
      <c r="AF121" s="27" t="s">
        <v>7</v>
      </c>
      <c r="AG121" s="27" t="s">
        <v>8</v>
      </c>
      <c r="AH121" s="27" t="s">
        <v>7</v>
      </c>
      <c r="AI121" s="27" t="s">
        <v>8</v>
      </c>
      <c r="AJ121" s="27" t="s">
        <v>7</v>
      </c>
      <c r="AK121" s="27" t="s">
        <v>8</v>
      </c>
      <c r="AL121" s="27" t="s">
        <v>7</v>
      </c>
      <c r="AM121" s="27" t="s">
        <v>8</v>
      </c>
      <c r="AN121" s="27" t="s">
        <v>7</v>
      </c>
      <c r="AZ121" s="27" t="s">
        <v>7</v>
      </c>
    </row>
    <row r="122" spans="1:52" x14ac:dyDescent="0.25">
      <c r="A122" s="30">
        <v>0.90909090909090895</v>
      </c>
      <c r="C122" s="1" t="str">
        <f>INDEX(1:1048576,C117,D117)</f>
        <v>O</v>
      </c>
      <c r="F122" s="27" t="s">
        <v>7</v>
      </c>
      <c r="W122" s="27" t="s">
        <v>8</v>
      </c>
      <c r="Y122" s="27" t="s">
        <v>8</v>
      </c>
      <c r="AF122" s="27" t="s">
        <v>7</v>
      </c>
      <c r="AG122" s="27" t="s">
        <v>8</v>
      </c>
      <c r="AH122" s="27" t="s">
        <v>7</v>
      </c>
      <c r="AI122" s="27" t="s">
        <v>8</v>
      </c>
      <c r="AJ122" s="27" t="s">
        <v>7</v>
      </c>
      <c r="AK122" s="27" t="s">
        <v>8</v>
      </c>
      <c r="AL122" s="27" t="s">
        <v>7</v>
      </c>
      <c r="AM122" s="27" t="s">
        <v>8</v>
      </c>
    </row>
    <row r="123" spans="1:52" x14ac:dyDescent="0.25">
      <c r="A123" s="30">
        <v>0.82644628099173523</v>
      </c>
      <c r="C123" s="1" t="str">
        <f>"R"&amp;C121</f>
        <v>R121</v>
      </c>
      <c r="D123" s="1" t="str">
        <f>"C"&amp;D121</f>
        <v>C52</v>
      </c>
      <c r="F123" s="27" t="s">
        <v>7</v>
      </c>
      <c r="W123" s="27" t="s">
        <v>8</v>
      </c>
      <c r="X123" s="27" t="s">
        <v>7</v>
      </c>
      <c r="Y123" s="27" t="s">
        <v>8</v>
      </c>
      <c r="AF123" s="27" t="s">
        <v>7</v>
      </c>
      <c r="AG123" s="27" t="s">
        <v>8</v>
      </c>
      <c r="AH123" s="27" t="s">
        <v>7</v>
      </c>
      <c r="AJ123" s="27" t="s">
        <v>7</v>
      </c>
      <c r="AK123" s="27" t="s">
        <v>8</v>
      </c>
      <c r="AL123" s="18" t="s">
        <v>7</v>
      </c>
      <c r="AM123" s="27" t="s">
        <v>8</v>
      </c>
    </row>
    <row r="124" spans="1:5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K124" s="27" t="s">
        <v>8</v>
      </c>
      <c r="W124" s="27" t="s">
        <v>8</v>
      </c>
      <c r="X124" s="27" t="s">
        <v>7</v>
      </c>
      <c r="Y124" s="27" t="s">
        <v>8</v>
      </c>
      <c r="AF124" s="27" t="s">
        <v>7</v>
      </c>
      <c r="AJ124" s="27" t="s">
        <v>7</v>
      </c>
      <c r="AK124" s="27" t="s">
        <v>8</v>
      </c>
      <c r="AL124" s="27" t="s">
        <v>7</v>
      </c>
      <c r="AM124" s="27" t="s">
        <v>8</v>
      </c>
    </row>
    <row r="125" spans="1:52" x14ac:dyDescent="0.25">
      <c r="A125" s="30">
        <v>0.68301345536507019</v>
      </c>
      <c r="F125" s="27" t="s">
        <v>7</v>
      </c>
      <c r="K125" s="27" t="s">
        <v>8</v>
      </c>
      <c r="L125" s="27" t="s">
        <v>7</v>
      </c>
      <c r="W125" s="27" t="s">
        <v>8</v>
      </c>
      <c r="X125" s="27" t="s">
        <v>7</v>
      </c>
      <c r="Y125" s="27" t="s">
        <v>8</v>
      </c>
      <c r="AJ125" s="27" t="s">
        <v>7</v>
      </c>
      <c r="AK125" s="27" t="s">
        <v>8</v>
      </c>
      <c r="AL125" s="27" t="s">
        <v>7</v>
      </c>
    </row>
    <row r="126" spans="1:52" x14ac:dyDescent="0.25">
      <c r="A126" s="30">
        <v>0.6209213230591546</v>
      </c>
      <c r="C126" s="1" t="s">
        <v>10</v>
      </c>
      <c r="F126" s="27" t="s">
        <v>7</v>
      </c>
      <c r="K126" s="27" t="s">
        <v>8</v>
      </c>
      <c r="L126" s="27" t="s">
        <v>7</v>
      </c>
      <c r="M126" s="27" t="s">
        <v>8</v>
      </c>
      <c r="O126" s="27" t="s">
        <v>8</v>
      </c>
      <c r="W126" s="27" t="s">
        <v>8</v>
      </c>
      <c r="X126" s="27" t="s">
        <v>7</v>
      </c>
      <c r="Y126" s="27" t="s">
        <v>8</v>
      </c>
      <c r="AJ126" s="27" t="s">
        <v>7</v>
      </c>
      <c r="AK126" s="27" t="s">
        <v>8</v>
      </c>
    </row>
    <row r="127" spans="1:52" x14ac:dyDescent="0.25">
      <c r="A127" s="30">
        <v>0.56447393005377677</v>
      </c>
      <c r="C127" s="30">
        <v>1</v>
      </c>
      <c r="D127"/>
      <c r="F127" s="27" t="s">
        <v>7</v>
      </c>
      <c r="K127" s="27" t="s">
        <v>8</v>
      </c>
      <c r="L127" s="27" t="s">
        <v>7</v>
      </c>
      <c r="M127" s="27" t="s">
        <v>8</v>
      </c>
      <c r="N127" s="27" t="s">
        <v>7</v>
      </c>
      <c r="O127" s="27" t="s">
        <v>8</v>
      </c>
      <c r="P127" s="27" t="s">
        <v>7</v>
      </c>
      <c r="W127" s="27" t="s">
        <v>8</v>
      </c>
      <c r="X127" s="27" t="s">
        <v>7</v>
      </c>
      <c r="Y127" s="27" t="s">
        <v>8</v>
      </c>
      <c r="AJ127" s="27" t="s">
        <v>7</v>
      </c>
      <c r="AK127" s="27" t="s">
        <v>8</v>
      </c>
    </row>
    <row r="128" spans="1:52" x14ac:dyDescent="0.25">
      <c r="A128" s="30">
        <v>0.51315811823070612</v>
      </c>
      <c r="F128" s="27" t="s">
        <v>7</v>
      </c>
      <c r="K128" s="27" t="s">
        <v>8</v>
      </c>
      <c r="L128" s="27" t="s">
        <v>7</v>
      </c>
      <c r="M128" s="27" t="s">
        <v>8</v>
      </c>
      <c r="N128" s="27" t="s">
        <v>7</v>
      </c>
      <c r="O128" s="27" t="s">
        <v>8</v>
      </c>
      <c r="P128" s="27" t="s">
        <v>7</v>
      </c>
      <c r="W128" s="27" t="s">
        <v>8</v>
      </c>
      <c r="X128" s="27" t="s">
        <v>7</v>
      </c>
      <c r="Y128" s="27" t="s">
        <v>8</v>
      </c>
      <c r="AJ128" s="27" t="s">
        <v>7</v>
      </c>
    </row>
    <row r="129" spans="1:2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I129" s="27" t="s">
        <v>8</v>
      </c>
      <c r="K129" s="27" t="s">
        <v>8</v>
      </c>
      <c r="L129" s="27" t="s">
        <v>7</v>
      </c>
      <c r="M129" s="27" t="s">
        <v>8</v>
      </c>
      <c r="N129" s="27" t="s">
        <v>7</v>
      </c>
      <c r="O129" s="27" t="s">
        <v>8</v>
      </c>
      <c r="P129" s="27" t="s">
        <v>7</v>
      </c>
      <c r="S129" s="27" t="s">
        <v>8</v>
      </c>
      <c r="U129" s="27" t="s">
        <v>8</v>
      </c>
      <c r="W129" s="27" t="s">
        <v>8</v>
      </c>
      <c r="X129" s="27" t="s">
        <v>7</v>
      </c>
    </row>
    <row r="130" spans="1:24" x14ac:dyDescent="0.25">
      <c r="A130" s="30">
        <v>0.42409761837248428</v>
      </c>
      <c r="C130" s="6"/>
      <c r="D130" s="6"/>
      <c r="E130"/>
      <c r="F130" s="27" t="s">
        <v>7</v>
      </c>
      <c r="I130" s="27" t="s">
        <v>8</v>
      </c>
      <c r="J130" s="27" t="s">
        <v>7</v>
      </c>
      <c r="K130" s="27" t="s">
        <v>8</v>
      </c>
      <c r="L130" s="27" t="s">
        <v>7</v>
      </c>
      <c r="M130" s="27" t="s">
        <v>8</v>
      </c>
      <c r="N130" s="27" t="s">
        <v>7</v>
      </c>
      <c r="O130" s="27" t="s">
        <v>8</v>
      </c>
      <c r="P130" s="27" t="s">
        <v>7</v>
      </c>
      <c r="Q130" s="27" t="s">
        <v>8</v>
      </c>
      <c r="S130" s="27" t="s">
        <v>8</v>
      </c>
      <c r="T130" s="27" t="s">
        <v>7</v>
      </c>
      <c r="U130" s="27" t="s">
        <v>8</v>
      </c>
      <c r="V130" s="27" t="s">
        <v>7</v>
      </c>
      <c r="W130" s="27" t="s">
        <v>8</v>
      </c>
    </row>
    <row r="131" spans="1:24" x14ac:dyDescent="0.25">
      <c r="A131" s="30">
        <v>0.38554328942953109</v>
      </c>
      <c r="E131"/>
      <c r="F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N131" s="27" t="s">
        <v>7</v>
      </c>
      <c r="O131" s="27" t="s">
        <v>8</v>
      </c>
      <c r="P131" s="27" t="s">
        <v>7</v>
      </c>
      <c r="Q131" s="27" t="s">
        <v>8</v>
      </c>
      <c r="R131" s="27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</row>
    <row r="132" spans="1:24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I132" s="27" t="s">
        <v>8</v>
      </c>
      <c r="J132" s="27" t="s">
        <v>7</v>
      </c>
      <c r="N132" s="27" t="s">
        <v>7</v>
      </c>
      <c r="O132" s="27" t="s">
        <v>8</v>
      </c>
      <c r="P132" s="27" t="s">
        <v>7</v>
      </c>
      <c r="Q132" s="27" t="s">
        <v>8</v>
      </c>
      <c r="R132" s="27" t="s">
        <v>7</v>
      </c>
      <c r="S132" s="27" t="s">
        <v>8</v>
      </c>
      <c r="T132" s="27" t="s">
        <v>7</v>
      </c>
      <c r="U132" s="27" t="s">
        <v>8</v>
      </c>
      <c r="V132" s="27" t="s">
        <v>7</v>
      </c>
    </row>
    <row r="133" spans="1:24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N133" s="27" t="s">
        <v>7</v>
      </c>
      <c r="P133" s="27" t="s">
        <v>7</v>
      </c>
      <c r="Q133" s="27" t="s">
        <v>8</v>
      </c>
      <c r="R133" s="27" t="s">
        <v>7</v>
      </c>
      <c r="S133" s="27" t="s">
        <v>8</v>
      </c>
      <c r="T133" s="27" t="s">
        <v>7</v>
      </c>
    </row>
    <row r="134" spans="1:24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P134" s="27" t="s">
        <v>7</v>
      </c>
      <c r="Q134" s="27" t="s">
        <v>8</v>
      </c>
      <c r="R134" s="27" t="s">
        <v>7</v>
      </c>
      <c r="S134" s="27" t="s">
        <v>8</v>
      </c>
    </row>
    <row r="135" spans="1:24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P135" s="27" t="s">
        <v>7</v>
      </c>
      <c r="R135" s="27" t="s">
        <v>7</v>
      </c>
    </row>
    <row r="136" spans="1:2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</row>
    <row r="137" spans="1:24" x14ac:dyDescent="0.25">
      <c r="A137" s="30">
        <v>0.2176291357901482</v>
      </c>
      <c r="E137"/>
      <c r="F137" s="27" t="s">
        <v>7</v>
      </c>
      <c r="G137" s="27" t="s">
        <v>8</v>
      </c>
    </row>
    <row r="138" spans="1:2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</row>
    <row r="139" spans="1:24" x14ac:dyDescent="0.25">
      <c r="A139" s="30">
        <v>0.17985878990921333</v>
      </c>
      <c r="E139"/>
      <c r="F139" s="27" t="s">
        <v>7</v>
      </c>
      <c r="G139" s="27" t="s">
        <v>8</v>
      </c>
    </row>
    <row r="140" spans="1:24" x14ac:dyDescent="0.25">
      <c r="A140" s="30">
        <v>0.16350799082655756</v>
      </c>
      <c r="C140" s="1">
        <v>0</v>
      </c>
      <c r="E140"/>
      <c r="F140" s="27" t="s">
        <v>7</v>
      </c>
    </row>
    <row r="141" spans="1:24" x14ac:dyDescent="0.25">
      <c r="A141" s="30">
        <v>0.14864362802414322</v>
      </c>
      <c r="C141" s="1">
        <v>1</v>
      </c>
      <c r="E141"/>
    </row>
    <row r="142" spans="1:24" x14ac:dyDescent="0.25">
      <c r="A142" s="30">
        <v>0.13513057093103928</v>
      </c>
      <c r="C142" s="1">
        <v>2</v>
      </c>
      <c r="E142"/>
    </row>
    <row r="143" spans="1:24" x14ac:dyDescent="0.25">
      <c r="A143" s="30">
        <v>0.12284597357367205</v>
      </c>
      <c r="C143" s="1">
        <v>3</v>
      </c>
      <c r="E143"/>
    </row>
    <row r="144" spans="1:24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51" operator="equal">
      <formula>$U$1</formula>
    </cfRule>
    <cfRule type="cellIs" dxfId="30" priority="952" operator="equal">
      <formula>$S$1</formula>
    </cfRule>
  </conditionalFormatting>
  <conditionalFormatting sqref="D136">
    <cfRule type="cellIs" dxfId="29" priority="949" operator="equal">
      <formula>$S$1</formula>
    </cfRule>
    <cfRule type="cellIs" dxfId="28" priority="950" operator="equal">
      <formula>$U$1</formula>
    </cfRule>
  </conditionalFormatting>
  <conditionalFormatting sqref="C102">
    <cfRule type="cellIs" dxfId="27" priority="947" operator="equal">
      <formula>$U$1</formula>
    </cfRule>
    <cfRule type="cellIs" dxfId="26" priority="948" operator="equal">
      <formula>$S$1</formula>
    </cfRule>
  </conditionalFormatting>
  <conditionalFormatting sqref="D102">
    <cfRule type="cellIs" dxfId="25" priority="945" operator="equal">
      <formula>$S$1</formula>
    </cfRule>
    <cfRule type="cellIs" dxfId="24" priority="946" operator="equal">
      <formula>$U$1</formula>
    </cfRule>
  </conditionalFormatting>
  <conditionalFormatting sqref="C77">
    <cfRule type="cellIs" dxfId="23" priority="943" operator="equal">
      <formula>$U$1</formula>
    </cfRule>
    <cfRule type="cellIs" dxfId="22" priority="944" operator="equal">
      <formula>$S$1</formula>
    </cfRule>
  </conditionalFormatting>
  <conditionalFormatting sqref="D77">
    <cfRule type="cellIs" dxfId="21" priority="941" operator="equal">
      <formula>$S$1</formula>
    </cfRule>
    <cfRule type="cellIs" dxfId="20" priority="942" operator="equal">
      <formula>$U$1</formula>
    </cfRule>
  </conditionalFormatting>
  <conditionalFormatting sqref="C52">
    <cfRule type="cellIs" dxfId="19" priority="939" operator="equal">
      <formula>$U$1</formula>
    </cfRule>
    <cfRule type="cellIs" dxfId="18" priority="940" operator="equal">
      <formula>$S$1</formula>
    </cfRule>
  </conditionalFormatting>
  <conditionalFormatting sqref="D52">
    <cfRule type="cellIs" dxfId="17" priority="937" operator="equal">
      <formula>$S$1</formula>
    </cfRule>
    <cfRule type="cellIs" dxfId="16" priority="938" operator="equal">
      <formula>$U$1</formula>
    </cfRule>
  </conditionalFormatting>
  <conditionalFormatting sqref="C26">
    <cfRule type="cellIs" dxfId="15" priority="935" operator="equal">
      <formula>$U$1</formula>
    </cfRule>
    <cfRule type="cellIs" dxfId="14" priority="936" operator="equal">
      <formula>$S$1</formula>
    </cfRule>
  </conditionalFormatting>
  <conditionalFormatting sqref="D26">
    <cfRule type="cellIs" dxfId="13" priority="933" operator="equal">
      <formula>$S$1</formula>
    </cfRule>
    <cfRule type="cellIs" dxfId="12" priority="93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0.676839362028685</v>
      </c>
      <c r="F3" s="30">
        <v>0.71068133013011958</v>
      </c>
      <c r="G3" s="30">
        <v>1.1025</v>
      </c>
      <c r="H3" s="25">
        <f>IF(G3="","",(3*(G3-F3))+E3)</f>
        <v>1.8522953716383264</v>
      </c>
      <c r="I3" s="7"/>
      <c r="J3" s="7">
        <f>(E3+G3)/2</f>
        <v>0.88966968101434252</v>
      </c>
      <c r="K3" s="7">
        <f>H3/2</f>
        <v>0.92614768581916318</v>
      </c>
      <c r="M3" s="26">
        <f>IF(OR(J3="",H3=""),"",H3/J3)</f>
        <v>2.0820034796807527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2022-01-28T01:21:31Z</dcterms:modified>
</cp:coreProperties>
</file>