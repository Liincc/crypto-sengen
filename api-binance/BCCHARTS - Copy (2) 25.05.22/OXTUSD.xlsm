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866A29FC-91B0-47A8-9E05-EF594029FFB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3"/>
  <c r="C133" i="3" s="1"/>
  <c r="D136" i="3" s="1"/>
  <c r="C116" i="4"/>
  <c r="C122" i="4"/>
  <c r="C133" i="4" s="1"/>
  <c r="C136" i="4" s="1"/>
  <c r="R765" i="1"/>
  <c r="S765" i="1" s="1"/>
  <c r="T765" i="1" s="1"/>
  <c r="C116" i="3"/>
  <c r="C118" i="3"/>
  <c r="R764" i="1" l="1"/>
  <c r="C136" i="5"/>
  <c r="C138" i="5" s="1"/>
  <c r="C136" i="3"/>
  <c r="C138" i="3" s="1"/>
  <c r="D136" i="4"/>
  <c r="C138" i="4" s="1"/>
  <c r="S764" i="1"/>
  <c r="T764" i="1" s="1"/>
  <c r="R763" i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S756" i="1" l="1"/>
  <c r="T756" i="1" s="1"/>
  <c r="R755" i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S740" i="1" l="1"/>
  <c r="T740" i="1" s="1"/>
  <c r="R739" i="1"/>
  <c r="S739" i="1" l="1"/>
  <c r="T739" i="1" s="1"/>
  <c r="R738" i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S643" i="1" l="1"/>
  <c r="T643" i="1" s="1"/>
  <c r="R642" i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S619" i="1" l="1"/>
  <c r="T619" i="1" s="1"/>
  <c r="R618" i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S548" i="1" l="1"/>
  <c r="T548" i="1" s="1"/>
  <c r="R547" i="1"/>
  <c r="S547" i="1" l="1"/>
  <c r="T547" i="1" s="1"/>
  <c r="R546" i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S540" i="1" l="1"/>
  <c r="T540" i="1" s="1"/>
  <c r="R539" i="1"/>
  <c r="S539" i="1" l="1"/>
  <c r="T539" i="1" s="1"/>
  <c r="R538" i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S534" i="1" l="1"/>
  <c r="T534" i="1" s="1"/>
  <c r="R533" i="1"/>
  <c r="R532" i="1" l="1"/>
  <c r="S533" i="1"/>
  <c r="T533" i="1" s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S516" i="1" l="1"/>
  <c r="T516" i="1" s="1"/>
  <c r="R515" i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S510" i="1" l="1"/>
  <c r="T510" i="1" s="1"/>
  <c r="R509" i="1"/>
  <c r="R508" i="1" l="1"/>
  <c r="S509" i="1"/>
  <c r="T509" i="1" s="1"/>
  <c r="S508" i="1" l="1"/>
  <c r="T508" i="1" s="1"/>
  <c r="R507" i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S486" i="1" l="1"/>
  <c r="T486" i="1" s="1"/>
  <c r="R485" i="1"/>
  <c r="S485" i="1" l="1"/>
  <c r="T485" i="1" s="1"/>
  <c r="R484" i="1"/>
  <c r="S484" i="1" l="1"/>
  <c r="T484" i="1" s="1"/>
  <c r="R483" i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S476" i="1" l="1"/>
  <c r="T476" i="1" s="1"/>
  <c r="R475" i="1"/>
  <c r="S475" i="1" l="1"/>
  <c r="T475" i="1" s="1"/>
  <c r="R474" i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S462" i="1" l="1"/>
  <c r="T462" i="1" s="1"/>
  <c r="R461" i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S438" i="1" l="1"/>
  <c r="T438" i="1" s="1"/>
  <c r="R437" i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S428" i="1" l="1"/>
  <c r="T428" i="1" s="1"/>
  <c r="R427" i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S388" i="1" l="1"/>
  <c r="T388" i="1" s="1"/>
  <c r="R387" i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S372" i="1" l="1"/>
  <c r="T372" i="1" s="1"/>
  <c r="R371" i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S342" i="1" l="1"/>
  <c r="T342" i="1" s="1"/>
  <c r="R341" i="1"/>
  <c r="R340" i="1" l="1"/>
  <c r="S341" i="1"/>
  <c r="T341" i="1" s="1"/>
  <c r="S340" i="1" l="1"/>
  <c r="T340" i="1" s="1"/>
  <c r="R339" i="1"/>
  <c r="S339" i="1" l="1"/>
  <c r="T339" i="1" s="1"/>
  <c r="R338" i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S332" i="1" l="1"/>
  <c r="T332" i="1" s="1"/>
  <c r="R331" i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S294" i="1" l="1"/>
  <c r="T294" i="1" s="1"/>
  <c r="R293" i="1"/>
  <c r="R292" i="1" l="1"/>
  <c r="S293" i="1"/>
  <c r="T293" i="1" s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<sst xmlns="http://schemas.openxmlformats.org/spreadsheetml/2006/main" count="5100" uniqueCount="34">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</sst>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0.2324</c:v>
                </c:pt>
                <c:pt idx="1">
                  <c:v>0.23549999999999999</c:v>
                </c:pt>
                <c:pt idx="2">
                  <c:v>0.22789999999999999</c:v>
                </c:pt>
                <c:pt idx="3">
                  <c:v>0.22239999999999999</c:v>
                </c:pt>
                <c:pt idx="4">
                  <c:v>0.24079999999999999</c:v>
                </c:pt>
                <c:pt idx="5">
                  <c:v>0.23219999999999999</c:v>
                </c:pt>
                <c:pt idx="6">
                  <c:v>0.25119999999999998</c:v>
                </c:pt>
                <c:pt idx="7">
                  <c:v>0.28320000000000001</c:v>
                </c:pt>
                <c:pt idx="8">
                  <c:v>0.29859999999999998</c:v>
                </c:pt>
                <c:pt idx="9">
                  <c:v>0.31259999999999999</c:v>
                </c:pt>
                <c:pt idx="10">
                  <c:v>0.31190000000000001</c:v>
                </c:pt>
                <c:pt idx="11">
                  <c:v>0.32290000000000002</c:v>
                </c:pt>
                <c:pt idx="12">
                  <c:v>0.3246</c:v>
                </c:pt>
                <c:pt idx="13">
                  <c:v>0.33210000000000001</c:v>
                </c:pt>
                <c:pt idx="14">
                  <c:v>0.31069999999999998</c:v>
                </c:pt>
                <c:pt idx="15">
                  <c:v>0.32669999999999999</c:v>
                </c:pt>
                <c:pt idx="16">
                  <c:v>0.31</c:v>
                </c:pt>
                <c:pt idx="17">
                  <c:v>0.2994</c:v>
                </c:pt>
                <c:pt idx="18">
                  <c:v>0.31569999999999998</c:v>
                </c:pt>
                <c:pt idx="19">
                  <c:v>0.31290000000000001</c:v>
                </c:pt>
                <c:pt idx="20">
                  <c:v>0.31929999999999997</c:v>
                </c:pt>
                <c:pt idx="21">
                  <c:v>0.3407</c:v>
                </c:pt>
                <c:pt idx="22">
                  <c:v>0.35520000000000002</c:v>
                </c:pt>
                <c:pt idx="23">
                  <c:v>0.36699999999999999</c:v>
                </c:pt>
                <c:pt idx="24">
                  <c:v>0.37169999999999997</c:v>
                </c:pt>
                <c:pt idx="25">
                  <c:v>0.3821</c:v>
                </c:pt>
                <c:pt idx="26">
                  <c:v>0.37740000000000001</c:v>
                </c:pt>
                <c:pt idx="27">
                  <c:v>0.3659</c:v>
                </c:pt>
                <c:pt idx="28">
                  <c:v>0.37</c:v>
                </c:pt>
                <c:pt idx="29">
                  <c:v>0.36899999999999999</c:v>
                </c:pt>
                <c:pt idx="30">
                  <c:v>0.38419999999999999</c:v>
                </c:pt>
                <c:pt idx="31">
                  <c:v>0.41849999999999998</c:v>
                </c:pt>
                <c:pt idx="32">
                  <c:v>0.42570000000000002</c:v>
                </c:pt>
                <c:pt idx="33">
                  <c:v>0.3972</c:v>
                </c:pt>
                <c:pt idx="34">
                  <c:v>0.38279999999999997</c:v>
                </c:pt>
                <c:pt idx="35">
                  <c:v>0.3891</c:v>
                </c:pt>
                <c:pt idx="36">
                  <c:v>0.37709999999999999</c:v>
                </c:pt>
                <c:pt idx="37">
                  <c:v>0.37040000000000001</c:v>
                </c:pt>
                <c:pt idx="38">
                  <c:v>0.3528</c:v>
                </c:pt>
                <c:pt idx="39">
                  <c:v>0.36580000000000001</c:v>
                </c:pt>
                <c:pt idx="40">
                  <c:v>0.36220000000000002</c:v>
                </c:pt>
                <c:pt idx="41">
                  <c:v>0.3543</c:v>
                </c:pt>
                <c:pt idx="42">
                  <c:v>0.36449999999999999</c:v>
                </c:pt>
                <c:pt idx="43">
                  <c:v>0.372</c:v>
                </c:pt>
                <c:pt idx="44">
                  <c:v>0.37209999999999999</c:v>
                </c:pt>
                <c:pt idx="45">
                  <c:v>0.3805</c:v>
                </c:pt>
                <c:pt idx="46">
                  <c:v>0.42899999999999999</c:v>
                </c:pt>
                <c:pt idx="47">
                  <c:v>0.37080000000000002</c:v>
                </c:pt>
                <c:pt idx="48">
                  <c:v>0.36709999999999998</c:v>
                </c:pt>
                <c:pt idx="49">
                  <c:v>0.38190000000000002</c:v>
                </c:pt>
                <c:pt idx="50">
                  <c:v>0.41760000000000003</c:v>
                </c:pt>
                <c:pt idx="51">
                  <c:v>0.40289999999999998</c:v>
                </c:pt>
                <c:pt idx="52">
                  <c:v>0.40960000000000002</c:v>
                </c:pt>
                <c:pt idx="53">
                  <c:v>0.40060000000000001</c:v>
                </c:pt>
                <c:pt idx="54">
                  <c:v>0.42449999999999999</c:v>
                </c:pt>
                <c:pt idx="55">
                  <c:v>0.46479999999999999</c:v>
                </c:pt>
                <c:pt idx="56">
                  <c:v>0.48070000000000002</c:v>
                </c:pt>
                <c:pt idx="57">
                  <c:v>0.49020000000000002</c:v>
                </c:pt>
                <c:pt idx="58">
                  <c:v>0.4955</c:v>
                </c:pt>
                <c:pt idx="59">
                  <c:v>0.51400000000000001</c:v>
                </c:pt>
                <c:pt idx="60">
                  <c:v>0.50160000000000005</c:v>
                </c:pt>
                <c:pt idx="61">
                  <c:v>0.51180000000000003</c:v>
                </c:pt>
                <c:pt idx="62">
                  <c:v>0.48139999999999999</c:v>
                </c:pt>
                <c:pt idx="63">
                  <c:v>0.51990000000000003</c:v>
                </c:pt>
                <c:pt idx="64">
                  <c:v>0.48720000000000002</c:v>
                </c:pt>
                <c:pt idx="65">
                  <c:v>0.50129999999999997</c:v>
                </c:pt>
                <c:pt idx="66">
                  <c:v>0.50619999999999998</c:v>
                </c:pt>
                <c:pt idx="67">
                  <c:v>0.51370000000000005</c:v>
                </c:pt>
                <c:pt idx="68">
                  <c:v>0.53879999999999995</c:v>
                </c:pt>
                <c:pt idx="69">
                  <c:v>0.53210000000000002</c:v>
                </c:pt>
                <c:pt idx="70">
                  <c:v>0.49769999999999998</c:v>
                </c:pt>
                <c:pt idx="71">
                  <c:v>0.5595</c:v>
                </c:pt>
                <c:pt idx="72">
                  <c:v>0.55549999999999999</c:v>
                </c:pt>
                <c:pt idx="73">
                  <c:v>0.61609999999999998</c:v>
                </c:pt>
                <c:pt idx="74">
                  <c:v>0.65580000000000005</c:v>
                </c:pt>
                <c:pt idx="75">
                  <c:v>0.66969999999999996</c:v>
                </c:pt>
                <c:pt idx="76">
                  <c:v>0.60650000000000004</c:v>
                </c:pt>
                <c:pt idx="77">
                  <c:v>0.6421</c:v>
                </c:pt>
                <c:pt idx="78">
                  <c:v>0.68759999999999999</c:v>
                </c:pt>
                <c:pt idx="79">
                  <c:v>0.62209999999999999</c:v>
                </c:pt>
                <c:pt idx="80">
                  <c:v>0.59319999999999995</c:v>
                </c:pt>
                <c:pt idx="81">
                  <c:v>0.50990000000000002</c:v>
                </c:pt>
                <c:pt idx="82">
                  <c:v>0.49580000000000002</c:v>
                </c:pt>
                <c:pt idx="83">
                  <c:v>0.4889</c:v>
                </c:pt>
                <c:pt idx="84">
                  <c:v>0.48270000000000002</c:v>
                </c:pt>
                <c:pt idx="85">
                  <c:v>0.51549999999999996</c:v>
                </c:pt>
                <c:pt idx="86">
                  <c:v>0.57099999999999995</c:v>
                </c:pt>
                <c:pt idx="87">
                  <c:v>0.4718</c:v>
                </c:pt>
                <c:pt idx="88">
                  <c:v>0.42580000000000001</c:v>
                </c:pt>
                <c:pt idx="89">
                  <c:v>0.41099999999999998</c:v>
                </c:pt>
                <c:pt idx="90">
                  <c:v>0.42309999999999998</c:v>
                </c:pt>
                <c:pt idx="91">
                  <c:v>0.41720000000000002</c:v>
                </c:pt>
                <c:pt idx="92">
                  <c:v>0.39190000000000003</c:v>
                </c:pt>
                <c:pt idx="93">
                  <c:v>0.44169999999999998</c:v>
                </c:pt>
                <c:pt idx="94">
                  <c:v>0.45029999999999998</c:v>
                </c:pt>
                <c:pt idx="95">
                  <c:v>0.43259999999999998</c:v>
                </c:pt>
                <c:pt idx="96">
                  <c:v>0.46579999999999999</c:v>
                </c:pt>
                <c:pt idx="97">
                  <c:v>0.44579999999999997</c:v>
                </c:pt>
                <c:pt idx="98">
                  <c:v>0.46379999999999999</c:v>
                </c:pt>
                <c:pt idx="99">
                  <c:v>0.498</c:v>
                </c:pt>
                <c:pt idx="100">
                  <c:v>0.50739999999999996</c:v>
                </c:pt>
                <c:pt idx="101">
                  <c:v>0.4894</c:v>
                </c:pt>
                <c:pt idx="102">
                  <c:v>0.54120000000000001</c:v>
                </c:pt>
                <c:pt idx="103">
                  <c:v>0.43209999999999998</c:v>
                </c:pt>
                <c:pt idx="104">
                  <c:v>0.4173</c:v>
                </c:pt>
                <c:pt idx="105">
                  <c:v>0.32319999999999999</c:v>
                </c:pt>
                <c:pt idx="106">
                  <c:v>0.32290000000000002</c:v>
                </c:pt>
                <c:pt idx="107">
                  <c:v>0.32490000000000002</c:v>
                </c:pt>
                <c:pt idx="108">
                  <c:v>0.33729999999999999</c:v>
                </c:pt>
                <c:pt idx="109">
                  <c:v>0.34110000000000001</c:v>
                </c:pt>
                <c:pt idx="110">
                  <c:v>0.34300000000000003</c:v>
                </c:pt>
                <c:pt idx="111">
                  <c:v>0.32829999999999998</c:v>
                </c:pt>
                <c:pt idx="112">
                  <c:v>0.32829999999999998</c:v>
                </c:pt>
                <c:pt idx="113">
                  <c:v>0.32979999999999998</c:v>
                </c:pt>
                <c:pt idx="114">
                  <c:v>0.33989999999999998</c:v>
                </c:pt>
                <c:pt idx="115">
                  <c:v>0.33729999999999999</c:v>
                </c:pt>
                <c:pt idx="116">
                  <c:v>0.34549999999999997</c:v>
                </c:pt>
                <c:pt idx="117">
                  <c:v>0.33110000000000001</c:v>
                </c:pt>
                <c:pt idx="118">
                  <c:v>0.32019999999999998</c:v>
                </c:pt>
                <c:pt idx="119">
                  <c:v>0.29849999999999999</c:v>
                </c:pt>
                <c:pt idx="120">
                  <c:v>0.29449999999999998</c:v>
                </c:pt>
                <c:pt idx="121">
                  <c:v>0.28820000000000001</c:v>
                </c:pt>
                <c:pt idx="122">
                  <c:v>0.30869999999999997</c:v>
                </c:pt>
                <c:pt idx="123">
                  <c:v>0.31950000000000001</c:v>
                </c:pt>
                <c:pt idx="124">
                  <c:v>0.31869999999999998</c:v>
                </c:pt>
                <c:pt idx="125">
                  <c:v>0.32140000000000002</c:v>
                </c:pt>
                <c:pt idx="126">
                  <c:v>0.35049999999999998</c:v>
                </c:pt>
                <c:pt idx="127">
                  <c:v>0.35039999999999999</c:v>
                </c:pt>
                <c:pt idx="128">
                  <c:v>0.31480000000000002</c:v>
                </c:pt>
                <c:pt idx="129">
                  <c:v>0.33689999999999998</c:v>
                </c:pt>
                <c:pt idx="130">
                  <c:v>0.3679</c:v>
                </c:pt>
                <c:pt idx="131">
                  <c:v>0.378</c:v>
                </c:pt>
                <c:pt idx="132">
                  <c:v>0.35949999999999999</c:v>
                </c:pt>
                <c:pt idx="133">
                  <c:v>0.37409999999999999</c:v>
                </c:pt>
                <c:pt idx="134">
                  <c:v>0.38590000000000002</c:v>
                </c:pt>
                <c:pt idx="135">
                  <c:v>0.37069999999999997</c:v>
                </c:pt>
                <c:pt idx="136">
                  <c:v>0.36520000000000002</c:v>
                </c:pt>
                <c:pt idx="137">
                  <c:v>0.3821</c:v>
                </c:pt>
                <c:pt idx="138">
                  <c:v>0.375</c:v>
                </c:pt>
                <c:pt idx="139">
                  <c:v>0.3669</c:v>
                </c:pt>
                <c:pt idx="140">
                  <c:v>0.38779999999999998</c:v>
                </c:pt>
                <c:pt idx="141">
                  <c:v>0.37919999999999998</c:v>
                </c:pt>
                <c:pt idx="142">
                  <c:v>0.378</c:v>
                </c:pt>
                <c:pt idx="143">
                  <c:v>0.46450000000000002</c:v>
                </c:pt>
                <c:pt idx="144">
                  <c:v>0.45319999999999999</c:v>
                </c:pt>
                <c:pt idx="145">
                  <c:v>0.432</c:v>
                </c:pt>
                <c:pt idx="146">
                  <c:v>0.4224</c:v>
                </c:pt>
                <c:pt idx="147">
                  <c:v>0.435</c:v>
                </c:pt>
                <c:pt idx="148">
                  <c:v>0.41310000000000002</c:v>
                </c:pt>
                <c:pt idx="149">
                  <c:v>0.40150000000000002</c:v>
                </c:pt>
                <c:pt idx="150">
                  <c:v>0.41980000000000001</c:v>
                </c:pt>
                <c:pt idx="151">
                  <c:v>0.4299</c:v>
                </c:pt>
                <c:pt idx="152">
                  <c:v>0.41370000000000001</c:v>
                </c:pt>
                <c:pt idx="153">
                  <c:v>0.41870000000000002</c:v>
                </c:pt>
                <c:pt idx="154">
                  <c:v>0.3866</c:v>
                </c:pt>
                <c:pt idx="155">
                  <c:v>0.4093</c:v>
                </c:pt>
                <c:pt idx="156">
                  <c:v>0.4052</c:v>
                </c:pt>
                <c:pt idx="157">
                  <c:v>0.44479999999999997</c:v>
                </c:pt>
                <c:pt idx="158">
                  <c:v>0.39939999999999998</c:v>
                </c:pt>
                <c:pt idx="159">
                  <c:v>0.39040000000000002</c:v>
                </c:pt>
                <c:pt idx="160">
                  <c:v>0.3952</c:v>
                </c:pt>
                <c:pt idx="161">
                  <c:v>0.37859999999999999</c:v>
                </c:pt>
                <c:pt idx="162">
                  <c:v>0.35899999999999999</c:v>
                </c:pt>
                <c:pt idx="163">
                  <c:v>0.3579</c:v>
                </c:pt>
                <c:pt idx="164">
                  <c:v>0.38369999999999999</c:v>
                </c:pt>
                <c:pt idx="165">
                  <c:v>0.39400000000000002</c:v>
                </c:pt>
                <c:pt idx="166">
                  <c:v>0.39279999999999998</c:v>
                </c:pt>
                <c:pt idx="167">
                  <c:v>0.40289999999999998</c:v>
                </c:pt>
                <c:pt idx="168">
                  <c:v>0.37659999999999999</c:v>
                </c:pt>
                <c:pt idx="169">
                  <c:v>0.38550000000000001</c:v>
                </c:pt>
                <c:pt idx="170">
                  <c:v>0.37</c:v>
                </c:pt>
                <c:pt idx="171">
                  <c:v>0.37309999999999999</c:v>
                </c:pt>
                <c:pt idx="172">
                  <c:v>0.35110000000000002</c:v>
                </c:pt>
                <c:pt idx="173">
                  <c:v>0.37</c:v>
                </c:pt>
                <c:pt idx="174">
                  <c:v>0.3125</c:v>
                </c:pt>
                <c:pt idx="175">
                  <c:v>0.32519999999999999</c:v>
                </c:pt>
                <c:pt idx="176">
                  <c:v>0.29699999999999999</c:v>
                </c:pt>
                <c:pt idx="177">
                  <c:v>0.27910000000000001</c:v>
                </c:pt>
                <c:pt idx="178">
                  <c:v>0.28939999999999999</c:v>
                </c:pt>
                <c:pt idx="179">
                  <c:v>0.28570000000000001</c:v>
                </c:pt>
                <c:pt idx="180">
                  <c:v>0.28889999999999999</c:v>
                </c:pt>
                <c:pt idx="181">
                  <c:v>0.28889999999999999</c:v>
                </c:pt>
                <c:pt idx="182">
                  <c:v>0.28360000000000002</c:v>
                </c:pt>
                <c:pt idx="183">
                  <c:v>0.27389999999999998</c:v>
                </c:pt>
                <c:pt idx="184">
                  <c:v>0.27650000000000002</c:v>
                </c:pt>
                <c:pt idx="185">
                  <c:v>0.27400000000000002</c:v>
                </c:pt>
                <c:pt idx="186">
                  <c:v>0.2777</c:v>
                </c:pt>
                <c:pt idx="187">
                  <c:v>0.27839999999999998</c:v>
                </c:pt>
                <c:pt idx="188">
                  <c:v>0.28499999999999998</c:v>
                </c:pt>
                <c:pt idx="189">
                  <c:v>0.2969</c:v>
                </c:pt>
                <c:pt idx="190">
                  <c:v>0.24809999999999999</c:v>
                </c:pt>
                <c:pt idx="191">
                  <c:v>0.23150000000000001</c:v>
                </c:pt>
                <c:pt idx="192">
                  <c:v>0.248</c:v>
                </c:pt>
                <c:pt idx="193">
                  <c:v>0.26079999999999998</c:v>
                </c:pt>
                <c:pt idx="194">
                  <c:v>0.26200000000000001</c:v>
                </c:pt>
                <c:pt idx="195">
                  <c:v>0.26550000000000001</c:v>
                </c:pt>
                <c:pt idx="196">
                  <c:v>0.28670000000000001</c:v>
                </c:pt>
                <c:pt idx="197">
                  <c:v>0.3</c:v>
                </c:pt>
                <c:pt idx="198">
                  <c:v>0.31719999999999998</c:v>
                </c:pt>
                <c:pt idx="199">
                  <c:v>0.31030000000000002</c:v>
                </c:pt>
                <c:pt idx="200">
                  <c:v>0.33150000000000002</c:v>
                </c:pt>
                <c:pt idx="201">
                  <c:v>0.30470000000000003</c:v>
                </c:pt>
                <c:pt idx="202">
                  <c:v>0.32600000000000001</c:v>
                </c:pt>
                <c:pt idx="203">
                  <c:v>0.31969999999999998</c:v>
                </c:pt>
                <c:pt idx="204">
                  <c:v>0.27689999999999998</c:v>
                </c:pt>
                <c:pt idx="205">
                  <c:v>0.27700000000000002</c:v>
                </c:pt>
                <c:pt idx="206">
                  <c:v>0.26590000000000003</c:v>
                </c:pt>
                <c:pt idx="207">
                  <c:v>0.27750000000000002</c:v>
                </c:pt>
                <c:pt idx="208">
                  <c:v>0.27310000000000001</c:v>
                </c:pt>
                <c:pt idx="209">
                  <c:v>0.27560000000000001</c:v>
                </c:pt>
                <c:pt idx="210">
                  <c:v>0.2893</c:v>
                </c:pt>
                <c:pt idx="211">
                  <c:v>0.26100000000000001</c:v>
                </c:pt>
                <c:pt idx="212">
                  <c:v>0.26179999999999998</c:v>
                </c:pt>
                <c:pt idx="213">
                  <c:v>0.25469999999999998</c:v>
                </c:pt>
                <c:pt idx="214">
                  <c:v>0.24859999999999999</c:v>
                </c:pt>
                <c:pt idx="215">
                  <c:v>0.23699999999999999</c:v>
                </c:pt>
                <c:pt idx="216">
                  <c:v>0.23369999999999999</c:v>
                </c:pt>
                <c:pt idx="217">
                  <c:v>0.24690000000000001</c:v>
                </c:pt>
                <c:pt idx="218">
                  <c:v>0.2384</c:v>
                </c:pt>
                <c:pt idx="219">
                  <c:v>0.21729999999999999</c:v>
                </c:pt>
                <c:pt idx="220">
                  <c:v>0.23400000000000001</c:v>
                </c:pt>
                <c:pt idx="221">
                  <c:v>0.28349999999999997</c:v>
                </c:pt>
                <c:pt idx="222">
                  <c:v>0.29170000000000001</c:v>
                </c:pt>
                <c:pt idx="223">
                  <c:v>0.2949</c:v>
                </c:pt>
                <c:pt idx="224">
                  <c:v>0.31419999999999998</c:v>
                </c:pt>
                <c:pt idx="225">
                  <c:v>0.31190000000000001</c:v>
                </c:pt>
                <c:pt idx="226">
                  <c:v>0.3286</c:v>
                </c:pt>
                <c:pt idx="227">
                  <c:v>0.32940000000000003</c:v>
                </c:pt>
                <c:pt idx="228">
                  <c:v>0.32479999999999998</c:v>
                </c:pt>
                <c:pt idx="229">
                  <c:v>0.30880000000000002</c:v>
                </c:pt>
                <c:pt idx="230">
                  <c:v>0.30680000000000002</c:v>
                </c:pt>
                <c:pt idx="231">
                  <c:v>0.33129999999999998</c:v>
                </c:pt>
                <c:pt idx="232">
                  <c:v>0.3468</c:v>
                </c:pt>
                <c:pt idx="233">
                  <c:v>0.33779999999999999</c:v>
                </c:pt>
                <c:pt idx="234">
                  <c:v>0.35589999999999999</c:v>
                </c:pt>
                <c:pt idx="235">
                  <c:v>0.37540000000000001</c:v>
                </c:pt>
                <c:pt idx="236">
                  <c:v>0.36549999999999999</c:v>
                </c:pt>
                <c:pt idx="237">
                  <c:v>0.3745</c:v>
                </c:pt>
                <c:pt idx="238">
                  <c:v>0.40620000000000001</c:v>
                </c:pt>
                <c:pt idx="239">
                  <c:v>0.4042</c:v>
                </c:pt>
                <c:pt idx="240">
                  <c:v>0.39379999999999998</c:v>
                </c:pt>
                <c:pt idx="241">
                  <c:v>0.41</c:v>
                </c:pt>
                <c:pt idx="242">
                  <c:v>0.39700000000000002</c:v>
                </c:pt>
                <c:pt idx="243">
                  <c:v>0.3715</c:v>
                </c:pt>
                <c:pt idx="244">
                  <c:v>0.39779999999999999</c:v>
                </c:pt>
                <c:pt idx="245">
                  <c:v>0.44169999999999998</c:v>
                </c:pt>
                <c:pt idx="246">
                  <c:v>0.48509999999999998</c:v>
                </c:pt>
                <c:pt idx="247">
                  <c:v>0.43959999999999999</c:v>
                </c:pt>
                <c:pt idx="248">
                  <c:v>0.37819999999999998</c:v>
                </c:pt>
                <c:pt idx="249">
                  <c:v>0.32990000000000003</c:v>
                </c:pt>
                <c:pt idx="250">
                  <c:v>0.42370000000000002</c:v>
                </c:pt>
                <c:pt idx="251">
                  <c:v>0.37259999999999999</c:v>
                </c:pt>
                <c:pt idx="252">
                  <c:v>0.41839999999999999</c:v>
                </c:pt>
                <c:pt idx="253">
                  <c:v>0.3775</c:v>
                </c:pt>
                <c:pt idx="254">
                  <c:v>0.53239999999999998</c:v>
                </c:pt>
                <c:pt idx="255">
                  <c:v>0.53129999999999999</c:v>
                </c:pt>
                <c:pt idx="256">
                  <c:v>0.61460000000000004</c:v>
                </c:pt>
                <c:pt idx="257">
                  <c:v>0.55279999999999996</c:v>
                </c:pt>
                <c:pt idx="258">
                  <c:v>0.57589999999999997</c:v>
                </c:pt>
                <c:pt idx="259">
                  <c:v>0.54820000000000002</c:v>
                </c:pt>
                <c:pt idx="260">
                  <c:v>0.55989999999999995</c:v>
                </c:pt>
                <c:pt idx="261">
                  <c:v>0.61870000000000003</c:v>
                </c:pt>
                <c:pt idx="262">
                  <c:v>0.60170000000000001</c:v>
                </c:pt>
                <c:pt idx="263">
                  <c:v>0.65159999999999996</c:v>
                </c:pt>
                <c:pt idx="264">
                  <c:v>0.66690000000000005</c:v>
                </c:pt>
                <c:pt idx="265">
                  <c:v>0.67259999999999998</c:v>
                </c:pt>
                <c:pt idx="266">
                  <c:v>0.66759999999999997</c:v>
                </c:pt>
                <c:pt idx="267">
                  <c:v>0.65849999999999997</c:v>
                </c:pt>
                <c:pt idx="268">
                  <c:v>0.59960000000000002</c:v>
                </c:pt>
                <c:pt idx="269">
                  <c:v>0.66239999999999999</c:v>
                </c:pt>
                <c:pt idx="270">
                  <c:v>0.66659999999999997</c:v>
                </c:pt>
                <c:pt idx="271">
                  <c:v>0.65439999999999998</c:v>
                </c:pt>
                <c:pt idx="272">
                  <c:v>0.65349999999999997</c:v>
                </c:pt>
                <c:pt idx="273">
                  <c:v>0.60829999999999995</c:v>
                </c:pt>
                <c:pt idx="274">
                  <c:v>0.61609999999999998</c:v>
                </c:pt>
                <c:pt idx="275">
                  <c:v>0.63959999999999995</c:v>
                </c:pt>
                <c:pt idx="276">
                  <c:v>0.59619999999999995</c:v>
                </c:pt>
                <c:pt idx="277">
                  <c:v>0.53180000000000005</c:v>
                </c:pt>
                <c:pt idx="278">
                  <c:v>0.53639999999999999</c:v>
                </c:pt>
                <c:pt idx="279">
                  <c:v>0.5675</c:v>
                </c:pt>
                <c:pt idx="280">
                  <c:v>0.5897</c:v>
                </c:pt>
                <c:pt idx="281">
                  <c:v>0.62790000000000001</c:v>
                </c:pt>
                <c:pt idx="282">
                  <c:v>0.67700000000000005</c:v>
                </c:pt>
                <c:pt idx="283">
                  <c:v>0.66110000000000002</c:v>
                </c:pt>
                <c:pt idx="284">
                  <c:v>0.71509999999999996</c:v>
                </c:pt>
                <c:pt idx="285">
                  <c:v>0.79730000000000001</c:v>
                </c:pt>
                <c:pt idx="286">
                  <c:v>0.84570000000000001</c:v>
                </c:pt>
                <c:pt idx="287">
                  <c:v>0.79369999999999996</c:v>
                </c:pt>
                <c:pt idx="288">
                  <c:v>0.76290000000000002</c:v>
                </c:pt>
                <c:pt idx="289">
                  <c:v>0.76359999999999995</c:v>
                </c:pt>
                <c:pt idx="290">
                  <c:v>0.7732</c:v>
                </c:pt>
                <c:pt idx="291">
                  <c:v>0.80159999999999998</c:v>
                </c:pt>
                <c:pt idx="292">
                  <c:v>0.8085</c:v>
                </c:pt>
                <c:pt idx="293">
                  <c:v>0.80620000000000003</c:v>
                </c:pt>
                <c:pt idx="294">
                  <c:v>0.79179999999999995</c:v>
                </c:pt>
                <c:pt idx="295">
                  <c:v>0.74519999999999997</c:v>
                </c:pt>
                <c:pt idx="296">
                  <c:v>0.81330000000000002</c:v>
                </c:pt>
                <c:pt idx="297">
                  <c:v>0.83879999999999999</c:v>
                </c:pt>
                <c:pt idx="298">
                  <c:v>0.82969999999999999</c:v>
                </c:pt>
                <c:pt idx="299">
                  <c:v>0.67649999999999999</c:v>
                </c:pt>
                <c:pt idx="300">
                  <c:v>0.72909999999999997</c:v>
                </c:pt>
                <c:pt idx="301">
                  <c:v>0.70330000000000004</c:v>
                </c:pt>
                <c:pt idx="302">
                  <c:v>0.69889999999999997</c:v>
                </c:pt>
                <c:pt idx="303">
                  <c:v>0.72319999999999995</c:v>
                </c:pt>
                <c:pt idx="304">
                  <c:v>0.71489999999999998</c:v>
                </c:pt>
                <c:pt idx="305">
                  <c:v>0.67589999999999995</c:v>
                </c:pt>
                <c:pt idx="306">
                  <c:v>0.67069999999999996</c:v>
                </c:pt>
                <c:pt idx="307">
                  <c:v>0.72060000000000002</c:v>
                </c:pt>
                <c:pt idx="308">
                  <c:v>0.56420000000000003</c:v>
                </c:pt>
                <c:pt idx="309">
                  <c:v>0.6038</c:v>
                </c:pt>
                <c:pt idx="310">
                  <c:v>0.66720000000000002</c:v>
                </c:pt>
                <c:pt idx="311">
                  <c:v>0.72499999999999998</c:v>
                </c:pt>
                <c:pt idx="312">
                  <c:v>0.81520000000000004</c:v>
                </c:pt>
                <c:pt idx="313">
                  <c:v>0.78300000000000003</c:v>
                </c:pt>
                <c:pt idx="314">
                  <c:v>0.73839999999999995</c:v>
                </c:pt>
                <c:pt idx="315">
                  <c:v>0.62939999999999996</c:v>
                </c:pt>
                <c:pt idx="316">
                  <c:v>0.61719999999999997</c:v>
                </c:pt>
                <c:pt idx="317">
                  <c:v>0.60729999999999995</c:v>
                </c:pt>
                <c:pt idx="318">
                  <c:v>0.61880000000000002</c:v>
                </c:pt>
                <c:pt idx="319">
                  <c:v>0.62490000000000001</c:v>
                </c:pt>
                <c:pt idx="320">
                  <c:v>0.61480000000000001</c:v>
                </c:pt>
                <c:pt idx="321">
                  <c:v>0.59960000000000002</c:v>
                </c:pt>
                <c:pt idx="322">
                  <c:v>0.63</c:v>
                </c:pt>
                <c:pt idx="323">
                  <c:v>0.55200000000000005</c:v>
                </c:pt>
                <c:pt idx="324">
                  <c:v>0.57250000000000001</c:v>
                </c:pt>
                <c:pt idx="325">
                  <c:v>0.51939999999999997</c:v>
                </c:pt>
                <c:pt idx="326">
                  <c:v>0.50119999999999998</c:v>
                </c:pt>
                <c:pt idx="327">
                  <c:v>0.47149999999999997</c:v>
                </c:pt>
                <c:pt idx="328">
                  <c:v>0.46810000000000002</c:v>
                </c:pt>
                <c:pt idx="329">
                  <c:v>0.48149999999999998</c:v>
                </c:pt>
                <c:pt idx="330">
                  <c:v>0.50860000000000005</c:v>
                </c:pt>
                <c:pt idx="331">
                  <c:v>0.47949999999999998</c:v>
                </c:pt>
                <c:pt idx="332">
                  <c:v>0.49299999999999999</c:v>
                </c:pt>
                <c:pt idx="333">
                  <c:v>0.45150000000000001</c:v>
                </c:pt>
                <c:pt idx="334">
                  <c:v>0.46600000000000003</c:v>
                </c:pt>
                <c:pt idx="335">
                  <c:v>0.45700000000000002</c:v>
                </c:pt>
                <c:pt idx="336">
                  <c:v>0.46</c:v>
                </c:pt>
                <c:pt idx="337">
                  <c:v>0.50639999999999996</c:v>
                </c:pt>
                <c:pt idx="338">
                  <c:v>0.49580000000000002</c:v>
                </c:pt>
                <c:pt idx="339">
                  <c:v>0.5988</c:v>
                </c:pt>
                <c:pt idx="340">
                  <c:v>0.67969999999999997</c:v>
                </c:pt>
                <c:pt idx="341">
                  <c:v>0.60340000000000005</c:v>
                </c:pt>
                <c:pt idx="342">
                  <c:v>0.6522</c:v>
                </c:pt>
                <c:pt idx="343">
                  <c:v>0.61480000000000001</c:v>
                </c:pt>
                <c:pt idx="344">
                  <c:v>0.60699999999999998</c:v>
                </c:pt>
                <c:pt idx="345">
                  <c:v>0.60250000000000004</c:v>
                </c:pt>
                <c:pt idx="346">
                  <c:v>0.61750000000000005</c:v>
                </c:pt>
                <c:pt idx="347">
                  <c:v>0.63160000000000005</c:v>
                </c:pt>
                <c:pt idx="348">
                  <c:v>0.67610000000000003</c:v>
                </c:pt>
                <c:pt idx="349">
                  <c:v>0.70230000000000004</c:v>
                </c:pt>
                <c:pt idx="350">
                  <c:v>0.53420000000000001</c:v>
                </c:pt>
                <c:pt idx="351">
                  <c:v>0.45090000000000002</c:v>
                </c:pt>
                <c:pt idx="352">
                  <c:v>0.46100000000000002</c:v>
                </c:pt>
                <c:pt idx="353">
                  <c:v>0.42599999999999999</c:v>
                </c:pt>
                <c:pt idx="354">
                  <c:v>0.40410000000000001</c:v>
                </c:pt>
                <c:pt idx="355">
                  <c:v>0.40660000000000002</c:v>
                </c:pt>
                <c:pt idx="356">
                  <c:v>0.4476</c:v>
                </c:pt>
                <c:pt idx="357">
                  <c:v>0.40260000000000001</c:v>
                </c:pt>
                <c:pt idx="358">
                  <c:v>0.35010000000000002</c:v>
                </c:pt>
                <c:pt idx="359">
                  <c:v>0.34360000000000002</c:v>
                </c:pt>
                <c:pt idx="360">
                  <c:v>0.3498</c:v>
                </c:pt>
                <c:pt idx="361">
                  <c:v>0.30769999999999997</c:v>
                </c:pt>
                <c:pt idx="362">
                  <c:v>0.29759999999999998</c:v>
                </c:pt>
                <c:pt idx="363">
                  <c:v>0.28510000000000002</c:v>
                </c:pt>
                <c:pt idx="364">
                  <c:v>0.28349999999999997</c:v>
                </c:pt>
                <c:pt idx="365">
                  <c:v>0.26819999999999999</c:v>
                </c:pt>
                <c:pt idx="366">
                  <c:v>0.2969</c:v>
                </c:pt>
                <c:pt idx="367">
                  <c:v>0.29470000000000002</c:v>
                </c:pt>
                <c:pt idx="368">
                  <c:v>0.2949</c:v>
                </c:pt>
                <c:pt idx="369">
                  <c:v>0.2984</c:v>
                </c:pt>
                <c:pt idx="370">
                  <c:v>0.28739999999999999</c:v>
                </c:pt>
                <c:pt idx="371">
                  <c:v>0.27010000000000001</c:v>
                </c:pt>
                <c:pt idx="372">
                  <c:v>0.29799999999999999</c:v>
                </c:pt>
                <c:pt idx="373">
                  <c:v>0.29349999999999998</c:v>
                </c:pt>
                <c:pt idx="374">
                  <c:v>0.31869999999999998</c:v>
                </c:pt>
                <c:pt idx="375">
                  <c:v>0.30230000000000001</c:v>
                </c:pt>
                <c:pt idx="376">
                  <c:v>0.2787</c:v>
                </c:pt>
                <c:pt idx="377">
                  <c:v>0.26390000000000002</c:v>
                </c:pt>
                <c:pt idx="378">
                  <c:v>0.2646</c:v>
                </c:pt>
                <c:pt idx="379">
                  <c:v>0.26419999999999999</c:v>
                </c:pt>
                <c:pt idx="380">
                  <c:v>0.25069999999999998</c:v>
                </c:pt>
                <c:pt idx="381">
                  <c:v>0.25069999999999998</c:v>
                </c:pt>
                <c:pt idx="382">
                  <c:v>0.29089999999999999</c:v>
                </c:pt>
                <c:pt idx="383">
                  <c:v>0.31619999999999998</c:v>
                </c:pt>
                <c:pt idx="384">
                  <c:v>0.27</c:v>
                </c:pt>
                <c:pt idx="385">
                  <c:v>0.28410000000000002</c:v>
                </c:pt>
                <c:pt idx="386">
                  <c:v>0.28210000000000002</c:v>
                </c:pt>
                <c:pt idx="387">
                  <c:v>0.25629999999999997</c:v>
                </c:pt>
                <c:pt idx="388">
                  <c:v>0.23380000000000001</c:v>
                </c:pt>
                <c:pt idx="389">
                  <c:v>0.23050000000000001</c:v>
                </c:pt>
                <c:pt idx="390">
                  <c:v>0.23300000000000001</c:v>
                </c:pt>
                <c:pt idx="391">
                  <c:v>0.23039999999999999</c:v>
                </c:pt>
                <c:pt idx="392">
                  <c:v>0.22289999999999999</c:v>
                </c:pt>
                <c:pt idx="393">
                  <c:v>0.23</c:v>
                </c:pt>
                <c:pt idx="394">
                  <c:v>0.23139999999999999</c:v>
                </c:pt>
                <c:pt idx="395">
                  <c:v>0.23830000000000001</c:v>
                </c:pt>
                <c:pt idx="396">
                  <c:v>0.23719999999999999</c:v>
                </c:pt>
                <c:pt idx="397">
                  <c:v>0.2316</c:v>
                </c:pt>
                <c:pt idx="398">
                  <c:v>0.23519999999999999</c:v>
                </c:pt>
                <c:pt idx="399">
                  <c:v>0.2397</c:v>
                </c:pt>
                <c:pt idx="400">
                  <c:v>0.22520000000000001</c:v>
                </c:pt>
                <c:pt idx="401">
                  <c:v>0.25990000000000002</c:v>
                </c:pt>
                <c:pt idx="402">
                  <c:v>0.26569999999999999</c:v>
                </c:pt>
                <c:pt idx="403">
                  <c:v>0.26669999999999999</c:v>
                </c:pt>
                <c:pt idx="404">
                  <c:v>0.2525</c:v>
                </c:pt>
                <c:pt idx="405">
                  <c:v>0.25790000000000002</c:v>
                </c:pt>
                <c:pt idx="406">
                  <c:v>0.25850000000000001</c:v>
                </c:pt>
                <c:pt idx="407">
                  <c:v>0.26650000000000001</c:v>
                </c:pt>
                <c:pt idx="408">
                  <c:v>0.25269999999999998</c:v>
                </c:pt>
                <c:pt idx="409">
                  <c:v>0.25679999999999997</c:v>
                </c:pt>
                <c:pt idx="410">
                  <c:v>0.26090000000000002</c:v>
                </c:pt>
                <c:pt idx="411">
                  <c:v>0.25890000000000002</c:v>
                </c:pt>
                <c:pt idx="412">
                  <c:v>0.24629999999999999</c:v>
                </c:pt>
                <c:pt idx="413">
                  <c:v>0.25290000000000001</c:v>
                </c:pt>
                <c:pt idx="414">
                  <c:v>0.27489999999999998</c:v>
                </c:pt>
                <c:pt idx="415">
                  <c:v>0.28079999999999999</c:v>
                </c:pt>
                <c:pt idx="416">
                  <c:v>0.30159999999999998</c:v>
                </c:pt>
                <c:pt idx="417">
                  <c:v>0.30370000000000003</c:v>
                </c:pt>
                <c:pt idx="418">
                  <c:v>0.30690000000000001</c:v>
                </c:pt>
                <c:pt idx="419">
                  <c:v>0.31040000000000001</c:v>
                </c:pt>
                <c:pt idx="420">
                  <c:v>0.29730000000000001</c:v>
                </c:pt>
                <c:pt idx="421">
                  <c:v>0.29499999999999998</c:v>
                </c:pt>
                <c:pt idx="422">
                  <c:v>0.2893</c:v>
                </c:pt>
                <c:pt idx="423">
                  <c:v>0.316</c:v>
                </c:pt>
                <c:pt idx="424">
                  <c:v>0.31090000000000001</c:v>
                </c:pt>
                <c:pt idx="425">
                  <c:v>0.29759999999999998</c:v>
                </c:pt>
                <c:pt idx="426">
                  <c:v>0.27010000000000001</c:v>
                </c:pt>
                <c:pt idx="427">
                  <c:v>0.26819999999999999</c:v>
                </c:pt>
                <c:pt idx="428">
                  <c:v>0.308</c:v>
                </c:pt>
                <c:pt idx="429">
                  <c:v>0.33560000000000001</c:v>
                </c:pt>
                <c:pt idx="430">
                  <c:v>0.30940000000000001</c:v>
                </c:pt>
                <c:pt idx="431">
                  <c:v>0.25069999999999998</c:v>
                </c:pt>
                <c:pt idx="432">
                  <c:v>0.25750000000000001</c:v>
                </c:pt>
                <c:pt idx="433">
                  <c:v>0.2442</c:v>
                </c:pt>
                <c:pt idx="434">
                  <c:v>0.24790000000000001</c:v>
                </c:pt>
                <c:pt idx="435">
                  <c:v>0.2646</c:v>
                </c:pt>
                <c:pt idx="436">
                  <c:v>0.22539999999999999</c:v>
                </c:pt>
                <c:pt idx="437">
                  <c:v>0.224</c:v>
                </c:pt>
                <c:pt idx="438">
                  <c:v>0.22220000000000001</c:v>
                </c:pt>
                <c:pt idx="439">
                  <c:v>0.22539999999999999</c:v>
                </c:pt>
                <c:pt idx="440">
                  <c:v>0.23269999999999999</c:v>
                </c:pt>
                <c:pt idx="441">
                  <c:v>0.223</c:v>
                </c:pt>
                <c:pt idx="442">
                  <c:v>0.23350000000000001</c:v>
                </c:pt>
                <c:pt idx="443">
                  <c:v>0.23319999999999999</c:v>
                </c:pt>
                <c:pt idx="444">
                  <c:v>0.2203</c:v>
                </c:pt>
                <c:pt idx="445">
                  <c:v>0.22359999999999999</c:v>
                </c:pt>
                <c:pt idx="446">
                  <c:v>0.2145</c:v>
                </c:pt>
                <c:pt idx="447">
                  <c:v>0.2346</c:v>
                </c:pt>
                <c:pt idx="448">
                  <c:v>0.20319999999999999</c:v>
                </c:pt>
                <c:pt idx="449">
                  <c:v>0.20080000000000001</c:v>
                </c:pt>
                <c:pt idx="450">
                  <c:v>0.2014</c:v>
                </c:pt>
                <c:pt idx="451">
                  <c:v>0.20910000000000001</c:v>
                </c:pt>
                <c:pt idx="452">
                  <c:v>0.2109</c:v>
                </c:pt>
                <c:pt idx="453">
                  <c:v>0.218</c:v>
                </c:pt>
                <c:pt idx="454">
                  <c:v>0.2127</c:v>
                </c:pt>
                <c:pt idx="455">
                  <c:v>0.21279999999999999</c:v>
                </c:pt>
                <c:pt idx="456">
                  <c:v>0.2271</c:v>
                </c:pt>
                <c:pt idx="457">
                  <c:v>0.2394</c:v>
                </c:pt>
                <c:pt idx="458">
                  <c:v>0.2485</c:v>
                </c:pt>
                <c:pt idx="459">
                  <c:v>0.25359999999999999</c:v>
                </c:pt>
                <c:pt idx="460">
                  <c:v>0.2442</c:v>
                </c:pt>
                <c:pt idx="461">
                  <c:v>0.24299999999999999</c:v>
                </c:pt>
                <c:pt idx="462">
                  <c:v>0.2409</c:v>
                </c:pt>
                <c:pt idx="463">
                  <c:v>0.23449999999999999</c:v>
                </c:pt>
                <c:pt idx="464">
                  <c:v>0.22600000000000001</c:v>
                </c:pt>
                <c:pt idx="465">
                  <c:v>0.24229999999999999</c:v>
                </c:pt>
                <c:pt idx="466">
                  <c:v>0.2477</c:v>
                </c:pt>
                <c:pt idx="467">
                  <c:v>0.24679999999999999</c:v>
                </c:pt>
                <c:pt idx="468">
                  <c:v>0.24890000000000001</c:v>
                </c:pt>
                <c:pt idx="469">
                  <c:v>0.2472</c:v>
                </c:pt>
                <c:pt idx="470">
                  <c:v>0.25640000000000002</c:v>
                </c:pt>
                <c:pt idx="471">
                  <c:v>0.26319999999999999</c:v>
                </c:pt>
                <c:pt idx="472">
                  <c:v>0.27039999999999997</c:v>
                </c:pt>
                <c:pt idx="473">
                  <c:v>0.26669999999999999</c:v>
                </c:pt>
                <c:pt idx="474">
                  <c:v>0.26829999999999998</c:v>
                </c:pt>
                <c:pt idx="475">
                  <c:v>0.27300000000000002</c:v>
                </c:pt>
                <c:pt idx="476">
                  <c:v>0.25069999999999998</c:v>
                </c:pt>
                <c:pt idx="477">
                  <c:v>0.25080000000000002</c:v>
                </c:pt>
                <c:pt idx="478">
                  <c:v>0.24560000000000001</c:v>
                </c:pt>
                <c:pt idx="479">
                  <c:v>0.2666</c:v>
                </c:pt>
                <c:pt idx="480">
                  <c:v>0.2626</c:v>
                </c:pt>
                <c:pt idx="481">
                  <c:v>0.27</c:v>
                </c:pt>
                <c:pt idx="482">
                  <c:v>0.27150000000000002</c:v>
                </c:pt>
                <c:pt idx="483">
                  <c:v>0.28270000000000001</c:v>
                </c:pt>
                <c:pt idx="484">
                  <c:v>0.29070000000000001</c:v>
                </c:pt>
                <c:pt idx="485">
                  <c:v>0.2994</c:v>
                </c:pt>
                <c:pt idx="486">
                  <c:v>0.31409999999999999</c:v>
                </c:pt>
                <c:pt idx="487">
                  <c:v>0.29459999999999997</c:v>
                </c:pt>
                <c:pt idx="488">
                  <c:v>0.30680000000000002</c:v>
                </c:pt>
                <c:pt idx="489">
                  <c:v>0.29920000000000002</c:v>
                </c:pt>
                <c:pt idx="490">
                  <c:v>0.30130000000000001</c:v>
                </c:pt>
                <c:pt idx="491">
                  <c:v>0.26240000000000002</c:v>
                </c:pt>
                <c:pt idx="492">
                  <c:v>0.29599999999999999</c:v>
                </c:pt>
                <c:pt idx="493">
                  <c:v>0.36209999999999998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7-4406-BA39-2E107BDCEDF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-18.39249587056306</c:v>
                </c:pt>
                <c:pt idx="1">
                  <c:v>-18.39109321056306</c:v>
                </c:pt>
                <c:pt idx="2">
                  <c:v>-18.355313540657697</c:v>
                </c:pt>
                <c:pt idx="3">
                  <c:v>-18.356796580657697</c:v>
                </c:pt>
                <c:pt idx="4">
                  <c:v>-18.358065752328788</c:v>
                </c:pt>
                <c:pt idx="5">
                  <c:v>-18.383218131290537</c:v>
                </c:pt>
                <c:pt idx="6">
                  <c:v>-18.369510341454472</c:v>
                </c:pt>
                <c:pt idx="7">
                  <c:v>-18.278262790245961</c:v>
                </c:pt>
                <c:pt idx="8">
                  <c:v>-18.237620702248645</c:v>
                </c:pt>
                <c:pt idx="9">
                  <c:v>-18.178070267533197</c:v>
                </c:pt>
                <c:pt idx="10">
                  <c:v>-18.191839986153887</c:v>
                </c:pt>
                <c:pt idx="11">
                  <c:v>-18.176265277062974</c:v>
                </c:pt>
                <c:pt idx="12">
                  <c:v>-18.171337243123581</c:v>
                </c:pt>
                <c:pt idx="13">
                  <c:v>-18.140437553664121</c:v>
                </c:pt>
                <c:pt idx="14">
                  <c:v>-18.123959715550914</c:v>
                </c:pt>
                <c:pt idx="15">
                  <c:v>-18.095038451959752</c:v>
                </c:pt>
                <c:pt idx="16">
                  <c:v>-18.12369864329996</c:v>
                </c:pt>
                <c:pt idx="17">
                  <c:v>-18.121180971845412</c:v>
                </c:pt>
                <c:pt idx="18">
                  <c:v>-18.107211728877672</c:v>
                </c:pt>
                <c:pt idx="19">
                  <c:v>-18.110199514853281</c:v>
                </c:pt>
                <c:pt idx="20">
                  <c:v>-18.082695507206218</c:v>
                </c:pt>
                <c:pt idx="21">
                  <c:v>-18.038589537374996</c:v>
                </c:pt>
                <c:pt idx="22">
                  <c:v>-18.018417363905609</c:v>
                </c:pt>
                <c:pt idx="23">
                  <c:v>-17.994517408350053</c:v>
                </c:pt>
                <c:pt idx="24">
                  <c:v>-17.954335945780223</c:v>
                </c:pt>
                <c:pt idx="25">
                  <c:v>-17.932858989488828</c:v>
                </c:pt>
                <c:pt idx="26">
                  <c:v>-17.938223288288832</c:v>
                </c:pt>
                <c:pt idx="27">
                  <c:v>-17.954534029876132</c:v>
                </c:pt>
                <c:pt idx="28">
                  <c:v>-17.934061006346717</c:v>
                </c:pt>
                <c:pt idx="29">
                  <c:v>-17.920449939336411</c:v>
                </c:pt>
                <c:pt idx="30">
                  <c:v>-17.889076141622123</c:v>
                </c:pt>
                <c:pt idx="31">
                  <c:v>-17.849745608695294</c:v>
                </c:pt>
                <c:pt idx="32">
                  <c:v>-17.719267801002985</c:v>
                </c:pt>
                <c:pt idx="33">
                  <c:v>-17.427050150295916</c:v>
                </c:pt>
                <c:pt idx="34">
                  <c:v>-17.448158341472386</c:v>
                </c:pt>
                <c:pt idx="35">
                  <c:v>-17.392895360941417</c:v>
                </c:pt>
                <c:pt idx="36">
                  <c:v>-17.420840871864492</c:v>
                </c:pt>
                <c:pt idx="37">
                  <c:v>-17.453328905197825</c:v>
                </c:pt>
                <c:pt idx="38">
                  <c:v>-17.498054058751123</c:v>
                </c:pt>
                <c:pt idx="39">
                  <c:v>-17.489122704555321</c:v>
                </c:pt>
                <c:pt idx="40">
                  <c:v>-17.423296572182437</c:v>
                </c:pt>
                <c:pt idx="41">
                  <c:v>-17.411664828432439</c:v>
                </c:pt>
                <c:pt idx="42">
                  <c:v>-17.3964914639709</c:v>
                </c:pt>
                <c:pt idx="43">
                  <c:v>-17.353248849344038</c:v>
                </c:pt>
                <c:pt idx="44">
                  <c:v>-17.377124818500658</c:v>
                </c:pt>
                <c:pt idx="45">
                  <c:v>-17.408200832554716</c:v>
                </c:pt>
                <c:pt idx="46">
                  <c:v>-17.158997004685858</c:v>
                </c:pt>
                <c:pt idx="47">
                  <c:v>-17.196419402311761</c:v>
                </c:pt>
                <c:pt idx="48">
                  <c:v>-17.196874242311758</c:v>
                </c:pt>
                <c:pt idx="49">
                  <c:v>-17.163823573672705</c:v>
                </c:pt>
                <c:pt idx="50">
                  <c:v>-17.123930745076958</c:v>
                </c:pt>
                <c:pt idx="51">
                  <c:v>-17.145876827693446</c:v>
                </c:pt>
                <c:pt idx="52">
                  <c:v>-17.116817381878466</c:v>
                </c:pt>
                <c:pt idx="53">
                  <c:v>-17.170875416977367</c:v>
                </c:pt>
                <c:pt idx="54">
                  <c:v>-17.148267224598186</c:v>
                </c:pt>
                <c:pt idx="55">
                  <c:v>-17.145424888349574</c:v>
                </c:pt>
                <c:pt idx="56">
                  <c:v>-17.000229205973337</c:v>
                </c:pt>
                <c:pt idx="57">
                  <c:v>-17.012050318793847</c:v>
                </c:pt>
                <c:pt idx="58">
                  <c:v>-16.947739496503772</c:v>
                </c:pt>
                <c:pt idx="59">
                  <c:v>-16.856266837303771</c:v>
                </c:pt>
                <c:pt idx="60">
                  <c:v>-16.814413874858012</c:v>
                </c:pt>
                <c:pt idx="61">
                  <c:v>-16.862045006897922</c:v>
                </c:pt>
                <c:pt idx="62">
                  <c:v>-16.843862224712296</c:v>
                </c:pt>
                <c:pt idx="63">
                  <c:v>-16.616117182403169</c:v>
                </c:pt>
                <c:pt idx="64">
                  <c:v>-16.71522896584688</c:v>
                </c:pt>
                <c:pt idx="65">
                  <c:v>-16.686163395094191</c:v>
                </c:pt>
                <c:pt idx="66">
                  <c:v>-16.658255919947525</c:v>
                </c:pt>
                <c:pt idx="67">
                  <c:v>-16.56258665774201</c:v>
                </c:pt>
                <c:pt idx="68">
                  <c:v>-16.429246663861413</c:v>
                </c:pt>
                <c:pt idx="69">
                  <c:v>-16.429948593607605</c:v>
                </c:pt>
                <c:pt idx="70">
                  <c:v>-16.51788054899794</c:v>
                </c:pt>
                <c:pt idx="71">
                  <c:v>-16.372793925155573</c:v>
                </c:pt>
                <c:pt idx="72">
                  <c:v>-16.351163951198977</c:v>
                </c:pt>
                <c:pt idx="73">
                  <c:v>-16.243884199211251</c:v>
                </c:pt>
                <c:pt idx="74">
                  <c:v>-16.100657527754556</c:v>
                </c:pt>
                <c:pt idx="75">
                  <c:v>-15.881935127337433</c:v>
                </c:pt>
                <c:pt idx="76">
                  <c:v>-15.95270813644599</c:v>
                </c:pt>
                <c:pt idx="77">
                  <c:v>-15.845499502935787</c:v>
                </c:pt>
                <c:pt idx="78">
                  <c:v>-15.011798827590574</c:v>
                </c:pt>
                <c:pt idx="79">
                  <c:v>-15.051677425788805</c:v>
                </c:pt>
                <c:pt idx="80">
                  <c:v>-15.028527344065727</c:v>
                </c:pt>
                <c:pt idx="81">
                  <c:v>-14.893567256692258</c:v>
                </c:pt>
                <c:pt idx="82">
                  <c:v>-14.922816162837714</c:v>
                </c:pt>
                <c:pt idx="83">
                  <c:v>-14.917632771237715</c:v>
                </c:pt>
                <c:pt idx="84">
                  <c:v>-14.709811726889889</c:v>
                </c:pt>
                <c:pt idx="85">
                  <c:v>-14.43405311659845</c:v>
                </c:pt>
                <c:pt idx="86">
                  <c:v>-13.589655342271842</c:v>
                </c:pt>
                <c:pt idx="87">
                  <c:v>-12.751565185787397</c:v>
                </c:pt>
                <c:pt idx="88">
                  <c:v>-12.981600779721825</c:v>
                </c:pt>
                <c:pt idx="89">
                  <c:v>-12.879249840452722</c:v>
                </c:pt>
                <c:pt idx="90">
                  <c:v>-12.80742843530895</c:v>
                </c:pt>
                <c:pt idx="91">
                  <c:v>-12.79353019460263</c:v>
                </c:pt>
                <c:pt idx="92">
                  <c:v>-12.80819311278994</c:v>
                </c:pt>
                <c:pt idx="93">
                  <c:v>-12.675363440376149</c:v>
                </c:pt>
                <c:pt idx="94">
                  <c:v>-12.573480979149153</c:v>
                </c:pt>
                <c:pt idx="95">
                  <c:v>-12.600019752341924</c:v>
                </c:pt>
                <c:pt idx="96">
                  <c:v>-12.498085378508948</c:v>
                </c:pt>
                <c:pt idx="97">
                  <c:v>-12.555669093772103</c:v>
                </c:pt>
                <c:pt idx="98">
                  <c:v>-12.511277358629245</c:v>
                </c:pt>
                <c:pt idx="99">
                  <c:v>-12.385193158840016</c:v>
                </c:pt>
                <c:pt idx="100">
                  <c:v>-12.255158817468587</c:v>
                </c:pt>
                <c:pt idx="101">
                  <c:v>-12.179137564738479</c:v>
                </c:pt>
                <c:pt idx="102">
                  <c:v>-10.94353333655666</c:v>
                </c:pt>
                <c:pt idx="103">
                  <c:v>-10.559338138966817</c:v>
                </c:pt>
                <c:pt idx="104">
                  <c:v>-9.8064633314990068</c:v>
                </c:pt>
                <c:pt idx="105">
                  <c:v>-8.9377875639763644</c:v>
                </c:pt>
                <c:pt idx="106">
                  <c:v>-8.8928899839763638</c:v>
                </c:pt>
                <c:pt idx="107">
                  <c:v>-8.9177110101855135</c:v>
                </c:pt>
                <c:pt idx="108">
                  <c:v>-8.9154854876140845</c:v>
                </c:pt>
                <c:pt idx="109">
                  <c:v>-8.8228430522908905</c:v>
                </c:pt>
                <c:pt idx="110">
                  <c:v>-8.684249504537588</c:v>
                </c:pt>
                <c:pt idx="111">
                  <c:v>-8.6711011639720343</c:v>
                </c:pt>
                <c:pt idx="112">
                  <c:v>-8.6476636980497048</c:v>
                </c:pt>
                <c:pt idx="113">
                  <c:v>-8.6458794484343198</c:v>
                </c:pt>
                <c:pt idx="114">
                  <c:v>-8.6315677397386654</c:v>
                </c:pt>
                <c:pt idx="115">
                  <c:v>-8.6565869537737541</c:v>
                </c:pt>
                <c:pt idx="116">
                  <c:v>-8.6671817857498024</c:v>
                </c:pt>
                <c:pt idx="117">
                  <c:v>-8.7698843867792142</c:v>
                </c:pt>
                <c:pt idx="118">
                  <c:v>-8.7314399729244645</c:v>
                </c:pt>
                <c:pt idx="119">
                  <c:v>-8.8217059041031725</c:v>
                </c:pt>
                <c:pt idx="120">
                  <c:v>-8.8590752036177349</c:v>
                </c:pt>
                <c:pt idx="121">
                  <c:v>-8.8381658033812194</c:v>
                </c:pt>
                <c:pt idx="122">
                  <c:v>-8.7098330109284507</c:v>
                </c:pt>
                <c:pt idx="123">
                  <c:v>-8.6542162666731315</c:v>
                </c:pt>
                <c:pt idx="124">
                  <c:v>-8.7024117122231317</c:v>
                </c:pt>
                <c:pt idx="125">
                  <c:v>-8.7099453127392596</c:v>
                </c:pt>
                <c:pt idx="126">
                  <c:v>-8.6608716356677178</c:v>
                </c:pt>
                <c:pt idx="127">
                  <c:v>-8.6934220531854471</c:v>
                </c:pt>
                <c:pt idx="128">
                  <c:v>-8.7638903055523123</c:v>
                </c:pt>
                <c:pt idx="129">
                  <c:v>-8.5143529236349078</c:v>
                </c:pt>
                <c:pt idx="130">
                  <c:v>-8.4857125477361297</c:v>
                </c:pt>
                <c:pt idx="131">
                  <c:v>-8.3810626677361313</c:v>
                </c:pt>
                <c:pt idx="132">
                  <c:v>-8.3077708178378256</c:v>
                </c:pt>
                <c:pt idx="133">
                  <c:v>-8.2374271800600471</c:v>
                </c:pt>
                <c:pt idx="134">
                  <c:v>-8.16719565459446</c:v>
                </c:pt>
                <c:pt idx="135">
                  <c:v>-8.2376523445027185</c:v>
                </c:pt>
                <c:pt idx="136">
                  <c:v>-8.2494158293512037</c:v>
                </c:pt>
                <c:pt idx="137">
                  <c:v>-8.2449119189982607</c:v>
                </c:pt>
                <c:pt idx="138">
                  <c:v>-8.2793347267009629</c:v>
                </c:pt>
                <c:pt idx="139">
                  <c:v>-8.2696950555451831</c:v>
                </c:pt>
                <c:pt idx="140">
                  <c:v>-8.226632196107845</c:v>
                </c:pt>
                <c:pt idx="141">
                  <c:v>-8.287524651152621</c:v>
                </c:pt>
                <c:pt idx="142">
                  <c:v>-8.345583729780456</c:v>
                </c:pt>
                <c:pt idx="143">
                  <c:v>-8.1696400183953628</c:v>
                </c:pt>
                <c:pt idx="144">
                  <c:v>-8.2869626495064725</c:v>
                </c:pt>
                <c:pt idx="145">
                  <c:v>-8.3943645501434165</c:v>
                </c:pt>
                <c:pt idx="146">
                  <c:v>-8.3951149616634151</c:v>
                </c:pt>
                <c:pt idx="147">
                  <c:v>-8.2438090103854602</c:v>
                </c:pt>
                <c:pt idx="148">
                  <c:v>-8.2488900639106397</c:v>
                </c:pt>
                <c:pt idx="149">
                  <c:v>-8.303634300475526</c:v>
                </c:pt>
                <c:pt idx="150">
                  <c:v>-8.1757946615181805</c:v>
                </c:pt>
                <c:pt idx="151">
                  <c:v>-8.0181109332123945</c:v>
                </c:pt>
                <c:pt idx="152">
                  <c:v>-7.8600569074260589</c:v>
                </c:pt>
                <c:pt idx="153">
                  <c:v>-7.7990912609512391</c:v>
                </c:pt>
                <c:pt idx="154">
                  <c:v>-7.876687554310875</c:v>
                </c:pt>
                <c:pt idx="155">
                  <c:v>-7.8001743014394158</c:v>
                </c:pt>
                <c:pt idx="156">
                  <c:v>-7.8385563018919653</c:v>
                </c:pt>
                <c:pt idx="157">
                  <c:v>-7.7001726213374608</c:v>
                </c:pt>
                <c:pt idx="158">
                  <c:v>-7.6284537989258894</c:v>
                </c:pt>
                <c:pt idx="159">
                  <c:v>-7.6465187034443369</c:v>
                </c:pt>
                <c:pt idx="160">
                  <c:v>-7.5633172864261562</c:v>
                </c:pt>
                <c:pt idx="161">
                  <c:v>-7.5817599867267687</c:v>
                </c:pt>
                <c:pt idx="162">
                  <c:v>-7.6681645140617691</c:v>
                </c:pt>
                <c:pt idx="163">
                  <c:v>-7.6543197685357125</c:v>
                </c:pt>
                <c:pt idx="164">
                  <c:v>-7.5559546134028013</c:v>
                </c:pt>
                <c:pt idx="165">
                  <c:v>-7.4752769025686723</c:v>
                </c:pt>
                <c:pt idx="166">
                  <c:v>-7.5399964799105925</c:v>
                </c:pt>
                <c:pt idx="167">
                  <c:v>-7.5181144852611963</c:v>
                </c:pt>
                <c:pt idx="168">
                  <c:v>-7.6164774652934737</c:v>
                </c:pt>
                <c:pt idx="169">
                  <c:v>-7.6016246201499449</c:v>
                </c:pt>
                <c:pt idx="170">
                  <c:v>-7.5559468315300942</c:v>
                </c:pt>
                <c:pt idx="171">
                  <c:v>-7.5208541246999969</c:v>
                </c:pt>
                <c:pt idx="172">
                  <c:v>-7.5985525258466051</c:v>
                </c:pt>
                <c:pt idx="173">
                  <c:v>-7.4527516509934806</c:v>
                </c:pt>
                <c:pt idx="174">
                  <c:v>-7.4554258567162162</c:v>
                </c:pt>
                <c:pt idx="175">
                  <c:v>-7.3633325393384377</c:v>
                </c:pt>
                <c:pt idx="176">
                  <c:v>-7.5124493812975537</c:v>
                </c:pt>
                <c:pt idx="177">
                  <c:v>-7.5759691094289945</c:v>
                </c:pt>
                <c:pt idx="178">
                  <c:v>-7.54838621384076</c:v>
                </c:pt>
                <c:pt idx="179">
                  <c:v>-7.5628856095470089</c:v>
                </c:pt>
                <c:pt idx="180">
                  <c:v>-7.4962946044059242</c:v>
                </c:pt>
                <c:pt idx="181">
                  <c:v>-7.5025873644953984</c:v>
                </c:pt>
                <c:pt idx="182">
                  <c:v>-7.5465144741912882</c:v>
                </c:pt>
                <c:pt idx="183">
                  <c:v>-7.5379712768472871</c:v>
                </c:pt>
                <c:pt idx="184">
                  <c:v>-7.5355752898861761</c:v>
                </c:pt>
                <c:pt idx="185">
                  <c:v>-7.5864861489539743</c:v>
                </c:pt>
                <c:pt idx="186">
                  <c:v>-7.4912133180795157</c:v>
                </c:pt>
                <c:pt idx="187">
                  <c:v>-7.5045057031256706</c:v>
                </c:pt>
                <c:pt idx="188">
                  <c:v>-7.4701767549948288</c:v>
                </c:pt>
                <c:pt idx="189">
                  <c:v>-7.5064626886883268</c:v>
                </c:pt>
                <c:pt idx="190">
                  <c:v>-7.6153111131787599</c:v>
                </c:pt>
                <c:pt idx="191">
                  <c:v>-7.668656396665857</c:v>
                </c:pt>
                <c:pt idx="192">
                  <c:v>-7.6257609396437971</c:v>
                </c:pt>
                <c:pt idx="193">
                  <c:v>-7.5950108108559187</c:v>
                </c:pt>
                <c:pt idx="194">
                  <c:v>-7.5096698264961788</c:v>
                </c:pt>
                <c:pt idx="195">
                  <c:v>-7.4752595520448963</c:v>
                </c:pt>
                <c:pt idx="196">
                  <c:v>-7.3877052414982503</c:v>
                </c:pt>
                <c:pt idx="197">
                  <c:v>-7.2804007188412152</c:v>
                </c:pt>
                <c:pt idx="198">
                  <c:v>-7.240678690585896</c:v>
                </c:pt>
                <c:pt idx="199">
                  <c:v>-7.1328952044830558</c:v>
                </c:pt>
                <c:pt idx="200">
                  <c:v>-6.9611351696361172</c:v>
                </c:pt>
                <c:pt idx="201">
                  <c:v>-7.0427556952035975</c:v>
                </c:pt>
                <c:pt idx="202">
                  <c:v>-6.9037536914328861</c:v>
                </c:pt>
                <c:pt idx="203">
                  <c:v>-6.5481362101247464</c:v>
                </c:pt>
                <c:pt idx="204">
                  <c:v>-6.427216187138443</c:v>
                </c:pt>
                <c:pt idx="205">
                  <c:v>-6.3689011486849552</c:v>
                </c:pt>
                <c:pt idx="206">
                  <c:v>-6.3479330964564324</c:v>
                </c:pt>
                <c:pt idx="207">
                  <c:v>-6.3335489094553088</c:v>
                </c:pt>
                <c:pt idx="208">
                  <c:v>-6.3227354841733998</c:v>
                </c:pt>
                <c:pt idx="209">
                  <c:v>-6.2546273152963874</c:v>
                </c:pt>
                <c:pt idx="210">
                  <c:v>-6.2103383313268514</c:v>
                </c:pt>
                <c:pt idx="211">
                  <c:v>-6.2574875477062166</c:v>
                </c:pt>
                <c:pt idx="212">
                  <c:v>-6.2963769474388904</c:v>
                </c:pt>
                <c:pt idx="213">
                  <c:v>-6.2933749575820173</c:v>
                </c:pt>
                <c:pt idx="214">
                  <c:v>-6.3025417133181145</c:v>
                </c:pt>
                <c:pt idx="215">
                  <c:v>-6.4111750949144994</c:v>
                </c:pt>
                <c:pt idx="216">
                  <c:v>-6.5094748286214754</c:v>
                </c:pt>
                <c:pt idx="217">
                  <c:v>-6.282895662227614</c:v>
                </c:pt>
                <c:pt idx="218">
                  <c:v>-6.4043100198282605</c:v>
                </c:pt>
                <c:pt idx="219">
                  <c:v>-6.6999803355261225</c:v>
                </c:pt>
                <c:pt idx="220">
                  <c:v>-6.6203883183664587</c:v>
                </c:pt>
                <c:pt idx="221">
                  <c:v>-6.3703691793174757</c:v>
                </c:pt>
                <c:pt idx="222">
                  <c:v>-6.3753707637674752</c:v>
                </c:pt>
                <c:pt idx="223">
                  <c:v>-6.3548062209174754</c:v>
                </c:pt>
                <c:pt idx="224">
                  <c:v>-6.3367900940193342</c:v>
                </c:pt>
                <c:pt idx="225">
                  <c:v>-6.2226206579253036</c:v>
                </c:pt>
                <c:pt idx="226">
                  <c:v>-5.96041497298721</c:v>
                </c:pt>
                <c:pt idx="227">
                  <c:v>-5.7681432040157805</c:v>
                </c:pt>
                <c:pt idx="228">
                  <c:v>-5.7793411926532805</c:v>
                </c:pt>
                <c:pt idx="229">
                  <c:v>-5.8303565993157811</c:v>
                </c:pt>
                <c:pt idx="230">
                  <c:v>-5.8234298737828833</c:v>
                </c:pt>
                <c:pt idx="231">
                  <c:v>-5.7174055736836014</c:v>
                </c:pt>
                <c:pt idx="232">
                  <c:v>-5.0817507883850492</c:v>
                </c:pt>
                <c:pt idx="233">
                  <c:v>-5.0901741609827136</c:v>
                </c:pt>
                <c:pt idx="234">
                  <c:v>-5.0883139854979458</c:v>
                </c:pt>
                <c:pt idx="235">
                  <c:v>-4.9753703709548418</c:v>
                </c:pt>
                <c:pt idx="236">
                  <c:v>-4.9132651551358899</c:v>
                </c:pt>
                <c:pt idx="237">
                  <c:v>-4.8534399871324991</c:v>
                </c:pt>
                <c:pt idx="238">
                  <c:v>-4.8279392351091275</c:v>
                </c:pt>
                <c:pt idx="239">
                  <c:v>-4.7971949522328634</c:v>
                </c:pt>
                <c:pt idx="240">
                  <c:v>-4.8054601051562207</c:v>
                </c:pt>
                <c:pt idx="241">
                  <c:v>-4.7428648457879774</c:v>
                </c:pt>
                <c:pt idx="242">
                  <c:v>-4.7775549971134632</c:v>
                </c:pt>
                <c:pt idx="243">
                  <c:v>-4.799065409736949</c:v>
                </c:pt>
                <c:pt idx="244">
                  <c:v>-4.6647270258225104</c:v>
                </c:pt>
                <c:pt idx="245">
                  <c:v>-4.6057168741503318</c:v>
                </c:pt>
                <c:pt idx="246">
                  <c:v>-4.4315365498893557</c:v>
                </c:pt>
                <c:pt idx="247">
                  <c:v>-4.5239578097149034</c:v>
                </c:pt>
                <c:pt idx="248">
                  <c:v>-4.477205313486742</c:v>
                </c:pt>
                <c:pt idx="249">
                  <c:v>-4.6360553770435082</c:v>
                </c:pt>
                <c:pt idx="250">
                  <c:v>-4.5839674563754791</c:v>
                </c:pt>
                <c:pt idx="251">
                  <c:v>-4.6676179824546029</c:v>
                </c:pt>
                <c:pt idx="252">
                  <c:v>-4.5569183841752716</c:v>
                </c:pt>
                <c:pt idx="253">
                  <c:v>-4.6638225746941124</c:v>
                </c:pt>
                <c:pt idx="254">
                  <c:v>-4.5759118214584165</c:v>
                </c:pt>
                <c:pt idx="255">
                  <c:v>-4.514119997486989</c:v>
                </c:pt>
                <c:pt idx="256">
                  <c:v>-4.3691153294035141</c:v>
                </c:pt>
                <c:pt idx="257">
                  <c:v>-4.4173577264557533</c:v>
                </c:pt>
                <c:pt idx="258">
                  <c:v>-4.2305967999776568</c:v>
                </c:pt>
                <c:pt idx="259">
                  <c:v>-4.2421893552097991</c:v>
                </c:pt>
                <c:pt idx="260">
                  <c:v>-4.169456789582612</c:v>
                </c:pt>
                <c:pt idx="261">
                  <c:v>-4.0273070557178441</c:v>
                </c:pt>
                <c:pt idx="262">
                  <c:v>-4.079395265620386</c:v>
                </c:pt>
                <c:pt idx="263">
                  <c:v>-4.0026472403045963</c:v>
                </c:pt>
                <c:pt idx="264">
                  <c:v>-4.0156529354006745</c:v>
                </c:pt>
                <c:pt idx="265">
                  <c:v>-3.997732931638073</c:v>
                </c:pt>
                <c:pt idx="266">
                  <c:v>-3.9419896835327473</c:v>
                </c:pt>
                <c:pt idx="267">
                  <c:v>-3.879891249107442</c:v>
                </c:pt>
                <c:pt idx="268">
                  <c:v>-3.9981576907003791</c:v>
                </c:pt>
                <c:pt idx="269">
                  <c:v>-3.9300191238954176</c:v>
                </c:pt>
                <c:pt idx="270">
                  <c:v>-3.8445225442886017</c:v>
                </c:pt>
                <c:pt idx="271">
                  <c:v>-3.8017248226440752</c:v>
                </c:pt>
                <c:pt idx="272">
                  <c:v>-3.8373034748838304</c:v>
                </c:pt>
                <c:pt idx="273">
                  <c:v>-3.9073649298838302</c:v>
                </c:pt>
                <c:pt idx="274">
                  <c:v>-3.9091138815729951</c:v>
                </c:pt>
                <c:pt idx="275">
                  <c:v>-3.8708764782451675</c:v>
                </c:pt>
                <c:pt idx="276">
                  <c:v>-3.906228019542664</c:v>
                </c:pt>
                <c:pt idx="277">
                  <c:v>-3.9794549827493388</c:v>
                </c:pt>
                <c:pt idx="278">
                  <c:v>-3.9664023245342852</c:v>
                </c:pt>
                <c:pt idx="279">
                  <c:v>-3.9079771609738105</c:v>
                </c:pt>
                <c:pt idx="280">
                  <c:v>-3.9359276519381621</c:v>
                </c:pt>
                <c:pt idx="281">
                  <c:v>-3.8499503397202961</c:v>
                </c:pt>
                <c:pt idx="282">
                  <c:v>-3.7450765850202963</c:v>
                </c:pt>
                <c:pt idx="283">
                  <c:v>-3.8445037220037825</c:v>
                </c:pt>
                <c:pt idx="284">
                  <c:v>-3.7330000555934832</c:v>
                </c:pt>
                <c:pt idx="285">
                  <c:v>-3.7298844183830586</c:v>
                </c:pt>
                <c:pt idx="286">
                  <c:v>-3.5933568000614695</c:v>
                </c:pt>
                <c:pt idx="287">
                  <c:v>-3.7526506767119403</c:v>
                </c:pt>
                <c:pt idx="288">
                  <c:v>-3.7611083041720632</c:v>
                </c:pt>
                <c:pt idx="289">
                  <c:v>-3.816077212087909</c:v>
                </c:pt>
                <c:pt idx="290">
                  <c:v>-3.7566373808104085</c:v>
                </c:pt>
                <c:pt idx="291">
                  <c:v>-3.6779712007660299</c:v>
                </c:pt>
                <c:pt idx="292">
                  <c:v>-3.7183307887601704</c:v>
                </c:pt>
                <c:pt idx="293">
                  <c:v>-3.6822359189201705</c:v>
                </c:pt>
                <c:pt idx="294">
                  <c:v>-3.6373139988649674</c:v>
                </c:pt>
                <c:pt idx="295">
                  <c:v>-3.6936875401441749</c:v>
                </c:pt>
                <c:pt idx="296">
                  <c:v>-3.6390522345821061</c:v>
                </c:pt>
                <c:pt idx="297">
                  <c:v>-3.6078923819708879</c:v>
                </c:pt>
                <c:pt idx="298">
                  <c:v>-3.0051371312202089</c:v>
                </c:pt>
                <c:pt idx="299">
                  <c:v>-3.2640555867725247</c:v>
                </c:pt>
                <c:pt idx="300">
                  <c:v>-3.1231088932459183</c:v>
                </c:pt>
                <c:pt idx="301">
                  <c:v>-3.0992262666224528</c:v>
                </c:pt>
                <c:pt idx="302">
                  <c:v>-3.113100693797453</c:v>
                </c:pt>
                <c:pt idx="303">
                  <c:v>-3.0711051775084997</c:v>
                </c:pt>
                <c:pt idx="304">
                  <c:v>-3.0637091292488834</c:v>
                </c:pt>
                <c:pt idx="305">
                  <c:v>-3.12406990951968</c:v>
                </c:pt>
                <c:pt idx="306">
                  <c:v>-3.1076533719444686</c:v>
                </c:pt>
                <c:pt idx="307">
                  <c:v>-2.8712971640970104</c:v>
                </c:pt>
                <c:pt idx="308">
                  <c:v>-3.1130765127103865</c:v>
                </c:pt>
                <c:pt idx="309">
                  <c:v>-2.9876903174222345</c:v>
                </c:pt>
                <c:pt idx="310">
                  <c:v>-2.826787381568812</c:v>
                </c:pt>
                <c:pt idx="311">
                  <c:v>-2.6766877020930542</c:v>
                </c:pt>
                <c:pt idx="312">
                  <c:v>-2.4556600581019374</c:v>
                </c:pt>
                <c:pt idx="313">
                  <c:v>-2.5618824221603789</c:v>
                </c:pt>
                <c:pt idx="314">
                  <c:v>-2.3560836103096481</c:v>
                </c:pt>
                <c:pt idx="315">
                  <c:v>-2.550986485053754</c:v>
                </c:pt>
                <c:pt idx="316">
                  <c:v>-2.4480780029993867</c:v>
                </c:pt>
                <c:pt idx="317">
                  <c:v>-2.4921869572832347</c:v>
                </c:pt>
                <c:pt idx="318">
                  <c:v>-2.5222941270577488</c:v>
                </c:pt>
                <c:pt idx="319">
                  <c:v>-2.4729551609172087</c:v>
                </c:pt>
                <c:pt idx="320">
                  <c:v>-2.4294525352687044</c:v>
                </c:pt>
                <c:pt idx="321">
                  <c:v>-2.4695543571615164</c:v>
                </c:pt>
                <c:pt idx="322">
                  <c:v>-2.3453504756521375</c:v>
                </c:pt>
                <c:pt idx="323">
                  <c:v>-2.0988585332521374</c:v>
                </c:pt>
                <c:pt idx="324">
                  <c:v>-2.0681826669217576</c:v>
                </c:pt>
                <c:pt idx="325">
                  <c:v>-2.1262020856432011</c:v>
                </c:pt>
                <c:pt idx="326">
                  <c:v>-2.1939769720365705</c:v>
                </c:pt>
                <c:pt idx="327">
                  <c:v>-2.2320147861148536</c:v>
                </c:pt>
                <c:pt idx="328">
                  <c:v>-2.2339885766201517</c:v>
                </c:pt>
                <c:pt idx="329">
                  <c:v>-2.2371766654944376</c:v>
                </c:pt>
                <c:pt idx="330">
                  <c:v>-2.2026150477876705</c:v>
                </c:pt>
                <c:pt idx="331">
                  <c:v>-2.2387595176543376</c:v>
                </c:pt>
                <c:pt idx="332">
                  <c:v>-2.2150150678913678</c:v>
                </c:pt>
                <c:pt idx="333">
                  <c:v>-2.2586722284770824</c:v>
                </c:pt>
                <c:pt idx="334">
                  <c:v>-2.2509074904113633</c:v>
                </c:pt>
                <c:pt idx="335">
                  <c:v>-2.2287822264181809</c:v>
                </c:pt>
                <c:pt idx="336">
                  <c:v>-2.2494148787565815</c:v>
                </c:pt>
                <c:pt idx="337">
                  <c:v>-2.1588306396858328</c:v>
                </c:pt>
                <c:pt idx="338">
                  <c:v>-2.1518164205125725</c:v>
                </c:pt>
                <c:pt idx="339">
                  <c:v>-2.0857950575178554</c:v>
                </c:pt>
                <c:pt idx="340">
                  <c:v>-2.0990744218502773</c:v>
                </c:pt>
                <c:pt idx="341">
                  <c:v>-2.122998536667795</c:v>
                </c:pt>
                <c:pt idx="342">
                  <c:v>-2.0527526630767734</c:v>
                </c:pt>
                <c:pt idx="343">
                  <c:v>-2.187782957862058</c:v>
                </c:pt>
                <c:pt idx="344">
                  <c:v>-2.1977257081934867</c:v>
                </c:pt>
                <c:pt idx="345">
                  <c:v>-2.2112683905228803</c:v>
                </c:pt>
                <c:pt idx="346">
                  <c:v>-2.2072076062804848</c:v>
                </c:pt>
                <c:pt idx="347">
                  <c:v>-2.2293382127795702</c:v>
                </c:pt>
                <c:pt idx="348">
                  <c:v>-2.205433137694464</c:v>
                </c:pt>
                <c:pt idx="349">
                  <c:v>-2.2680230155634553</c:v>
                </c:pt>
                <c:pt idx="350">
                  <c:v>-2.4956024895275841</c:v>
                </c:pt>
                <c:pt idx="351">
                  <c:v>-2.5768654866230327</c:v>
                </c:pt>
                <c:pt idx="352">
                  <c:v>-2.6111859348499986</c:v>
                </c:pt>
                <c:pt idx="353">
                  <c:v>-2.7060192923730084</c:v>
                </c:pt>
                <c:pt idx="354">
                  <c:v>-2.7722818861494782</c:v>
                </c:pt>
                <c:pt idx="355">
                  <c:v>-2.7318121454508644</c:v>
                </c:pt>
                <c:pt idx="356">
                  <c:v>-2.655436297379834</c:v>
                </c:pt>
                <c:pt idx="357">
                  <c:v>-2.6999553575277329</c:v>
                </c:pt>
                <c:pt idx="358">
                  <c:v>-2.7487194714206535</c:v>
                </c:pt>
                <c:pt idx="359">
                  <c:v>-2.7420359202660434</c:v>
                </c:pt>
                <c:pt idx="360">
                  <c:v>-2.6923660868057535</c:v>
                </c:pt>
                <c:pt idx="361">
                  <c:v>-2.7614218933877108</c:v>
                </c:pt>
                <c:pt idx="362">
                  <c:v>-2.767418087037973</c:v>
                </c:pt>
                <c:pt idx="363">
                  <c:v>-2.7934092901874106</c:v>
                </c:pt>
                <c:pt idx="364">
                  <c:v>-2.7640265759002864</c:v>
                </c:pt>
                <c:pt idx="365">
                  <c:v>-2.8007618010739703</c:v>
                </c:pt>
                <c:pt idx="366">
                  <c:v>-2.7453434644207912</c:v>
                </c:pt>
                <c:pt idx="367">
                  <c:v>-2.7866822280284831</c:v>
                </c:pt>
                <c:pt idx="368">
                  <c:v>-2.6481402723012555</c:v>
                </c:pt>
                <c:pt idx="369">
                  <c:v>-2.5760737009774464</c:v>
                </c:pt>
                <c:pt idx="370">
                  <c:v>-2.5807408937876937</c:v>
                </c:pt>
                <c:pt idx="371">
                  <c:v>-2.6102123337612531</c:v>
                </c:pt>
                <c:pt idx="372">
                  <c:v>-2.5522290265684928</c:v>
                </c:pt>
                <c:pt idx="373">
                  <c:v>-2.6165617656793838</c:v>
                </c:pt>
                <c:pt idx="374">
                  <c:v>-2.5171074949672252</c:v>
                </c:pt>
                <c:pt idx="375">
                  <c:v>-2.4882842388278443</c:v>
                </c:pt>
                <c:pt idx="376">
                  <c:v>-2.5514663195834002</c:v>
                </c:pt>
                <c:pt idx="377">
                  <c:v>-2.5402581498972032</c:v>
                </c:pt>
                <c:pt idx="378">
                  <c:v>-2.5602830296908832</c:v>
                </c:pt>
                <c:pt idx="379">
                  <c:v>-2.5516477987274473</c:v>
                </c:pt>
                <c:pt idx="380">
                  <c:v>-2.571101998214453</c:v>
                </c:pt>
                <c:pt idx="381">
                  <c:v>-2.5427782700251198</c:v>
                </c:pt>
                <c:pt idx="382">
                  <c:v>-2.5296640191811894</c:v>
                </c:pt>
                <c:pt idx="383">
                  <c:v>-2.4983512824393843</c:v>
                </c:pt>
                <c:pt idx="384">
                  <c:v>-2.5832831223605632</c:v>
                </c:pt>
                <c:pt idx="385">
                  <c:v>-2.5675471848605631</c:v>
                </c:pt>
                <c:pt idx="386">
                  <c:v>-2.5214887822901626</c:v>
                </c:pt>
                <c:pt idx="387">
                  <c:v>-2.5278643451430445</c:v>
                </c:pt>
                <c:pt idx="388">
                  <c:v>-2.5629371991189651</c:v>
                </c:pt>
                <c:pt idx="389">
                  <c:v>-2.5380124666663191</c:v>
                </c:pt>
                <c:pt idx="390">
                  <c:v>-2.5531263568132156</c:v>
                </c:pt>
                <c:pt idx="391">
                  <c:v>-2.5394018806544483</c:v>
                </c:pt>
                <c:pt idx="392">
                  <c:v>-2.5362886191158118</c:v>
                </c:pt>
                <c:pt idx="393">
                  <c:v>-2.524658427500774</c:v>
                </c:pt>
                <c:pt idx="394">
                  <c:v>-2.5100791964618128</c:v>
                </c:pt>
                <c:pt idx="395">
                  <c:v>-2.5073102827717628</c:v>
                </c:pt>
                <c:pt idx="396">
                  <c:v>-2.4773006802260271</c:v>
                </c:pt>
                <c:pt idx="397">
                  <c:v>-2.3983968754202172</c:v>
                </c:pt>
                <c:pt idx="398">
                  <c:v>-2.3909016097900802</c:v>
                </c:pt>
                <c:pt idx="399">
                  <c:v>-2.3902839260591282</c:v>
                </c:pt>
                <c:pt idx="400">
                  <c:v>-2.4092637228191278</c:v>
                </c:pt>
                <c:pt idx="401">
                  <c:v>-2.3800673290200627</c:v>
                </c:pt>
                <c:pt idx="402">
                  <c:v>-2.3047587063231743</c:v>
                </c:pt>
                <c:pt idx="403">
                  <c:v>-1.3380554823306012</c:v>
                </c:pt>
                <c:pt idx="404">
                  <c:v>-1.3718422581271232</c:v>
                </c:pt>
                <c:pt idx="405">
                  <c:v>-1.3455457371694655</c:v>
                </c:pt>
                <c:pt idx="406">
                  <c:v>-1.3553162163399575</c:v>
                </c:pt>
                <c:pt idx="407">
                  <c:v>-1.3336149734159068</c:v>
                </c:pt>
                <c:pt idx="408">
                  <c:v>-1.3647288630444783</c:v>
                </c:pt>
                <c:pt idx="409">
                  <c:v>-1.3430798610580374</c:v>
                </c:pt>
                <c:pt idx="410">
                  <c:v>-1.3319782265338995</c:v>
                </c:pt>
                <c:pt idx="411">
                  <c:v>-1.3303582560058005</c:v>
                </c:pt>
                <c:pt idx="412">
                  <c:v>-1.3282093205690657</c:v>
                </c:pt>
                <c:pt idx="413">
                  <c:v>-1.2979454784342832</c:v>
                </c:pt>
                <c:pt idx="414">
                  <c:v>-1.2433185940610159</c:v>
                </c:pt>
                <c:pt idx="415">
                  <c:v>-1.238604573849337</c:v>
                </c:pt>
                <c:pt idx="416">
                  <c:v>-1.1985038324471824</c:v>
                </c:pt>
                <c:pt idx="417">
                  <c:v>-1.1824032516239265</c:v>
                </c:pt>
                <c:pt idx="418">
                  <c:v>-1.1619855258011418</c:v>
                </c:pt>
                <c:pt idx="419">
                  <c:v>-1.1003315957312136</c:v>
                </c:pt>
                <c:pt idx="420">
                  <c:v>-1.0732072358305695</c:v>
                </c:pt>
                <c:pt idx="421">
                  <c:v>-1.0630603620305696</c:v>
                </c:pt>
                <c:pt idx="422">
                  <c:v>-1.0747508090943059</c:v>
                </c:pt>
                <c:pt idx="423">
                  <c:v>-1.0479603459946232</c:v>
                </c:pt>
                <c:pt idx="424">
                  <c:v>-1.0734437732721742</c:v>
                </c:pt>
                <c:pt idx="425">
                  <c:v>-1.0801455842477647</c:v>
                </c:pt>
                <c:pt idx="426">
                  <c:v>-1.110132103556239</c:v>
                </c:pt>
                <c:pt idx="427">
                  <c:v>-1.1176307582762393</c:v>
                </c:pt>
                <c:pt idx="428">
                  <c:v>-1.0930128129519534</c:v>
                </c:pt>
                <c:pt idx="429">
                  <c:v>-1.0558347590250121</c:v>
                </c:pt>
                <c:pt idx="430">
                  <c:v>-1.0486893059378044</c:v>
                </c:pt>
                <c:pt idx="431">
                  <c:v>-1.1214977971225661</c:v>
                </c:pt>
                <c:pt idx="432">
                  <c:v>-1.1023949422558994</c:v>
                </c:pt>
                <c:pt idx="433">
                  <c:v>-1.1106499899790996</c:v>
                </c:pt>
                <c:pt idx="434">
                  <c:v>-1.0906329720911685</c:v>
                </c:pt>
                <c:pt idx="435">
                  <c:v>-1.0637506079261199</c:v>
                </c:pt>
                <c:pt idx="436">
                  <c:v>-1.0871463379072008</c:v>
                </c:pt>
                <c:pt idx="437">
                  <c:v>-1.0915030036976772</c:v>
                </c:pt>
                <c:pt idx="438">
                  <c:v>-1.0999858444784989</c:v>
                </c:pt>
                <c:pt idx="439">
                  <c:v>-1.0985454530061913</c:v>
                </c:pt>
                <c:pt idx="440">
                  <c:v>-1.0943146677823818</c:v>
                </c:pt>
                <c:pt idx="441">
                  <c:v>-1.103029429328481</c:v>
                </c:pt>
                <c:pt idx="442">
                  <c:v>-1.0901553487164244</c:v>
                </c:pt>
                <c:pt idx="443">
                  <c:v>-1.0776894923152267</c:v>
                </c:pt>
                <c:pt idx="444">
                  <c:v>-1.0896091771196714</c:v>
                </c:pt>
                <c:pt idx="445">
                  <c:v>-1.0805430937730045</c:v>
                </c:pt>
                <c:pt idx="446">
                  <c:v>-1.07473728183502</c:v>
                </c:pt>
                <c:pt idx="447">
                  <c:v>-1.0433075506884324</c:v>
                </c:pt>
                <c:pt idx="448">
                  <c:v>-1.0407414906102104</c:v>
                </c:pt>
                <c:pt idx="449">
                  <c:v>-1.038430210699286</c:v>
                </c:pt>
                <c:pt idx="450">
                  <c:v>-1.0366862291815082</c:v>
                </c:pt>
                <c:pt idx="451">
                  <c:v>-1.0287186666030177</c:v>
                </c:pt>
                <c:pt idx="452">
                  <c:v>-1.0261858790524914</c:v>
                </c:pt>
                <c:pt idx="453">
                  <c:v>-1.022361722141033</c:v>
                </c:pt>
                <c:pt idx="454">
                  <c:v>-1.026019916041033</c:v>
                </c:pt>
                <c:pt idx="455">
                  <c:v>-1.0290747451671869</c:v>
                </c:pt>
                <c:pt idx="456">
                  <c:v>-1.0214587587753208</c:v>
                </c:pt>
                <c:pt idx="457">
                  <c:v>-1.0112578819870854</c:v>
                </c:pt>
                <c:pt idx="458">
                  <c:v>-1.0060415733013712</c:v>
                </c:pt>
                <c:pt idx="459">
                  <c:v>-1.0090339648790412</c:v>
                </c:pt>
                <c:pt idx="460">
                  <c:v>-0.99285834892174085</c:v>
                </c:pt>
                <c:pt idx="461">
                  <c:v>-0.98940269674701553</c:v>
                </c:pt>
                <c:pt idx="462">
                  <c:v>-0.98216003736205981</c:v>
                </c:pt>
                <c:pt idx="463">
                  <c:v>-0.9758478823118315</c:v>
                </c:pt>
                <c:pt idx="464">
                  <c:v>-0.96798297805845523</c:v>
                </c:pt>
                <c:pt idx="465">
                  <c:v>-0.95885767653985066</c:v>
                </c:pt>
                <c:pt idx="466">
                  <c:v>-0.95441862048767667</c:v>
                </c:pt>
                <c:pt idx="467">
                  <c:v>-0.95465974189308211</c:v>
                </c:pt>
                <c:pt idx="468">
                  <c:v>-0.95407931473593921</c:v>
                </c:pt>
                <c:pt idx="469">
                  <c:v>-0.95353937242331788</c:v>
                </c:pt>
                <c:pt idx="470">
                  <c:v>-0.94722969337331786</c:v>
                </c:pt>
                <c:pt idx="471">
                  <c:v>-0.94241162914700216</c:v>
                </c:pt>
                <c:pt idx="472">
                  <c:v>-0.93656643734230405</c:v>
                </c:pt>
                <c:pt idx="473">
                  <c:v>-0.93450124764905262</c:v>
                </c:pt>
                <c:pt idx="474">
                  <c:v>-0.93536630144035704</c:v>
                </c:pt>
                <c:pt idx="475">
                  <c:v>-0.91089100939150902</c:v>
                </c:pt>
                <c:pt idx="476">
                  <c:v>-0.93672601018614621</c:v>
                </c:pt>
                <c:pt idx="477">
                  <c:v>-0.93726467271755975</c:v>
                </c:pt>
                <c:pt idx="478">
                  <c:v>-0.94660756118690659</c:v>
                </c:pt>
                <c:pt idx="479">
                  <c:v>-0.92785704042135098</c:v>
                </c:pt>
                <c:pt idx="480">
                  <c:v>-0.91250693662790849</c:v>
                </c:pt>
                <c:pt idx="481">
                  <c:v>-0.90553509103248864</c:v>
                </c:pt>
                <c:pt idx="482">
                  <c:v>-0.90088327502933907</c:v>
                </c:pt>
                <c:pt idx="483">
                  <c:v>-0.90270834921388843</c:v>
                </c:pt>
                <c:pt idx="484">
                  <c:v>-0.88439670639078094</c:v>
                </c:pt>
                <c:pt idx="485">
                  <c:v>-0.87802936866011883</c:v>
                </c:pt>
                <c:pt idx="486">
                  <c:v>-0.87589792954572676</c:v>
                </c:pt>
                <c:pt idx="487">
                  <c:v>-0.86932250912147147</c:v>
                </c:pt>
                <c:pt idx="488">
                  <c:v>-0.86245569038332714</c:v>
                </c:pt>
                <c:pt idx="489">
                  <c:v>-0.87742152334436629</c:v>
                </c:pt>
                <c:pt idx="490">
                  <c:v>-0.85334160679025362</c:v>
                </c:pt>
                <c:pt idx="491">
                  <c:v>-0.88545306917037292</c:v>
                </c:pt>
                <c:pt idx="492">
                  <c:v>-0.83174228325052857</c:v>
                </c:pt>
                <c:pt idx="493">
                  <c:v>-0.68367041860198086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87-4406-BA39-2E107BDCE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070080"/>
        <c:axId val="478070912"/>
      </c:lineChart>
      <c:dateAx>
        <c:axId val="47807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70912"/>
        <c:crosses val="autoZero"/>
        <c:auto val="1"/>
        <c:lblOffset val="100"/>
        <c:baseTimeUnit val="days"/>
      </c:dateAx>
      <c:valAx>
        <c:axId val="4780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0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8909302-6F0F-4EF4-B54D-E041D5593790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9CFDE-B54B-4D03-BC8C-79D7635CB8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1.04</v>
      </c>
      <c r="D2" s="4">
        <f>MIN(D3:D1912)</f>
        <v>0.19600000000000001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0.23549999999999999</v>
      </c>
      <c r="C5">
        <v>0.2382</v>
      </c>
      <c r="D5">
        <v>0.2324</v>
      </c>
      <c r="E5">
        <v>0.2324</v>
      </c>
      <c r="F5">
        <v>140266</v>
      </c>
      <c r="G5">
        <v>0.2324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-140266</v>
      </c>
      <c r="R5">
        <f t="shared" ref="R5" si="2">R6+Q5</f>
        <v>-1839249587.0563061</v>
      </c>
      <c r="S5">
        <f t="shared" ref="S5" si="3">R5/100000</f>
        <v>-18392.49587056306</v>
      </c>
      <c r="T5">
        <f t="shared" ref="T5" si="4">S5/1000</f>
        <v>-18.39249587056306</v>
      </c>
    </row>
    <row r="6" spans="1:20" x14ac:dyDescent="0.25">
      <c r="A6" s="5">
        <v>44587</v>
      </c>
      <c r="B6">
        <v>0.22839999999999999</v>
      </c>
      <c r="C6">
        <v>0.25829999999999997</v>
      </c>
      <c r="D6">
        <v>0.2266</v>
      </c>
      <c r="E6">
        <v>0.23549999999999999</v>
      </c>
      <c r="F6">
        <v>8159824</v>
      </c>
      <c r="G6">
        <v>0.23549999999999999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-0.43848580441640395</v>
      </c>
      <c r="Q6">
        <f t="shared" ref="Q6" si="6">F6*P6</f>
        <v>-3577966.990536279</v>
      </c>
      <c r="R6">
        <f t="shared" ref="R6" si="7">R7+Q6</f>
        <v>-1839109321.0563061</v>
      </c>
      <c r="S6">
        <f t="shared" ref="S6" si="8">R6/100000</f>
        <v>-18391.09321056306</v>
      </c>
      <c r="T6">
        <f t="shared" ref="T6" si="9">S6/1000</f>
        <v>-18.39109321056306</v>
      </c>
    </row>
    <row r="7" spans="1:20" x14ac:dyDescent="0.25">
      <c r="A7" s="5">
        <v>44586</v>
      </c>
      <c r="B7">
        <v>0.22309999999999999</v>
      </c>
      <c r="C7">
        <v>0.23710000000000001</v>
      </c>
      <c r="D7">
        <v>0.21790000000000001</v>
      </c>
      <c r="E7">
        <v>0.22789999999999999</v>
      </c>
      <c r="F7">
        <v>3559296</v>
      </c>
      <c r="G7">
        <v>0.22789999999999999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4.1666666666664978E-2</v>
      </c>
      <c r="Q7">
        <f t="shared" ref="Q7" si="11">F7*P7</f>
        <v>148303.999999994</v>
      </c>
      <c r="R7">
        <f t="shared" ref="R7" si="12">R8+Q7</f>
        <v>-1835531354.0657699</v>
      </c>
      <c r="S7">
        <f t="shared" ref="S7" si="13">R7/100000</f>
        <v>-18355.313540657698</v>
      </c>
      <c r="T7">
        <f t="shared" ref="T7" si="14">S7/1000</f>
        <v>-18.355313540657697</v>
      </c>
    </row>
    <row r="8" spans="1:20" x14ac:dyDescent="0.25">
      <c r="A8" s="5">
        <v>44585</v>
      </c>
      <c r="B8">
        <v>0.2409</v>
      </c>
      <c r="C8">
        <v>0.2409</v>
      </c>
      <c r="D8">
        <v>0.20319999999999999</v>
      </c>
      <c r="E8">
        <v>0.22239999999999999</v>
      </c>
      <c r="F8">
        <v>6835396</v>
      </c>
      <c r="G8">
        <v>0.22239999999999999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1.8567639257293853E-2</v>
      </c>
      <c r="Q8">
        <f t="shared" ref="Q8" si="16">F8*P8</f>
        <v>126917.16710874937</v>
      </c>
      <c r="R8">
        <f t="shared" ref="R8" si="17">R9+Q8</f>
        <v>-1835679658.0657699</v>
      </c>
      <c r="S8">
        <f t="shared" ref="S8" si="18">R8/100000</f>
        <v>-18356.796580657698</v>
      </c>
      <c r="T8">
        <f t="shared" ref="T8" si="19">S8/1000</f>
        <v>-18.356796580657697</v>
      </c>
    </row>
    <row r="9" spans="1:20" x14ac:dyDescent="0.25">
      <c r="A9" s="5">
        <v>44584</v>
      </c>
      <c r="B9">
        <v>0.23219999999999999</v>
      </c>
      <c r="C9">
        <v>0.24579999999999999</v>
      </c>
      <c r="D9">
        <v>0.22750000000000001</v>
      </c>
      <c r="E9">
        <v>0.24079999999999999</v>
      </c>
      <c r="F9">
        <v>5545645</v>
      </c>
      <c r="G9">
        <v>0.24079999999999999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0.45355191256830502</v>
      </c>
      <c r="Q9">
        <f t="shared" ref="Q9" si="21">F9*P9</f>
        <v>2515237.8961748579</v>
      </c>
      <c r="R9">
        <f t="shared" ref="R9" si="22">R10+Q9</f>
        <v>-1835806575.2328787</v>
      </c>
      <c r="S9">
        <f t="shared" ref="S9" si="23">R9/100000</f>
        <v>-18358.065752328788</v>
      </c>
      <c r="T9">
        <f t="shared" ref="T9" si="24">S9/1000</f>
        <v>-18.358065752328788</v>
      </c>
    </row>
    <row r="10" spans="1:20" x14ac:dyDescent="0.25">
      <c r="A10" s="5">
        <v>44583</v>
      </c>
      <c r="B10">
        <v>0.251</v>
      </c>
      <c r="C10">
        <v>0.25430000000000003</v>
      </c>
      <c r="D10">
        <v>0.2177</v>
      </c>
      <c r="E10">
        <v>0.23219999999999999</v>
      </c>
      <c r="F10">
        <v>6601383</v>
      </c>
      <c r="G10">
        <v>0.23219999999999999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-0.207650273224045</v>
      </c>
      <c r="Q10">
        <f t="shared" ref="Q10" si="26">F10*P10</f>
        <v>-1370778.983606566</v>
      </c>
      <c r="R10">
        <f t="shared" ref="R10" si="27">R11+Q10</f>
        <v>-1838321813.1290536</v>
      </c>
      <c r="S10">
        <f t="shared" ref="S10" si="28">R10/100000</f>
        <v>-18383.218131290538</v>
      </c>
      <c r="T10">
        <f t="shared" ref="T10" si="29">S10/1000</f>
        <v>-18.383218131290537</v>
      </c>
    </row>
    <row r="11" spans="1:20" x14ac:dyDescent="0.25">
      <c r="A11" s="5">
        <v>44582</v>
      </c>
      <c r="B11">
        <v>0.28289999999999998</v>
      </c>
      <c r="C11">
        <v>0.2863</v>
      </c>
      <c r="D11">
        <v>0.2487</v>
      </c>
      <c r="E11">
        <v>0.25119999999999998</v>
      </c>
      <c r="F11">
        <v>10524257.439999999</v>
      </c>
      <c r="G11">
        <v>0.25119999999999998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-0.86702127659574602</v>
      </c>
      <c r="Q11">
        <f t="shared" ref="Q11" si="31">F11*P11</f>
        <v>-9124755.1208510771</v>
      </c>
      <c r="R11">
        <f t="shared" ref="R11" si="32">R12+Q11</f>
        <v>-1836951034.145447</v>
      </c>
      <c r="S11">
        <f t="shared" ref="S11" si="33">R11/100000</f>
        <v>-18369.510341454472</v>
      </c>
      <c r="T11">
        <f t="shared" ref="T11" si="34">S11/1000</f>
        <v>-18.369510341454472</v>
      </c>
    </row>
    <row r="12" spans="1:20" x14ac:dyDescent="0.25">
      <c r="A12" s="5">
        <v>44581</v>
      </c>
      <c r="B12">
        <v>0.29859999999999998</v>
      </c>
      <c r="C12">
        <v>0.31130000000000002</v>
      </c>
      <c r="D12">
        <v>0.28149999999999997</v>
      </c>
      <c r="E12">
        <v>0.28320000000000001</v>
      </c>
      <c r="F12">
        <v>4587629.63</v>
      </c>
      <c r="G12">
        <v>0.28320000000000001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-0.88590604026845421</v>
      </c>
      <c r="Q12">
        <f t="shared" ref="Q12" si="36">F12*P12</f>
        <v>-4064208.7997315335</v>
      </c>
      <c r="R12">
        <f t="shared" ref="R12" si="37">R13+Q12</f>
        <v>-1827826279.024596</v>
      </c>
      <c r="S12">
        <f t="shared" ref="S12" si="38">R12/100000</f>
        <v>-18278.262790245961</v>
      </c>
      <c r="T12">
        <f t="shared" ref="T12" si="39">S12/1000</f>
        <v>-18.278262790245961</v>
      </c>
    </row>
    <row r="13" spans="1:20" x14ac:dyDescent="0.25">
      <c r="A13" s="5">
        <v>44580</v>
      </c>
      <c r="B13">
        <v>0.31280000000000002</v>
      </c>
      <c r="C13">
        <v>0.32279999999999998</v>
      </c>
      <c r="D13">
        <v>0.29820000000000002</v>
      </c>
      <c r="E13">
        <v>0.29859999999999998</v>
      </c>
      <c r="F13">
        <v>6155213</v>
      </c>
      <c r="G13">
        <v>0.29859999999999998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-0.96747967479675145</v>
      </c>
      <c r="Q13">
        <f t="shared" ref="Q13" si="41">F13*P13</f>
        <v>-5955043.471544737</v>
      </c>
      <c r="R13">
        <f t="shared" ref="R13" si="42">R14+Q13</f>
        <v>-1823762070.2248645</v>
      </c>
      <c r="S13">
        <f t="shared" ref="S13" si="43">R13/100000</f>
        <v>-18237.620702248645</v>
      </c>
      <c r="T13">
        <f t="shared" ref="T13" si="44">S13/1000</f>
        <v>-18.237620702248645</v>
      </c>
    </row>
    <row r="14" spans="1:20" x14ac:dyDescent="0.25">
      <c r="A14" s="5">
        <v>44579</v>
      </c>
      <c r="B14">
        <v>0.31180000000000002</v>
      </c>
      <c r="C14">
        <v>0.315</v>
      </c>
      <c r="D14">
        <v>0.30049999999999999</v>
      </c>
      <c r="E14">
        <v>0.31259999999999999</v>
      </c>
      <c r="F14">
        <v>2058360</v>
      </c>
      <c r="G14">
        <v>0.31259999999999999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0.66896551724137776</v>
      </c>
      <c r="Q14">
        <f t="shared" ref="Q14" si="46">F14*P14</f>
        <v>1376971.8620689623</v>
      </c>
      <c r="R14">
        <f t="shared" ref="R14" si="47">R15+Q14</f>
        <v>-1817807026.7533197</v>
      </c>
      <c r="S14">
        <f t="shared" ref="S14" si="48">R14/100000</f>
        <v>-18178.070267533196</v>
      </c>
      <c r="T14">
        <f t="shared" ref="T14" si="49">S14/1000</f>
        <v>-18.178070267533197</v>
      </c>
    </row>
    <row r="15" spans="1:20" x14ac:dyDescent="0.25">
      <c r="A15" s="5">
        <v>44578</v>
      </c>
      <c r="B15">
        <v>0.32340000000000002</v>
      </c>
      <c r="C15">
        <v>0.32340000000000002</v>
      </c>
      <c r="D15">
        <v>0.30690000000000001</v>
      </c>
      <c r="E15">
        <v>0.31190000000000001</v>
      </c>
      <c r="F15">
        <v>3953580</v>
      </c>
      <c r="G15">
        <v>0.31190000000000001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-0.39393939393939392</v>
      </c>
      <c r="Q15">
        <f t="shared" ref="Q15" si="51">F15*P15</f>
        <v>-1557470.9090909089</v>
      </c>
      <c r="R15">
        <f t="shared" ref="R15" si="52">R16+Q15</f>
        <v>-1819183998.6153886</v>
      </c>
      <c r="S15">
        <f t="shared" ref="S15" si="53">R15/100000</f>
        <v>-18191.839986153886</v>
      </c>
      <c r="T15">
        <f t="shared" ref="T15" si="54">S15/1000</f>
        <v>-18.191839986153887</v>
      </c>
    </row>
    <row r="16" spans="1:20" x14ac:dyDescent="0.25">
      <c r="A16" s="5">
        <v>44577</v>
      </c>
      <c r="B16">
        <v>0.32400000000000001</v>
      </c>
      <c r="C16">
        <v>0.32700000000000001</v>
      </c>
      <c r="D16">
        <v>0.32040000000000002</v>
      </c>
      <c r="E16">
        <v>0.32290000000000002</v>
      </c>
      <c r="F16">
        <v>2032814</v>
      </c>
      <c r="G16">
        <v>0.32290000000000002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-0.24242424242424115</v>
      </c>
      <c r="Q16">
        <f t="shared" ref="Q16" si="56">F16*P16</f>
        <v>-492803.39393939136</v>
      </c>
      <c r="R16">
        <f t="shared" ref="R16" si="57">R17+Q16</f>
        <v>-1817626527.7062976</v>
      </c>
      <c r="S16">
        <f t="shared" ref="S16" si="58">R16/100000</f>
        <v>-18176.265277062976</v>
      </c>
      <c r="T16">
        <f t="shared" ref="T16" si="59">S16/1000</f>
        <v>-18.176265277062974</v>
      </c>
    </row>
    <row r="17" spans="1:20" x14ac:dyDescent="0.25">
      <c r="A17" s="5">
        <v>44576</v>
      </c>
      <c r="B17">
        <v>0.3322</v>
      </c>
      <c r="C17">
        <v>0.3347</v>
      </c>
      <c r="D17">
        <v>0.3236</v>
      </c>
      <c r="E17">
        <v>0.3246</v>
      </c>
      <c r="F17">
        <v>3769083</v>
      </c>
      <c r="G17">
        <v>0.3246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-0.81981981981981966</v>
      </c>
      <c r="Q17">
        <f t="shared" ref="Q17" si="61">F17*P17</f>
        <v>-3089968.9459459456</v>
      </c>
      <c r="R17">
        <f t="shared" ref="R17" si="62">R18+Q17</f>
        <v>-1817133724.3123581</v>
      </c>
      <c r="S17">
        <f t="shared" ref="S17" si="63">R17/100000</f>
        <v>-18171.33724312358</v>
      </c>
      <c r="T17">
        <f t="shared" ref="T17" si="64">S17/1000</f>
        <v>-18.171337243123581</v>
      </c>
    </row>
    <row r="18" spans="1:20" x14ac:dyDescent="0.25">
      <c r="A18" s="5">
        <v>44575</v>
      </c>
      <c r="B18">
        <v>0.31069999999999998</v>
      </c>
      <c r="C18">
        <v>0.35799999999999998</v>
      </c>
      <c r="D18">
        <v>0.31030000000000002</v>
      </c>
      <c r="E18">
        <v>0.33210000000000001</v>
      </c>
      <c r="F18">
        <v>19170558</v>
      </c>
      <c r="G18">
        <v>0.33210000000000001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-8.5953878406708498E-2</v>
      </c>
      <c r="Q18">
        <f t="shared" ref="Q18" si="66">F18*P18</f>
        <v>-1647783.8113207528</v>
      </c>
      <c r="R18">
        <f t="shared" ref="R18" si="67">R19+Q18</f>
        <v>-1814043755.3664122</v>
      </c>
      <c r="S18">
        <f t="shared" ref="S18" si="68">R18/100000</f>
        <v>-18140.43755366412</v>
      </c>
      <c r="T18">
        <f t="shared" ref="T18" si="69">S18/1000</f>
        <v>-18.140437553664121</v>
      </c>
    </row>
    <row r="19" spans="1:20" x14ac:dyDescent="0.25">
      <c r="A19" s="5">
        <v>44574</v>
      </c>
      <c r="B19">
        <v>0.32640000000000002</v>
      </c>
      <c r="C19">
        <v>0.32729999999999998</v>
      </c>
      <c r="D19">
        <v>0.30919999999999997</v>
      </c>
      <c r="E19">
        <v>0.31069999999999998</v>
      </c>
      <c r="F19">
        <v>3466721</v>
      </c>
      <c r="G19">
        <v>0.31069999999999998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-0.83425414364640871</v>
      </c>
      <c r="Q19">
        <f t="shared" ref="Q19" si="71">F19*P19</f>
        <v>-2892126.3591160215</v>
      </c>
      <c r="R19">
        <f t="shared" ref="R19" si="72">R20+Q19</f>
        <v>-1812395971.5550914</v>
      </c>
      <c r="S19">
        <f t="shared" ref="S19" si="73">R19/100000</f>
        <v>-18123.959715550915</v>
      </c>
      <c r="T19">
        <f t="shared" ref="T19" si="74">S19/1000</f>
        <v>-18.123959715550914</v>
      </c>
    </row>
    <row r="20" spans="1:20" x14ac:dyDescent="0.25">
      <c r="A20" s="5">
        <v>44573</v>
      </c>
      <c r="B20">
        <v>0.3105</v>
      </c>
      <c r="C20">
        <v>0.3286</v>
      </c>
      <c r="D20">
        <v>0.30919999999999997</v>
      </c>
      <c r="E20">
        <v>0.32669999999999999</v>
      </c>
      <c r="F20">
        <v>3564152</v>
      </c>
      <c r="G20">
        <v>0.32669999999999999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0.80412371134020511</v>
      </c>
      <c r="Q20">
        <f t="shared" ref="Q20" si="76">F20*P20</f>
        <v>2866019.1340206149</v>
      </c>
      <c r="R20">
        <f t="shared" ref="R20" si="77">R21+Q20</f>
        <v>-1809503845.1959753</v>
      </c>
      <c r="S20">
        <f t="shared" ref="S20" si="78">R20/100000</f>
        <v>-18095.038451959754</v>
      </c>
      <c r="T20">
        <f t="shared" ref="T20" si="79">S20/1000</f>
        <v>-18.095038451959752</v>
      </c>
    </row>
    <row r="21" spans="1:20" x14ac:dyDescent="0.25">
      <c r="A21" s="5">
        <v>44572</v>
      </c>
      <c r="B21">
        <v>0.29920000000000002</v>
      </c>
      <c r="C21">
        <v>0.32450000000000001</v>
      </c>
      <c r="D21">
        <v>0.29699999999999999</v>
      </c>
      <c r="E21">
        <v>0.31</v>
      </c>
      <c r="F21">
        <v>4615731</v>
      </c>
      <c r="G21">
        <v>0.31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-5.4545454545454543E-2</v>
      </c>
      <c r="Q21">
        <f t="shared" ref="Q21" si="81">F21*P21</f>
        <v>-251767.14545454545</v>
      </c>
      <c r="R21">
        <f t="shared" ref="R21" si="82">R22+Q21</f>
        <v>-1812369864.3299959</v>
      </c>
      <c r="S21">
        <f t="shared" ref="S21" si="83">R21/100000</f>
        <v>-18123.698643299958</v>
      </c>
      <c r="T21">
        <f t="shared" ref="T21" si="84">S21/1000</f>
        <v>-18.12369864329996</v>
      </c>
    </row>
    <row r="22" spans="1:20" x14ac:dyDescent="0.25">
      <c r="A22" s="5">
        <v>44571</v>
      </c>
      <c r="B22">
        <v>0.31580000000000003</v>
      </c>
      <c r="C22">
        <v>0.3196</v>
      </c>
      <c r="D22">
        <v>0.28860000000000002</v>
      </c>
      <c r="E22">
        <v>0.2994</v>
      </c>
      <c r="F22">
        <v>4606878</v>
      </c>
      <c r="G22">
        <v>0.2994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-0.30322580645161379</v>
      </c>
      <c r="Q22">
        <f t="shared" ref="Q22" si="86">F22*P22</f>
        <v>-1396924.2967741976</v>
      </c>
      <c r="R22">
        <f t="shared" ref="R22" si="87">R23+Q22</f>
        <v>-1812118097.1845412</v>
      </c>
      <c r="S22">
        <f t="shared" ref="S22" si="88">R22/100000</f>
        <v>-18121.180971845413</v>
      </c>
      <c r="T22">
        <f t="shared" ref="T22" si="89">S22/1000</f>
        <v>-18.121180971845412</v>
      </c>
    </row>
    <row r="23" spans="1:20" x14ac:dyDescent="0.25">
      <c r="A23" s="5">
        <v>44570</v>
      </c>
      <c r="B23">
        <v>0.31259999999999999</v>
      </c>
      <c r="C23">
        <v>0.32300000000000001</v>
      </c>
      <c r="D23">
        <v>0.30659999999999998</v>
      </c>
      <c r="E23">
        <v>0.31569999999999998</v>
      </c>
      <c r="F23">
        <v>2722205</v>
      </c>
      <c r="G23">
        <v>0.31569999999999998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0.1097560975609735</v>
      </c>
      <c r="Q23">
        <f t="shared" ref="Q23" si="91">F23*P23</f>
        <v>298778.59756096988</v>
      </c>
      <c r="R23">
        <f t="shared" ref="R23" si="92">R24+Q23</f>
        <v>-1810721172.8877671</v>
      </c>
      <c r="S23">
        <f t="shared" ref="S23" si="93">R23/100000</f>
        <v>-18107.211728877672</v>
      </c>
      <c r="T23">
        <f t="shared" ref="T23" si="94">S23/1000</f>
        <v>-18.107211728877672</v>
      </c>
    </row>
    <row r="24" spans="1:20" x14ac:dyDescent="0.25">
      <c r="A24" s="5">
        <v>44569</v>
      </c>
      <c r="B24">
        <v>0.32069999999999999</v>
      </c>
      <c r="C24">
        <v>0.33960000000000001</v>
      </c>
      <c r="D24">
        <v>0.30559999999999998</v>
      </c>
      <c r="E24">
        <v>0.31290000000000001</v>
      </c>
      <c r="F24">
        <v>4820290</v>
      </c>
      <c r="G24">
        <v>0.31290000000000001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-0.57058823529411629</v>
      </c>
      <c r="Q24">
        <f t="shared" ref="Q24" si="96">F24*P24</f>
        <v>-2750400.7647058759</v>
      </c>
      <c r="R24">
        <f t="shared" ref="R24" si="97">R25+Q24</f>
        <v>-1811019951.485328</v>
      </c>
      <c r="S24">
        <f t="shared" ref="S24" si="98">R24/100000</f>
        <v>-18110.199514853281</v>
      </c>
      <c r="T24">
        <f t="shared" ref="T24" si="99">S24/1000</f>
        <v>-18.110199514853281</v>
      </c>
    </row>
    <row r="25" spans="1:20" x14ac:dyDescent="0.25">
      <c r="A25" s="5">
        <v>44568</v>
      </c>
      <c r="B25">
        <v>0.34060000000000001</v>
      </c>
      <c r="C25">
        <v>0.3407</v>
      </c>
      <c r="D25">
        <v>0.317</v>
      </c>
      <c r="E25">
        <v>0.31929999999999997</v>
      </c>
      <c r="F25">
        <v>5472835</v>
      </c>
      <c r="G25">
        <v>0.31929999999999997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-0.80590717299578318</v>
      </c>
      <c r="Q25">
        <f t="shared" ref="Q25" si="101">F25*P25</f>
        <v>-4410596.9831223767</v>
      </c>
      <c r="R25">
        <f t="shared" ref="R25" si="102">R26+Q25</f>
        <v>-1808269550.7206221</v>
      </c>
      <c r="S25">
        <f t="shared" ref="S25" si="103">R25/100000</f>
        <v>-18082.695507206219</v>
      </c>
      <c r="T25">
        <f t="shared" ref="T25" si="104">S25/1000</f>
        <v>-18.082695507206218</v>
      </c>
    </row>
    <row r="26" spans="1:20" x14ac:dyDescent="0.25">
      <c r="A26" s="5">
        <v>44567</v>
      </c>
      <c r="B26">
        <v>0.35520000000000002</v>
      </c>
      <c r="C26">
        <v>0.35870000000000002</v>
      </c>
      <c r="D26">
        <v>0.3342</v>
      </c>
      <c r="E26">
        <v>0.3407</v>
      </c>
      <c r="F26">
        <v>4297550</v>
      </c>
      <c r="G26">
        <v>0.3407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-0.46938775510204084</v>
      </c>
      <c r="Q26">
        <f t="shared" ref="Q26" si="106">F26*P26</f>
        <v>-2017217.3469387756</v>
      </c>
      <c r="R26">
        <f t="shared" ref="R26" si="107">R27+Q26</f>
        <v>-1803858953.7374997</v>
      </c>
      <c r="S26">
        <f t="shared" ref="S26" si="108">R26/100000</f>
        <v>-18038.589537374995</v>
      </c>
      <c r="T26">
        <f t="shared" ref="T26" si="109">S26/1000</f>
        <v>-18.038589537374996</v>
      </c>
    </row>
    <row r="27" spans="1:20" x14ac:dyDescent="0.25">
      <c r="A27" s="5">
        <v>44566</v>
      </c>
      <c r="B27">
        <v>0.36699999999999999</v>
      </c>
      <c r="C27">
        <v>0.38300000000000001</v>
      </c>
      <c r="D27">
        <v>0.34339999999999998</v>
      </c>
      <c r="E27">
        <v>0.35520000000000002</v>
      </c>
      <c r="F27">
        <v>5915239</v>
      </c>
      <c r="G27">
        <v>0.35520000000000002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-0.40404040404040276</v>
      </c>
      <c r="Q27">
        <f t="shared" ref="Q27" si="111">F27*P27</f>
        <v>-2389995.5555555481</v>
      </c>
      <c r="R27">
        <f t="shared" ref="R27" si="112">R28+Q27</f>
        <v>-1801841736.3905609</v>
      </c>
      <c r="S27">
        <f t="shared" ref="S27" si="113">R27/100000</f>
        <v>-18018.41736390561</v>
      </c>
      <c r="T27">
        <f t="shared" ref="T27" si="114">S27/1000</f>
        <v>-18.018417363905609</v>
      </c>
    </row>
    <row r="28" spans="1:20" x14ac:dyDescent="0.25">
      <c r="A28" s="5">
        <v>44565</v>
      </c>
      <c r="B28">
        <v>0.37159999999999999</v>
      </c>
      <c r="C28">
        <v>0.38400000000000001</v>
      </c>
      <c r="D28">
        <v>0.36609999999999998</v>
      </c>
      <c r="E28">
        <v>0.36699999999999999</v>
      </c>
      <c r="F28">
        <v>4467380</v>
      </c>
      <c r="G28">
        <v>0.36699999999999999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-0.89944134078212168</v>
      </c>
      <c r="Q28">
        <f t="shared" ref="Q28" si="116">F28*P28</f>
        <v>-4018146.2569832345</v>
      </c>
      <c r="R28">
        <f t="shared" ref="R28" si="117">R29+Q28</f>
        <v>-1799451740.8350053</v>
      </c>
      <c r="S28">
        <f t="shared" ref="S28" si="118">R28/100000</f>
        <v>-17994.517408350053</v>
      </c>
      <c r="T28">
        <f t="shared" ref="T28" si="119">S28/1000</f>
        <v>-17.994517408350053</v>
      </c>
    </row>
    <row r="29" spans="1:20" x14ac:dyDescent="0.25">
      <c r="A29" s="5">
        <v>44564</v>
      </c>
      <c r="B29">
        <v>0.3821</v>
      </c>
      <c r="C29">
        <v>0.38479999999999998</v>
      </c>
      <c r="D29">
        <v>0.36969999999999997</v>
      </c>
      <c r="E29">
        <v>0.37169999999999997</v>
      </c>
      <c r="F29">
        <v>2921640</v>
      </c>
      <c r="G29">
        <v>0.37169999999999997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-0.73509933774834413</v>
      </c>
      <c r="Q29">
        <f t="shared" ref="Q29" si="121">F29*P29</f>
        <v>-2147695.6291390723</v>
      </c>
      <c r="R29">
        <f t="shared" ref="R29" si="122">R30+Q29</f>
        <v>-1795433594.578022</v>
      </c>
      <c r="S29">
        <f t="shared" ref="S29" si="123">R29/100000</f>
        <v>-17954.335945780222</v>
      </c>
      <c r="T29">
        <f t="shared" ref="T29" si="124">S29/1000</f>
        <v>-17.954335945780223</v>
      </c>
    </row>
    <row r="30" spans="1:20" x14ac:dyDescent="0.25">
      <c r="A30" s="5">
        <v>44563</v>
      </c>
      <c r="B30">
        <v>0.37709999999999999</v>
      </c>
      <c r="C30">
        <v>0.39069999999999999</v>
      </c>
      <c r="D30">
        <v>0.37069999999999997</v>
      </c>
      <c r="E30">
        <v>0.3821</v>
      </c>
      <c r="F30">
        <v>3831642</v>
      </c>
      <c r="G30">
        <v>0.3821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0.14000000000000112</v>
      </c>
      <c r="Q30">
        <f t="shared" ref="Q30" si="126">F30*P30</f>
        <v>536429.88000000431</v>
      </c>
      <c r="R30">
        <f t="shared" ref="R30" si="127">R31+Q30</f>
        <v>-1793285898.9488828</v>
      </c>
      <c r="S30">
        <f t="shared" ref="S30" si="128">R30/100000</f>
        <v>-17932.858989488828</v>
      </c>
      <c r="T30">
        <f t="shared" ref="T30" si="129">S30/1000</f>
        <v>-17.932858989488828</v>
      </c>
    </row>
    <row r="31" spans="1:20" x14ac:dyDescent="0.25">
      <c r="A31" s="5">
        <v>44562</v>
      </c>
      <c r="B31">
        <v>0.36580000000000001</v>
      </c>
      <c r="C31">
        <v>0.37759999999999999</v>
      </c>
      <c r="D31">
        <v>0.36499999999999999</v>
      </c>
      <c r="E31">
        <v>0.37740000000000001</v>
      </c>
      <c r="F31">
        <v>1684552</v>
      </c>
      <c r="G31">
        <v>0.37740000000000001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0.9682539682539717</v>
      </c>
      <c r="Q31">
        <f t="shared" ref="Q31" si="131">F31*P31</f>
        <v>1631074.1587301646</v>
      </c>
      <c r="R31">
        <f t="shared" ref="R31" si="132">R32+Q31</f>
        <v>-1793822328.8288829</v>
      </c>
      <c r="S31">
        <f t="shared" ref="S31" si="133">R31/100000</f>
        <v>-17938.223288288831</v>
      </c>
      <c r="T31">
        <f t="shared" ref="T31" si="134">S31/1000</f>
        <v>-17.938223288288832</v>
      </c>
    </row>
    <row r="32" spans="1:20" x14ac:dyDescent="0.25">
      <c r="A32" s="5">
        <v>44561</v>
      </c>
      <c r="B32">
        <v>0.3705</v>
      </c>
      <c r="C32">
        <v>0.38379999999999997</v>
      </c>
      <c r="D32">
        <v>0.36</v>
      </c>
      <c r="E32">
        <v>0.3659</v>
      </c>
      <c r="F32">
        <v>4060483</v>
      </c>
      <c r="G32">
        <v>0.3659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-0.50420168067226723</v>
      </c>
      <c r="Q32">
        <f t="shared" ref="Q32" si="136">F32*P32</f>
        <v>-2047302.3529411696</v>
      </c>
      <c r="R32">
        <f t="shared" ref="R32" si="137">R33+Q32</f>
        <v>-1795453402.9876132</v>
      </c>
      <c r="S32">
        <f t="shared" ref="S32" si="138">R32/100000</f>
        <v>-17954.534029876133</v>
      </c>
      <c r="T32">
        <f t="shared" ref="T32" si="139">S32/1000</f>
        <v>-17.954534029876132</v>
      </c>
    </row>
    <row r="33" spans="1:20" x14ac:dyDescent="0.25">
      <c r="A33" s="5">
        <v>44560</v>
      </c>
      <c r="B33">
        <v>0.37019999999999997</v>
      </c>
      <c r="C33">
        <v>0.38319999999999999</v>
      </c>
      <c r="D33">
        <v>0.36380000000000001</v>
      </c>
      <c r="E33">
        <v>0.37</v>
      </c>
      <c r="F33">
        <v>3772210</v>
      </c>
      <c r="G33">
        <v>0.37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-0.36082474226804206</v>
      </c>
      <c r="Q33">
        <f t="shared" ref="Q33" si="141">F33*P33</f>
        <v>-1361106.701030931</v>
      </c>
      <c r="R33">
        <f t="shared" ref="R33" si="142">R34+Q33</f>
        <v>-1793406100.6346719</v>
      </c>
      <c r="S33">
        <f t="shared" ref="S33" si="143">R33/100000</f>
        <v>-17934.061006346717</v>
      </c>
      <c r="T33">
        <f t="shared" ref="T33" si="144">S33/1000</f>
        <v>-17.934061006346717</v>
      </c>
    </row>
    <row r="34" spans="1:20" x14ac:dyDescent="0.25">
      <c r="A34" s="5">
        <v>44559</v>
      </c>
      <c r="B34">
        <v>0.38419999999999999</v>
      </c>
      <c r="C34">
        <v>0.39279999999999998</v>
      </c>
      <c r="D34">
        <v>0.36830000000000002</v>
      </c>
      <c r="E34">
        <v>0.36899999999999999</v>
      </c>
      <c r="F34">
        <v>3327524</v>
      </c>
      <c r="G34">
        <v>0.36899999999999999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-0.9428571428571445</v>
      </c>
      <c r="Q34">
        <f t="shared" ref="Q34" si="146">F34*P34</f>
        <v>-3137379.7714285771</v>
      </c>
      <c r="R34">
        <f t="shared" ref="R34" si="147">R35+Q34</f>
        <v>-1792044993.933641</v>
      </c>
      <c r="S34">
        <f t="shared" ref="S34" si="148">R34/100000</f>
        <v>-17920.449939336409</v>
      </c>
      <c r="T34">
        <f t="shared" ref="T34" si="149">S34/1000</f>
        <v>-17.920449939336411</v>
      </c>
    </row>
    <row r="35" spans="1:20" x14ac:dyDescent="0.25">
      <c r="A35" s="5">
        <v>44558</v>
      </c>
      <c r="B35">
        <v>0.41839999999999999</v>
      </c>
      <c r="C35">
        <v>0.41839999999999999</v>
      </c>
      <c r="D35">
        <v>0.38150000000000001</v>
      </c>
      <c r="E35">
        <v>0.38419999999999999</v>
      </c>
      <c r="F35">
        <v>4607291</v>
      </c>
      <c r="G35">
        <v>0.38419999999999999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-0.85365853658536683</v>
      </c>
      <c r="Q35">
        <f t="shared" ref="Q35" si="151">F35*P35</f>
        <v>-3933053.2926829313</v>
      </c>
      <c r="R35">
        <f t="shared" ref="R35" si="152">R36+Q35</f>
        <v>-1788907614.1622124</v>
      </c>
      <c r="S35">
        <f t="shared" ref="S35" si="153">R35/100000</f>
        <v>-17889.076141622125</v>
      </c>
      <c r="T35">
        <f t="shared" ref="T35" si="154">S35/1000</f>
        <v>-17.889076141622123</v>
      </c>
    </row>
    <row r="36" spans="1:20" x14ac:dyDescent="0.25">
      <c r="A36" s="5">
        <v>44557</v>
      </c>
      <c r="B36">
        <v>0.42570000000000002</v>
      </c>
      <c r="C36">
        <v>0.443</v>
      </c>
      <c r="D36">
        <v>0.41570000000000001</v>
      </c>
      <c r="E36">
        <v>0.41849999999999998</v>
      </c>
      <c r="F36">
        <v>16414950</v>
      </c>
      <c r="G36">
        <v>0.41849999999999998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-0.79487179487179704</v>
      </c>
      <c r="Q36">
        <f t="shared" ref="Q36" si="156">F36*P36</f>
        <v>-13047780.769230805</v>
      </c>
      <c r="R36">
        <f t="shared" ref="R36" si="157">R37+Q36</f>
        <v>-1784974560.8695295</v>
      </c>
      <c r="S36">
        <f t="shared" ref="S36" si="158">R36/100000</f>
        <v>-17849.745608695295</v>
      </c>
      <c r="T36">
        <f t="shared" ref="T36" si="159">S36/1000</f>
        <v>-17.849745608695294</v>
      </c>
    </row>
    <row r="37" spans="1:20" x14ac:dyDescent="0.25">
      <c r="A37" s="5">
        <v>44556</v>
      </c>
      <c r="B37">
        <v>0.3972</v>
      </c>
      <c r="C37">
        <v>0.50729999999999997</v>
      </c>
      <c r="D37">
        <v>0.38850000000000001</v>
      </c>
      <c r="E37">
        <v>0.42570000000000002</v>
      </c>
      <c r="F37">
        <v>78187966</v>
      </c>
      <c r="G37">
        <v>0.42570000000000002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-0.37373737373737337</v>
      </c>
      <c r="Q37">
        <f t="shared" ref="Q37" si="161">F37*P37</f>
        <v>-29221765.070707042</v>
      </c>
      <c r="R37">
        <f t="shared" ref="R37" si="162">R38+Q37</f>
        <v>-1771926780.1002986</v>
      </c>
      <c r="S37">
        <f t="shared" ref="S37" si="163">R37/100000</f>
        <v>-17719.267801002985</v>
      </c>
      <c r="T37">
        <f t="shared" ref="T37" si="164">S37/1000</f>
        <v>-17.719267801002985</v>
      </c>
    </row>
    <row r="38" spans="1:20" x14ac:dyDescent="0.25">
      <c r="A38" s="5">
        <v>44555</v>
      </c>
      <c r="B38">
        <v>0.38290000000000002</v>
      </c>
      <c r="C38">
        <v>0.40079999999999999</v>
      </c>
      <c r="D38">
        <v>0.38040000000000002</v>
      </c>
      <c r="E38">
        <v>0.3972</v>
      </c>
      <c r="F38">
        <v>3262175</v>
      </c>
      <c r="G38">
        <v>0.3972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0.64705882352941213</v>
      </c>
      <c r="Q38">
        <f t="shared" ref="Q38" si="166">F38*P38</f>
        <v>2110819.1176470602</v>
      </c>
      <c r="R38">
        <f t="shared" ref="R38" si="167">R39+Q38</f>
        <v>-1742705015.0295916</v>
      </c>
      <c r="S38">
        <f t="shared" ref="S38" si="168">R38/100000</f>
        <v>-17427.050150295916</v>
      </c>
      <c r="T38">
        <f t="shared" ref="T38" si="169">S38/1000</f>
        <v>-17.427050150295916</v>
      </c>
    </row>
    <row r="39" spans="1:20" x14ac:dyDescent="0.25">
      <c r="A39" s="5">
        <v>44554</v>
      </c>
      <c r="B39">
        <v>0.3891</v>
      </c>
      <c r="C39">
        <v>0.40389999999999998</v>
      </c>
      <c r="D39">
        <v>0.38129999999999997</v>
      </c>
      <c r="E39">
        <v>0.38279999999999997</v>
      </c>
      <c r="F39">
        <v>6372160</v>
      </c>
      <c r="G39">
        <v>0.38279999999999997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-0.8672566371681415</v>
      </c>
      <c r="Q39">
        <f t="shared" ref="Q39" si="171">F39*P39</f>
        <v>-5526298.0530973449</v>
      </c>
      <c r="R39">
        <f t="shared" ref="R39" si="172">R40+Q39</f>
        <v>-1744815834.1472387</v>
      </c>
      <c r="S39">
        <f t="shared" ref="S39" si="173">R39/100000</f>
        <v>-17448.158341472386</v>
      </c>
      <c r="T39">
        <f t="shared" ref="T39" si="174">S39/1000</f>
        <v>-17.448158341472386</v>
      </c>
    </row>
    <row r="40" spans="1:20" x14ac:dyDescent="0.25">
      <c r="A40" s="5">
        <v>44553</v>
      </c>
      <c r="B40">
        <v>0.37690000000000001</v>
      </c>
      <c r="C40">
        <v>0.39400000000000002</v>
      </c>
      <c r="D40">
        <v>0.36799999999999999</v>
      </c>
      <c r="E40">
        <v>0.3891</v>
      </c>
      <c r="F40">
        <v>4485082</v>
      </c>
      <c r="G40">
        <v>0.3891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0.6230769230769222</v>
      </c>
      <c r="Q40">
        <f t="shared" ref="Q40" si="176">F40*P40</f>
        <v>2794551.0923076882</v>
      </c>
      <c r="R40">
        <f t="shared" ref="R40" si="177">R41+Q40</f>
        <v>-1739289536.0941415</v>
      </c>
      <c r="S40">
        <f t="shared" ref="S40" si="178">R40/100000</f>
        <v>-17392.895360941417</v>
      </c>
      <c r="T40">
        <f t="shared" ref="T40" si="179">S40/1000</f>
        <v>-17.392895360941417</v>
      </c>
    </row>
    <row r="41" spans="1:20" x14ac:dyDescent="0.25">
      <c r="A41" s="5">
        <v>44552</v>
      </c>
      <c r="B41">
        <v>0.37040000000000001</v>
      </c>
      <c r="C41">
        <v>0.3826</v>
      </c>
      <c r="D41">
        <v>0.36159999999999998</v>
      </c>
      <c r="E41">
        <v>0.37709999999999999</v>
      </c>
      <c r="F41">
        <v>6822487</v>
      </c>
      <c r="G41">
        <v>0.37709999999999999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0.47619047619047616</v>
      </c>
      <c r="Q41">
        <f t="shared" ref="Q41" si="181">F41*P41</f>
        <v>3248803.333333333</v>
      </c>
      <c r="R41">
        <f t="shared" ref="R41" si="182">R42+Q41</f>
        <v>-1742084087.1864493</v>
      </c>
      <c r="S41">
        <f t="shared" ref="S41" si="183">R41/100000</f>
        <v>-17420.840871864493</v>
      </c>
      <c r="T41">
        <f t="shared" ref="T41" si="184">S41/1000</f>
        <v>-17.420840871864492</v>
      </c>
    </row>
    <row r="42" spans="1:20" x14ac:dyDescent="0.25">
      <c r="A42" s="5">
        <v>44551</v>
      </c>
      <c r="B42">
        <v>0.35370000000000001</v>
      </c>
      <c r="C42">
        <v>0.37109999999999999</v>
      </c>
      <c r="D42">
        <v>0.35139999999999999</v>
      </c>
      <c r="E42">
        <v>0.37040000000000001</v>
      </c>
      <c r="F42">
        <v>4814675</v>
      </c>
      <c r="G42">
        <v>0.37040000000000001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0.92893401015228649</v>
      </c>
      <c r="Q42">
        <f t="shared" ref="Q42" si="186">F42*P42</f>
        <v>4472515.3553299597</v>
      </c>
      <c r="R42">
        <f t="shared" ref="R42" si="187">R43+Q42</f>
        <v>-1745332890.5197825</v>
      </c>
      <c r="S42">
        <f t="shared" ref="S42" si="188">R42/100000</f>
        <v>-17453.328905197824</v>
      </c>
      <c r="T42">
        <f t="shared" ref="T42" si="189">S42/1000</f>
        <v>-17.453328905197825</v>
      </c>
    </row>
    <row r="43" spans="1:20" x14ac:dyDescent="0.25">
      <c r="A43" s="5">
        <v>44550</v>
      </c>
      <c r="B43">
        <v>0.3664</v>
      </c>
      <c r="C43">
        <v>0.36880000000000002</v>
      </c>
      <c r="D43">
        <v>0.3402</v>
      </c>
      <c r="E43">
        <v>0.3528</v>
      </c>
      <c r="F43">
        <v>7512845</v>
      </c>
      <c r="G43">
        <v>0.3528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-0.11888111888111931</v>
      </c>
      <c r="Q43">
        <f t="shared" ref="Q43" si="191">F43*P43</f>
        <v>-893135.41958042281</v>
      </c>
      <c r="R43">
        <f t="shared" ref="R43" si="192">R44+Q43</f>
        <v>-1749805405.8751125</v>
      </c>
      <c r="S43">
        <f t="shared" ref="S43" si="193">R43/100000</f>
        <v>-17498.054058751124</v>
      </c>
      <c r="T43">
        <f t="shared" ref="T43" si="194">S43/1000</f>
        <v>-17.498054058751123</v>
      </c>
    </row>
    <row r="44" spans="1:20" x14ac:dyDescent="0.25">
      <c r="A44" s="5">
        <v>44549</v>
      </c>
      <c r="B44">
        <v>0.36159999999999998</v>
      </c>
      <c r="C44">
        <v>0.39079999999999998</v>
      </c>
      <c r="D44">
        <v>0.36130000000000001</v>
      </c>
      <c r="E44">
        <v>0.36580000000000001</v>
      </c>
      <c r="F44">
        <v>9472541</v>
      </c>
      <c r="G44">
        <v>0.36580000000000001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-0.69491525423728762</v>
      </c>
      <c r="Q44">
        <f t="shared" ref="Q44" si="196">F44*P44</f>
        <v>-6582613.2372881304</v>
      </c>
      <c r="R44">
        <f t="shared" ref="R44" si="197">R45+Q44</f>
        <v>-1748912270.4555321</v>
      </c>
      <c r="S44">
        <f t="shared" ref="S44" si="198">R44/100000</f>
        <v>-17489.122704555321</v>
      </c>
      <c r="T44">
        <f t="shared" ref="T44" si="199">S44/1000</f>
        <v>-17.489122704555321</v>
      </c>
    </row>
    <row r="45" spans="1:20" x14ac:dyDescent="0.25">
      <c r="A45" s="5">
        <v>44548</v>
      </c>
      <c r="B45">
        <v>0.35420000000000001</v>
      </c>
      <c r="C45">
        <v>0.38200000000000001</v>
      </c>
      <c r="D45">
        <v>0.3468</v>
      </c>
      <c r="E45">
        <v>0.36220000000000002</v>
      </c>
      <c r="F45">
        <v>9305395</v>
      </c>
      <c r="G45">
        <v>0.36220000000000002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-0.12499999999999882</v>
      </c>
      <c r="Q45">
        <f t="shared" ref="Q45" si="201">F45*P45</f>
        <v>-1163174.3749999891</v>
      </c>
      <c r="R45">
        <f t="shared" ref="R45" si="202">R46+Q45</f>
        <v>-1742329657.2182438</v>
      </c>
      <c r="S45">
        <f t="shared" ref="S45" si="203">R45/100000</f>
        <v>-17423.296572182437</v>
      </c>
      <c r="T45">
        <f t="shared" ref="T45" si="204">S45/1000</f>
        <v>-17.423296572182437</v>
      </c>
    </row>
    <row r="46" spans="1:20" x14ac:dyDescent="0.25">
      <c r="A46" s="5">
        <v>44547</v>
      </c>
      <c r="B46">
        <v>0.3644</v>
      </c>
      <c r="C46">
        <v>0.37419999999999998</v>
      </c>
      <c r="D46">
        <v>0.3417</v>
      </c>
      <c r="E46">
        <v>0.3543</v>
      </c>
      <c r="F46">
        <v>6755265</v>
      </c>
      <c r="G46">
        <v>0.3543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-0.22461538461538397</v>
      </c>
      <c r="Q46">
        <f t="shared" ref="Q46" si="206">F46*P46</f>
        <v>-1517336.4461538417</v>
      </c>
      <c r="R46">
        <f t="shared" ref="R46" si="207">R47+Q46</f>
        <v>-1741166482.8432438</v>
      </c>
      <c r="S46">
        <f t="shared" ref="S46" si="208">R46/100000</f>
        <v>-17411.66482843244</v>
      </c>
      <c r="T46">
        <f t="shared" ref="T46" si="209">S46/1000</f>
        <v>-17.411664828432439</v>
      </c>
    </row>
    <row r="47" spans="1:20" x14ac:dyDescent="0.25">
      <c r="A47" s="5">
        <v>44546</v>
      </c>
      <c r="B47">
        <v>0.3715</v>
      </c>
      <c r="C47">
        <v>0.38340000000000002</v>
      </c>
      <c r="D47">
        <v>0.36330000000000001</v>
      </c>
      <c r="E47">
        <v>0.36449999999999999</v>
      </c>
      <c r="F47">
        <v>4910602</v>
      </c>
      <c r="G47">
        <v>0.36449999999999999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-0.88059701492537523</v>
      </c>
      <c r="Q47">
        <f t="shared" ref="Q47" si="211">F47*P47</f>
        <v>-4324261.4626865778</v>
      </c>
      <c r="R47">
        <f t="shared" ref="R47" si="212">R48+Q47</f>
        <v>-1739649146.39709</v>
      </c>
      <c r="S47">
        <f t="shared" ref="S47" si="213">R47/100000</f>
        <v>-17396.491463970899</v>
      </c>
      <c r="T47">
        <f t="shared" ref="T47" si="214">S47/1000</f>
        <v>-17.3964914639709</v>
      </c>
    </row>
    <row r="48" spans="1:20" x14ac:dyDescent="0.25">
      <c r="A48" s="5">
        <v>44545</v>
      </c>
      <c r="B48">
        <v>0.37209999999999999</v>
      </c>
      <c r="C48">
        <v>0.38080000000000003</v>
      </c>
      <c r="D48">
        <v>0.34760000000000002</v>
      </c>
      <c r="E48">
        <v>0.372</v>
      </c>
      <c r="F48">
        <v>5081296</v>
      </c>
      <c r="G48">
        <v>0.372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0.46987951807228745</v>
      </c>
      <c r="Q48">
        <f t="shared" ref="Q48" si="216">F48*P48</f>
        <v>2387596.9156626421</v>
      </c>
      <c r="R48">
        <f t="shared" ref="R48" si="217">R49+Q48</f>
        <v>-1735324884.9344034</v>
      </c>
      <c r="S48">
        <f t="shared" ref="S48" si="218">R48/100000</f>
        <v>-17353.248849344036</v>
      </c>
      <c r="T48">
        <f t="shared" ref="T48" si="219">S48/1000</f>
        <v>-17.353248849344038</v>
      </c>
    </row>
    <row r="49" spans="1:20" x14ac:dyDescent="0.25">
      <c r="A49" s="5">
        <v>44544</v>
      </c>
      <c r="B49">
        <v>0.3795</v>
      </c>
      <c r="C49">
        <v>0.37959999999999999</v>
      </c>
      <c r="D49">
        <v>0.3574</v>
      </c>
      <c r="E49">
        <v>0.37209999999999999</v>
      </c>
      <c r="F49">
        <v>9581771</v>
      </c>
      <c r="G49">
        <v>0.37209999999999999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0.32432432432432368</v>
      </c>
      <c r="Q49">
        <f t="shared" ref="Q49" si="221">F49*P49</f>
        <v>3107601.4054053994</v>
      </c>
      <c r="R49">
        <f t="shared" ref="R49" si="222">R50+Q49</f>
        <v>-1737712481.8500659</v>
      </c>
      <c r="S49">
        <f t="shared" ref="S49" si="223">R49/100000</f>
        <v>-17377.124818500659</v>
      </c>
      <c r="T49">
        <f t="shared" ref="T49" si="224">S49/1000</f>
        <v>-17.377124818500658</v>
      </c>
    </row>
    <row r="50" spans="1:20" x14ac:dyDescent="0.25">
      <c r="A50" s="5">
        <v>44543</v>
      </c>
      <c r="B50">
        <v>0.4284</v>
      </c>
      <c r="C50">
        <v>0.436</v>
      </c>
      <c r="D50">
        <v>0.375</v>
      </c>
      <c r="E50">
        <v>0.3805</v>
      </c>
      <c r="F50">
        <v>30402867</v>
      </c>
      <c r="G50">
        <v>0.3805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-0.81967213114754078</v>
      </c>
      <c r="Q50">
        <f t="shared" ref="Q50" si="226">F50*P50</f>
        <v>-24920382.786885239</v>
      </c>
      <c r="R50">
        <f t="shared" ref="R50" si="227">R51+Q50</f>
        <v>-1740820083.2554712</v>
      </c>
      <c r="S50">
        <f t="shared" ref="S50" si="228">R50/100000</f>
        <v>-17408.200832554714</v>
      </c>
      <c r="T50">
        <f t="shared" ref="T50" si="229">S50/1000</f>
        <v>-17.408200832554716</v>
      </c>
    </row>
    <row r="51" spans="1:20" x14ac:dyDescent="0.25">
      <c r="A51" s="5">
        <v>44542</v>
      </c>
      <c r="B51">
        <v>0.37990000000000002</v>
      </c>
      <c r="C51">
        <v>0.46100000000000002</v>
      </c>
      <c r="D51">
        <v>0.37759999999999999</v>
      </c>
      <c r="E51">
        <v>0.42899999999999999</v>
      </c>
      <c r="F51">
        <v>16087773</v>
      </c>
      <c r="G51">
        <v>0.42899999999999999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0.23261390887290126</v>
      </c>
      <c r="Q51">
        <f t="shared" ref="Q51" si="231">F51*P51</f>
        <v>3742239.7625899212</v>
      </c>
      <c r="R51">
        <f t="shared" ref="R51" si="232">R52+Q51</f>
        <v>-1715899700.468586</v>
      </c>
      <c r="S51">
        <f t="shared" ref="S51" si="233">R51/100000</f>
        <v>-17158.997004685858</v>
      </c>
      <c r="T51">
        <f t="shared" ref="T51" si="234">S51/1000</f>
        <v>-17.158997004685858</v>
      </c>
    </row>
    <row r="52" spans="1:20" x14ac:dyDescent="0.25">
      <c r="A52" s="5">
        <v>44541</v>
      </c>
      <c r="B52">
        <v>0.36749999999999999</v>
      </c>
      <c r="C52">
        <v>0.37430000000000002</v>
      </c>
      <c r="D52">
        <v>0.36680000000000001</v>
      </c>
      <c r="E52">
        <v>0.37080000000000002</v>
      </c>
      <c r="F52">
        <v>682260</v>
      </c>
      <c r="G52">
        <v>0.37080000000000002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6.6666666666666666E-2</v>
      </c>
      <c r="Q52">
        <f t="shared" ref="Q52" si="236">F52*P52</f>
        <v>45484</v>
      </c>
      <c r="R52">
        <f t="shared" ref="R52" si="237">R53+Q52</f>
        <v>-1719641940.2311759</v>
      </c>
      <c r="S52">
        <f t="shared" ref="S52" si="238">R52/100000</f>
        <v>-17196.41940231176</v>
      </c>
      <c r="T52">
        <f t="shared" ref="T52" si="239">S52/1000</f>
        <v>-17.196419402311761</v>
      </c>
    </row>
    <row r="53" spans="1:20" x14ac:dyDescent="0.25">
      <c r="A53" s="5">
        <v>44540</v>
      </c>
      <c r="B53">
        <v>0.3821</v>
      </c>
      <c r="C53">
        <v>0.39889999999999998</v>
      </c>
      <c r="D53">
        <v>0.36509999999999998</v>
      </c>
      <c r="E53">
        <v>0.36709999999999998</v>
      </c>
      <c r="F53">
        <v>3748700</v>
      </c>
      <c r="G53">
        <v>0.36709999999999998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-0.88165680473372765</v>
      </c>
      <c r="Q53">
        <f t="shared" ref="Q53" si="241">F53*P53</f>
        <v>-3305066.8639053251</v>
      </c>
      <c r="R53">
        <f t="shared" ref="R53" si="242">R54+Q53</f>
        <v>-1719687424.2311759</v>
      </c>
      <c r="S53">
        <f t="shared" ref="S53" si="243">R53/100000</f>
        <v>-17196.874242311758</v>
      </c>
      <c r="T53">
        <f t="shared" ref="T53" si="244">S53/1000</f>
        <v>-17.196874242311758</v>
      </c>
    </row>
    <row r="54" spans="1:20" x14ac:dyDescent="0.25">
      <c r="A54" s="5">
        <v>44539</v>
      </c>
      <c r="B54">
        <v>0.41749999999999998</v>
      </c>
      <c r="C54">
        <v>0.42699999999999999</v>
      </c>
      <c r="D54">
        <v>0.38</v>
      </c>
      <c r="E54">
        <v>0.38190000000000002</v>
      </c>
      <c r="F54">
        <v>4340192</v>
      </c>
      <c r="G54">
        <v>0.38190000000000002</v>
      </c>
      <c r="L54" t="s">
        <v>8</v>
      </c>
      <c r="M54" t="s">
        <v>7</v>
      </c>
      <c r="N54" t="s">
        <v>7</v>
      </c>
      <c r="P54">
        <f t="shared" ref="P54" si="245">IF(C54=D54,0,((E54-D54)-(C54-E54))/(C54-D54))</f>
        <v>-0.91914893617021221</v>
      </c>
      <c r="Q54">
        <f t="shared" ref="Q54" si="246">F54*P54</f>
        <v>-3989282.8595744655</v>
      </c>
      <c r="R54">
        <f t="shared" ref="R54" si="247">R55+Q54</f>
        <v>-1716382357.3672705</v>
      </c>
      <c r="S54">
        <f t="shared" ref="S54" si="248">R54/100000</f>
        <v>-17163.823573672704</v>
      </c>
      <c r="T54">
        <f t="shared" ref="T54" si="249">S54/1000</f>
        <v>-17.163823573672705</v>
      </c>
    </row>
    <row r="55" spans="1:20" x14ac:dyDescent="0.25">
      <c r="A55" s="5">
        <v>44538</v>
      </c>
      <c r="B55">
        <v>0.4027</v>
      </c>
      <c r="C55">
        <v>0.42430000000000001</v>
      </c>
      <c r="D55">
        <v>0.39639999999999997</v>
      </c>
      <c r="E55">
        <v>0.41760000000000003</v>
      </c>
      <c r="F55">
        <v>4222729</v>
      </c>
      <c r="G55">
        <v>0.41760000000000003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0.51971326164874732</v>
      </c>
      <c r="Q55">
        <f t="shared" ref="Q55" si="251">F55*P55</f>
        <v>2194608.2616487532</v>
      </c>
      <c r="R55">
        <f t="shared" ref="R55" si="252">R56+Q55</f>
        <v>-1712393074.5076959</v>
      </c>
      <c r="S55">
        <f t="shared" ref="S55" si="253">R55/100000</f>
        <v>-17123.930745076959</v>
      </c>
      <c r="T55">
        <f t="shared" ref="T55" si="254">S55/1000</f>
        <v>-17.123930745076958</v>
      </c>
    </row>
    <row r="56" spans="1:20" x14ac:dyDescent="0.25">
      <c r="A56" s="5">
        <v>44537</v>
      </c>
      <c r="B56">
        <v>0.40860000000000002</v>
      </c>
      <c r="C56">
        <v>0.42099999999999999</v>
      </c>
      <c r="D56">
        <v>0.39829999999999999</v>
      </c>
      <c r="E56">
        <v>0.40289999999999998</v>
      </c>
      <c r="F56">
        <v>4886292</v>
      </c>
      <c r="G56">
        <v>0.40289999999999998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-0.59471365638766582</v>
      </c>
      <c r="Q56">
        <f t="shared" ref="Q56" si="256">F56*P56</f>
        <v>-2905944.5814978005</v>
      </c>
      <c r="R56">
        <f t="shared" ref="R56" si="257">R57+Q56</f>
        <v>-1714587682.7693446</v>
      </c>
      <c r="S56">
        <f t="shared" ref="S56" si="258">R56/100000</f>
        <v>-17145.876827693446</v>
      </c>
      <c r="T56">
        <f t="shared" ref="T56" si="259">S56/1000</f>
        <v>-17.145876827693446</v>
      </c>
    </row>
    <row r="57" spans="1:20" x14ac:dyDescent="0.25">
      <c r="A57" s="5">
        <v>44536</v>
      </c>
      <c r="B57">
        <v>0.4012</v>
      </c>
      <c r="C57">
        <v>0.4118</v>
      </c>
      <c r="D57">
        <v>0.36630000000000001</v>
      </c>
      <c r="E57">
        <v>0.40960000000000002</v>
      </c>
      <c r="F57">
        <v>5984527</v>
      </c>
      <c r="G57">
        <v>0.40960000000000002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0.9032967032967042</v>
      </c>
      <c r="Q57">
        <f t="shared" ref="Q57" si="261">F57*P57</f>
        <v>5405803.5098901149</v>
      </c>
      <c r="R57">
        <f t="shared" ref="R57" si="262">R58+Q57</f>
        <v>-1711681738.1878467</v>
      </c>
      <c r="S57">
        <f t="shared" ref="S57" si="263">R57/100000</f>
        <v>-17116.817381878467</v>
      </c>
      <c r="T57">
        <f t="shared" ref="T57" si="264">S57/1000</f>
        <v>-17.116817381878466</v>
      </c>
    </row>
    <row r="58" spans="1:20" x14ac:dyDescent="0.25">
      <c r="A58" s="5">
        <v>44535</v>
      </c>
      <c r="B58">
        <v>0.42449999999999999</v>
      </c>
      <c r="C58">
        <v>0.435</v>
      </c>
      <c r="D58">
        <v>0.38119999999999998</v>
      </c>
      <c r="E58">
        <v>0.40060000000000001</v>
      </c>
      <c r="F58">
        <v>8108805</v>
      </c>
      <c r="G58">
        <v>0.40060000000000001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-0.27881040892193221</v>
      </c>
      <c r="Q58">
        <f t="shared" ref="Q58" si="266">F58*P58</f>
        <v>-2260819.2379182084</v>
      </c>
      <c r="R58">
        <f t="shared" ref="R58" si="267">R59+Q58</f>
        <v>-1717087541.6977367</v>
      </c>
      <c r="S58">
        <f t="shared" ref="S58" si="268">R58/100000</f>
        <v>-17170.875416977367</v>
      </c>
      <c r="T58">
        <f t="shared" ref="T58" si="269">S58/1000</f>
        <v>-17.170875416977367</v>
      </c>
    </row>
    <row r="59" spans="1:20" x14ac:dyDescent="0.25">
      <c r="A59" s="5">
        <v>44534</v>
      </c>
      <c r="B59">
        <v>0.46560000000000001</v>
      </c>
      <c r="C59">
        <v>0.47060000000000002</v>
      </c>
      <c r="D59">
        <v>0.3805</v>
      </c>
      <c r="E59">
        <v>0.42449999999999999</v>
      </c>
      <c r="F59">
        <v>12194976</v>
      </c>
      <c r="G59">
        <v>0.42449999999999999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-2.3307436182020486E-2</v>
      </c>
      <c r="Q59">
        <f t="shared" ref="Q59" si="271">F59*P59</f>
        <v>-284233.62486127147</v>
      </c>
      <c r="R59">
        <f t="shared" ref="R59" si="272">R60+Q59</f>
        <v>-1714826722.4598186</v>
      </c>
      <c r="S59">
        <f t="shared" ref="S59" si="273">R59/100000</f>
        <v>-17148.267224598185</v>
      </c>
      <c r="T59">
        <f t="shared" ref="T59" si="274">S59/1000</f>
        <v>-17.148267224598186</v>
      </c>
    </row>
    <row r="60" spans="1:20" x14ac:dyDescent="0.25">
      <c r="A60" s="5">
        <v>44533</v>
      </c>
      <c r="B60">
        <v>0.48080000000000001</v>
      </c>
      <c r="C60">
        <v>0.5323</v>
      </c>
      <c r="D60">
        <v>0.45150000000000001</v>
      </c>
      <c r="E60">
        <v>0.46479999999999999</v>
      </c>
      <c r="F60">
        <v>21645408</v>
      </c>
      <c r="G60">
        <v>0.46479999999999999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-0.67079207920792128</v>
      </c>
      <c r="Q60">
        <f t="shared" ref="Q60" si="276">F60*P60</f>
        <v>-14519568.237623774</v>
      </c>
      <c r="R60">
        <f t="shared" ref="R60" si="277">R61+Q60</f>
        <v>-1714542488.8349574</v>
      </c>
      <c r="S60">
        <f t="shared" ref="S60" si="278">R60/100000</f>
        <v>-17145.424888349575</v>
      </c>
      <c r="T60">
        <f t="shared" ref="T60" si="279">S60/1000</f>
        <v>-17.145424888349574</v>
      </c>
    </row>
    <row r="61" spans="1:20" x14ac:dyDescent="0.25">
      <c r="A61" s="5">
        <v>44532</v>
      </c>
      <c r="B61">
        <v>0.49030000000000001</v>
      </c>
      <c r="C61">
        <v>0.4904</v>
      </c>
      <c r="D61">
        <v>0.46700000000000003</v>
      </c>
      <c r="E61">
        <v>0.48070000000000002</v>
      </c>
      <c r="F61">
        <v>6915351</v>
      </c>
      <c r="G61">
        <v>0.48070000000000002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0.17094017094017128</v>
      </c>
      <c r="Q61">
        <f t="shared" ref="Q61" si="281">F61*P61</f>
        <v>1182111.2820512843</v>
      </c>
      <c r="R61">
        <f t="shared" ref="R61" si="282">R62+Q61</f>
        <v>-1700022920.5973337</v>
      </c>
      <c r="S61">
        <f t="shared" ref="S61" si="283">R61/100000</f>
        <v>-17000.229205973337</v>
      </c>
      <c r="T61">
        <f t="shared" ref="T61" si="284">S61/1000</f>
        <v>-17.000229205973337</v>
      </c>
    </row>
    <row r="62" spans="1:20" x14ac:dyDescent="0.25">
      <c r="A62" s="5">
        <v>44531</v>
      </c>
      <c r="B62">
        <v>0.49530000000000002</v>
      </c>
      <c r="C62">
        <v>0.51149999999999995</v>
      </c>
      <c r="D62">
        <v>0.48530000000000001</v>
      </c>
      <c r="E62">
        <v>0.49020000000000002</v>
      </c>
      <c r="F62">
        <v>10274046</v>
      </c>
      <c r="G62">
        <v>0.49020000000000002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-0.62595419847328049</v>
      </c>
      <c r="Q62">
        <f t="shared" ref="Q62" si="286">F62*P62</f>
        <v>-6431082.2290076138</v>
      </c>
      <c r="R62">
        <f t="shared" ref="R62" si="287">R63+Q62</f>
        <v>-1701205031.879385</v>
      </c>
      <c r="S62">
        <f t="shared" ref="S62" si="288">R62/100000</f>
        <v>-17012.050318793848</v>
      </c>
      <c r="T62">
        <f t="shared" ref="T62" si="289">S62/1000</f>
        <v>-17.012050318793847</v>
      </c>
    </row>
    <row r="63" spans="1:20" x14ac:dyDescent="0.25">
      <c r="A63" s="5">
        <v>44530</v>
      </c>
      <c r="B63">
        <v>0.51500000000000001</v>
      </c>
      <c r="C63">
        <v>0.53180000000000005</v>
      </c>
      <c r="D63">
        <v>0.49430000000000002</v>
      </c>
      <c r="E63">
        <v>0.4955</v>
      </c>
      <c r="F63">
        <v>9772720</v>
      </c>
      <c r="G63">
        <v>0.4955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-0.93600000000000116</v>
      </c>
      <c r="Q63">
        <f t="shared" ref="Q63" si="291">F63*P63</f>
        <v>-9147265.9200000111</v>
      </c>
      <c r="R63">
        <f t="shared" ref="R63" si="292">R64+Q63</f>
        <v>-1694773949.6503773</v>
      </c>
      <c r="S63">
        <f t="shared" ref="S63" si="293">R63/100000</f>
        <v>-16947.739496503771</v>
      </c>
      <c r="T63">
        <f t="shared" ref="T63" si="294">S63/1000</f>
        <v>-16.947739496503772</v>
      </c>
    </row>
    <row r="64" spans="1:20" x14ac:dyDescent="0.25">
      <c r="A64" s="5">
        <v>44529</v>
      </c>
      <c r="B64">
        <v>0.50260000000000005</v>
      </c>
      <c r="C64">
        <v>0.54949999999999999</v>
      </c>
      <c r="D64">
        <v>0.49880000000000002</v>
      </c>
      <c r="E64">
        <v>0.51400000000000001</v>
      </c>
      <c r="F64">
        <v>10452932</v>
      </c>
      <c r="G64">
        <v>0.51400000000000001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-0.40039447731755418</v>
      </c>
      <c r="Q64">
        <f t="shared" ref="Q64" si="296">F64*P64</f>
        <v>-4185296.2445759363</v>
      </c>
      <c r="R64">
        <f t="shared" ref="R64" si="297">R65+Q64</f>
        <v>-1685626683.7303772</v>
      </c>
      <c r="S64">
        <f t="shared" ref="S64" si="298">R64/100000</f>
        <v>-16856.26683730377</v>
      </c>
      <c r="T64">
        <f t="shared" ref="T64" si="299">S64/1000</f>
        <v>-16.856266837303771</v>
      </c>
    </row>
    <row r="65" spans="1:20" x14ac:dyDescent="0.25">
      <c r="A65" s="5">
        <v>44528</v>
      </c>
      <c r="B65">
        <v>0.51129999999999998</v>
      </c>
      <c r="C65">
        <v>0.51129999999999998</v>
      </c>
      <c r="D65">
        <v>0.4662</v>
      </c>
      <c r="E65">
        <v>0.50160000000000005</v>
      </c>
      <c r="F65">
        <v>8358615</v>
      </c>
      <c r="G65">
        <v>0.50160000000000005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0.56984478935698724</v>
      </c>
      <c r="Q65">
        <f t="shared" ref="Q65" si="301">F65*P65</f>
        <v>4763113.2039911542</v>
      </c>
      <c r="R65">
        <f t="shared" ref="R65" si="302">R66+Q65</f>
        <v>-1681441387.4858012</v>
      </c>
      <c r="S65">
        <f t="shared" ref="S65" si="303">R65/100000</f>
        <v>-16814.413874858012</v>
      </c>
      <c r="T65">
        <f t="shared" ref="T65" si="304">S65/1000</f>
        <v>-16.814413874858012</v>
      </c>
    </row>
    <row r="66" spans="1:20" x14ac:dyDescent="0.25">
      <c r="A66" s="5">
        <v>44527</v>
      </c>
      <c r="B66">
        <v>0.48349999999999999</v>
      </c>
      <c r="C66">
        <v>0.54769999999999996</v>
      </c>
      <c r="D66">
        <v>0.48089999999999999</v>
      </c>
      <c r="E66">
        <v>0.51180000000000003</v>
      </c>
      <c r="F66">
        <v>24292197</v>
      </c>
      <c r="G66">
        <v>0.51180000000000003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-7.4850299401196044E-2</v>
      </c>
      <c r="Q66">
        <f t="shared" ref="Q66" si="306">F66*P66</f>
        <v>-1818278.2185628363</v>
      </c>
      <c r="R66">
        <f t="shared" ref="R66" si="307">R67+Q66</f>
        <v>-1686204500.6897924</v>
      </c>
      <c r="S66">
        <f t="shared" ref="S66" si="308">R66/100000</f>
        <v>-16862.045006897923</v>
      </c>
      <c r="T66">
        <f t="shared" ref="T66" si="309">S66/1000</f>
        <v>-16.862045006897922</v>
      </c>
    </row>
    <row r="67" spans="1:20" x14ac:dyDescent="0.25">
      <c r="A67" s="5">
        <v>44526</v>
      </c>
      <c r="B67">
        <v>0.51990000000000003</v>
      </c>
      <c r="C67">
        <v>0.57489999999999997</v>
      </c>
      <c r="D67">
        <v>0.46750000000000003</v>
      </c>
      <c r="E67">
        <v>0.48139999999999999</v>
      </c>
      <c r="F67">
        <v>30728414</v>
      </c>
      <c r="G67">
        <v>0.48139999999999999</v>
      </c>
      <c r="L67" t="s">
        <v>7</v>
      </c>
      <c r="M67" t="s">
        <v>8</v>
      </c>
      <c r="N67" t="s">
        <v>7</v>
      </c>
      <c r="P67">
        <f t="shared" ref="P67" si="310">IF(C67=D67,0,((E67-D67)-(C67-E67))/(C67-D67))</f>
        <v>-0.7411545623836131</v>
      </c>
      <c r="Q67">
        <f t="shared" ref="Q67" si="311">F67*P67</f>
        <v>-22774504.230912492</v>
      </c>
      <c r="R67">
        <f t="shared" ref="R67" si="312">R68+Q67</f>
        <v>-1684386222.4712296</v>
      </c>
      <c r="S67">
        <f t="shared" ref="S67" si="313">R67/100000</f>
        <v>-16843.862224712295</v>
      </c>
      <c r="T67">
        <f t="shared" ref="T67" si="314">S67/1000</f>
        <v>-16.843862224712296</v>
      </c>
    </row>
    <row r="68" spans="1:20" x14ac:dyDescent="0.25">
      <c r="A68" s="5">
        <v>44525</v>
      </c>
      <c r="B68">
        <v>0.47770000000000001</v>
      </c>
      <c r="C68">
        <v>0.53459999999999996</v>
      </c>
      <c r="D68">
        <v>0.47420000000000001</v>
      </c>
      <c r="E68">
        <v>0.51990000000000003</v>
      </c>
      <c r="F68">
        <v>19310812</v>
      </c>
      <c r="G68">
        <v>0.51990000000000003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0.51324503311258451</v>
      </c>
      <c r="Q68">
        <f t="shared" ref="Q68" si="316">F68*P68</f>
        <v>9911178.3443708941</v>
      </c>
      <c r="R68">
        <f t="shared" ref="R68" si="317">R69+Q68</f>
        <v>-1661611718.2403171</v>
      </c>
      <c r="S68">
        <f t="shared" ref="S68" si="318">R68/100000</f>
        <v>-16616.11718240317</v>
      </c>
      <c r="T68">
        <f t="shared" ref="T68" si="319">S68/1000</f>
        <v>-16.616117182403169</v>
      </c>
    </row>
    <row r="69" spans="1:20" x14ac:dyDescent="0.25">
      <c r="A69" s="5">
        <v>44524</v>
      </c>
      <c r="B69">
        <v>0.502</v>
      </c>
      <c r="C69">
        <v>0.50409999999999999</v>
      </c>
      <c r="D69">
        <v>0.48549999999999999</v>
      </c>
      <c r="E69">
        <v>0.48720000000000002</v>
      </c>
      <c r="F69">
        <v>3556708</v>
      </c>
      <c r="G69">
        <v>0.48720000000000002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-0.81720430107526509</v>
      </c>
      <c r="Q69">
        <f t="shared" ref="Q69" si="321">F69*P69</f>
        <v>-2906557.0752688041</v>
      </c>
      <c r="R69">
        <f t="shared" ref="R69" si="322">R70+Q69</f>
        <v>-1671522896.5846879</v>
      </c>
      <c r="S69">
        <f t="shared" ref="S69" si="323">R69/100000</f>
        <v>-16715.22896584688</v>
      </c>
      <c r="T69">
        <f t="shared" ref="T69" si="324">S69/1000</f>
        <v>-16.71522896584688</v>
      </c>
    </row>
    <row r="70" spans="1:20" x14ac:dyDescent="0.25">
      <c r="A70" s="5">
        <v>44523</v>
      </c>
      <c r="B70">
        <v>0.50619999999999998</v>
      </c>
      <c r="C70">
        <v>0.52300000000000002</v>
      </c>
      <c r="D70">
        <v>0.48549999999999999</v>
      </c>
      <c r="E70">
        <v>0.50129999999999997</v>
      </c>
      <c r="F70">
        <v>17737802</v>
      </c>
      <c r="G70">
        <v>0.50129999999999997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-0.1573333333333351</v>
      </c>
      <c r="Q70">
        <f t="shared" ref="Q70" si="326">F70*P70</f>
        <v>-2790747.5146666979</v>
      </c>
      <c r="R70">
        <f t="shared" ref="R70" si="327">R71+Q70</f>
        <v>-1668616339.5094192</v>
      </c>
      <c r="S70">
        <f t="shared" ref="S70" si="328">R70/100000</f>
        <v>-16686.16339509419</v>
      </c>
      <c r="T70">
        <f t="shared" ref="T70" si="329">S70/1000</f>
        <v>-16.686163395094191</v>
      </c>
    </row>
    <row r="71" spans="1:20" x14ac:dyDescent="0.25">
      <c r="A71" s="5">
        <v>44522</v>
      </c>
      <c r="B71">
        <v>0.51490000000000002</v>
      </c>
      <c r="C71">
        <v>0.53969999999999996</v>
      </c>
      <c r="D71">
        <v>0.49980000000000002</v>
      </c>
      <c r="E71">
        <v>0.50619999999999998</v>
      </c>
      <c r="F71">
        <v>14085622</v>
      </c>
      <c r="G71">
        <v>0.50619999999999998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-0.67919799498747013</v>
      </c>
      <c r="Q71">
        <f t="shared" ref="Q71" si="331">F71*P71</f>
        <v>-9566926.2205513995</v>
      </c>
      <c r="R71">
        <f t="shared" ref="R71" si="332">R72+Q71</f>
        <v>-1665825591.9947524</v>
      </c>
      <c r="S71">
        <f t="shared" ref="S71" si="333">R71/100000</f>
        <v>-16658.255919947525</v>
      </c>
      <c r="T71">
        <f t="shared" ref="T71" si="334">S71/1000</f>
        <v>-16.658255919947525</v>
      </c>
    </row>
    <row r="72" spans="1:20" x14ac:dyDescent="0.25">
      <c r="A72" s="5">
        <v>44521</v>
      </c>
      <c r="B72">
        <v>0.53879999999999995</v>
      </c>
      <c r="C72">
        <v>0.54630000000000001</v>
      </c>
      <c r="D72">
        <v>0.51280000000000003</v>
      </c>
      <c r="E72">
        <v>0.51370000000000005</v>
      </c>
      <c r="F72">
        <v>14091135</v>
      </c>
      <c r="G72">
        <v>0.51370000000000005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-0.94626865671641713</v>
      </c>
      <c r="Q72">
        <f t="shared" ref="Q72" si="336">F72*P72</f>
        <v>-13333999.388059691</v>
      </c>
      <c r="R72">
        <f t="shared" ref="R72" si="337">R73+Q72</f>
        <v>-1656258665.7742009</v>
      </c>
      <c r="S72">
        <f t="shared" ref="S72" si="338">R72/100000</f>
        <v>-16562.586657742009</v>
      </c>
      <c r="T72">
        <f t="shared" ref="T72" si="339">S72/1000</f>
        <v>-16.56258665774201</v>
      </c>
    </row>
    <row r="73" spans="1:20" x14ac:dyDescent="0.25">
      <c r="A73" s="5">
        <v>44520</v>
      </c>
      <c r="B73">
        <v>0.53129999999999999</v>
      </c>
      <c r="C73">
        <v>0.55840000000000001</v>
      </c>
      <c r="D73">
        <v>0.51900000000000002</v>
      </c>
      <c r="E73">
        <v>0.53879999999999995</v>
      </c>
      <c r="F73">
        <v>13828016</v>
      </c>
      <c r="G73">
        <v>0.53879999999999995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5.0761421319763201E-3</v>
      </c>
      <c r="Q73">
        <f t="shared" ref="Q73" si="341">F73*P73</f>
        <v>70192.974619242668</v>
      </c>
      <c r="R73">
        <f t="shared" ref="R73" si="342">R74+Q73</f>
        <v>-1642924666.3861413</v>
      </c>
      <c r="S73">
        <f t="shared" ref="S73" si="343">R73/100000</f>
        <v>-16429.246663861413</v>
      </c>
      <c r="T73">
        <f t="shared" ref="T73" si="344">S73/1000</f>
        <v>-16.429246663861413</v>
      </c>
    </row>
    <row r="74" spans="1:20" x14ac:dyDescent="0.25">
      <c r="A74" s="5">
        <v>44519</v>
      </c>
      <c r="B74">
        <v>0.49769999999999998</v>
      </c>
      <c r="C74">
        <v>0.54300000000000004</v>
      </c>
      <c r="D74">
        <v>0.48920000000000002</v>
      </c>
      <c r="E74">
        <v>0.53210000000000002</v>
      </c>
      <c r="F74">
        <v>14783560</v>
      </c>
      <c r="G74">
        <v>0.53210000000000002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0.59479553903345661</v>
      </c>
      <c r="Q74">
        <f t="shared" ref="Q74" si="346">F74*P74</f>
        <v>8793195.5390334483</v>
      </c>
      <c r="R74">
        <f t="shared" ref="R74" si="347">R75+Q74</f>
        <v>-1642994859.3607605</v>
      </c>
      <c r="S74">
        <f t="shared" ref="S74" si="348">R74/100000</f>
        <v>-16429.948593607605</v>
      </c>
      <c r="T74">
        <f t="shared" ref="T74" si="349">S74/1000</f>
        <v>-16.429948593607605</v>
      </c>
    </row>
    <row r="75" spans="1:20" x14ac:dyDescent="0.25">
      <c r="A75" s="5">
        <v>44518</v>
      </c>
      <c r="B75">
        <v>0.56000000000000005</v>
      </c>
      <c r="C75">
        <v>0.57320000000000004</v>
      </c>
      <c r="D75">
        <v>0.49199999999999999</v>
      </c>
      <c r="E75">
        <v>0.49769999999999998</v>
      </c>
      <c r="F75">
        <v>16878272</v>
      </c>
      <c r="G75">
        <v>0.49769999999999998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-0.85960591133004982</v>
      </c>
      <c r="Q75">
        <f t="shared" ref="Q75" si="351">F75*P75</f>
        <v>-14508662.384236462</v>
      </c>
      <c r="R75">
        <f t="shared" ref="R75" si="352">R76+Q75</f>
        <v>-1651788054.8997939</v>
      </c>
      <c r="S75">
        <f t="shared" ref="S75" si="353">R75/100000</f>
        <v>-16517.880548997939</v>
      </c>
      <c r="T75">
        <f t="shared" ref="T75" si="354">S75/1000</f>
        <v>-16.51788054899794</v>
      </c>
    </row>
    <row r="76" spans="1:20" x14ac:dyDescent="0.25">
      <c r="A76" s="5">
        <v>44517</v>
      </c>
      <c r="B76">
        <v>0.55559999999999998</v>
      </c>
      <c r="C76">
        <v>0.59219999999999995</v>
      </c>
      <c r="D76">
        <v>0.5323</v>
      </c>
      <c r="E76">
        <v>0.5595</v>
      </c>
      <c r="F76">
        <v>23557008</v>
      </c>
      <c r="G76">
        <v>0.5595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-9.1819699499164506E-2</v>
      </c>
      <c r="Q76">
        <f t="shared" ref="Q76" si="356">F76*P76</f>
        <v>-2162997.3956594141</v>
      </c>
      <c r="R76">
        <f t="shared" ref="R76" si="357">R77+Q76</f>
        <v>-1637279392.5155573</v>
      </c>
      <c r="S76">
        <f t="shared" ref="S76" si="358">R76/100000</f>
        <v>-16372.793925155573</v>
      </c>
      <c r="T76">
        <f t="shared" ref="T76" si="359">S76/1000</f>
        <v>-16.372793925155573</v>
      </c>
    </row>
    <row r="77" spans="1:20" x14ac:dyDescent="0.25">
      <c r="A77" s="5">
        <v>44516</v>
      </c>
      <c r="B77">
        <v>0.61639999999999995</v>
      </c>
      <c r="C77">
        <v>0.61809999999999998</v>
      </c>
      <c r="D77">
        <v>0.53659999999999997</v>
      </c>
      <c r="E77">
        <v>0.55549999999999999</v>
      </c>
      <c r="F77">
        <v>20007551</v>
      </c>
      <c r="G77">
        <v>0.55549999999999999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-0.53619631901840437</v>
      </c>
      <c r="Q77">
        <f t="shared" ref="Q77" si="361">F77*P77</f>
        <v>-10727975.198772995</v>
      </c>
      <c r="R77">
        <f t="shared" ref="R77" si="362">R78+Q77</f>
        <v>-1635116395.1198978</v>
      </c>
      <c r="S77">
        <f t="shared" ref="S77" si="363">R77/100000</f>
        <v>-16351.163951198978</v>
      </c>
      <c r="T77">
        <f t="shared" ref="T77" si="364">S77/1000</f>
        <v>-16.351163951198977</v>
      </c>
    </row>
    <row r="78" spans="1:20" x14ac:dyDescent="0.25">
      <c r="A78" s="5">
        <v>44515</v>
      </c>
      <c r="B78">
        <v>0.65590000000000004</v>
      </c>
      <c r="C78">
        <v>0.66239999999999999</v>
      </c>
      <c r="D78">
        <v>0.61160000000000003</v>
      </c>
      <c r="E78">
        <v>0.61609999999999998</v>
      </c>
      <c r="F78">
        <v>17406495</v>
      </c>
      <c r="G78">
        <v>0.61609999999999998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-0.82283464566929321</v>
      </c>
      <c r="Q78">
        <f t="shared" ref="Q78" si="366">F78*P78</f>
        <v>-14322667.145669324</v>
      </c>
      <c r="R78">
        <f t="shared" ref="R78" si="367">R79+Q78</f>
        <v>-1624388419.9211249</v>
      </c>
      <c r="S78">
        <f t="shared" ref="S78" si="368">R78/100000</f>
        <v>-16243.88419921125</v>
      </c>
      <c r="T78">
        <f t="shared" ref="T78" si="369">S78/1000</f>
        <v>-16.243884199211251</v>
      </c>
    </row>
    <row r="79" spans="1:20" x14ac:dyDescent="0.25">
      <c r="A79" s="5">
        <v>44514</v>
      </c>
      <c r="B79">
        <v>0.6694</v>
      </c>
      <c r="C79">
        <v>0.72640000000000005</v>
      </c>
      <c r="D79">
        <v>0.63529999999999998</v>
      </c>
      <c r="E79">
        <v>0.65580000000000005</v>
      </c>
      <c r="F79">
        <v>39771678</v>
      </c>
      <c r="G79">
        <v>0.65580000000000005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-0.54994511525795697</v>
      </c>
      <c r="Q79">
        <f t="shared" ref="Q79" si="371">F79*P79</f>
        <v>-21872240.041712351</v>
      </c>
      <c r="R79">
        <f t="shared" ref="R79" si="372">R80+Q79</f>
        <v>-1610065752.7754557</v>
      </c>
      <c r="S79">
        <f t="shared" ref="S79" si="373">R79/100000</f>
        <v>-16100.657527754558</v>
      </c>
      <c r="T79">
        <f t="shared" ref="T79" si="374">S79/1000</f>
        <v>-16.100657527754556</v>
      </c>
    </row>
    <row r="80" spans="1:20" x14ac:dyDescent="0.25">
      <c r="A80" s="5">
        <v>44513</v>
      </c>
      <c r="B80">
        <v>0.60609999999999997</v>
      </c>
      <c r="C80">
        <v>0.72940000000000005</v>
      </c>
      <c r="D80">
        <v>0.59030000000000005</v>
      </c>
      <c r="E80">
        <v>0.66969999999999996</v>
      </c>
      <c r="F80">
        <v>49972211</v>
      </c>
      <c r="G80">
        <v>0.66969999999999996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0.14162473040977591</v>
      </c>
      <c r="Q80">
        <f t="shared" ref="Q80" si="376">F80*P80</f>
        <v>7077300.9108554386</v>
      </c>
      <c r="R80">
        <f t="shared" ref="R80" si="377">R81+Q80</f>
        <v>-1588193512.7337434</v>
      </c>
      <c r="S80">
        <f t="shared" ref="S80" si="378">R80/100000</f>
        <v>-15881.935127337434</v>
      </c>
      <c r="T80">
        <f t="shared" ref="T80" si="379">S80/1000</f>
        <v>-15.881935127337433</v>
      </c>
    </row>
    <row r="81" spans="1:20" x14ac:dyDescent="0.25">
      <c r="A81" s="5">
        <v>44512</v>
      </c>
      <c r="B81">
        <v>0.64259999999999995</v>
      </c>
      <c r="C81">
        <v>0.65659999999999996</v>
      </c>
      <c r="D81">
        <v>0.58309999999999995</v>
      </c>
      <c r="E81">
        <v>0.60650000000000004</v>
      </c>
      <c r="F81">
        <v>29512489</v>
      </c>
      <c r="G81">
        <v>0.60650000000000004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-0.36326530612244667</v>
      </c>
      <c r="Q81">
        <f t="shared" ref="Q81" si="381">F81*P81</f>
        <v>-10720863.35102034</v>
      </c>
      <c r="R81">
        <f t="shared" ref="R81" si="382">R82+Q81</f>
        <v>-1595270813.644599</v>
      </c>
      <c r="S81">
        <f t="shared" ref="S81" si="383">R81/100000</f>
        <v>-15952.70813644599</v>
      </c>
      <c r="T81">
        <f t="shared" ref="T81" si="384">S81/1000</f>
        <v>-15.95270813644599</v>
      </c>
    </row>
    <row r="82" spans="1:20" x14ac:dyDescent="0.25">
      <c r="A82" s="5">
        <v>44511</v>
      </c>
      <c r="B82">
        <v>0.68789999999999996</v>
      </c>
      <c r="C82">
        <v>0.77639999999999998</v>
      </c>
      <c r="D82">
        <v>0.64170000000000005</v>
      </c>
      <c r="E82">
        <v>0.6421</v>
      </c>
      <c r="F82">
        <v>83868171</v>
      </c>
      <c r="G82">
        <v>0.6421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-0.99406087602078763</v>
      </c>
      <c r="Q82">
        <f t="shared" ref="Q82" si="386">F82*P82</f>
        <v>-83370067.534521222</v>
      </c>
      <c r="R82">
        <f t="shared" ref="R82" si="387">R83+Q82</f>
        <v>-1584549950.2935786</v>
      </c>
      <c r="S82">
        <f t="shared" ref="S82" si="388">R82/100000</f>
        <v>-15845.499502935787</v>
      </c>
      <c r="T82">
        <f t="shared" ref="T82" si="389">S82/1000</f>
        <v>-15.845499502935787</v>
      </c>
    </row>
    <row r="83" spans="1:20" x14ac:dyDescent="0.25">
      <c r="A83" s="5">
        <v>44510</v>
      </c>
      <c r="B83">
        <v>0.62180000000000002</v>
      </c>
      <c r="C83">
        <v>0.78610000000000002</v>
      </c>
      <c r="D83">
        <v>0.58230000000000004</v>
      </c>
      <c r="E83">
        <v>0.68759999999999999</v>
      </c>
      <c r="F83">
        <v>119518504.59999999</v>
      </c>
      <c r="G83">
        <v>0.68759999999999999</v>
      </c>
      <c r="L83" t="s">
        <v>8</v>
      </c>
      <c r="M83" t="s">
        <v>8</v>
      </c>
      <c r="N83" t="s">
        <v>8</v>
      </c>
      <c r="P83">
        <f t="shared" ref="P83" si="390">IF(C83=D83,0,((E83-D83)-(C83-E83))/(C83-D83))</f>
        <v>3.3366045142295964E-2</v>
      </c>
      <c r="Q83">
        <f t="shared" ref="Q83" si="391">F83*P83</f>
        <v>3987859.8198233075</v>
      </c>
      <c r="R83">
        <f t="shared" ref="R83" si="392">R84+Q83</f>
        <v>-1501179882.7590573</v>
      </c>
      <c r="S83">
        <f t="shared" ref="S83" si="393">R83/100000</f>
        <v>-15011.798827590574</v>
      </c>
      <c r="T83">
        <f t="shared" ref="T83" si="394">S83/1000</f>
        <v>-15.011798827590574</v>
      </c>
    </row>
    <row r="84" spans="1:20" x14ac:dyDescent="0.25">
      <c r="A84" s="5">
        <v>44509</v>
      </c>
      <c r="B84">
        <v>0.59319999999999995</v>
      </c>
      <c r="C84">
        <v>0.68899999999999995</v>
      </c>
      <c r="D84">
        <v>0.55900000000000005</v>
      </c>
      <c r="E84">
        <v>0.62209999999999999</v>
      </c>
      <c r="F84">
        <v>79197648</v>
      </c>
      <c r="G84">
        <v>0.62209999999999999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-2.9230769230769452E-2</v>
      </c>
      <c r="Q84">
        <f t="shared" ref="Q84" si="396">F84*P84</f>
        <v>-2315008.1723077097</v>
      </c>
      <c r="R84">
        <f t="shared" ref="R84" si="397">R85+Q84</f>
        <v>-1505167742.5788805</v>
      </c>
      <c r="S84">
        <f t="shared" ref="S84" si="398">R84/100000</f>
        <v>-15051.677425788805</v>
      </c>
      <c r="T84">
        <f t="shared" ref="T84" si="399">S84/1000</f>
        <v>-15.051677425788805</v>
      </c>
    </row>
    <row r="85" spans="1:20" x14ac:dyDescent="0.25">
      <c r="A85" s="5">
        <v>44508</v>
      </c>
      <c r="B85">
        <v>0.50939999999999996</v>
      </c>
      <c r="C85">
        <v>0.69599999999999995</v>
      </c>
      <c r="D85">
        <v>0.50829999999999997</v>
      </c>
      <c r="E85">
        <v>0.59319999999999995</v>
      </c>
      <c r="F85">
        <v>141519600</v>
      </c>
      <c r="G85">
        <v>0.59319999999999995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-9.5364944059669846E-2</v>
      </c>
      <c r="Q85">
        <f t="shared" ref="Q85" si="401">F85*P85</f>
        <v>-13496008.737346852</v>
      </c>
      <c r="R85">
        <f t="shared" ref="R85" si="402">R86+Q85</f>
        <v>-1502852734.4065728</v>
      </c>
      <c r="S85">
        <f t="shared" ref="S85" si="403">R85/100000</f>
        <v>-15028.527344065727</v>
      </c>
      <c r="T85">
        <f t="shared" ref="T85" si="404">S85/1000</f>
        <v>-15.028527344065727</v>
      </c>
    </row>
    <row r="86" spans="1:20" x14ac:dyDescent="0.25">
      <c r="A86" s="5">
        <v>44507</v>
      </c>
      <c r="B86">
        <v>0.49580000000000002</v>
      </c>
      <c r="C86">
        <v>0.52110000000000001</v>
      </c>
      <c r="D86">
        <v>0.49359999999999998</v>
      </c>
      <c r="E86">
        <v>0.50990000000000002</v>
      </c>
      <c r="F86">
        <v>15771469</v>
      </c>
      <c r="G86">
        <v>0.50990000000000002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0.18545454545454707</v>
      </c>
      <c r="Q86">
        <f t="shared" ref="Q86" si="406">F86*P86</f>
        <v>2924890.6145454799</v>
      </c>
      <c r="R86">
        <f t="shared" ref="R86" si="407">R87+Q86</f>
        <v>-1489356725.6692259</v>
      </c>
      <c r="S86">
        <f t="shared" ref="S86" si="408">R86/100000</f>
        <v>-14893.567256692259</v>
      </c>
      <c r="T86">
        <f t="shared" ref="T86" si="409">S86/1000</f>
        <v>-14.893567256692258</v>
      </c>
    </row>
    <row r="87" spans="1:20" x14ac:dyDescent="0.25">
      <c r="A87" s="5">
        <v>44506</v>
      </c>
      <c r="B87">
        <v>0.48899999999999999</v>
      </c>
      <c r="C87">
        <v>0.51659999999999995</v>
      </c>
      <c r="D87">
        <v>0.47660000000000002</v>
      </c>
      <c r="E87">
        <v>0.49580000000000002</v>
      </c>
      <c r="F87">
        <v>12958479</v>
      </c>
      <c r="G87">
        <v>0.49580000000000002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-3.9999999999998447E-2</v>
      </c>
      <c r="Q87">
        <f t="shared" ref="Q87" si="411">F87*P87</f>
        <v>-518339.15999997989</v>
      </c>
      <c r="R87">
        <f t="shared" ref="R87" si="412">R88+Q87</f>
        <v>-1492281616.2837715</v>
      </c>
      <c r="S87">
        <f t="shared" ref="S87" si="413">R87/100000</f>
        <v>-14922.816162837715</v>
      </c>
      <c r="T87">
        <f t="shared" ref="T87" si="414">S87/1000</f>
        <v>-14.922816162837714</v>
      </c>
    </row>
    <row r="88" spans="1:20" x14ac:dyDescent="0.25">
      <c r="A88" s="5">
        <v>44505</v>
      </c>
      <c r="B88">
        <v>0.48280000000000001</v>
      </c>
      <c r="C88">
        <v>0.53990000000000005</v>
      </c>
      <c r="D88">
        <v>0.47549999999999998</v>
      </c>
      <c r="E88">
        <v>0.4889</v>
      </c>
      <c r="F88">
        <v>35594881</v>
      </c>
      <c r="G88">
        <v>0.4889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-0.5838509316770184</v>
      </c>
      <c r="Q88">
        <f t="shared" ref="Q88" si="416">F88*P88</f>
        <v>-20782104.434782602</v>
      </c>
      <c r="R88">
        <f t="shared" ref="R88" si="417">R89+Q88</f>
        <v>-1491763277.1237714</v>
      </c>
      <c r="S88">
        <f t="shared" ref="S88" si="418">R88/100000</f>
        <v>-14917.632771237715</v>
      </c>
      <c r="T88">
        <f t="shared" ref="T88" si="419">S88/1000</f>
        <v>-14.917632771237715</v>
      </c>
    </row>
    <row r="89" spans="1:20" x14ac:dyDescent="0.25">
      <c r="A89" s="5">
        <v>44504</v>
      </c>
      <c r="B89">
        <v>0.51500000000000001</v>
      </c>
      <c r="C89">
        <v>0.52839999999999998</v>
      </c>
      <c r="D89">
        <v>0.47349999999999998</v>
      </c>
      <c r="E89">
        <v>0.48270000000000002</v>
      </c>
      <c r="F89">
        <v>41477117</v>
      </c>
      <c r="G89">
        <v>0.48270000000000002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-0.66484517304189283</v>
      </c>
      <c r="Q89">
        <f t="shared" ref="Q89" si="421">F89*P89</f>
        <v>-27575861.029143836</v>
      </c>
      <c r="R89">
        <f t="shared" ref="R89" si="422">R90+Q89</f>
        <v>-1470981172.6889889</v>
      </c>
      <c r="S89">
        <f t="shared" ref="S89" si="423">R89/100000</f>
        <v>-14709.81172688989</v>
      </c>
      <c r="T89">
        <f t="shared" ref="T89" si="424">S89/1000</f>
        <v>-14.709811726889889</v>
      </c>
    </row>
    <row r="90" spans="1:20" x14ac:dyDescent="0.25">
      <c r="A90" s="5">
        <v>44503</v>
      </c>
      <c r="B90">
        <v>0.57130000000000003</v>
      </c>
      <c r="C90">
        <v>0.66569999999999996</v>
      </c>
      <c r="D90">
        <v>0.51200000000000001</v>
      </c>
      <c r="E90">
        <v>0.51549999999999996</v>
      </c>
      <c r="F90">
        <v>88468942</v>
      </c>
      <c r="G90">
        <v>0.51549999999999996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-0.95445673389720298</v>
      </c>
      <c r="Q90">
        <f t="shared" ref="Q90" si="426">F90*P90</f>
        <v>-84439777.432661086</v>
      </c>
      <c r="R90">
        <f t="shared" ref="R90" si="427">R91+Q90</f>
        <v>-1443405311.6598451</v>
      </c>
      <c r="S90">
        <f t="shared" ref="S90" si="428">R90/100000</f>
        <v>-14434.05311659845</v>
      </c>
      <c r="T90">
        <f t="shared" ref="T90" si="429">S90/1000</f>
        <v>-14.43405311659845</v>
      </c>
    </row>
    <row r="91" spans="1:20" x14ac:dyDescent="0.25">
      <c r="A91" s="5">
        <v>44502</v>
      </c>
      <c r="B91">
        <v>0.47199999999999998</v>
      </c>
      <c r="C91">
        <v>0.77690000000000003</v>
      </c>
      <c r="D91">
        <v>0.45300000000000001</v>
      </c>
      <c r="E91">
        <v>0.57099999999999995</v>
      </c>
      <c r="F91">
        <v>308825257.88999999</v>
      </c>
      <c r="G91">
        <v>0.57099999999999995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-0.27138005557270806</v>
      </c>
      <c r="Q91">
        <f t="shared" ref="Q91" si="431">F91*P91</f>
        <v>-83809015.648444086</v>
      </c>
      <c r="R91">
        <f t="shared" ref="R91" si="432">R92+Q91</f>
        <v>-1358965534.2271841</v>
      </c>
      <c r="S91">
        <f t="shared" ref="S91" si="433">R91/100000</f>
        <v>-13589.655342271841</v>
      </c>
      <c r="T91">
        <f t="shared" ref="T91" si="434">S91/1000</f>
        <v>-13.589655342271842</v>
      </c>
    </row>
    <row r="92" spans="1:20" x14ac:dyDescent="0.25">
      <c r="A92" s="5">
        <v>44501</v>
      </c>
      <c r="B92">
        <v>0.42599999999999999</v>
      </c>
      <c r="C92">
        <v>0.48530000000000001</v>
      </c>
      <c r="D92">
        <v>0.41210000000000002</v>
      </c>
      <c r="E92">
        <v>0.4718</v>
      </c>
      <c r="F92">
        <v>36447198</v>
      </c>
      <c r="G92">
        <v>0.4718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0.63114754098360615</v>
      </c>
      <c r="Q92">
        <f t="shared" ref="Q92" si="436">F92*P92</f>
        <v>23003559.393442608</v>
      </c>
      <c r="R92">
        <f t="shared" ref="R92" si="437">R93+Q92</f>
        <v>-1275156518.5787399</v>
      </c>
      <c r="S92">
        <f t="shared" ref="S92" si="438">R92/100000</f>
        <v>-12751.565185787398</v>
      </c>
      <c r="T92">
        <f t="shared" ref="T92" si="439">S92/1000</f>
        <v>-12.751565185787397</v>
      </c>
    </row>
    <row r="93" spans="1:20" x14ac:dyDescent="0.25">
      <c r="A93" s="5">
        <v>44500</v>
      </c>
      <c r="B93">
        <v>0.41089999999999999</v>
      </c>
      <c r="C93">
        <v>0.47010000000000002</v>
      </c>
      <c r="D93">
        <v>0.40989999999999999</v>
      </c>
      <c r="E93">
        <v>0.42580000000000001</v>
      </c>
      <c r="F93">
        <v>21695516</v>
      </c>
      <c r="G93">
        <v>0.42580000000000001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-0.47176079734219212</v>
      </c>
      <c r="Q93">
        <f t="shared" ref="Q93" si="441">F93*P93</f>
        <v>-10235093.926910287</v>
      </c>
      <c r="R93">
        <f t="shared" ref="R93" si="442">R94+Q93</f>
        <v>-1298160077.9721825</v>
      </c>
      <c r="S93">
        <f t="shared" ref="S93" si="443">R93/100000</f>
        <v>-12981.600779721824</v>
      </c>
      <c r="T93">
        <f t="shared" ref="T93" si="444">S93/1000</f>
        <v>-12.981600779721825</v>
      </c>
    </row>
    <row r="94" spans="1:20" x14ac:dyDescent="0.25">
      <c r="A94" s="5">
        <v>44499</v>
      </c>
      <c r="B94">
        <v>0.42370000000000002</v>
      </c>
      <c r="C94">
        <v>0.4375</v>
      </c>
      <c r="D94">
        <v>0.40620000000000001</v>
      </c>
      <c r="E94">
        <v>0.41099999999999998</v>
      </c>
      <c r="F94">
        <v>10359493</v>
      </c>
      <c r="G94">
        <v>0.41099999999999998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-0.69329073482428294</v>
      </c>
      <c r="Q94">
        <f t="shared" ref="Q94" si="446">F94*P94</f>
        <v>-7182140.5143770156</v>
      </c>
      <c r="R94">
        <f t="shared" ref="R94" si="447">R95+Q94</f>
        <v>-1287924984.0452721</v>
      </c>
      <c r="S94">
        <f t="shared" ref="S94" si="448">R94/100000</f>
        <v>-12879.249840452721</v>
      </c>
      <c r="T94">
        <f t="shared" ref="T94" si="449">S94/1000</f>
        <v>-12.879249840452722</v>
      </c>
    </row>
    <row r="95" spans="1:20" x14ac:dyDescent="0.25">
      <c r="A95" s="5">
        <v>44498</v>
      </c>
      <c r="B95">
        <v>0.41720000000000002</v>
      </c>
      <c r="C95">
        <v>0.43890000000000001</v>
      </c>
      <c r="D95">
        <v>0.41199999999999998</v>
      </c>
      <c r="E95">
        <v>0.42309999999999998</v>
      </c>
      <c r="F95">
        <v>7954525</v>
      </c>
      <c r="G95">
        <v>0.42309999999999998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-0.17472118959107924</v>
      </c>
      <c r="Q95">
        <f t="shared" ref="Q95" si="451">F95*P95</f>
        <v>-1389824.0706319795</v>
      </c>
      <c r="R95">
        <f t="shared" ref="R95" si="452">R96+Q95</f>
        <v>-1280742843.530895</v>
      </c>
      <c r="S95">
        <f t="shared" ref="S95" si="453">R95/100000</f>
        <v>-12807.42843530895</v>
      </c>
      <c r="T95">
        <f t="shared" ref="T95" si="454">S95/1000</f>
        <v>-12.80742843530895</v>
      </c>
    </row>
    <row r="96" spans="1:20" x14ac:dyDescent="0.25">
      <c r="A96" s="5">
        <v>44497</v>
      </c>
      <c r="B96">
        <v>0.39190000000000003</v>
      </c>
      <c r="C96">
        <v>0.4471</v>
      </c>
      <c r="D96">
        <v>0.38090000000000002</v>
      </c>
      <c r="E96">
        <v>0.41720000000000002</v>
      </c>
      <c r="F96">
        <v>15166956</v>
      </c>
      <c r="G96">
        <v>0.41720000000000002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9.6676737160121123E-2</v>
      </c>
      <c r="Q96">
        <f t="shared" ref="Q96" si="456">F96*P96</f>
        <v>1466291.818731122</v>
      </c>
      <c r="R96">
        <f t="shared" ref="R96" si="457">R97+Q96</f>
        <v>-1279353019.460263</v>
      </c>
      <c r="S96">
        <f t="shared" ref="S96" si="458">R96/100000</f>
        <v>-12793.53019460263</v>
      </c>
      <c r="T96">
        <f t="shared" ref="T96" si="459">S96/1000</f>
        <v>-12.79353019460263</v>
      </c>
    </row>
    <row r="97" spans="1:20" x14ac:dyDescent="0.25">
      <c r="A97" s="5">
        <v>44496</v>
      </c>
      <c r="B97">
        <v>0.4415</v>
      </c>
      <c r="C97">
        <v>0.44590000000000002</v>
      </c>
      <c r="D97">
        <v>0.38790000000000002</v>
      </c>
      <c r="E97">
        <v>0.39190000000000003</v>
      </c>
      <c r="F97">
        <v>15408242</v>
      </c>
      <c r="G97">
        <v>0.39190000000000003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-0.86206896551724121</v>
      </c>
      <c r="Q97">
        <f t="shared" ref="Q97" si="461">F97*P97</f>
        <v>-13282967.241379308</v>
      </c>
      <c r="R97">
        <f t="shared" ref="R97" si="462">R98+Q97</f>
        <v>-1280819311.2789941</v>
      </c>
      <c r="S97">
        <f t="shared" ref="S97" si="463">R97/100000</f>
        <v>-12808.193112789941</v>
      </c>
      <c r="T97">
        <f t="shared" ref="T97" si="464">S97/1000</f>
        <v>-12.80819311278994</v>
      </c>
    </row>
    <row r="98" spans="1:20" x14ac:dyDescent="0.25">
      <c r="A98" s="5">
        <v>44495</v>
      </c>
      <c r="B98">
        <v>0.4501</v>
      </c>
      <c r="C98">
        <v>0.47110000000000002</v>
      </c>
      <c r="D98">
        <v>0.4385</v>
      </c>
      <c r="E98">
        <v>0.44169999999999998</v>
      </c>
      <c r="F98">
        <v>12676978</v>
      </c>
      <c r="G98">
        <v>0.44169999999999998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-0.80368098159509327</v>
      </c>
      <c r="Q98">
        <f t="shared" ref="Q98" si="466">F98*P98</f>
        <v>-10188246.122699402</v>
      </c>
      <c r="R98">
        <f t="shared" ref="R98" si="467">R99+Q98</f>
        <v>-1267536344.0376148</v>
      </c>
      <c r="S98">
        <f t="shared" ref="S98" si="468">R98/100000</f>
        <v>-12675.363440376148</v>
      </c>
      <c r="T98">
        <f t="shared" ref="T98" si="469">S98/1000</f>
        <v>-12.675363440376149</v>
      </c>
    </row>
    <row r="99" spans="1:20" x14ac:dyDescent="0.25">
      <c r="A99" s="5">
        <v>44494</v>
      </c>
      <c r="B99">
        <v>0.43259999999999998</v>
      </c>
      <c r="C99">
        <v>0.46339999999999998</v>
      </c>
      <c r="D99">
        <v>0.43020000000000003</v>
      </c>
      <c r="E99">
        <v>0.45029999999999998</v>
      </c>
      <c r="F99">
        <v>12586961</v>
      </c>
      <c r="G99">
        <v>0.45029999999999998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0.21084337349397472</v>
      </c>
      <c r="Q99">
        <f t="shared" ref="Q99" si="471">F99*P99</f>
        <v>2653877.3192770937</v>
      </c>
      <c r="R99">
        <f t="shared" ref="R99" si="472">R100+Q99</f>
        <v>-1257348097.9149153</v>
      </c>
      <c r="S99">
        <f t="shared" ref="S99" si="473">R99/100000</f>
        <v>-12573.480979149153</v>
      </c>
      <c r="T99">
        <f t="shared" ref="T99" si="474">S99/1000</f>
        <v>-12.573480979149153</v>
      </c>
    </row>
    <row r="100" spans="1:20" x14ac:dyDescent="0.25">
      <c r="A100" s="5">
        <v>44493</v>
      </c>
      <c r="B100">
        <v>0.46539999999999998</v>
      </c>
      <c r="C100">
        <v>0.47689999999999999</v>
      </c>
      <c r="D100">
        <v>0.43020000000000003</v>
      </c>
      <c r="E100">
        <v>0.43259999999999998</v>
      </c>
      <c r="F100">
        <v>11361182</v>
      </c>
      <c r="G100">
        <v>0.43259999999999998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-0.89721627408993754</v>
      </c>
      <c r="Q100">
        <f t="shared" ref="Q100" si="476">F100*P100</f>
        <v>-10193437.383297665</v>
      </c>
      <c r="R100">
        <f t="shared" ref="R100" si="477">R101+Q100</f>
        <v>-1260001975.2341924</v>
      </c>
      <c r="S100">
        <f t="shared" ref="S100" si="478">R100/100000</f>
        <v>-12600.019752341923</v>
      </c>
      <c r="T100">
        <f t="shared" ref="T100" si="479">S100/1000</f>
        <v>-12.600019752341924</v>
      </c>
    </row>
    <row r="101" spans="1:20" x14ac:dyDescent="0.25">
      <c r="A101" s="5">
        <v>44492</v>
      </c>
      <c r="B101">
        <v>0.44579999999999997</v>
      </c>
      <c r="C101">
        <v>0.48180000000000001</v>
      </c>
      <c r="D101">
        <v>0.43619999999999998</v>
      </c>
      <c r="E101">
        <v>0.46579999999999999</v>
      </c>
      <c r="F101">
        <v>19307481</v>
      </c>
      <c r="G101">
        <v>0.46579999999999999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0.29824561403508754</v>
      </c>
      <c r="Q101">
        <f t="shared" ref="Q101" si="481">F101*P101</f>
        <v>5758371.5263157859</v>
      </c>
      <c r="R101">
        <f t="shared" ref="R101" si="482">R102+Q101</f>
        <v>-1249808537.8508947</v>
      </c>
      <c r="S101">
        <f t="shared" ref="S101" si="483">R101/100000</f>
        <v>-12498.085378508948</v>
      </c>
      <c r="T101">
        <f t="shared" ref="T101" si="484">S101/1000</f>
        <v>-12.498085378508948</v>
      </c>
    </row>
    <row r="102" spans="1:20" x14ac:dyDescent="0.25">
      <c r="A102" s="5">
        <v>44491</v>
      </c>
      <c r="B102">
        <v>0.4637</v>
      </c>
      <c r="C102">
        <v>0.46870000000000001</v>
      </c>
      <c r="D102">
        <v>0.43719999999999998</v>
      </c>
      <c r="E102">
        <v>0.44579999999999997</v>
      </c>
      <c r="F102">
        <v>9778599</v>
      </c>
      <c r="G102">
        <v>0.44579999999999997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-0.45396825396825469</v>
      </c>
      <c r="Q102">
        <f t="shared" ref="Q102" si="486">F102*P102</f>
        <v>-4439173.5142857209</v>
      </c>
      <c r="R102">
        <f t="shared" ref="R102" si="487">R103+Q102</f>
        <v>-1255566909.3772104</v>
      </c>
      <c r="S102">
        <f t="shared" ref="S102" si="488">R102/100000</f>
        <v>-12555.669093772103</v>
      </c>
      <c r="T102">
        <f t="shared" ref="T102" si="489">S102/1000</f>
        <v>-12.555669093772103</v>
      </c>
    </row>
    <row r="103" spans="1:20" x14ac:dyDescent="0.25">
      <c r="A103" s="5">
        <v>44490</v>
      </c>
      <c r="B103">
        <v>0.498</v>
      </c>
      <c r="C103">
        <v>0.50129999999999997</v>
      </c>
      <c r="D103">
        <v>0.45860000000000001</v>
      </c>
      <c r="E103">
        <v>0.46379999999999999</v>
      </c>
      <c r="F103">
        <v>16668097</v>
      </c>
      <c r="G103">
        <v>0.46379999999999999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-0.75644028103044558</v>
      </c>
      <c r="Q103">
        <f t="shared" ref="Q103" si="491">F103*P103</f>
        <v>-12608419.978922727</v>
      </c>
      <c r="R103">
        <f t="shared" ref="R103" si="492">R104+Q103</f>
        <v>-1251127735.8629246</v>
      </c>
      <c r="S103">
        <f t="shared" ref="S103" si="493">R103/100000</f>
        <v>-12511.277358629246</v>
      </c>
      <c r="T103">
        <f t="shared" ref="T103" si="494">S103/1000</f>
        <v>-12.511277358629245</v>
      </c>
    </row>
    <row r="104" spans="1:20" x14ac:dyDescent="0.25">
      <c r="A104" s="5">
        <v>44489</v>
      </c>
      <c r="B104">
        <v>0.50749999999999995</v>
      </c>
      <c r="C104">
        <v>0.52490000000000003</v>
      </c>
      <c r="D104">
        <v>0.4899</v>
      </c>
      <c r="E104">
        <v>0.498</v>
      </c>
      <c r="F104">
        <v>24208521</v>
      </c>
      <c r="G104">
        <v>0.498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-0.53714285714285781</v>
      </c>
      <c r="Q104">
        <f t="shared" ref="Q104" si="496">F104*P104</f>
        <v>-13003434.137142872</v>
      </c>
      <c r="R104">
        <f t="shared" ref="R104" si="497">R105+Q104</f>
        <v>-1238519315.8840017</v>
      </c>
      <c r="S104">
        <f t="shared" ref="S104" si="498">R104/100000</f>
        <v>-12385.193158840017</v>
      </c>
      <c r="T104">
        <f t="shared" ref="T104" si="499">S104/1000</f>
        <v>-12.385193158840016</v>
      </c>
    </row>
    <row r="105" spans="1:20" x14ac:dyDescent="0.25">
      <c r="A105" s="5">
        <v>44488</v>
      </c>
      <c r="B105">
        <v>0.4894</v>
      </c>
      <c r="C105">
        <v>0.54420000000000002</v>
      </c>
      <c r="D105">
        <v>0.48010000000000003</v>
      </c>
      <c r="E105">
        <v>0.50739999999999996</v>
      </c>
      <c r="F105">
        <v>51294340</v>
      </c>
      <c r="G105">
        <v>0.50739999999999996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-0.14820592823713138</v>
      </c>
      <c r="Q105">
        <f t="shared" ref="Q105" si="501">F105*P105</f>
        <v>-7602125.2730110176</v>
      </c>
      <c r="R105">
        <f t="shared" ref="R105" si="502">R106+Q105</f>
        <v>-1225515881.7468588</v>
      </c>
      <c r="S105">
        <f t="shared" ref="S105" si="503">R105/100000</f>
        <v>-12255.158817468588</v>
      </c>
      <c r="T105">
        <f t="shared" ref="T105" si="504">S105/1000</f>
        <v>-12.255158817468587</v>
      </c>
    </row>
    <row r="106" spans="1:20" x14ac:dyDescent="0.25">
      <c r="A106" s="5">
        <v>44487</v>
      </c>
      <c r="B106">
        <v>0.54190000000000005</v>
      </c>
      <c r="C106">
        <v>0.6109</v>
      </c>
      <c r="D106">
        <v>0.48880000000000001</v>
      </c>
      <c r="E106">
        <v>0.4894</v>
      </c>
      <c r="F106">
        <v>124786829</v>
      </c>
      <c r="G106">
        <v>0.4894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-0.99017199017199031</v>
      </c>
      <c r="Q106">
        <f t="shared" ref="Q106" si="506">F106*P106</f>
        <v>-123560422.81818184</v>
      </c>
      <c r="R106">
        <f t="shared" ref="R106" si="507">R107+Q106</f>
        <v>-1217913756.4738479</v>
      </c>
      <c r="S106">
        <f t="shared" ref="S106" si="508">R106/100000</f>
        <v>-12179.137564738479</v>
      </c>
      <c r="T106">
        <f t="shared" ref="T106" si="509">S106/1000</f>
        <v>-12.179137564738479</v>
      </c>
    </row>
    <row r="107" spans="1:20" x14ac:dyDescent="0.25">
      <c r="A107" s="5">
        <v>44486</v>
      </c>
      <c r="B107">
        <v>0.43180000000000002</v>
      </c>
      <c r="C107">
        <v>0.68569999999999998</v>
      </c>
      <c r="D107">
        <v>0.42970000000000003</v>
      </c>
      <c r="E107">
        <v>0.54120000000000001</v>
      </c>
      <c r="F107">
        <v>298042335.10000002</v>
      </c>
      <c r="G107">
        <v>0.54120000000000001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-0.12890624999999992</v>
      </c>
      <c r="Q107">
        <f t="shared" ref="Q107" si="511">F107*P107</f>
        <v>-38419519.75898435</v>
      </c>
      <c r="R107">
        <f t="shared" ref="R107" si="512">R108+Q107</f>
        <v>-1094353333.6556661</v>
      </c>
      <c r="S107">
        <f t="shared" ref="S107" si="513">R107/100000</f>
        <v>-10943.53333655666</v>
      </c>
      <c r="T107">
        <f t="shared" ref="T107" si="514">S107/1000</f>
        <v>-10.94353333655666</v>
      </c>
    </row>
    <row r="108" spans="1:20" x14ac:dyDescent="0.25">
      <c r="A108" s="5">
        <v>44485</v>
      </c>
      <c r="B108">
        <v>0.41749999999999998</v>
      </c>
      <c r="C108">
        <v>0.53739999999999999</v>
      </c>
      <c r="D108">
        <v>0.39760000000000001</v>
      </c>
      <c r="E108">
        <v>0.43209999999999998</v>
      </c>
      <c r="F108">
        <v>148660873</v>
      </c>
      <c r="G108">
        <v>0.43209999999999998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-0.50643776824034359</v>
      </c>
      <c r="Q108">
        <f t="shared" ref="Q108" si="516">F108*P108</f>
        <v>-75287480.746781155</v>
      </c>
      <c r="R108">
        <f t="shared" ref="R108" si="517">R109+Q108</f>
        <v>-1055933813.8966818</v>
      </c>
      <c r="S108">
        <f t="shared" ref="S108" si="518">R108/100000</f>
        <v>-10559.338138966817</v>
      </c>
      <c r="T108">
        <f t="shared" ref="T108" si="519">S108/1000</f>
        <v>-10.559338138966817</v>
      </c>
    </row>
    <row r="109" spans="1:20" x14ac:dyDescent="0.25">
      <c r="A109" s="5">
        <v>44484</v>
      </c>
      <c r="B109">
        <v>0.32319999999999999</v>
      </c>
      <c r="C109">
        <v>0.58850000000000002</v>
      </c>
      <c r="D109">
        <v>0.31909999999999999</v>
      </c>
      <c r="E109">
        <v>0.4173</v>
      </c>
      <c r="F109">
        <v>320577057.22000003</v>
      </c>
      <c r="G109">
        <v>0.4173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-0.27097253155159612</v>
      </c>
      <c r="Q109">
        <f t="shared" ref="Q109" si="521">F109*P109</f>
        <v>-86867576.752264291</v>
      </c>
      <c r="R109">
        <f t="shared" ref="R109" si="522">R110+Q109</f>
        <v>-980646333.14990067</v>
      </c>
      <c r="S109">
        <f t="shared" ref="S109" si="523">R109/100000</f>
        <v>-9806.463331499006</v>
      </c>
      <c r="T109">
        <f t="shared" ref="T109" si="524">S109/1000</f>
        <v>-9.8064633314990068</v>
      </c>
    </row>
    <row r="110" spans="1:20" x14ac:dyDescent="0.25">
      <c r="A110" s="5">
        <v>44483</v>
      </c>
      <c r="B110">
        <v>0.32340000000000002</v>
      </c>
      <c r="C110">
        <v>0.33339999999999997</v>
      </c>
      <c r="D110">
        <v>0.3221</v>
      </c>
      <c r="E110">
        <v>0.32319999999999999</v>
      </c>
      <c r="F110">
        <v>5575194</v>
      </c>
      <c r="G110">
        <v>0.32319999999999999</v>
      </c>
      <c r="L110" t="s">
        <v>7</v>
      </c>
      <c r="M110" t="s">
        <v>7</v>
      </c>
      <c r="N110" t="s">
        <v>7</v>
      </c>
      <c r="P110">
        <f t="shared" ref="P110" si="525">IF(C110=D110,0,((E110-D110)-(C110-E110))/(C110-D110))</f>
        <v>-0.8053097345132757</v>
      </c>
      <c r="Q110">
        <f t="shared" ref="Q110" si="526">F110*P110</f>
        <v>-4489758.0000000075</v>
      </c>
      <c r="R110">
        <f t="shared" ref="R110" si="527">R111+Q110</f>
        <v>-893778756.39763641</v>
      </c>
      <c r="S110">
        <f t="shared" ref="S110" si="528">R110/100000</f>
        <v>-8937.7875639763643</v>
      </c>
      <c r="T110">
        <f t="shared" ref="T110" si="529">S110/1000</f>
        <v>-8.9377875639763644</v>
      </c>
    </row>
    <row r="111" spans="1:20" x14ac:dyDescent="0.25">
      <c r="A111" s="5">
        <v>44482</v>
      </c>
      <c r="B111">
        <v>0.32579999999999998</v>
      </c>
      <c r="C111">
        <v>0.3276</v>
      </c>
      <c r="D111">
        <v>0.31230000000000002</v>
      </c>
      <c r="E111">
        <v>0.32290000000000002</v>
      </c>
      <c r="F111">
        <v>6436639</v>
      </c>
      <c r="G111">
        <v>0.32290000000000002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0.38562091503268131</v>
      </c>
      <c r="Q111">
        <f t="shared" ref="Q111" si="531">F111*P111</f>
        <v>2482102.6209150427</v>
      </c>
      <c r="R111">
        <f t="shared" ref="R111" si="532">R112+Q111</f>
        <v>-889288998.39763641</v>
      </c>
      <c r="S111">
        <f t="shared" ref="S111" si="533">R111/100000</f>
        <v>-8892.8899839763635</v>
      </c>
      <c r="T111">
        <f t="shared" ref="T111" si="534">S111/1000</f>
        <v>-8.8928899839763638</v>
      </c>
    </row>
    <row r="112" spans="1:20" x14ac:dyDescent="0.25">
      <c r="A112" s="5">
        <v>44481</v>
      </c>
      <c r="B112">
        <v>0.33689999999999998</v>
      </c>
      <c r="C112">
        <v>0.33750000000000002</v>
      </c>
      <c r="D112">
        <v>0.313</v>
      </c>
      <c r="E112">
        <v>0.32490000000000002</v>
      </c>
      <c r="F112">
        <v>7789329</v>
      </c>
      <c r="G112">
        <v>0.32490000000000002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-2.8571428571427665E-2</v>
      </c>
      <c r="Q112">
        <f t="shared" ref="Q112" si="536">F112*P112</f>
        <v>-222552.25714285008</v>
      </c>
      <c r="R112">
        <f t="shared" ref="R112" si="537">R113+Q112</f>
        <v>-891771101.01855147</v>
      </c>
      <c r="S112">
        <f t="shared" ref="S112" si="538">R112/100000</f>
        <v>-8917.7110101855142</v>
      </c>
      <c r="T112">
        <f t="shared" ref="T112" si="539">S112/1000</f>
        <v>-8.9177110101855135</v>
      </c>
    </row>
    <row r="113" spans="1:20" x14ac:dyDescent="0.25">
      <c r="A113" s="5">
        <v>44480</v>
      </c>
      <c r="B113">
        <v>0.34</v>
      </c>
      <c r="C113">
        <v>0.36149999999999999</v>
      </c>
      <c r="D113">
        <v>0.3352</v>
      </c>
      <c r="E113">
        <v>0.33729999999999999</v>
      </c>
      <c r="F113">
        <v>11024869</v>
      </c>
      <c r="G113">
        <v>0.33729999999999999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-0.84030418250950634</v>
      </c>
      <c r="Q113">
        <f t="shared" ref="Q113" si="541">F113*P113</f>
        <v>-9264243.5323193986</v>
      </c>
      <c r="R113">
        <f t="shared" ref="R113" si="542">R114+Q113</f>
        <v>-891548548.76140857</v>
      </c>
      <c r="S113">
        <f t="shared" ref="S113" si="543">R113/100000</f>
        <v>-8915.4854876140853</v>
      </c>
      <c r="T113">
        <f t="shared" ref="T113" si="544">S113/1000</f>
        <v>-8.9154854876140845</v>
      </c>
    </row>
    <row r="114" spans="1:20" x14ac:dyDescent="0.25">
      <c r="A114" s="5">
        <v>44479</v>
      </c>
      <c r="B114">
        <v>0.34370000000000001</v>
      </c>
      <c r="C114">
        <v>0.38</v>
      </c>
      <c r="D114">
        <v>0.33460000000000001</v>
      </c>
      <c r="E114">
        <v>0.34110000000000001</v>
      </c>
      <c r="F114">
        <v>19420207</v>
      </c>
      <c r="G114">
        <v>0.34110000000000001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-0.71365638766519801</v>
      </c>
      <c r="Q114">
        <f t="shared" ref="Q114" si="546">F114*P114</f>
        <v>-13859354.775330393</v>
      </c>
      <c r="R114">
        <f t="shared" ref="R114" si="547">R115+Q114</f>
        <v>-882284305.22908914</v>
      </c>
      <c r="S114">
        <f t="shared" ref="S114" si="548">R114/100000</f>
        <v>-8822.8430522908911</v>
      </c>
      <c r="T114">
        <f t="shared" ref="T114" si="549">S114/1000</f>
        <v>-8.8228430522908905</v>
      </c>
    </row>
    <row r="115" spans="1:20" x14ac:dyDescent="0.25">
      <c r="A115" s="5">
        <v>44478</v>
      </c>
      <c r="B115">
        <v>0.32819999999999999</v>
      </c>
      <c r="C115">
        <v>0.3639</v>
      </c>
      <c r="D115">
        <v>0.32500000000000001</v>
      </c>
      <c r="E115">
        <v>0.34300000000000003</v>
      </c>
      <c r="F115">
        <v>17636912</v>
      </c>
      <c r="G115">
        <v>0.34300000000000003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-7.4550128534703317E-2</v>
      </c>
      <c r="Q115">
        <f t="shared" ref="Q115" si="551">F115*P115</f>
        <v>-1314834.0565552514</v>
      </c>
      <c r="R115">
        <f t="shared" ref="R115" si="552">R116+Q115</f>
        <v>-868424950.45375872</v>
      </c>
      <c r="S115">
        <f t="shared" ref="S115" si="553">R115/100000</f>
        <v>-8684.2495045375872</v>
      </c>
      <c r="T115">
        <f t="shared" ref="T115" si="554">S115/1000</f>
        <v>-8.684249504537588</v>
      </c>
    </row>
    <row r="116" spans="1:20" x14ac:dyDescent="0.25">
      <c r="A116" s="5">
        <v>44477</v>
      </c>
      <c r="B116">
        <v>0.32890000000000003</v>
      </c>
      <c r="C116">
        <v>0.33600000000000002</v>
      </c>
      <c r="D116">
        <v>0.32569999999999999</v>
      </c>
      <c r="E116">
        <v>0.32829999999999998</v>
      </c>
      <c r="F116">
        <v>4733449</v>
      </c>
      <c r="G116">
        <v>0.32829999999999998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-0.49514563106796439</v>
      </c>
      <c r="Q116">
        <f t="shared" ref="Q116" si="556">F116*P116</f>
        <v>-2343746.592233025</v>
      </c>
      <c r="R116">
        <f t="shared" ref="R116" si="557">R117+Q116</f>
        <v>-867110116.39720345</v>
      </c>
      <c r="S116">
        <f t="shared" ref="S116" si="558">R116/100000</f>
        <v>-8671.1011639720346</v>
      </c>
      <c r="T116">
        <f t="shared" ref="T116" si="559">S116/1000</f>
        <v>-8.6711011639720343</v>
      </c>
    </row>
    <row r="117" spans="1:20" x14ac:dyDescent="0.25">
      <c r="A117" s="5">
        <v>44476</v>
      </c>
      <c r="B117">
        <v>0.3296</v>
      </c>
      <c r="C117">
        <v>0.33889999999999998</v>
      </c>
      <c r="D117">
        <v>0.31809999999999999</v>
      </c>
      <c r="E117">
        <v>0.32829999999999998</v>
      </c>
      <c r="F117">
        <v>9278098</v>
      </c>
      <c r="G117">
        <v>0.32829999999999998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-1.9230769230769794E-2</v>
      </c>
      <c r="Q117">
        <f t="shared" ref="Q117" si="561">F117*P117</f>
        <v>-178424.96153846677</v>
      </c>
      <c r="R117">
        <f t="shared" ref="R117" si="562">R118+Q117</f>
        <v>-864766369.80497038</v>
      </c>
      <c r="S117">
        <f t="shared" ref="S117" si="563">R117/100000</f>
        <v>-8647.6636980497042</v>
      </c>
      <c r="T117">
        <f t="shared" ref="T117" si="564">S117/1000</f>
        <v>-8.6476636980497048</v>
      </c>
    </row>
    <row r="118" spans="1:20" x14ac:dyDescent="0.25">
      <c r="A118" s="5">
        <v>44475</v>
      </c>
      <c r="B118">
        <v>0.33989999999999998</v>
      </c>
      <c r="C118">
        <v>0.34410000000000002</v>
      </c>
      <c r="D118">
        <v>0.31879999999999997</v>
      </c>
      <c r="E118">
        <v>0.32979999999999998</v>
      </c>
      <c r="F118">
        <v>10972310</v>
      </c>
      <c r="G118">
        <v>0.32979999999999998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-0.13043478260869643</v>
      </c>
      <c r="Q118">
        <f t="shared" ref="Q118" si="566">F118*P118</f>
        <v>-1431170.8695652259</v>
      </c>
      <c r="R118">
        <f t="shared" ref="R118" si="567">R119+Q118</f>
        <v>-864587944.84343195</v>
      </c>
      <c r="S118">
        <f t="shared" ref="S118" si="568">R118/100000</f>
        <v>-8645.8794484343198</v>
      </c>
      <c r="T118">
        <f t="shared" ref="T118" si="569">S118/1000</f>
        <v>-8.6458794484343198</v>
      </c>
    </row>
    <row r="119" spans="1:20" x14ac:dyDescent="0.25">
      <c r="A119" s="5">
        <v>44474</v>
      </c>
      <c r="B119">
        <v>0.33700000000000002</v>
      </c>
      <c r="C119">
        <v>0.34360000000000002</v>
      </c>
      <c r="D119">
        <v>0.3322</v>
      </c>
      <c r="E119">
        <v>0.33989999999999998</v>
      </c>
      <c r="F119">
        <v>7130476</v>
      </c>
      <c r="G119">
        <v>0.33989999999999998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0.3508771929824509</v>
      </c>
      <c r="Q119">
        <f t="shared" ref="Q119" si="571">F119*P119</f>
        <v>2501921.4035087344</v>
      </c>
      <c r="R119">
        <f t="shared" ref="R119" si="572">R120+Q119</f>
        <v>-863156773.9738667</v>
      </c>
      <c r="S119">
        <f t="shared" ref="S119" si="573">R119/100000</f>
        <v>-8631.5677397386662</v>
      </c>
      <c r="T119">
        <f t="shared" ref="T119" si="574">S119/1000</f>
        <v>-8.6315677397386654</v>
      </c>
    </row>
    <row r="120" spans="1:20" x14ac:dyDescent="0.25">
      <c r="A120" s="5">
        <v>44473</v>
      </c>
      <c r="B120">
        <v>0.34420000000000001</v>
      </c>
      <c r="C120">
        <v>0.34460000000000002</v>
      </c>
      <c r="D120">
        <v>0.32790000000000002</v>
      </c>
      <c r="E120">
        <v>0.33729999999999999</v>
      </c>
      <c r="F120">
        <v>8425414</v>
      </c>
      <c r="G120">
        <v>0.33729999999999999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0.12574850299400817</v>
      </c>
      <c r="Q120">
        <f t="shared" ref="Q120" si="576">F120*P120</f>
        <v>1059483.1976047582</v>
      </c>
      <c r="R120">
        <f t="shared" ref="R120" si="577">R121+Q120</f>
        <v>-865658695.37737548</v>
      </c>
      <c r="S120">
        <f t="shared" ref="S120" si="578">R120/100000</f>
        <v>-8656.5869537737544</v>
      </c>
      <c r="T120">
        <f t="shared" ref="T120" si="579">S120/1000</f>
        <v>-8.6565869537737541</v>
      </c>
    </row>
    <row r="121" spans="1:20" x14ac:dyDescent="0.25">
      <c r="A121" s="5">
        <v>44472</v>
      </c>
      <c r="B121">
        <v>0.33100000000000002</v>
      </c>
      <c r="C121">
        <v>0.3508</v>
      </c>
      <c r="D121">
        <v>0.3236</v>
      </c>
      <c r="E121">
        <v>0.34549999999999997</v>
      </c>
      <c r="F121">
        <v>16828378</v>
      </c>
      <c r="G121">
        <v>0.34549999999999997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0.61029411764705688</v>
      </c>
      <c r="Q121">
        <f t="shared" ref="Q121" si="581">F121*P121</f>
        <v>10270260.102941144</v>
      </c>
      <c r="R121">
        <f t="shared" ref="R121" si="582">R122+Q121</f>
        <v>-866718178.57498026</v>
      </c>
      <c r="S121">
        <f t="shared" ref="S121" si="583">R121/100000</f>
        <v>-8667.1817857498027</v>
      </c>
      <c r="T121">
        <f t="shared" ref="T121" si="584">S121/1000</f>
        <v>-8.6671817857498024</v>
      </c>
    </row>
    <row r="122" spans="1:20" x14ac:dyDescent="0.25">
      <c r="A122" s="5">
        <v>44471</v>
      </c>
      <c r="B122">
        <v>0.3201</v>
      </c>
      <c r="C122">
        <v>0.35220000000000001</v>
      </c>
      <c r="D122">
        <v>0.31640000000000001</v>
      </c>
      <c r="E122">
        <v>0.33110000000000001</v>
      </c>
      <c r="F122">
        <v>21504844</v>
      </c>
      <c r="G122">
        <v>0.33110000000000001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-0.17877094972067087</v>
      </c>
      <c r="Q122">
        <f t="shared" ref="Q122" si="586">F122*P122</f>
        <v>-3844441.3854748704</v>
      </c>
      <c r="R122">
        <f t="shared" ref="R122" si="587">R123+Q122</f>
        <v>-876988438.67792141</v>
      </c>
      <c r="S122">
        <f t="shared" ref="S122" si="588">R122/100000</f>
        <v>-8769.8843867792148</v>
      </c>
      <c r="T122">
        <f t="shared" ref="T122" si="589">S122/1000</f>
        <v>-8.7698843867792142</v>
      </c>
    </row>
    <row r="123" spans="1:20" x14ac:dyDescent="0.25">
      <c r="A123" s="5">
        <v>44470</v>
      </c>
      <c r="B123">
        <v>0.29870000000000002</v>
      </c>
      <c r="C123">
        <v>0.32300000000000001</v>
      </c>
      <c r="D123">
        <v>0.29670000000000002</v>
      </c>
      <c r="E123">
        <v>0.32019999999999998</v>
      </c>
      <c r="F123">
        <v>11468570</v>
      </c>
      <c r="G123">
        <v>0.32019999999999998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0.78707224334600567</v>
      </c>
      <c r="Q123">
        <f t="shared" ref="Q123" si="591">F123*P123</f>
        <v>9026593.1178706996</v>
      </c>
      <c r="R123">
        <f t="shared" ref="R123" si="592">R124+Q123</f>
        <v>-873143997.29244649</v>
      </c>
      <c r="S123">
        <f t="shared" ref="S123" si="593">R123/100000</f>
        <v>-8731.4399729244651</v>
      </c>
      <c r="T123">
        <f t="shared" ref="T123" si="594">S123/1000</f>
        <v>-8.7314399729244645</v>
      </c>
    </row>
    <row r="124" spans="1:20" x14ac:dyDescent="0.25">
      <c r="A124" s="5">
        <v>44469</v>
      </c>
      <c r="B124">
        <v>0.29449999999999998</v>
      </c>
      <c r="C124">
        <v>0.3019</v>
      </c>
      <c r="D124">
        <v>0.29160000000000003</v>
      </c>
      <c r="E124">
        <v>0.29849999999999999</v>
      </c>
      <c r="F124">
        <v>10997251</v>
      </c>
      <c r="G124">
        <v>0.29849999999999999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0.33980582524271413</v>
      </c>
      <c r="Q124">
        <f t="shared" ref="Q124" si="596">F124*P124</f>
        <v>3736929.9514562632</v>
      </c>
      <c r="R124">
        <f t="shared" ref="R124" si="597">R125+Q124</f>
        <v>-882170590.41031718</v>
      </c>
      <c r="S124">
        <f t="shared" ref="S124" si="598">R124/100000</f>
        <v>-8821.7059041031716</v>
      </c>
      <c r="T124">
        <f t="shared" ref="T124" si="599">S124/1000</f>
        <v>-8.8217059041031725</v>
      </c>
    </row>
    <row r="125" spans="1:20" x14ac:dyDescent="0.25">
      <c r="A125" s="5">
        <v>44468</v>
      </c>
      <c r="B125">
        <v>0.28820000000000001</v>
      </c>
      <c r="C125">
        <v>0.30840000000000001</v>
      </c>
      <c r="D125">
        <v>0.2843</v>
      </c>
      <c r="E125">
        <v>0.29449999999999998</v>
      </c>
      <c r="F125">
        <v>13619366.1</v>
      </c>
      <c r="G125">
        <v>0.29449999999999998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-0.1535269709543583</v>
      </c>
      <c r="Q125">
        <f t="shared" ref="Q125" si="601">F125*P125</f>
        <v>-2090940.0236514721</v>
      </c>
      <c r="R125">
        <f t="shared" ref="R125" si="602">R126+Q125</f>
        <v>-885907520.36177349</v>
      </c>
      <c r="S125">
        <f t="shared" ref="S125" si="603">R125/100000</f>
        <v>-8859.0752036177346</v>
      </c>
      <c r="T125">
        <f t="shared" ref="T125" si="604">S125/1000</f>
        <v>-8.8590752036177349</v>
      </c>
    </row>
    <row r="126" spans="1:20" x14ac:dyDescent="0.25">
      <c r="A126" s="5">
        <v>44467</v>
      </c>
      <c r="B126">
        <v>0.30969999999999998</v>
      </c>
      <c r="C126">
        <v>0.32100000000000001</v>
      </c>
      <c r="D126">
        <v>0.28670000000000001</v>
      </c>
      <c r="E126">
        <v>0.28820000000000001</v>
      </c>
      <c r="F126">
        <v>14063306.01</v>
      </c>
      <c r="G126">
        <v>0.28820000000000001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-0.91253644314868798</v>
      </c>
      <c r="Q126">
        <f t="shared" ref="Q126" si="606">F126*P126</f>
        <v>-12833279.245276967</v>
      </c>
      <c r="R126">
        <f t="shared" ref="R126" si="607">R127+Q126</f>
        <v>-883816580.33812201</v>
      </c>
      <c r="S126">
        <f t="shared" ref="S126" si="608">R126/100000</f>
        <v>-8838.16580338122</v>
      </c>
      <c r="T126">
        <f t="shared" ref="T126" si="609">S126/1000</f>
        <v>-8.8381658033812194</v>
      </c>
    </row>
    <row r="127" spans="1:20" x14ac:dyDescent="0.25">
      <c r="A127" s="5">
        <v>44466</v>
      </c>
      <c r="B127">
        <v>0.31859999999999999</v>
      </c>
      <c r="C127">
        <v>0.32629999999999998</v>
      </c>
      <c r="D127">
        <v>0.3075</v>
      </c>
      <c r="E127">
        <v>0.30869999999999997</v>
      </c>
      <c r="F127">
        <v>6375578</v>
      </c>
      <c r="G127">
        <v>0.30869999999999997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-0.87234042553191704</v>
      </c>
      <c r="Q127">
        <f t="shared" ref="Q127" si="611">F127*P127</f>
        <v>-5561674.4255319284</v>
      </c>
      <c r="R127">
        <f t="shared" ref="R127" si="612">R128+Q127</f>
        <v>-870983301.09284508</v>
      </c>
      <c r="S127">
        <f t="shared" ref="S127" si="613">R127/100000</f>
        <v>-8709.8330109284507</v>
      </c>
      <c r="T127">
        <f t="shared" ref="T127" si="614">S127/1000</f>
        <v>-8.7098330109284507</v>
      </c>
    </row>
    <row r="128" spans="1:20" x14ac:dyDescent="0.25">
      <c r="A128" s="5">
        <v>44465</v>
      </c>
      <c r="B128">
        <v>0.31869999999999998</v>
      </c>
      <c r="C128">
        <v>0.32850000000000001</v>
      </c>
      <c r="D128">
        <v>0.29649999999999999</v>
      </c>
      <c r="E128">
        <v>0.31950000000000001</v>
      </c>
      <c r="F128">
        <v>11016101.84</v>
      </c>
      <c r="G128">
        <v>0.31950000000000001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0.4375</v>
      </c>
      <c r="Q128">
        <f t="shared" ref="Q128" si="616">F128*P128</f>
        <v>4819544.5549999997</v>
      </c>
      <c r="R128">
        <f t="shared" ref="R128" si="617">R129+Q128</f>
        <v>-865421626.6673131</v>
      </c>
      <c r="S128">
        <f t="shared" ref="S128" si="618">R128/100000</f>
        <v>-8654.216266673131</v>
      </c>
      <c r="T128">
        <f t="shared" ref="T128" si="619">S128/1000</f>
        <v>-8.6542162666731315</v>
      </c>
    </row>
    <row r="129" spans="1:20" x14ac:dyDescent="0.25">
      <c r="A129" s="5">
        <v>44464</v>
      </c>
      <c r="B129">
        <v>0.32169999999999999</v>
      </c>
      <c r="C129">
        <v>0.32590000000000002</v>
      </c>
      <c r="D129">
        <v>0.31040000000000001</v>
      </c>
      <c r="E129">
        <v>0.31869999999999998</v>
      </c>
      <c r="F129">
        <v>10615528</v>
      </c>
      <c r="G129">
        <v>0.31869999999999998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7.096774193547957E-2</v>
      </c>
      <c r="Q129">
        <f t="shared" ref="Q129" si="621">F129*P129</f>
        <v>753360.05161285761</v>
      </c>
      <c r="R129">
        <f t="shared" ref="R129" si="622">R130+Q129</f>
        <v>-870241171.22231305</v>
      </c>
      <c r="S129">
        <f t="shared" ref="S129" si="623">R129/100000</f>
        <v>-8702.411712223131</v>
      </c>
      <c r="T129">
        <f t="shared" ref="T129" si="624">S129/1000</f>
        <v>-8.7024117122231317</v>
      </c>
    </row>
    <row r="130" spans="1:20" x14ac:dyDescent="0.25">
      <c r="A130" s="5">
        <v>44463</v>
      </c>
      <c r="B130">
        <v>0.35060000000000002</v>
      </c>
      <c r="C130">
        <v>0.35499999999999998</v>
      </c>
      <c r="D130">
        <v>0.3044</v>
      </c>
      <c r="E130">
        <v>0.32140000000000002</v>
      </c>
      <c r="F130">
        <v>14958602.77</v>
      </c>
      <c r="G130">
        <v>0.32140000000000002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-0.32806324110671847</v>
      </c>
      <c r="Q130">
        <f t="shared" ref="Q130" si="626">F130*P130</f>
        <v>-4907367.7071541371</v>
      </c>
      <c r="R130">
        <f t="shared" ref="R130" si="627">R131+Q130</f>
        <v>-870994531.2739259</v>
      </c>
      <c r="S130">
        <f t="shared" ref="S130" si="628">R130/100000</f>
        <v>-8709.945312739259</v>
      </c>
      <c r="T130">
        <f t="shared" ref="T130" si="629">S130/1000</f>
        <v>-8.7099453127392596</v>
      </c>
    </row>
    <row r="131" spans="1:20" x14ac:dyDescent="0.25">
      <c r="A131" s="5">
        <v>44462</v>
      </c>
      <c r="B131">
        <v>0.34960000000000002</v>
      </c>
      <c r="C131">
        <v>0.35539999999999999</v>
      </c>
      <c r="D131">
        <v>0.34129999999999999</v>
      </c>
      <c r="E131">
        <v>0.35049999999999998</v>
      </c>
      <c r="F131">
        <v>10673509</v>
      </c>
      <c r="G131">
        <v>0.35049999999999998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0.30496453900709009</v>
      </c>
      <c r="Q131">
        <f t="shared" ref="Q131" si="631">F131*P131</f>
        <v>3255041.7517730272</v>
      </c>
      <c r="R131">
        <f t="shared" ref="R131" si="632">R132+Q131</f>
        <v>-866087163.56677175</v>
      </c>
      <c r="S131">
        <f t="shared" ref="S131" si="633">R131/100000</f>
        <v>-8660.8716356677178</v>
      </c>
      <c r="T131">
        <f t="shared" ref="T131" si="634">S131/1000</f>
        <v>-8.6608716356677178</v>
      </c>
    </row>
    <row r="132" spans="1:20" x14ac:dyDescent="0.25">
      <c r="A132" s="5">
        <v>44461</v>
      </c>
      <c r="B132">
        <v>0.31580000000000003</v>
      </c>
      <c r="C132">
        <v>0.36330000000000001</v>
      </c>
      <c r="D132">
        <v>0.31259999999999999</v>
      </c>
      <c r="E132">
        <v>0.35039999999999999</v>
      </c>
      <c r="F132">
        <v>14348355</v>
      </c>
      <c r="G132">
        <v>0.35039999999999999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0.49112426035502893</v>
      </c>
      <c r="Q132">
        <f t="shared" ref="Q132" si="636">F132*P132</f>
        <v>7046825.2366863815</v>
      </c>
      <c r="R132">
        <f t="shared" ref="R132" si="637">R133+Q132</f>
        <v>-869342205.31854475</v>
      </c>
      <c r="S132">
        <f t="shared" ref="S132" si="638">R132/100000</f>
        <v>-8693.422053185448</v>
      </c>
      <c r="T132">
        <f t="shared" ref="T132" si="639">S132/1000</f>
        <v>-8.6934220531854471</v>
      </c>
    </row>
    <row r="133" spans="1:20" x14ac:dyDescent="0.25">
      <c r="A133" s="5">
        <v>44460</v>
      </c>
      <c r="B133">
        <v>0.33589999999999998</v>
      </c>
      <c r="C133">
        <v>0.37980000000000003</v>
      </c>
      <c r="D133">
        <v>0.312</v>
      </c>
      <c r="E133">
        <v>0.31480000000000002</v>
      </c>
      <c r="F133">
        <v>27200377</v>
      </c>
      <c r="G133">
        <v>0.31480000000000002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-0.9174041297935096</v>
      </c>
      <c r="Q133">
        <f t="shared" ref="Q133" si="641">F133*P133</f>
        <v>-24953738.191740394</v>
      </c>
      <c r="R133">
        <f t="shared" ref="R133" si="642">R134+Q133</f>
        <v>-876389030.55523109</v>
      </c>
      <c r="S133">
        <f t="shared" ref="S133" si="643">R133/100000</f>
        <v>-8763.8903055523115</v>
      </c>
      <c r="T133">
        <f t="shared" ref="T133" si="644">S133/1000</f>
        <v>-8.7638903055523123</v>
      </c>
    </row>
    <row r="134" spans="1:20" x14ac:dyDescent="0.25">
      <c r="A134" s="5">
        <v>44459</v>
      </c>
      <c r="B134">
        <v>0.3679</v>
      </c>
      <c r="C134">
        <v>0.36799999999999999</v>
      </c>
      <c r="D134">
        <v>0.3271</v>
      </c>
      <c r="E134">
        <v>0.33689999999999998</v>
      </c>
      <c r="F134">
        <v>5499490.0199999996</v>
      </c>
      <c r="G134">
        <v>0.33689999999999998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-0.52078239608802068</v>
      </c>
      <c r="Q134">
        <f t="shared" ref="Q134" si="646">F134*P134</f>
        <v>-2864037.5898777568</v>
      </c>
      <c r="R134">
        <f t="shared" ref="R134" si="647">R135+Q134</f>
        <v>-851435292.3634907</v>
      </c>
      <c r="S134">
        <f t="shared" ref="S134" si="648">R134/100000</f>
        <v>-8514.3529236349077</v>
      </c>
      <c r="T134">
        <f t="shared" ref="T134" si="649">S134/1000</f>
        <v>-8.5143529236349078</v>
      </c>
    </row>
    <row r="135" spans="1:20" x14ac:dyDescent="0.25">
      <c r="A135" s="5">
        <v>44458</v>
      </c>
      <c r="B135">
        <v>0.3775</v>
      </c>
      <c r="C135">
        <v>0.39539999999999997</v>
      </c>
      <c r="D135">
        <v>0.3624</v>
      </c>
      <c r="E135">
        <v>0.3679</v>
      </c>
      <c r="F135">
        <v>15697482</v>
      </c>
      <c r="G135">
        <v>0.3679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-0.66666666666666607</v>
      </c>
      <c r="Q135">
        <f t="shared" ref="Q135" si="651">F135*P135</f>
        <v>-10464987.999999991</v>
      </c>
      <c r="R135">
        <f t="shared" ref="R135" si="652">R136+Q135</f>
        <v>-848571254.77361298</v>
      </c>
      <c r="S135">
        <f t="shared" ref="S135" si="653">R135/100000</f>
        <v>-8485.7125477361296</v>
      </c>
      <c r="T135">
        <f t="shared" ref="T135" si="654">S135/1000</f>
        <v>-8.4857125477361297</v>
      </c>
    </row>
    <row r="136" spans="1:20" x14ac:dyDescent="0.25">
      <c r="A136" s="5">
        <v>44457</v>
      </c>
      <c r="B136">
        <v>0.36049999999999999</v>
      </c>
      <c r="C136">
        <v>0.41670000000000001</v>
      </c>
      <c r="D136">
        <v>0.35770000000000002</v>
      </c>
      <c r="E136">
        <v>0.378</v>
      </c>
      <c r="F136">
        <v>23501191</v>
      </c>
      <c r="G136">
        <v>0.378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-0.31186440677966148</v>
      </c>
      <c r="Q136">
        <f t="shared" ref="Q136" si="656">F136*P136</f>
        <v>-7329184.9898305191</v>
      </c>
      <c r="R136">
        <f t="shared" ref="R136" si="657">R137+Q136</f>
        <v>-838106266.77361298</v>
      </c>
      <c r="S136">
        <f t="shared" ref="S136" si="658">R136/100000</f>
        <v>-8381.0626677361306</v>
      </c>
      <c r="T136">
        <f t="shared" ref="T136" si="659">S136/1000</f>
        <v>-8.3810626677361313</v>
      </c>
    </row>
    <row r="137" spans="1:20" x14ac:dyDescent="0.25">
      <c r="A137" s="5">
        <v>44456</v>
      </c>
      <c r="B137">
        <v>0.37409999999999999</v>
      </c>
      <c r="C137">
        <v>0.38109999999999999</v>
      </c>
      <c r="D137">
        <v>0.35680000000000001</v>
      </c>
      <c r="E137">
        <v>0.35949999999999999</v>
      </c>
      <c r="F137">
        <v>9044182</v>
      </c>
      <c r="G137">
        <v>0.35949999999999999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-0.77777777777777934</v>
      </c>
      <c r="Q137">
        <f t="shared" ref="Q137" si="661">F137*P137</f>
        <v>-7034363.777777792</v>
      </c>
      <c r="R137">
        <f t="shared" ref="R137" si="662">R138+Q137</f>
        <v>-830777081.78378248</v>
      </c>
      <c r="S137">
        <f t="shared" ref="S137" si="663">R137/100000</f>
        <v>-8307.7708178378252</v>
      </c>
      <c r="T137">
        <f t="shared" ref="T137" si="664">S137/1000</f>
        <v>-8.3077708178378256</v>
      </c>
    </row>
    <row r="138" spans="1:20" x14ac:dyDescent="0.25">
      <c r="A138" s="5">
        <v>44455</v>
      </c>
      <c r="B138">
        <v>0.38590000000000002</v>
      </c>
      <c r="C138">
        <v>0.39479999999999998</v>
      </c>
      <c r="D138">
        <v>0.37009999999999998</v>
      </c>
      <c r="E138">
        <v>0.37409999999999999</v>
      </c>
      <c r="F138">
        <v>10387537</v>
      </c>
      <c r="G138">
        <v>0.37409999999999999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-0.67611336032388636</v>
      </c>
      <c r="Q138">
        <f t="shared" ref="Q138" si="666">F138*P138</f>
        <v>-7023152.5465587014</v>
      </c>
      <c r="R138">
        <f t="shared" ref="R138" si="667">R139+Q138</f>
        <v>-823742718.00600469</v>
      </c>
      <c r="S138">
        <f t="shared" ref="S138" si="668">R138/100000</f>
        <v>-8237.4271800600472</v>
      </c>
      <c r="T138">
        <f t="shared" ref="T138" si="669">S138/1000</f>
        <v>-8.2374271800600471</v>
      </c>
    </row>
    <row r="139" spans="1:20" x14ac:dyDescent="0.25">
      <c r="A139" s="5">
        <v>44454</v>
      </c>
      <c r="B139">
        <v>0.37030000000000002</v>
      </c>
      <c r="C139">
        <v>0.38879999999999998</v>
      </c>
      <c r="D139">
        <v>0.36699999999999999</v>
      </c>
      <c r="E139">
        <v>0.38590000000000002</v>
      </c>
      <c r="F139">
        <v>9599724</v>
      </c>
      <c r="G139">
        <v>0.38590000000000002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0.73394495412844407</v>
      </c>
      <c r="Q139">
        <f t="shared" ref="Q139" si="671">F139*P139</f>
        <v>7045668.9908257239</v>
      </c>
      <c r="R139">
        <f t="shared" ref="R139" si="672">R140+Q139</f>
        <v>-816719565.45944595</v>
      </c>
      <c r="S139">
        <f t="shared" ref="S139" si="673">R139/100000</f>
        <v>-8167.1956545944595</v>
      </c>
      <c r="T139">
        <f t="shared" ref="T139" si="674">S139/1000</f>
        <v>-8.16719565459446</v>
      </c>
    </row>
    <row r="140" spans="1:20" x14ac:dyDescent="0.25">
      <c r="A140" s="5">
        <v>44453</v>
      </c>
      <c r="B140">
        <v>0.36499999999999999</v>
      </c>
      <c r="C140">
        <v>0.37769999999999998</v>
      </c>
      <c r="D140">
        <v>0.36120000000000002</v>
      </c>
      <c r="E140">
        <v>0.37069999999999997</v>
      </c>
      <c r="F140">
        <v>7763900</v>
      </c>
      <c r="G140">
        <v>0.37069999999999997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0.15151515151514866</v>
      </c>
      <c r="Q140">
        <f t="shared" ref="Q140" si="676">F140*P140</f>
        <v>1176348.4848484627</v>
      </c>
      <c r="R140">
        <f t="shared" ref="R140" si="677">R141+Q140</f>
        <v>-823765234.45027173</v>
      </c>
      <c r="S140">
        <f t="shared" ref="S140" si="678">R140/100000</f>
        <v>-8237.6523445027178</v>
      </c>
      <c r="T140">
        <f t="shared" ref="T140" si="679">S140/1000</f>
        <v>-8.2376523445027185</v>
      </c>
    </row>
    <row r="141" spans="1:20" x14ac:dyDescent="0.25">
      <c r="A141" s="5">
        <v>44452</v>
      </c>
      <c r="B141">
        <v>0.38119999999999998</v>
      </c>
      <c r="C141">
        <v>0.38290000000000002</v>
      </c>
      <c r="D141">
        <v>0.34889999999999999</v>
      </c>
      <c r="E141">
        <v>0.36520000000000002</v>
      </c>
      <c r="F141">
        <v>10938068</v>
      </c>
      <c r="G141">
        <v>0.36520000000000002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-4.1176470588233989E-2</v>
      </c>
      <c r="Q141">
        <f t="shared" ref="Q141" si="681">F141*P141</f>
        <v>-450391.03529410338</v>
      </c>
      <c r="R141">
        <f t="shared" ref="R141" si="682">R142+Q141</f>
        <v>-824941582.93512022</v>
      </c>
      <c r="S141">
        <f t="shared" ref="S141" si="683">R141/100000</f>
        <v>-8249.4158293512028</v>
      </c>
      <c r="T141">
        <f t="shared" ref="T141" si="684">S141/1000</f>
        <v>-8.2494158293512037</v>
      </c>
    </row>
    <row r="142" spans="1:20" x14ac:dyDescent="0.25">
      <c r="A142" s="5">
        <v>44451</v>
      </c>
      <c r="B142">
        <v>0.37459999999999999</v>
      </c>
      <c r="C142">
        <v>0.39279999999999998</v>
      </c>
      <c r="D142">
        <v>0.36320000000000002</v>
      </c>
      <c r="E142">
        <v>0.3821</v>
      </c>
      <c r="F142">
        <v>12425794</v>
      </c>
      <c r="G142">
        <v>0.3821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0.27702702702702692</v>
      </c>
      <c r="Q142">
        <f t="shared" ref="Q142" si="686">F142*P142</f>
        <v>3442280.7702702689</v>
      </c>
      <c r="R142">
        <f t="shared" ref="R142" si="687">R143+Q142</f>
        <v>-824491191.89982617</v>
      </c>
      <c r="S142">
        <f t="shared" ref="S142" si="688">R142/100000</f>
        <v>-8244.9119189982612</v>
      </c>
      <c r="T142">
        <f t="shared" ref="T142" si="689">S142/1000</f>
        <v>-8.2449119189982607</v>
      </c>
    </row>
    <row r="143" spans="1:20" x14ac:dyDescent="0.25">
      <c r="A143" s="5">
        <v>44450</v>
      </c>
      <c r="B143">
        <v>0.36770000000000003</v>
      </c>
      <c r="C143">
        <v>0.39629999999999999</v>
      </c>
      <c r="D143">
        <v>0.35649999999999998</v>
      </c>
      <c r="E143">
        <v>0.375</v>
      </c>
      <c r="F143">
        <v>13702104</v>
      </c>
      <c r="G143">
        <v>0.375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-7.0351758793969071E-2</v>
      </c>
      <c r="Q143">
        <f t="shared" ref="Q143" si="691">F143*P143</f>
        <v>-963967.11557787878</v>
      </c>
      <c r="R143">
        <f t="shared" ref="R143" si="692">R144+Q143</f>
        <v>-827933472.6700964</v>
      </c>
      <c r="S143">
        <f t="shared" ref="S143" si="693">R143/100000</f>
        <v>-8279.3347267009631</v>
      </c>
      <c r="T143">
        <f t="shared" ref="T143" si="694">S143/1000</f>
        <v>-8.2793347267009629</v>
      </c>
    </row>
    <row r="144" spans="1:20" x14ac:dyDescent="0.25">
      <c r="A144" s="5">
        <v>44449</v>
      </c>
      <c r="B144">
        <v>0.38769999999999999</v>
      </c>
      <c r="C144">
        <v>0.39429999999999998</v>
      </c>
      <c r="D144">
        <v>0.35520000000000002</v>
      </c>
      <c r="E144">
        <v>0.3669</v>
      </c>
      <c r="F144">
        <v>10724572</v>
      </c>
      <c r="G144">
        <v>0.3669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-0.40153452685422009</v>
      </c>
      <c r="Q144">
        <f t="shared" ref="Q144" si="696">F144*P144</f>
        <v>-4306285.9437340172</v>
      </c>
      <c r="R144">
        <f t="shared" ref="R144" si="697">R145+Q144</f>
        <v>-826969505.55451846</v>
      </c>
      <c r="S144">
        <f t="shared" ref="S144" si="698">R144/100000</f>
        <v>-8269.695055545184</v>
      </c>
      <c r="T144">
        <f t="shared" ref="T144" si="699">S144/1000</f>
        <v>-8.2696950555451831</v>
      </c>
    </row>
    <row r="145" spans="1:20" x14ac:dyDescent="0.25">
      <c r="A145" s="5">
        <v>44448</v>
      </c>
      <c r="B145">
        <v>0.37919999999999998</v>
      </c>
      <c r="C145">
        <v>0.39889999999999998</v>
      </c>
      <c r="D145">
        <v>0.3654</v>
      </c>
      <c r="E145">
        <v>0.38779999999999998</v>
      </c>
      <c r="F145">
        <v>18052188</v>
      </c>
      <c r="G145">
        <v>0.38779999999999998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0.33731343283582044</v>
      </c>
      <c r="Q145">
        <f t="shared" ref="Q145" si="701">F145*P145</f>
        <v>6089245.5044776034</v>
      </c>
      <c r="R145">
        <f t="shared" ref="R145" si="702">R146+Q145</f>
        <v>-822663219.61078441</v>
      </c>
      <c r="S145">
        <f t="shared" ref="S145" si="703">R145/100000</f>
        <v>-8226.6321961078447</v>
      </c>
      <c r="T145">
        <f t="shared" ref="T145" si="704">S145/1000</f>
        <v>-8.226632196107845</v>
      </c>
    </row>
    <row r="146" spans="1:20" x14ac:dyDescent="0.25">
      <c r="A146" s="5">
        <v>44447</v>
      </c>
      <c r="B146">
        <v>0.378</v>
      </c>
      <c r="C146">
        <v>0.39900000000000002</v>
      </c>
      <c r="D146">
        <v>0.34079999999999999</v>
      </c>
      <c r="E146">
        <v>0.37919999999999998</v>
      </c>
      <c r="F146">
        <v>18166872.989999998</v>
      </c>
      <c r="G146">
        <v>0.37919999999999998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0.31958762886597836</v>
      </c>
      <c r="Q146">
        <f t="shared" ref="Q146" si="706">F146*P146</f>
        <v>5805907.862783486</v>
      </c>
      <c r="R146">
        <f t="shared" ref="R146" si="707">R147+Q146</f>
        <v>-828752465.11526203</v>
      </c>
      <c r="S146">
        <f t="shared" ref="S146" si="708">R146/100000</f>
        <v>-8287.5246511526202</v>
      </c>
      <c r="T146">
        <f t="shared" ref="T146" si="709">S146/1000</f>
        <v>-8.287524651152621</v>
      </c>
    </row>
    <row r="147" spans="1:20" x14ac:dyDescent="0.25">
      <c r="A147" s="5">
        <v>44446</v>
      </c>
      <c r="B147">
        <v>0.46479999999999999</v>
      </c>
      <c r="C147">
        <v>0.49049999999999999</v>
      </c>
      <c r="D147">
        <v>0.34560000000000002</v>
      </c>
      <c r="E147">
        <v>0.378</v>
      </c>
      <c r="F147">
        <v>31828019.699999999</v>
      </c>
      <c r="G147">
        <v>0.378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-0.55279503105590078</v>
      </c>
      <c r="Q147">
        <f t="shared" ref="Q147" si="711">F147*P147</f>
        <v>-17594371.138509322</v>
      </c>
      <c r="R147">
        <f t="shared" ref="R147" si="712">R148+Q147</f>
        <v>-834558372.97804546</v>
      </c>
      <c r="S147">
        <f t="shared" ref="S147" si="713">R147/100000</f>
        <v>-8345.5837297804555</v>
      </c>
      <c r="T147">
        <f t="shared" ref="T147" si="714">S147/1000</f>
        <v>-8.345583729780456</v>
      </c>
    </row>
    <row r="148" spans="1:20" x14ac:dyDescent="0.25">
      <c r="A148" s="5">
        <v>44445</v>
      </c>
      <c r="B148">
        <v>0.45329999999999998</v>
      </c>
      <c r="C148">
        <v>0.46939999999999998</v>
      </c>
      <c r="D148">
        <v>0.43880000000000002</v>
      </c>
      <c r="E148">
        <v>0.46450000000000002</v>
      </c>
      <c r="F148">
        <v>17259964</v>
      </c>
      <c r="G148">
        <v>0.46450000000000002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0.67973856209150552</v>
      </c>
      <c r="Q148">
        <f t="shared" ref="Q148" si="716">F148*P148</f>
        <v>11732263.111111149</v>
      </c>
      <c r="R148">
        <f t="shared" ref="R148" si="717">R149+Q148</f>
        <v>-816964001.83953619</v>
      </c>
      <c r="S148">
        <f t="shared" ref="S148" si="718">R148/100000</f>
        <v>-8169.6400183953619</v>
      </c>
      <c r="T148">
        <f t="shared" ref="T148" si="719">S148/1000</f>
        <v>-8.1696400183953628</v>
      </c>
    </row>
    <row r="149" spans="1:20" x14ac:dyDescent="0.25">
      <c r="A149" s="5">
        <v>44444</v>
      </c>
      <c r="B149">
        <v>0.432</v>
      </c>
      <c r="C149">
        <v>0.46089999999999998</v>
      </c>
      <c r="D149">
        <v>0.42949999999999999</v>
      </c>
      <c r="E149">
        <v>0.45319999999999999</v>
      </c>
      <c r="F149">
        <v>21077623</v>
      </c>
      <c r="G149">
        <v>0.45319999999999999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0.50955414012738931</v>
      </c>
      <c r="Q149">
        <f t="shared" ref="Q149" si="721">F149*P149</f>
        <v>10740190.063694283</v>
      </c>
      <c r="R149">
        <f t="shared" ref="R149" si="722">R150+Q149</f>
        <v>-828696264.95064735</v>
      </c>
      <c r="S149">
        <f t="shared" ref="S149" si="723">R149/100000</f>
        <v>-8286.9626495064731</v>
      </c>
      <c r="T149">
        <f t="shared" ref="T149" si="724">S149/1000</f>
        <v>-8.2869626495064725</v>
      </c>
    </row>
    <row r="150" spans="1:20" x14ac:dyDescent="0.25">
      <c r="A150" s="5">
        <v>44443</v>
      </c>
      <c r="B150">
        <v>0.42259999999999998</v>
      </c>
      <c r="C150">
        <v>0.44440000000000002</v>
      </c>
      <c r="D150">
        <v>0.4194</v>
      </c>
      <c r="E150">
        <v>0.432</v>
      </c>
      <c r="F150">
        <v>9380144</v>
      </c>
      <c r="G150">
        <v>0.432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7.999999999999112E-3</v>
      </c>
      <c r="Q150">
        <f t="shared" ref="Q150" si="726">F150*P150</f>
        <v>75041.151999991664</v>
      </c>
      <c r="R150">
        <f t="shared" ref="R150" si="727">R151+Q150</f>
        <v>-839436455.01434159</v>
      </c>
      <c r="S150">
        <f t="shared" ref="S150" si="728">R150/100000</f>
        <v>-8394.3645501434166</v>
      </c>
      <c r="T150">
        <f t="shared" ref="T150" si="729">S150/1000</f>
        <v>-8.3943645501434165</v>
      </c>
    </row>
    <row r="151" spans="1:20" x14ac:dyDescent="0.25">
      <c r="A151" s="5">
        <v>44442</v>
      </c>
      <c r="B151">
        <v>0.435</v>
      </c>
      <c r="C151">
        <v>0.44979999999999998</v>
      </c>
      <c r="D151">
        <v>0.41849999999999998</v>
      </c>
      <c r="E151">
        <v>0.4224</v>
      </c>
      <c r="F151">
        <v>20152665</v>
      </c>
      <c r="G151">
        <v>0.4224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-0.75079872204472742</v>
      </c>
      <c r="Q151">
        <f t="shared" ref="Q151" si="731">F151*P151</f>
        <v>-15130595.127795506</v>
      </c>
      <c r="R151">
        <f t="shared" ref="R151" si="732">R152+Q151</f>
        <v>-839511496.16634154</v>
      </c>
      <c r="S151">
        <f t="shared" ref="S151" si="733">R151/100000</f>
        <v>-8395.1149616634157</v>
      </c>
      <c r="T151">
        <f t="shared" ref="T151" si="734">S151/1000</f>
        <v>-8.3951149616634151</v>
      </c>
    </row>
    <row r="152" spans="1:20" x14ac:dyDescent="0.25">
      <c r="A152" s="5">
        <v>44441</v>
      </c>
      <c r="B152">
        <v>0.41339999999999999</v>
      </c>
      <c r="C152">
        <v>0.46200000000000002</v>
      </c>
      <c r="D152">
        <v>0.40639999999999998</v>
      </c>
      <c r="E152">
        <v>0.435</v>
      </c>
      <c r="F152">
        <v>17656661</v>
      </c>
      <c r="G152">
        <v>0.435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2.8776978417265994E-2</v>
      </c>
      <c r="Q152">
        <f t="shared" ref="Q152" si="736">F152*P152</f>
        <v>508105.35251798219</v>
      </c>
      <c r="R152">
        <f t="shared" ref="R152" si="737">R153+Q152</f>
        <v>-824380901.03854609</v>
      </c>
      <c r="S152">
        <f t="shared" ref="S152" si="738">R152/100000</f>
        <v>-8243.8090103854611</v>
      </c>
      <c r="T152">
        <f t="shared" ref="T152" si="739">S152/1000</f>
        <v>-8.2438090103854602</v>
      </c>
    </row>
    <row r="153" spans="1:20" x14ac:dyDescent="0.25">
      <c r="A153" s="5">
        <v>44440</v>
      </c>
      <c r="B153">
        <v>0.40100000000000002</v>
      </c>
      <c r="C153">
        <v>0.41930000000000001</v>
      </c>
      <c r="D153">
        <v>0.3931</v>
      </c>
      <c r="E153">
        <v>0.41310000000000002</v>
      </c>
      <c r="F153">
        <v>10393471</v>
      </c>
      <c r="G153">
        <v>0.41310000000000002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0.52671755725190972</v>
      </c>
      <c r="Q153">
        <f t="shared" ref="Q153" si="741">F153*P153</f>
        <v>5474423.6564885629</v>
      </c>
      <c r="R153">
        <f t="shared" ref="R153" si="742">R154+Q153</f>
        <v>-824889006.39106405</v>
      </c>
      <c r="S153">
        <f t="shared" ref="S153" si="743">R153/100000</f>
        <v>-8248.8900639106396</v>
      </c>
      <c r="T153">
        <f t="shared" ref="T153" si="744">S153/1000</f>
        <v>-8.2488900639106397</v>
      </c>
    </row>
    <row r="154" spans="1:20" x14ac:dyDescent="0.25">
      <c r="A154" s="5">
        <v>44439</v>
      </c>
      <c r="B154">
        <v>0.41909999999999997</v>
      </c>
      <c r="C154">
        <v>0.42209999999999998</v>
      </c>
      <c r="D154">
        <v>0.40100000000000002</v>
      </c>
      <c r="E154">
        <v>0.40150000000000002</v>
      </c>
      <c r="F154">
        <v>13419982</v>
      </c>
      <c r="G154">
        <v>0.40150000000000002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-0.95260663507108989</v>
      </c>
      <c r="Q154">
        <f t="shared" ref="Q154" si="746">F154*P154</f>
        <v>-12783963.895734595</v>
      </c>
      <c r="R154">
        <f t="shared" ref="R154" si="747">R155+Q154</f>
        <v>-830363430.04755259</v>
      </c>
      <c r="S154">
        <f t="shared" ref="S154" si="748">R154/100000</f>
        <v>-8303.6343004755254</v>
      </c>
      <c r="T154">
        <f t="shared" ref="T154" si="749">S154/1000</f>
        <v>-8.303634300475526</v>
      </c>
    </row>
    <row r="155" spans="1:20" x14ac:dyDescent="0.25">
      <c r="A155" s="5">
        <v>44438</v>
      </c>
      <c r="B155">
        <v>0.42909999999999998</v>
      </c>
      <c r="C155">
        <v>0.46350000000000002</v>
      </c>
      <c r="D155">
        <v>0.41510000000000002</v>
      </c>
      <c r="E155">
        <v>0.41980000000000001</v>
      </c>
      <c r="F155">
        <v>19568955</v>
      </c>
      <c r="G155">
        <v>0.41980000000000001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-0.80578512396694291</v>
      </c>
      <c r="Q155">
        <f t="shared" ref="Q155" si="751">F155*P155</f>
        <v>-15768372.830578526</v>
      </c>
      <c r="R155">
        <f t="shared" ref="R155" si="752">R156+Q155</f>
        <v>-817579466.15181804</v>
      </c>
      <c r="S155">
        <f t="shared" ref="S155" si="753">R155/100000</f>
        <v>-8175.79466151818</v>
      </c>
      <c r="T155">
        <f t="shared" ref="T155" si="754">S155/1000</f>
        <v>-8.1757946615181805</v>
      </c>
    </row>
    <row r="156" spans="1:20" x14ac:dyDescent="0.25">
      <c r="A156" s="5">
        <v>44437</v>
      </c>
      <c r="B156">
        <v>0.41320000000000001</v>
      </c>
      <c r="C156">
        <v>0.498</v>
      </c>
      <c r="D156">
        <v>0.40139999999999998</v>
      </c>
      <c r="E156">
        <v>0.4299</v>
      </c>
      <c r="F156">
        <v>38555603.259999998</v>
      </c>
      <c r="G156">
        <v>0.4299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-0.40993788819875737</v>
      </c>
      <c r="Q156">
        <f t="shared" ref="Q156" si="756">F156*P156</f>
        <v>-15805402.578633524</v>
      </c>
      <c r="R156">
        <f t="shared" ref="R156" si="757">R157+Q156</f>
        <v>-801811093.32123947</v>
      </c>
      <c r="S156">
        <f t="shared" ref="S156" si="758">R156/100000</f>
        <v>-8018.1109332123951</v>
      </c>
      <c r="T156">
        <f t="shared" ref="T156" si="759">S156/1000</f>
        <v>-8.0181109332123945</v>
      </c>
    </row>
    <row r="157" spans="1:20" x14ac:dyDescent="0.25">
      <c r="A157" s="5">
        <v>44436</v>
      </c>
      <c r="B157">
        <v>0.41849999999999998</v>
      </c>
      <c r="C157">
        <v>0.433</v>
      </c>
      <c r="D157">
        <v>0.4052</v>
      </c>
      <c r="E157">
        <v>0.41370000000000001</v>
      </c>
      <c r="F157">
        <v>15693009</v>
      </c>
      <c r="G157">
        <v>0.41370000000000001</v>
      </c>
      <c r="L157" t="s">
        <v>7</v>
      </c>
      <c r="M157" t="s">
        <v>8</v>
      </c>
      <c r="N157" t="s">
        <v>8</v>
      </c>
      <c r="P157">
        <f t="shared" ref="P157" si="760">IF(C157=D157,0,((E157-D157)-(C157-E157))/(C157-D157))</f>
        <v>-0.38848920863309278</v>
      </c>
      <c r="Q157">
        <f t="shared" ref="Q157" si="761">F157*P157</f>
        <v>-6096564.6474820022</v>
      </c>
      <c r="R157">
        <f t="shared" ref="R157" si="762">R158+Q157</f>
        <v>-786005690.74260592</v>
      </c>
      <c r="S157">
        <f t="shared" ref="S157" si="763">R157/100000</f>
        <v>-7860.0569074260593</v>
      </c>
      <c r="T157">
        <f t="shared" ref="T157" si="764">S157/1000</f>
        <v>-7.8600569074260589</v>
      </c>
    </row>
    <row r="158" spans="1:20" x14ac:dyDescent="0.25">
      <c r="A158" s="5">
        <v>44435</v>
      </c>
      <c r="B158">
        <v>0.38650000000000001</v>
      </c>
      <c r="C158">
        <v>0.44</v>
      </c>
      <c r="D158">
        <v>0.37409999999999999</v>
      </c>
      <c r="E158">
        <v>0.41870000000000002</v>
      </c>
      <c r="F158">
        <v>21946762.800000001</v>
      </c>
      <c r="G158">
        <v>0.41870000000000002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0.35356600910470465</v>
      </c>
      <c r="Q158">
        <f t="shared" ref="Q158" si="766">F158*P158</f>
        <v>7759629.3359635938</v>
      </c>
      <c r="R158">
        <f t="shared" ref="R158" si="767">R159+Q158</f>
        <v>-779909126.09512389</v>
      </c>
      <c r="S158">
        <f t="shared" ref="S158" si="768">R158/100000</f>
        <v>-7799.0912609512388</v>
      </c>
      <c r="T158">
        <f t="shared" ref="T158" si="769">S158/1000</f>
        <v>-7.7990912609512391</v>
      </c>
    </row>
    <row r="159" spans="1:20" x14ac:dyDescent="0.25">
      <c r="A159" s="5">
        <v>44434</v>
      </c>
      <c r="B159">
        <v>0.41039999999999999</v>
      </c>
      <c r="C159">
        <v>0.42549999999999999</v>
      </c>
      <c r="D159">
        <v>0.37680000000000002</v>
      </c>
      <c r="E159">
        <v>0.3866</v>
      </c>
      <c r="F159">
        <v>12804795.24</v>
      </c>
      <c r="G159">
        <v>0.3866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-0.59753593429158181</v>
      </c>
      <c r="Q159">
        <f t="shared" ref="Q159" si="771">F159*P159</f>
        <v>-7651325.2871458</v>
      </c>
      <c r="R159">
        <f t="shared" ref="R159" si="772">R160+Q159</f>
        <v>-787668755.43108749</v>
      </c>
      <c r="S159">
        <f t="shared" ref="S159" si="773">R159/100000</f>
        <v>-7876.6875543108754</v>
      </c>
      <c r="T159">
        <f t="shared" ref="T159" si="774">S159/1000</f>
        <v>-7.876687554310875</v>
      </c>
    </row>
    <row r="160" spans="1:20" x14ac:dyDescent="0.25">
      <c r="A160" s="5">
        <v>44433</v>
      </c>
      <c r="B160">
        <v>0.4052</v>
      </c>
      <c r="C160">
        <v>0.41789999999999999</v>
      </c>
      <c r="D160">
        <v>0.39240000000000003</v>
      </c>
      <c r="E160">
        <v>0.4093</v>
      </c>
      <c r="F160">
        <v>11792060.380000001</v>
      </c>
      <c r="G160">
        <v>0.4093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0.32549019607843077</v>
      </c>
      <c r="Q160">
        <f t="shared" ref="Q160" si="776">F160*P160</f>
        <v>3838200.045254895</v>
      </c>
      <c r="R160">
        <f t="shared" ref="R160" si="777">R161+Q160</f>
        <v>-780017430.14394164</v>
      </c>
      <c r="S160">
        <f t="shared" ref="S160" si="778">R160/100000</f>
        <v>-7800.174301439416</v>
      </c>
      <c r="T160">
        <f t="shared" ref="T160" si="779">S160/1000</f>
        <v>-7.8001743014394158</v>
      </c>
    </row>
    <row r="161" spans="1:20" x14ac:dyDescent="0.25">
      <c r="A161" s="5">
        <v>44432</v>
      </c>
      <c r="B161">
        <v>0.4446</v>
      </c>
      <c r="C161">
        <v>0.44600000000000001</v>
      </c>
      <c r="D161">
        <v>0.40050000000000002</v>
      </c>
      <c r="E161">
        <v>0.4052</v>
      </c>
      <c r="F161">
        <v>17441710.43</v>
      </c>
      <c r="G161">
        <v>0.4052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-0.79340659340659414</v>
      </c>
      <c r="Q161">
        <f t="shared" ref="Q161" si="781">F161*P161</f>
        <v>-13838368.055450562</v>
      </c>
      <c r="R161">
        <f t="shared" ref="R161" si="782">R162+Q161</f>
        <v>-783855630.18919659</v>
      </c>
      <c r="S161">
        <f t="shared" ref="S161" si="783">R161/100000</f>
        <v>-7838.5563018919656</v>
      </c>
      <c r="T161">
        <f t="shared" ref="T161" si="784">S161/1000</f>
        <v>-7.8385563018919653</v>
      </c>
    </row>
    <row r="162" spans="1:20" x14ac:dyDescent="0.25">
      <c r="A162" s="5">
        <v>44431</v>
      </c>
      <c r="B162">
        <v>0.47160000000000002</v>
      </c>
      <c r="C162">
        <v>0.47370000000000001</v>
      </c>
      <c r="D162">
        <v>0.42530000000000001</v>
      </c>
      <c r="E162">
        <v>0.44479999999999997</v>
      </c>
      <c r="F162">
        <v>36927563.880000003</v>
      </c>
      <c r="G162">
        <v>0.44479999999999997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-0.1942148760330594</v>
      </c>
      <c r="Q162">
        <f t="shared" ref="Q162" si="786">F162*P162</f>
        <v>-7171882.2411570828</v>
      </c>
      <c r="R162">
        <f t="shared" ref="R162" si="787">R163+Q162</f>
        <v>-770017262.13374603</v>
      </c>
      <c r="S162">
        <f t="shared" ref="S162" si="788">R162/100000</f>
        <v>-7700.1726213374604</v>
      </c>
      <c r="T162">
        <f t="shared" ref="T162" si="789">S162/1000</f>
        <v>-7.7001726213374608</v>
      </c>
    </row>
    <row r="163" spans="1:20" x14ac:dyDescent="0.25">
      <c r="A163" s="5">
        <v>44430</v>
      </c>
      <c r="B163">
        <v>0.39050000000000001</v>
      </c>
      <c r="C163">
        <v>0.39950000000000002</v>
      </c>
      <c r="D163">
        <v>0.38919999999999999</v>
      </c>
      <c r="E163">
        <v>0.39939999999999998</v>
      </c>
      <c r="F163">
        <v>1842262.54</v>
      </c>
      <c r="G163">
        <v>0.39939999999999998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0.98058252427183612</v>
      </c>
      <c r="Q163">
        <f t="shared" ref="Q163" si="791">F163*P163</f>
        <v>1806490.4518446445</v>
      </c>
      <c r="R163">
        <f t="shared" ref="R163" si="792">R164+Q163</f>
        <v>-762845379.89258897</v>
      </c>
      <c r="S163">
        <f t="shared" ref="S163" si="793">R163/100000</f>
        <v>-7628.4537989258897</v>
      </c>
      <c r="T163">
        <f t="shared" ref="T163" si="794">S163/1000</f>
        <v>-7.6284537989258894</v>
      </c>
    </row>
    <row r="164" spans="1:20" x14ac:dyDescent="0.25">
      <c r="A164" s="5">
        <v>44429</v>
      </c>
      <c r="B164">
        <v>0.39500000000000002</v>
      </c>
      <c r="C164">
        <v>0.40460000000000002</v>
      </c>
      <c r="D164">
        <v>0.38700000000000001</v>
      </c>
      <c r="E164">
        <v>0.39040000000000002</v>
      </c>
      <c r="F164">
        <v>13558749.439999999</v>
      </c>
      <c r="G164">
        <v>0.39040000000000002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-0.61363636363636209</v>
      </c>
      <c r="Q164">
        <f t="shared" ref="Q164" si="796">F164*P164</f>
        <v>-8320141.7018181607</v>
      </c>
      <c r="R164">
        <f t="shared" ref="R164" si="797">R165+Q164</f>
        <v>-764651870.34443367</v>
      </c>
      <c r="S164">
        <f t="shared" ref="S164" si="798">R164/100000</f>
        <v>-7646.518703444337</v>
      </c>
      <c r="T164">
        <f t="shared" ref="T164" si="799">S164/1000</f>
        <v>-7.6465187034443369</v>
      </c>
    </row>
    <row r="165" spans="1:20" x14ac:dyDescent="0.25">
      <c r="A165" s="5">
        <v>44428</v>
      </c>
      <c r="B165">
        <v>0.37859999999999999</v>
      </c>
      <c r="C165">
        <v>0.41</v>
      </c>
      <c r="D165">
        <v>0.37740000000000001</v>
      </c>
      <c r="E165">
        <v>0.3952</v>
      </c>
      <c r="F165">
        <v>20041067.66</v>
      </c>
      <c r="G165">
        <v>0.3952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9.2024539877300804E-2</v>
      </c>
      <c r="Q165">
        <f t="shared" ref="Q165" si="801">F165*P165</f>
        <v>1844270.0300613535</v>
      </c>
      <c r="R165">
        <f t="shared" ref="R165" si="802">R166+Q165</f>
        <v>-756331728.64261556</v>
      </c>
      <c r="S165">
        <f t="shared" ref="S165" si="803">R165/100000</f>
        <v>-7563.317286426156</v>
      </c>
      <c r="T165">
        <f t="shared" ref="T165" si="804">S165/1000</f>
        <v>-7.5633172864261562</v>
      </c>
    </row>
    <row r="166" spans="1:20" x14ac:dyDescent="0.25">
      <c r="A166" s="5">
        <v>44427</v>
      </c>
      <c r="B166">
        <v>0.35859999999999997</v>
      </c>
      <c r="C166">
        <v>0.38100000000000001</v>
      </c>
      <c r="D166">
        <v>0.34899999999999998</v>
      </c>
      <c r="E166">
        <v>0.37859999999999999</v>
      </c>
      <c r="F166">
        <v>10165238.51</v>
      </c>
      <c r="G166">
        <v>0.37859999999999999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0.84999999999999931</v>
      </c>
      <c r="Q166">
        <f t="shared" ref="Q166" si="806">F166*P166</f>
        <v>8640452.7334999926</v>
      </c>
      <c r="R166">
        <f t="shared" ref="R166" si="807">R167+Q166</f>
        <v>-758175998.67267692</v>
      </c>
      <c r="S166">
        <f t="shared" ref="S166" si="808">R166/100000</f>
        <v>-7581.7599867267691</v>
      </c>
      <c r="T166">
        <f t="shared" ref="T166" si="809">S166/1000</f>
        <v>-7.5817599867267687</v>
      </c>
    </row>
    <row r="167" spans="1:20" x14ac:dyDescent="0.25">
      <c r="A167" s="5">
        <v>44426</v>
      </c>
      <c r="B167">
        <v>0.35780000000000001</v>
      </c>
      <c r="C167">
        <v>0.37530000000000002</v>
      </c>
      <c r="D167">
        <v>0.34689999999999999</v>
      </c>
      <c r="E167">
        <v>0.35899999999999999</v>
      </c>
      <c r="F167">
        <v>9361685.0700000003</v>
      </c>
      <c r="G167">
        <v>0.35899999999999999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-0.14788732394366308</v>
      </c>
      <c r="Q167">
        <f t="shared" ref="Q167" si="811">F167*P167</f>
        <v>-1384474.5526056441</v>
      </c>
      <c r="R167">
        <f t="shared" ref="R167" si="812">R168+Q167</f>
        <v>-766816451.40617692</v>
      </c>
      <c r="S167">
        <f t="shared" ref="S167" si="813">R167/100000</f>
        <v>-7668.1645140617693</v>
      </c>
      <c r="T167">
        <f t="shared" ref="T167" si="814">S167/1000</f>
        <v>-7.6681645140617691</v>
      </c>
    </row>
    <row r="168" spans="1:20" x14ac:dyDescent="0.25">
      <c r="A168" s="5">
        <v>44425</v>
      </c>
      <c r="B168">
        <v>0.38340000000000002</v>
      </c>
      <c r="C168">
        <v>0.38840000000000002</v>
      </c>
      <c r="D168">
        <v>0.35680000000000001</v>
      </c>
      <c r="E168">
        <v>0.3579</v>
      </c>
      <c r="F168">
        <v>10572581.300000001</v>
      </c>
      <c r="G168">
        <v>0.3579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-0.93037974683544367</v>
      </c>
      <c r="Q168">
        <f t="shared" ref="Q168" si="816">F168*P168</f>
        <v>-9836515.5132911466</v>
      </c>
      <c r="R168">
        <f t="shared" ref="R168" si="817">R169+Q168</f>
        <v>-765431976.8535713</v>
      </c>
      <c r="S168">
        <f t="shared" ref="S168" si="818">R168/100000</f>
        <v>-7654.3197685357127</v>
      </c>
      <c r="T168">
        <f t="shared" ref="T168" si="819">S168/1000</f>
        <v>-7.6543197685357125</v>
      </c>
    </row>
    <row r="169" spans="1:20" x14ac:dyDescent="0.25">
      <c r="A169" s="5">
        <v>44424</v>
      </c>
      <c r="B169">
        <v>0.39379999999999998</v>
      </c>
      <c r="C169">
        <v>0.40949999999999998</v>
      </c>
      <c r="D169">
        <v>0.38019999999999998</v>
      </c>
      <c r="E169">
        <v>0.38369999999999999</v>
      </c>
      <c r="F169">
        <v>10600255.279999999</v>
      </c>
      <c r="G169">
        <v>0.38369999999999999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-0.76109215017064824</v>
      </c>
      <c r="Q169">
        <f t="shared" ref="Q169" si="821">F169*P169</f>
        <v>-8067771.0834129667</v>
      </c>
      <c r="R169">
        <f t="shared" ref="R169" si="822">R170+Q169</f>
        <v>-755595461.34028018</v>
      </c>
      <c r="S169">
        <f t="shared" ref="S169" si="823">R169/100000</f>
        <v>-7555.9546134028014</v>
      </c>
      <c r="T169">
        <f t="shared" ref="T169" si="824">S169/1000</f>
        <v>-7.5559546134028013</v>
      </c>
    </row>
    <row r="170" spans="1:20" x14ac:dyDescent="0.25">
      <c r="A170" s="5">
        <v>44423</v>
      </c>
      <c r="B170">
        <v>0.39279999999999998</v>
      </c>
      <c r="C170">
        <v>0.39800000000000002</v>
      </c>
      <c r="D170">
        <v>0.37509999999999999</v>
      </c>
      <c r="E170">
        <v>0.39400000000000002</v>
      </c>
      <c r="F170">
        <v>9946834.3699999992</v>
      </c>
      <c r="G170">
        <v>0.39400000000000002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0.65065502183406132</v>
      </c>
      <c r="Q170">
        <f t="shared" ref="Q170" si="826">F170*P170</f>
        <v>6471957.7341921413</v>
      </c>
      <c r="R170">
        <f t="shared" ref="R170" si="827">R171+Q170</f>
        <v>-747527690.25686717</v>
      </c>
      <c r="S170">
        <f t="shared" ref="S170" si="828">R170/100000</f>
        <v>-7475.2769025686721</v>
      </c>
      <c r="T170">
        <f t="shared" ref="T170" si="829">S170/1000</f>
        <v>-7.4752769025686723</v>
      </c>
    </row>
    <row r="171" spans="1:20" x14ac:dyDescent="0.25">
      <c r="A171" s="5">
        <v>44422</v>
      </c>
      <c r="B171">
        <v>0.40250000000000002</v>
      </c>
      <c r="C171">
        <v>0.40810000000000002</v>
      </c>
      <c r="D171">
        <v>0.38319999999999999</v>
      </c>
      <c r="E171">
        <v>0.39279999999999998</v>
      </c>
      <c r="F171">
        <v>9558976.6099999994</v>
      </c>
      <c r="G171">
        <v>0.39279999999999998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-0.22891566265060365</v>
      </c>
      <c r="Q171">
        <f t="shared" ref="Q171" si="831">F171*P171</f>
        <v>-2188199.4649397708</v>
      </c>
      <c r="R171">
        <f t="shared" ref="R171" si="832">R172+Q171</f>
        <v>-753999647.9910593</v>
      </c>
      <c r="S171">
        <f t="shared" ref="S171" si="833">R171/100000</f>
        <v>-7539.9964799105928</v>
      </c>
      <c r="T171">
        <f t="shared" ref="T171" si="834">S171/1000</f>
        <v>-7.5399964799105925</v>
      </c>
    </row>
    <row r="172" spans="1:20" x14ac:dyDescent="0.25">
      <c r="A172" s="5">
        <v>44421</v>
      </c>
      <c r="B172">
        <v>0.37630000000000002</v>
      </c>
      <c r="C172">
        <v>0.40600000000000003</v>
      </c>
      <c r="D172">
        <v>0.37440000000000001</v>
      </c>
      <c r="E172">
        <v>0.40289999999999998</v>
      </c>
      <c r="F172">
        <v>12237284.130000001</v>
      </c>
      <c r="G172">
        <v>0.40289999999999998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0.80379746835442745</v>
      </c>
      <c r="Q172">
        <f t="shared" ref="Q172" si="836">F172*P172</f>
        <v>9836298.0032278132</v>
      </c>
      <c r="R172">
        <f t="shared" ref="R172" si="837">R173+Q172</f>
        <v>-751811448.52611959</v>
      </c>
      <c r="S172">
        <f t="shared" ref="S172" si="838">R172/100000</f>
        <v>-7518.114485261196</v>
      </c>
      <c r="T172">
        <f t="shared" ref="T172" si="839">S172/1000</f>
        <v>-7.5181144852611963</v>
      </c>
    </row>
    <row r="173" spans="1:20" x14ac:dyDescent="0.25">
      <c r="A173" s="5">
        <v>44420</v>
      </c>
      <c r="B173">
        <v>0.38619999999999999</v>
      </c>
      <c r="C173">
        <v>0.3947</v>
      </c>
      <c r="D173">
        <v>0.36070000000000002</v>
      </c>
      <c r="E173">
        <v>0.37659999999999999</v>
      </c>
      <c r="F173">
        <v>22954397.039999999</v>
      </c>
      <c r="G173">
        <v>0.37659999999999999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-6.4705882352942265E-2</v>
      </c>
      <c r="Q173">
        <f t="shared" ref="Q173" si="841">F173*P173</f>
        <v>-1485284.5143529661</v>
      </c>
      <c r="R173">
        <f t="shared" ref="R173" si="842">R174+Q173</f>
        <v>-761647746.52934742</v>
      </c>
      <c r="S173">
        <f t="shared" ref="S173" si="843">R173/100000</f>
        <v>-7616.4774652934739</v>
      </c>
      <c r="T173">
        <f t="shared" ref="T173" si="844">S173/1000</f>
        <v>-7.6164774652934737</v>
      </c>
    </row>
    <row r="174" spans="1:20" x14ac:dyDescent="0.25">
      <c r="A174" s="5">
        <v>44419</v>
      </c>
      <c r="B174">
        <v>0.37</v>
      </c>
      <c r="C174">
        <v>0.41</v>
      </c>
      <c r="D174">
        <v>0.36969999999999997</v>
      </c>
      <c r="E174">
        <v>0.38550000000000001</v>
      </c>
      <c r="F174">
        <v>21158791.739999998</v>
      </c>
      <c r="G174">
        <v>0.38550000000000001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-0.2158808933002464</v>
      </c>
      <c r="Q174">
        <f t="shared" ref="Q174" si="846">F174*P174</f>
        <v>-4567778.8619850744</v>
      </c>
      <c r="R174">
        <f t="shared" ref="R174" si="847">R175+Q174</f>
        <v>-760162462.0149945</v>
      </c>
      <c r="S174">
        <f t="shared" ref="S174" si="848">R174/100000</f>
        <v>-7601.6246201499453</v>
      </c>
      <c r="T174">
        <f t="shared" ref="T174" si="849">S174/1000</f>
        <v>-7.6016246201499449</v>
      </c>
    </row>
    <row r="175" spans="1:20" x14ac:dyDescent="0.25">
      <c r="A175" s="5">
        <v>44418</v>
      </c>
      <c r="B175">
        <v>0.37280000000000002</v>
      </c>
      <c r="C175">
        <v>0.38340000000000002</v>
      </c>
      <c r="D175">
        <v>0.36280000000000001</v>
      </c>
      <c r="E175">
        <v>0.37</v>
      </c>
      <c r="F175">
        <v>11659834.85</v>
      </c>
      <c r="G175">
        <v>0.37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-0.30097087378640952</v>
      </c>
      <c r="Q175">
        <f t="shared" ref="Q175" si="851">F175*P175</f>
        <v>-3509270.6830097293</v>
      </c>
      <c r="R175">
        <f t="shared" ref="R175" si="852">R176+Q175</f>
        <v>-755594683.15300941</v>
      </c>
      <c r="S175">
        <f t="shared" ref="S175" si="853">R175/100000</f>
        <v>-7555.9468315300937</v>
      </c>
      <c r="T175">
        <f t="shared" ref="T175" si="854">S175/1000</f>
        <v>-7.5559468315300942</v>
      </c>
    </row>
    <row r="176" spans="1:20" x14ac:dyDescent="0.25">
      <c r="A176" s="5">
        <v>44417</v>
      </c>
      <c r="B176">
        <v>0.3503</v>
      </c>
      <c r="C176">
        <v>0.38669999999999999</v>
      </c>
      <c r="D176">
        <v>0.34100000000000003</v>
      </c>
      <c r="E176">
        <v>0.37309999999999999</v>
      </c>
      <c r="F176">
        <v>19193605.039999999</v>
      </c>
      <c r="G176">
        <v>0.37309999999999999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0.40481400437636711</v>
      </c>
      <c r="Q176">
        <f t="shared" ref="Q176" si="856">F176*P176</f>
        <v>7769840.1146608219</v>
      </c>
      <c r="R176">
        <f t="shared" ref="R176" si="857">R177+Q176</f>
        <v>-752085412.46999967</v>
      </c>
      <c r="S176">
        <f t="shared" ref="S176" si="858">R176/100000</f>
        <v>-7520.8541246999966</v>
      </c>
      <c r="T176">
        <f t="shared" ref="T176" si="859">S176/1000</f>
        <v>-7.5208541246999969</v>
      </c>
    </row>
    <row r="177" spans="1:20" x14ac:dyDescent="0.25">
      <c r="A177" s="5">
        <v>44416</v>
      </c>
      <c r="B177">
        <v>0.36990000000000001</v>
      </c>
      <c r="C177">
        <v>0.3841</v>
      </c>
      <c r="D177">
        <v>0.34570000000000001</v>
      </c>
      <c r="E177">
        <v>0.35110000000000002</v>
      </c>
      <c r="F177">
        <v>20285339.109999999</v>
      </c>
      <c r="G177">
        <v>0.35110000000000002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-0.71874999999999911</v>
      </c>
      <c r="Q177">
        <f t="shared" ref="Q177" si="861">F177*P177</f>
        <v>-14580087.485312482</v>
      </c>
      <c r="R177">
        <f t="shared" ref="R177" si="862">R178+Q177</f>
        <v>-759855252.58466053</v>
      </c>
      <c r="S177">
        <f t="shared" ref="S177" si="863">R177/100000</f>
        <v>-7598.552525846605</v>
      </c>
      <c r="T177">
        <f t="shared" ref="T177" si="864">S177/1000</f>
        <v>-7.5985525258466051</v>
      </c>
    </row>
    <row r="178" spans="1:20" x14ac:dyDescent="0.25">
      <c r="A178" s="5">
        <v>44415</v>
      </c>
      <c r="B178">
        <v>0.31240000000000001</v>
      </c>
      <c r="C178">
        <v>0.42830000000000001</v>
      </c>
      <c r="D178">
        <v>0.31130000000000002</v>
      </c>
      <c r="E178">
        <v>0.37</v>
      </c>
      <c r="F178">
        <v>78220517.390000001</v>
      </c>
      <c r="G178">
        <v>0.37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3.4188034188030424E-3</v>
      </c>
      <c r="Q178">
        <f t="shared" ref="Q178" si="866">F178*P178</f>
        <v>267420.57227347483</v>
      </c>
      <c r="R178">
        <f t="shared" ref="R178" si="867">R179+Q178</f>
        <v>-745275165.09934807</v>
      </c>
      <c r="S178">
        <f t="shared" ref="S178" si="868">R178/100000</f>
        <v>-7452.7516509934803</v>
      </c>
      <c r="T178">
        <f t="shared" ref="T178" si="869">S178/1000</f>
        <v>-7.4527516509934806</v>
      </c>
    </row>
    <row r="179" spans="1:20" x14ac:dyDescent="0.25">
      <c r="A179" s="5">
        <v>44414</v>
      </c>
      <c r="B179">
        <v>0.32540000000000002</v>
      </c>
      <c r="C179">
        <v>0.33300000000000002</v>
      </c>
      <c r="D179">
        <v>0.3105</v>
      </c>
      <c r="E179">
        <v>0.3125</v>
      </c>
      <c r="F179">
        <v>11200538.6</v>
      </c>
      <c r="G179">
        <v>0.3125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-0.82222222222222219</v>
      </c>
      <c r="Q179">
        <f t="shared" ref="Q179" si="871">F179*P179</f>
        <v>-9209331.737777777</v>
      </c>
      <c r="R179">
        <f t="shared" ref="R179" si="872">R180+Q179</f>
        <v>-745542585.67162156</v>
      </c>
      <c r="S179">
        <f t="shared" ref="S179" si="873">R179/100000</f>
        <v>-7455.425856716216</v>
      </c>
      <c r="T179">
        <f t="shared" ref="T179" si="874">S179/1000</f>
        <v>-7.4554258567162162</v>
      </c>
    </row>
    <row r="180" spans="1:20" x14ac:dyDescent="0.25">
      <c r="A180" s="5">
        <v>44413</v>
      </c>
      <c r="B180">
        <v>0.29730000000000001</v>
      </c>
      <c r="C180">
        <v>0.32869999999999999</v>
      </c>
      <c r="D180">
        <v>0.29249999999999998</v>
      </c>
      <c r="E180">
        <v>0.32519999999999999</v>
      </c>
      <c r="F180">
        <v>18486403.010000002</v>
      </c>
      <c r="G180">
        <v>0.32519999999999999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0.80662983425414347</v>
      </c>
      <c r="Q180">
        <f t="shared" ref="Q180" si="876">F180*P180</f>
        <v>14911684.195911601</v>
      </c>
      <c r="R180">
        <f t="shared" ref="R180" si="877">R181+Q180</f>
        <v>-736333253.93384373</v>
      </c>
      <c r="S180">
        <f t="shared" ref="S180" si="878">R180/100000</f>
        <v>-7363.3325393384375</v>
      </c>
      <c r="T180">
        <f t="shared" ref="T180" si="879">S180/1000</f>
        <v>-7.3633325393384377</v>
      </c>
    </row>
    <row r="181" spans="1:20" x14ac:dyDescent="0.25">
      <c r="A181" s="5">
        <v>44412</v>
      </c>
      <c r="B181">
        <v>0.2797</v>
      </c>
      <c r="C181">
        <v>0.3</v>
      </c>
      <c r="D181">
        <v>0.27710000000000001</v>
      </c>
      <c r="E181">
        <v>0.29699999999999999</v>
      </c>
      <c r="F181">
        <v>8607111.0899999999</v>
      </c>
      <c r="G181">
        <v>0.29699999999999999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0.73799126637554535</v>
      </c>
      <c r="Q181">
        <f t="shared" ref="Q181" si="881">F181*P181</f>
        <v>6351972.8131441008</v>
      </c>
      <c r="R181">
        <f t="shared" ref="R181" si="882">R182+Q181</f>
        <v>-751244938.12975538</v>
      </c>
      <c r="S181">
        <f t="shared" ref="S181" si="883">R181/100000</f>
        <v>-7512.4493812975534</v>
      </c>
      <c r="T181">
        <f t="shared" ref="T181" si="884">S181/1000</f>
        <v>-7.5124493812975537</v>
      </c>
    </row>
    <row r="182" spans="1:20" x14ac:dyDescent="0.25">
      <c r="A182" s="5">
        <v>44411</v>
      </c>
      <c r="B182">
        <v>0.28939999999999999</v>
      </c>
      <c r="C182">
        <v>0.29299999999999998</v>
      </c>
      <c r="D182">
        <v>0.2777</v>
      </c>
      <c r="E182">
        <v>0.27910000000000001</v>
      </c>
      <c r="F182">
        <v>3376146.42</v>
      </c>
      <c r="G182">
        <v>0.27910000000000001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-0.81699346405228568</v>
      </c>
      <c r="Q182">
        <f t="shared" ref="Q182" si="886">F182*P182</f>
        <v>-2758289.5588235231</v>
      </c>
      <c r="R182">
        <f t="shared" ref="R182" si="887">R183+Q182</f>
        <v>-757596910.94289947</v>
      </c>
      <c r="S182">
        <f t="shared" ref="S182" si="888">R182/100000</f>
        <v>-7575.9691094289947</v>
      </c>
      <c r="T182">
        <f t="shared" ref="T182" si="889">S182/1000</f>
        <v>-7.5759691094289945</v>
      </c>
    </row>
    <row r="183" spans="1:20" x14ac:dyDescent="0.25">
      <c r="A183" s="5">
        <v>44410</v>
      </c>
      <c r="B183">
        <v>0.28499999999999998</v>
      </c>
      <c r="C183">
        <v>0.29210000000000003</v>
      </c>
      <c r="D183">
        <v>0.28249999999999997</v>
      </c>
      <c r="E183">
        <v>0.28939999999999999</v>
      </c>
      <c r="F183">
        <v>3314147.59</v>
      </c>
      <c r="G183">
        <v>0.28939999999999999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0.43749999999999567</v>
      </c>
      <c r="Q183">
        <f t="shared" ref="Q183" si="891">F183*P183</f>
        <v>1449939.5706249855</v>
      </c>
      <c r="R183">
        <f t="shared" ref="R183" si="892">R184+Q183</f>
        <v>-754838621.384076</v>
      </c>
      <c r="S183">
        <f t="shared" ref="S183" si="893">R183/100000</f>
        <v>-7548.3862138407603</v>
      </c>
      <c r="T183">
        <f t="shared" ref="T183" si="894">S183/1000</f>
        <v>-7.54838621384076</v>
      </c>
    </row>
    <row r="184" spans="1:20" x14ac:dyDescent="0.25">
      <c r="A184" s="5">
        <v>44409</v>
      </c>
      <c r="B184">
        <v>0.28889999999999999</v>
      </c>
      <c r="C184">
        <v>0.309</v>
      </c>
      <c r="D184">
        <v>0.28320000000000001</v>
      </c>
      <c r="E184">
        <v>0.28570000000000001</v>
      </c>
      <c r="F184">
        <v>8259845.8300000001</v>
      </c>
      <c r="G184">
        <v>0.28570000000000001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-0.80620155038759667</v>
      </c>
      <c r="Q184">
        <f t="shared" ref="Q184" si="896">F184*P184</f>
        <v>-6659100.5141085256</v>
      </c>
      <c r="R184">
        <f t="shared" ref="R184" si="897">R185+Q184</f>
        <v>-756288560.95470095</v>
      </c>
      <c r="S184">
        <f t="shared" ref="S184" si="898">R184/100000</f>
        <v>-7562.8856095470092</v>
      </c>
      <c r="T184">
        <f t="shared" ref="T184" si="899">S184/1000</f>
        <v>-7.5628856095470089</v>
      </c>
    </row>
    <row r="185" spans="1:20" x14ac:dyDescent="0.25">
      <c r="A185" s="5">
        <v>44408</v>
      </c>
      <c r="B185">
        <v>0.28889999999999999</v>
      </c>
      <c r="C185">
        <v>0.29299999999999998</v>
      </c>
      <c r="D185">
        <v>0.28349999999999997</v>
      </c>
      <c r="E185">
        <v>0.28889999999999999</v>
      </c>
      <c r="F185">
        <v>4598555.45</v>
      </c>
      <c r="G185">
        <v>0.28889999999999999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0.13684210526316024</v>
      </c>
      <c r="Q185">
        <f t="shared" ref="Q185" si="901">F185*P185</f>
        <v>629276.00894737919</v>
      </c>
      <c r="R185">
        <f t="shared" ref="R185" si="902">R186+Q185</f>
        <v>-749629460.44059241</v>
      </c>
      <c r="S185">
        <f t="shared" ref="S185" si="903">R185/100000</f>
        <v>-7496.2946044059245</v>
      </c>
      <c r="T185">
        <f t="shared" ref="T185" si="904">S185/1000</f>
        <v>-7.4962946044059242</v>
      </c>
    </row>
    <row r="186" spans="1:20" x14ac:dyDescent="0.25">
      <c r="A186" s="5">
        <v>44407</v>
      </c>
      <c r="B186">
        <v>0.28439999999999999</v>
      </c>
      <c r="C186">
        <v>0.29039999999999999</v>
      </c>
      <c r="D186">
        <v>0.27579999999999999</v>
      </c>
      <c r="E186">
        <v>0.28889999999999999</v>
      </c>
      <c r="F186">
        <v>5528756.9100000001</v>
      </c>
      <c r="G186">
        <v>0.28889999999999999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0.79452054794520532</v>
      </c>
      <c r="Q186">
        <f t="shared" ref="Q186" si="906">F186*P186</f>
        <v>4392710.9695890406</v>
      </c>
      <c r="R186">
        <f t="shared" ref="R186" si="907">R187+Q186</f>
        <v>-750258736.44953978</v>
      </c>
      <c r="S186">
        <f t="shared" ref="S186" si="908">R186/100000</f>
        <v>-7502.5873644953981</v>
      </c>
      <c r="T186">
        <f t="shared" ref="T186" si="909">S186/1000</f>
        <v>-7.5025873644953984</v>
      </c>
    </row>
    <row r="187" spans="1:20" x14ac:dyDescent="0.25">
      <c r="A187" s="5">
        <v>44406</v>
      </c>
      <c r="B187">
        <v>0.2737</v>
      </c>
      <c r="C187">
        <v>0.29980000000000001</v>
      </c>
      <c r="D187">
        <v>0.26979999999999998</v>
      </c>
      <c r="E187">
        <v>0.28360000000000002</v>
      </c>
      <c r="F187">
        <v>10678996.68</v>
      </c>
      <c r="G187">
        <v>0.28360000000000002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-7.9999999999998517E-2</v>
      </c>
      <c r="Q187">
        <f t="shared" ref="Q187" si="911">F187*P187</f>
        <v>-854319.73439998413</v>
      </c>
      <c r="R187">
        <f t="shared" ref="R187" si="912">R188+Q187</f>
        <v>-754651447.41912878</v>
      </c>
      <c r="S187">
        <f t="shared" ref="S187" si="913">R187/100000</f>
        <v>-7546.5144741912882</v>
      </c>
      <c r="T187">
        <f t="shared" ref="T187" si="914">S187/1000</f>
        <v>-7.5465144741912882</v>
      </c>
    </row>
    <row r="188" spans="1:20" x14ac:dyDescent="0.25">
      <c r="A188" s="5">
        <v>44405</v>
      </c>
      <c r="B188">
        <v>0.27660000000000001</v>
      </c>
      <c r="C188">
        <v>0.27960000000000002</v>
      </c>
      <c r="D188">
        <v>0.26879999999999998</v>
      </c>
      <c r="E188">
        <v>0.27389999999999998</v>
      </c>
      <c r="F188">
        <v>4312776.53</v>
      </c>
      <c r="G188">
        <v>0.27389999999999998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-5.5555555555559556E-2</v>
      </c>
      <c r="Q188">
        <f t="shared" ref="Q188" si="916">F188*P188</f>
        <v>-239598.69611112837</v>
      </c>
      <c r="R188">
        <f t="shared" ref="R188" si="917">R189+Q188</f>
        <v>-753797127.68472874</v>
      </c>
      <c r="S188">
        <f t="shared" ref="S188" si="918">R188/100000</f>
        <v>-7537.9712768472873</v>
      </c>
      <c r="T188">
        <f t="shared" ref="T188" si="919">S188/1000</f>
        <v>-7.5379712768472871</v>
      </c>
    </row>
    <row r="189" spans="1:20" x14ac:dyDescent="0.25">
      <c r="A189" s="5">
        <v>44404</v>
      </c>
      <c r="B189">
        <v>0.27379999999999999</v>
      </c>
      <c r="C189">
        <v>0.27789999999999998</v>
      </c>
      <c r="D189">
        <v>0.2661</v>
      </c>
      <c r="E189">
        <v>0.27650000000000002</v>
      </c>
      <c r="F189">
        <v>6674979.2999999998</v>
      </c>
      <c r="G189">
        <v>0.27650000000000002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0.76271186440678651</v>
      </c>
      <c r="Q189">
        <f t="shared" ref="Q189" si="921">F189*P189</f>
        <v>5091085.9067797065</v>
      </c>
      <c r="R189">
        <f t="shared" ref="R189" si="922">R190+Q189</f>
        <v>-753557528.98861766</v>
      </c>
      <c r="S189">
        <f t="shared" ref="S189" si="923">R189/100000</f>
        <v>-7535.5752898861765</v>
      </c>
      <c r="T189">
        <f t="shared" ref="T189" si="924">S189/1000</f>
        <v>-7.5355752898861761</v>
      </c>
    </row>
    <row r="190" spans="1:20" x14ac:dyDescent="0.25">
      <c r="A190" s="5">
        <v>44403</v>
      </c>
      <c r="B190">
        <v>0.27800000000000002</v>
      </c>
      <c r="C190">
        <v>0.29699999999999999</v>
      </c>
      <c r="D190">
        <v>0.27389999999999998</v>
      </c>
      <c r="E190">
        <v>0.27400000000000002</v>
      </c>
      <c r="F190">
        <v>9610490.8000000007</v>
      </c>
      <c r="G190">
        <v>0.27400000000000002</v>
      </c>
      <c r="L190" t="s">
        <v>8</v>
      </c>
      <c r="M190" t="s">
        <v>7</v>
      </c>
      <c r="N190" t="s">
        <v>8</v>
      </c>
      <c r="P190">
        <f t="shared" ref="P190" si="925">IF(C190=D190,0,((E190-D190)-(C190-E190))/(C190-D190))</f>
        <v>-0.99134199134198753</v>
      </c>
      <c r="Q190">
        <f t="shared" ref="Q190" si="926">F190*P190</f>
        <v>-9527283.0874458514</v>
      </c>
      <c r="R190">
        <f t="shared" ref="R190" si="927">R191+Q190</f>
        <v>-758648614.89539742</v>
      </c>
      <c r="S190">
        <f t="shared" ref="S190" si="928">R190/100000</f>
        <v>-7586.4861489539744</v>
      </c>
      <c r="T190">
        <f t="shared" ref="T190" si="929">S190/1000</f>
        <v>-7.5864861489539743</v>
      </c>
    </row>
    <row r="191" spans="1:20" x14ac:dyDescent="0.25">
      <c r="A191" s="5">
        <v>44402</v>
      </c>
      <c r="B191">
        <v>0.27839999999999998</v>
      </c>
      <c r="C191">
        <v>0.28129999999999999</v>
      </c>
      <c r="D191">
        <v>0.27089999999999997</v>
      </c>
      <c r="E191">
        <v>0.2777</v>
      </c>
      <c r="F191">
        <v>4320025.1399999997</v>
      </c>
      <c r="G191">
        <v>0.2777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0.30769230769231054</v>
      </c>
      <c r="Q191">
        <f t="shared" ref="Q191" si="931">F191*P191</f>
        <v>1329238.5046153967</v>
      </c>
      <c r="R191">
        <f t="shared" ref="R191" si="932">R192+Q191</f>
        <v>-749121331.80795157</v>
      </c>
      <c r="S191">
        <f t="shared" ref="S191" si="933">R191/100000</f>
        <v>-7491.2133180795154</v>
      </c>
      <c r="T191">
        <f t="shared" ref="T191:T197" si="934">S191/1000</f>
        <v>-7.4912133180795157</v>
      </c>
    </row>
    <row r="192" spans="1:20" x14ac:dyDescent="0.25">
      <c r="A192" s="5">
        <v>44401</v>
      </c>
      <c r="B192">
        <v>0.28489999999999999</v>
      </c>
      <c r="C192">
        <v>0.28570000000000001</v>
      </c>
      <c r="D192">
        <v>0.27500000000000002</v>
      </c>
      <c r="E192">
        <v>0.27839999999999998</v>
      </c>
      <c r="F192">
        <v>9418455</v>
      </c>
      <c r="G192">
        <v>0.27839999999999998</v>
      </c>
      <c r="L192" t="s">
        <v>7</v>
      </c>
      <c r="M192" t="s">
        <v>7</v>
      </c>
      <c r="N192" t="s">
        <v>8</v>
      </c>
      <c r="P192">
        <f t="shared" ref="P192" si="935">IF(C192=D192,0,((E192-D192)-(C192-E192))/(C192-D192))</f>
        <v>-0.36448598130841819</v>
      </c>
      <c r="Q192">
        <f t="shared" ref="Q192" si="936">F192*P192</f>
        <v>-3432894.8130841777</v>
      </c>
      <c r="R192">
        <f t="shared" ref="R192" si="937">R193+Q192</f>
        <v>-750450570.312567</v>
      </c>
      <c r="S192">
        <f t="shared" ref="S192" si="938">R192/100000</f>
        <v>-7504.5057031256702</v>
      </c>
      <c r="T192">
        <f t="shared" si="934"/>
        <v>-7.5045057031256706</v>
      </c>
    </row>
    <row r="193" spans="1:20" x14ac:dyDescent="0.25">
      <c r="A193" s="5">
        <v>44400</v>
      </c>
      <c r="B193">
        <v>0.29670000000000002</v>
      </c>
      <c r="C193">
        <v>0.2979</v>
      </c>
      <c r="D193">
        <v>0.2656</v>
      </c>
      <c r="E193">
        <v>0.28499999999999998</v>
      </c>
      <c r="F193">
        <v>18031317.82</v>
      </c>
      <c r="G193">
        <v>0.28499999999999998</v>
      </c>
      <c r="L193" t="s">
        <v>7</v>
      </c>
      <c r="M193" t="s">
        <v>7</v>
      </c>
      <c r="N193" t="s">
        <v>8</v>
      </c>
      <c r="P193">
        <f t="shared" ref="P193" si="939">IF(C193=D193,0,((E193-D193)-(C193-E193))/(C193-D193))</f>
        <v>0.20123839009287775</v>
      </c>
      <c r="Q193">
        <f t="shared" ref="Q193" si="940">F193*P193</f>
        <v>3628593.3693498182</v>
      </c>
      <c r="R193">
        <f t="shared" ref="R193" si="941">R194+Q193</f>
        <v>-747017675.49948287</v>
      </c>
      <c r="S193">
        <f t="shared" ref="S193" si="942">R193/100000</f>
        <v>-7470.176754994829</v>
      </c>
      <c r="T193">
        <f t="shared" si="934"/>
        <v>-7.4701767549948288</v>
      </c>
    </row>
    <row r="194" spans="1:20" x14ac:dyDescent="0.25">
      <c r="A194" s="5">
        <v>44399</v>
      </c>
      <c r="B194">
        <v>0.24829999999999999</v>
      </c>
      <c r="C194">
        <v>0.32119999999999999</v>
      </c>
      <c r="D194">
        <v>0.24490000000000001</v>
      </c>
      <c r="E194">
        <v>0.2969</v>
      </c>
      <c r="F194">
        <v>29982436.059999999</v>
      </c>
      <c r="G194">
        <v>0.2969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0.36304062909567508</v>
      </c>
      <c r="Q194">
        <f t="shared" ref="Q194" si="944">F194*P194</f>
        <v>10884842.449043253</v>
      </c>
      <c r="R194">
        <f t="shared" ref="R194" si="945">R195+Q194</f>
        <v>-750646268.86883271</v>
      </c>
      <c r="S194">
        <f t="shared" ref="S194" si="946">R194/100000</f>
        <v>-7506.462688688327</v>
      </c>
      <c r="T194">
        <f t="shared" si="934"/>
        <v>-7.5064626886883268</v>
      </c>
    </row>
    <row r="195" spans="1:20" x14ac:dyDescent="0.25">
      <c r="A195" s="5">
        <v>44398</v>
      </c>
      <c r="B195">
        <v>0.23130000000000001</v>
      </c>
      <c r="C195">
        <v>0.25130000000000002</v>
      </c>
      <c r="D195">
        <v>0.22650000000000001</v>
      </c>
      <c r="E195">
        <v>0.24809999999999999</v>
      </c>
      <c r="F195">
        <v>7190016.4699999997</v>
      </c>
      <c r="G195">
        <v>0.24809999999999999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0.74193548387096497</v>
      </c>
      <c r="Q195">
        <f t="shared" ref="Q195" si="948">F195*P195</f>
        <v>5334528.3487096569</v>
      </c>
      <c r="R195">
        <f t="shared" ref="R195" si="949">R196+Q195</f>
        <v>-761531111.31787598</v>
      </c>
      <c r="S195">
        <f t="shared" ref="S195" si="950">R195/100000</f>
        <v>-7615.31111317876</v>
      </c>
      <c r="T195">
        <f t="shared" si="934"/>
        <v>-7.6153111131787599</v>
      </c>
    </row>
    <row r="196" spans="1:20" x14ac:dyDescent="0.25">
      <c r="A196" s="5">
        <v>44397</v>
      </c>
      <c r="B196">
        <v>0.24779999999999999</v>
      </c>
      <c r="C196">
        <v>0.25009999999999999</v>
      </c>
      <c r="D196">
        <v>0.22289999999999999</v>
      </c>
      <c r="E196">
        <v>0.23150000000000001</v>
      </c>
      <c r="F196">
        <v>11667564.310000001</v>
      </c>
      <c r="G196">
        <v>0.23150000000000001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-0.36764705882352766</v>
      </c>
      <c r="Q196">
        <f t="shared" ref="Q196" si="952">F196*P196</f>
        <v>-4289545.7022058619</v>
      </c>
      <c r="R196">
        <f t="shared" ref="R196" si="953">R197+Q196</f>
        <v>-766865639.66658568</v>
      </c>
      <c r="S196">
        <f t="shared" ref="S196" si="954">R196/100000</f>
        <v>-7668.6563966658568</v>
      </c>
      <c r="T196">
        <f t="shared" si="934"/>
        <v>-7.668656396665857</v>
      </c>
    </row>
    <row r="197" spans="1:20" x14ac:dyDescent="0.25">
      <c r="A197" s="5">
        <v>44396</v>
      </c>
      <c r="B197">
        <v>0.2611</v>
      </c>
      <c r="C197">
        <v>0.26390000000000002</v>
      </c>
      <c r="D197">
        <v>0.24410000000000001</v>
      </c>
      <c r="E197">
        <v>0.248</v>
      </c>
      <c r="F197">
        <v>5073771.25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-0.60606060606060763</v>
      </c>
      <c r="Q197">
        <f t="shared" ref="Q197" si="956">F197*P197</f>
        <v>-3075012.8787878868</v>
      </c>
      <c r="R197">
        <f t="shared" ref="R197" si="957">R198+Q197</f>
        <v>-762576093.96437979</v>
      </c>
      <c r="S197">
        <f t="shared" ref="S197" si="958">R197/100000</f>
        <v>-7625.7609396437974</v>
      </c>
      <c r="T197">
        <f t="shared" si="934"/>
        <v>-7.6257609396437971</v>
      </c>
    </row>
    <row r="198" spans="1:20" x14ac:dyDescent="0.25">
      <c r="A198" s="5">
        <v>44395</v>
      </c>
      <c r="B198">
        <v>0.26200000000000001</v>
      </c>
      <c r="C198">
        <v>0.29799999999999999</v>
      </c>
      <c r="D198">
        <v>0.25180000000000002</v>
      </c>
      <c r="E198">
        <v>0.26079999999999998</v>
      </c>
      <c r="F198">
        <v>13981395.310000001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-0.61038961038961215</v>
      </c>
      <c r="Q198">
        <f t="shared" ref="Q198:Q261" si="960">F198*P198</f>
        <v>-8534098.4359740503</v>
      </c>
      <c r="R198">
        <f t="shared" ref="R198:R261" si="961">R199+Q198</f>
        <v>-759501081.08559191</v>
      </c>
      <c r="S198">
        <f t="shared" ref="S198:S261" si="962">R198/100000</f>
        <v>-7595.0108108559189</v>
      </c>
      <c r="T198">
        <f t="shared" ref="T198:T261" si="963">S198/1000</f>
        <v>-7.5950108108559187</v>
      </c>
    </row>
    <row r="199" spans="1:20" x14ac:dyDescent="0.25">
      <c r="A199" s="5">
        <v>44394</v>
      </c>
      <c r="B199">
        <v>0.26500000000000001</v>
      </c>
      <c r="C199">
        <v>0.2727</v>
      </c>
      <c r="D199">
        <v>0.26100000000000001</v>
      </c>
      <c r="E199">
        <v>0.26200000000000001</v>
      </c>
      <c r="F199">
        <v>4150517.64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-0.82905982905982878</v>
      </c>
      <c r="Q199">
        <f t="shared" si="960"/>
        <v>-3441027.4451282043</v>
      </c>
      <c r="R199">
        <f t="shared" si="961"/>
        <v>-750966982.64961791</v>
      </c>
      <c r="S199">
        <f t="shared" si="962"/>
        <v>-7509.6698264961788</v>
      </c>
      <c r="T199">
        <f t="shared" si="963"/>
        <v>-7.5096698264961788</v>
      </c>
    </row>
    <row r="200" spans="1:20" x14ac:dyDescent="0.25">
      <c r="A200" s="5">
        <v>44393</v>
      </c>
      <c r="B200">
        <v>0.2868</v>
      </c>
      <c r="C200">
        <v>0.29830000000000001</v>
      </c>
      <c r="D200">
        <v>0.26400000000000001</v>
      </c>
      <c r="E200">
        <v>0.26550000000000001</v>
      </c>
      <c r="F200">
        <v>9594609.75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-0.91253644314868798</v>
      </c>
      <c r="Q200">
        <f t="shared" si="960"/>
        <v>-8755431.0546647217</v>
      </c>
      <c r="R200">
        <f t="shared" si="961"/>
        <v>-747525955.20448971</v>
      </c>
      <c r="S200">
        <f t="shared" si="962"/>
        <v>-7475.2595520448967</v>
      </c>
      <c r="T200">
        <f t="shared" si="963"/>
        <v>-7.4752595520448963</v>
      </c>
    </row>
    <row r="201" spans="1:20" x14ac:dyDescent="0.25">
      <c r="A201" s="5">
        <v>44392</v>
      </c>
      <c r="B201">
        <v>0.3004</v>
      </c>
      <c r="C201">
        <v>0.309</v>
      </c>
      <c r="D201">
        <v>0.28270000000000001</v>
      </c>
      <c r="E201">
        <v>0.28670000000000001</v>
      </c>
      <c r="F201">
        <v>15421360.359999999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-0.6958174904942962</v>
      </c>
      <c r="Q201">
        <f t="shared" si="960"/>
        <v>-10730452.265703415</v>
      </c>
      <c r="R201">
        <f t="shared" si="961"/>
        <v>-738770524.14982498</v>
      </c>
      <c r="S201">
        <f t="shared" si="962"/>
        <v>-7387.70524149825</v>
      </c>
      <c r="T201">
        <f t="shared" si="963"/>
        <v>-7.3877052414982503</v>
      </c>
    </row>
    <row r="202" spans="1:20" x14ac:dyDescent="0.25">
      <c r="A202" s="5">
        <v>44391</v>
      </c>
      <c r="B202">
        <v>0.31719999999999998</v>
      </c>
      <c r="C202">
        <v>0.31890000000000002</v>
      </c>
      <c r="D202">
        <v>0.29070000000000001</v>
      </c>
      <c r="E202">
        <v>0.3</v>
      </c>
      <c r="F202">
        <v>11668345.800000001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-0.34042553191489544</v>
      </c>
      <c r="Q202">
        <f t="shared" si="960"/>
        <v>-3972202.8255319363</v>
      </c>
      <c r="R202">
        <f t="shared" si="961"/>
        <v>-728040071.88412154</v>
      </c>
      <c r="S202">
        <f t="shared" si="962"/>
        <v>-7280.4007188412152</v>
      </c>
      <c r="T202">
        <f t="shared" si="963"/>
        <v>-7.2804007188412152</v>
      </c>
    </row>
    <row r="203" spans="1:20" x14ac:dyDescent="0.25">
      <c r="A203" s="5">
        <v>44390</v>
      </c>
      <c r="B203">
        <v>0.31040000000000001</v>
      </c>
      <c r="C203">
        <v>0.3417</v>
      </c>
      <c r="D203">
        <v>0.31</v>
      </c>
      <c r="E203">
        <v>0.31719999999999998</v>
      </c>
      <c r="F203">
        <v>19749922.02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-0.54574132492113669</v>
      </c>
      <c r="Q203">
        <f t="shared" si="960"/>
        <v>-10778348.610283932</v>
      </c>
      <c r="R203">
        <f t="shared" si="961"/>
        <v>-724067869.05858958</v>
      </c>
      <c r="S203">
        <f t="shared" si="962"/>
        <v>-7240.6786905858962</v>
      </c>
      <c r="T203">
        <f t="shared" si="963"/>
        <v>-7.240678690585896</v>
      </c>
    </row>
    <row r="204" spans="1:20" x14ac:dyDescent="0.25">
      <c r="A204" s="5">
        <v>44389</v>
      </c>
      <c r="B204">
        <v>0.33169999999999999</v>
      </c>
      <c r="C204">
        <v>0.34489999999999998</v>
      </c>
      <c r="D204">
        <v>0.30570000000000003</v>
      </c>
      <c r="E204">
        <v>0.31030000000000002</v>
      </c>
      <c r="F204">
        <v>22443311.219999999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-0.76530612244897966</v>
      </c>
      <c r="Q204">
        <f t="shared" si="960"/>
        <v>-17176003.484693877</v>
      </c>
      <c r="R204">
        <f t="shared" si="961"/>
        <v>-713289520.44830561</v>
      </c>
      <c r="S204">
        <f t="shared" si="962"/>
        <v>-7132.8952044830557</v>
      </c>
      <c r="T204">
        <f t="shared" si="963"/>
        <v>-7.1328952044830558</v>
      </c>
    </row>
    <row r="205" spans="1:20" x14ac:dyDescent="0.25">
      <c r="A205" s="5">
        <v>44388</v>
      </c>
      <c r="B205">
        <v>0.30430000000000001</v>
      </c>
      <c r="C205">
        <v>0.3473</v>
      </c>
      <c r="D205">
        <v>0.29809999999999998</v>
      </c>
      <c r="E205">
        <v>0.33150000000000002</v>
      </c>
      <c r="F205">
        <v>22816646.920000002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0.35772357723577342</v>
      </c>
      <c r="Q205">
        <f t="shared" si="960"/>
        <v>8162052.5567479925</v>
      </c>
      <c r="R205">
        <f t="shared" si="961"/>
        <v>-696113516.96361172</v>
      </c>
      <c r="S205">
        <f t="shared" si="962"/>
        <v>-6961.1351696361171</v>
      </c>
      <c r="T205">
        <f t="shared" si="963"/>
        <v>-6.9611351696361172</v>
      </c>
    </row>
    <row r="206" spans="1:20" x14ac:dyDescent="0.25">
      <c r="A206" s="5">
        <v>44387</v>
      </c>
      <c r="B206">
        <v>0.32579999999999998</v>
      </c>
      <c r="C206">
        <v>0.34499999999999997</v>
      </c>
      <c r="D206">
        <v>0.29720000000000002</v>
      </c>
      <c r="E206">
        <v>0.30470000000000003</v>
      </c>
      <c r="F206">
        <v>20256999.329999998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-0.68619246861924632</v>
      </c>
      <c r="Q206">
        <f t="shared" si="960"/>
        <v>-13900200.377071118</v>
      </c>
      <c r="R206">
        <f t="shared" si="961"/>
        <v>-704275569.52035975</v>
      </c>
      <c r="S206">
        <f t="shared" si="962"/>
        <v>-7042.7556952035975</v>
      </c>
      <c r="T206">
        <f t="shared" si="963"/>
        <v>-7.0427556952035975</v>
      </c>
    </row>
    <row r="207" spans="1:20" x14ac:dyDescent="0.25">
      <c r="A207" s="5">
        <v>44386</v>
      </c>
      <c r="B207">
        <v>0.32019999999999998</v>
      </c>
      <c r="C207">
        <v>0.37919999999999998</v>
      </c>
      <c r="D207">
        <v>0.31040000000000001</v>
      </c>
      <c r="E207">
        <v>0.32600000000000001</v>
      </c>
      <c r="F207">
        <v>65070432.75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-0.54651162790697649</v>
      </c>
      <c r="Q207">
        <f t="shared" si="960"/>
        <v>-35561748.130813934</v>
      </c>
      <c r="R207">
        <f t="shared" si="961"/>
        <v>-690375369.14328861</v>
      </c>
      <c r="S207">
        <f t="shared" si="962"/>
        <v>-6903.7536914328857</v>
      </c>
      <c r="T207">
        <f t="shared" si="963"/>
        <v>-6.9037536914328861</v>
      </c>
    </row>
    <row r="208" spans="1:20" x14ac:dyDescent="0.25">
      <c r="A208" s="5">
        <v>44385</v>
      </c>
      <c r="B208">
        <v>0.27700000000000002</v>
      </c>
      <c r="C208">
        <v>0.39229999999999998</v>
      </c>
      <c r="D208">
        <v>0.26379999999999998</v>
      </c>
      <c r="E208">
        <v>0.31969999999999998</v>
      </c>
      <c r="F208">
        <v>93043251.219999999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-0.12996108949416335</v>
      </c>
      <c r="Q208">
        <f t="shared" si="960"/>
        <v>-12092002.298630344</v>
      </c>
      <c r="R208">
        <f t="shared" si="961"/>
        <v>-654813621.01247466</v>
      </c>
      <c r="S208">
        <f t="shared" si="962"/>
        <v>-6548.1362101247469</v>
      </c>
      <c r="T208">
        <f t="shared" si="963"/>
        <v>-6.5481362101247464</v>
      </c>
    </row>
    <row r="209" spans="1:20" x14ac:dyDescent="0.25">
      <c r="A209" s="5">
        <v>44384</v>
      </c>
      <c r="B209">
        <v>0.27660000000000001</v>
      </c>
      <c r="C209">
        <v>0.29249999999999998</v>
      </c>
      <c r="D209">
        <v>0.27529999999999999</v>
      </c>
      <c r="E209">
        <v>0.27689999999999998</v>
      </c>
      <c r="F209">
        <v>7164419.0099999998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-0.81395348837209403</v>
      </c>
      <c r="Q209">
        <f t="shared" si="960"/>
        <v>-5831503.8453488443</v>
      </c>
      <c r="R209">
        <f t="shared" si="961"/>
        <v>-642721618.7138443</v>
      </c>
      <c r="S209">
        <f t="shared" si="962"/>
        <v>-6427.2161871384433</v>
      </c>
      <c r="T209">
        <f t="shared" si="963"/>
        <v>-6.427216187138443</v>
      </c>
    </row>
    <row r="210" spans="1:20" x14ac:dyDescent="0.25">
      <c r="A210" s="5">
        <v>44383</v>
      </c>
      <c r="B210">
        <v>0.26629999999999998</v>
      </c>
      <c r="C210">
        <v>0.29480000000000001</v>
      </c>
      <c r="D210">
        <v>0.26569999999999999</v>
      </c>
      <c r="E210">
        <v>0.27700000000000002</v>
      </c>
      <c r="F210">
        <v>9387235.6899999995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-0.2233676975944999</v>
      </c>
      <c r="Q210">
        <f t="shared" si="960"/>
        <v>-2096805.2228522166</v>
      </c>
      <c r="R210">
        <f t="shared" si="961"/>
        <v>-636890114.86849546</v>
      </c>
      <c r="S210">
        <f t="shared" si="962"/>
        <v>-6368.9011486849549</v>
      </c>
      <c r="T210">
        <f t="shared" si="963"/>
        <v>-6.3689011486849552</v>
      </c>
    </row>
    <row r="211" spans="1:20" x14ac:dyDescent="0.25">
      <c r="A211" s="5">
        <v>44382</v>
      </c>
      <c r="B211">
        <v>0.27710000000000001</v>
      </c>
      <c r="C211">
        <v>0.27710000000000001</v>
      </c>
      <c r="D211">
        <v>0.25929999999999997</v>
      </c>
      <c r="E211">
        <v>0.26590000000000003</v>
      </c>
      <c r="F211">
        <v>5566054.9699999997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-0.25842696629213074</v>
      </c>
      <c r="Q211">
        <f t="shared" si="960"/>
        <v>-1438418.7001123368</v>
      </c>
      <c r="R211">
        <f t="shared" si="961"/>
        <v>-634793309.64564323</v>
      </c>
      <c r="S211">
        <f t="shared" si="962"/>
        <v>-6347.9330964564324</v>
      </c>
      <c r="T211">
        <f t="shared" si="963"/>
        <v>-6.3479330964564324</v>
      </c>
    </row>
    <row r="212" spans="1:20" x14ac:dyDescent="0.25">
      <c r="A212" s="5">
        <v>44381</v>
      </c>
      <c r="B212">
        <v>0.27310000000000001</v>
      </c>
      <c r="C212">
        <v>0.2888</v>
      </c>
      <c r="D212">
        <v>0.26889999999999997</v>
      </c>
      <c r="E212">
        <v>0.27750000000000002</v>
      </c>
      <c r="F212">
        <v>7969894.9299999997</v>
      </c>
      <c r="G212">
        <v>0</v>
      </c>
      <c r="L212" t="s">
        <v>7</v>
      </c>
      <c r="M212" t="s">
        <v>7</v>
      </c>
      <c r="N212" t="s">
        <v>8</v>
      </c>
      <c r="P212">
        <f t="shared" si="959"/>
        <v>-0.135678391959795</v>
      </c>
      <c r="Q212">
        <f t="shared" si="960"/>
        <v>-1081342.5281909229</v>
      </c>
      <c r="R212">
        <f t="shared" si="961"/>
        <v>-633354890.94553089</v>
      </c>
      <c r="S212">
        <f t="shared" si="962"/>
        <v>-6333.5489094553086</v>
      </c>
      <c r="T212">
        <f t="shared" si="963"/>
        <v>-6.3335489094553088</v>
      </c>
    </row>
    <row r="213" spans="1:20" x14ac:dyDescent="0.25">
      <c r="A213" s="5">
        <v>44380</v>
      </c>
      <c r="B213">
        <v>0.27560000000000001</v>
      </c>
      <c r="C213">
        <v>0.28770000000000001</v>
      </c>
      <c r="D213">
        <v>0.27029999999999998</v>
      </c>
      <c r="E213">
        <v>0.27310000000000001</v>
      </c>
      <c r="F213">
        <v>10043068.970000001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-0.6781609195402275</v>
      </c>
      <c r="Q213">
        <f t="shared" si="960"/>
        <v>-6810816.8877011258</v>
      </c>
      <c r="R213">
        <f t="shared" si="961"/>
        <v>-632273548.41733992</v>
      </c>
      <c r="S213">
        <f t="shared" si="962"/>
        <v>-6322.7354841733995</v>
      </c>
      <c r="T213">
        <f t="shared" si="963"/>
        <v>-6.3227354841733998</v>
      </c>
    </row>
    <row r="214" spans="1:20" x14ac:dyDescent="0.25">
      <c r="A214" s="5">
        <v>44379</v>
      </c>
      <c r="B214">
        <v>0.28899999999999998</v>
      </c>
      <c r="C214">
        <v>0.29449999999999998</v>
      </c>
      <c r="D214">
        <v>0.26429999999999998</v>
      </c>
      <c r="E214">
        <v>0.27560000000000001</v>
      </c>
      <c r="F214">
        <v>17599043.629999999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-0.2516556291390708</v>
      </c>
      <c r="Q214">
        <f t="shared" si="960"/>
        <v>-4428898.396953606</v>
      </c>
      <c r="R214">
        <f t="shared" si="961"/>
        <v>-625462731.52963877</v>
      </c>
      <c r="S214">
        <f t="shared" si="962"/>
        <v>-6254.6273152963877</v>
      </c>
      <c r="T214">
        <f t="shared" si="963"/>
        <v>-6.2546273152963874</v>
      </c>
    </row>
    <row r="215" spans="1:20" x14ac:dyDescent="0.25">
      <c r="A215" s="5">
        <v>44378</v>
      </c>
      <c r="B215">
        <v>0.26069999999999999</v>
      </c>
      <c r="C215">
        <v>0.31890000000000002</v>
      </c>
      <c r="D215">
        <v>0.24329999999999999</v>
      </c>
      <c r="E215">
        <v>0.2893</v>
      </c>
      <c r="F215">
        <v>21734638.77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0.21693121693121684</v>
      </c>
      <c r="Q215">
        <f t="shared" si="960"/>
        <v>4714921.6379365055</v>
      </c>
      <c r="R215">
        <f t="shared" si="961"/>
        <v>-621033833.13268518</v>
      </c>
      <c r="S215">
        <f t="shared" si="962"/>
        <v>-6210.3383313268514</v>
      </c>
      <c r="T215">
        <f t="shared" si="963"/>
        <v>-6.2103383313268514</v>
      </c>
    </row>
    <row r="216" spans="1:20" x14ac:dyDescent="0.25">
      <c r="A216" s="5">
        <v>44377</v>
      </c>
      <c r="B216">
        <v>0.26219999999999999</v>
      </c>
      <c r="C216">
        <v>0.26440000000000002</v>
      </c>
      <c r="D216">
        <v>0.2442</v>
      </c>
      <c r="E216">
        <v>0.26100000000000001</v>
      </c>
      <c r="F216">
        <v>5862431.9000000004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0.6633663366336624</v>
      </c>
      <c r="Q216">
        <f t="shared" si="960"/>
        <v>3888939.9732673215</v>
      </c>
      <c r="R216">
        <f t="shared" si="961"/>
        <v>-625748754.77062166</v>
      </c>
      <c r="S216">
        <f t="shared" si="962"/>
        <v>-6257.4875477062169</v>
      </c>
      <c r="T216">
        <f t="shared" si="963"/>
        <v>-6.2574875477062166</v>
      </c>
    </row>
    <row r="217" spans="1:20" x14ac:dyDescent="0.25">
      <c r="A217" s="5">
        <v>44376</v>
      </c>
      <c r="B217">
        <v>0.25519999999999998</v>
      </c>
      <c r="C217">
        <v>0.27300000000000002</v>
      </c>
      <c r="D217">
        <v>0.25190000000000001</v>
      </c>
      <c r="E217">
        <v>0.26179999999999998</v>
      </c>
      <c r="F217">
        <v>4872460.46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-6.1611374407586655E-2</v>
      </c>
      <c r="Q217">
        <f t="shared" si="960"/>
        <v>-300198.98568722192</v>
      </c>
      <c r="R217">
        <f t="shared" si="961"/>
        <v>-629637694.74388897</v>
      </c>
      <c r="S217">
        <f t="shared" si="962"/>
        <v>-6296.3769474388901</v>
      </c>
      <c r="T217">
        <f t="shared" si="963"/>
        <v>-6.2963769474388904</v>
      </c>
    </row>
    <row r="218" spans="1:20" x14ac:dyDescent="0.25">
      <c r="A218" s="5">
        <v>44375</v>
      </c>
      <c r="B218">
        <v>0.24859999999999999</v>
      </c>
      <c r="C218">
        <v>0.2636</v>
      </c>
      <c r="D218">
        <v>0.24310000000000001</v>
      </c>
      <c r="E218">
        <v>0.25469999999999998</v>
      </c>
      <c r="F218">
        <v>6959944.1699999999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0.13170731707316846</v>
      </c>
      <c r="Q218">
        <f t="shared" si="960"/>
        <v>916675.57360974024</v>
      </c>
      <c r="R218">
        <f t="shared" si="961"/>
        <v>-629337495.75820172</v>
      </c>
      <c r="S218">
        <f t="shared" si="962"/>
        <v>-6293.3749575820175</v>
      </c>
      <c r="T218">
        <f t="shared" si="963"/>
        <v>-6.2933749575820173</v>
      </c>
    </row>
    <row r="219" spans="1:20" x14ac:dyDescent="0.25">
      <c r="A219" s="5">
        <v>44374</v>
      </c>
      <c r="B219">
        <v>0.23710000000000001</v>
      </c>
      <c r="C219">
        <v>0.24940000000000001</v>
      </c>
      <c r="D219">
        <v>0.23280000000000001</v>
      </c>
      <c r="E219">
        <v>0.24859999999999999</v>
      </c>
      <c r="F219">
        <v>12022094.23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0.90361445783132255</v>
      </c>
      <c r="Q219">
        <f t="shared" si="960"/>
        <v>10863338.159638522</v>
      </c>
      <c r="R219">
        <f t="shared" si="961"/>
        <v>-630254171.33181143</v>
      </c>
      <c r="S219">
        <f t="shared" si="962"/>
        <v>-6302.5417133181145</v>
      </c>
      <c r="T219">
        <f t="shared" si="963"/>
        <v>-6.3025417133181145</v>
      </c>
    </row>
    <row r="220" spans="1:20" x14ac:dyDescent="0.25">
      <c r="A220" s="5">
        <v>44373</v>
      </c>
      <c r="B220">
        <v>0.2341</v>
      </c>
      <c r="C220">
        <v>0.2412</v>
      </c>
      <c r="D220">
        <v>0.224</v>
      </c>
      <c r="E220">
        <v>0.23699999999999999</v>
      </c>
      <c r="F220">
        <v>19213129.77</v>
      </c>
      <c r="G220">
        <v>0</v>
      </c>
      <c r="L220" t="s">
        <v>7</v>
      </c>
      <c r="M220" t="s">
        <v>8</v>
      </c>
      <c r="N220" t="s">
        <v>8</v>
      </c>
      <c r="P220">
        <f t="shared" si="959"/>
        <v>0.51162790697674287</v>
      </c>
      <c r="Q220">
        <f t="shared" si="960"/>
        <v>9829973.3706976492</v>
      </c>
      <c r="R220">
        <f t="shared" si="961"/>
        <v>-641117509.49144995</v>
      </c>
      <c r="S220">
        <f t="shared" si="962"/>
        <v>-6411.1750949144998</v>
      </c>
      <c r="T220">
        <f t="shared" si="963"/>
        <v>-6.4111750949144994</v>
      </c>
    </row>
    <row r="221" spans="1:20" x14ac:dyDescent="0.25">
      <c r="A221" s="5">
        <v>44372</v>
      </c>
      <c r="B221">
        <v>0.24690000000000001</v>
      </c>
      <c r="C221">
        <v>0.26750000000000002</v>
      </c>
      <c r="D221">
        <v>0.22839999999999999</v>
      </c>
      <c r="E221">
        <v>0.23369999999999999</v>
      </c>
      <c r="F221">
        <v>31085071.600000001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-0.72890025575447592</v>
      </c>
      <c r="Q221">
        <f t="shared" si="960"/>
        <v>-22657916.639386196</v>
      </c>
      <c r="R221">
        <f t="shared" si="961"/>
        <v>-650947482.86214757</v>
      </c>
      <c r="S221">
        <f t="shared" si="962"/>
        <v>-6509.4748286214754</v>
      </c>
      <c r="T221">
        <f t="shared" si="963"/>
        <v>-6.5094748286214754</v>
      </c>
    </row>
    <row r="222" spans="1:20" x14ac:dyDescent="0.25">
      <c r="A222" s="5">
        <v>44371</v>
      </c>
      <c r="B222">
        <v>0.2382</v>
      </c>
      <c r="C222">
        <v>0.25690000000000002</v>
      </c>
      <c r="D222">
        <v>0.22600000000000001</v>
      </c>
      <c r="E222">
        <v>0.24690000000000001</v>
      </c>
      <c r="F222">
        <v>34419299.539999999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0.35275080906148831</v>
      </c>
      <c r="Q222">
        <f t="shared" si="960"/>
        <v>12141435.760064712</v>
      </c>
      <c r="R222">
        <f t="shared" si="961"/>
        <v>-628289566.22276139</v>
      </c>
      <c r="S222">
        <f t="shared" si="962"/>
        <v>-6282.8956622276137</v>
      </c>
      <c r="T222">
        <f t="shared" si="963"/>
        <v>-6.282895662227614</v>
      </c>
    </row>
    <row r="223" spans="1:20" x14ac:dyDescent="0.25">
      <c r="A223" s="5">
        <v>44370</v>
      </c>
      <c r="B223">
        <v>0.21759999999999999</v>
      </c>
      <c r="C223">
        <v>0.25</v>
      </c>
      <c r="D223">
        <v>0.2079</v>
      </c>
      <c r="E223">
        <v>0.2384</v>
      </c>
      <c r="F223">
        <v>65860953.920000002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0.44893111638954869</v>
      </c>
      <c r="Q223">
        <f t="shared" si="960"/>
        <v>29567031.569786225</v>
      </c>
      <c r="R223">
        <f t="shared" si="961"/>
        <v>-640431001.98282611</v>
      </c>
      <c r="S223">
        <f t="shared" si="962"/>
        <v>-6404.3100198282609</v>
      </c>
      <c r="T223">
        <f t="shared" si="963"/>
        <v>-6.4043100198282605</v>
      </c>
    </row>
    <row r="224" spans="1:20" x14ac:dyDescent="0.25">
      <c r="A224" s="5">
        <v>44369</v>
      </c>
      <c r="B224">
        <v>0.2346</v>
      </c>
      <c r="C224">
        <v>0.24410000000000001</v>
      </c>
      <c r="D224">
        <v>0.19650000000000001</v>
      </c>
      <c r="E224">
        <v>0.21729999999999999</v>
      </c>
      <c r="F224">
        <v>63143000.280000001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-0.12605042016806792</v>
      </c>
      <c r="Q224">
        <f t="shared" si="960"/>
        <v>-7959201.7159664305</v>
      </c>
      <c r="R224">
        <f t="shared" si="961"/>
        <v>-669998033.5526123</v>
      </c>
      <c r="S224">
        <f t="shared" si="962"/>
        <v>-6699.9803355261229</v>
      </c>
      <c r="T224">
        <f t="shared" si="963"/>
        <v>-6.6999803355261225</v>
      </c>
    </row>
    <row r="225" spans="1:20" x14ac:dyDescent="0.25">
      <c r="A225" s="5">
        <v>44368</v>
      </c>
      <c r="B225">
        <v>0.28349999999999997</v>
      </c>
      <c r="C225">
        <v>0.2853</v>
      </c>
      <c r="D225">
        <v>0.23119999999999999</v>
      </c>
      <c r="E225">
        <v>0.23400000000000001</v>
      </c>
      <c r="F225">
        <v>27888732.829999998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-0.89648798521256845</v>
      </c>
      <c r="Q225">
        <f t="shared" si="960"/>
        <v>-25001913.904898312</v>
      </c>
      <c r="R225">
        <f t="shared" si="961"/>
        <v>-662038831.83664584</v>
      </c>
      <c r="S225">
        <f t="shared" si="962"/>
        <v>-6620.3883183664584</v>
      </c>
      <c r="T225">
        <f t="shared" si="963"/>
        <v>-6.6203883183664587</v>
      </c>
    </row>
    <row r="226" spans="1:20" x14ac:dyDescent="0.25">
      <c r="A226" s="5">
        <v>44367</v>
      </c>
      <c r="B226">
        <v>0.29160000000000003</v>
      </c>
      <c r="C226">
        <v>0.29339999999999999</v>
      </c>
      <c r="D226">
        <v>0.27179999999999999</v>
      </c>
      <c r="E226">
        <v>0.28349999999999997</v>
      </c>
      <c r="F226">
        <v>6001901.3399999999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8.333333333333183E-2</v>
      </c>
      <c r="Q226">
        <f t="shared" si="960"/>
        <v>500158.44499999098</v>
      </c>
      <c r="R226">
        <f t="shared" si="961"/>
        <v>-637036917.93174756</v>
      </c>
      <c r="S226">
        <f t="shared" si="962"/>
        <v>-6370.3691793174758</v>
      </c>
      <c r="T226">
        <f t="shared" si="963"/>
        <v>-6.3703691793174757</v>
      </c>
    </row>
    <row r="227" spans="1:20" x14ac:dyDescent="0.25">
      <c r="A227" s="5">
        <v>44366</v>
      </c>
      <c r="B227">
        <v>0.29499999999999998</v>
      </c>
      <c r="C227">
        <v>0.30099999999999999</v>
      </c>
      <c r="D227">
        <v>0.28860000000000002</v>
      </c>
      <c r="E227">
        <v>0.29170000000000001</v>
      </c>
      <c r="F227">
        <v>4112908.57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-0.5</v>
      </c>
      <c r="Q227">
        <f t="shared" si="960"/>
        <v>-2056454.2849999999</v>
      </c>
      <c r="R227">
        <f t="shared" si="961"/>
        <v>-637537076.37674749</v>
      </c>
      <c r="S227">
        <f t="shared" si="962"/>
        <v>-6375.3707637674752</v>
      </c>
      <c r="T227">
        <f t="shared" si="963"/>
        <v>-6.3753707637674752</v>
      </c>
    </row>
    <row r="228" spans="1:20" x14ac:dyDescent="0.25">
      <c r="A228" s="5">
        <v>44365</v>
      </c>
      <c r="B228">
        <v>0.31419999999999998</v>
      </c>
      <c r="C228">
        <v>0.31490000000000001</v>
      </c>
      <c r="D228">
        <v>0.28799999999999998</v>
      </c>
      <c r="E228">
        <v>0.2949</v>
      </c>
      <c r="F228">
        <v>3699494.76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-0.48698884758364253</v>
      </c>
      <c r="Q228">
        <f t="shared" si="960"/>
        <v>-1801612.689814124</v>
      </c>
      <c r="R228">
        <f t="shared" si="961"/>
        <v>-635480622.09174752</v>
      </c>
      <c r="S228">
        <f t="shared" si="962"/>
        <v>-6354.806220917475</v>
      </c>
      <c r="T228">
        <f t="shared" si="963"/>
        <v>-6.3548062209174754</v>
      </c>
    </row>
    <row r="229" spans="1:20" x14ac:dyDescent="0.25">
      <c r="A229" s="5">
        <v>44364</v>
      </c>
      <c r="B229">
        <v>0.31180000000000002</v>
      </c>
      <c r="C229">
        <v>0.33040000000000003</v>
      </c>
      <c r="D229">
        <v>0.31030000000000002</v>
      </c>
      <c r="E229">
        <v>0.31419999999999998</v>
      </c>
      <c r="F229">
        <v>18656956.629999999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-0.6119402985074669</v>
      </c>
      <c r="Q229">
        <f t="shared" si="960"/>
        <v>-11416943.609403063</v>
      </c>
      <c r="R229">
        <f t="shared" si="961"/>
        <v>-633679009.40193343</v>
      </c>
      <c r="S229">
        <f t="shared" si="962"/>
        <v>-6336.790094019334</v>
      </c>
      <c r="T229">
        <f t="shared" si="963"/>
        <v>-6.3367900940193342</v>
      </c>
    </row>
    <row r="230" spans="1:20" x14ac:dyDescent="0.25">
      <c r="A230" s="5">
        <v>44363</v>
      </c>
      <c r="B230">
        <v>0.32829999999999998</v>
      </c>
      <c r="C230">
        <v>0.33250000000000002</v>
      </c>
      <c r="D230">
        <v>0.3115</v>
      </c>
      <c r="E230">
        <v>0.31190000000000001</v>
      </c>
      <c r="F230">
        <v>27259006.850000001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-0.96190476190476082</v>
      </c>
      <c r="Q230">
        <f t="shared" si="960"/>
        <v>-26220568.493809495</v>
      </c>
      <c r="R230">
        <f t="shared" si="961"/>
        <v>-622262065.79253042</v>
      </c>
      <c r="S230">
        <f t="shared" si="962"/>
        <v>-6222.6206579253039</v>
      </c>
      <c r="T230">
        <f t="shared" si="963"/>
        <v>-6.2226206579253036</v>
      </c>
    </row>
    <row r="231" spans="1:20" x14ac:dyDescent="0.25">
      <c r="A231" s="5">
        <v>44362</v>
      </c>
      <c r="B231">
        <v>0.3296</v>
      </c>
      <c r="C231">
        <v>0.34279999999999999</v>
      </c>
      <c r="D231">
        <v>0.3246</v>
      </c>
      <c r="E231">
        <v>0.3286</v>
      </c>
      <c r="F231">
        <v>34307315.640000001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-0.56043956043955989</v>
      </c>
      <c r="Q231">
        <f t="shared" si="960"/>
        <v>-19227176.897142839</v>
      </c>
      <c r="R231">
        <f t="shared" si="961"/>
        <v>-596041497.29872096</v>
      </c>
      <c r="S231">
        <f t="shared" si="962"/>
        <v>-5960.4149729872097</v>
      </c>
      <c r="T231">
        <f t="shared" si="963"/>
        <v>-5.96041497298721</v>
      </c>
    </row>
    <row r="232" spans="1:20" x14ac:dyDescent="0.25">
      <c r="A232" s="5">
        <v>44361</v>
      </c>
      <c r="B232">
        <v>0.32469999999999999</v>
      </c>
      <c r="C232">
        <v>0.34200000000000003</v>
      </c>
      <c r="D232">
        <v>0.31319999999999998</v>
      </c>
      <c r="E232">
        <v>0.32940000000000003</v>
      </c>
      <c r="F232">
        <v>8958390.9100000001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0.12500000000000144</v>
      </c>
      <c r="Q232">
        <f t="shared" si="960"/>
        <v>1119798.8637500131</v>
      </c>
      <c r="R232">
        <f t="shared" si="961"/>
        <v>-576814320.40157807</v>
      </c>
      <c r="S232">
        <f t="shared" si="962"/>
        <v>-5768.1432040157806</v>
      </c>
      <c r="T232">
        <f t="shared" si="963"/>
        <v>-5.7681432040157805</v>
      </c>
    </row>
    <row r="233" spans="1:20" x14ac:dyDescent="0.25">
      <c r="A233" s="5">
        <v>44360</v>
      </c>
      <c r="B233">
        <v>0.30980000000000002</v>
      </c>
      <c r="C233">
        <v>0.32669999999999999</v>
      </c>
      <c r="D233">
        <v>0.29630000000000001</v>
      </c>
      <c r="E233">
        <v>0.32479999999999998</v>
      </c>
      <c r="F233">
        <v>5830332.1900000004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0.87499999999999911</v>
      </c>
      <c r="Q233">
        <f t="shared" si="960"/>
        <v>5101540.6662499951</v>
      </c>
      <c r="R233">
        <f t="shared" si="961"/>
        <v>-577934119.26532805</v>
      </c>
      <c r="S233">
        <f t="shared" si="962"/>
        <v>-5779.3411926532808</v>
      </c>
      <c r="T233">
        <f t="shared" si="963"/>
        <v>-5.7793411926532805</v>
      </c>
    </row>
    <row r="234" spans="1:20" x14ac:dyDescent="0.25">
      <c r="A234" s="5">
        <v>44359</v>
      </c>
      <c r="B234">
        <v>0.30669999999999997</v>
      </c>
      <c r="C234">
        <v>0.32990000000000003</v>
      </c>
      <c r="D234">
        <v>0.29160000000000003</v>
      </c>
      <c r="E234">
        <v>0.30880000000000002</v>
      </c>
      <c r="F234">
        <v>6802399.6900000004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-0.10182767624020926</v>
      </c>
      <c r="Q234">
        <f t="shared" si="960"/>
        <v>-692672.55328981986</v>
      </c>
      <c r="R234">
        <f t="shared" si="961"/>
        <v>-583035659.93157804</v>
      </c>
      <c r="S234">
        <f t="shared" si="962"/>
        <v>-5830.3565993157808</v>
      </c>
      <c r="T234">
        <f t="shared" si="963"/>
        <v>-5.8303565993157811</v>
      </c>
    </row>
    <row r="235" spans="1:20" x14ac:dyDescent="0.25">
      <c r="A235" s="5">
        <v>44358</v>
      </c>
      <c r="B235">
        <v>0.33079999999999998</v>
      </c>
      <c r="C235">
        <v>0.34549999999999997</v>
      </c>
      <c r="D235">
        <v>0.30380000000000001</v>
      </c>
      <c r="E235">
        <v>0.30680000000000002</v>
      </c>
      <c r="F235">
        <v>12384351.02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-0.85611510791366885</v>
      </c>
      <c r="Q235">
        <f t="shared" si="960"/>
        <v>-10602430.009928055</v>
      </c>
      <c r="R235">
        <f t="shared" si="961"/>
        <v>-582342987.37828827</v>
      </c>
      <c r="S235">
        <f t="shared" si="962"/>
        <v>-5823.4298737828831</v>
      </c>
      <c r="T235">
        <f t="shared" si="963"/>
        <v>-5.8234298737828833</v>
      </c>
    </row>
    <row r="236" spans="1:20" x14ac:dyDescent="0.25">
      <c r="A236" s="5">
        <v>44357</v>
      </c>
      <c r="B236">
        <v>0.34689999999999999</v>
      </c>
      <c r="C236">
        <v>0.3821</v>
      </c>
      <c r="D236">
        <v>0.32690000000000002</v>
      </c>
      <c r="E236">
        <v>0.33129999999999998</v>
      </c>
      <c r="F236">
        <v>75621000.319999993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-0.84057971014492894</v>
      </c>
      <c r="Q236">
        <f t="shared" si="960"/>
        <v>-63565478.529855169</v>
      </c>
      <c r="R236">
        <f t="shared" si="961"/>
        <v>-571740557.36836016</v>
      </c>
      <c r="S236">
        <f t="shared" si="962"/>
        <v>-5717.4055736836017</v>
      </c>
      <c r="T236">
        <f t="shared" si="963"/>
        <v>-5.7174055736836014</v>
      </c>
    </row>
    <row r="237" spans="1:20" x14ac:dyDescent="0.25">
      <c r="A237" s="5">
        <v>44356</v>
      </c>
      <c r="B237">
        <v>0.33779999999999999</v>
      </c>
      <c r="C237">
        <v>0.36609999999999998</v>
      </c>
      <c r="D237">
        <v>0.32329999999999998</v>
      </c>
      <c r="E237">
        <v>0.3468</v>
      </c>
      <c r="F237">
        <v>8583817.7899999991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9.8130841121496185E-2</v>
      </c>
      <c r="Q237">
        <f t="shared" si="960"/>
        <v>842337.25976636237</v>
      </c>
      <c r="R237">
        <f t="shared" si="961"/>
        <v>-508175078.83850497</v>
      </c>
      <c r="S237">
        <f t="shared" si="962"/>
        <v>-5081.7507883850494</v>
      </c>
      <c r="T237">
        <f t="shared" si="963"/>
        <v>-5.0817507883850492</v>
      </c>
    </row>
    <row r="238" spans="1:20" x14ac:dyDescent="0.25">
      <c r="A238" s="5">
        <v>44355</v>
      </c>
      <c r="B238">
        <v>0.3569</v>
      </c>
      <c r="C238">
        <v>0.36870000000000003</v>
      </c>
      <c r="D238">
        <v>0.30830000000000002</v>
      </c>
      <c r="E238">
        <v>0.33779999999999999</v>
      </c>
      <c r="F238">
        <v>8025328.5199999996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-2.3178807947020989E-2</v>
      </c>
      <c r="Q238">
        <f t="shared" si="960"/>
        <v>-186017.54847683018</v>
      </c>
      <c r="R238">
        <f t="shared" si="961"/>
        <v>-509017416.09827131</v>
      </c>
      <c r="S238">
        <f t="shared" si="962"/>
        <v>-5090.1741609827131</v>
      </c>
      <c r="T238">
        <f t="shared" si="963"/>
        <v>-5.0901741609827136</v>
      </c>
    </row>
    <row r="239" spans="1:20" x14ac:dyDescent="0.25">
      <c r="A239" s="5">
        <v>44354</v>
      </c>
      <c r="B239">
        <v>0.3745</v>
      </c>
      <c r="C239">
        <v>0.40820000000000001</v>
      </c>
      <c r="D239">
        <v>0.35020000000000001</v>
      </c>
      <c r="E239">
        <v>0.35589999999999999</v>
      </c>
      <c r="F239">
        <v>14057359.75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-0.80344827586206957</v>
      </c>
      <c r="Q239">
        <f t="shared" si="960"/>
        <v>-11294361.454310354</v>
      </c>
      <c r="R239">
        <f t="shared" si="961"/>
        <v>-508831398.5497945</v>
      </c>
      <c r="S239">
        <f t="shared" si="962"/>
        <v>-5088.3139854979454</v>
      </c>
      <c r="T239">
        <f t="shared" si="963"/>
        <v>-5.0883139854979458</v>
      </c>
    </row>
    <row r="240" spans="1:20" x14ac:dyDescent="0.25">
      <c r="A240" s="5">
        <v>44353</v>
      </c>
      <c r="B240">
        <v>0.36559999999999998</v>
      </c>
      <c r="C240">
        <v>0.40500000000000003</v>
      </c>
      <c r="D240">
        <v>0.3649</v>
      </c>
      <c r="E240">
        <v>0.37540000000000001</v>
      </c>
      <c r="F240">
        <v>13038843.74</v>
      </c>
      <c r="G240">
        <v>0</v>
      </c>
      <c r="L240" t="s">
        <v>7</v>
      </c>
      <c r="M240" t="s">
        <v>8</v>
      </c>
      <c r="N240" t="s">
        <v>7</v>
      </c>
      <c r="P240">
        <f t="shared" si="959"/>
        <v>-0.47630922693266819</v>
      </c>
      <c r="Q240">
        <f t="shared" si="960"/>
        <v>-6210521.5818952601</v>
      </c>
      <c r="R240">
        <f t="shared" si="961"/>
        <v>-497537037.09548414</v>
      </c>
      <c r="S240">
        <f t="shared" si="962"/>
        <v>-4975.3703709548417</v>
      </c>
      <c r="T240">
        <f t="shared" si="963"/>
        <v>-4.9753703709548418</v>
      </c>
    </row>
    <row r="241" spans="1:20" x14ac:dyDescent="0.25">
      <c r="A241" s="5">
        <v>44352</v>
      </c>
      <c r="B241">
        <v>0.37530000000000002</v>
      </c>
      <c r="C241">
        <v>0.41799999999999998</v>
      </c>
      <c r="D241">
        <v>0.35899999999999999</v>
      </c>
      <c r="E241">
        <v>0.36549999999999999</v>
      </c>
      <c r="F241">
        <v>7673228.0700000003</v>
      </c>
      <c r="G241">
        <v>0</v>
      </c>
      <c r="L241" t="s">
        <v>8</v>
      </c>
      <c r="M241" t="s">
        <v>8</v>
      </c>
      <c r="N241" t="s">
        <v>7</v>
      </c>
      <c r="P241">
        <f t="shared" si="959"/>
        <v>-0.77966101694915235</v>
      </c>
      <c r="Q241">
        <f t="shared" si="960"/>
        <v>-5982516.8003389817</v>
      </c>
      <c r="R241">
        <f t="shared" si="961"/>
        <v>-491326515.51358891</v>
      </c>
      <c r="S241">
        <f t="shared" si="962"/>
        <v>-4913.2651551358895</v>
      </c>
      <c r="T241">
        <f t="shared" si="963"/>
        <v>-4.9132651551358899</v>
      </c>
    </row>
    <row r="242" spans="1:20" x14ac:dyDescent="0.25">
      <c r="A242" s="5">
        <v>44351</v>
      </c>
      <c r="B242">
        <v>0.40660000000000002</v>
      </c>
      <c r="C242">
        <v>0.40770000000000001</v>
      </c>
      <c r="D242">
        <v>0.35549999999999998</v>
      </c>
      <c r="E242">
        <v>0.3745</v>
      </c>
      <c r="F242">
        <v>9374220.1099999994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-0.27203065134099585</v>
      </c>
      <c r="Q242">
        <f t="shared" si="960"/>
        <v>-2550075.2023371616</v>
      </c>
      <c r="R242">
        <f t="shared" si="961"/>
        <v>-485343998.71324992</v>
      </c>
      <c r="S242">
        <f t="shared" si="962"/>
        <v>-4853.4399871324995</v>
      </c>
      <c r="T242">
        <f t="shared" si="963"/>
        <v>-4.8534399871324991</v>
      </c>
    </row>
    <row r="243" spans="1:20" x14ac:dyDescent="0.25">
      <c r="A243" s="5">
        <v>44350</v>
      </c>
      <c r="B243">
        <v>0.40300000000000002</v>
      </c>
      <c r="C243">
        <v>0.42499999999999999</v>
      </c>
      <c r="D243">
        <v>0.39929999999999999</v>
      </c>
      <c r="E243">
        <v>0.40620000000000001</v>
      </c>
      <c r="F243">
        <v>6639731.6799999997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-0.46303501945525161</v>
      </c>
      <c r="Q243">
        <f t="shared" si="960"/>
        <v>-3074428.2876264504</v>
      </c>
      <c r="R243">
        <f t="shared" si="961"/>
        <v>-482793923.51091278</v>
      </c>
      <c r="S243">
        <f t="shared" si="962"/>
        <v>-4827.9392351091274</v>
      </c>
      <c r="T243">
        <f t="shared" si="963"/>
        <v>-4.8279392351091275</v>
      </c>
    </row>
    <row r="244" spans="1:20" x14ac:dyDescent="0.25">
      <c r="A244" s="5">
        <v>44349</v>
      </c>
      <c r="B244">
        <v>0.39410000000000001</v>
      </c>
      <c r="C244">
        <v>0.41639999999999999</v>
      </c>
      <c r="D244">
        <v>0.38900000000000001</v>
      </c>
      <c r="E244">
        <v>0.4042</v>
      </c>
      <c r="F244">
        <v>7548839.6699999999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0.10948905109489068</v>
      </c>
      <c r="Q244">
        <f t="shared" si="960"/>
        <v>826515.29233576776</v>
      </c>
      <c r="R244">
        <f t="shared" si="961"/>
        <v>-479719495.22328633</v>
      </c>
      <c r="S244">
        <f t="shared" si="962"/>
        <v>-4797.1949522328632</v>
      </c>
      <c r="T244">
        <f t="shared" si="963"/>
        <v>-4.7971949522328634</v>
      </c>
    </row>
    <row r="245" spans="1:20" x14ac:dyDescent="0.25">
      <c r="A245" s="5">
        <v>44348</v>
      </c>
      <c r="B245">
        <v>0.41010000000000002</v>
      </c>
      <c r="C245">
        <v>0.4173</v>
      </c>
      <c r="D245">
        <v>0.38769999999999999</v>
      </c>
      <c r="E245">
        <v>0.39379999999999998</v>
      </c>
      <c r="F245">
        <v>10648388.949999999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-0.58783783783783838</v>
      </c>
      <c r="Q245">
        <f t="shared" si="960"/>
        <v>-6259525.9368243301</v>
      </c>
      <c r="R245">
        <f t="shared" si="961"/>
        <v>-480546010.51562208</v>
      </c>
      <c r="S245">
        <f t="shared" si="962"/>
        <v>-4805.4601051562204</v>
      </c>
      <c r="T245">
        <f t="shared" si="963"/>
        <v>-4.8054601051562207</v>
      </c>
    </row>
    <row r="246" spans="1:20" x14ac:dyDescent="0.25">
      <c r="A246" s="5">
        <v>44347</v>
      </c>
      <c r="B246">
        <v>0.39700000000000002</v>
      </c>
      <c r="C246">
        <v>0.42180000000000001</v>
      </c>
      <c r="D246">
        <v>0.3755</v>
      </c>
      <c r="E246">
        <v>0.41</v>
      </c>
      <c r="F246">
        <v>7075568.3099999996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0.49028077753779564</v>
      </c>
      <c r="Q246">
        <f t="shared" si="960"/>
        <v>3469015.1325485865</v>
      </c>
      <c r="R246">
        <f t="shared" si="961"/>
        <v>-474286484.57879776</v>
      </c>
      <c r="S246">
        <f t="shared" si="962"/>
        <v>-4742.8648457879772</v>
      </c>
      <c r="T246">
        <f t="shared" si="963"/>
        <v>-4.7428648457879774</v>
      </c>
    </row>
    <row r="247" spans="1:20" x14ac:dyDescent="0.25">
      <c r="A247" s="5">
        <v>44346</v>
      </c>
      <c r="B247">
        <v>0.37190000000000001</v>
      </c>
      <c r="C247">
        <v>0.43190000000000001</v>
      </c>
      <c r="D247">
        <v>0.35099999999999998</v>
      </c>
      <c r="E247">
        <v>0.39700000000000002</v>
      </c>
      <c r="F247">
        <v>15677408.84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0.13720642768850494</v>
      </c>
      <c r="Q247">
        <f t="shared" si="960"/>
        <v>2151041.2623485881</v>
      </c>
      <c r="R247">
        <f t="shared" si="961"/>
        <v>-477755499.71134633</v>
      </c>
      <c r="S247">
        <f t="shared" si="962"/>
        <v>-4777.5549971134633</v>
      </c>
      <c r="T247">
        <f t="shared" si="963"/>
        <v>-4.7775549971134632</v>
      </c>
    </row>
    <row r="248" spans="1:20" x14ac:dyDescent="0.25">
      <c r="A248" s="5">
        <v>44345</v>
      </c>
      <c r="B248">
        <v>0.39789999999999998</v>
      </c>
      <c r="C248">
        <v>0.4249</v>
      </c>
      <c r="D248">
        <v>0.35010000000000002</v>
      </c>
      <c r="E248">
        <v>0.3715</v>
      </c>
      <c r="F248">
        <v>31401597.239999998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-0.42780748663101653</v>
      </c>
      <c r="Q248">
        <f t="shared" si="960"/>
        <v>-13433838.391443865</v>
      </c>
      <c r="R248">
        <f t="shared" si="961"/>
        <v>-479906540.97369492</v>
      </c>
      <c r="S248">
        <f t="shared" si="962"/>
        <v>-4799.0654097369488</v>
      </c>
      <c r="T248">
        <f t="shared" si="963"/>
        <v>-4.799065409736949</v>
      </c>
    </row>
    <row r="249" spans="1:20" x14ac:dyDescent="0.25">
      <c r="A249" s="5">
        <v>44344</v>
      </c>
      <c r="B249">
        <v>0.44269999999999998</v>
      </c>
      <c r="C249">
        <v>0.44919999999999999</v>
      </c>
      <c r="D249">
        <v>0.373</v>
      </c>
      <c r="E249">
        <v>0.39779999999999999</v>
      </c>
      <c r="F249">
        <v>16904411.870000001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-0.34908136482939656</v>
      </c>
      <c r="Q249">
        <f t="shared" si="960"/>
        <v>-5901015.1672178516</v>
      </c>
      <c r="R249">
        <f t="shared" si="961"/>
        <v>-466472702.58225107</v>
      </c>
      <c r="S249">
        <f t="shared" si="962"/>
        <v>-4664.7270258225108</v>
      </c>
      <c r="T249">
        <f t="shared" si="963"/>
        <v>-4.6647270258225104</v>
      </c>
    </row>
    <row r="250" spans="1:20" x14ac:dyDescent="0.25">
      <c r="A250" s="5">
        <v>44343</v>
      </c>
      <c r="B250">
        <v>0.48670000000000002</v>
      </c>
      <c r="C250">
        <v>0.4975</v>
      </c>
      <c r="D250">
        <v>0.436</v>
      </c>
      <c r="E250">
        <v>0.44169999999999998</v>
      </c>
      <c r="F250">
        <v>21381417.050000001</v>
      </c>
      <c r="G250">
        <v>0</v>
      </c>
      <c r="L250" t="s">
        <v>8</v>
      </c>
      <c r="M250" t="s">
        <v>7</v>
      </c>
      <c r="N250" t="s">
        <v>8</v>
      </c>
      <c r="P250">
        <f t="shared" si="959"/>
        <v>-0.81463414634146392</v>
      </c>
      <c r="Q250">
        <f t="shared" si="960"/>
        <v>-17418032.426097572</v>
      </c>
      <c r="R250">
        <f t="shared" si="961"/>
        <v>-460571687.41503322</v>
      </c>
      <c r="S250">
        <f t="shared" si="962"/>
        <v>-4605.7168741503319</v>
      </c>
      <c r="T250">
        <f t="shared" si="963"/>
        <v>-4.6057168741503318</v>
      </c>
    </row>
    <row r="251" spans="1:20" x14ac:dyDescent="0.25">
      <c r="A251" s="5">
        <v>44342</v>
      </c>
      <c r="B251">
        <v>0.44030000000000002</v>
      </c>
      <c r="C251">
        <v>0.52470000000000006</v>
      </c>
      <c r="D251">
        <v>0.42880000000000001</v>
      </c>
      <c r="E251">
        <v>0.48509999999999998</v>
      </c>
      <c r="F251">
        <v>53073046.810000002</v>
      </c>
      <c r="G251">
        <v>0</v>
      </c>
      <c r="L251" t="s">
        <v>7</v>
      </c>
      <c r="M251" t="s">
        <v>7</v>
      </c>
      <c r="N251" t="s">
        <v>8</v>
      </c>
      <c r="P251">
        <f t="shared" si="959"/>
        <v>0.17413972888425314</v>
      </c>
      <c r="Q251">
        <f t="shared" si="960"/>
        <v>9242125.982554676</v>
      </c>
      <c r="R251">
        <f t="shared" si="961"/>
        <v>-443153654.98893565</v>
      </c>
      <c r="S251">
        <f t="shared" si="962"/>
        <v>-4431.5365498893561</v>
      </c>
      <c r="T251">
        <f t="shared" si="963"/>
        <v>-4.4315365498893557</v>
      </c>
    </row>
    <row r="252" spans="1:20" x14ac:dyDescent="0.25">
      <c r="A252" s="5">
        <v>44341</v>
      </c>
      <c r="B252">
        <v>0.37759999999999999</v>
      </c>
      <c r="C252">
        <v>0.53600000000000003</v>
      </c>
      <c r="D252">
        <v>0.35170000000000001</v>
      </c>
      <c r="E252">
        <v>0.43959999999999999</v>
      </c>
      <c r="F252">
        <v>101370412.41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-4.6120455778622151E-2</v>
      </c>
      <c r="Q252">
        <f t="shared" si="960"/>
        <v>-4675249.6228160951</v>
      </c>
      <c r="R252">
        <f t="shared" si="961"/>
        <v>-452395780.97149032</v>
      </c>
      <c r="S252">
        <f t="shared" si="962"/>
        <v>-4523.9578097149033</v>
      </c>
      <c r="T252">
        <f t="shared" si="963"/>
        <v>-4.5239578097149034</v>
      </c>
    </row>
    <row r="253" spans="1:20" x14ac:dyDescent="0.25">
      <c r="A253" s="5">
        <v>44340</v>
      </c>
      <c r="B253">
        <v>0.32990000000000003</v>
      </c>
      <c r="C253">
        <v>0.38059999999999999</v>
      </c>
      <c r="D253">
        <v>0.31630000000000003</v>
      </c>
      <c r="E253">
        <v>0.37819999999999998</v>
      </c>
      <c r="F253">
        <v>17166485.859999999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0.92534992223950185</v>
      </c>
      <c r="Q253">
        <f t="shared" si="960"/>
        <v>15885006.355676508</v>
      </c>
      <c r="R253">
        <f t="shared" si="961"/>
        <v>-447720531.34867424</v>
      </c>
      <c r="S253">
        <f t="shared" si="962"/>
        <v>-4477.2053134867419</v>
      </c>
      <c r="T253">
        <f t="shared" si="963"/>
        <v>-4.477205313486742</v>
      </c>
    </row>
    <row r="254" spans="1:20" x14ac:dyDescent="0.25">
      <c r="A254" s="5">
        <v>44339</v>
      </c>
      <c r="B254">
        <v>0.42370000000000002</v>
      </c>
      <c r="C254">
        <v>0.4279</v>
      </c>
      <c r="D254">
        <v>0.2762</v>
      </c>
      <c r="E254">
        <v>0.32990000000000003</v>
      </c>
      <c r="F254">
        <v>17836879.379999999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-0.29202373104812096</v>
      </c>
      <c r="Q254">
        <f t="shared" si="960"/>
        <v>-5208792.0668028947</v>
      </c>
      <c r="R254">
        <f t="shared" si="961"/>
        <v>-463605537.70435077</v>
      </c>
      <c r="S254">
        <f t="shared" si="962"/>
        <v>-4636.0553770435081</v>
      </c>
      <c r="T254">
        <f t="shared" si="963"/>
        <v>-4.6360553770435082</v>
      </c>
    </row>
    <row r="255" spans="1:20" x14ac:dyDescent="0.25">
      <c r="A255" s="5">
        <v>44338</v>
      </c>
      <c r="B255">
        <v>0.37259999999999999</v>
      </c>
      <c r="C255">
        <v>0.46500000000000002</v>
      </c>
      <c r="D255">
        <v>0.33710000000000001</v>
      </c>
      <c r="E255">
        <v>0.42370000000000002</v>
      </c>
      <c r="F255">
        <v>23617885.84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0.3541829554339328</v>
      </c>
      <c r="Q255">
        <f t="shared" si="960"/>
        <v>8365052.6079124324</v>
      </c>
      <c r="R255">
        <f t="shared" si="961"/>
        <v>-458396745.63754785</v>
      </c>
      <c r="S255">
        <f t="shared" si="962"/>
        <v>-4583.9674563754788</v>
      </c>
      <c r="T255">
        <f t="shared" si="963"/>
        <v>-4.5839674563754791</v>
      </c>
    </row>
    <row r="256" spans="1:20" x14ac:dyDescent="0.25">
      <c r="A256" s="5">
        <v>44337</v>
      </c>
      <c r="B256">
        <v>0.41839999999999999</v>
      </c>
      <c r="C256">
        <v>0.50119999999999998</v>
      </c>
      <c r="D256">
        <v>0.33379999999999999</v>
      </c>
      <c r="E256">
        <v>0.37259999999999999</v>
      </c>
      <c r="F256">
        <v>20635983.02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-0.53643966547192345</v>
      </c>
      <c r="Q256">
        <f t="shared" si="960"/>
        <v>-11069959.827933092</v>
      </c>
      <c r="R256">
        <f t="shared" si="961"/>
        <v>-466761798.24546027</v>
      </c>
      <c r="S256">
        <f t="shared" si="962"/>
        <v>-4667.6179824546025</v>
      </c>
      <c r="T256">
        <f t="shared" si="963"/>
        <v>-4.6676179824546029</v>
      </c>
    </row>
    <row r="257" spans="1:20" x14ac:dyDescent="0.25">
      <c r="A257" s="5">
        <v>44336</v>
      </c>
      <c r="B257">
        <v>0.37680000000000002</v>
      </c>
      <c r="C257">
        <v>0.43240000000000001</v>
      </c>
      <c r="D257">
        <v>0.32200000000000001</v>
      </c>
      <c r="E257">
        <v>0.41839999999999999</v>
      </c>
      <c r="F257">
        <v>14323085.720000001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0.74637681159420266</v>
      </c>
      <c r="Q257">
        <f t="shared" si="960"/>
        <v>10690419.051884055</v>
      </c>
      <c r="R257">
        <f t="shared" si="961"/>
        <v>-455691838.4175272</v>
      </c>
      <c r="S257">
        <f t="shared" si="962"/>
        <v>-4556.918384175272</v>
      </c>
      <c r="T257">
        <f t="shared" si="963"/>
        <v>-4.5569183841752716</v>
      </c>
    </row>
    <row r="258" spans="1:20" x14ac:dyDescent="0.25">
      <c r="A258" s="5">
        <v>44335</v>
      </c>
      <c r="B258">
        <v>0.53300000000000003</v>
      </c>
      <c r="C258">
        <v>0.54010000000000002</v>
      </c>
      <c r="D258">
        <v>0.30309999999999998</v>
      </c>
      <c r="E258">
        <v>0.3775</v>
      </c>
      <c r="F258">
        <v>23622277.23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-0.37215189873417714</v>
      </c>
      <c r="Q258">
        <f t="shared" si="960"/>
        <v>-8791075.3235696182</v>
      </c>
      <c r="R258">
        <f t="shared" si="961"/>
        <v>-466382257.46941125</v>
      </c>
      <c r="S258">
        <f t="shared" si="962"/>
        <v>-4663.8225746941125</v>
      </c>
      <c r="T258">
        <f t="shared" si="963"/>
        <v>-4.6638225746941124</v>
      </c>
    </row>
    <row r="259" spans="1:20" x14ac:dyDescent="0.25">
      <c r="A259" s="5">
        <v>44334</v>
      </c>
      <c r="B259">
        <v>0.53220000000000001</v>
      </c>
      <c r="C259">
        <v>0.56240000000000001</v>
      </c>
      <c r="D259">
        <v>0.52039999999999997</v>
      </c>
      <c r="E259">
        <v>0.53239999999999998</v>
      </c>
      <c r="F259">
        <v>14418092.26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-0.42857142857142855</v>
      </c>
      <c r="Q259">
        <f t="shared" si="960"/>
        <v>-6179182.3971428564</v>
      </c>
      <c r="R259">
        <f t="shared" si="961"/>
        <v>-457591182.14584166</v>
      </c>
      <c r="S259">
        <f t="shared" si="962"/>
        <v>-4575.9118214584169</v>
      </c>
      <c r="T259">
        <f t="shared" si="963"/>
        <v>-4.5759118214584165</v>
      </c>
    </row>
    <row r="260" spans="1:20" x14ac:dyDescent="0.25">
      <c r="A260" s="5">
        <v>44333</v>
      </c>
      <c r="B260">
        <v>0.61499999999999999</v>
      </c>
      <c r="C260">
        <v>0.62</v>
      </c>
      <c r="D260">
        <v>0.51349999999999996</v>
      </c>
      <c r="E260">
        <v>0.53129999999999999</v>
      </c>
      <c r="F260">
        <v>21781378.210000001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-0.6657276995305158</v>
      </c>
      <c r="Q260">
        <f t="shared" si="960"/>
        <v>-14500466.808347404</v>
      </c>
      <c r="R260">
        <f t="shared" si="961"/>
        <v>-451411999.74869883</v>
      </c>
      <c r="S260">
        <f t="shared" si="962"/>
        <v>-4514.1199974869887</v>
      </c>
      <c r="T260">
        <f t="shared" si="963"/>
        <v>-4.514119997486989</v>
      </c>
    </row>
    <row r="261" spans="1:20" x14ac:dyDescent="0.25">
      <c r="A261" s="5">
        <v>44332</v>
      </c>
      <c r="B261">
        <v>0.55369999999999997</v>
      </c>
      <c r="C261">
        <v>0.66739999999999999</v>
      </c>
      <c r="D261">
        <v>0.54679999999999995</v>
      </c>
      <c r="E261">
        <v>0.61460000000000004</v>
      </c>
      <c r="F261">
        <v>38786887.229999997</v>
      </c>
      <c r="G261">
        <v>0</v>
      </c>
      <c r="L261" t="s">
        <v>8</v>
      </c>
      <c r="M261" t="s">
        <v>8</v>
      </c>
      <c r="N261" t="s">
        <v>8</v>
      </c>
      <c r="P261">
        <f t="shared" si="959"/>
        <v>0.12437810945273731</v>
      </c>
      <c r="Q261">
        <f t="shared" si="960"/>
        <v>4824239.7052239189</v>
      </c>
      <c r="R261">
        <f t="shared" si="961"/>
        <v>-436911532.94035143</v>
      </c>
      <c r="S261">
        <f t="shared" si="962"/>
        <v>-4369.1153294035139</v>
      </c>
      <c r="T261">
        <f t="shared" si="963"/>
        <v>-4.3691153294035141</v>
      </c>
    </row>
    <row r="262" spans="1:20" x14ac:dyDescent="0.25">
      <c r="A262" s="5">
        <v>44331</v>
      </c>
      <c r="B262">
        <v>0.57679999999999998</v>
      </c>
      <c r="C262">
        <v>0.62829999999999997</v>
      </c>
      <c r="D262">
        <v>0.55159999999999998</v>
      </c>
      <c r="E262">
        <v>0.55279999999999996</v>
      </c>
      <c r="F262">
        <v>19279358.09</v>
      </c>
      <c r="G262">
        <v>0</v>
      </c>
      <c r="L262" t="s">
        <v>8</v>
      </c>
      <c r="M262" t="s">
        <v>7</v>
      </c>
      <c r="N262" t="s">
        <v>8</v>
      </c>
      <c r="P262">
        <f t="shared" ref="P262:P325" si="964">IF(C262=D262,0,((E262-D262)-(C262-E262))/(C262-D262))</f>
        <v>-0.96870925684485065</v>
      </c>
      <c r="Q262">
        <f t="shared" ref="Q262:Q325" si="965">F262*P262</f>
        <v>-18676092.647809658</v>
      </c>
      <c r="R262">
        <f t="shared" ref="R262:R325" si="966">R263+Q262</f>
        <v>-441735772.64557534</v>
      </c>
      <c r="S262">
        <f t="shared" ref="S262:S325" si="967">R262/100000</f>
        <v>-4417.3577264557534</v>
      </c>
      <c r="T262">
        <f t="shared" ref="T262:T325" si="968">S262/1000</f>
        <v>-4.4173577264557533</v>
      </c>
    </row>
    <row r="263" spans="1:20" x14ac:dyDescent="0.25">
      <c r="A263" s="5">
        <v>44330</v>
      </c>
      <c r="B263">
        <v>0.54820000000000002</v>
      </c>
      <c r="C263">
        <v>0.59740000000000004</v>
      </c>
      <c r="D263">
        <v>0.54700000000000004</v>
      </c>
      <c r="E263">
        <v>0.57589999999999997</v>
      </c>
      <c r="F263">
        <v>7895470.0499999998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0.14682539682539386</v>
      </c>
      <c r="Q263">
        <f t="shared" si="965"/>
        <v>1159255.5232142622</v>
      </c>
      <c r="R263">
        <f t="shared" si="966"/>
        <v>-423059679.99776566</v>
      </c>
      <c r="S263">
        <f t="shared" si="967"/>
        <v>-4230.5967999776567</v>
      </c>
      <c r="T263">
        <f t="shared" si="968"/>
        <v>-4.2305967999776568</v>
      </c>
    </row>
    <row r="264" spans="1:20" x14ac:dyDescent="0.25">
      <c r="A264" s="5">
        <v>44329</v>
      </c>
      <c r="B264">
        <v>0.55479999999999996</v>
      </c>
      <c r="C264">
        <v>0.60529999999999995</v>
      </c>
      <c r="D264">
        <v>0.53100000000000003</v>
      </c>
      <c r="E264">
        <v>0.54820000000000002</v>
      </c>
      <c r="F264">
        <v>13543933.9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-0.53701211305518137</v>
      </c>
      <c r="Q264">
        <f t="shared" si="965"/>
        <v>-7273256.5627187034</v>
      </c>
      <c r="R264">
        <f t="shared" si="966"/>
        <v>-424218935.52097994</v>
      </c>
      <c r="S264">
        <f t="shared" si="967"/>
        <v>-4242.189355209799</v>
      </c>
      <c r="T264">
        <f t="shared" si="968"/>
        <v>-4.2421893552097991</v>
      </c>
    </row>
    <row r="265" spans="1:20" x14ac:dyDescent="0.25">
      <c r="A265" s="5">
        <v>44328</v>
      </c>
      <c r="B265">
        <v>0.62</v>
      </c>
      <c r="C265">
        <v>0.66249999999999998</v>
      </c>
      <c r="D265">
        <v>0.55010000000000003</v>
      </c>
      <c r="E265">
        <v>0.55989999999999995</v>
      </c>
      <c r="F265">
        <v>17217273.800000001</v>
      </c>
      <c r="G265">
        <v>0</v>
      </c>
      <c r="L265" t="s">
        <v>7</v>
      </c>
      <c r="M265" t="s">
        <v>7</v>
      </c>
      <c r="N265" t="s">
        <v>8</v>
      </c>
      <c r="P265">
        <f t="shared" si="964"/>
        <v>-0.82562277580071308</v>
      </c>
      <c r="Q265">
        <f t="shared" si="965"/>
        <v>-14214973.386476891</v>
      </c>
      <c r="R265">
        <f t="shared" si="966"/>
        <v>-416945678.95826125</v>
      </c>
      <c r="S265">
        <f t="shared" si="967"/>
        <v>-4169.4567895826121</v>
      </c>
      <c r="T265">
        <f t="shared" si="968"/>
        <v>-4.169456789582612</v>
      </c>
    </row>
    <row r="266" spans="1:20" x14ac:dyDescent="0.25">
      <c r="A266" s="5">
        <v>44327</v>
      </c>
      <c r="B266">
        <v>0.60160000000000002</v>
      </c>
      <c r="C266">
        <v>0.63980000000000004</v>
      </c>
      <c r="D266">
        <v>0.56899999999999995</v>
      </c>
      <c r="E266">
        <v>0.61870000000000003</v>
      </c>
      <c r="F266">
        <v>12894563.85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0.4039548022598875</v>
      </c>
      <c r="Q266">
        <f t="shared" si="965"/>
        <v>5208820.9902542438</v>
      </c>
      <c r="R266">
        <f t="shared" si="966"/>
        <v>-402730705.57178438</v>
      </c>
      <c r="S266">
        <f t="shared" si="967"/>
        <v>-4027.3070557178439</v>
      </c>
      <c r="T266">
        <f t="shared" si="968"/>
        <v>-4.0273070557178441</v>
      </c>
    </row>
    <row r="267" spans="1:20" x14ac:dyDescent="0.25">
      <c r="A267" s="5">
        <v>44326</v>
      </c>
      <c r="B267">
        <v>0.65059999999999996</v>
      </c>
      <c r="C267">
        <v>0.66810000000000003</v>
      </c>
      <c r="D267">
        <v>0.57879999999999998</v>
      </c>
      <c r="E267">
        <v>0.60170000000000001</v>
      </c>
      <c r="F267">
        <v>15755399.220000001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-0.4871220604703243</v>
      </c>
      <c r="Q267">
        <f t="shared" si="965"/>
        <v>-7674802.5315789403</v>
      </c>
      <c r="R267">
        <f t="shared" si="966"/>
        <v>-407939526.5620386</v>
      </c>
      <c r="S267">
        <f t="shared" si="967"/>
        <v>-4079.395265620386</v>
      </c>
      <c r="T267">
        <f t="shared" si="968"/>
        <v>-4.079395265620386</v>
      </c>
    </row>
    <row r="268" spans="1:20" x14ac:dyDescent="0.25">
      <c r="A268" s="5">
        <v>44325</v>
      </c>
      <c r="B268">
        <v>0.66700000000000004</v>
      </c>
      <c r="C268">
        <v>0.6694</v>
      </c>
      <c r="D268">
        <v>0.62860000000000005</v>
      </c>
      <c r="E268">
        <v>0.65159999999999996</v>
      </c>
      <c r="F268">
        <v>10204468.460000001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0.12745098039215388</v>
      </c>
      <c r="Q268">
        <f t="shared" si="965"/>
        <v>1300569.5096078129</v>
      </c>
      <c r="R268">
        <f t="shared" si="966"/>
        <v>-400264724.03045964</v>
      </c>
      <c r="S268">
        <f t="shared" si="967"/>
        <v>-4002.6472403045964</v>
      </c>
      <c r="T268">
        <f t="shared" si="968"/>
        <v>-4.0026472403045963</v>
      </c>
    </row>
    <row r="269" spans="1:20" x14ac:dyDescent="0.25">
      <c r="A269" s="5">
        <v>44324</v>
      </c>
      <c r="B269">
        <v>0.67210000000000003</v>
      </c>
      <c r="C269">
        <v>0.69610000000000005</v>
      </c>
      <c r="D269">
        <v>0.64690000000000003</v>
      </c>
      <c r="E269">
        <v>0.66690000000000005</v>
      </c>
      <c r="F269">
        <v>9583306.3599999994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-0.18699186991869882</v>
      </c>
      <c r="Q269">
        <f t="shared" si="965"/>
        <v>-1792000.3762601588</v>
      </c>
      <c r="R269">
        <f t="shared" si="966"/>
        <v>-401565293.54006743</v>
      </c>
      <c r="S269">
        <f t="shared" si="967"/>
        <v>-4015.6529354006743</v>
      </c>
      <c r="T269">
        <f t="shared" si="968"/>
        <v>-4.0156529354006745</v>
      </c>
    </row>
    <row r="270" spans="1:20" x14ac:dyDescent="0.25">
      <c r="A270" s="5">
        <v>44323</v>
      </c>
      <c r="B270">
        <v>0.66759999999999997</v>
      </c>
      <c r="C270">
        <v>0.73619999999999997</v>
      </c>
      <c r="D270">
        <v>0.63480000000000003</v>
      </c>
      <c r="E270">
        <v>0.67259999999999998</v>
      </c>
      <c r="F270">
        <v>21908392.859999999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-0.25443786982248584</v>
      </c>
      <c r="Q270">
        <f t="shared" si="965"/>
        <v>-5574324.8105325578</v>
      </c>
      <c r="R270">
        <f t="shared" si="966"/>
        <v>-399773293.16380727</v>
      </c>
      <c r="S270">
        <f t="shared" si="967"/>
        <v>-3997.7329316380728</v>
      </c>
      <c r="T270">
        <f t="shared" si="968"/>
        <v>-3.997732931638073</v>
      </c>
    </row>
    <row r="271" spans="1:20" x14ac:dyDescent="0.25">
      <c r="A271" s="5">
        <v>44322</v>
      </c>
      <c r="B271">
        <v>0.65769999999999995</v>
      </c>
      <c r="C271">
        <v>0.70989999999999998</v>
      </c>
      <c r="D271">
        <v>0.64429999999999998</v>
      </c>
      <c r="E271">
        <v>0.66759999999999997</v>
      </c>
      <c r="F271">
        <v>21440301.57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-0.28963414634146373</v>
      </c>
      <c r="Q271">
        <f t="shared" si="965"/>
        <v>-6209843.4425304942</v>
      </c>
      <c r="R271">
        <f t="shared" si="966"/>
        <v>-394198968.3532747</v>
      </c>
      <c r="S271">
        <f t="shared" si="967"/>
        <v>-3941.9896835327472</v>
      </c>
      <c r="T271">
        <f t="shared" si="968"/>
        <v>-3.9419896835327473</v>
      </c>
    </row>
    <row r="272" spans="1:20" x14ac:dyDescent="0.25">
      <c r="A272" s="5">
        <v>44321</v>
      </c>
      <c r="B272">
        <v>0.59899999999999998</v>
      </c>
      <c r="C272">
        <v>0.66</v>
      </c>
      <c r="D272">
        <v>0.59770000000000001</v>
      </c>
      <c r="E272">
        <v>0.65849999999999997</v>
      </c>
      <c r="F272">
        <v>12424956.68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0.95184590690208482</v>
      </c>
      <c r="Q272">
        <f t="shared" si="965"/>
        <v>11826644.159293717</v>
      </c>
      <c r="R272">
        <f t="shared" si="966"/>
        <v>-387989124.91074419</v>
      </c>
      <c r="S272">
        <f t="shared" si="967"/>
        <v>-3879.891249107442</v>
      </c>
      <c r="T272">
        <f t="shared" si="968"/>
        <v>-3.879891249107442</v>
      </c>
    </row>
    <row r="273" spans="1:20" x14ac:dyDescent="0.25">
      <c r="A273" s="5">
        <v>44320</v>
      </c>
      <c r="B273">
        <v>0.66300000000000003</v>
      </c>
      <c r="C273">
        <v>0.66400000000000003</v>
      </c>
      <c r="D273">
        <v>0.57330000000000003</v>
      </c>
      <c r="E273">
        <v>0.59960000000000002</v>
      </c>
      <c r="F273">
        <v>16220913.41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-0.42006615214994514</v>
      </c>
      <c r="Q273">
        <f t="shared" si="965"/>
        <v>-6813856.680496145</v>
      </c>
      <c r="R273">
        <f t="shared" si="966"/>
        <v>-399815769.0700379</v>
      </c>
      <c r="S273">
        <f t="shared" si="967"/>
        <v>-3998.1576907003791</v>
      </c>
      <c r="T273">
        <f t="shared" si="968"/>
        <v>-3.9981576907003791</v>
      </c>
    </row>
    <row r="274" spans="1:20" x14ac:dyDescent="0.25">
      <c r="A274" s="5">
        <v>44319</v>
      </c>
      <c r="B274">
        <v>0.66669999999999996</v>
      </c>
      <c r="C274">
        <v>0.74</v>
      </c>
      <c r="D274">
        <v>0.65049999999999997</v>
      </c>
      <c r="E274">
        <v>0.66239999999999999</v>
      </c>
      <c r="F274">
        <v>11646794.33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-0.73407821229050241</v>
      </c>
      <c r="Q274">
        <f t="shared" si="965"/>
        <v>-8549657.9606815595</v>
      </c>
      <c r="R274">
        <f t="shared" si="966"/>
        <v>-393001912.38954175</v>
      </c>
      <c r="S274">
        <f t="shared" si="967"/>
        <v>-3930.0191238954176</v>
      </c>
      <c r="T274">
        <f t="shared" si="968"/>
        <v>-3.9300191238954176</v>
      </c>
    </row>
    <row r="275" spans="1:20" x14ac:dyDescent="0.25">
      <c r="A275" s="5">
        <v>44318</v>
      </c>
      <c r="B275">
        <v>0.65390000000000004</v>
      </c>
      <c r="C275">
        <v>0.71650000000000003</v>
      </c>
      <c r="D275">
        <v>0.63519999999999999</v>
      </c>
      <c r="E275">
        <v>0.66659999999999997</v>
      </c>
      <c r="F275">
        <v>18807863.620000001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-0.227552275522756</v>
      </c>
      <c r="Q275">
        <f t="shared" si="965"/>
        <v>-4279772.164452659</v>
      </c>
      <c r="R275">
        <f t="shared" si="966"/>
        <v>-384452254.42886019</v>
      </c>
      <c r="S275">
        <f t="shared" si="967"/>
        <v>-3844.5225442886017</v>
      </c>
      <c r="T275">
        <f t="shared" si="968"/>
        <v>-3.8445225442886017</v>
      </c>
    </row>
    <row r="276" spans="1:20" x14ac:dyDescent="0.25">
      <c r="A276" s="5">
        <v>44317</v>
      </c>
      <c r="B276">
        <v>0.65329999999999999</v>
      </c>
      <c r="C276">
        <v>0.66359999999999997</v>
      </c>
      <c r="D276">
        <v>0.63090000000000002</v>
      </c>
      <c r="E276">
        <v>0.65439999999999998</v>
      </c>
      <c r="F276">
        <v>8135817.6799999997</v>
      </c>
      <c r="G276">
        <v>0</v>
      </c>
      <c r="L276" t="s">
        <v>8</v>
      </c>
      <c r="M276" t="s">
        <v>8</v>
      </c>
      <c r="N276" t="s">
        <v>7</v>
      </c>
      <c r="P276">
        <f t="shared" si="964"/>
        <v>0.43730886850152906</v>
      </c>
      <c r="Q276">
        <f t="shared" si="965"/>
        <v>3557865.223975535</v>
      </c>
      <c r="R276">
        <f t="shared" si="966"/>
        <v>-380172482.26440752</v>
      </c>
      <c r="S276">
        <f t="shared" si="967"/>
        <v>-3801.7248226440752</v>
      </c>
      <c r="T276">
        <f t="shared" si="968"/>
        <v>-3.8017248226440752</v>
      </c>
    </row>
    <row r="277" spans="1:20" x14ac:dyDescent="0.25">
      <c r="A277" s="5">
        <v>44316</v>
      </c>
      <c r="B277">
        <v>0.60860000000000003</v>
      </c>
      <c r="C277">
        <v>0.65900000000000003</v>
      </c>
      <c r="D277">
        <v>0.60619999999999996</v>
      </c>
      <c r="E277">
        <v>0.65349999999999997</v>
      </c>
      <c r="F277">
        <v>8849868</v>
      </c>
      <c r="G277">
        <v>0</v>
      </c>
      <c r="L277" t="s">
        <v>8</v>
      </c>
      <c r="M277" t="s">
        <v>8</v>
      </c>
      <c r="N277" t="s">
        <v>7</v>
      </c>
      <c r="P277">
        <f t="shared" si="964"/>
        <v>0.79166666666666463</v>
      </c>
      <c r="Q277">
        <f t="shared" si="965"/>
        <v>7006145.4999999823</v>
      </c>
      <c r="R277">
        <f t="shared" si="966"/>
        <v>-383730347.48838305</v>
      </c>
      <c r="S277">
        <f t="shared" si="967"/>
        <v>-3837.3034748838304</v>
      </c>
      <c r="T277">
        <f t="shared" si="968"/>
        <v>-3.8373034748838304</v>
      </c>
    </row>
    <row r="278" spans="1:20" x14ac:dyDescent="0.25">
      <c r="A278" s="5">
        <v>44315</v>
      </c>
      <c r="B278">
        <v>0.61609999999999998</v>
      </c>
      <c r="C278">
        <v>0.63</v>
      </c>
      <c r="D278">
        <v>0.5857</v>
      </c>
      <c r="E278">
        <v>0.60829999999999995</v>
      </c>
      <c r="F278">
        <v>8608728.8699999992</v>
      </c>
      <c r="G278">
        <v>0</v>
      </c>
      <c r="L278" t="s">
        <v>7</v>
      </c>
      <c r="M278" t="s">
        <v>8</v>
      </c>
      <c r="N278" t="s">
        <v>7</v>
      </c>
      <c r="P278">
        <f t="shared" si="964"/>
        <v>2.0316027088033876E-2</v>
      </c>
      <c r="Q278">
        <f t="shared" si="965"/>
        <v>174895.16891645925</v>
      </c>
      <c r="R278">
        <f t="shared" si="966"/>
        <v>-390736492.98838305</v>
      </c>
      <c r="S278">
        <f t="shared" si="967"/>
        <v>-3907.3649298838304</v>
      </c>
      <c r="T278">
        <f t="shared" si="968"/>
        <v>-3.9073649298838302</v>
      </c>
    </row>
    <row r="279" spans="1:20" x14ac:dyDescent="0.25">
      <c r="A279" s="5">
        <v>44314</v>
      </c>
      <c r="B279">
        <v>0.64</v>
      </c>
      <c r="C279">
        <v>0.67</v>
      </c>
      <c r="D279">
        <v>0.59130000000000005</v>
      </c>
      <c r="E279">
        <v>0.61609999999999998</v>
      </c>
      <c r="F279">
        <v>10341180.9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-0.36975857687420749</v>
      </c>
      <c r="Q279">
        <f t="shared" si="965"/>
        <v>-3823740.3327827365</v>
      </c>
      <c r="R279">
        <f t="shared" si="966"/>
        <v>-390911388.15729952</v>
      </c>
      <c r="S279">
        <f t="shared" si="967"/>
        <v>-3909.1138815729951</v>
      </c>
      <c r="T279">
        <f t="shared" si="968"/>
        <v>-3.9091138815729951</v>
      </c>
    </row>
    <row r="280" spans="1:20" x14ac:dyDescent="0.25">
      <c r="A280" s="5">
        <v>44313</v>
      </c>
      <c r="B280">
        <v>0.59660000000000002</v>
      </c>
      <c r="C280">
        <v>0.65990000000000004</v>
      </c>
      <c r="D280">
        <v>0.59599999999999997</v>
      </c>
      <c r="E280">
        <v>0.63959999999999995</v>
      </c>
      <c r="F280">
        <v>9695122.2699999996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0.36463223787167215</v>
      </c>
      <c r="Q280">
        <f t="shared" si="965"/>
        <v>3535154.1297495859</v>
      </c>
      <c r="R280">
        <f t="shared" si="966"/>
        <v>-387087647.82451677</v>
      </c>
      <c r="S280">
        <f t="shared" si="967"/>
        <v>-3870.8764782451676</v>
      </c>
      <c r="T280">
        <f t="shared" si="968"/>
        <v>-3.8708764782451675</v>
      </c>
    </row>
    <row r="281" spans="1:20" x14ac:dyDescent="0.25">
      <c r="A281" s="5">
        <v>44312</v>
      </c>
      <c r="B281">
        <v>0.53180000000000005</v>
      </c>
      <c r="C281">
        <v>0.60409999999999997</v>
      </c>
      <c r="D281">
        <v>0.5262</v>
      </c>
      <c r="E281">
        <v>0.59619999999999995</v>
      </c>
      <c r="F281">
        <v>9185797.8000000007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0.79717586649550654</v>
      </c>
      <c r="Q281">
        <f t="shared" si="965"/>
        <v>7322696.3206675183</v>
      </c>
      <c r="R281">
        <f t="shared" si="966"/>
        <v>-390622801.95426637</v>
      </c>
      <c r="S281">
        <f t="shared" si="967"/>
        <v>-3906.2280195426638</v>
      </c>
      <c r="T281">
        <f t="shared" si="968"/>
        <v>-3.906228019542664</v>
      </c>
    </row>
    <row r="282" spans="1:20" x14ac:dyDescent="0.25">
      <c r="A282" s="5">
        <v>44311</v>
      </c>
      <c r="B282">
        <v>0.53610000000000002</v>
      </c>
      <c r="C282">
        <v>0.57699999999999996</v>
      </c>
      <c r="D282">
        <v>0.50260000000000005</v>
      </c>
      <c r="E282">
        <v>0.53180000000000005</v>
      </c>
      <c r="F282">
        <v>6069486.0700000003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-0.21505376344085916</v>
      </c>
      <c r="Q282">
        <f t="shared" si="965"/>
        <v>-1305265.8215053701</v>
      </c>
      <c r="R282">
        <f t="shared" si="966"/>
        <v>-397945498.27493387</v>
      </c>
      <c r="S282">
        <f t="shared" si="967"/>
        <v>-3979.4549827493388</v>
      </c>
      <c r="T282">
        <f t="shared" si="968"/>
        <v>-3.9794549827493388</v>
      </c>
    </row>
    <row r="283" spans="1:20" x14ac:dyDescent="0.25">
      <c r="A283" s="5">
        <v>44310</v>
      </c>
      <c r="B283">
        <v>0.56789999999999996</v>
      </c>
      <c r="C283">
        <v>0.58089999999999997</v>
      </c>
      <c r="D283">
        <v>0.53029999999999999</v>
      </c>
      <c r="E283">
        <v>0.53639999999999999</v>
      </c>
      <c r="F283">
        <v>7698732.4900000002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-0.75889328063241124</v>
      </c>
      <c r="Q283">
        <f t="shared" si="965"/>
        <v>-5842516.3560474319</v>
      </c>
      <c r="R283">
        <f t="shared" si="966"/>
        <v>-396640232.45342851</v>
      </c>
      <c r="S283">
        <f t="shared" si="967"/>
        <v>-3966.4023245342851</v>
      </c>
      <c r="T283">
        <f t="shared" si="968"/>
        <v>-3.9664023245342852</v>
      </c>
    </row>
    <row r="284" spans="1:20" x14ac:dyDescent="0.25">
      <c r="A284" s="5">
        <v>44309</v>
      </c>
      <c r="B284">
        <v>0.58909999999999996</v>
      </c>
      <c r="C284">
        <v>0.6119</v>
      </c>
      <c r="D284">
        <v>0.50249999999999995</v>
      </c>
      <c r="E284">
        <v>0.5675</v>
      </c>
      <c r="F284">
        <v>14843610.25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0.188299817184644</v>
      </c>
      <c r="Q284">
        <f t="shared" si="965"/>
        <v>2795049.0964351078</v>
      </c>
      <c r="R284">
        <f t="shared" si="966"/>
        <v>-390797716.09738106</v>
      </c>
      <c r="S284">
        <f t="shared" si="967"/>
        <v>-3907.9771609738104</v>
      </c>
      <c r="T284">
        <f t="shared" si="968"/>
        <v>-3.9079771609738105</v>
      </c>
    </row>
    <row r="285" spans="1:20" x14ac:dyDescent="0.25">
      <c r="A285" s="5">
        <v>44308</v>
      </c>
      <c r="B285">
        <v>0.62770000000000004</v>
      </c>
      <c r="C285">
        <v>0.66669999999999996</v>
      </c>
      <c r="D285">
        <v>0.58050000000000002</v>
      </c>
      <c r="E285">
        <v>0.5897</v>
      </c>
      <c r="F285">
        <v>10931038.810000001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-0.78654292343387489</v>
      </c>
      <c r="Q285">
        <f t="shared" si="965"/>
        <v>-8597731.2217865456</v>
      </c>
      <c r="R285">
        <f t="shared" si="966"/>
        <v>-393592765.19381618</v>
      </c>
      <c r="S285">
        <f t="shared" si="967"/>
        <v>-3935.9276519381619</v>
      </c>
      <c r="T285">
        <f t="shared" si="968"/>
        <v>-3.9359276519381621</v>
      </c>
    </row>
    <row r="286" spans="1:20" x14ac:dyDescent="0.25">
      <c r="A286" s="5">
        <v>44307</v>
      </c>
      <c r="B286">
        <v>0.67749999999999999</v>
      </c>
      <c r="C286">
        <v>0.70269999999999999</v>
      </c>
      <c r="D286">
        <v>0.62790000000000001</v>
      </c>
      <c r="E286">
        <v>0.62790000000000001</v>
      </c>
      <c r="F286">
        <v>10487375.470000001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-1</v>
      </c>
      <c r="Q286">
        <f t="shared" si="965"/>
        <v>-10487375.470000001</v>
      </c>
      <c r="R286">
        <f t="shared" si="966"/>
        <v>-384995033.97202963</v>
      </c>
      <c r="S286">
        <f t="shared" si="967"/>
        <v>-3849.9503397202961</v>
      </c>
      <c r="T286">
        <f t="shared" si="968"/>
        <v>-3.8499503397202961</v>
      </c>
    </row>
    <row r="287" spans="1:20" x14ac:dyDescent="0.25">
      <c r="A287" s="5">
        <v>44306</v>
      </c>
      <c r="B287">
        <v>0.66180000000000005</v>
      </c>
      <c r="C287">
        <v>0.68700000000000006</v>
      </c>
      <c r="D287">
        <v>0.5998</v>
      </c>
      <c r="E287">
        <v>0.67700000000000005</v>
      </c>
      <c r="F287">
        <v>12901854.68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0.77064220183486232</v>
      </c>
      <c r="Q287">
        <f t="shared" si="965"/>
        <v>9942713.6983486228</v>
      </c>
      <c r="R287">
        <f t="shared" si="966"/>
        <v>-374507658.5020296</v>
      </c>
      <c r="S287">
        <f t="shared" si="967"/>
        <v>-3745.0765850202961</v>
      </c>
      <c r="T287">
        <f t="shared" si="968"/>
        <v>-3.7450765850202963</v>
      </c>
    </row>
    <row r="288" spans="1:20" x14ac:dyDescent="0.25">
      <c r="A288" s="5">
        <v>44305</v>
      </c>
      <c r="B288">
        <v>0.71589999999999998</v>
      </c>
      <c r="C288">
        <v>0.746</v>
      </c>
      <c r="D288">
        <v>0.65569999999999995</v>
      </c>
      <c r="E288">
        <v>0.66110000000000002</v>
      </c>
      <c r="F288">
        <v>12665133.43</v>
      </c>
      <c r="G288">
        <v>0</v>
      </c>
      <c r="L288" t="s">
        <v>8</v>
      </c>
      <c r="M288" t="s">
        <v>7</v>
      </c>
      <c r="N288" t="s">
        <v>7</v>
      </c>
      <c r="P288">
        <f t="shared" si="964"/>
        <v>-0.88039867109634395</v>
      </c>
      <c r="Q288">
        <f t="shared" si="965"/>
        <v>-11150366.641029879</v>
      </c>
      <c r="R288">
        <f t="shared" si="966"/>
        <v>-384450372.20037824</v>
      </c>
      <c r="S288">
        <f t="shared" si="967"/>
        <v>-3844.5037220037825</v>
      </c>
      <c r="T288">
        <f t="shared" si="968"/>
        <v>-3.8445037220037825</v>
      </c>
    </row>
    <row r="289" spans="1:20" x14ac:dyDescent="0.25">
      <c r="A289" s="5">
        <v>44304</v>
      </c>
      <c r="B289">
        <v>0.79730000000000001</v>
      </c>
      <c r="C289">
        <v>0.79900000000000004</v>
      </c>
      <c r="D289">
        <v>0.63400000000000001</v>
      </c>
      <c r="E289">
        <v>0.71509999999999996</v>
      </c>
      <c r="F289">
        <v>18360004.989999998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-1.696969696969779E-2</v>
      </c>
      <c r="Q289">
        <f t="shared" si="965"/>
        <v>-311563.72104243928</v>
      </c>
      <c r="R289">
        <f t="shared" si="966"/>
        <v>-373300005.55934834</v>
      </c>
      <c r="S289">
        <f t="shared" si="967"/>
        <v>-3733.0000555934835</v>
      </c>
      <c r="T289">
        <f t="shared" si="968"/>
        <v>-3.7330000555934832</v>
      </c>
    </row>
    <row r="290" spans="1:20" x14ac:dyDescent="0.25">
      <c r="A290" s="5">
        <v>44303</v>
      </c>
      <c r="B290">
        <v>0.84560000000000002</v>
      </c>
      <c r="C290">
        <v>0.8639</v>
      </c>
      <c r="D290">
        <v>0.79720000000000002</v>
      </c>
      <c r="E290">
        <v>0.79730000000000001</v>
      </c>
      <c r="F290">
        <v>13693822.77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-0.99700149925037518</v>
      </c>
      <c r="Q290">
        <f t="shared" si="965"/>
        <v>-13652761.832158925</v>
      </c>
      <c r="R290">
        <f t="shared" si="966"/>
        <v>-372988441.83830589</v>
      </c>
      <c r="S290">
        <f t="shared" si="967"/>
        <v>-3729.8844183830588</v>
      </c>
      <c r="T290">
        <f t="shared" si="968"/>
        <v>-3.7298844183830586</v>
      </c>
    </row>
    <row r="291" spans="1:20" x14ac:dyDescent="0.25">
      <c r="A291" s="5">
        <v>44302</v>
      </c>
      <c r="B291">
        <v>0.79290000000000005</v>
      </c>
      <c r="C291">
        <v>0.85</v>
      </c>
      <c r="D291">
        <v>0.75429999999999997</v>
      </c>
      <c r="E291">
        <v>0.84570000000000001</v>
      </c>
      <c r="F291">
        <v>17502208.949999999</v>
      </c>
      <c r="G291">
        <v>0</v>
      </c>
      <c r="L291" t="s">
        <v>8</v>
      </c>
      <c r="M291" t="s">
        <v>8</v>
      </c>
      <c r="N291" t="s">
        <v>7</v>
      </c>
      <c r="P291">
        <f t="shared" si="964"/>
        <v>0.91013584117032453</v>
      </c>
      <c r="Q291">
        <f t="shared" si="965"/>
        <v>15929387.665047033</v>
      </c>
      <c r="R291">
        <f t="shared" si="966"/>
        <v>-359335680.00614697</v>
      </c>
      <c r="S291">
        <f t="shared" si="967"/>
        <v>-3593.3568000614696</v>
      </c>
      <c r="T291">
        <f t="shared" si="968"/>
        <v>-3.5933568000614695</v>
      </c>
    </row>
    <row r="292" spans="1:20" x14ac:dyDescent="0.25">
      <c r="A292" s="5">
        <v>44301</v>
      </c>
      <c r="B292">
        <v>0.76300000000000001</v>
      </c>
      <c r="C292">
        <v>0.82430000000000003</v>
      </c>
      <c r="D292">
        <v>0.7591</v>
      </c>
      <c r="E292">
        <v>0.79369999999999996</v>
      </c>
      <c r="F292">
        <v>13785932.76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6.1349693251532063E-2</v>
      </c>
      <c r="Q292">
        <f t="shared" si="965"/>
        <v>845762.74601224682</v>
      </c>
      <c r="R292">
        <f t="shared" si="966"/>
        <v>-375265067.67119402</v>
      </c>
      <c r="S292">
        <f t="shared" si="967"/>
        <v>-3752.6506767119404</v>
      </c>
      <c r="T292">
        <f t="shared" si="968"/>
        <v>-3.7526506767119403</v>
      </c>
    </row>
    <row r="293" spans="1:20" x14ac:dyDescent="0.25">
      <c r="A293" s="5">
        <v>44300</v>
      </c>
      <c r="B293">
        <v>0.76370000000000005</v>
      </c>
      <c r="C293">
        <v>0.77690000000000003</v>
      </c>
      <c r="D293">
        <v>0.73019999999999996</v>
      </c>
      <c r="E293">
        <v>0.76290000000000002</v>
      </c>
      <c r="F293">
        <v>13727529.41</v>
      </c>
      <c r="G293">
        <v>0</v>
      </c>
      <c r="L293" t="s">
        <v>7</v>
      </c>
      <c r="M293" t="s">
        <v>8</v>
      </c>
      <c r="N293" t="s">
        <v>7</v>
      </c>
      <c r="P293">
        <f t="shared" si="964"/>
        <v>0.40042826552462568</v>
      </c>
      <c r="Q293">
        <f t="shared" si="965"/>
        <v>5496890.7915845886</v>
      </c>
      <c r="R293">
        <f t="shared" si="966"/>
        <v>-376110830.41720629</v>
      </c>
      <c r="S293">
        <f t="shared" si="967"/>
        <v>-3761.1083041720631</v>
      </c>
      <c r="T293">
        <f t="shared" si="968"/>
        <v>-3.7611083041720632</v>
      </c>
    </row>
    <row r="294" spans="1:20" x14ac:dyDescent="0.25">
      <c r="A294" s="5">
        <v>44299</v>
      </c>
      <c r="B294">
        <v>0.77329999999999999</v>
      </c>
      <c r="C294">
        <v>0.79900000000000004</v>
      </c>
      <c r="D294">
        <v>0.751</v>
      </c>
      <c r="E294">
        <v>0.76359999999999995</v>
      </c>
      <c r="F294">
        <v>12513648.689999999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-0.47500000000000275</v>
      </c>
      <c r="Q294">
        <f t="shared" si="965"/>
        <v>-5943983.1277500344</v>
      </c>
      <c r="R294">
        <f t="shared" si="966"/>
        <v>-381607721.2087909</v>
      </c>
      <c r="S294">
        <f t="shared" si="967"/>
        <v>-3816.0772120879092</v>
      </c>
      <c r="T294">
        <f t="shared" si="968"/>
        <v>-3.816077212087909</v>
      </c>
    </row>
    <row r="295" spans="1:20" x14ac:dyDescent="0.25">
      <c r="A295" s="5">
        <v>44298</v>
      </c>
      <c r="B295">
        <v>0.80220000000000002</v>
      </c>
      <c r="C295">
        <v>0.81720000000000004</v>
      </c>
      <c r="D295">
        <v>0.76649999999999996</v>
      </c>
      <c r="E295">
        <v>0.7732</v>
      </c>
      <c r="F295">
        <v>10692695.25</v>
      </c>
      <c r="G295">
        <v>0</v>
      </c>
      <c r="L295" t="s">
        <v>7</v>
      </c>
      <c r="M295" t="s">
        <v>8</v>
      </c>
      <c r="N295" t="s">
        <v>7</v>
      </c>
      <c r="P295">
        <f t="shared" si="964"/>
        <v>-0.73570019723865765</v>
      </c>
      <c r="Q295">
        <f t="shared" si="965"/>
        <v>-7866618.0044378573</v>
      </c>
      <c r="R295">
        <f t="shared" si="966"/>
        <v>-375663738.08104086</v>
      </c>
      <c r="S295">
        <f t="shared" si="967"/>
        <v>-3756.6373808104086</v>
      </c>
      <c r="T295">
        <f t="shared" si="968"/>
        <v>-3.7566373808104085</v>
      </c>
    </row>
    <row r="296" spans="1:20" x14ac:dyDescent="0.25">
      <c r="A296" s="5">
        <v>44297</v>
      </c>
      <c r="B296">
        <v>0.80789999999999995</v>
      </c>
      <c r="C296">
        <v>0.81769999999999998</v>
      </c>
      <c r="D296">
        <v>0.76649999999999996</v>
      </c>
      <c r="E296">
        <v>0.80159999999999998</v>
      </c>
      <c r="F296">
        <v>10875846.869999999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0.37109375000000017</v>
      </c>
      <c r="Q296">
        <f t="shared" si="965"/>
        <v>4035958.7994140638</v>
      </c>
      <c r="R296">
        <f t="shared" si="966"/>
        <v>-367797120.076603</v>
      </c>
      <c r="S296">
        <f t="shared" si="967"/>
        <v>-3677.9712007660301</v>
      </c>
      <c r="T296">
        <f t="shared" si="968"/>
        <v>-3.6779712007660299</v>
      </c>
    </row>
    <row r="297" spans="1:20" x14ac:dyDescent="0.25">
      <c r="A297" s="5">
        <v>44296</v>
      </c>
      <c r="B297">
        <v>0.80769999999999997</v>
      </c>
      <c r="C297">
        <v>0.8387</v>
      </c>
      <c r="D297">
        <v>0.79069999999999996</v>
      </c>
      <c r="E297">
        <v>0.8085</v>
      </c>
      <c r="F297">
        <v>13972207.68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-0.25833333333333242</v>
      </c>
      <c r="Q297">
        <f t="shared" si="965"/>
        <v>-3609486.9839999871</v>
      </c>
      <c r="R297">
        <f t="shared" si="966"/>
        <v>-371833078.87601703</v>
      </c>
      <c r="S297">
        <f t="shared" si="967"/>
        <v>-3718.3307887601704</v>
      </c>
      <c r="T297">
        <f t="shared" si="968"/>
        <v>-3.7183307887601704</v>
      </c>
    </row>
    <row r="298" spans="1:20" x14ac:dyDescent="0.25">
      <c r="A298" s="5">
        <v>44295</v>
      </c>
      <c r="B298">
        <v>0.79179999999999995</v>
      </c>
      <c r="C298">
        <v>0.84840000000000004</v>
      </c>
      <c r="D298">
        <v>0.78210000000000002</v>
      </c>
      <c r="E298">
        <v>0.80620000000000003</v>
      </c>
      <c r="F298">
        <v>16454824.859999999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-0.27300150829562592</v>
      </c>
      <c r="Q298">
        <f t="shared" si="965"/>
        <v>-4492192.0055203615</v>
      </c>
      <c r="R298">
        <f t="shared" si="966"/>
        <v>-368223591.89201707</v>
      </c>
      <c r="S298">
        <f t="shared" si="967"/>
        <v>-3682.2359189201707</v>
      </c>
      <c r="T298">
        <f t="shared" si="968"/>
        <v>-3.6822359189201705</v>
      </c>
    </row>
    <row r="299" spans="1:20" x14ac:dyDescent="0.25">
      <c r="A299" s="5">
        <v>44294</v>
      </c>
      <c r="B299">
        <v>0.74490000000000001</v>
      </c>
      <c r="C299">
        <v>0.82750000000000001</v>
      </c>
      <c r="D299">
        <v>0.72650000000000003</v>
      </c>
      <c r="E299">
        <v>0.79179999999999995</v>
      </c>
      <c r="F299">
        <v>19235566.449999999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0.29306930693069161</v>
      </c>
      <c r="Q299">
        <f t="shared" si="965"/>
        <v>5637354.1279207636</v>
      </c>
      <c r="R299">
        <f t="shared" si="966"/>
        <v>-363731399.88649672</v>
      </c>
      <c r="S299">
        <f t="shared" si="967"/>
        <v>-3637.3139988649673</v>
      </c>
      <c r="T299">
        <f t="shared" si="968"/>
        <v>-3.6373139988649674</v>
      </c>
    </row>
    <row r="300" spans="1:20" x14ac:dyDescent="0.25">
      <c r="A300" s="5">
        <v>44293</v>
      </c>
      <c r="B300">
        <v>0.8125</v>
      </c>
      <c r="C300">
        <v>0.81899999999999995</v>
      </c>
      <c r="D300">
        <v>0.70009999999999994</v>
      </c>
      <c r="E300">
        <v>0.74519999999999997</v>
      </c>
      <c r="F300">
        <v>22634626.59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-0.24137931034482712</v>
      </c>
      <c r="Q300">
        <f t="shared" si="965"/>
        <v>-5463530.5562068857</v>
      </c>
      <c r="R300">
        <f t="shared" si="966"/>
        <v>-369368754.01441747</v>
      </c>
      <c r="S300">
        <f t="shared" si="967"/>
        <v>-3693.6875401441748</v>
      </c>
      <c r="T300">
        <f t="shared" si="968"/>
        <v>-3.6936875401441749</v>
      </c>
    </row>
    <row r="301" spans="1:20" x14ac:dyDescent="0.25">
      <c r="A301" s="5">
        <v>44292</v>
      </c>
      <c r="B301">
        <v>0.83950000000000002</v>
      </c>
      <c r="C301">
        <v>0.87</v>
      </c>
      <c r="D301">
        <v>0.76659999999999995</v>
      </c>
      <c r="E301">
        <v>0.81330000000000002</v>
      </c>
      <c r="F301">
        <v>32219287.600000001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-9.671179883945738E-2</v>
      </c>
      <c r="Q301">
        <f t="shared" si="965"/>
        <v>-3115985.2611218239</v>
      </c>
      <c r="R301">
        <f t="shared" si="966"/>
        <v>-363905223.45821059</v>
      </c>
      <c r="S301">
        <f t="shared" si="967"/>
        <v>-3639.0522345821059</v>
      </c>
      <c r="T301">
        <f t="shared" si="968"/>
        <v>-3.6390522345821061</v>
      </c>
    </row>
    <row r="302" spans="1:20" x14ac:dyDescent="0.25">
      <c r="A302" s="5">
        <v>44291</v>
      </c>
      <c r="B302">
        <v>0.82869999999999999</v>
      </c>
      <c r="C302">
        <v>1.04</v>
      </c>
      <c r="D302">
        <v>0.78210000000000002</v>
      </c>
      <c r="E302">
        <v>0.83879999999999999</v>
      </c>
      <c r="F302">
        <v>107578255.48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-0.56029468786351322</v>
      </c>
      <c r="Q302">
        <f t="shared" si="965"/>
        <v>-60275525.075067885</v>
      </c>
      <c r="R302">
        <f t="shared" si="966"/>
        <v>-360789238.19708878</v>
      </c>
      <c r="S302">
        <f t="shared" si="967"/>
        <v>-3607.892381970888</v>
      </c>
      <c r="T302">
        <f t="shared" si="968"/>
        <v>-3.6078923819708879</v>
      </c>
    </row>
    <row r="303" spans="1:20" x14ac:dyDescent="0.25">
      <c r="A303" s="5">
        <v>44290</v>
      </c>
      <c r="B303">
        <v>0.67659999999999998</v>
      </c>
      <c r="C303">
        <v>0.86</v>
      </c>
      <c r="D303">
        <v>0.67</v>
      </c>
      <c r="E303">
        <v>0.82969999999999999</v>
      </c>
      <c r="F303">
        <v>38017393.009999998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0.68105263157894735</v>
      </c>
      <c r="Q303">
        <f t="shared" si="965"/>
        <v>25891845.555231579</v>
      </c>
      <c r="R303">
        <f t="shared" si="966"/>
        <v>-300513713.1220209</v>
      </c>
      <c r="S303">
        <f t="shared" si="967"/>
        <v>-3005.1371312202091</v>
      </c>
      <c r="T303">
        <f t="shared" si="968"/>
        <v>-3.0051371312202089</v>
      </c>
    </row>
    <row r="304" spans="1:20" x14ac:dyDescent="0.25">
      <c r="A304" s="5">
        <v>44289</v>
      </c>
      <c r="B304">
        <v>0.72909999999999997</v>
      </c>
      <c r="C304">
        <v>0.75570000000000004</v>
      </c>
      <c r="D304">
        <v>0.66700000000000004</v>
      </c>
      <c r="E304">
        <v>0.67649999999999999</v>
      </c>
      <c r="F304">
        <v>17936831.73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-0.78579481397970796</v>
      </c>
      <c r="Q304">
        <f t="shared" si="965"/>
        <v>-14094669.352660675</v>
      </c>
      <c r="R304">
        <f t="shared" si="966"/>
        <v>-326405558.67725247</v>
      </c>
      <c r="S304">
        <f t="shared" si="967"/>
        <v>-3264.0555867725247</v>
      </c>
      <c r="T304">
        <f t="shared" si="968"/>
        <v>-3.2640555867725247</v>
      </c>
    </row>
    <row r="305" spans="1:20" x14ac:dyDescent="0.25">
      <c r="A305" s="5">
        <v>44288</v>
      </c>
      <c r="B305">
        <v>0.70340000000000003</v>
      </c>
      <c r="C305">
        <v>0.77880000000000005</v>
      </c>
      <c r="D305">
        <v>0.68759999999999999</v>
      </c>
      <c r="E305">
        <v>0.72909999999999997</v>
      </c>
      <c r="F305">
        <v>26562140.829999998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-8.9912280701755387E-2</v>
      </c>
      <c r="Q305">
        <f t="shared" si="965"/>
        <v>-2388262.6623465177</v>
      </c>
      <c r="R305">
        <f t="shared" si="966"/>
        <v>-312310889.32459182</v>
      </c>
      <c r="S305">
        <f t="shared" si="967"/>
        <v>-3123.1088932459184</v>
      </c>
      <c r="T305">
        <f t="shared" si="968"/>
        <v>-3.1231088932459183</v>
      </c>
    </row>
    <row r="306" spans="1:20" x14ac:dyDescent="0.25">
      <c r="A306" s="5">
        <v>44287</v>
      </c>
      <c r="B306">
        <v>0.69879999999999998</v>
      </c>
      <c r="C306">
        <v>0.71870000000000001</v>
      </c>
      <c r="D306">
        <v>0.68510000000000004</v>
      </c>
      <c r="E306">
        <v>0.70330000000000004</v>
      </c>
      <c r="F306">
        <v>16649312.609999999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8.3333333333334161E-2</v>
      </c>
      <c r="Q306">
        <f t="shared" si="965"/>
        <v>1387442.7175000138</v>
      </c>
      <c r="R306">
        <f t="shared" si="966"/>
        <v>-309922626.66224527</v>
      </c>
      <c r="S306">
        <f t="shared" si="967"/>
        <v>-3099.2262666224528</v>
      </c>
      <c r="T306">
        <f t="shared" si="968"/>
        <v>-3.0992262666224528</v>
      </c>
    </row>
    <row r="307" spans="1:20" x14ac:dyDescent="0.25">
      <c r="A307" s="5">
        <v>44286</v>
      </c>
      <c r="B307">
        <v>0.72209999999999996</v>
      </c>
      <c r="C307">
        <v>0.73950000000000005</v>
      </c>
      <c r="D307">
        <v>0.67069999999999996</v>
      </c>
      <c r="E307">
        <v>0.69889999999999997</v>
      </c>
      <c r="F307">
        <v>23300738.07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-0.18023255813953579</v>
      </c>
      <c r="Q307">
        <f t="shared" si="965"/>
        <v>-4199551.6288953703</v>
      </c>
      <c r="R307">
        <f t="shared" si="966"/>
        <v>-311310069.3797453</v>
      </c>
      <c r="S307">
        <f t="shared" si="967"/>
        <v>-3113.100693797453</v>
      </c>
      <c r="T307">
        <f t="shared" si="968"/>
        <v>-3.113100693797453</v>
      </c>
    </row>
    <row r="308" spans="1:20" x14ac:dyDescent="0.25">
      <c r="A308" s="5">
        <v>44285</v>
      </c>
      <c r="B308">
        <v>0.71479999999999999</v>
      </c>
      <c r="C308">
        <v>0.745</v>
      </c>
      <c r="D308">
        <v>0.70340000000000003</v>
      </c>
      <c r="E308">
        <v>0.72319999999999995</v>
      </c>
      <c r="F308">
        <v>15383780.380000001</v>
      </c>
      <c r="G308">
        <v>0</v>
      </c>
      <c r="L308" t="s">
        <v>8</v>
      </c>
      <c r="M308" t="s">
        <v>7</v>
      </c>
      <c r="N308" t="s">
        <v>8</v>
      </c>
      <c r="P308">
        <f t="shared" si="964"/>
        <v>-4.807692307692582E-2</v>
      </c>
      <c r="Q308">
        <f t="shared" si="965"/>
        <v>-739604.82596158073</v>
      </c>
      <c r="R308">
        <f t="shared" si="966"/>
        <v>-307110517.75084996</v>
      </c>
      <c r="S308">
        <f t="shared" si="967"/>
        <v>-3071.1051775084998</v>
      </c>
      <c r="T308">
        <f t="shared" si="968"/>
        <v>-3.0711051775084997</v>
      </c>
    </row>
    <row r="309" spans="1:20" x14ac:dyDescent="0.25">
      <c r="A309" s="5">
        <v>44284</v>
      </c>
      <c r="B309">
        <v>0.67589999999999995</v>
      </c>
      <c r="C309">
        <v>0.73850000000000005</v>
      </c>
      <c r="D309">
        <v>0.67069999999999996</v>
      </c>
      <c r="E309">
        <v>0.71489999999999998</v>
      </c>
      <c r="F309">
        <v>19866315.059999999</v>
      </c>
      <c r="G309">
        <v>0</v>
      </c>
      <c r="L309" t="s">
        <v>8</v>
      </c>
      <c r="M309" t="s">
        <v>7</v>
      </c>
      <c r="N309" t="s">
        <v>8</v>
      </c>
      <c r="P309">
        <f t="shared" si="964"/>
        <v>0.30383480825958592</v>
      </c>
      <c r="Q309">
        <f t="shared" si="965"/>
        <v>6036078.0270796241</v>
      </c>
      <c r="R309">
        <f t="shared" si="966"/>
        <v>-306370912.92488837</v>
      </c>
      <c r="S309">
        <f t="shared" si="967"/>
        <v>-3063.7091292488835</v>
      </c>
      <c r="T309">
        <f t="shared" si="968"/>
        <v>-3.0637091292488834</v>
      </c>
    </row>
    <row r="310" spans="1:20" x14ac:dyDescent="0.25">
      <c r="A310" s="5">
        <v>44283</v>
      </c>
      <c r="B310">
        <v>0.67120000000000002</v>
      </c>
      <c r="C310">
        <v>0.69569999999999999</v>
      </c>
      <c r="D310">
        <v>0.66020000000000001</v>
      </c>
      <c r="E310">
        <v>0.67589999999999995</v>
      </c>
      <c r="F310">
        <v>14214319.119999999</v>
      </c>
      <c r="G310">
        <v>0</v>
      </c>
      <c r="L310" t="s">
        <v>7</v>
      </c>
      <c r="M310" t="s">
        <v>7</v>
      </c>
      <c r="N310" t="s">
        <v>8</v>
      </c>
      <c r="P310">
        <f t="shared" si="964"/>
        <v>-0.11549295774648187</v>
      </c>
      <c r="Q310">
        <f t="shared" si="965"/>
        <v>-1641653.7575211693</v>
      </c>
      <c r="R310">
        <f t="shared" si="966"/>
        <v>-312406990.95196801</v>
      </c>
      <c r="S310">
        <f t="shared" si="967"/>
        <v>-3124.0699095196801</v>
      </c>
      <c r="T310">
        <f t="shared" si="968"/>
        <v>-3.12406990951968</v>
      </c>
    </row>
    <row r="311" spans="1:20" x14ac:dyDescent="0.25">
      <c r="A311" s="5">
        <v>44282</v>
      </c>
      <c r="B311">
        <v>0.72060000000000002</v>
      </c>
      <c r="C311">
        <v>0.75649999999999995</v>
      </c>
      <c r="D311">
        <v>0.66800000000000004</v>
      </c>
      <c r="E311">
        <v>0.67069999999999996</v>
      </c>
      <c r="F311">
        <v>25171509.5</v>
      </c>
      <c r="G311">
        <v>0</v>
      </c>
      <c r="L311" t="s">
        <v>7</v>
      </c>
      <c r="M311" t="s">
        <v>7</v>
      </c>
      <c r="N311" t="s">
        <v>8</v>
      </c>
      <c r="P311">
        <f t="shared" si="964"/>
        <v>-0.93898305084745926</v>
      </c>
      <c r="Q311">
        <f t="shared" si="965"/>
        <v>-23635620.784745805</v>
      </c>
      <c r="R311">
        <f t="shared" si="966"/>
        <v>-310765337.19444686</v>
      </c>
      <c r="S311">
        <f t="shared" si="967"/>
        <v>-3107.6533719444687</v>
      </c>
      <c r="T311">
        <f t="shared" si="968"/>
        <v>-3.1076533719444686</v>
      </c>
    </row>
    <row r="312" spans="1:20" x14ac:dyDescent="0.25">
      <c r="A312" s="5">
        <v>44281</v>
      </c>
      <c r="B312">
        <v>0.56520000000000004</v>
      </c>
      <c r="C312">
        <v>0.80889999999999995</v>
      </c>
      <c r="D312">
        <v>0.55769999999999997</v>
      </c>
      <c r="E312">
        <v>0.72060000000000002</v>
      </c>
      <c r="F312">
        <v>81414172.079999998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0.29697452229299409</v>
      </c>
      <c r="Q312">
        <f t="shared" si="965"/>
        <v>24177934.861337617</v>
      </c>
      <c r="R312">
        <f t="shared" si="966"/>
        <v>-287129716.40970105</v>
      </c>
      <c r="S312">
        <f t="shared" si="967"/>
        <v>-2871.2971640970104</v>
      </c>
      <c r="T312">
        <f t="shared" si="968"/>
        <v>-2.8712971640970104</v>
      </c>
    </row>
    <row r="313" spans="1:20" x14ac:dyDescent="0.25">
      <c r="A313" s="5">
        <v>44280</v>
      </c>
      <c r="B313">
        <v>0.60389999999999999</v>
      </c>
      <c r="C313">
        <v>0.63300000000000001</v>
      </c>
      <c r="D313">
        <v>0.56210000000000004</v>
      </c>
      <c r="E313">
        <v>0.56420000000000003</v>
      </c>
      <c r="F313">
        <v>13328157.789999999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-0.94076163610719343</v>
      </c>
      <c r="Q313">
        <f t="shared" si="965"/>
        <v>-12538619.528815234</v>
      </c>
      <c r="R313">
        <f t="shared" si="966"/>
        <v>-311307651.27103865</v>
      </c>
      <c r="S313">
        <f t="shared" si="967"/>
        <v>-3113.0765127103864</v>
      </c>
      <c r="T313">
        <f t="shared" si="968"/>
        <v>-3.1130765127103865</v>
      </c>
    </row>
    <row r="314" spans="1:20" x14ac:dyDescent="0.25">
      <c r="A314" s="5">
        <v>44279</v>
      </c>
      <c r="B314">
        <v>0.66500000000000004</v>
      </c>
      <c r="C314">
        <v>0.72</v>
      </c>
      <c r="D314">
        <v>0.59289999999999998</v>
      </c>
      <c r="E314">
        <v>0.6038</v>
      </c>
      <c r="F314">
        <v>19421427.489999998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-0.8284815106215575</v>
      </c>
      <c r="Q314">
        <f t="shared" si="965"/>
        <v>-16090293.585342243</v>
      </c>
      <c r="R314">
        <f t="shared" si="966"/>
        <v>-298769031.74222344</v>
      </c>
      <c r="S314">
        <f t="shared" si="967"/>
        <v>-2987.6903174222343</v>
      </c>
      <c r="T314">
        <f t="shared" si="968"/>
        <v>-2.9876903174222345</v>
      </c>
    </row>
    <row r="315" spans="1:20" x14ac:dyDescent="0.25">
      <c r="A315" s="5">
        <v>44278</v>
      </c>
      <c r="B315">
        <v>0.72509999999999997</v>
      </c>
      <c r="C315">
        <v>0.7702</v>
      </c>
      <c r="D315">
        <v>0.63819999999999999</v>
      </c>
      <c r="E315">
        <v>0.66720000000000002</v>
      </c>
      <c r="F315">
        <v>26774537.420000002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-0.56060606060606022</v>
      </c>
      <c r="Q315">
        <f t="shared" si="965"/>
        <v>-15009967.947575748</v>
      </c>
      <c r="R315">
        <f t="shared" si="966"/>
        <v>-282678738.15688121</v>
      </c>
      <c r="S315">
        <f t="shared" si="967"/>
        <v>-2826.7873815688122</v>
      </c>
      <c r="T315">
        <f t="shared" si="968"/>
        <v>-2.826787381568812</v>
      </c>
    </row>
    <row r="316" spans="1:20" x14ac:dyDescent="0.25">
      <c r="A316" s="5">
        <v>44277</v>
      </c>
      <c r="B316">
        <v>0.81599999999999995</v>
      </c>
      <c r="C316">
        <v>0.83679999999999999</v>
      </c>
      <c r="D316">
        <v>0.72309999999999997</v>
      </c>
      <c r="E316">
        <v>0.72499999999999998</v>
      </c>
      <c r="F316">
        <v>22867009.210000001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-0.96657871591908506</v>
      </c>
      <c r="Q316">
        <f t="shared" si="965"/>
        <v>-22102764.399111692</v>
      </c>
      <c r="R316">
        <f t="shared" si="966"/>
        <v>-267668770.20930544</v>
      </c>
      <c r="S316">
        <f t="shared" si="967"/>
        <v>-2676.6877020930542</v>
      </c>
      <c r="T316">
        <f t="shared" si="968"/>
        <v>-2.6766877020930542</v>
      </c>
    </row>
    <row r="317" spans="1:20" x14ac:dyDescent="0.25">
      <c r="A317" s="5">
        <v>44276</v>
      </c>
      <c r="B317">
        <v>0.78580000000000005</v>
      </c>
      <c r="C317">
        <v>0.86199999999999999</v>
      </c>
      <c r="D317">
        <v>0.72340000000000004</v>
      </c>
      <c r="E317">
        <v>0.81520000000000004</v>
      </c>
      <c r="F317">
        <v>32716488.129999999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0.32467532467532512</v>
      </c>
      <c r="Q317">
        <f t="shared" si="965"/>
        <v>10622236.405844171</v>
      </c>
      <c r="R317">
        <f t="shared" si="966"/>
        <v>-245566005.81019375</v>
      </c>
      <c r="S317">
        <f t="shared" si="967"/>
        <v>-2455.6600581019375</v>
      </c>
      <c r="T317">
        <f t="shared" si="968"/>
        <v>-2.4556600581019374</v>
      </c>
    </row>
    <row r="318" spans="1:20" x14ac:dyDescent="0.25">
      <c r="A318" s="5">
        <v>44275</v>
      </c>
      <c r="B318">
        <v>0.73709999999999998</v>
      </c>
      <c r="C318">
        <v>0.92</v>
      </c>
      <c r="D318">
        <v>0.71499999999999997</v>
      </c>
      <c r="E318">
        <v>0.78300000000000003</v>
      </c>
      <c r="F318">
        <v>61143125.259999998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-0.33658536585365817</v>
      </c>
      <c r="Q318">
        <f t="shared" si="965"/>
        <v>-20579881.185073148</v>
      </c>
      <c r="R318">
        <f t="shared" si="966"/>
        <v>-256188242.21603793</v>
      </c>
      <c r="S318">
        <f t="shared" si="967"/>
        <v>-2561.8824221603791</v>
      </c>
      <c r="T318">
        <f t="shared" si="968"/>
        <v>-2.5618824221603789</v>
      </c>
    </row>
    <row r="319" spans="1:20" x14ac:dyDescent="0.25">
      <c r="A319" s="5">
        <v>44274</v>
      </c>
      <c r="B319">
        <v>0.62939999999999996</v>
      </c>
      <c r="C319">
        <v>0.75600000000000001</v>
      </c>
      <c r="D319">
        <v>0.62109999999999999</v>
      </c>
      <c r="E319">
        <v>0.73839999999999995</v>
      </c>
      <c r="F319">
        <v>26371512.34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0.73906597479614444</v>
      </c>
      <c r="Q319">
        <f t="shared" si="965"/>
        <v>19490287.474410653</v>
      </c>
      <c r="R319">
        <f t="shared" si="966"/>
        <v>-235608361.03096479</v>
      </c>
      <c r="S319">
        <f t="shared" si="967"/>
        <v>-2356.0836103096481</v>
      </c>
      <c r="T319">
        <f t="shared" si="968"/>
        <v>-2.3560836103096481</v>
      </c>
    </row>
    <row r="320" spans="1:20" x14ac:dyDescent="0.25">
      <c r="A320" s="5">
        <v>44273</v>
      </c>
      <c r="B320">
        <v>0.61760000000000004</v>
      </c>
      <c r="C320">
        <v>0.67369999999999997</v>
      </c>
      <c r="D320">
        <v>0.61760000000000004</v>
      </c>
      <c r="E320">
        <v>0.62939999999999996</v>
      </c>
      <c r="F320">
        <v>17763587.210000001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-0.5793226381461698</v>
      </c>
      <c r="Q320">
        <f t="shared" si="965"/>
        <v>-10290848.205436761</v>
      </c>
      <c r="R320">
        <f t="shared" si="966"/>
        <v>-255098648.50537544</v>
      </c>
      <c r="S320">
        <f t="shared" si="967"/>
        <v>-2550.9864850537542</v>
      </c>
      <c r="T320">
        <f t="shared" si="968"/>
        <v>-2.550986485053754</v>
      </c>
    </row>
    <row r="321" spans="1:20" x14ac:dyDescent="0.25">
      <c r="A321" s="5">
        <v>44272</v>
      </c>
      <c r="B321">
        <v>0.60599999999999998</v>
      </c>
      <c r="C321">
        <v>0.62849999999999995</v>
      </c>
      <c r="D321">
        <v>0.58640000000000003</v>
      </c>
      <c r="E321">
        <v>0.61719999999999997</v>
      </c>
      <c r="F321">
        <v>9523010.1300000008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0.46318289786223282</v>
      </c>
      <c r="Q321">
        <f t="shared" si="965"/>
        <v>4410895.4283847986</v>
      </c>
      <c r="R321">
        <f t="shared" si="966"/>
        <v>-244807800.29993868</v>
      </c>
      <c r="S321">
        <f t="shared" si="967"/>
        <v>-2448.0780029993866</v>
      </c>
      <c r="T321">
        <f t="shared" si="968"/>
        <v>-2.4480780029993867</v>
      </c>
    </row>
    <row r="322" spans="1:20" x14ac:dyDescent="0.25">
      <c r="A322" s="5">
        <v>44271</v>
      </c>
      <c r="B322">
        <v>0.62019999999999997</v>
      </c>
      <c r="C322">
        <v>0.625</v>
      </c>
      <c r="D322">
        <v>0.57869999999999999</v>
      </c>
      <c r="E322">
        <v>0.60729999999999995</v>
      </c>
      <c r="F322">
        <v>12788641.84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0.23542116630669346</v>
      </c>
      <c r="Q322">
        <f t="shared" si="965"/>
        <v>3010716.9774513785</v>
      </c>
      <c r="R322">
        <f t="shared" si="966"/>
        <v>-249218695.72832349</v>
      </c>
      <c r="S322">
        <f t="shared" si="967"/>
        <v>-2492.1869572832347</v>
      </c>
      <c r="T322">
        <f t="shared" si="968"/>
        <v>-2.4921869572832347</v>
      </c>
    </row>
    <row r="323" spans="1:20" x14ac:dyDescent="0.25">
      <c r="A323" s="5">
        <v>44270</v>
      </c>
      <c r="B323">
        <v>0.62460000000000004</v>
      </c>
      <c r="C323">
        <v>0.66830000000000001</v>
      </c>
      <c r="D323">
        <v>0.58689999999999998</v>
      </c>
      <c r="E323">
        <v>0.61880000000000002</v>
      </c>
      <c r="F323">
        <v>22819271.84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-0.21621621621621551</v>
      </c>
      <c r="Q323">
        <f t="shared" si="965"/>
        <v>-4933896.6140540382</v>
      </c>
      <c r="R323">
        <f t="shared" si="966"/>
        <v>-252229412.70577487</v>
      </c>
      <c r="S323">
        <f t="shared" si="967"/>
        <v>-2522.2941270577489</v>
      </c>
      <c r="T323">
        <f t="shared" si="968"/>
        <v>-2.5222941270577488</v>
      </c>
    </row>
    <row r="324" spans="1:20" x14ac:dyDescent="0.25">
      <c r="A324" s="5">
        <v>44269</v>
      </c>
      <c r="B324">
        <v>0.61429999999999996</v>
      </c>
      <c r="C324">
        <v>0.67330000000000001</v>
      </c>
      <c r="D324">
        <v>0.59640000000000004</v>
      </c>
      <c r="E324">
        <v>0.62490000000000001</v>
      </c>
      <c r="F324">
        <v>16810813.629999999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-0.25877763328998749</v>
      </c>
      <c r="Q324">
        <f t="shared" si="965"/>
        <v>-4350262.5648504635</v>
      </c>
      <c r="R324">
        <f t="shared" si="966"/>
        <v>-247295516.09172085</v>
      </c>
      <c r="S324">
        <f t="shared" si="967"/>
        <v>-2472.9551609172086</v>
      </c>
      <c r="T324">
        <f t="shared" si="968"/>
        <v>-2.4729551609172087</v>
      </c>
    </row>
    <row r="325" spans="1:20" x14ac:dyDescent="0.25">
      <c r="A325" s="5">
        <v>44268</v>
      </c>
      <c r="B325">
        <v>0.59960000000000002</v>
      </c>
      <c r="C325">
        <v>0.64419999999999999</v>
      </c>
      <c r="D325">
        <v>0.56489999999999996</v>
      </c>
      <c r="E325">
        <v>0.61480000000000001</v>
      </c>
      <c r="F325">
        <v>15512558.42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0.25851197982345603</v>
      </c>
      <c r="Q325">
        <f t="shared" si="965"/>
        <v>4010182.1892812229</v>
      </c>
      <c r="R325">
        <f t="shared" si="966"/>
        <v>-242945253.5268704</v>
      </c>
      <c r="S325">
        <f t="shared" si="967"/>
        <v>-2429.4525352687042</v>
      </c>
      <c r="T325">
        <f t="shared" si="968"/>
        <v>-2.4294525352687044</v>
      </c>
    </row>
    <row r="326" spans="1:20" x14ac:dyDescent="0.25">
      <c r="A326" s="5">
        <v>44267</v>
      </c>
      <c r="B326">
        <v>0.62860000000000005</v>
      </c>
      <c r="C326">
        <v>0.66849999999999998</v>
      </c>
      <c r="D326">
        <v>0.58320000000000005</v>
      </c>
      <c r="E326">
        <v>0.59960000000000002</v>
      </c>
      <c r="F326">
        <v>20180173.510000002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-0.6154747948417354</v>
      </c>
      <c r="Q326">
        <f t="shared" ref="Q326:Q389" si="970">F326*P326</f>
        <v>-12420388.150937874</v>
      </c>
      <c r="R326">
        <f t="shared" ref="R326:R389" si="971">R327+Q326</f>
        <v>-246955435.71615162</v>
      </c>
      <c r="S326">
        <f t="shared" ref="S326:S389" si="972">R326/100000</f>
        <v>-2469.5543571615162</v>
      </c>
      <c r="T326">
        <f t="shared" ref="T326:T389" si="973">S326/1000</f>
        <v>-2.4695543571615164</v>
      </c>
    </row>
    <row r="327" spans="1:20" x14ac:dyDescent="0.25">
      <c r="A327" s="5">
        <v>44266</v>
      </c>
      <c r="B327">
        <v>0.55210000000000004</v>
      </c>
      <c r="C327">
        <v>0.8</v>
      </c>
      <c r="D327">
        <v>0.54</v>
      </c>
      <c r="E327">
        <v>0.63</v>
      </c>
      <c r="F327">
        <v>80109881.280000001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-0.30769230769230793</v>
      </c>
      <c r="Q327">
        <f t="shared" si="970"/>
        <v>-24649194.240000021</v>
      </c>
      <c r="R327">
        <f t="shared" si="971"/>
        <v>-234535047.56521374</v>
      </c>
      <c r="S327">
        <f t="shared" si="972"/>
        <v>-2345.3504756521374</v>
      </c>
      <c r="T327">
        <f t="shared" si="973"/>
        <v>-2.3453504756521375</v>
      </c>
    </row>
    <row r="328" spans="1:20" x14ac:dyDescent="0.25">
      <c r="A328" s="5">
        <v>44265</v>
      </c>
      <c r="B328">
        <v>0.57210000000000005</v>
      </c>
      <c r="C328">
        <v>0.59040000000000004</v>
      </c>
      <c r="D328">
        <v>0.5272</v>
      </c>
      <c r="E328">
        <v>0.55200000000000005</v>
      </c>
      <c r="F328">
        <v>14255255.529999999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-0.21518987341772053</v>
      </c>
      <c r="Q328">
        <f t="shared" si="970"/>
        <v>-3067586.6330379606</v>
      </c>
      <c r="R328">
        <f t="shared" si="971"/>
        <v>-209885853.32521373</v>
      </c>
      <c r="S328">
        <f t="shared" si="972"/>
        <v>-2098.8585332521375</v>
      </c>
      <c r="T328">
        <f t="shared" si="973"/>
        <v>-2.0988585332521374</v>
      </c>
    </row>
    <row r="329" spans="1:20" x14ac:dyDescent="0.25">
      <c r="A329" s="5">
        <v>44264</v>
      </c>
      <c r="B329">
        <v>0.51929999999999998</v>
      </c>
      <c r="C329">
        <v>0.61</v>
      </c>
      <c r="D329">
        <v>0.51019999999999999</v>
      </c>
      <c r="E329">
        <v>0.57250000000000001</v>
      </c>
      <c r="F329">
        <v>23348137.050000001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0.24849699398797639</v>
      </c>
      <c r="Q329">
        <f t="shared" si="970"/>
        <v>5801941.8721442996</v>
      </c>
      <c r="R329">
        <f t="shared" si="971"/>
        <v>-206818266.69217578</v>
      </c>
      <c r="S329">
        <f t="shared" si="972"/>
        <v>-2068.1826669217576</v>
      </c>
      <c r="T329">
        <f t="shared" si="973"/>
        <v>-2.0681826669217576</v>
      </c>
    </row>
    <row r="330" spans="1:20" x14ac:dyDescent="0.25">
      <c r="A330" s="5">
        <v>44263</v>
      </c>
      <c r="B330">
        <v>0.501</v>
      </c>
      <c r="C330">
        <v>0.52490000000000003</v>
      </c>
      <c r="D330">
        <v>0.48870000000000002</v>
      </c>
      <c r="E330">
        <v>0.51939999999999997</v>
      </c>
      <c r="F330">
        <v>9735916.2200000007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0.69613259668507965</v>
      </c>
      <c r="Q330">
        <f t="shared" si="970"/>
        <v>6777488.6393369855</v>
      </c>
      <c r="R330">
        <f t="shared" si="971"/>
        <v>-212620208.56432009</v>
      </c>
      <c r="S330">
        <f t="shared" si="972"/>
        <v>-2126.2020856432009</v>
      </c>
      <c r="T330">
        <f t="shared" si="973"/>
        <v>-2.1262020856432011</v>
      </c>
    </row>
    <row r="331" spans="1:20" x14ac:dyDescent="0.25">
      <c r="A331" s="5">
        <v>44262</v>
      </c>
      <c r="B331">
        <v>0.47120000000000001</v>
      </c>
      <c r="C331">
        <v>0.50849999999999995</v>
      </c>
      <c r="D331">
        <v>0.46889999999999998</v>
      </c>
      <c r="E331">
        <v>0.50119999999999998</v>
      </c>
      <c r="F331">
        <v>6025189.75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0.63131313131313238</v>
      </c>
      <c r="Q331">
        <f t="shared" si="970"/>
        <v>3803781.4078282891</v>
      </c>
      <c r="R331">
        <f t="shared" si="971"/>
        <v>-219397697.20365706</v>
      </c>
      <c r="S331">
        <f t="shared" si="972"/>
        <v>-2193.9769720365707</v>
      </c>
      <c r="T331">
        <f t="shared" si="973"/>
        <v>-2.1939769720365705</v>
      </c>
    </row>
    <row r="332" spans="1:20" x14ac:dyDescent="0.25">
      <c r="A332" s="5">
        <v>44261</v>
      </c>
      <c r="B332">
        <v>0.46810000000000002</v>
      </c>
      <c r="C332">
        <v>0.4859</v>
      </c>
      <c r="D332">
        <v>0.45569999999999999</v>
      </c>
      <c r="E332">
        <v>0.47149999999999997</v>
      </c>
      <c r="F332">
        <v>4257748.09</v>
      </c>
      <c r="G332">
        <v>0</v>
      </c>
      <c r="L332" t="s">
        <v>7</v>
      </c>
      <c r="M332" t="s">
        <v>8</v>
      </c>
      <c r="N332" t="s">
        <v>7</v>
      </c>
      <c r="P332">
        <f t="shared" si="969"/>
        <v>4.63576158940383E-2</v>
      </c>
      <c r="Q332">
        <f t="shared" si="970"/>
        <v>197379.0505297952</v>
      </c>
      <c r="R332">
        <f t="shared" si="971"/>
        <v>-223201478.61148536</v>
      </c>
      <c r="S332">
        <f t="shared" si="972"/>
        <v>-2232.0147861148535</v>
      </c>
      <c r="T332">
        <f t="shared" si="973"/>
        <v>-2.2320147861148536</v>
      </c>
    </row>
    <row r="333" spans="1:20" x14ac:dyDescent="0.25">
      <c r="A333" s="5">
        <v>44260</v>
      </c>
      <c r="B333">
        <v>0.48130000000000001</v>
      </c>
      <c r="C333">
        <v>0.48130000000000001</v>
      </c>
      <c r="D333">
        <v>0.45329999999999998</v>
      </c>
      <c r="E333">
        <v>0.46810000000000002</v>
      </c>
      <c r="F333">
        <v>5579155.5300000003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5.714285714285873E-2</v>
      </c>
      <c r="Q333">
        <f t="shared" si="970"/>
        <v>318808.88742858032</v>
      </c>
      <c r="R333">
        <f t="shared" si="971"/>
        <v>-223398857.66201517</v>
      </c>
      <c r="S333">
        <f t="shared" si="972"/>
        <v>-2233.9885766201519</v>
      </c>
      <c r="T333">
        <f t="shared" si="973"/>
        <v>-2.2339885766201517</v>
      </c>
    </row>
    <row r="334" spans="1:20" x14ac:dyDescent="0.25">
      <c r="A334" s="5">
        <v>44259</v>
      </c>
      <c r="B334">
        <v>0.5071</v>
      </c>
      <c r="C334">
        <v>0.52110000000000001</v>
      </c>
      <c r="D334">
        <v>0.46789999999999998</v>
      </c>
      <c r="E334">
        <v>0.48149999999999998</v>
      </c>
      <c r="F334">
        <v>7071838.7000000002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-0.48872180451127839</v>
      </c>
      <c r="Q334">
        <f t="shared" si="970"/>
        <v>-3456161.7706766934</v>
      </c>
      <c r="R334">
        <f t="shared" si="971"/>
        <v>-223717666.54944375</v>
      </c>
      <c r="S334">
        <f t="shared" si="972"/>
        <v>-2237.1766654944377</v>
      </c>
      <c r="T334">
        <f t="shared" si="973"/>
        <v>-2.2371766654944376</v>
      </c>
    </row>
    <row r="335" spans="1:20" x14ac:dyDescent="0.25">
      <c r="A335" s="5">
        <v>44258</v>
      </c>
      <c r="B335">
        <v>0.47810000000000002</v>
      </c>
      <c r="C335">
        <v>0.52739999999999998</v>
      </c>
      <c r="D335">
        <v>0.47099999999999997</v>
      </c>
      <c r="E335">
        <v>0.50860000000000005</v>
      </c>
      <c r="F335">
        <v>10843340.960000001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0.33333333333333598</v>
      </c>
      <c r="Q335">
        <f t="shared" si="970"/>
        <v>3614446.9866666957</v>
      </c>
      <c r="R335">
        <f t="shared" si="971"/>
        <v>-220261504.77876705</v>
      </c>
      <c r="S335">
        <f t="shared" si="972"/>
        <v>-2202.6150477876704</v>
      </c>
      <c r="T335">
        <f t="shared" si="973"/>
        <v>-2.2026150477876705</v>
      </c>
    </row>
    <row r="336" spans="1:20" x14ac:dyDescent="0.25">
      <c r="A336" s="5">
        <v>44257</v>
      </c>
      <c r="B336">
        <v>0.4919</v>
      </c>
      <c r="C336">
        <v>0.51419999999999999</v>
      </c>
      <c r="D336">
        <v>0.45829999999999999</v>
      </c>
      <c r="E336">
        <v>0.47949999999999998</v>
      </c>
      <c r="F336">
        <v>9831961.0500000007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-0.24150268336314867</v>
      </c>
      <c r="Q336">
        <f t="shared" si="970"/>
        <v>-2374444.9762969608</v>
      </c>
      <c r="R336">
        <f t="shared" si="971"/>
        <v>-223875951.76543376</v>
      </c>
      <c r="S336">
        <f t="shared" si="972"/>
        <v>-2238.7595176543377</v>
      </c>
      <c r="T336">
        <f t="shared" si="973"/>
        <v>-2.2387595176543376</v>
      </c>
    </row>
    <row r="337" spans="1:20" x14ac:dyDescent="0.25">
      <c r="A337" s="5">
        <v>44256</v>
      </c>
      <c r="B337">
        <v>0.45200000000000001</v>
      </c>
      <c r="C337">
        <v>0.50149999999999995</v>
      </c>
      <c r="D337">
        <v>0.44900000000000001</v>
      </c>
      <c r="E337">
        <v>0.49299999999999999</v>
      </c>
      <c r="F337">
        <v>6456340.6500000004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0.67619047619047767</v>
      </c>
      <c r="Q337">
        <f t="shared" si="970"/>
        <v>4365716.0585714383</v>
      </c>
      <c r="R337">
        <f t="shared" si="971"/>
        <v>-221501506.7891368</v>
      </c>
      <c r="S337">
        <f t="shared" si="972"/>
        <v>-2215.0150678913678</v>
      </c>
      <c r="T337">
        <f t="shared" si="973"/>
        <v>-2.2150150678913678</v>
      </c>
    </row>
    <row r="338" spans="1:20" x14ac:dyDescent="0.25">
      <c r="A338" s="5">
        <v>44255</v>
      </c>
      <c r="B338">
        <v>0.46610000000000001</v>
      </c>
      <c r="C338">
        <v>0.4829</v>
      </c>
      <c r="D338">
        <v>0.42659999999999998</v>
      </c>
      <c r="E338">
        <v>0.45150000000000001</v>
      </c>
      <c r="F338">
        <v>6725457.7400000002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-0.11545293072824064</v>
      </c>
      <c r="Q338">
        <f t="shared" si="970"/>
        <v>-776473.80657192995</v>
      </c>
      <c r="R338">
        <f t="shared" si="971"/>
        <v>-225867222.84770823</v>
      </c>
      <c r="S338">
        <f t="shared" si="972"/>
        <v>-2258.6722284770822</v>
      </c>
      <c r="T338">
        <f t="shared" si="973"/>
        <v>-2.2586722284770824</v>
      </c>
    </row>
    <row r="339" spans="1:20" x14ac:dyDescent="0.25">
      <c r="A339" s="5">
        <v>44254</v>
      </c>
      <c r="B339">
        <v>0.45639999999999997</v>
      </c>
      <c r="C339">
        <v>0.4945</v>
      </c>
      <c r="D339">
        <v>0.45050000000000001</v>
      </c>
      <c r="E339">
        <v>0.46600000000000003</v>
      </c>
      <c r="F339">
        <v>7488550.8899999997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-0.29545454545454458</v>
      </c>
      <c r="Q339">
        <f t="shared" si="970"/>
        <v>-2212526.3993181754</v>
      </c>
      <c r="R339">
        <f t="shared" si="971"/>
        <v>-225090749.04113629</v>
      </c>
      <c r="S339">
        <f t="shared" si="972"/>
        <v>-2250.9074904113631</v>
      </c>
      <c r="T339">
        <f t="shared" si="973"/>
        <v>-2.2509074904113633</v>
      </c>
    </row>
    <row r="340" spans="1:20" x14ac:dyDescent="0.25">
      <c r="A340" s="5">
        <v>44253</v>
      </c>
      <c r="B340">
        <v>0.4632</v>
      </c>
      <c r="C340">
        <v>0.48249999999999998</v>
      </c>
      <c r="D340">
        <v>0.42</v>
      </c>
      <c r="E340">
        <v>0.45700000000000002</v>
      </c>
      <c r="F340">
        <v>11213398.01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0.18400000000000105</v>
      </c>
      <c r="Q340">
        <f t="shared" si="970"/>
        <v>2063265.2338400118</v>
      </c>
      <c r="R340">
        <f t="shared" si="971"/>
        <v>-222878222.64181811</v>
      </c>
      <c r="S340">
        <f t="shared" si="972"/>
        <v>-2228.7822264181809</v>
      </c>
      <c r="T340">
        <f t="shared" si="973"/>
        <v>-2.2287822264181809</v>
      </c>
    </row>
    <row r="341" spans="1:20" x14ac:dyDescent="0.25">
      <c r="A341" s="5">
        <v>44252</v>
      </c>
      <c r="B341">
        <v>0.50549999999999995</v>
      </c>
      <c r="C341">
        <v>0.52939999999999998</v>
      </c>
      <c r="D341">
        <v>0.45590000000000003</v>
      </c>
      <c r="E341">
        <v>0.46</v>
      </c>
      <c r="F341">
        <v>10195928.9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-0.88843537414966001</v>
      </c>
      <c r="Q341">
        <f t="shared" si="970"/>
        <v>-9058423.9070748314</v>
      </c>
      <c r="R341">
        <f t="shared" si="971"/>
        <v>-224941487.87565812</v>
      </c>
      <c r="S341">
        <f t="shared" si="972"/>
        <v>-2249.4148787565814</v>
      </c>
      <c r="T341">
        <f t="shared" si="973"/>
        <v>-2.2494148787565815</v>
      </c>
    </row>
    <row r="342" spans="1:20" x14ac:dyDescent="0.25">
      <c r="A342" s="5">
        <v>44251</v>
      </c>
      <c r="B342">
        <v>0.4965</v>
      </c>
      <c r="C342">
        <v>0.54990000000000006</v>
      </c>
      <c r="D342">
        <v>0.46800000000000003</v>
      </c>
      <c r="E342">
        <v>0.50639999999999996</v>
      </c>
      <c r="F342">
        <v>11264010.789999999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-6.2271062271064201E-2</v>
      </c>
      <c r="Q342">
        <f t="shared" si="970"/>
        <v>-701421.91732602904</v>
      </c>
      <c r="R342">
        <f t="shared" si="971"/>
        <v>-215883063.96858329</v>
      </c>
      <c r="S342">
        <f t="shared" si="972"/>
        <v>-2158.8306396858329</v>
      </c>
      <c r="T342">
        <f t="shared" si="973"/>
        <v>-2.1588306396858328</v>
      </c>
    </row>
    <row r="343" spans="1:20" x14ac:dyDescent="0.25">
      <c r="A343" s="5">
        <v>44250</v>
      </c>
      <c r="B343">
        <v>0.5998</v>
      </c>
      <c r="C343">
        <v>0.60250000000000004</v>
      </c>
      <c r="D343">
        <v>0.44350000000000001</v>
      </c>
      <c r="E343">
        <v>0.49580000000000002</v>
      </c>
      <c r="F343">
        <v>19296685.140000001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-0.34213836477987419</v>
      </c>
      <c r="Q343">
        <f t="shared" si="970"/>
        <v>-6602136.2994716978</v>
      </c>
      <c r="R343">
        <f t="shared" si="971"/>
        <v>-215181642.05125725</v>
      </c>
      <c r="S343">
        <f t="shared" si="972"/>
        <v>-2151.8164205125727</v>
      </c>
      <c r="T343">
        <f t="shared" si="973"/>
        <v>-2.1518164205125725</v>
      </c>
    </row>
    <row r="344" spans="1:20" x14ac:dyDescent="0.25">
      <c r="A344" s="5">
        <v>44249</v>
      </c>
      <c r="B344">
        <v>0.67969999999999997</v>
      </c>
      <c r="C344">
        <v>0.68410000000000004</v>
      </c>
      <c r="D344">
        <v>0.50119999999999998</v>
      </c>
      <c r="E344">
        <v>0.5988</v>
      </c>
      <c r="F344">
        <v>19746306.800000001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6.7249863313285807E-2</v>
      </c>
      <c r="Q344">
        <f t="shared" si="970"/>
        <v>1327936.433242206</v>
      </c>
      <c r="R344">
        <f t="shared" si="971"/>
        <v>-208579505.75178555</v>
      </c>
      <c r="S344">
        <f t="shared" si="972"/>
        <v>-2085.7950575178556</v>
      </c>
      <c r="T344">
        <f t="shared" si="973"/>
        <v>-2.0857950575178554</v>
      </c>
    </row>
    <row r="345" spans="1:20" x14ac:dyDescent="0.25">
      <c r="A345" s="5">
        <v>44248</v>
      </c>
      <c r="B345">
        <v>0.60289999999999999</v>
      </c>
      <c r="C345">
        <v>0.75</v>
      </c>
      <c r="D345">
        <v>0.59530000000000005</v>
      </c>
      <c r="E345">
        <v>0.67969999999999997</v>
      </c>
      <c r="F345">
        <v>26248656.469999999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9.1144149967678695E-2</v>
      </c>
      <c r="Q345">
        <f t="shared" si="970"/>
        <v>2392411.4817517595</v>
      </c>
      <c r="R345">
        <f t="shared" si="971"/>
        <v>-209907442.18502775</v>
      </c>
      <c r="S345">
        <f t="shared" si="972"/>
        <v>-2099.0744218502773</v>
      </c>
      <c r="T345">
        <f t="shared" si="973"/>
        <v>-2.0990744218502773</v>
      </c>
    </row>
    <row r="346" spans="1:20" x14ac:dyDescent="0.25">
      <c r="A346" s="5">
        <v>44247</v>
      </c>
      <c r="B346">
        <v>0.65259999999999996</v>
      </c>
      <c r="C346">
        <v>0.6754</v>
      </c>
      <c r="D346">
        <v>0.57850000000000001</v>
      </c>
      <c r="E346">
        <v>0.60340000000000005</v>
      </c>
      <c r="F346">
        <v>14451858.07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-0.48606811145510759</v>
      </c>
      <c r="Q346">
        <f t="shared" si="970"/>
        <v>-7024587.359102156</v>
      </c>
      <c r="R346">
        <f t="shared" si="971"/>
        <v>-212299853.66677952</v>
      </c>
      <c r="S346">
        <f t="shared" si="972"/>
        <v>-2122.9985366677952</v>
      </c>
      <c r="T346">
        <f t="shared" si="973"/>
        <v>-2.122998536667795</v>
      </c>
    </row>
    <row r="347" spans="1:20" x14ac:dyDescent="0.25">
      <c r="A347" s="5">
        <v>44246</v>
      </c>
      <c r="B347">
        <v>0.6149</v>
      </c>
      <c r="C347">
        <v>0.66869999999999996</v>
      </c>
      <c r="D347">
        <v>0.5756</v>
      </c>
      <c r="E347">
        <v>0.6522</v>
      </c>
      <c r="F347">
        <v>20917338.510000002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0.6455424274973155</v>
      </c>
      <c r="Q347">
        <f t="shared" si="970"/>
        <v>13503029.478528481</v>
      </c>
      <c r="R347">
        <f t="shared" si="971"/>
        <v>-205275266.30767736</v>
      </c>
      <c r="S347">
        <f t="shared" si="972"/>
        <v>-2052.7526630767734</v>
      </c>
      <c r="T347">
        <f t="shared" si="973"/>
        <v>-2.0527526630767734</v>
      </c>
    </row>
    <row r="348" spans="1:20" x14ac:dyDescent="0.25">
      <c r="A348" s="5">
        <v>44245</v>
      </c>
      <c r="B348">
        <v>0.60699999999999998</v>
      </c>
      <c r="C348">
        <v>0.64390000000000003</v>
      </c>
      <c r="D348">
        <v>0.58089999999999997</v>
      </c>
      <c r="E348">
        <v>0.61480000000000001</v>
      </c>
      <c r="F348">
        <v>13049859.810000001</v>
      </c>
      <c r="G348">
        <v>0</v>
      </c>
      <c r="L348" t="s">
        <v>7</v>
      </c>
      <c r="M348" t="s">
        <v>7</v>
      </c>
      <c r="N348" t="s">
        <v>7</v>
      </c>
      <c r="P348">
        <f t="shared" si="969"/>
        <v>7.6190476190476544E-2</v>
      </c>
      <c r="Q348">
        <f t="shared" si="970"/>
        <v>994275.03314286179</v>
      </c>
      <c r="R348">
        <f t="shared" si="971"/>
        <v>-218778295.78620583</v>
      </c>
      <c r="S348">
        <f t="shared" si="972"/>
        <v>-2187.7829578620581</v>
      </c>
      <c r="T348">
        <f t="shared" si="973"/>
        <v>-2.187782957862058</v>
      </c>
    </row>
    <row r="349" spans="1:20" x14ac:dyDescent="0.25">
      <c r="A349" s="5">
        <v>44244</v>
      </c>
      <c r="B349">
        <v>0.60189999999999999</v>
      </c>
      <c r="C349">
        <v>0.64849999999999997</v>
      </c>
      <c r="D349">
        <v>0.55459999999999998</v>
      </c>
      <c r="E349">
        <v>0.60699999999999998</v>
      </c>
      <c r="F349">
        <v>11666585.970000001</v>
      </c>
      <c r="G349">
        <v>0</v>
      </c>
      <c r="L349" t="s">
        <v>8</v>
      </c>
      <c r="M349" t="s">
        <v>7</v>
      </c>
      <c r="N349" t="s">
        <v>7</v>
      </c>
      <c r="P349">
        <f t="shared" si="969"/>
        <v>0.11608093716719939</v>
      </c>
      <c r="Q349">
        <f t="shared" si="970"/>
        <v>1354268.2329392999</v>
      </c>
      <c r="R349">
        <f t="shared" si="971"/>
        <v>-219772570.81934869</v>
      </c>
      <c r="S349">
        <f t="shared" si="972"/>
        <v>-2197.7257081934868</v>
      </c>
      <c r="T349">
        <f t="shared" si="973"/>
        <v>-2.1977257081934867</v>
      </c>
    </row>
    <row r="350" spans="1:20" x14ac:dyDescent="0.25">
      <c r="A350" s="5">
        <v>44243</v>
      </c>
      <c r="B350">
        <v>0.61680000000000001</v>
      </c>
      <c r="C350">
        <v>0.64990000000000003</v>
      </c>
      <c r="D350">
        <v>0.55720000000000003</v>
      </c>
      <c r="E350">
        <v>0.60250000000000004</v>
      </c>
      <c r="F350">
        <v>17925461.870000001</v>
      </c>
      <c r="G350">
        <v>0</v>
      </c>
      <c r="L350" t="s">
        <v>7</v>
      </c>
      <c r="M350" t="s">
        <v>7</v>
      </c>
      <c r="N350" t="s">
        <v>7</v>
      </c>
      <c r="P350">
        <f t="shared" si="969"/>
        <v>-2.2653721682847797E-2</v>
      </c>
      <c r="Q350">
        <f t="shared" si="970"/>
        <v>-406078.42423948046</v>
      </c>
      <c r="R350">
        <f t="shared" si="971"/>
        <v>-221126839.052288</v>
      </c>
      <c r="S350">
        <f t="shared" si="972"/>
        <v>-2211.2683905228801</v>
      </c>
      <c r="T350">
        <f t="shared" si="973"/>
        <v>-2.2112683905228803</v>
      </c>
    </row>
    <row r="351" spans="1:20" x14ac:dyDescent="0.25">
      <c r="A351" s="5">
        <v>44242</v>
      </c>
      <c r="B351">
        <v>0.63019999999999998</v>
      </c>
      <c r="C351">
        <v>0.71950000000000003</v>
      </c>
      <c r="D351">
        <v>0.50090000000000001</v>
      </c>
      <c r="E351">
        <v>0.61750000000000005</v>
      </c>
      <c r="F351">
        <v>33135277.949999999</v>
      </c>
      <c r="G351">
        <v>0</v>
      </c>
      <c r="L351" t="s">
        <v>8</v>
      </c>
      <c r="M351" t="s">
        <v>8</v>
      </c>
      <c r="N351" t="s">
        <v>7</v>
      </c>
      <c r="P351">
        <f t="shared" si="969"/>
        <v>6.6788655077767864E-2</v>
      </c>
      <c r="Q351">
        <f t="shared" si="970"/>
        <v>2213060.649908517</v>
      </c>
      <c r="R351">
        <f t="shared" si="971"/>
        <v>-220720760.62804851</v>
      </c>
      <c r="S351">
        <f t="shared" si="972"/>
        <v>-2207.2076062804849</v>
      </c>
      <c r="T351">
        <f t="shared" si="973"/>
        <v>-2.2072076062804848</v>
      </c>
    </row>
    <row r="352" spans="1:20" x14ac:dyDescent="0.25">
      <c r="A352" s="5">
        <v>44241</v>
      </c>
      <c r="B352">
        <v>0.67610000000000003</v>
      </c>
      <c r="C352">
        <v>0.68740000000000001</v>
      </c>
      <c r="D352">
        <v>0.5887</v>
      </c>
      <c r="E352">
        <v>0.63160000000000005</v>
      </c>
      <c r="F352">
        <v>18290162.100000001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-0.13069908814589576</v>
      </c>
      <c r="Q352">
        <f t="shared" si="970"/>
        <v>-2390507.5085106222</v>
      </c>
      <c r="R352">
        <f t="shared" si="971"/>
        <v>-222933821.27795702</v>
      </c>
      <c r="S352">
        <f t="shared" si="972"/>
        <v>-2229.3382127795703</v>
      </c>
      <c r="T352">
        <f t="shared" si="973"/>
        <v>-2.2293382127795702</v>
      </c>
    </row>
    <row r="353" spans="1:20" x14ac:dyDescent="0.25">
      <c r="A353" s="5">
        <v>44240</v>
      </c>
      <c r="B353">
        <v>0.70230000000000004</v>
      </c>
      <c r="C353">
        <v>0.74</v>
      </c>
      <c r="D353">
        <v>0.57940000000000003</v>
      </c>
      <c r="E353">
        <v>0.67610000000000003</v>
      </c>
      <c r="F353">
        <v>30646141.420000002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0.20423412204234159</v>
      </c>
      <c r="Q353">
        <f t="shared" si="970"/>
        <v>6258987.7868991401</v>
      </c>
      <c r="R353">
        <f t="shared" si="971"/>
        <v>-220543313.7694464</v>
      </c>
      <c r="S353">
        <f t="shared" si="972"/>
        <v>-2205.4331376944642</v>
      </c>
      <c r="T353">
        <f t="shared" si="973"/>
        <v>-2.205433137694464</v>
      </c>
    </row>
    <row r="354" spans="1:20" x14ac:dyDescent="0.25">
      <c r="A354" s="5">
        <v>44239</v>
      </c>
      <c r="B354">
        <v>0.53349999999999997</v>
      </c>
      <c r="C354">
        <v>0.78590000000000004</v>
      </c>
      <c r="D354">
        <v>0.51270000000000004</v>
      </c>
      <c r="E354">
        <v>0.70230000000000004</v>
      </c>
      <c r="F354">
        <v>58655388.950000003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0.38799414348462657</v>
      </c>
      <c r="Q354">
        <f t="shared" si="970"/>
        <v>22757947.396412883</v>
      </c>
      <c r="R354">
        <f t="shared" si="971"/>
        <v>-226802301.55634555</v>
      </c>
      <c r="S354">
        <f t="shared" si="972"/>
        <v>-2268.0230155634554</v>
      </c>
      <c r="T354">
        <f t="shared" si="973"/>
        <v>-2.2680230155634553</v>
      </c>
    </row>
    <row r="355" spans="1:20" x14ac:dyDescent="0.25">
      <c r="A355" s="5">
        <v>44238</v>
      </c>
      <c r="B355">
        <v>0.45079999999999998</v>
      </c>
      <c r="C355">
        <v>0.58679999999999999</v>
      </c>
      <c r="D355">
        <v>0.43740000000000001</v>
      </c>
      <c r="E355">
        <v>0.53420000000000001</v>
      </c>
      <c r="F355">
        <v>27467628.43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0.29585006693440447</v>
      </c>
      <c r="Q355">
        <f t="shared" si="970"/>
        <v>8126299.7095448505</v>
      </c>
      <c r="R355">
        <f t="shared" si="971"/>
        <v>-249560248.95275843</v>
      </c>
      <c r="S355">
        <f t="shared" si="972"/>
        <v>-2495.6024895275841</v>
      </c>
      <c r="T355">
        <f t="shared" si="973"/>
        <v>-2.4956024895275841</v>
      </c>
    </row>
    <row r="356" spans="1:20" x14ac:dyDescent="0.25">
      <c r="A356" s="5">
        <v>44237</v>
      </c>
      <c r="B356">
        <v>0.46089999999999998</v>
      </c>
      <c r="C356">
        <v>0.47470000000000001</v>
      </c>
      <c r="D356">
        <v>0.41239999999999999</v>
      </c>
      <c r="E356">
        <v>0.45090000000000002</v>
      </c>
      <c r="F356">
        <v>14545332.82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0.23595505617977594</v>
      </c>
      <c r="Q356">
        <f t="shared" si="970"/>
        <v>3432044.8226966388</v>
      </c>
      <c r="R356">
        <f t="shared" si="971"/>
        <v>-257686548.66230327</v>
      </c>
      <c r="S356">
        <f t="shared" si="972"/>
        <v>-2576.8654866230327</v>
      </c>
      <c r="T356">
        <f t="shared" si="973"/>
        <v>-2.5768654866230327</v>
      </c>
    </row>
    <row r="357" spans="1:20" x14ac:dyDescent="0.25">
      <c r="A357" s="5">
        <v>44236</v>
      </c>
      <c r="B357">
        <v>0.4264</v>
      </c>
      <c r="C357">
        <v>0.47199999999999998</v>
      </c>
      <c r="D357">
        <v>0.41549999999999998</v>
      </c>
      <c r="E357">
        <v>0.46100000000000002</v>
      </c>
      <c r="F357">
        <v>15530680.289999999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0.61061946902655029</v>
      </c>
      <c r="Q357">
        <f t="shared" si="970"/>
        <v>9483335.7523009088</v>
      </c>
      <c r="R357">
        <f t="shared" si="971"/>
        <v>-261118593.4849999</v>
      </c>
      <c r="S357">
        <f t="shared" si="972"/>
        <v>-2611.1859348499988</v>
      </c>
      <c r="T357">
        <f t="shared" si="973"/>
        <v>-2.6111859348499986</v>
      </c>
    </row>
    <row r="358" spans="1:20" x14ac:dyDescent="0.25">
      <c r="A358" s="5">
        <v>44235</v>
      </c>
      <c r="B358">
        <v>0.40479999999999999</v>
      </c>
      <c r="C358">
        <v>0.43440000000000001</v>
      </c>
      <c r="D358">
        <v>0.40039999999999998</v>
      </c>
      <c r="E358">
        <v>0.42599999999999999</v>
      </c>
      <c r="F358">
        <v>13098419.699999999</v>
      </c>
      <c r="G358">
        <v>0</v>
      </c>
      <c r="L358" t="s">
        <v>7</v>
      </c>
      <c r="M358" t="s">
        <v>7</v>
      </c>
      <c r="N358" t="s">
        <v>8</v>
      </c>
      <c r="P358">
        <f t="shared" si="969"/>
        <v>0.50588235294117578</v>
      </c>
      <c r="Q358">
        <f t="shared" si="970"/>
        <v>6626259.3776470497</v>
      </c>
      <c r="R358">
        <f t="shared" si="971"/>
        <v>-270601929.23730081</v>
      </c>
      <c r="S358">
        <f t="shared" si="972"/>
        <v>-2706.0192923730083</v>
      </c>
      <c r="T358">
        <f t="shared" si="973"/>
        <v>-2.7060192923730084</v>
      </c>
    </row>
    <row r="359" spans="1:20" x14ac:dyDescent="0.25">
      <c r="A359" s="5">
        <v>44234</v>
      </c>
      <c r="B359">
        <v>0.40660000000000002</v>
      </c>
      <c r="C359">
        <v>0.43149999999999999</v>
      </c>
      <c r="D359">
        <v>0.38819999999999999</v>
      </c>
      <c r="E359">
        <v>0.40410000000000001</v>
      </c>
      <c r="F359">
        <v>15237737.15</v>
      </c>
      <c r="G359">
        <v>0</v>
      </c>
      <c r="L359" t="s">
        <v>8</v>
      </c>
      <c r="M359" t="s">
        <v>7</v>
      </c>
      <c r="N359" t="s">
        <v>8</v>
      </c>
      <c r="P359">
        <f t="shared" si="969"/>
        <v>-0.2655889145496525</v>
      </c>
      <c r="Q359">
        <f t="shared" si="970"/>
        <v>-4046974.0698614153</v>
      </c>
      <c r="R359">
        <f t="shared" si="971"/>
        <v>-277228188.61494786</v>
      </c>
      <c r="S359">
        <f t="shared" si="972"/>
        <v>-2772.2818861494784</v>
      </c>
      <c r="T359">
        <f t="shared" si="973"/>
        <v>-2.7722818861494782</v>
      </c>
    </row>
    <row r="360" spans="1:20" x14ac:dyDescent="0.25">
      <c r="A360" s="5">
        <v>44233</v>
      </c>
      <c r="B360">
        <v>0.44769999999999999</v>
      </c>
      <c r="C360">
        <v>0.4536</v>
      </c>
      <c r="D360">
        <v>0.38179999999999997</v>
      </c>
      <c r="E360">
        <v>0.40660000000000002</v>
      </c>
      <c r="F360">
        <v>24701738.25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-0.30919220055710211</v>
      </c>
      <c r="Q360">
        <f t="shared" si="970"/>
        <v>-7637584.8071030406</v>
      </c>
      <c r="R360">
        <f t="shared" si="971"/>
        <v>-273181214.54508644</v>
      </c>
      <c r="S360">
        <f t="shared" si="972"/>
        <v>-2731.8121454508646</v>
      </c>
      <c r="T360">
        <f t="shared" si="973"/>
        <v>-2.7318121454508644</v>
      </c>
    </row>
    <row r="361" spans="1:20" x14ac:dyDescent="0.25">
      <c r="A361" s="5">
        <v>44232</v>
      </c>
      <c r="B361">
        <v>0.40289999999999998</v>
      </c>
      <c r="C361">
        <v>0.48799999999999999</v>
      </c>
      <c r="D361">
        <v>0.39279999999999998</v>
      </c>
      <c r="E361">
        <v>0.4476</v>
      </c>
      <c r="F361">
        <v>29432045.32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0.15126050420168091</v>
      </c>
      <c r="Q361">
        <f t="shared" si="970"/>
        <v>4451906.0147899231</v>
      </c>
      <c r="R361">
        <f t="shared" si="971"/>
        <v>-265543629.73798338</v>
      </c>
      <c r="S361">
        <f t="shared" si="972"/>
        <v>-2655.4362973798338</v>
      </c>
      <c r="T361">
        <f t="shared" si="973"/>
        <v>-2.655436297379834</v>
      </c>
    </row>
    <row r="362" spans="1:20" x14ac:dyDescent="0.25">
      <c r="A362" s="5">
        <v>44231</v>
      </c>
      <c r="B362">
        <v>0.35</v>
      </c>
      <c r="C362">
        <v>0.44</v>
      </c>
      <c r="D362">
        <v>0.34960000000000002</v>
      </c>
      <c r="E362">
        <v>0.40260000000000001</v>
      </c>
      <c r="F362">
        <v>28258178.82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0.172566371681416</v>
      </c>
      <c r="Q362">
        <f t="shared" si="970"/>
        <v>4876411.3892920371</v>
      </c>
      <c r="R362">
        <f t="shared" si="971"/>
        <v>-269995535.75277328</v>
      </c>
      <c r="S362">
        <f t="shared" si="972"/>
        <v>-2699.9553575277328</v>
      </c>
      <c r="T362">
        <f t="shared" si="973"/>
        <v>-2.6999553575277329</v>
      </c>
    </row>
    <row r="363" spans="1:20" x14ac:dyDescent="0.25">
      <c r="A363" s="5">
        <v>44230</v>
      </c>
      <c r="B363">
        <v>0.34329999999999999</v>
      </c>
      <c r="C363">
        <v>0.36499999999999999</v>
      </c>
      <c r="D363">
        <v>0.33679999999999999</v>
      </c>
      <c r="E363">
        <v>0.35010000000000002</v>
      </c>
      <c r="F363">
        <v>11779758.91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-5.6737588652479951E-2</v>
      </c>
      <c r="Q363">
        <f t="shared" si="970"/>
        <v>-668355.11546096555</v>
      </c>
      <c r="R363">
        <f t="shared" si="971"/>
        <v>-274871947.14206535</v>
      </c>
      <c r="S363">
        <f t="shared" si="972"/>
        <v>-2748.7194714206535</v>
      </c>
      <c r="T363">
        <f t="shared" si="973"/>
        <v>-2.7487194714206535</v>
      </c>
    </row>
    <row r="364" spans="1:20" x14ac:dyDescent="0.25">
      <c r="A364" s="5">
        <v>44229</v>
      </c>
      <c r="B364">
        <v>0.35039999999999999</v>
      </c>
      <c r="C364">
        <v>0.36630000000000001</v>
      </c>
      <c r="D364">
        <v>0.33179999999999998</v>
      </c>
      <c r="E364">
        <v>0.34360000000000002</v>
      </c>
      <c r="F364">
        <v>15721185.82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-0.31594202898550594</v>
      </c>
      <c r="Q364">
        <f t="shared" si="970"/>
        <v>-4966983.346028965</v>
      </c>
      <c r="R364">
        <f t="shared" si="971"/>
        <v>-274203592.02660435</v>
      </c>
      <c r="S364">
        <f t="shared" si="972"/>
        <v>-2742.0359202660434</v>
      </c>
      <c r="T364">
        <f t="shared" si="973"/>
        <v>-2.7420359202660434</v>
      </c>
    </row>
    <row r="365" spans="1:20" x14ac:dyDescent="0.25">
      <c r="A365" s="5">
        <v>44228</v>
      </c>
      <c r="B365">
        <v>0.30780000000000002</v>
      </c>
      <c r="C365">
        <v>0.39</v>
      </c>
      <c r="D365">
        <v>0.29189999999999999</v>
      </c>
      <c r="E365">
        <v>0.3498</v>
      </c>
      <c r="F365">
        <v>38273302.969999999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0.18042813455657483</v>
      </c>
      <c r="Q365">
        <f t="shared" si="970"/>
        <v>6905580.6581957145</v>
      </c>
      <c r="R365">
        <f t="shared" si="971"/>
        <v>-269236608.68057537</v>
      </c>
      <c r="S365">
        <f t="shared" si="972"/>
        <v>-2692.3660868057536</v>
      </c>
      <c r="T365">
        <f t="shared" si="973"/>
        <v>-2.6923660868057535</v>
      </c>
    </row>
    <row r="366" spans="1:20" x14ac:dyDescent="0.25">
      <c r="A366" s="5">
        <v>44227</v>
      </c>
      <c r="B366">
        <v>0.29770000000000002</v>
      </c>
      <c r="C366">
        <v>0.32619999999999999</v>
      </c>
      <c r="D366">
        <v>0.28799999999999998</v>
      </c>
      <c r="E366">
        <v>0.30769999999999997</v>
      </c>
      <c r="F366">
        <v>19087883.120000001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3.1413612565444463E-2</v>
      </c>
      <c r="Q366">
        <f t="shared" si="970"/>
        <v>599619.36502616724</v>
      </c>
      <c r="R366">
        <f t="shared" si="971"/>
        <v>-276142189.3387711</v>
      </c>
      <c r="S366">
        <f t="shared" si="972"/>
        <v>-2761.421893387711</v>
      </c>
      <c r="T366">
        <f t="shared" si="973"/>
        <v>-2.7614218933877108</v>
      </c>
    </row>
    <row r="367" spans="1:20" x14ac:dyDescent="0.25">
      <c r="A367" s="5">
        <v>44226</v>
      </c>
      <c r="B367">
        <v>0.28510000000000002</v>
      </c>
      <c r="C367">
        <v>0.31119999999999998</v>
      </c>
      <c r="D367">
        <v>0.27560000000000001</v>
      </c>
      <c r="E367">
        <v>0.29759999999999998</v>
      </c>
      <c r="F367">
        <v>11015319.43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0.23595505617977447</v>
      </c>
      <c r="Q367">
        <f t="shared" si="970"/>
        <v>2599120.3149438114</v>
      </c>
      <c r="R367">
        <f t="shared" si="971"/>
        <v>-276741808.70379728</v>
      </c>
      <c r="S367">
        <f t="shared" si="972"/>
        <v>-2767.4180870379728</v>
      </c>
      <c r="T367">
        <f t="shared" si="973"/>
        <v>-2.767418087037973</v>
      </c>
    </row>
    <row r="368" spans="1:20" x14ac:dyDescent="0.25">
      <c r="A368" s="5">
        <v>44225</v>
      </c>
      <c r="B368">
        <v>0.28299999999999997</v>
      </c>
      <c r="C368">
        <v>0.29980000000000001</v>
      </c>
      <c r="D368">
        <v>0.27650000000000002</v>
      </c>
      <c r="E368">
        <v>0.28510000000000002</v>
      </c>
      <c r="F368">
        <v>11223233.49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-0.26180257510729604</v>
      </c>
      <c r="Q368">
        <f t="shared" si="970"/>
        <v>-2938271.4287124453</v>
      </c>
      <c r="R368">
        <f t="shared" si="971"/>
        <v>-279340929.01874107</v>
      </c>
      <c r="S368">
        <f t="shared" si="972"/>
        <v>-2793.4092901874105</v>
      </c>
      <c r="T368">
        <f t="shared" si="973"/>
        <v>-2.7934092901874106</v>
      </c>
    </row>
    <row r="369" spans="1:20" x14ac:dyDescent="0.25">
      <c r="A369" s="5">
        <v>44224</v>
      </c>
      <c r="B369">
        <v>0.26879999999999998</v>
      </c>
      <c r="C369">
        <v>0.28860000000000002</v>
      </c>
      <c r="D369">
        <v>0.26579999999999998</v>
      </c>
      <c r="E369">
        <v>0.28349999999999997</v>
      </c>
      <c r="F369">
        <v>6647326.46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0.55263157894736492</v>
      </c>
      <c r="Q369">
        <f t="shared" si="970"/>
        <v>3673522.5173683977</v>
      </c>
      <c r="R369">
        <f t="shared" si="971"/>
        <v>-276402657.59002864</v>
      </c>
      <c r="S369">
        <f t="shared" si="972"/>
        <v>-2764.0265759002864</v>
      </c>
      <c r="T369">
        <f t="shared" si="973"/>
        <v>-2.7640265759002864</v>
      </c>
    </row>
    <row r="370" spans="1:20" x14ac:dyDescent="0.25">
      <c r="A370" s="5">
        <v>44223</v>
      </c>
      <c r="B370">
        <v>0.2969</v>
      </c>
      <c r="C370">
        <v>0.2969</v>
      </c>
      <c r="D370">
        <v>0.26229999999999998</v>
      </c>
      <c r="E370">
        <v>0.26819999999999999</v>
      </c>
      <c r="F370">
        <v>8409975.6500000004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-0.65895953757225356</v>
      </c>
      <c r="Q370">
        <f t="shared" si="970"/>
        <v>-5541833.6653179126</v>
      </c>
      <c r="R370">
        <f t="shared" si="971"/>
        <v>-280076180.10739702</v>
      </c>
      <c r="S370">
        <f t="shared" si="972"/>
        <v>-2800.7618010739702</v>
      </c>
      <c r="T370">
        <f t="shared" si="973"/>
        <v>-2.8007618010739703</v>
      </c>
    </row>
    <row r="371" spans="1:20" x14ac:dyDescent="0.25">
      <c r="A371" s="5">
        <v>44222</v>
      </c>
      <c r="B371">
        <v>0.29430000000000001</v>
      </c>
      <c r="C371">
        <v>0.3009</v>
      </c>
      <c r="D371">
        <v>0.28270000000000001</v>
      </c>
      <c r="E371">
        <v>0.2969</v>
      </c>
      <c r="F371">
        <v>7376132.3300000001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0.56043956043955989</v>
      </c>
      <c r="Q371">
        <f t="shared" si="970"/>
        <v>4133876.3607692267</v>
      </c>
      <c r="R371">
        <f t="shared" si="971"/>
        <v>-274534346.44207913</v>
      </c>
      <c r="S371">
        <f t="shared" si="972"/>
        <v>-2745.3434644207914</v>
      </c>
      <c r="T371">
        <f t="shared" si="973"/>
        <v>-2.7453434644207912</v>
      </c>
    </row>
    <row r="372" spans="1:20" x14ac:dyDescent="0.25">
      <c r="A372" s="5">
        <v>44221</v>
      </c>
      <c r="B372">
        <v>0.29499999999999998</v>
      </c>
      <c r="C372">
        <v>0.33</v>
      </c>
      <c r="D372">
        <v>0.28960000000000002</v>
      </c>
      <c r="E372">
        <v>0.29470000000000002</v>
      </c>
      <c r="F372">
        <v>18533427.190000001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-0.74752475247524774</v>
      </c>
      <c r="Q372">
        <f t="shared" si="970"/>
        <v>-13854195.572722778</v>
      </c>
      <c r="R372">
        <f t="shared" si="971"/>
        <v>-278668222.80284834</v>
      </c>
      <c r="S372">
        <f t="shared" si="972"/>
        <v>-2786.6822280284832</v>
      </c>
      <c r="T372">
        <f t="shared" si="973"/>
        <v>-2.7866822280284831</v>
      </c>
    </row>
    <row r="373" spans="1:20" x14ac:dyDescent="0.25">
      <c r="A373" s="5">
        <v>44220</v>
      </c>
      <c r="B373">
        <v>0.29849999999999999</v>
      </c>
      <c r="C373">
        <v>0.31359999999999999</v>
      </c>
      <c r="D373">
        <v>0.29049999999999998</v>
      </c>
      <c r="E373">
        <v>0.2949</v>
      </c>
      <c r="F373">
        <v>11641523.060000001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-0.61904761904761796</v>
      </c>
      <c r="Q373">
        <f t="shared" si="970"/>
        <v>-7206657.13238094</v>
      </c>
      <c r="R373">
        <f t="shared" si="971"/>
        <v>-264814027.23012555</v>
      </c>
      <c r="S373">
        <f t="shared" si="972"/>
        <v>-2648.1402723012557</v>
      </c>
      <c r="T373">
        <f t="shared" si="973"/>
        <v>-2.6481402723012555</v>
      </c>
    </row>
    <row r="374" spans="1:20" x14ac:dyDescent="0.25">
      <c r="A374" s="5">
        <v>44219</v>
      </c>
      <c r="B374">
        <v>0.28739999999999999</v>
      </c>
      <c r="C374">
        <v>0.312</v>
      </c>
      <c r="D374">
        <v>0.28370000000000001</v>
      </c>
      <c r="E374">
        <v>0.2984</v>
      </c>
      <c r="F374">
        <v>12007414.23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3.8869257950529687E-2</v>
      </c>
      <c r="Q374">
        <f t="shared" si="970"/>
        <v>466719.28102473082</v>
      </c>
      <c r="R374">
        <f t="shared" si="971"/>
        <v>-257607370.09774461</v>
      </c>
      <c r="S374">
        <f t="shared" si="972"/>
        <v>-2576.0737009774462</v>
      </c>
      <c r="T374">
        <f t="shared" si="973"/>
        <v>-2.5760737009774464</v>
      </c>
    </row>
    <row r="375" spans="1:20" x14ac:dyDescent="0.25">
      <c r="A375" s="5">
        <v>44218</v>
      </c>
      <c r="B375">
        <v>0.2697</v>
      </c>
      <c r="C375">
        <v>0.312</v>
      </c>
      <c r="D375">
        <v>0.253</v>
      </c>
      <c r="E375">
        <v>0.28739999999999999</v>
      </c>
      <c r="F375">
        <v>17743009.780000001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0.16610169491525384</v>
      </c>
      <c r="Q375">
        <f t="shared" si="970"/>
        <v>2947143.9973559254</v>
      </c>
      <c r="R375">
        <f t="shared" si="971"/>
        <v>-258074089.37876934</v>
      </c>
      <c r="S375">
        <f t="shared" si="972"/>
        <v>-2580.7408937876935</v>
      </c>
      <c r="T375">
        <f t="shared" si="973"/>
        <v>-2.5807408937876937</v>
      </c>
    </row>
    <row r="376" spans="1:20" x14ac:dyDescent="0.25">
      <c r="A376" s="5">
        <v>44217</v>
      </c>
      <c r="B376">
        <v>0.29759999999999998</v>
      </c>
      <c r="C376">
        <v>0.30980000000000002</v>
      </c>
      <c r="D376">
        <v>0.2656</v>
      </c>
      <c r="E376">
        <v>0.27010000000000001</v>
      </c>
      <c r="F376">
        <v>7280858.46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-0.7963800904977375</v>
      </c>
      <c r="Q376">
        <f t="shared" si="970"/>
        <v>-5798330.7192760175</v>
      </c>
      <c r="R376">
        <f t="shared" si="971"/>
        <v>-261021233.37612528</v>
      </c>
      <c r="S376">
        <f t="shared" si="972"/>
        <v>-2610.2123337612529</v>
      </c>
      <c r="T376">
        <f t="shared" si="973"/>
        <v>-2.6102123337612531</v>
      </c>
    </row>
    <row r="377" spans="1:20" x14ac:dyDescent="0.25">
      <c r="A377" s="5">
        <v>44216</v>
      </c>
      <c r="B377">
        <v>0.29210000000000003</v>
      </c>
      <c r="C377">
        <v>0.29949999999999999</v>
      </c>
      <c r="D377">
        <v>0.27929999999999999</v>
      </c>
      <c r="E377">
        <v>0.29799999999999999</v>
      </c>
      <c r="F377">
        <v>7555356.5700000003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0.85148514851485135</v>
      </c>
      <c r="Q377">
        <f t="shared" si="970"/>
        <v>6433273.9110891083</v>
      </c>
      <c r="R377">
        <f t="shared" si="971"/>
        <v>-255222902.65684927</v>
      </c>
      <c r="S377">
        <f t="shared" si="972"/>
        <v>-2552.2290265684928</v>
      </c>
      <c r="T377">
        <f t="shared" si="973"/>
        <v>-2.5522290265684928</v>
      </c>
    </row>
    <row r="378" spans="1:20" x14ac:dyDescent="0.25">
      <c r="A378" s="5">
        <v>44215</v>
      </c>
      <c r="B378">
        <v>0.31879999999999997</v>
      </c>
      <c r="C378">
        <v>0.33179999999999998</v>
      </c>
      <c r="D378">
        <v>0.29149999999999998</v>
      </c>
      <c r="E378">
        <v>0.29349999999999998</v>
      </c>
      <c r="F378">
        <v>11041341.9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-0.90074441687344908</v>
      </c>
      <c r="Q378">
        <f t="shared" si="970"/>
        <v>-9945427.071215881</v>
      </c>
      <c r="R378">
        <f t="shared" si="971"/>
        <v>-261656176.56793839</v>
      </c>
      <c r="S378">
        <f t="shared" si="972"/>
        <v>-2616.5617656793838</v>
      </c>
      <c r="T378">
        <f t="shared" si="973"/>
        <v>-2.6165617656793838</v>
      </c>
    </row>
    <row r="379" spans="1:20" x14ac:dyDescent="0.25">
      <c r="A379" s="5">
        <v>44214</v>
      </c>
      <c r="B379">
        <v>0.3024</v>
      </c>
      <c r="C379">
        <v>0.34379999999999999</v>
      </c>
      <c r="D379">
        <v>0.29859999999999998</v>
      </c>
      <c r="E379">
        <v>0.31869999999999998</v>
      </c>
      <c r="F379">
        <v>26056223.550000001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-0.11061946902654873</v>
      </c>
      <c r="Q379">
        <f t="shared" si="970"/>
        <v>-2882325.6139380545</v>
      </c>
      <c r="R379">
        <f t="shared" si="971"/>
        <v>-251710749.49672252</v>
      </c>
      <c r="S379">
        <f t="shared" si="972"/>
        <v>-2517.1074949672252</v>
      </c>
      <c r="T379">
        <f t="shared" si="973"/>
        <v>-2.5171074949672252</v>
      </c>
    </row>
    <row r="380" spans="1:20" x14ac:dyDescent="0.25">
      <c r="A380" s="5">
        <v>44213</v>
      </c>
      <c r="B380">
        <v>0.27829999999999999</v>
      </c>
      <c r="C380">
        <v>0.31580000000000003</v>
      </c>
      <c r="D380">
        <v>0.26719999999999999</v>
      </c>
      <c r="E380">
        <v>0.30230000000000001</v>
      </c>
      <c r="F380">
        <v>14215968.17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0.44444444444444431</v>
      </c>
      <c r="Q380">
        <f t="shared" si="970"/>
        <v>6318208.0755555537</v>
      </c>
      <c r="R380">
        <f t="shared" si="971"/>
        <v>-248828423.88278446</v>
      </c>
      <c r="S380">
        <f t="shared" si="972"/>
        <v>-2488.2842388278445</v>
      </c>
      <c r="T380">
        <f t="shared" si="973"/>
        <v>-2.4882842388278443</v>
      </c>
    </row>
    <row r="381" spans="1:20" x14ac:dyDescent="0.25">
      <c r="A381" s="5">
        <v>44212</v>
      </c>
      <c r="B381">
        <v>0.26319999999999999</v>
      </c>
      <c r="C381">
        <v>0.29799999999999999</v>
      </c>
      <c r="D381">
        <v>0.26250000000000001</v>
      </c>
      <c r="E381">
        <v>0.2787</v>
      </c>
      <c r="F381">
        <v>12835162.060000001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-8.7323943661971659E-2</v>
      </c>
      <c r="Q381">
        <f t="shared" si="970"/>
        <v>-1120816.9686197161</v>
      </c>
      <c r="R381">
        <f t="shared" si="971"/>
        <v>-255146631.95834002</v>
      </c>
      <c r="S381">
        <f t="shared" si="972"/>
        <v>-2551.4663195834</v>
      </c>
      <c r="T381">
        <f t="shared" si="973"/>
        <v>-2.5514663195834002</v>
      </c>
    </row>
    <row r="382" spans="1:20" x14ac:dyDescent="0.25">
      <c r="A382" s="5">
        <v>44211</v>
      </c>
      <c r="B382">
        <v>0.26469999999999999</v>
      </c>
      <c r="C382">
        <v>0.27210000000000001</v>
      </c>
      <c r="D382">
        <v>0.2452</v>
      </c>
      <c r="E382">
        <v>0.26390000000000002</v>
      </c>
      <c r="F382">
        <v>5130183.49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0.39033457249070758</v>
      </c>
      <c r="Q382">
        <f t="shared" si="970"/>
        <v>2002487.9793680364</v>
      </c>
      <c r="R382">
        <f t="shared" si="971"/>
        <v>-254025814.98972031</v>
      </c>
      <c r="S382">
        <f t="shared" si="972"/>
        <v>-2540.2581498972031</v>
      </c>
      <c r="T382">
        <f t="shared" si="973"/>
        <v>-2.5402581498972032</v>
      </c>
    </row>
    <row r="383" spans="1:20" x14ac:dyDescent="0.25">
      <c r="A383" s="5">
        <v>44210</v>
      </c>
      <c r="B383">
        <v>0.26440000000000002</v>
      </c>
      <c r="C383">
        <v>0.27850000000000003</v>
      </c>
      <c r="D383">
        <v>0.25580000000000003</v>
      </c>
      <c r="E383">
        <v>0.2646</v>
      </c>
      <c r="F383">
        <v>3843524.37</v>
      </c>
      <c r="G383">
        <v>0</v>
      </c>
      <c r="L383" t="s">
        <v>7</v>
      </c>
      <c r="M383" t="s">
        <v>8</v>
      </c>
      <c r="N383" t="s">
        <v>7</v>
      </c>
      <c r="P383">
        <f t="shared" si="969"/>
        <v>-0.22466960352423124</v>
      </c>
      <c r="Q383">
        <f t="shared" si="970"/>
        <v>-863523.09634362068</v>
      </c>
      <c r="R383">
        <f t="shared" si="971"/>
        <v>-256028302.96908835</v>
      </c>
      <c r="S383">
        <f t="shared" si="972"/>
        <v>-2560.2830296908833</v>
      </c>
      <c r="T383">
        <f t="shared" si="973"/>
        <v>-2.5602830296908832</v>
      </c>
    </row>
    <row r="384" spans="1:20" x14ac:dyDescent="0.25">
      <c r="A384" s="5">
        <v>44209</v>
      </c>
      <c r="B384">
        <v>0.24990000000000001</v>
      </c>
      <c r="C384">
        <v>0.2767</v>
      </c>
      <c r="D384">
        <v>0.24129999999999999</v>
      </c>
      <c r="E384">
        <v>0.26419999999999999</v>
      </c>
      <c r="F384">
        <v>6621910.21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0.29378531073446296</v>
      </c>
      <c r="Q384">
        <f t="shared" si="970"/>
        <v>1945419.9487005628</v>
      </c>
      <c r="R384">
        <f t="shared" si="971"/>
        <v>-255164779.87274474</v>
      </c>
      <c r="S384">
        <f t="shared" si="972"/>
        <v>-2551.6477987274475</v>
      </c>
      <c r="T384">
        <f t="shared" si="973"/>
        <v>-2.5516477987274473</v>
      </c>
    </row>
    <row r="385" spans="1:20" x14ac:dyDescent="0.25">
      <c r="A385" s="5">
        <v>44208</v>
      </c>
      <c r="B385">
        <v>0.251</v>
      </c>
      <c r="C385">
        <v>0.26900000000000002</v>
      </c>
      <c r="D385">
        <v>0.2465</v>
      </c>
      <c r="E385">
        <v>0.25069999999999998</v>
      </c>
      <c r="F385">
        <v>4519743.8600000003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-0.62666666666666859</v>
      </c>
      <c r="Q385">
        <f t="shared" si="970"/>
        <v>-2832372.8189333421</v>
      </c>
      <c r="R385">
        <f t="shared" si="971"/>
        <v>-257110199.82144532</v>
      </c>
      <c r="S385">
        <f t="shared" si="972"/>
        <v>-2571.101998214453</v>
      </c>
      <c r="T385">
        <f t="shared" si="973"/>
        <v>-2.571101998214453</v>
      </c>
    </row>
    <row r="386" spans="1:20" x14ac:dyDescent="0.25">
      <c r="A386" s="5">
        <v>44207</v>
      </c>
      <c r="B386">
        <v>0.29120000000000001</v>
      </c>
      <c r="C386">
        <v>0.29210000000000003</v>
      </c>
      <c r="D386">
        <v>0.22289999999999999</v>
      </c>
      <c r="E386">
        <v>0.25069999999999998</v>
      </c>
      <c r="F386">
        <v>6672839.4000000004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-0.19653179190751516</v>
      </c>
      <c r="Q386">
        <f t="shared" si="970"/>
        <v>-1311425.0843930684</v>
      </c>
      <c r="R386">
        <f t="shared" si="971"/>
        <v>-254277827.00251198</v>
      </c>
      <c r="S386">
        <f t="shared" si="972"/>
        <v>-2542.7782700251196</v>
      </c>
      <c r="T386">
        <f t="shared" si="973"/>
        <v>-2.5427782700251198</v>
      </c>
    </row>
    <row r="387" spans="1:20" x14ac:dyDescent="0.25">
      <c r="A387" s="5">
        <v>44206</v>
      </c>
      <c r="B387">
        <v>0.31619999999999998</v>
      </c>
      <c r="C387">
        <v>0.3256</v>
      </c>
      <c r="D387">
        <v>0.27129999999999999</v>
      </c>
      <c r="E387">
        <v>0.29089999999999999</v>
      </c>
      <c r="F387">
        <v>11260143.08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-0.2780847145488029</v>
      </c>
      <c r="Q387">
        <f t="shared" si="970"/>
        <v>-3131273.6741804783</v>
      </c>
      <c r="R387">
        <f t="shared" si="971"/>
        <v>-252966401.91811892</v>
      </c>
      <c r="S387">
        <f t="shared" si="972"/>
        <v>-2529.6640191811894</v>
      </c>
      <c r="T387">
        <f t="shared" si="973"/>
        <v>-2.5296640191811894</v>
      </c>
    </row>
    <row r="388" spans="1:20" x14ac:dyDescent="0.25">
      <c r="A388" s="5">
        <v>44205</v>
      </c>
      <c r="B388">
        <v>0.2712</v>
      </c>
      <c r="C388">
        <v>0.31730000000000003</v>
      </c>
      <c r="D388">
        <v>0.26300000000000001</v>
      </c>
      <c r="E388">
        <v>0.31619999999999998</v>
      </c>
      <c r="F388">
        <v>8851821.3200000003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0.95948434622467604</v>
      </c>
      <c r="Q388">
        <f t="shared" si="970"/>
        <v>8493183.9921178501</v>
      </c>
      <c r="R388">
        <f t="shared" si="971"/>
        <v>-249835128.24393845</v>
      </c>
      <c r="S388">
        <f t="shared" si="972"/>
        <v>-2498.3512824393842</v>
      </c>
      <c r="T388">
        <f t="shared" si="973"/>
        <v>-2.4983512824393843</v>
      </c>
    </row>
    <row r="389" spans="1:20" x14ac:dyDescent="0.25">
      <c r="A389" s="5">
        <v>44204</v>
      </c>
      <c r="B389">
        <v>0.28370000000000001</v>
      </c>
      <c r="C389">
        <v>0.2908</v>
      </c>
      <c r="D389">
        <v>0.25569999999999998</v>
      </c>
      <c r="E389">
        <v>0.27</v>
      </c>
      <c r="F389">
        <v>8497406.25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-0.18518518518518368</v>
      </c>
      <c r="Q389">
        <f t="shared" si="970"/>
        <v>-1573593.7499999872</v>
      </c>
      <c r="R389">
        <f t="shared" si="971"/>
        <v>-258328312.2360563</v>
      </c>
      <c r="S389">
        <f t="shared" si="972"/>
        <v>-2583.2831223605631</v>
      </c>
      <c r="T389">
        <f t="shared" si="973"/>
        <v>-2.5832831223605632</v>
      </c>
    </row>
    <row r="390" spans="1:20" x14ac:dyDescent="0.25">
      <c r="A390" s="5">
        <v>44203</v>
      </c>
      <c r="B390">
        <v>0.28210000000000002</v>
      </c>
      <c r="C390">
        <v>0.31900000000000001</v>
      </c>
      <c r="D390">
        <v>0.26900000000000002</v>
      </c>
      <c r="E390">
        <v>0.28410000000000002</v>
      </c>
      <c r="F390">
        <v>11630909.74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-0.3959999999999998</v>
      </c>
      <c r="Q390">
        <f t="shared" ref="Q390:Q453" si="975">F390*P390</f>
        <v>-4605840.2570399977</v>
      </c>
      <c r="R390">
        <f t="shared" ref="R390:R453" si="976">R391+Q390</f>
        <v>-256754718.4860563</v>
      </c>
      <c r="S390">
        <f t="shared" ref="S390:S453" si="977">R390/100000</f>
        <v>-2567.547184860563</v>
      </c>
      <c r="T390">
        <f t="shared" ref="T390:T453" si="978">S390/1000</f>
        <v>-2.5675471848605631</v>
      </c>
    </row>
    <row r="391" spans="1:20" x14ac:dyDescent="0.25">
      <c r="A391" s="5">
        <v>44202</v>
      </c>
      <c r="B391">
        <v>0.25609999999999999</v>
      </c>
      <c r="C391">
        <v>0.31</v>
      </c>
      <c r="D391">
        <v>0.251</v>
      </c>
      <c r="E391">
        <v>0.28210000000000002</v>
      </c>
      <c r="F391">
        <v>11754944.01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5.4237288135593836E-2</v>
      </c>
      <c r="Q391">
        <f t="shared" si="975"/>
        <v>637556.28528814286</v>
      </c>
      <c r="R391">
        <f t="shared" si="976"/>
        <v>-252148878.2290163</v>
      </c>
      <c r="S391">
        <f t="shared" si="977"/>
        <v>-2521.4887822901628</v>
      </c>
      <c r="T391">
        <f t="shared" si="978"/>
        <v>-2.5214887822901626</v>
      </c>
    </row>
    <row r="392" spans="1:20" x14ac:dyDescent="0.25">
      <c r="A392" s="5">
        <v>44201</v>
      </c>
      <c r="B392">
        <v>0.2341</v>
      </c>
      <c r="C392">
        <v>0.26669999999999999</v>
      </c>
      <c r="D392">
        <v>0.23139999999999999</v>
      </c>
      <c r="E392">
        <v>0.25629999999999997</v>
      </c>
      <c r="F392">
        <v>8538425.8300000001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0.41076487252124527</v>
      </c>
      <c r="Q392">
        <f t="shared" si="975"/>
        <v>3507285.3975920579</v>
      </c>
      <c r="R392">
        <f t="shared" si="976"/>
        <v>-252786434.51430446</v>
      </c>
      <c r="S392">
        <f t="shared" si="977"/>
        <v>-2527.8643451430444</v>
      </c>
      <c r="T392">
        <f t="shared" si="978"/>
        <v>-2.5278643451430445</v>
      </c>
    </row>
    <row r="393" spans="1:20" x14ac:dyDescent="0.25">
      <c r="A393" s="5">
        <v>44200</v>
      </c>
      <c r="B393">
        <v>0.23050000000000001</v>
      </c>
      <c r="C393">
        <v>0.2596</v>
      </c>
      <c r="D393">
        <v>0.22370000000000001</v>
      </c>
      <c r="E393">
        <v>0.23380000000000001</v>
      </c>
      <c r="F393">
        <v>5699349.6500000004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-0.43732590529247906</v>
      </c>
      <c r="Q393">
        <f t="shared" si="975"/>
        <v>-2492473.2452646238</v>
      </c>
      <c r="R393">
        <f t="shared" si="976"/>
        <v>-256293719.91189653</v>
      </c>
      <c r="S393">
        <f t="shared" si="977"/>
        <v>-2562.9371991189651</v>
      </c>
      <c r="T393">
        <f t="shared" si="978"/>
        <v>-2.5629371991189651</v>
      </c>
    </row>
    <row r="394" spans="1:20" x14ac:dyDescent="0.25">
      <c r="A394" s="5">
        <v>44199</v>
      </c>
      <c r="B394">
        <v>0.23280000000000001</v>
      </c>
      <c r="C394">
        <v>0.2351</v>
      </c>
      <c r="D394">
        <v>0.22059999999999999</v>
      </c>
      <c r="E394">
        <v>0.23050000000000001</v>
      </c>
      <c r="F394">
        <v>4134932.21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0.36551724137931185</v>
      </c>
      <c r="Q394">
        <f t="shared" si="975"/>
        <v>1511389.0146896613</v>
      </c>
      <c r="R394">
        <f t="shared" si="976"/>
        <v>-253801246.66663191</v>
      </c>
      <c r="S394">
        <f t="shared" si="977"/>
        <v>-2538.0124666663191</v>
      </c>
      <c r="T394">
        <f t="shared" si="978"/>
        <v>-2.5380124666663191</v>
      </c>
    </row>
    <row r="395" spans="1:20" x14ac:dyDescent="0.25">
      <c r="A395" s="5">
        <v>44198</v>
      </c>
      <c r="B395">
        <v>0.23</v>
      </c>
      <c r="C395">
        <v>0.24790000000000001</v>
      </c>
      <c r="D395">
        <v>0.2268</v>
      </c>
      <c r="E395">
        <v>0.23300000000000001</v>
      </c>
      <c r="F395">
        <v>3328579.85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-0.41232227488151574</v>
      </c>
      <c r="Q395">
        <f t="shared" si="975"/>
        <v>-1372447.6158767745</v>
      </c>
      <c r="R395">
        <f t="shared" si="976"/>
        <v>-255312635.68132156</v>
      </c>
      <c r="S395">
        <f t="shared" si="977"/>
        <v>-2553.1263568132158</v>
      </c>
      <c r="T395">
        <f t="shared" si="978"/>
        <v>-2.5531263568132156</v>
      </c>
    </row>
    <row r="396" spans="1:20" x14ac:dyDescent="0.25">
      <c r="A396" s="5">
        <v>44197</v>
      </c>
      <c r="B396">
        <v>0.223</v>
      </c>
      <c r="C396">
        <v>0.24049999999999999</v>
      </c>
      <c r="D396">
        <v>0.22289999999999999</v>
      </c>
      <c r="E396">
        <v>0.23039999999999999</v>
      </c>
      <c r="F396">
        <v>2107438.58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-0.14772727272727218</v>
      </c>
      <c r="Q396">
        <f t="shared" si="975"/>
        <v>-311326.15386363521</v>
      </c>
      <c r="R396">
        <f t="shared" si="976"/>
        <v>-253940188.0654448</v>
      </c>
      <c r="S396">
        <f t="shared" si="977"/>
        <v>-2539.4018806544482</v>
      </c>
      <c r="T396">
        <f t="shared" si="978"/>
        <v>-2.5394018806544483</v>
      </c>
    </row>
    <row r="397" spans="1:20" x14ac:dyDescent="0.25">
      <c r="A397" s="5">
        <v>44196</v>
      </c>
      <c r="B397">
        <v>0.23039999999999999</v>
      </c>
      <c r="C397">
        <v>0.2346</v>
      </c>
      <c r="D397">
        <v>0.2213</v>
      </c>
      <c r="E397">
        <v>0.22289999999999999</v>
      </c>
      <c r="F397">
        <v>1531500.48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-0.75939849624060307</v>
      </c>
      <c r="Q397">
        <f t="shared" si="975"/>
        <v>-1163019.1615037618</v>
      </c>
      <c r="R397">
        <f t="shared" si="976"/>
        <v>-253628861.91158116</v>
      </c>
      <c r="S397">
        <f t="shared" si="977"/>
        <v>-2536.2886191158118</v>
      </c>
      <c r="T397">
        <f t="shared" si="978"/>
        <v>-2.5362886191158118</v>
      </c>
    </row>
    <row r="398" spans="1:20" x14ac:dyDescent="0.25">
      <c r="A398" s="5">
        <v>44195</v>
      </c>
      <c r="B398">
        <v>0.23150000000000001</v>
      </c>
      <c r="C398">
        <v>0.2427</v>
      </c>
      <c r="D398">
        <v>0.2273</v>
      </c>
      <c r="E398">
        <v>0.23</v>
      </c>
      <c r="F398">
        <v>2245201.58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-0.64935064935064823</v>
      </c>
      <c r="Q398">
        <f t="shared" si="975"/>
        <v>-1457923.1038961015</v>
      </c>
      <c r="R398">
        <f t="shared" si="976"/>
        <v>-252465842.7500774</v>
      </c>
      <c r="S398">
        <f t="shared" si="977"/>
        <v>-2524.658427500774</v>
      </c>
      <c r="T398">
        <f t="shared" si="978"/>
        <v>-2.524658427500774</v>
      </c>
    </row>
    <row r="399" spans="1:20" x14ac:dyDescent="0.25">
      <c r="A399" s="5">
        <v>44194</v>
      </c>
      <c r="B399">
        <v>0.23899999999999999</v>
      </c>
      <c r="C399">
        <v>0.24260000000000001</v>
      </c>
      <c r="D399">
        <v>0.2225</v>
      </c>
      <c r="E399">
        <v>0.23139999999999999</v>
      </c>
      <c r="F399">
        <v>2419789.79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-0.11442786069651859</v>
      </c>
      <c r="Q399">
        <f t="shared" si="975"/>
        <v>-276891.36900497798</v>
      </c>
      <c r="R399">
        <f t="shared" si="976"/>
        <v>-251007919.64618129</v>
      </c>
      <c r="S399">
        <f t="shared" si="977"/>
        <v>-2510.0791964618129</v>
      </c>
      <c r="T399">
        <f t="shared" si="978"/>
        <v>-2.5100791964618128</v>
      </c>
    </row>
    <row r="400" spans="1:20" x14ac:dyDescent="0.25">
      <c r="A400" s="5">
        <v>44193</v>
      </c>
      <c r="B400">
        <v>0.23810000000000001</v>
      </c>
      <c r="C400">
        <v>0.25009999999999999</v>
      </c>
      <c r="D400">
        <v>0.23719999999999999</v>
      </c>
      <c r="E400">
        <v>0.23830000000000001</v>
      </c>
      <c r="F400">
        <v>3617980.12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-0.82945736434108241</v>
      </c>
      <c r="Q400">
        <f t="shared" si="975"/>
        <v>-3000960.254573633</v>
      </c>
      <c r="R400">
        <f t="shared" si="976"/>
        <v>-250731028.27717632</v>
      </c>
      <c r="S400">
        <f t="shared" si="977"/>
        <v>-2507.310282771763</v>
      </c>
      <c r="T400">
        <f t="shared" si="978"/>
        <v>-2.5073102827717628</v>
      </c>
    </row>
    <row r="401" spans="1:20" x14ac:dyDescent="0.25">
      <c r="A401" s="5">
        <v>44192</v>
      </c>
      <c r="B401">
        <v>0.23130000000000001</v>
      </c>
      <c r="C401">
        <v>0.27939999999999998</v>
      </c>
      <c r="D401">
        <v>0.23119999999999999</v>
      </c>
      <c r="E401">
        <v>0.23719999999999999</v>
      </c>
      <c r="F401">
        <v>10505976.220000001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-0.75103734439834002</v>
      </c>
      <c r="Q401">
        <f t="shared" si="975"/>
        <v>-7890380.480580911</v>
      </c>
      <c r="R401">
        <f t="shared" si="976"/>
        <v>-247730068.02260268</v>
      </c>
      <c r="S401">
        <f t="shared" si="977"/>
        <v>-2477.300680226027</v>
      </c>
      <c r="T401">
        <f t="shared" si="978"/>
        <v>-2.4773006802260271</v>
      </c>
    </row>
    <row r="402" spans="1:20" x14ac:dyDescent="0.25">
      <c r="A402" s="5">
        <v>44191</v>
      </c>
      <c r="B402">
        <v>0.23449999999999999</v>
      </c>
      <c r="C402">
        <v>0.24099999999999999</v>
      </c>
      <c r="D402">
        <v>0.22639999999999999</v>
      </c>
      <c r="E402">
        <v>0.2316</v>
      </c>
      <c r="F402">
        <v>2605497.1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-0.28767123287671104</v>
      </c>
      <c r="Q402">
        <f t="shared" si="975"/>
        <v>-749526.5630136953</v>
      </c>
      <c r="R402">
        <f t="shared" si="976"/>
        <v>-239839687.54202175</v>
      </c>
      <c r="S402">
        <f t="shared" si="977"/>
        <v>-2398.3968754202174</v>
      </c>
      <c r="T402">
        <f t="shared" si="978"/>
        <v>-2.3983968754202172</v>
      </c>
    </row>
    <row r="403" spans="1:20" x14ac:dyDescent="0.25">
      <c r="A403" s="5">
        <v>44190</v>
      </c>
      <c r="B403">
        <v>0.24149999999999999</v>
      </c>
      <c r="C403">
        <v>0.24379999999999999</v>
      </c>
      <c r="D403">
        <v>0.22700000000000001</v>
      </c>
      <c r="E403">
        <v>0.23519999999999999</v>
      </c>
      <c r="F403">
        <v>2594271.67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-2.3809523809524516E-2</v>
      </c>
      <c r="Q403">
        <f t="shared" si="975"/>
        <v>-61768.373095239927</v>
      </c>
      <c r="R403">
        <f t="shared" si="976"/>
        <v>-239090160.97900805</v>
      </c>
      <c r="S403">
        <f t="shared" si="977"/>
        <v>-2390.9016097900803</v>
      </c>
      <c r="T403">
        <f t="shared" si="978"/>
        <v>-2.3909016097900802</v>
      </c>
    </row>
    <row r="404" spans="1:20" x14ac:dyDescent="0.25">
      <c r="A404" s="5">
        <v>44189</v>
      </c>
      <c r="B404">
        <v>0.22459999999999999</v>
      </c>
      <c r="C404">
        <v>0.24990000000000001</v>
      </c>
      <c r="D404">
        <v>0.21590000000000001</v>
      </c>
      <c r="E404">
        <v>0.2397</v>
      </c>
      <c r="F404">
        <v>4744949.1900000004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0.39999999999999919</v>
      </c>
      <c r="Q404">
        <f t="shared" si="975"/>
        <v>1897979.6759999963</v>
      </c>
      <c r="R404">
        <f t="shared" si="976"/>
        <v>-239028392.6059128</v>
      </c>
      <c r="S404">
        <f t="shared" si="977"/>
        <v>-2390.2839260591281</v>
      </c>
      <c r="T404">
        <f t="shared" si="978"/>
        <v>-2.3902839260591282</v>
      </c>
    </row>
    <row r="405" spans="1:20" x14ac:dyDescent="0.25">
      <c r="A405" s="5">
        <v>44188</v>
      </c>
      <c r="B405">
        <v>0.2606</v>
      </c>
      <c r="C405">
        <v>0.2611</v>
      </c>
      <c r="D405">
        <v>0.20760000000000001</v>
      </c>
      <c r="E405">
        <v>0.22520000000000001</v>
      </c>
      <c r="F405">
        <v>8535557.75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-0.34205607476635486</v>
      </c>
      <c r="Q405">
        <f t="shared" si="975"/>
        <v>-2919639.3799065398</v>
      </c>
      <c r="R405">
        <f t="shared" si="976"/>
        <v>-240926372.2819128</v>
      </c>
      <c r="S405">
        <f t="shared" si="977"/>
        <v>-2409.2637228191279</v>
      </c>
      <c r="T405">
        <f t="shared" si="978"/>
        <v>-2.4092637228191278</v>
      </c>
    </row>
    <row r="406" spans="1:20" x14ac:dyDescent="0.25">
      <c r="A406" s="5">
        <v>44187</v>
      </c>
      <c r="B406">
        <v>0.26550000000000001</v>
      </c>
      <c r="C406">
        <v>0.28999999999999998</v>
      </c>
      <c r="D406">
        <v>0.245</v>
      </c>
      <c r="E406">
        <v>0.25990000000000002</v>
      </c>
      <c r="F406">
        <v>22295315.93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-0.33777777777777646</v>
      </c>
      <c r="Q406">
        <f t="shared" si="975"/>
        <v>-7530862.2696888596</v>
      </c>
      <c r="R406">
        <f t="shared" si="976"/>
        <v>-238006732.90200627</v>
      </c>
      <c r="S406">
        <f t="shared" si="977"/>
        <v>-2380.0673290200625</v>
      </c>
      <c r="T406">
        <f t="shared" si="978"/>
        <v>-2.3800673290200627</v>
      </c>
    </row>
    <row r="407" spans="1:20" x14ac:dyDescent="0.25">
      <c r="A407" s="5">
        <v>44186</v>
      </c>
      <c r="B407">
        <v>0.26540000000000002</v>
      </c>
      <c r="C407">
        <v>0.51</v>
      </c>
      <c r="D407">
        <v>0.2515</v>
      </c>
      <c r="E407">
        <v>0.26569999999999999</v>
      </c>
      <c r="F407">
        <v>108601818.08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-0.89013539651837537</v>
      </c>
      <c r="Q407">
        <f t="shared" si="975"/>
        <v>-96670322.399257272</v>
      </c>
      <c r="R407">
        <f t="shared" si="976"/>
        <v>-230475870.63231742</v>
      </c>
      <c r="S407">
        <f t="shared" si="977"/>
        <v>-2304.7587063231745</v>
      </c>
      <c r="T407">
        <f t="shared" si="978"/>
        <v>-2.3047587063231743</v>
      </c>
    </row>
    <row r="408" spans="1:20" x14ac:dyDescent="0.25">
      <c r="A408" s="5">
        <v>44185</v>
      </c>
      <c r="B408">
        <v>0.25240000000000001</v>
      </c>
      <c r="C408">
        <v>0.27479999999999999</v>
      </c>
      <c r="D408">
        <v>0.24030000000000001</v>
      </c>
      <c r="E408">
        <v>0.26669999999999999</v>
      </c>
      <c r="F408">
        <v>6369638.0599999996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0.53043478260869559</v>
      </c>
      <c r="Q408">
        <f t="shared" si="975"/>
        <v>3378677.5796521734</v>
      </c>
      <c r="R408">
        <f t="shared" si="976"/>
        <v>-133805548.23306014</v>
      </c>
      <c r="S408">
        <f t="shared" si="977"/>
        <v>-1338.0554823306013</v>
      </c>
      <c r="T408">
        <f t="shared" si="978"/>
        <v>-1.3380554823306012</v>
      </c>
    </row>
    <row r="409" spans="1:20" x14ac:dyDescent="0.25">
      <c r="A409" s="5">
        <v>44184</v>
      </c>
      <c r="B409">
        <v>0.25800000000000001</v>
      </c>
      <c r="C409">
        <v>0.26100000000000001</v>
      </c>
      <c r="D409">
        <v>0.24990000000000001</v>
      </c>
      <c r="E409">
        <v>0.2525</v>
      </c>
      <c r="F409">
        <v>4947311.57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-0.5315315315315331</v>
      </c>
      <c r="Q409">
        <f t="shared" si="975"/>
        <v>-2629652.0957657737</v>
      </c>
      <c r="R409">
        <f t="shared" si="976"/>
        <v>-137184225.81271231</v>
      </c>
      <c r="S409">
        <f t="shared" si="977"/>
        <v>-1371.8422581271232</v>
      </c>
      <c r="T409">
        <f t="shared" si="978"/>
        <v>-1.3718422581271232</v>
      </c>
    </row>
    <row r="410" spans="1:20" x14ac:dyDescent="0.25">
      <c r="A410" s="5">
        <v>44183</v>
      </c>
      <c r="B410">
        <v>0.2581</v>
      </c>
      <c r="C410">
        <v>0.26219999999999999</v>
      </c>
      <c r="D410">
        <v>0.25</v>
      </c>
      <c r="E410">
        <v>0.25790000000000002</v>
      </c>
      <c r="F410">
        <v>3311106.83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0.29508196721311891</v>
      </c>
      <c r="Q410">
        <f t="shared" si="975"/>
        <v>977047.9170491941</v>
      </c>
      <c r="R410">
        <f t="shared" si="976"/>
        <v>-134554573.71694654</v>
      </c>
      <c r="S410">
        <f t="shared" si="977"/>
        <v>-1345.5457371694654</v>
      </c>
      <c r="T410">
        <f t="shared" si="978"/>
        <v>-1.3455457371694655</v>
      </c>
    </row>
    <row r="411" spans="1:20" x14ac:dyDescent="0.25">
      <c r="A411" s="5">
        <v>44182</v>
      </c>
      <c r="B411">
        <v>0.26750000000000002</v>
      </c>
      <c r="C411">
        <v>0.2747</v>
      </c>
      <c r="D411">
        <v>0.251</v>
      </c>
      <c r="E411">
        <v>0.25850000000000001</v>
      </c>
      <c r="F411">
        <v>5911717.9000000004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-0.36708860759493611</v>
      </c>
      <c r="Q411">
        <f t="shared" si="975"/>
        <v>-2170124.29240506</v>
      </c>
      <c r="R411">
        <f t="shared" si="976"/>
        <v>-135531621.63399574</v>
      </c>
      <c r="S411">
        <f t="shared" si="977"/>
        <v>-1355.3162163399575</v>
      </c>
      <c r="T411">
        <f t="shared" si="978"/>
        <v>-1.3553162163399575</v>
      </c>
    </row>
    <row r="412" spans="1:20" x14ac:dyDescent="0.25">
      <c r="A412" s="5">
        <v>44181</v>
      </c>
      <c r="B412">
        <v>0.25259999999999999</v>
      </c>
      <c r="C412">
        <v>0.26840000000000003</v>
      </c>
      <c r="D412">
        <v>0.24740000000000001</v>
      </c>
      <c r="E412">
        <v>0.26650000000000001</v>
      </c>
      <c r="F412">
        <v>3798788.85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0.81904761904761803</v>
      </c>
      <c r="Q412">
        <f t="shared" si="975"/>
        <v>3111388.9628571388</v>
      </c>
      <c r="R412">
        <f t="shared" si="976"/>
        <v>-133361497.34159069</v>
      </c>
      <c r="S412">
        <f t="shared" si="977"/>
        <v>-1333.6149734159069</v>
      </c>
      <c r="T412">
        <f t="shared" si="978"/>
        <v>-1.3336149734159068</v>
      </c>
    </row>
    <row r="413" spans="1:20" x14ac:dyDescent="0.25">
      <c r="A413" s="5">
        <v>44180</v>
      </c>
      <c r="B413">
        <v>0.25690000000000002</v>
      </c>
      <c r="C413">
        <v>0.26950000000000002</v>
      </c>
      <c r="D413">
        <v>0.25180000000000002</v>
      </c>
      <c r="E413">
        <v>0.25269999999999998</v>
      </c>
      <c r="F413">
        <v>2409983.2400000002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-0.89830508474576765</v>
      </c>
      <c r="Q413">
        <f t="shared" si="975"/>
        <v>-2164900.1986440797</v>
      </c>
      <c r="R413">
        <f t="shared" si="976"/>
        <v>-136472886.30444783</v>
      </c>
      <c r="S413">
        <f t="shared" si="977"/>
        <v>-1364.7288630444782</v>
      </c>
      <c r="T413">
        <f t="shared" si="978"/>
        <v>-1.3647288630444783</v>
      </c>
    </row>
    <row r="414" spans="1:20" x14ac:dyDescent="0.25">
      <c r="A414" s="5">
        <v>44179</v>
      </c>
      <c r="B414">
        <v>0.26129999999999998</v>
      </c>
      <c r="C414">
        <v>0.26500000000000001</v>
      </c>
      <c r="D414">
        <v>0.25340000000000001</v>
      </c>
      <c r="E414">
        <v>0.25679999999999997</v>
      </c>
      <c r="F414">
        <v>2682895.0099999998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-0.41379310344828296</v>
      </c>
      <c r="Q414">
        <f t="shared" si="975"/>
        <v>-1110163.452413812</v>
      </c>
      <c r="R414">
        <f t="shared" si="976"/>
        <v>-134307986.10580376</v>
      </c>
      <c r="S414">
        <f t="shared" si="977"/>
        <v>-1343.0798610580375</v>
      </c>
      <c r="T414">
        <f t="shared" si="978"/>
        <v>-1.3430798610580374</v>
      </c>
    </row>
    <row r="415" spans="1:20" x14ac:dyDescent="0.25">
      <c r="A415" s="5">
        <v>44178</v>
      </c>
      <c r="B415">
        <v>0.25940000000000002</v>
      </c>
      <c r="C415">
        <v>0.26729999999999998</v>
      </c>
      <c r="D415">
        <v>0.25519999999999998</v>
      </c>
      <c r="E415">
        <v>0.26090000000000002</v>
      </c>
      <c r="F415">
        <v>2800234.77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-5.7851239669415119E-2</v>
      </c>
      <c r="Q415">
        <f t="shared" si="975"/>
        <v>-161997.05280989953</v>
      </c>
      <c r="R415">
        <f t="shared" si="976"/>
        <v>-133197822.65338995</v>
      </c>
      <c r="S415">
        <f t="shared" si="977"/>
        <v>-1331.9782265338995</v>
      </c>
      <c r="T415">
        <f t="shared" si="978"/>
        <v>-1.3319782265338995</v>
      </c>
    </row>
    <row r="416" spans="1:20" x14ac:dyDescent="0.25">
      <c r="A416" s="5">
        <v>44177</v>
      </c>
      <c r="B416">
        <v>0.24640000000000001</v>
      </c>
      <c r="C416">
        <v>0.27450000000000002</v>
      </c>
      <c r="D416">
        <v>0.24510000000000001</v>
      </c>
      <c r="E416">
        <v>0.25890000000000002</v>
      </c>
      <c r="F416">
        <v>3509927.88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-6.1224489795918213E-2</v>
      </c>
      <c r="Q416">
        <f t="shared" si="975"/>
        <v>-214893.54367346884</v>
      </c>
      <c r="R416">
        <f t="shared" si="976"/>
        <v>-133035825.60058005</v>
      </c>
      <c r="S416">
        <f t="shared" si="977"/>
        <v>-1330.3582560058005</v>
      </c>
      <c r="T416">
        <f t="shared" si="978"/>
        <v>-1.3303582560058005</v>
      </c>
    </row>
    <row r="417" spans="1:20" x14ac:dyDescent="0.25">
      <c r="A417" s="5">
        <v>44176</v>
      </c>
      <c r="B417">
        <v>0.25259999999999999</v>
      </c>
      <c r="C417">
        <v>0.26069999999999999</v>
      </c>
      <c r="D417">
        <v>0.24460000000000001</v>
      </c>
      <c r="E417">
        <v>0.24629999999999999</v>
      </c>
      <c r="F417">
        <v>3836597.31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-0.78881987577639978</v>
      </c>
      <c r="Q417">
        <f t="shared" si="975"/>
        <v>-3026384.2134782695</v>
      </c>
      <c r="R417">
        <f t="shared" si="976"/>
        <v>-132820932.05690658</v>
      </c>
      <c r="S417">
        <f t="shared" si="977"/>
        <v>-1328.2093205690658</v>
      </c>
      <c r="T417">
        <f t="shared" si="978"/>
        <v>-1.3282093205690657</v>
      </c>
    </row>
    <row r="418" spans="1:20" x14ac:dyDescent="0.25">
      <c r="A418" s="5">
        <v>44175</v>
      </c>
      <c r="B418">
        <v>0.27560000000000001</v>
      </c>
      <c r="C418">
        <v>0.2797</v>
      </c>
      <c r="D418">
        <v>0.24940000000000001</v>
      </c>
      <c r="E418">
        <v>0.25290000000000001</v>
      </c>
      <c r="F418">
        <v>7103839.4699999997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-0.76897689768976873</v>
      </c>
      <c r="Q418">
        <f t="shared" si="975"/>
        <v>-5462688.4373267312</v>
      </c>
      <c r="R418">
        <f t="shared" si="976"/>
        <v>-129794547.84342831</v>
      </c>
      <c r="S418">
        <f t="shared" si="977"/>
        <v>-1297.9454784342831</v>
      </c>
      <c r="T418">
        <f t="shared" si="978"/>
        <v>-1.2979454784342832</v>
      </c>
    </row>
    <row r="419" spans="1:20" x14ac:dyDescent="0.25">
      <c r="A419" s="5">
        <v>44174</v>
      </c>
      <c r="B419">
        <v>0.28039999999999998</v>
      </c>
      <c r="C419">
        <v>0.28970000000000001</v>
      </c>
      <c r="D419">
        <v>0.26229999999999998</v>
      </c>
      <c r="E419">
        <v>0.27489999999999998</v>
      </c>
      <c r="F419">
        <v>5871097.9000000004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-8.0291970802920887E-2</v>
      </c>
      <c r="Q419">
        <f t="shared" si="975"/>
        <v>-471402.02116789017</v>
      </c>
      <c r="R419">
        <f t="shared" si="976"/>
        <v>-124331859.40610158</v>
      </c>
      <c r="S419">
        <f t="shared" si="977"/>
        <v>-1243.3185940610158</v>
      </c>
      <c r="T419">
        <f t="shared" si="978"/>
        <v>-1.2433185940610159</v>
      </c>
    </row>
    <row r="420" spans="1:20" x14ac:dyDescent="0.25">
      <c r="A420" s="5">
        <v>44173</v>
      </c>
      <c r="B420">
        <v>0.30209999999999998</v>
      </c>
      <c r="C420">
        <v>0.32890000000000003</v>
      </c>
      <c r="D420">
        <v>0.2732</v>
      </c>
      <c r="E420">
        <v>0.28079999999999999</v>
      </c>
      <c r="F420">
        <v>5515089.6200000001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-0.72710951526032341</v>
      </c>
      <c r="Q420">
        <f t="shared" si="975"/>
        <v>-4010074.1402154411</v>
      </c>
      <c r="R420">
        <f t="shared" si="976"/>
        <v>-123860457.3849337</v>
      </c>
      <c r="S420">
        <f t="shared" si="977"/>
        <v>-1238.6045738493369</v>
      </c>
      <c r="T420">
        <f t="shared" si="978"/>
        <v>-1.238604573849337</v>
      </c>
    </row>
    <row r="421" spans="1:20" x14ac:dyDescent="0.25">
      <c r="A421" s="5">
        <v>44172</v>
      </c>
      <c r="B421">
        <v>0.30409999999999998</v>
      </c>
      <c r="C421">
        <v>0.31590000000000001</v>
      </c>
      <c r="D421">
        <v>0.29870000000000002</v>
      </c>
      <c r="E421">
        <v>0.30159999999999998</v>
      </c>
      <c r="F421">
        <v>2429210.44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-0.66279069767442333</v>
      </c>
      <c r="Q421">
        <f t="shared" si="975"/>
        <v>-1610058.0823255929</v>
      </c>
      <c r="R421">
        <f t="shared" si="976"/>
        <v>-119850383.24471825</v>
      </c>
      <c r="S421">
        <f t="shared" si="977"/>
        <v>-1198.5038324471825</v>
      </c>
      <c r="T421">
        <f t="shared" si="978"/>
        <v>-1.1985038324471824</v>
      </c>
    </row>
    <row r="422" spans="1:20" x14ac:dyDescent="0.25">
      <c r="A422" s="5">
        <v>44171</v>
      </c>
      <c r="B422">
        <v>0.307</v>
      </c>
      <c r="C422">
        <v>0.31659999999999999</v>
      </c>
      <c r="D422">
        <v>0.30080000000000001</v>
      </c>
      <c r="E422">
        <v>0.30370000000000003</v>
      </c>
      <c r="F422">
        <v>3226000.68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-0.63291139240506111</v>
      </c>
      <c r="Q422">
        <f t="shared" si="975"/>
        <v>-2041772.582278474</v>
      </c>
      <c r="R422">
        <f t="shared" si="976"/>
        <v>-118240325.16239266</v>
      </c>
      <c r="S422">
        <f t="shared" si="977"/>
        <v>-1182.4032516239265</v>
      </c>
      <c r="T422">
        <f t="shared" si="978"/>
        <v>-1.1824032516239265</v>
      </c>
    </row>
    <row r="423" spans="1:20" x14ac:dyDescent="0.25">
      <c r="A423" s="5">
        <v>44170</v>
      </c>
      <c r="B423">
        <v>0.30990000000000001</v>
      </c>
      <c r="C423">
        <v>0.34289999999999998</v>
      </c>
      <c r="D423">
        <v>0.30099999999999999</v>
      </c>
      <c r="E423">
        <v>0.30690000000000001</v>
      </c>
      <c r="F423">
        <v>8582390.9299999997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-0.71837708830548841</v>
      </c>
      <c r="Q423">
        <f t="shared" si="975"/>
        <v>-6165393.0069928328</v>
      </c>
      <c r="R423">
        <f t="shared" si="976"/>
        <v>-116198552.58011419</v>
      </c>
      <c r="S423">
        <f t="shared" si="977"/>
        <v>-1161.9855258011419</v>
      </c>
      <c r="T423">
        <f t="shared" si="978"/>
        <v>-1.1619855258011418</v>
      </c>
    </row>
    <row r="424" spans="1:20" x14ac:dyDescent="0.25">
      <c r="A424" s="5">
        <v>44169</v>
      </c>
      <c r="B424">
        <v>0.29699999999999999</v>
      </c>
      <c r="C424">
        <v>0.34799999999999998</v>
      </c>
      <c r="D424">
        <v>0.28589999999999999</v>
      </c>
      <c r="E424">
        <v>0.31040000000000001</v>
      </c>
      <c r="F424">
        <v>12858188.93</v>
      </c>
      <c r="G424">
        <v>0</v>
      </c>
      <c r="L424" t="s">
        <v>8</v>
      </c>
      <c r="M424" t="s">
        <v>8</v>
      </c>
      <c r="N424" t="s">
        <v>7</v>
      </c>
      <c r="P424">
        <f t="shared" si="974"/>
        <v>-0.21095008051529707</v>
      </c>
      <c r="Q424">
        <f t="shared" si="975"/>
        <v>-2712435.9900644012</v>
      </c>
      <c r="R424">
        <f t="shared" si="976"/>
        <v>-110033159.57312135</v>
      </c>
      <c r="S424">
        <f t="shared" si="977"/>
        <v>-1100.3315957312136</v>
      </c>
      <c r="T424">
        <f t="shared" si="978"/>
        <v>-1.1003315957312136</v>
      </c>
    </row>
    <row r="425" spans="1:20" x14ac:dyDescent="0.25">
      <c r="A425" s="5">
        <v>44168</v>
      </c>
      <c r="B425">
        <v>0.2949</v>
      </c>
      <c r="C425">
        <v>0.31090000000000001</v>
      </c>
      <c r="D425">
        <v>0.28949999999999998</v>
      </c>
      <c r="E425">
        <v>0.29730000000000001</v>
      </c>
      <c r="F425">
        <v>3743846.54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-0.27102803738317588</v>
      </c>
      <c r="Q425">
        <f t="shared" si="975"/>
        <v>-1014687.3799999937</v>
      </c>
      <c r="R425">
        <f t="shared" si="976"/>
        <v>-107320723.58305696</v>
      </c>
      <c r="S425">
        <f t="shared" si="977"/>
        <v>-1073.2072358305695</v>
      </c>
      <c r="T425">
        <f t="shared" si="978"/>
        <v>-1.0732072358305695</v>
      </c>
    </row>
    <row r="426" spans="1:20" x14ac:dyDescent="0.25">
      <c r="A426" s="5">
        <v>44167</v>
      </c>
      <c r="B426">
        <v>0.28970000000000001</v>
      </c>
      <c r="C426">
        <v>0.3014</v>
      </c>
      <c r="D426">
        <v>0.28320000000000001</v>
      </c>
      <c r="E426">
        <v>0.29499999999999998</v>
      </c>
      <c r="F426">
        <v>3940113.64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0.29670329670329465</v>
      </c>
      <c r="Q426">
        <f t="shared" si="975"/>
        <v>1169044.7063736182</v>
      </c>
      <c r="R426">
        <f t="shared" si="976"/>
        <v>-106306036.20305696</v>
      </c>
      <c r="S426">
        <f t="shared" si="977"/>
        <v>-1063.0603620305696</v>
      </c>
      <c r="T426">
        <f t="shared" si="978"/>
        <v>-1.0630603620305696</v>
      </c>
    </row>
    <row r="427" spans="1:20" x14ac:dyDescent="0.25">
      <c r="A427" s="5">
        <v>44166</v>
      </c>
      <c r="B427">
        <v>0.31590000000000001</v>
      </c>
      <c r="C427">
        <v>0.31709999999999999</v>
      </c>
      <c r="D427">
        <v>0.28560000000000002</v>
      </c>
      <c r="E427">
        <v>0.2893</v>
      </c>
      <c r="F427">
        <v>3501658.04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-0.76507936507936602</v>
      </c>
      <c r="Q427">
        <f t="shared" si="975"/>
        <v>-2679046.3099682573</v>
      </c>
      <c r="R427">
        <f t="shared" si="976"/>
        <v>-107475080.90943058</v>
      </c>
      <c r="S427">
        <f t="shared" si="977"/>
        <v>-1074.7508090943059</v>
      </c>
      <c r="T427">
        <f t="shared" si="978"/>
        <v>-1.0747508090943059</v>
      </c>
    </row>
    <row r="428" spans="1:20" x14ac:dyDescent="0.25">
      <c r="A428" s="5">
        <v>44165</v>
      </c>
      <c r="B428">
        <v>0.31190000000000001</v>
      </c>
      <c r="C428">
        <v>0.318</v>
      </c>
      <c r="D428">
        <v>0.2984</v>
      </c>
      <c r="E428">
        <v>0.316</v>
      </c>
      <c r="F428">
        <v>3201763.94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0.79591836734693866</v>
      </c>
      <c r="Q428">
        <f t="shared" si="975"/>
        <v>2548342.7277551014</v>
      </c>
      <c r="R428">
        <f t="shared" si="976"/>
        <v>-104796034.59946232</v>
      </c>
      <c r="S428">
        <f t="shared" si="977"/>
        <v>-1047.9603459946231</v>
      </c>
      <c r="T428">
        <f t="shared" si="978"/>
        <v>-1.0479603459946232</v>
      </c>
    </row>
    <row r="429" spans="1:20" x14ac:dyDescent="0.25">
      <c r="A429" s="5">
        <v>44164</v>
      </c>
      <c r="B429">
        <v>0.29759999999999998</v>
      </c>
      <c r="C429">
        <v>0.32700000000000001</v>
      </c>
      <c r="D429">
        <v>0.28889999999999999</v>
      </c>
      <c r="E429">
        <v>0.31090000000000001</v>
      </c>
      <c r="F429">
        <v>4327779.63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0.15485564304461977</v>
      </c>
      <c r="Q429">
        <f t="shared" si="975"/>
        <v>670181.09755905659</v>
      </c>
      <c r="R429">
        <f t="shared" si="976"/>
        <v>-107344377.32721741</v>
      </c>
      <c r="S429">
        <f t="shared" si="977"/>
        <v>-1073.4437732721742</v>
      </c>
      <c r="T429">
        <f t="shared" si="978"/>
        <v>-1.0734437732721742</v>
      </c>
    </row>
    <row r="430" spans="1:20" x14ac:dyDescent="0.25">
      <c r="A430" s="5">
        <v>44163</v>
      </c>
      <c r="B430">
        <v>0.27</v>
      </c>
      <c r="C430">
        <v>0.30530000000000002</v>
      </c>
      <c r="D430">
        <v>0.26400000000000001</v>
      </c>
      <c r="E430">
        <v>0.29759999999999998</v>
      </c>
      <c r="F430">
        <v>4781634.16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0.62711864406779472</v>
      </c>
      <c r="Q430">
        <f t="shared" si="975"/>
        <v>2998651.9308474488</v>
      </c>
      <c r="R430">
        <f t="shared" si="976"/>
        <v>-108014558.42477646</v>
      </c>
      <c r="S430">
        <f t="shared" si="977"/>
        <v>-1080.1455842477646</v>
      </c>
      <c r="T430">
        <f t="shared" si="978"/>
        <v>-1.0801455842477647</v>
      </c>
    </row>
    <row r="431" spans="1:20" x14ac:dyDescent="0.25">
      <c r="A431" s="5">
        <v>44162</v>
      </c>
      <c r="B431">
        <v>0.26819999999999999</v>
      </c>
      <c r="C431">
        <v>0.27689999999999998</v>
      </c>
      <c r="D431">
        <v>0.25690000000000002</v>
      </c>
      <c r="E431">
        <v>0.27010000000000001</v>
      </c>
      <c r="F431">
        <v>2343329.6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0.32000000000000145</v>
      </c>
      <c r="Q431">
        <f t="shared" si="975"/>
        <v>749865.47200000344</v>
      </c>
      <c r="R431">
        <f t="shared" si="976"/>
        <v>-111013210.35562392</v>
      </c>
      <c r="S431">
        <f t="shared" si="977"/>
        <v>-1110.1321035562391</v>
      </c>
      <c r="T431">
        <f t="shared" si="978"/>
        <v>-1.110132103556239</v>
      </c>
    </row>
    <row r="432" spans="1:20" x14ac:dyDescent="0.25">
      <c r="A432" s="5">
        <v>44161</v>
      </c>
      <c r="B432">
        <v>0.30790000000000001</v>
      </c>
      <c r="C432">
        <v>0.31040000000000001</v>
      </c>
      <c r="D432">
        <v>0.25440000000000002</v>
      </c>
      <c r="E432">
        <v>0.26819999999999999</v>
      </c>
      <c r="F432">
        <v>4854242.74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-0.50714285714285789</v>
      </c>
      <c r="Q432">
        <f t="shared" si="975"/>
        <v>-2461794.5324285752</v>
      </c>
      <c r="R432">
        <f t="shared" si="976"/>
        <v>-111763075.82762392</v>
      </c>
      <c r="S432">
        <f t="shared" si="977"/>
        <v>-1117.6307582762392</v>
      </c>
      <c r="T432">
        <f t="shared" si="978"/>
        <v>-1.1176307582762393</v>
      </c>
    </row>
    <row r="433" spans="1:20" x14ac:dyDescent="0.25">
      <c r="A433" s="5">
        <v>44160</v>
      </c>
      <c r="B433">
        <v>0.33560000000000001</v>
      </c>
      <c r="C433">
        <v>0.35499999999999998</v>
      </c>
      <c r="D433">
        <v>0.29189999999999999</v>
      </c>
      <c r="E433">
        <v>0.308</v>
      </c>
      <c r="F433">
        <v>7592023.3099999996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-0.48969889064976208</v>
      </c>
      <c r="Q433">
        <f t="shared" si="975"/>
        <v>-3717805.3926941347</v>
      </c>
      <c r="R433">
        <f t="shared" si="976"/>
        <v>-109301281.29519534</v>
      </c>
      <c r="S433">
        <f t="shared" si="977"/>
        <v>-1093.0128129519535</v>
      </c>
      <c r="T433">
        <f t="shared" si="978"/>
        <v>-1.0930128129519534</v>
      </c>
    </row>
    <row r="434" spans="1:20" x14ac:dyDescent="0.25">
      <c r="A434" s="5">
        <v>44159</v>
      </c>
      <c r="B434">
        <v>0.3095</v>
      </c>
      <c r="C434">
        <v>0.37359999999999999</v>
      </c>
      <c r="D434">
        <v>0.3009</v>
      </c>
      <c r="E434">
        <v>0.33560000000000001</v>
      </c>
      <c r="F434">
        <v>15741649.68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-4.5392022008252687E-2</v>
      </c>
      <c r="Q434">
        <f t="shared" si="975"/>
        <v>-714545.30872076389</v>
      </c>
      <c r="R434">
        <f t="shared" si="976"/>
        <v>-105583475.90250121</v>
      </c>
      <c r="S434">
        <f t="shared" si="977"/>
        <v>-1055.8347590250121</v>
      </c>
      <c r="T434">
        <f t="shared" si="978"/>
        <v>-1.0558347590250121</v>
      </c>
    </row>
    <row r="435" spans="1:20" x14ac:dyDescent="0.25">
      <c r="A435" s="5">
        <v>44158</v>
      </c>
      <c r="B435">
        <v>0.25019999999999998</v>
      </c>
      <c r="C435">
        <v>0.34</v>
      </c>
      <c r="D435">
        <v>0.2455</v>
      </c>
      <c r="E435">
        <v>0.30940000000000001</v>
      </c>
      <c r="F435">
        <v>20661869.120000001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0.35238095238095224</v>
      </c>
      <c r="Q435">
        <f t="shared" si="975"/>
        <v>7280849.1184761878</v>
      </c>
      <c r="R435">
        <f t="shared" si="976"/>
        <v>-104868930.59378044</v>
      </c>
      <c r="S435">
        <f t="shared" si="977"/>
        <v>-1048.6893059378044</v>
      </c>
      <c r="T435">
        <f t="shared" si="978"/>
        <v>-1.0486893059378044</v>
      </c>
    </row>
    <row r="436" spans="1:20" x14ac:dyDescent="0.25">
      <c r="A436" s="5">
        <v>44157</v>
      </c>
      <c r="B436">
        <v>0.2571</v>
      </c>
      <c r="C436">
        <v>0.2681</v>
      </c>
      <c r="D436">
        <v>0.24199999999999999</v>
      </c>
      <c r="E436">
        <v>0.25069999999999998</v>
      </c>
      <c r="F436">
        <v>5730856.46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-0.33333333333333476</v>
      </c>
      <c r="Q436">
        <f t="shared" si="975"/>
        <v>-1910285.4866666747</v>
      </c>
      <c r="R436">
        <f t="shared" si="976"/>
        <v>-112149779.71225663</v>
      </c>
      <c r="S436">
        <f t="shared" si="977"/>
        <v>-1121.4977971225662</v>
      </c>
      <c r="T436">
        <f t="shared" si="978"/>
        <v>-1.1214977971225661</v>
      </c>
    </row>
    <row r="437" spans="1:20" x14ac:dyDescent="0.25">
      <c r="A437" s="5">
        <v>44156</v>
      </c>
      <c r="B437">
        <v>0.24490000000000001</v>
      </c>
      <c r="C437">
        <v>0.26819999999999999</v>
      </c>
      <c r="D437">
        <v>0.2432</v>
      </c>
      <c r="E437">
        <v>0.25750000000000001</v>
      </c>
      <c r="F437">
        <v>5732672.0300000003</v>
      </c>
      <c r="G437">
        <v>0</v>
      </c>
      <c r="L437" t="s">
        <v>8</v>
      </c>
      <c r="M437" t="s">
        <v>7</v>
      </c>
      <c r="N437" t="s">
        <v>8</v>
      </c>
      <c r="P437">
        <f t="shared" si="974"/>
        <v>0.14400000000000082</v>
      </c>
      <c r="Q437">
        <f t="shared" si="975"/>
        <v>825504.77232000476</v>
      </c>
      <c r="R437">
        <f t="shared" si="976"/>
        <v>-110239494.22558995</v>
      </c>
      <c r="S437">
        <f t="shared" si="977"/>
        <v>-1102.3949422558994</v>
      </c>
      <c r="T437">
        <f t="shared" si="978"/>
        <v>-1.1023949422558994</v>
      </c>
    </row>
    <row r="438" spans="1:20" x14ac:dyDescent="0.25">
      <c r="A438" s="5">
        <v>44155</v>
      </c>
      <c r="B438">
        <v>0.248</v>
      </c>
      <c r="C438">
        <v>0.2525</v>
      </c>
      <c r="D438">
        <v>0.2409</v>
      </c>
      <c r="E438">
        <v>0.2442</v>
      </c>
      <c r="F438">
        <v>4643948.1500000004</v>
      </c>
      <c r="G438">
        <v>0</v>
      </c>
      <c r="L438" t="s">
        <v>7</v>
      </c>
      <c r="M438" t="s">
        <v>7</v>
      </c>
      <c r="N438" t="s">
        <v>8</v>
      </c>
      <c r="P438">
        <f t="shared" si="974"/>
        <v>-0.43103448275862111</v>
      </c>
      <c r="Q438">
        <f t="shared" si="975"/>
        <v>-2001701.7887931056</v>
      </c>
      <c r="R438">
        <f t="shared" si="976"/>
        <v>-111064998.99790995</v>
      </c>
      <c r="S438">
        <f t="shared" si="977"/>
        <v>-1110.6499899790995</v>
      </c>
      <c r="T438">
        <f t="shared" si="978"/>
        <v>-1.1106499899790996</v>
      </c>
    </row>
    <row r="439" spans="1:20" x14ac:dyDescent="0.25">
      <c r="A439" s="5">
        <v>44154</v>
      </c>
      <c r="B439">
        <v>0.2646</v>
      </c>
      <c r="C439">
        <v>0.27</v>
      </c>
      <c r="D439">
        <v>0.23910000000000001</v>
      </c>
      <c r="E439">
        <v>0.24790000000000001</v>
      </c>
      <c r="F439">
        <v>6245601.9000000004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-0.43042071197411008</v>
      </c>
      <c r="Q439">
        <f t="shared" si="975"/>
        <v>-2688236.4165048548</v>
      </c>
      <c r="R439">
        <f t="shared" si="976"/>
        <v>-109063297.20911685</v>
      </c>
      <c r="S439">
        <f t="shared" si="977"/>
        <v>-1090.6329720911685</v>
      </c>
      <c r="T439">
        <f t="shared" si="978"/>
        <v>-1.0906329720911685</v>
      </c>
    </row>
    <row r="440" spans="1:20" x14ac:dyDescent="0.25">
      <c r="A440" s="5">
        <v>44153</v>
      </c>
      <c r="B440">
        <v>0.22550000000000001</v>
      </c>
      <c r="C440">
        <v>0.29630000000000001</v>
      </c>
      <c r="D440">
        <v>0.2223</v>
      </c>
      <c r="E440">
        <v>0.2646</v>
      </c>
      <c r="F440">
        <v>16332868.1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0.1432432432432432</v>
      </c>
      <c r="Q440">
        <f t="shared" si="975"/>
        <v>2339572.9981081071</v>
      </c>
      <c r="R440">
        <f t="shared" si="976"/>
        <v>-106375060.79261199</v>
      </c>
      <c r="S440">
        <f t="shared" si="977"/>
        <v>-1063.7506079261198</v>
      </c>
      <c r="T440">
        <f t="shared" si="978"/>
        <v>-1.0637506079261199</v>
      </c>
    </row>
    <row r="441" spans="1:20" x14ac:dyDescent="0.25">
      <c r="A441" s="5">
        <v>44152</v>
      </c>
      <c r="B441">
        <v>0.22439999999999999</v>
      </c>
      <c r="C441">
        <v>0.2288</v>
      </c>
      <c r="D441">
        <v>0.22040000000000001</v>
      </c>
      <c r="E441">
        <v>0.22539999999999999</v>
      </c>
      <c r="F441">
        <v>2287249.54</v>
      </c>
      <c r="G441">
        <v>0</v>
      </c>
      <c r="L441" t="s">
        <v>7</v>
      </c>
      <c r="M441" t="s">
        <v>7</v>
      </c>
      <c r="N441" t="s">
        <v>8</v>
      </c>
      <c r="P441">
        <f t="shared" si="974"/>
        <v>0.19047619047618622</v>
      </c>
      <c r="Q441">
        <f t="shared" si="975"/>
        <v>435666.5790476093</v>
      </c>
      <c r="R441">
        <f t="shared" si="976"/>
        <v>-108714633.79072009</v>
      </c>
      <c r="S441">
        <f t="shared" si="977"/>
        <v>-1087.1463379072009</v>
      </c>
      <c r="T441">
        <f t="shared" si="978"/>
        <v>-1.0871463379072008</v>
      </c>
    </row>
    <row r="442" spans="1:20" x14ac:dyDescent="0.25">
      <c r="A442" s="5">
        <v>44151</v>
      </c>
      <c r="B442">
        <v>0.22140000000000001</v>
      </c>
      <c r="C442">
        <v>0.22900000000000001</v>
      </c>
      <c r="D442">
        <v>0.21440000000000001</v>
      </c>
      <c r="E442">
        <v>0.224</v>
      </c>
      <c r="F442">
        <v>2692379.9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0.31506849315068441</v>
      </c>
      <c r="Q442">
        <f t="shared" si="975"/>
        <v>848284.07808219036</v>
      </c>
      <c r="R442">
        <f t="shared" si="976"/>
        <v>-109150300.3697677</v>
      </c>
      <c r="S442">
        <f t="shared" si="977"/>
        <v>-1091.5030036976771</v>
      </c>
      <c r="T442">
        <f t="shared" si="978"/>
        <v>-1.0915030036976772</v>
      </c>
    </row>
    <row r="443" spans="1:20" x14ac:dyDescent="0.25">
      <c r="A443" s="5">
        <v>44150</v>
      </c>
      <c r="B443">
        <v>0.22520000000000001</v>
      </c>
      <c r="C443">
        <v>0.2296</v>
      </c>
      <c r="D443">
        <v>0.21659999999999999</v>
      </c>
      <c r="E443">
        <v>0.22220000000000001</v>
      </c>
      <c r="F443">
        <v>1040282.73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-0.13846153846153589</v>
      </c>
      <c r="Q443">
        <f t="shared" si="975"/>
        <v>-144039.14723076654</v>
      </c>
      <c r="R443">
        <f t="shared" si="976"/>
        <v>-109998584.44784988</v>
      </c>
      <c r="S443">
        <f t="shared" si="977"/>
        <v>-1099.9858444784988</v>
      </c>
      <c r="T443">
        <f t="shared" si="978"/>
        <v>-1.0999858444784989</v>
      </c>
    </row>
    <row r="444" spans="1:20" x14ac:dyDescent="0.25">
      <c r="A444" s="5">
        <v>44149</v>
      </c>
      <c r="B444">
        <v>0.23200000000000001</v>
      </c>
      <c r="C444">
        <v>0.2334</v>
      </c>
      <c r="D444">
        <v>0.2208</v>
      </c>
      <c r="E444">
        <v>0.22539999999999999</v>
      </c>
      <c r="F444">
        <v>1567879.23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-0.26984126984127094</v>
      </c>
      <c r="Q444">
        <f t="shared" si="975"/>
        <v>-423078.52238095412</v>
      </c>
      <c r="R444">
        <f t="shared" si="976"/>
        <v>-109854545.30061913</v>
      </c>
      <c r="S444">
        <f t="shared" si="977"/>
        <v>-1098.5454530061913</v>
      </c>
      <c r="T444">
        <f t="shared" si="978"/>
        <v>-1.0985454530061913</v>
      </c>
    </row>
    <row r="445" spans="1:20" x14ac:dyDescent="0.25">
      <c r="A445" s="5">
        <v>44148</v>
      </c>
      <c r="B445">
        <v>0.22289999999999999</v>
      </c>
      <c r="C445">
        <v>0.23699999999999999</v>
      </c>
      <c r="D445">
        <v>0.22289999999999999</v>
      </c>
      <c r="E445">
        <v>0.23269999999999999</v>
      </c>
      <c r="F445">
        <v>2234147.96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0.39007092198581589</v>
      </c>
      <c r="Q445">
        <f t="shared" si="975"/>
        <v>871476.15460992965</v>
      </c>
      <c r="R445">
        <f t="shared" si="976"/>
        <v>-109431466.77823818</v>
      </c>
      <c r="S445">
        <f t="shared" si="977"/>
        <v>-1094.3146677823818</v>
      </c>
      <c r="T445">
        <f t="shared" si="978"/>
        <v>-1.0943146677823818</v>
      </c>
    </row>
    <row r="446" spans="1:20" x14ac:dyDescent="0.25">
      <c r="A446" s="5">
        <v>44147</v>
      </c>
      <c r="B446">
        <v>0.23369999999999999</v>
      </c>
      <c r="C446">
        <v>0.23419999999999999</v>
      </c>
      <c r="D446">
        <v>0.22009999999999999</v>
      </c>
      <c r="E446">
        <v>0.223</v>
      </c>
      <c r="F446">
        <v>2187042.61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-0.58865248226950162</v>
      </c>
      <c r="Q446">
        <f t="shared" si="975"/>
        <v>-1287408.0612056695</v>
      </c>
      <c r="R446">
        <f t="shared" si="976"/>
        <v>-110302942.93284811</v>
      </c>
      <c r="S446">
        <f t="shared" si="977"/>
        <v>-1103.029429328481</v>
      </c>
      <c r="T446">
        <f t="shared" si="978"/>
        <v>-1.103029429328481</v>
      </c>
    </row>
    <row r="447" spans="1:20" x14ac:dyDescent="0.25">
      <c r="A447" s="5">
        <v>44146</v>
      </c>
      <c r="B447">
        <v>0.23319999999999999</v>
      </c>
      <c r="C447">
        <v>0.24440000000000001</v>
      </c>
      <c r="D447">
        <v>0.22770000000000001</v>
      </c>
      <c r="E447">
        <v>0.23350000000000001</v>
      </c>
      <c r="F447">
        <v>4081956.9</v>
      </c>
      <c r="G447">
        <v>0</v>
      </c>
      <c r="L447" t="s">
        <v>8</v>
      </c>
      <c r="M447" t="s">
        <v>7</v>
      </c>
      <c r="N447" t="s">
        <v>8</v>
      </c>
      <c r="P447">
        <f t="shared" si="974"/>
        <v>-0.30538922155688597</v>
      </c>
      <c r="Q447">
        <f t="shared" si="975"/>
        <v>-1246585.6401197594</v>
      </c>
      <c r="R447">
        <f t="shared" si="976"/>
        <v>-109015534.87164244</v>
      </c>
      <c r="S447">
        <f t="shared" si="977"/>
        <v>-1090.1553487164244</v>
      </c>
      <c r="T447">
        <f t="shared" si="978"/>
        <v>-1.0901553487164244</v>
      </c>
    </row>
    <row r="448" spans="1:20" x14ac:dyDescent="0.25">
      <c r="A448" s="5">
        <v>44145</v>
      </c>
      <c r="B448">
        <v>0.22059999999999999</v>
      </c>
      <c r="C448">
        <v>0.24410000000000001</v>
      </c>
      <c r="D448">
        <v>0.21709999999999999</v>
      </c>
      <c r="E448">
        <v>0.23319999999999999</v>
      </c>
      <c r="F448">
        <v>6189067.1100000003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0.19259259259259176</v>
      </c>
      <c r="Q448">
        <f t="shared" si="975"/>
        <v>1191968.4804444395</v>
      </c>
      <c r="R448">
        <f t="shared" si="976"/>
        <v>-107768949.23152268</v>
      </c>
      <c r="S448">
        <f t="shared" si="977"/>
        <v>-1077.6894923152267</v>
      </c>
      <c r="T448">
        <f t="shared" si="978"/>
        <v>-1.0776894923152267</v>
      </c>
    </row>
    <row r="449" spans="1:20" x14ac:dyDescent="0.25">
      <c r="A449" s="5">
        <v>44144</v>
      </c>
      <c r="B449">
        <v>0.2248</v>
      </c>
      <c r="C449">
        <v>0.23039999999999999</v>
      </c>
      <c r="D449">
        <v>0.21540000000000001</v>
      </c>
      <c r="E449">
        <v>0.2203</v>
      </c>
      <c r="F449">
        <v>2615216.35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-0.34666666666666768</v>
      </c>
      <c r="Q449">
        <f t="shared" si="975"/>
        <v>-906608.33466666937</v>
      </c>
      <c r="R449">
        <f t="shared" si="976"/>
        <v>-108960917.71196713</v>
      </c>
      <c r="S449">
        <f t="shared" si="977"/>
        <v>-1089.6091771196714</v>
      </c>
      <c r="T449">
        <f t="shared" si="978"/>
        <v>-1.0896091771196714</v>
      </c>
    </row>
    <row r="450" spans="1:20" x14ac:dyDescent="0.25">
      <c r="A450" s="5">
        <v>44143</v>
      </c>
      <c r="B450">
        <v>0.2145</v>
      </c>
      <c r="C450">
        <v>0.24</v>
      </c>
      <c r="D450">
        <v>0.2142</v>
      </c>
      <c r="E450">
        <v>0.22359999999999999</v>
      </c>
      <c r="F450">
        <v>2139856.4</v>
      </c>
      <c r="G450">
        <v>0</v>
      </c>
      <c r="L450" t="s">
        <v>8</v>
      </c>
      <c r="M450" t="s">
        <v>7</v>
      </c>
      <c r="N450" t="s">
        <v>8</v>
      </c>
      <c r="P450">
        <f t="shared" si="974"/>
        <v>-0.27131782945736471</v>
      </c>
      <c r="Q450">
        <f t="shared" si="975"/>
        <v>-580581.1937984504</v>
      </c>
      <c r="R450">
        <f t="shared" si="976"/>
        <v>-108054309.37730046</v>
      </c>
      <c r="S450">
        <f t="shared" si="977"/>
        <v>-1080.5430937730046</v>
      </c>
      <c r="T450">
        <f t="shared" si="978"/>
        <v>-1.0805430937730045</v>
      </c>
    </row>
    <row r="451" spans="1:20" x14ac:dyDescent="0.25">
      <c r="A451" s="5">
        <v>44142</v>
      </c>
      <c r="B451">
        <v>0.23419999999999999</v>
      </c>
      <c r="C451">
        <v>0.24399999999999999</v>
      </c>
      <c r="D451">
        <v>0.21029999999999999</v>
      </c>
      <c r="E451">
        <v>0.2145</v>
      </c>
      <c r="F451">
        <v>4186489.88</v>
      </c>
      <c r="G451">
        <v>0</v>
      </c>
      <c r="L451" t="s">
        <v>7</v>
      </c>
      <c r="M451" t="s">
        <v>7</v>
      </c>
      <c r="N451" t="s">
        <v>8</v>
      </c>
      <c r="P451">
        <f t="shared" si="974"/>
        <v>-0.75074183976261077</v>
      </c>
      <c r="Q451">
        <f t="shared" si="975"/>
        <v>-3142973.1146587515</v>
      </c>
      <c r="R451">
        <f t="shared" si="976"/>
        <v>-107473728.183502</v>
      </c>
      <c r="S451">
        <f t="shared" si="977"/>
        <v>-1074.73728183502</v>
      </c>
      <c r="T451">
        <f t="shared" si="978"/>
        <v>-1.07473728183502</v>
      </c>
    </row>
    <row r="452" spans="1:20" x14ac:dyDescent="0.25">
      <c r="A452" s="5">
        <v>44141</v>
      </c>
      <c r="B452">
        <v>0.2029</v>
      </c>
      <c r="C452">
        <v>0.26989999999999997</v>
      </c>
      <c r="D452">
        <v>0.2024</v>
      </c>
      <c r="E452">
        <v>0.2346</v>
      </c>
      <c r="F452">
        <v>5587388.8799999999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-4.5925925925925405E-2</v>
      </c>
      <c r="Q452">
        <f t="shared" si="975"/>
        <v>-256606.00782221931</v>
      </c>
      <c r="R452">
        <f t="shared" si="976"/>
        <v>-104330755.06884325</v>
      </c>
      <c r="S452">
        <f t="shared" si="977"/>
        <v>-1043.3075506884325</v>
      </c>
      <c r="T452">
        <f t="shared" si="978"/>
        <v>-1.0433075506884324</v>
      </c>
    </row>
    <row r="453" spans="1:20" x14ac:dyDescent="0.25">
      <c r="A453" s="5">
        <v>44140</v>
      </c>
      <c r="B453">
        <v>0.20080000000000001</v>
      </c>
      <c r="C453">
        <v>0.21049999999999999</v>
      </c>
      <c r="D453">
        <v>0.1986</v>
      </c>
      <c r="E453">
        <v>0.20319999999999999</v>
      </c>
      <c r="F453">
        <v>1018675.22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-0.22689075630252178</v>
      </c>
      <c r="Q453">
        <f t="shared" si="975"/>
        <v>-231127.99109243776</v>
      </c>
      <c r="R453">
        <f t="shared" si="976"/>
        <v>-104074149.06102103</v>
      </c>
      <c r="S453">
        <f t="shared" si="977"/>
        <v>-1040.7414906102103</v>
      </c>
      <c r="T453">
        <f t="shared" si="978"/>
        <v>-1.0407414906102104</v>
      </c>
    </row>
    <row r="454" spans="1:20" x14ac:dyDescent="0.25">
      <c r="A454" s="5">
        <v>44139</v>
      </c>
      <c r="B454">
        <v>0.2014</v>
      </c>
      <c r="C454">
        <v>0.20949999999999999</v>
      </c>
      <c r="D454">
        <v>0.19600000000000001</v>
      </c>
      <c r="E454">
        <v>0.20080000000000001</v>
      </c>
      <c r="F454">
        <v>603685.91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-0.28888888888888825</v>
      </c>
      <c r="Q454">
        <f t="shared" ref="Q454:Q517" si="980">F454*P454</f>
        <v>-174398.15177777741</v>
      </c>
      <c r="R454">
        <f t="shared" ref="R454:R517" si="981">R455+Q454</f>
        <v>-103843021.06992859</v>
      </c>
      <c r="S454">
        <f t="shared" ref="S454:S517" si="982">R454/100000</f>
        <v>-1038.4302106992859</v>
      </c>
      <c r="T454">
        <f t="shared" ref="T454:T517" si="983">S454/1000</f>
        <v>-1.038430210699286</v>
      </c>
    </row>
    <row r="455" spans="1:20" x14ac:dyDescent="0.25">
      <c r="A455" s="5">
        <v>44138</v>
      </c>
      <c r="B455">
        <v>0.2092</v>
      </c>
      <c r="C455">
        <v>0.22320000000000001</v>
      </c>
      <c r="D455">
        <v>0.19670000000000001</v>
      </c>
      <c r="E455">
        <v>0.2014</v>
      </c>
      <c r="F455">
        <v>1234739.23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-0.64528301886792583</v>
      </c>
      <c r="Q455">
        <f t="shared" si="980"/>
        <v>-796756.25784905825</v>
      </c>
      <c r="R455">
        <f t="shared" si="981"/>
        <v>-103668622.91815081</v>
      </c>
      <c r="S455">
        <f t="shared" si="982"/>
        <v>-1036.6862291815082</v>
      </c>
      <c r="T455">
        <f t="shared" si="983"/>
        <v>-1.0366862291815082</v>
      </c>
    </row>
    <row r="456" spans="1:20" x14ac:dyDescent="0.25">
      <c r="A456" s="5">
        <v>44137</v>
      </c>
      <c r="B456">
        <v>0.2097</v>
      </c>
      <c r="C456">
        <v>0.2155</v>
      </c>
      <c r="D456">
        <v>0.20599999999999999</v>
      </c>
      <c r="E456">
        <v>0.20910000000000001</v>
      </c>
      <c r="F456">
        <v>729135.81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-0.34736842105262805</v>
      </c>
      <c r="Q456">
        <f t="shared" si="980"/>
        <v>-253278.75505262901</v>
      </c>
      <c r="R456">
        <f t="shared" si="981"/>
        <v>-102871866.66030176</v>
      </c>
      <c r="S456">
        <f t="shared" si="982"/>
        <v>-1028.7186666030177</v>
      </c>
      <c r="T456">
        <f t="shared" si="983"/>
        <v>-1.0287186666030177</v>
      </c>
    </row>
    <row r="457" spans="1:20" x14ac:dyDescent="0.25">
      <c r="A457" s="5">
        <v>44136</v>
      </c>
      <c r="B457">
        <v>0.21759999999999999</v>
      </c>
      <c r="C457">
        <v>0.224</v>
      </c>
      <c r="D457">
        <v>0.20480000000000001</v>
      </c>
      <c r="E457">
        <v>0.2109</v>
      </c>
      <c r="F457">
        <v>1048911.6100000001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-0.36458333333333376</v>
      </c>
      <c r="Q457">
        <f t="shared" si="980"/>
        <v>-382415.69114583381</v>
      </c>
      <c r="R457">
        <f t="shared" si="981"/>
        <v>-102618587.90524913</v>
      </c>
      <c r="S457">
        <f t="shared" si="982"/>
        <v>-1026.1858790524914</v>
      </c>
      <c r="T457">
        <f t="shared" si="983"/>
        <v>-1.0261858790524914</v>
      </c>
    </row>
    <row r="458" spans="1:20" x14ac:dyDescent="0.25">
      <c r="A458" s="5">
        <v>44135</v>
      </c>
      <c r="B458">
        <v>0.21149999999999999</v>
      </c>
      <c r="C458">
        <v>0.218</v>
      </c>
      <c r="D458">
        <v>0.20960000000000001</v>
      </c>
      <c r="E458">
        <v>0.218</v>
      </c>
      <c r="F458">
        <v>365819.39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1</v>
      </c>
      <c r="Q458">
        <f t="shared" si="980"/>
        <v>365819.39</v>
      </c>
      <c r="R458">
        <f t="shared" si="981"/>
        <v>-102236172.2141033</v>
      </c>
      <c r="S458">
        <f t="shared" si="982"/>
        <v>-1022.3617221410329</v>
      </c>
      <c r="T458">
        <f t="shared" si="983"/>
        <v>-1.022361722141033</v>
      </c>
    </row>
    <row r="459" spans="1:20" x14ac:dyDescent="0.25">
      <c r="A459" s="5">
        <v>44134</v>
      </c>
      <c r="B459">
        <v>0.21390000000000001</v>
      </c>
      <c r="C459">
        <v>0.218</v>
      </c>
      <c r="D459">
        <v>0.20499999999999999</v>
      </c>
      <c r="E459">
        <v>0.2127</v>
      </c>
      <c r="F459">
        <v>1654699.11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0.18461538461538546</v>
      </c>
      <c r="Q459">
        <f t="shared" si="980"/>
        <v>305482.91261538601</v>
      </c>
      <c r="R459">
        <f t="shared" si="981"/>
        <v>-102601991.6041033</v>
      </c>
      <c r="S459">
        <f t="shared" si="982"/>
        <v>-1026.019916041033</v>
      </c>
      <c r="T459">
        <f t="shared" si="983"/>
        <v>-1.026019916041033</v>
      </c>
    </row>
    <row r="460" spans="1:20" x14ac:dyDescent="0.25">
      <c r="A460" s="5">
        <v>44133</v>
      </c>
      <c r="B460">
        <v>0.2273</v>
      </c>
      <c r="C460">
        <v>0.2311</v>
      </c>
      <c r="D460">
        <v>0.2102</v>
      </c>
      <c r="E460">
        <v>0.21279999999999999</v>
      </c>
      <c r="F460">
        <v>1013847.87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-0.75119617224880464</v>
      </c>
      <c r="Q460">
        <f t="shared" si="980"/>
        <v>-761598.63918660372</v>
      </c>
      <c r="R460">
        <f t="shared" si="981"/>
        <v>-102907474.51671869</v>
      </c>
      <c r="S460">
        <f t="shared" si="982"/>
        <v>-1029.0747451671868</v>
      </c>
      <c r="T460">
        <f t="shared" si="983"/>
        <v>-1.0290747451671869</v>
      </c>
    </row>
    <row r="461" spans="1:20" x14ac:dyDescent="0.25">
      <c r="A461" s="5">
        <v>44132</v>
      </c>
      <c r="B461">
        <v>0.23930000000000001</v>
      </c>
      <c r="C461">
        <v>0.24390000000000001</v>
      </c>
      <c r="D461">
        <v>0.2235</v>
      </c>
      <c r="E461">
        <v>0.2271</v>
      </c>
      <c r="F461">
        <v>1576499.14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-0.64705882352941257</v>
      </c>
      <c r="Q461">
        <f t="shared" si="980"/>
        <v>-1020087.6788235307</v>
      </c>
      <c r="R461">
        <f t="shared" si="981"/>
        <v>-102145875.87753208</v>
      </c>
      <c r="S461">
        <f t="shared" si="982"/>
        <v>-1021.4587587753208</v>
      </c>
      <c r="T461">
        <f t="shared" si="983"/>
        <v>-1.0214587587753208</v>
      </c>
    </row>
    <row r="462" spans="1:20" x14ac:dyDescent="0.25">
      <c r="A462" s="5">
        <v>44131</v>
      </c>
      <c r="B462">
        <v>0.2482</v>
      </c>
      <c r="C462">
        <v>0.25019999999999998</v>
      </c>
      <c r="D462">
        <v>0.23899999999999999</v>
      </c>
      <c r="E462">
        <v>0.2394</v>
      </c>
      <c r="F462">
        <v>561756.31999999995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-0.92857142857142649</v>
      </c>
      <c r="Q462">
        <f t="shared" si="980"/>
        <v>-521630.86857142736</v>
      </c>
      <c r="R462">
        <f t="shared" si="981"/>
        <v>-101125788.19870855</v>
      </c>
      <c r="S462">
        <f t="shared" si="982"/>
        <v>-1011.2578819870855</v>
      </c>
      <c r="T462">
        <f t="shared" si="983"/>
        <v>-1.0112578819870854</v>
      </c>
    </row>
    <row r="463" spans="1:20" x14ac:dyDescent="0.25">
      <c r="A463" s="5">
        <v>44130</v>
      </c>
      <c r="B463">
        <v>0.25440000000000002</v>
      </c>
      <c r="C463">
        <v>0.25729999999999997</v>
      </c>
      <c r="D463">
        <v>0.23669999999999999</v>
      </c>
      <c r="E463">
        <v>0.2485</v>
      </c>
      <c r="F463">
        <v>2054775.55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0.14563106796116668</v>
      </c>
      <c r="Q463">
        <f t="shared" si="980"/>
        <v>299239.15776699362</v>
      </c>
      <c r="R463">
        <f t="shared" si="981"/>
        <v>-100604157.33013712</v>
      </c>
      <c r="S463">
        <f t="shared" si="982"/>
        <v>-1006.0415733013712</v>
      </c>
      <c r="T463">
        <f t="shared" si="983"/>
        <v>-1.0060415733013712</v>
      </c>
    </row>
    <row r="464" spans="1:20" x14ac:dyDescent="0.25">
      <c r="A464" s="5">
        <v>44129</v>
      </c>
      <c r="B464">
        <v>0.24399999999999999</v>
      </c>
      <c r="C464">
        <v>0.27989999999999998</v>
      </c>
      <c r="D464">
        <v>0.24360000000000001</v>
      </c>
      <c r="E464">
        <v>0.25359999999999999</v>
      </c>
      <c r="F464">
        <v>3602299.75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-0.4490358126721769</v>
      </c>
      <c r="Q464">
        <f t="shared" si="980"/>
        <v>-1617561.5957300297</v>
      </c>
      <c r="R464">
        <f t="shared" si="981"/>
        <v>-100903396.48790412</v>
      </c>
      <c r="S464">
        <f t="shared" si="982"/>
        <v>-1009.0339648790412</v>
      </c>
      <c r="T464">
        <f t="shared" si="983"/>
        <v>-1.0090339648790412</v>
      </c>
    </row>
    <row r="465" spans="1:20" x14ac:dyDescent="0.25">
      <c r="A465" s="5">
        <v>44128</v>
      </c>
      <c r="B465">
        <v>0.24249999999999999</v>
      </c>
      <c r="C465">
        <v>0.25009999999999999</v>
      </c>
      <c r="D465">
        <v>0.24099999999999999</v>
      </c>
      <c r="E465">
        <v>0.2442</v>
      </c>
      <c r="F465">
        <v>1164682.77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-0.29670329670329465</v>
      </c>
      <c r="Q465">
        <f t="shared" si="980"/>
        <v>-345565.21747252508</v>
      </c>
      <c r="R465">
        <f t="shared" si="981"/>
        <v>-99285834.89217408</v>
      </c>
      <c r="S465">
        <f t="shared" si="982"/>
        <v>-992.8583489217408</v>
      </c>
      <c r="T465">
        <f t="shared" si="983"/>
        <v>-0.99285834892174085</v>
      </c>
    </row>
    <row r="466" spans="1:20" x14ac:dyDescent="0.25">
      <c r="A466" s="5">
        <v>44127</v>
      </c>
      <c r="B466">
        <v>0.2409</v>
      </c>
      <c r="C466">
        <v>0.252</v>
      </c>
      <c r="D466">
        <v>0.2407</v>
      </c>
      <c r="E466">
        <v>0.24299999999999999</v>
      </c>
      <c r="F466">
        <v>1221523.1499999999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-0.5929203539823017</v>
      </c>
      <c r="Q466">
        <f t="shared" si="980"/>
        <v>-724265.93849557615</v>
      </c>
      <c r="R466">
        <f t="shared" si="981"/>
        <v>-98940269.674701557</v>
      </c>
      <c r="S466">
        <f t="shared" si="982"/>
        <v>-989.40269674701551</v>
      </c>
      <c r="T466">
        <f t="shared" si="983"/>
        <v>-0.98940269674701553</v>
      </c>
    </row>
    <row r="467" spans="1:20" x14ac:dyDescent="0.25">
      <c r="A467" s="5">
        <v>44126</v>
      </c>
      <c r="B467">
        <v>0.23449999999999999</v>
      </c>
      <c r="C467">
        <v>0.25519999999999998</v>
      </c>
      <c r="D467">
        <v>0.23330000000000001</v>
      </c>
      <c r="E467">
        <v>0.2409</v>
      </c>
      <c r="F467">
        <v>2063226.8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-0.30593607305936033</v>
      </c>
      <c r="Q467">
        <f t="shared" si="980"/>
        <v>-631215.50502283021</v>
      </c>
      <c r="R467">
        <f t="shared" si="981"/>
        <v>-98216003.73620598</v>
      </c>
      <c r="S467">
        <f t="shared" si="982"/>
        <v>-982.16003736205982</v>
      </c>
      <c r="T467">
        <f t="shared" si="983"/>
        <v>-0.98216003736205981</v>
      </c>
    </row>
    <row r="468" spans="1:20" x14ac:dyDescent="0.25">
      <c r="A468" s="5">
        <v>44125</v>
      </c>
      <c r="B468">
        <v>0.22700000000000001</v>
      </c>
      <c r="C468">
        <v>0.2581</v>
      </c>
      <c r="D468">
        <v>0.22700000000000001</v>
      </c>
      <c r="E468">
        <v>0.23449999999999999</v>
      </c>
      <c r="F468">
        <v>1519245.48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-0.51768488745980823</v>
      </c>
      <c r="Q468">
        <f t="shared" si="980"/>
        <v>-786490.42533762229</v>
      </c>
      <c r="R468">
        <f t="shared" si="981"/>
        <v>-97584788.231183156</v>
      </c>
      <c r="S468">
        <f t="shared" si="982"/>
        <v>-975.84788231183154</v>
      </c>
      <c r="T468">
        <f t="shared" si="983"/>
        <v>-0.9758478823118315</v>
      </c>
    </row>
    <row r="469" spans="1:20" x14ac:dyDescent="0.25">
      <c r="A469" s="5">
        <v>44124</v>
      </c>
      <c r="B469">
        <v>0.2414</v>
      </c>
      <c r="C469">
        <v>0.2445</v>
      </c>
      <c r="D469">
        <v>0.223</v>
      </c>
      <c r="E469">
        <v>0.22600000000000001</v>
      </c>
      <c r="F469">
        <v>1265767.6299999999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-0.72093023255813915</v>
      </c>
      <c r="Q469">
        <f t="shared" si="980"/>
        <v>-912530.1518604646</v>
      </c>
      <c r="R469">
        <f t="shared" si="981"/>
        <v>-96798297.805845529</v>
      </c>
      <c r="S469">
        <f t="shared" si="982"/>
        <v>-967.98297805845527</v>
      </c>
      <c r="T469">
        <f t="shared" si="983"/>
        <v>-0.96798297805845523</v>
      </c>
    </row>
    <row r="470" spans="1:20" x14ac:dyDescent="0.25">
      <c r="A470" s="5">
        <v>44123</v>
      </c>
      <c r="B470">
        <v>0.2485</v>
      </c>
      <c r="C470">
        <v>0.25</v>
      </c>
      <c r="D470">
        <v>0.24079999999999999</v>
      </c>
      <c r="E470">
        <v>0.24229999999999999</v>
      </c>
      <c r="F470">
        <v>658698.64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-0.67391304347826109</v>
      </c>
      <c r="Q470">
        <f t="shared" si="980"/>
        <v>-443905.60521739145</v>
      </c>
      <c r="R470">
        <f t="shared" si="981"/>
        <v>-95885767.653985068</v>
      </c>
      <c r="S470">
        <f t="shared" si="982"/>
        <v>-958.85767653985067</v>
      </c>
      <c r="T470">
        <f t="shared" si="983"/>
        <v>-0.95885767653985066</v>
      </c>
    </row>
    <row r="471" spans="1:20" x14ac:dyDescent="0.25">
      <c r="A471" s="5">
        <v>44122</v>
      </c>
      <c r="B471">
        <v>0.24690000000000001</v>
      </c>
      <c r="C471">
        <v>0.25090000000000001</v>
      </c>
      <c r="D471">
        <v>0.24349999999999999</v>
      </c>
      <c r="E471">
        <v>0.2477</v>
      </c>
      <c r="F471">
        <v>178429.84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0.13513513513513492</v>
      </c>
      <c r="Q471">
        <f t="shared" si="980"/>
        <v>24112.140540540502</v>
      </c>
      <c r="R471">
        <f t="shared" si="981"/>
        <v>-95441862.048767671</v>
      </c>
      <c r="S471">
        <f t="shared" si="982"/>
        <v>-954.41862048767666</v>
      </c>
      <c r="T471">
        <f t="shared" si="983"/>
        <v>-0.95441862048767667</v>
      </c>
    </row>
    <row r="472" spans="1:20" x14ac:dyDescent="0.25">
      <c r="A472" s="5">
        <v>44121</v>
      </c>
      <c r="B472">
        <v>0.2487</v>
      </c>
      <c r="C472">
        <v>0.25409999999999999</v>
      </c>
      <c r="D472">
        <v>0.24079999999999999</v>
      </c>
      <c r="E472">
        <v>0.24679999999999999</v>
      </c>
      <c r="F472">
        <v>593821.63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-9.7744360902255259E-2</v>
      </c>
      <c r="Q472">
        <f t="shared" si="980"/>
        <v>-58042.715714285492</v>
      </c>
      <c r="R472">
        <f t="shared" si="981"/>
        <v>-95465974.189308211</v>
      </c>
      <c r="S472">
        <f t="shared" si="982"/>
        <v>-954.65974189308213</v>
      </c>
      <c r="T472">
        <f t="shared" si="983"/>
        <v>-0.95465974189308211</v>
      </c>
    </row>
    <row r="473" spans="1:20" x14ac:dyDescent="0.25">
      <c r="A473" s="5">
        <v>44120</v>
      </c>
      <c r="B473">
        <v>0.2472</v>
      </c>
      <c r="C473">
        <v>0.25979999999999998</v>
      </c>
      <c r="D473">
        <v>0.2392</v>
      </c>
      <c r="E473">
        <v>0.24890000000000001</v>
      </c>
      <c r="F473">
        <v>926900.97</v>
      </c>
      <c r="G473">
        <v>0</v>
      </c>
      <c r="L473" t="s">
        <v>8</v>
      </c>
      <c r="M473" t="s">
        <v>7</v>
      </c>
      <c r="N473" t="s">
        <v>7</v>
      </c>
      <c r="P473">
        <f t="shared" si="979"/>
        <v>-5.8252427184463704E-2</v>
      </c>
      <c r="Q473">
        <f t="shared" si="980"/>
        <v>-53994.231262133777</v>
      </c>
      <c r="R473">
        <f t="shared" si="981"/>
        <v>-95407931.47359392</v>
      </c>
      <c r="S473">
        <f t="shared" si="982"/>
        <v>-954.07931473593919</v>
      </c>
      <c r="T473">
        <f t="shared" si="983"/>
        <v>-0.95407931473593921</v>
      </c>
    </row>
    <row r="474" spans="1:20" x14ac:dyDescent="0.25">
      <c r="A474" s="5">
        <v>44119</v>
      </c>
      <c r="B474">
        <v>0.25559999999999999</v>
      </c>
      <c r="C474">
        <v>0.25700000000000001</v>
      </c>
      <c r="D474">
        <v>0.2402</v>
      </c>
      <c r="E474">
        <v>0.2472</v>
      </c>
      <c r="F474">
        <v>3785807.43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-0.16666666666666638</v>
      </c>
      <c r="Q474">
        <f t="shared" si="980"/>
        <v>-630967.90499999898</v>
      </c>
      <c r="R474">
        <f t="shared" si="981"/>
        <v>-95353937.242331788</v>
      </c>
      <c r="S474">
        <f t="shared" si="982"/>
        <v>-953.5393724233179</v>
      </c>
      <c r="T474">
        <f t="shared" si="983"/>
        <v>-0.95353937242331788</v>
      </c>
    </row>
    <row r="475" spans="1:20" x14ac:dyDescent="0.25">
      <c r="A475" s="5">
        <v>44118</v>
      </c>
      <c r="B475">
        <v>0.2636</v>
      </c>
      <c r="C475">
        <v>0.26939999999999997</v>
      </c>
      <c r="D475">
        <v>0.25040000000000001</v>
      </c>
      <c r="E475">
        <v>0.25640000000000002</v>
      </c>
      <c r="F475">
        <v>1307760.29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-0.3684210526315771</v>
      </c>
      <c r="Q475">
        <f t="shared" si="980"/>
        <v>-481806.42263157654</v>
      </c>
      <c r="R475">
        <f t="shared" si="981"/>
        <v>-94722969.337331787</v>
      </c>
      <c r="S475">
        <f t="shared" si="982"/>
        <v>-947.2296933733179</v>
      </c>
      <c r="T475">
        <f t="shared" si="983"/>
        <v>-0.94722969337331786</v>
      </c>
    </row>
    <row r="476" spans="1:20" x14ac:dyDescent="0.25">
      <c r="A476" s="5">
        <v>44117</v>
      </c>
      <c r="B476">
        <v>0.26889999999999997</v>
      </c>
      <c r="C476">
        <v>0.27450000000000002</v>
      </c>
      <c r="D476">
        <v>0.2596</v>
      </c>
      <c r="E476">
        <v>0.26319999999999999</v>
      </c>
      <c r="F476">
        <v>1131082.57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-0.51677852348993469</v>
      </c>
      <c r="Q476">
        <f t="shared" si="980"/>
        <v>-584519.18046980072</v>
      </c>
      <c r="R476">
        <f t="shared" si="981"/>
        <v>-94241162.91470021</v>
      </c>
      <c r="S476">
        <f t="shared" si="982"/>
        <v>-942.41162914700215</v>
      </c>
      <c r="T476">
        <f t="shared" si="983"/>
        <v>-0.94241162914700216</v>
      </c>
    </row>
    <row r="477" spans="1:20" x14ac:dyDescent="0.25">
      <c r="A477" s="5">
        <v>44116</v>
      </c>
      <c r="B477">
        <v>0.2671</v>
      </c>
      <c r="C477">
        <v>0.27979999999999999</v>
      </c>
      <c r="D477">
        <v>0.26350000000000001</v>
      </c>
      <c r="E477">
        <v>0.27039999999999997</v>
      </c>
      <c r="F477">
        <v>1346503.6799999999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-0.15337423312883808</v>
      </c>
      <c r="Q477">
        <f t="shared" si="980"/>
        <v>-206518.96932515837</v>
      </c>
      <c r="R477">
        <f t="shared" si="981"/>
        <v>-93656643.734230414</v>
      </c>
      <c r="S477">
        <f t="shared" si="982"/>
        <v>-936.56643734230408</v>
      </c>
      <c r="T477">
        <f t="shared" si="983"/>
        <v>-0.93656643734230405</v>
      </c>
    </row>
    <row r="478" spans="1:20" x14ac:dyDescent="0.25">
      <c r="A478" s="5">
        <v>44115</v>
      </c>
      <c r="B478">
        <v>0.2676</v>
      </c>
      <c r="C478">
        <v>0.27300000000000002</v>
      </c>
      <c r="D478">
        <v>0.25919999999999999</v>
      </c>
      <c r="E478">
        <v>0.26669999999999999</v>
      </c>
      <c r="F478">
        <v>994811.86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8.6956521739128684E-2</v>
      </c>
      <c r="Q478">
        <f t="shared" si="980"/>
        <v>86505.379130433037</v>
      </c>
      <c r="R478">
        <f t="shared" si="981"/>
        <v>-93450124.764905259</v>
      </c>
      <c r="S478">
        <f t="shared" si="982"/>
        <v>-934.50124764905263</v>
      </c>
      <c r="T478">
        <f t="shared" si="983"/>
        <v>-0.93450124764905262</v>
      </c>
    </row>
    <row r="479" spans="1:20" x14ac:dyDescent="0.25">
      <c r="A479" s="5">
        <v>44114</v>
      </c>
      <c r="B479">
        <v>0.27250000000000002</v>
      </c>
      <c r="C479">
        <v>0.28749999999999998</v>
      </c>
      <c r="D479">
        <v>0.26579999999999998</v>
      </c>
      <c r="E479">
        <v>0.26829999999999998</v>
      </c>
      <c r="F479">
        <v>3180322.38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-0.76958525345622097</v>
      </c>
      <c r="Q479">
        <f t="shared" si="980"/>
        <v>-2447529.2048847917</v>
      </c>
      <c r="R479">
        <f t="shared" si="981"/>
        <v>-93536630.144035697</v>
      </c>
      <c r="S479">
        <f t="shared" si="982"/>
        <v>-935.36630144035701</v>
      </c>
      <c r="T479">
        <f t="shared" si="983"/>
        <v>-0.93536630144035704</v>
      </c>
    </row>
    <row r="480" spans="1:20" x14ac:dyDescent="0.25">
      <c r="A480" s="5">
        <v>44113</v>
      </c>
      <c r="B480">
        <v>0.25140000000000001</v>
      </c>
      <c r="C480">
        <v>0.28000000000000003</v>
      </c>
      <c r="D480">
        <v>0.24829999999999999</v>
      </c>
      <c r="E480">
        <v>0.27300000000000002</v>
      </c>
      <c r="F480">
        <v>4626946.47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0.55835962145110418</v>
      </c>
      <c r="Q480">
        <f t="shared" si="980"/>
        <v>2583500.0794637226</v>
      </c>
      <c r="R480">
        <f t="shared" si="981"/>
        <v>-91089100.9391509</v>
      </c>
      <c r="S480">
        <f t="shared" si="982"/>
        <v>-910.89100939150899</v>
      </c>
      <c r="T480">
        <f t="shared" si="983"/>
        <v>-0.91089100939150902</v>
      </c>
    </row>
    <row r="481" spans="1:20" x14ac:dyDescent="0.25">
      <c r="A481" s="5">
        <v>44112</v>
      </c>
      <c r="B481">
        <v>0.25069999999999998</v>
      </c>
      <c r="C481">
        <v>0.26</v>
      </c>
      <c r="D481">
        <v>0.2409</v>
      </c>
      <c r="E481">
        <v>0.25069999999999998</v>
      </c>
      <c r="F481">
        <v>2057690.87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2.6178010471201298E-2</v>
      </c>
      <c r="Q481">
        <f t="shared" si="980"/>
        <v>53866.253141355315</v>
      </c>
      <c r="R481">
        <f t="shared" si="981"/>
        <v>-93672601.01861462</v>
      </c>
      <c r="S481">
        <f t="shared" si="982"/>
        <v>-936.72601018614625</v>
      </c>
      <c r="T481">
        <f t="shared" si="983"/>
        <v>-0.93672601018614621</v>
      </c>
    </row>
    <row r="482" spans="1:20" x14ac:dyDescent="0.25">
      <c r="A482" s="5">
        <v>44111</v>
      </c>
      <c r="B482">
        <v>0.2457</v>
      </c>
      <c r="C482">
        <v>0.25569999999999998</v>
      </c>
      <c r="D482">
        <v>0.23580000000000001</v>
      </c>
      <c r="E482">
        <v>0.25080000000000002</v>
      </c>
      <c r="F482">
        <v>1840826.54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0.50753768844221447</v>
      </c>
      <c r="Q482">
        <f t="shared" si="980"/>
        <v>934288.84693467966</v>
      </c>
      <c r="R482">
        <f t="shared" si="981"/>
        <v>-93726467.271755978</v>
      </c>
      <c r="S482">
        <f t="shared" si="982"/>
        <v>-937.26467271755973</v>
      </c>
      <c r="T482">
        <f t="shared" si="983"/>
        <v>-0.93726467271755975</v>
      </c>
    </row>
    <row r="483" spans="1:20" x14ac:dyDescent="0.25">
      <c r="A483" s="5">
        <v>44110</v>
      </c>
      <c r="B483">
        <v>0.26919999999999999</v>
      </c>
      <c r="C483">
        <v>0.27700000000000002</v>
      </c>
      <c r="D483">
        <v>0.24099999999999999</v>
      </c>
      <c r="E483">
        <v>0.24560000000000001</v>
      </c>
      <c r="F483">
        <v>2518726.67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-0.74444444444444346</v>
      </c>
      <c r="Q483">
        <f t="shared" si="980"/>
        <v>-1875052.0765555531</v>
      </c>
      <c r="R483">
        <f t="shared" si="981"/>
        <v>-94660756.118690655</v>
      </c>
      <c r="S483">
        <f t="shared" si="982"/>
        <v>-946.60756118690654</v>
      </c>
      <c r="T483">
        <f t="shared" si="983"/>
        <v>-0.94660756118690659</v>
      </c>
    </row>
    <row r="484" spans="1:20" x14ac:dyDescent="0.25">
      <c r="A484" s="5">
        <v>44109</v>
      </c>
      <c r="B484">
        <v>0.26290000000000002</v>
      </c>
      <c r="C484">
        <v>0.28560000000000002</v>
      </c>
      <c r="D484">
        <v>0.26119999999999999</v>
      </c>
      <c r="E484">
        <v>0.2666</v>
      </c>
      <c r="F484">
        <v>2753989.21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-0.55737704918032716</v>
      </c>
      <c r="Q484">
        <f t="shared" si="980"/>
        <v>-1535010.3793442603</v>
      </c>
      <c r="R484">
        <f t="shared" si="981"/>
        <v>-92785704.042135105</v>
      </c>
      <c r="S484">
        <f t="shared" si="982"/>
        <v>-927.85704042135103</v>
      </c>
      <c r="T484">
        <f t="shared" si="983"/>
        <v>-0.92785704042135098</v>
      </c>
    </row>
    <row r="485" spans="1:20" x14ac:dyDescent="0.25">
      <c r="A485" s="5">
        <v>44108</v>
      </c>
      <c r="B485">
        <v>0.2702</v>
      </c>
      <c r="C485">
        <v>0.27189999999999998</v>
      </c>
      <c r="D485">
        <v>0.25879999999999997</v>
      </c>
      <c r="E485">
        <v>0.2626</v>
      </c>
      <c r="F485">
        <v>1660566.86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-0.4198473282442709</v>
      </c>
      <c r="Q485">
        <f t="shared" si="980"/>
        <v>-697184.55954197829</v>
      </c>
      <c r="R485">
        <f t="shared" si="981"/>
        <v>-91250693.66279085</v>
      </c>
      <c r="S485">
        <f t="shared" si="982"/>
        <v>-912.50693662790854</v>
      </c>
      <c r="T485">
        <f t="shared" si="983"/>
        <v>-0.91250693662790849</v>
      </c>
    </row>
    <row r="486" spans="1:20" x14ac:dyDescent="0.25">
      <c r="A486" s="5">
        <v>44107</v>
      </c>
      <c r="B486">
        <v>0.27139999999999997</v>
      </c>
      <c r="C486">
        <v>0.27879999999999999</v>
      </c>
      <c r="D486">
        <v>0.2661</v>
      </c>
      <c r="E486">
        <v>0.27</v>
      </c>
      <c r="F486">
        <v>1205674.76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-0.38582677165354051</v>
      </c>
      <c r="Q486">
        <f t="shared" si="980"/>
        <v>-465181.60031495726</v>
      </c>
      <c r="R486">
        <f t="shared" si="981"/>
        <v>-90553509.103248864</v>
      </c>
      <c r="S486">
        <f t="shared" si="982"/>
        <v>-905.53509103248859</v>
      </c>
      <c r="T486">
        <f t="shared" si="983"/>
        <v>-0.90553509103248864</v>
      </c>
    </row>
    <row r="487" spans="1:20" x14ac:dyDescent="0.25">
      <c r="A487" s="5">
        <v>44106</v>
      </c>
      <c r="B487">
        <v>0.2823</v>
      </c>
      <c r="C487">
        <v>0.28249999999999997</v>
      </c>
      <c r="D487">
        <v>0.25919999999999999</v>
      </c>
      <c r="E487">
        <v>0.27150000000000002</v>
      </c>
      <c r="F487">
        <v>3271094.5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5.579399141631243E-2</v>
      </c>
      <c r="Q487">
        <f t="shared" si="980"/>
        <v>182507.4184549468</v>
      </c>
      <c r="R487">
        <f t="shared" si="981"/>
        <v>-90088327.502933905</v>
      </c>
      <c r="S487">
        <f t="shared" si="982"/>
        <v>-900.88327502933907</v>
      </c>
      <c r="T487">
        <f t="shared" si="983"/>
        <v>-0.90088327502933907</v>
      </c>
    </row>
    <row r="488" spans="1:20" x14ac:dyDescent="0.25">
      <c r="A488" s="5">
        <v>44105</v>
      </c>
      <c r="B488">
        <v>0.29060000000000002</v>
      </c>
      <c r="C488">
        <v>0.30280000000000001</v>
      </c>
      <c r="D488">
        <v>0.2777</v>
      </c>
      <c r="E488">
        <v>0.28270000000000001</v>
      </c>
      <c r="F488">
        <v>3043855.86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-0.60159362549800777</v>
      </c>
      <c r="Q488">
        <f t="shared" si="980"/>
        <v>-1831164.2823107564</v>
      </c>
      <c r="R488">
        <f t="shared" si="981"/>
        <v>-90270834.92138885</v>
      </c>
      <c r="S488">
        <f t="shared" si="982"/>
        <v>-902.70834921388848</v>
      </c>
      <c r="T488">
        <f t="shared" si="983"/>
        <v>-0.90270834921388843</v>
      </c>
    </row>
    <row r="489" spans="1:20" x14ac:dyDescent="0.25">
      <c r="A489" s="5">
        <v>44104</v>
      </c>
      <c r="B489">
        <v>0.29949999999999999</v>
      </c>
      <c r="C489">
        <v>0.30869999999999997</v>
      </c>
      <c r="D489">
        <v>0.28000000000000003</v>
      </c>
      <c r="E489">
        <v>0.29070000000000001</v>
      </c>
      <c r="F489">
        <v>2503323.19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-0.25435540069686363</v>
      </c>
      <c r="Q489">
        <f t="shared" si="980"/>
        <v>-636733.7730662009</v>
      </c>
      <c r="R489">
        <f t="shared" si="981"/>
        <v>-88439670.639078096</v>
      </c>
      <c r="S489">
        <f t="shared" si="982"/>
        <v>-884.39670639078099</v>
      </c>
      <c r="T489">
        <f t="shared" si="983"/>
        <v>-0.88439670639078094</v>
      </c>
    </row>
    <row r="490" spans="1:20" x14ac:dyDescent="0.25">
      <c r="A490" s="5">
        <v>44103</v>
      </c>
      <c r="B490">
        <v>0.31459999999999999</v>
      </c>
      <c r="C490">
        <v>0.32100000000000001</v>
      </c>
      <c r="D490">
        <v>0.28070000000000001</v>
      </c>
      <c r="E490">
        <v>0.2994</v>
      </c>
      <c r="F490">
        <v>2961965.39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-7.1960297766749712E-2</v>
      </c>
      <c r="Q490">
        <f t="shared" si="980"/>
        <v>-213143.91143920695</v>
      </c>
      <c r="R490">
        <f t="shared" si="981"/>
        <v>-87802936.866011888</v>
      </c>
      <c r="S490">
        <f t="shared" si="982"/>
        <v>-878.02936866011885</v>
      </c>
      <c r="T490">
        <f t="shared" si="983"/>
        <v>-0.87802936866011883</v>
      </c>
    </row>
    <row r="491" spans="1:20" x14ac:dyDescent="0.25">
      <c r="A491" s="5">
        <v>44102</v>
      </c>
      <c r="B491">
        <v>0.29459999999999997</v>
      </c>
      <c r="C491">
        <v>0.34029999999999999</v>
      </c>
      <c r="D491">
        <v>0.29330000000000001</v>
      </c>
      <c r="E491">
        <v>0.31409999999999999</v>
      </c>
      <c r="F491">
        <v>5723051.1100000003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-0.11489361702127697</v>
      </c>
      <c r="Q491">
        <f t="shared" si="980"/>
        <v>-657542.04242553411</v>
      </c>
      <c r="R491">
        <f t="shared" si="981"/>
        <v>-87589792.954572678</v>
      </c>
      <c r="S491">
        <f t="shared" si="982"/>
        <v>-875.89792954572681</v>
      </c>
      <c r="T491">
        <f t="shared" si="983"/>
        <v>-0.87589792954572676</v>
      </c>
    </row>
    <row r="492" spans="1:20" x14ac:dyDescent="0.25">
      <c r="A492" s="5">
        <v>44101</v>
      </c>
      <c r="B492">
        <v>0.30649999999999999</v>
      </c>
      <c r="C492">
        <v>0.30790000000000001</v>
      </c>
      <c r="D492">
        <v>0.28849999999999998</v>
      </c>
      <c r="E492">
        <v>0.29459999999999997</v>
      </c>
      <c r="F492">
        <v>1850226.16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-0.37113402061855821</v>
      </c>
      <c r="Q492">
        <f t="shared" si="980"/>
        <v>-686681.87381443579</v>
      </c>
      <c r="R492">
        <f t="shared" si="981"/>
        <v>-86932250.912147149</v>
      </c>
      <c r="S492">
        <f t="shared" si="982"/>
        <v>-869.32250912147151</v>
      </c>
      <c r="T492">
        <f t="shared" si="983"/>
        <v>-0.86932250912147147</v>
      </c>
    </row>
    <row r="493" spans="1:20" x14ac:dyDescent="0.25">
      <c r="A493" s="5">
        <v>44100</v>
      </c>
      <c r="B493">
        <v>0.29920000000000002</v>
      </c>
      <c r="C493">
        <v>0.30759999999999998</v>
      </c>
      <c r="D493">
        <v>0.29220000000000002</v>
      </c>
      <c r="E493">
        <v>0.30680000000000002</v>
      </c>
      <c r="F493">
        <v>1670100.2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0.89610389610390018</v>
      </c>
      <c r="Q493">
        <f t="shared" si="980"/>
        <v>1496583.2961039029</v>
      </c>
      <c r="R493">
        <f t="shared" si="981"/>
        <v>-86245569.038332716</v>
      </c>
      <c r="S493">
        <f t="shared" si="982"/>
        <v>-862.45569038332712</v>
      </c>
      <c r="T493">
        <f t="shared" si="983"/>
        <v>-0.86245569038332714</v>
      </c>
    </row>
    <row r="494" spans="1:20" x14ac:dyDescent="0.25">
      <c r="A494" s="5">
        <v>44099</v>
      </c>
      <c r="B494">
        <v>0.3024</v>
      </c>
      <c r="C494">
        <v>0.33079999999999998</v>
      </c>
      <c r="D494">
        <v>0.28460000000000002</v>
      </c>
      <c r="E494">
        <v>0.29920000000000002</v>
      </c>
      <c r="F494">
        <v>6544071.4400000004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-0.36796536796536738</v>
      </c>
      <c r="Q494">
        <f t="shared" si="980"/>
        <v>-2407991.6554112518</v>
      </c>
      <c r="R494">
        <f t="shared" si="981"/>
        <v>-87742152.334436625</v>
      </c>
      <c r="S494">
        <f t="shared" si="982"/>
        <v>-877.42152334436628</v>
      </c>
      <c r="T494">
        <f t="shared" si="983"/>
        <v>-0.87742152334436629</v>
      </c>
    </row>
    <row r="495" spans="1:20" x14ac:dyDescent="0.25">
      <c r="A495" s="5">
        <v>44098</v>
      </c>
      <c r="B495">
        <v>0.2621</v>
      </c>
      <c r="C495">
        <v>0.30990000000000001</v>
      </c>
      <c r="D495">
        <v>0.2596</v>
      </c>
      <c r="E495">
        <v>0.30130000000000001</v>
      </c>
      <c r="F495">
        <v>4879778.12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0.65805168986083518</v>
      </c>
      <c r="Q495">
        <f t="shared" si="980"/>
        <v>3211146.2380119292</v>
      </c>
      <c r="R495">
        <f t="shared" si="981"/>
        <v>-85334160.679025367</v>
      </c>
      <c r="S495">
        <f t="shared" si="982"/>
        <v>-853.34160679025365</v>
      </c>
      <c r="T495">
        <f t="shared" si="983"/>
        <v>-0.85334160679025362</v>
      </c>
    </row>
    <row r="496" spans="1:20" x14ac:dyDescent="0.25">
      <c r="A496" s="5">
        <v>44097</v>
      </c>
      <c r="B496">
        <v>0.29680000000000001</v>
      </c>
      <c r="C496">
        <v>0.3095</v>
      </c>
      <c r="D496">
        <v>0.2581</v>
      </c>
      <c r="E496">
        <v>0.26240000000000002</v>
      </c>
      <c r="F496">
        <v>6450314.0099999998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-0.83268482490272278</v>
      </c>
      <c r="Q496">
        <f t="shared" si="980"/>
        <v>-5371078.5919844294</v>
      </c>
      <c r="R496">
        <f t="shared" si="981"/>
        <v>-88545306.917037293</v>
      </c>
      <c r="S496">
        <f t="shared" si="982"/>
        <v>-885.45306917037294</v>
      </c>
      <c r="T496">
        <f t="shared" si="983"/>
        <v>-0.88545306917037292</v>
      </c>
    </row>
    <row r="497" spans="1:20" x14ac:dyDescent="0.25">
      <c r="A497" s="5">
        <v>44096</v>
      </c>
      <c r="B497">
        <v>0.36209999999999998</v>
      </c>
      <c r="C497">
        <v>0.37559999999999999</v>
      </c>
      <c r="D497">
        <v>0.2792</v>
      </c>
      <c r="E497">
        <v>0.29599999999999999</v>
      </c>
      <c r="F497">
        <v>22729502.789999999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-0.6514522821576767</v>
      </c>
      <c r="Q497">
        <f t="shared" si="980"/>
        <v>-14807186.464854779</v>
      </c>
      <c r="R497">
        <f t="shared" si="981"/>
        <v>-83174228.325052857</v>
      </c>
      <c r="S497">
        <f t="shared" si="982"/>
        <v>-831.74228325052854</v>
      </c>
      <c r="T497">
        <f t="shared" si="983"/>
        <v>-0.83174228325052857</v>
      </c>
    </row>
    <row r="498" spans="1:20" x14ac:dyDescent="0.25">
      <c r="A498" s="5">
        <v>44095</v>
      </c>
      <c r="B498">
        <v>0.30149999999999999</v>
      </c>
      <c r="C498">
        <v>0.77100000000000002</v>
      </c>
      <c r="D498">
        <v>0.30149999999999999</v>
      </c>
      <c r="E498">
        <v>0.36209999999999998</v>
      </c>
      <c r="F498">
        <v>92157123.609999999</v>
      </c>
      <c r="G498">
        <v>0</v>
      </c>
      <c r="P498">
        <f t="shared" si="979"/>
        <v>-0.74185303514376999</v>
      </c>
      <c r="Q498">
        <f t="shared" si="980"/>
        <v>-68367041.860198081</v>
      </c>
      <c r="R498">
        <f t="shared" si="981"/>
        <v>-68367041.860198081</v>
      </c>
      <c r="S498">
        <f t="shared" si="982"/>
        <v>-683.67041860198083</v>
      </c>
      <c r="T498">
        <f t="shared" si="983"/>
        <v>-0.68367041860198086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X660" sqref="IX66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$A$659</v>
      </c>
      <c r="D111" s="1" t="str">
        <f>ADDRESS(C121-1,D121,1,1)</f>
        <v>$IX$659</v>
      </c>
      <c r="E111"/>
    </row>
    <row r="112" spans="1:5" x14ac:dyDescent="0.25">
      <c r="A112" s="7">
        <v>12164.144957890772</v>
      </c>
      <c r="C112" s="1" t="str">
        <f>ADDRESS(C121,1,1,1)</f>
        <v>$A$660</v>
      </c>
      <c r="D112" s="1" t="str">
        <f>ADDRESS(C121,D121-1,1,1)</f>
        <v>$IW$660</v>
      </c>
      <c r="E112"/>
    </row>
    <row r="113" spans="1:5" x14ac:dyDescent="0.25">
      <c r="A113" s="7">
        <v>11925.63231165762</v>
      </c>
      <c r="C113" s="1" t="str">
        <f>ADDRESS(C121+1,1,1,1)</f>
        <v>$A$661</v>
      </c>
      <c r="D113" s="1" t="str">
        <f>ADDRESS(C121-1,D121+1,1,1)</f>
        <v>$IY$659</v>
      </c>
    </row>
    <row r="114" spans="1:5" x14ac:dyDescent="0.25">
      <c r="A114" s="7">
        <v>11691.796383978059</v>
      </c>
      <c r="C114" s="1" t="str">
        <f>ADDRESS(C121,D121,1,1)</f>
        <v>$IX$660</v>
      </c>
      <c r="D114" s="1" t="str">
        <f>ADDRESS(C121+1,D121+1,1,1)</f>
        <v>$IY$661</v>
      </c>
    </row>
    <row r="115" spans="1:5" x14ac:dyDescent="0.25">
      <c r="A115" s="7">
        <v>11462.545474488292</v>
      </c>
      <c r="C115" s="1" t="str">
        <f>ADDRESS(C121+1,D121,1,1)</f>
        <v>$IX$661</v>
      </c>
    </row>
    <row r="116" spans="1:5" x14ac:dyDescent="0.25">
      <c r="A116" s="7">
        <v>11237.789680870874</v>
      </c>
      <c r="C116" s="1">
        <f>C117-1</f>
        <v>659</v>
      </c>
    </row>
    <row r="117" spans="1:5" x14ac:dyDescent="0.25">
      <c r="A117" s="7">
        <v>11017.440863598895</v>
      </c>
      <c r="C117" s="1">
        <f>C121</f>
        <v>660</v>
      </c>
      <c r="D117" s="1">
        <f>D121</f>
        <v>258</v>
      </c>
    </row>
    <row r="118" spans="1:5" x14ac:dyDescent="0.25">
      <c r="A118" s="7">
        <v>10801.412611371465</v>
      </c>
      <c r="C118" s="1">
        <f>C117+1</f>
        <v>661</v>
      </c>
      <c r="D118" s="1">
        <f>D117+1</f>
        <v>259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660</v>
      </c>
      <c r="D121" s="19">
        <v>258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R660</v>
      </c>
      <c r="D123" s="1" t="str">
        <f>"C"&amp;D121</f>
        <v>C258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0.23560660504047748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112" x14ac:dyDescent="0.25">
      <c r="A577" s="7">
        <v>1.2189944199947573</v>
      </c>
      <c r="B577"/>
      <c r="C577"/>
      <c r="D577"/>
      <c r="E577"/>
    </row>
    <row r="578" spans="1:112" x14ac:dyDescent="0.25">
      <c r="A578" s="7">
        <v>1.1950925686223111</v>
      </c>
      <c r="B578"/>
      <c r="C578"/>
      <c r="D578"/>
      <c r="E578"/>
    </row>
    <row r="579" spans="1:112" x14ac:dyDescent="0.25">
      <c r="A579" s="7">
        <v>1.1716593810022657</v>
      </c>
      <c r="B579"/>
      <c r="C579"/>
      <c r="D579"/>
      <c r="E579"/>
    </row>
    <row r="580" spans="1:112" x14ac:dyDescent="0.25">
      <c r="A580" s="7">
        <v>1.14868566764928</v>
      </c>
      <c r="B580"/>
      <c r="C580"/>
      <c r="D580"/>
      <c r="E580"/>
    </row>
    <row r="581" spans="1:112" x14ac:dyDescent="0.25">
      <c r="A581" s="7">
        <v>1.1261624192640001</v>
      </c>
      <c r="B581"/>
      <c r="C581"/>
      <c r="D581"/>
      <c r="E581"/>
    </row>
    <row r="582" spans="1:112" x14ac:dyDescent="0.25">
      <c r="A582" s="7">
        <v>1.1040808032</v>
      </c>
      <c r="B582"/>
      <c r="C582"/>
      <c r="D582"/>
      <c r="E582"/>
    </row>
    <row r="583" spans="1:112" x14ac:dyDescent="0.25">
      <c r="A583" s="7">
        <v>1.08243216</v>
      </c>
      <c r="B583"/>
      <c r="C583"/>
      <c r="D583"/>
      <c r="E583"/>
    </row>
    <row r="584" spans="1:112" x14ac:dyDescent="0.25">
      <c r="A584" s="7">
        <v>1.0612079999999999</v>
      </c>
      <c r="B584"/>
      <c r="C584"/>
      <c r="D584"/>
      <c r="E584"/>
    </row>
    <row r="585" spans="1:112" x14ac:dyDescent="0.25">
      <c r="A585" s="7">
        <v>1.0404</v>
      </c>
      <c r="B585"/>
      <c r="C585"/>
      <c r="D585"/>
      <c r="E585"/>
    </row>
    <row r="586" spans="1:112" x14ac:dyDescent="0.25">
      <c r="A586" s="7">
        <v>1.02</v>
      </c>
      <c r="B586"/>
      <c r="C586"/>
      <c r="D586"/>
      <c r="E586"/>
      <c r="DG586" s="27" t="s">
        <v>8</v>
      </c>
    </row>
    <row r="587" spans="1:112" x14ac:dyDescent="0.25">
      <c r="A587" s="7">
        <v>1</v>
      </c>
      <c r="B587"/>
      <c r="C587"/>
      <c r="D587"/>
      <c r="E587" s="29" t="s">
        <v>8</v>
      </c>
      <c r="DG587" s="27" t="s">
        <v>8</v>
      </c>
      <c r="DH587" s="27" t="s">
        <v>7</v>
      </c>
    </row>
    <row r="588" spans="1:112" x14ac:dyDescent="0.25">
      <c r="A588" s="7">
        <v>0.98039215686274506</v>
      </c>
      <c r="B588"/>
      <c r="C588"/>
      <c r="D588"/>
      <c r="E588"/>
      <c r="F588" s="27" t="s">
        <v>7</v>
      </c>
      <c r="DG588" s="27" t="s">
        <v>8</v>
      </c>
      <c r="DH588" s="27" t="s">
        <v>7</v>
      </c>
    </row>
    <row r="589" spans="1:112" x14ac:dyDescent="0.25">
      <c r="A589" s="7">
        <v>0.96116878123798544</v>
      </c>
      <c r="B589"/>
      <c r="C589"/>
      <c r="D589"/>
      <c r="E589"/>
      <c r="F589" s="27" t="s">
        <v>7</v>
      </c>
      <c r="DG589" s="27" t="s">
        <v>8</v>
      </c>
      <c r="DH589" s="27" t="s">
        <v>7</v>
      </c>
    </row>
    <row r="590" spans="1:112" x14ac:dyDescent="0.25">
      <c r="A590" s="7">
        <v>0.94232233454704462</v>
      </c>
      <c r="B590"/>
      <c r="C590"/>
      <c r="D590"/>
      <c r="E590"/>
      <c r="F590" s="27" t="s">
        <v>7</v>
      </c>
      <c r="DG590" s="27" t="s">
        <v>8</v>
      </c>
      <c r="DH590" s="27" t="s">
        <v>7</v>
      </c>
    </row>
    <row r="591" spans="1:112" x14ac:dyDescent="0.25">
      <c r="A591" s="7">
        <v>0.92384542602651432</v>
      </c>
      <c r="B591"/>
      <c r="C591"/>
      <c r="D591"/>
      <c r="E591"/>
      <c r="F591" s="27" t="s">
        <v>7</v>
      </c>
      <c r="DG591" s="27" t="s">
        <v>8</v>
      </c>
      <c r="DH591" s="27" t="s">
        <v>7</v>
      </c>
    </row>
    <row r="592" spans="1:112" x14ac:dyDescent="0.25">
      <c r="A592" s="7">
        <v>0.90573080982991594</v>
      </c>
      <c r="B592"/>
      <c r="C592"/>
      <c r="D592"/>
      <c r="E592"/>
      <c r="F592" s="27" t="s">
        <v>7</v>
      </c>
      <c r="CW592" s="27" t="s">
        <v>8</v>
      </c>
      <c r="DG592" s="27" t="s">
        <v>8</v>
      </c>
      <c r="DH592" s="27" t="s">
        <v>7</v>
      </c>
    </row>
    <row r="593" spans="1:230" x14ac:dyDescent="0.25">
      <c r="A593" s="7">
        <v>0.8879713821861922</v>
      </c>
      <c r="B593"/>
      <c r="C593"/>
      <c r="D593"/>
      <c r="E593"/>
      <c r="F593" s="27" t="s">
        <v>7</v>
      </c>
      <c r="CW593" s="27" t="s">
        <v>8</v>
      </c>
      <c r="CX593" s="27" t="s">
        <v>7</v>
      </c>
      <c r="DG593" s="27" t="s">
        <v>8</v>
      </c>
      <c r="DH593" s="27" t="s">
        <v>7</v>
      </c>
    </row>
    <row r="594" spans="1:230" x14ac:dyDescent="0.25">
      <c r="A594" s="7">
        <v>0.87056017861391399</v>
      </c>
      <c r="B594"/>
      <c r="C594"/>
      <c r="D594"/>
      <c r="E594"/>
      <c r="F594" s="27" t="s">
        <v>7</v>
      </c>
      <c r="CW594" s="27" t="s">
        <v>8</v>
      </c>
      <c r="CX594" s="27" t="s">
        <v>7</v>
      </c>
      <c r="DG594" s="27" t="s">
        <v>8</v>
      </c>
      <c r="DH594" s="27" t="s">
        <v>7</v>
      </c>
    </row>
    <row r="595" spans="1:230" x14ac:dyDescent="0.25">
      <c r="A595" s="7">
        <v>0.85349037119011173</v>
      </c>
      <c r="B595"/>
      <c r="C595"/>
      <c r="D595"/>
      <c r="E595"/>
      <c r="F595" s="27" t="s">
        <v>7</v>
      </c>
      <c r="CW595" s="27" t="s">
        <v>8</v>
      </c>
      <c r="CX595" s="27" t="s">
        <v>7</v>
      </c>
      <c r="DG595" s="27" t="s">
        <v>8</v>
      </c>
      <c r="DH595" s="27" t="s">
        <v>7</v>
      </c>
      <c r="DK595" s="27" t="s">
        <v>8</v>
      </c>
    </row>
    <row r="596" spans="1:230" x14ac:dyDescent="0.25">
      <c r="A596" s="7">
        <v>0.83675526587265858</v>
      </c>
      <c r="B596"/>
      <c r="C596"/>
      <c r="D596"/>
      <c r="E596"/>
      <c r="F596" s="27" t="s">
        <v>7</v>
      </c>
      <c r="CW596" s="27" t="s">
        <v>8</v>
      </c>
      <c r="CX596" s="27" t="s">
        <v>7</v>
      </c>
      <c r="CY596" s="27" t="s">
        <v>8</v>
      </c>
      <c r="DG596" s="27" t="s">
        <v>8</v>
      </c>
      <c r="DH596" s="27" t="s">
        <v>7</v>
      </c>
      <c r="DI596" s="27" t="s">
        <v>8</v>
      </c>
      <c r="DK596" s="27" t="s">
        <v>8</v>
      </c>
      <c r="DL596" s="27" t="s">
        <v>7</v>
      </c>
    </row>
    <row r="597" spans="1:230" x14ac:dyDescent="0.25">
      <c r="A597" s="7">
        <v>0.82034829987515545</v>
      </c>
      <c r="B597"/>
      <c r="C597"/>
      <c r="D597"/>
      <c r="E597"/>
      <c r="F597" s="27" t="s">
        <v>7</v>
      </c>
      <c r="CW597" s="27" t="s">
        <v>8</v>
      </c>
      <c r="CX597" s="27" t="s">
        <v>7</v>
      </c>
      <c r="CY597" s="27" t="s">
        <v>8</v>
      </c>
      <c r="CZ597" s="27" t="s">
        <v>7</v>
      </c>
      <c r="DG597" s="27" t="s">
        <v>8</v>
      </c>
      <c r="DH597" s="27" t="s">
        <v>7</v>
      </c>
      <c r="DI597" s="27" t="s">
        <v>8</v>
      </c>
      <c r="DJ597" s="27" t="s">
        <v>7</v>
      </c>
      <c r="DK597" s="27" t="s">
        <v>8</v>
      </c>
      <c r="DL597" s="27" t="s">
        <v>7</v>
      </c>
    </row>
    <row r="598" spans="1:230" x14ac:dyDescent="0.25">
      <c r="A598" s="7">
        <v>0.80426303909328967</v>
      </c>
      <c r="B598"/>
      <c r="C598"/>
      <c r="D598"/>
      <c r="E598"/>
      <c r="F598" s="27" t="s">
        <v>7</v>
      </c>
      <c r="CW598" s="27" t="s">
        <v>8</v>
      </c>
      <c r="CX598" s="27" t="s">
        <v>7</v>
      </c>
      <c r="CY598" s="27" t="s">
        <v>8</v>
      </c>
      <c r="CZ598" s="27" t="s">
        <v>7</v>
      </c>
      <c r="DA598" s="27" t="s">
        <v>8</v>
      </c>
      <c r="DG598" s="27" t="s">
        <v>8</v>
      </c>
      <c r="DH598" s="27" t="s">
        <v>7</v>
      </c>
      <c r="DI598" s="27" t="s">
        <v>8</v>
      </c>
      <c r="DJ598" s="27" t="s">
        <v>7</v>
      </c>
      <c r="DK598" s="27" t="s">
        <v>8</v>
      </c>
      <c r="DL598" s="27" t="s">
        <v>7</v>
      </c>
    </row>
    <row r="599" spans="1:230" x14ac:dyDescent="0.25">
      <c r="A599" s="7">
        <v>0.78849317558165644</v>
      </c>
      <c r="B599"/>
      <c r="C599"/>
      <c r="D599"/>
      <c r="E599"/>
      <c r="F599" s="27" t="s">
        <v>7</v>
      </c>
      <c r="CS599" s="27" t="s">
        <v>8</v>
      </c>
      <c r="CW599" s="27" t="s">
        <v>8</v>
      </c>
      <c r="CX599" s="27" t="s">
        <v>7</v>
      </c>
      <c r="CY599" s="27" t="s">
        <v>8</v>
      </c>
      <c r="CZ599" s="27" t="s">
        <v>7</v>
      </c>
      <c r="DA599" s="27" t="s">
        <v>8</v>
      </c>
      <c r="DB599" s="27" t="s">
        <v>7</v>
      </c>
      <c r="DG599" s="27" t="s">
        <v>8</v>
      </c>
      <c r="DH599" s="27" t="s">
        <v>7</v>
      </c>
      <c r="DI599" s="27" t="s">
        <v>8</v>
      </c>
      <c r="DJ599" s="27" t="s">
        <v>7</v>
      </c>
      <c r="DK599" s="27" t="s">
        <v>8</v>
      </c>
      <c r="DL599" s="27" t="s">
        <v>7</v>
      </c>
    </row>
    <row r="600" spans="1:230" x14ac:dyDescent="0.25">
      <c r="A600" s="7">
        <v>0.77303252508005538</v>
      </c>
      <c r="B600"/>
      <c r="C600"/>
      <c r="D600"/>
      <c r="E600"/>
      <c r="F600" s="27" t="s">
        <v>7</v>
      </c>
      <c r="CC600" s="27" t="s">
        <v>8</v>
      </c>
      <c r="CS600" s="27" t="s">
        <v>8</v>
      </c>
      <c r="CT600" s="27" t="s">
        <v>7</v>
      </c>
      <c r="CW600" s="27" t="s">
        <v>8</v>
      </c>
      <c r="CX600" s="27" t="s">
        <v>7</v>
      </c>
      <c r="CY600" s="27" t="s">
        <v>8</v>
      </c>
      <c r="CZ600" s="27" t="s">
        <v>7</v>
      </c>
      <c r="DA600" s="27" t="s">
        <v>8</v>
      </c>
      <c r="DB600" s="27" t="s">
        <v>7</v>
      </c>
      <c r="DE600" s="27" t="s">
        <v>8</v>
      </c>
      <c r="DG600" s="27" t="s">
        <v>8</v>
      </c>
      <c r="DH600" s="27" t="s">
        <v>7</v>
      </c>
      <c r="DI600" s="27" t="s">
        <v>8</v>
      </c>
      <c r="DJ600" s="27" t="s">
        <v>7</v>
      </c>
      <c r="DK600" s="27" t="s">
        <v>8</v>
      </c>
      <c r="DL600" s="27" t="s">
        <v>7</v>
      </c>
      <c r="HM600" s="27" t="s">
        <v>8</v>
      </c>
      <c r="HS600" s="27" t="s">
        <v>8</v>
      </c>
    </row>
    <row r="601" spans="1:230" x14ac:dyDescent="0.25">
      <c r="A601" s="7">
        <v>0.75787502458828959</v>
      </c>
      <c r="B601"/>
      <c r="C601"/>
      <c r="D601"/>
      <c r="E601"/>
      <c r="F601" s="27" t="s">
        <v>7</v>
      </c>
      <c r="CC601" s="27" t="s">
        <v>8</v>
      </c>
      <c r="CD601" s="27" t="s">
        <v>7</v>
      </c>
      <c r="CS601" s="27" t="s">
        <v>8</v>
      </c>
      <c r="CT601" s="27" t="s">
        <v>7</v>
      </c>
      <c r="CW601" s="27" t="s">
        <v>8</v>
      </c>
      <c r="CX601" s="27" t="s">
        <v>7</v>
      </c>
      <c r="CY601" s="27" t="s">
        <v>8</v>
      </c>
      <c r="CZ601" s="27" t="s">
        <v>7</v>
      </c>
      <c r="DA601" s="27" t="s">
        <v>8</v>
      </c>
      <c r="DB601" s="27" t="s">
        <v>7</v>
      </c>
      <c r="DE601" s="27" t="s">
        <v>8</v>
      </c>
      <c r="DF601" s="27" t="s">
        <v>7</v>
      </c>
      <c r="DG601" s="27" t="s">
        <v>8</v>
      </c>
      <c r="DH601" s="27" t="s">
        <v>7</v>
      </c>
      <c r="DI601" s="27" t="s">
        <v>8</v>
      </c>
      <c r="DJ601" s="27" t="s">
        <v>7</v>
      </c>
      <c r="DK601" s="27" t="s">
        <v>8</v>
      </c>
      <c r="DL601" s="27" t="s">
        <v>7</v>
      </c>
      <c r="HM601" s="27" t="s">
        <v>8</v>
      </c>
      <c r="HN601" s="27" t="s">
        <v>7</v>
      </c>
      <c r="HS601" s="27" t="s">
        <v>8</v>
      </c>
      <c r="HT601" s="27" t="s">
        <v>7</v>
      </c>
    </row>
    <row r="602" spans="1:230" x14ac:dyDescent="0.25">
      <c r="A602" s="7">
        <v>0.74301472998851925</v>
      </c>
      <c r="B602"/>
      <c r="C602"/>
      <c r="D602"/>
      <c r="E602"/>
      <c r="F602" s="27" t="s">
        <v>7</v>
      </c>
      <c r="CC602" s="27" t="s">
        <v>8</v>
      </c>
      <c r="CD602" s="27" t="s">
        <v>7</v>
      </c>
      <c r="CI602" s="27" t="s">
        <v>8</v>
      </c>
      <c r="CS602" s="27" t="s">
        <v>8</v>
      </c>
      <c r="CT602" s="27" t="s">
        <v>7</v>
      </c>
      <c r="CW602" s="27" t="s">
        <v>8</v>
      </c>
      <c r="CX602" s="27" t="s">
        <v>7</v>
      </c>
      <c r="CY602" s="27" t="s">
        <v>8</v>
      </c>
      <c r="CZ602" s="27" t="s">
        <v>7</v>
      </c>
      <c r="DA602" s="27" t="s">
        <v>8</v>
      </c>
      <c r="DB602" s="27" t="s">
        <v>7</v>
      </c>
      <c r="DC602" s="27" t="s">
        <v>8</v>
      </c>
      <c r="DE602" s="27" t="s">
        <v>8</v>
      </c>
      <c r="DF602" s="27" t="s">
        <v>7</v>
      </c>
      <c r="DG602" s="27" t="s">
        <v>8</v>
      </c>
      <c r="DH602" s="27" t="s">
        <v>7</v>
      </c>
      <c r="DI602" s="27" t="s">
        <v>8</v>
      </c>
      <c r="DJ602" s="27" t="s">
        <v>7</v>
      </c>
      <c r="DL602" s="27" t="s">
        <v>7</v>
      </c>
      <c r="DM602" s="27" t="s">
        <v>8</v>
      </c>
      <c r="HM602" s="27" t="s">
        <v>8</v>
      </c>
      <c r="HN602" s="27" t="s">
        <v>7</v>
      </c>
      <c r="HS602" s="27" t="s">
        <v>8</v>
      </c>
      <c r="HT602" s="27" t="s">
        <v>7</v>
      </c>
    </row>
    <row r="603" spans="1:230" x14ac:dyDescent="0.25">
      <c r="A603" s="7">
        <v>0.72844581371423456</v>
      </c>
      <c r="B603"/>
      <c r="C603"/>
      <c r="D603"/>
      <c r="E603"/>
      <c r="F603" s="27" t="s">
        <v>7</v>
      </c>
      <c r="CC603" s="27" t="s">
        <v>8</v>
      </c>
      <c r="CD603" s="27" t="s">
        <v>7</v>
      </c>
      <c r="CI603" s="27" t="s">
        <v>8</v>
      </c>
      <c r="CJ603" s="27" t="s">
        <v>7</v>
      </c>
      <c r="CS603" s="27" t="s">
        <v>8</v>
      </c>
      <c r="CT603" s="27" t="s">
        <v>7</v>
      </c>
      <c r="CW603" s="27" t="s">
        <v>8</v>
      </c>
      <c r="CX603" s="27" t="s">
        <v>7</v>
      </c>
      <c r="CZ603" s="27" t="s">
        <v>7</v>
      </c>
      <c r="DA603" s="27" t="s">
        <v>8</v>
      </c>
      <c r="DB603" s="27" t="s">
        <v>7</v>
      </c>
      <c r="DC603" s="27" t="s">
        <v>8</v>
      </c>
      <c r="DD603" s="27" t="s">
        <v>7</v>
      </c>
      <c r="DE603" s="27" t="s">
        <v>8</v>
      </c>
      <c r="DF603" s="27" t="s">
        <v>7</v>
      </c>
      <c r="DG603" s="27" t="s">
        <v>8</v>
      </c>
      <c r="DH603" s="27" t="s">
        <v>7</v>
      </c>
      <c r="DI603" s="27" t="s">
        <v>8</v>
      </c>
      <c r="DL603" s="27" t="s">
        <v>7</v>
      </c>
      <c r="DM603" s="27" t="s">
        <v>8</v>
      </c>
      <c r="DN603" s="27" t="s">
        <v>7</v>
      </c>
      <c r="DU603" s="27" t="s">
        <v>8</v>
      </c>
      <c r="DW603" s="27" t="s">
        <v>8</v>
      </c>
      <c r="HM603" s="27" t="s">
        <v>8</v>
      </c>
      <c r="HN603" s="27" t="s">
        <v>7</v>
      </c>
      <c r="HS603" s="27" t="s">
        <v>8</v>
      </c>
      <c r="HT603" s="27" t="s">
        <v>7</v>
      </c>
      <c r="HU603" s="27" t="s">
        <v>8</v>
      </c>
    </row>
    <row r="604" spans="1:230" x14ac:dyDescent="0.25">
      <c r="A604" s="7">
        <v>0.71416256246493581</v>
      </c>
      <c r="B604"/>
      <c r="C604"/>
      <c r="D604"/>
      <c r="E604"/>
      <c r="F604" s="27" t="s">
        <v>7</v>
      </c>
      <c r="CC604" s="27" t="s">
        <v>8</v>
      </c>
      <c r="CD604" s="27" t="s">
        <v>7</v>
      </c>
      <c r="CE604" s="27" t="s">
        <v>8</v>
      </c>
      <c r="CI604" s="27" t="s">
        <v>8</v>
      </c>
      <c r="CJ604" s="27" t="s">
        <v>7</v>
      </c>
      <c r="CS604" s="27" t="s">
        <v>8</v>
      </c>
      <c r="CT604" s="27" t="s">
        <v>7</v>
      </c>
      <c r="CW604" s="27" t="s">
        <v>8</v>
      </c>
      <c r="CZ604" s="27" t="s">
        <v>7</v>
      </c>
      <c r="DA604" s="27" t="s">
        <v>8</v>
      </c>
      <c r="DB604" s="27" t="s">
        <v>7</v>
      </c>
      <c r="DC604" s="27" t="s">
        <v>8</v>
      </c>
      <c r="DD604" s="27" t="s">
        <v>7</v>
      </c>
      <c r="DE604" s="27" t="s">
        <v>8</v>
      </c>
      <c r="DF604" s="27" t="s">
        <v>7</v>
      </c>
      <c r="DG604" s="27" t="s">
        <v>8</v>
      </c>
      <c r="DH604" s="27" t="s">
        <v>7</v>
      </c>
      <c r="DI604" s="27" t="s">
        <v>8</v>
      </c>
      <c r="DL604" s="27" t="s">
        <v>7</v>
      </c>
      <c r="DM604" s="27" t="s">
        <v>8</v>
      </c>
      <c r="DN604" s="27" t="s">
        <v>7</v>
      </c>
      <c r="DU604" s="27" t="s">
        <v>8</v>
      </c>
      <c r="DV604" s="27" t="s">
        <v>7</v>
      </c>
      <c r="DW604" s="27" t="s">
        <v>8</v>
      </c>
      <c r="DX604" s="27" t="s">
        <v>7</v>
      </c>
      <c r="HM604" s="27" t="s">
        <v>8</v>
      </c>
      <c r="HN604" s="27" t="s">
        <v>7</v>
      </c>
      <c r="HS604" s="27" t="s">
        <v>8</v>
      </c>
      <c r="HT604" s="27" t="s">
        <v>7</v>
      </c>
      <c r="HU604" s="27" t="s">
        <v>8</v>
      </c>
      <c r="HV604" s="27" t="s">
        <v>7</v>
      </c>
    </row>
    <row r="605" spans="1:230" x14ac:dyDescent="0.25">
      <c r="A605" s="7">
        <v>0.7001593749656233</v>
      </c>
      <c r="B605"/>
      <c r="C605"/>
      <c r="D605"/>
      <c r="E605"/>
      <c r="F605" s="27" t="s">
        <v>7</v>
      </c>
      <c r="CC605" s="27" t="s">
        <v>8</v>
      </c>
      <c r="CD605" s="27" t="s">
        <v>7</v>
      </c>
      <c r="CE605" s="27" t="s">
        <v>8</v>
      </c>
      <c r="CF605" s="27" t="s">
        <v>7</v>
      </c>
      <c r="CI605" s="27" t="s">
        <v>8</v>
      </c>
      <c r="CJ605" s="27" t="s">
        <v>7</v>
      </c>
      <c r="CS605" s="27" t="s">
        <v>8</v>
      </c>
      <c r="CT605" s="27" t="s">
        <v>7</v>
      </c>
      <c r="CW605" s="27" t="s">
        <v>8</v>
      </c>
      <c r="CZ605" s="27" t="s">
        <v>7</v>
      </c>
      <c r="DA605" s="27" t="s">
        <v>8</v>
      </c>
      <c r="DB605" s="27" t="s">
        <v>7</v>
      </c>
      <c r="DC605" s="27" t="s">
        <v>8</v>
      </c>
      <c r="DD605" s="27" t="s">
        <v>7</v>
      </c>
      <c r="DE605" s="27" t="s">
        <v>8</v>
      </c>
      <c r="DF605" s="27" t="s">
        <v>7</v>
      </c>
      <c r="DG605" s="27" t="s">
        <v>8</v>
      </c>
      <c r="DH605" s="27" t="s">
        <v>7</v>
      </c>
      <c r="DL605" s="27" t="s">
        <v>7</v>
      </c>
      <c r="DM605" s="27" t="s">
        <v>8</v>
      </c>
      <c r="DN605" s="27" t="s">
        <v>7</v>
      </c>
      <c r="DO605" s="27" t="s">
        <v>8</v>
      </c>
      <c r="DU605" s="27" t="s">
        <v>8</v>
      </c>
      <c r="DV605" s="27" t="s">
        <v>7</v>
      </c>
      <c r="DW605" s="27" t="s">
        <v>8</v>
      </c>
      <c r="DX605" s="27" t="s">
        <v>7</v>
      </c>
      <c r="HM605" s="27" t="s">
        <v>8</v>
      </c>
      <c r="HN605" s="27" t="s">
        <v>7</v>
      </c>
      <c r="HS605" s="27" t="s">
        <v>8</v>
      </c>
      <c r="HT605" s="27" t="s">
        <v>7</v>
      </c>
      <c r="HU605" s="27" t="s">
        <v>8</v>
      </c>
      <c r="HV605" s="27" t="s">
        <v>7</v>
      </c>
    </row>
    <row r="606" spans="1:230" x14ac:dyDescent="0.25">
      <c r="A606" s="7">
        <v>0.68643075977021883</v>
      </c>
      <c r="B606"/>
      <c r="C606"/>
      <c r="D606"/>
      <c r="E606"/>
      <c r="F606" s="27" t="s">
        <v>7</v>
      </c>
      <c r="CC606" s="27" t="s">
        <v>8</v>
      </c>
      <c r="CD606" s="27" t="s">
        <v>7</v>
      </c>
      <c r="CE606" s="27" t="s">
        <v>8</v>
      </c>
      <c r="CF606" s="27" t="s">
        <v>7</v>
      </c>
      <c r="CI606" s="27" t="s">
        <v>8</v>
      </c>
      <c r="CJ606" s="27" t="s">
        <v>7</v>
      </c>
      <c r="CS606" s="27" t="s">
        <v>8</v>
      </c>
      <c r="CT606" s="27" t="s">
        <v>7</v>
      </c>
      <c r="CW606" s="27" t="s">
        <v>8</v>
      </c>
      <c r="CZ606" s="27" t="s">
        <v>7</v>
      </c>
      <c r="DA606" s="27" t="s">
        <v>8</v>
      </c>
      <c r="DB606" s="27" t="s">
        <v>7</v>
      </c>
      <c r="DC606" s="27" t="s">
        <v>8</v>
      </c>
      <c r="DD606" s="27" t="s">
        <v>7</v>
      </c>
      <c r="DE606" s="27" t="s">
        <v>8</v>
      </c>
      <c r="DF606" s="27" t="s">
        <v>7</v>
      </c>
      <c r="DG606" s="27" t="s">
        <v>8</v>
      </c>
      <c r="DL606" s="27" t="s">
        <v>7</v>
      </c>
      <c r="DM606" s="27" t="s">
        <v>8</v>
      </c>
      <c r="DN606" s="27" t="s">
        <v>7</v>
      </c>
      <c r="DO606" s="27" t="s">
        <v>8</v>
      </c>
      <c r="DP606" s="27" t="s">
        <v>7</v>
      </c>
      <c r="DU606" s="27" t="s">
        <v>8</v>
      </c>
      <c r="DV606" s="27" t="s">
        <v>7</v>
      </c>
      <c r="DW606" s="27" t="s">
        <v>8</v>
      </c>
      <c r="DX606" s="27" t="s">
        <v>7</v>
      </c>
      <c r="HM606" s="27" t="s">
        <v>8</v>
      </c>
      <c r="HN606" s="27" t="s">
        <v>7</v>
      </c>
      <c r="HQ606" s="27" t="s">
        <v>8</v>
      </c>
      <c r="HS606" s="27" t="s">
        <v>8</v>
      </c>
      <c r="HT606" s="27" t="s">
        <v>7</v>
      </c>
      <c r="HU606" s="27" t="s">
        <v>8</v>
      </c>
      <c r="HV606" s="27" t="s">
        <v>7</v>
      </c>
    </row>
    <row r="607" spans="1:230" x14ac:dyDescent="0.25">
      <c r="A607" s="7">
        <v>0.67297133310805768</v>
      </c>
      <c r="B607"/>
      <c r="C607"/>
      <c r="D607"/>
      <c r="E607"/>
      <c r="F607" s="27" t="s">
        <v>7</v>
      </c>
      <c r="CC607" s="27" t="s">
        <v>8</v>
      </c>
      <c r="CD607" s="27" t="s">
        <v>7</v>
      </c>
      <c r="CE607" s="27" t="s">
        <v>8</v>
      </c>
      <c r="CF607" s="27" t="s">
        <v>7</v>
      </c>
      <c r="CI607" s="27" t="s">
        <v>8</v>
      </c>
      <c r="CJ607" s="27" t="s">
        <v>7</v>
      </c>
      <c r="CS607" s="27" t="s">
        <v>8</v>
      </c>
      <c r="CT607" s="27" t="s">
        <v>7</v>
      </c>
      <c r="CU607" s="27" t="s">
        <v>8</v>
      </c>
      <c r="CW607" s="27" t="s">
        <v>8</v>
      </c>
      <c r="CZ607" s="27" t="s">
        <v>7</v>
      </c>
      <c r="DA607" s="27" t="s">
        <v>8</v>
      </c>
      <c r="DB607" s="27" t="s">
        <v>7</v>
      </c>
      <c r="DD607" s="27" t="s">
        <v>7</v>
      </c>
      <c r="DF607" s="27" t="s">
        <v>7</v>
      </c>
      <c r="DL607" s="27" t="s">
        <v>7</v>
      </c>
      <c r="DM607" s="27" t="s">
        <v>8</v>
      </c>
      <c r="DN607" s="27" t="s">
        <v>7</v>
      </c>
      <c r="DO607" s="27" t="s">
        <v>8</v>
      </c>
      <c r="DP607" s="27" t="s">
        <v>7</v>
      </c>
      <c r="DU607" s="27" t="s">
        <v>8</v>
      </c>
      <c r="DV607" s="27" t="s">
        <v>7</v>
      </c>
      <c r="DW607" s="27" t="s">
        <v>8</v>
      </c>
      <c r="DX607" s="27" t="s">
        <v>7</v>
      </c>
      <c r="HC607" s="27" t="s">
        <v>8</v>
      </c>
      <c r="HM607" s="27" t="s">
        <v>8</v>
      </c>
      <c r="HN607" s="27" t="s">
        <v>7</v>
      </c>
      <c r="HQ607" s="27" t="s">
        <v>8</v>
      </c>
      <c r="HR607" s="27" t="s">
        <v>7</v>
      </c>
      <c r="HS607" s="27" t="s">
        <v>8</v>
      </c>
      <c r="HT607" s="27" t="s">
        <v>7</v>
      </c>
      <c r="HU607" s="27" t="s">
        <v>8</v>
      </c>
      <c r="HV607" s="27" t="s">
        <v>7</v>
      </c>
    </row>
    <row r="608" spans="1:230" x14ac:dyDescent="0.25">
      <c r="A608" s="7">
        <v>0.65977581677260566</v>
      </c>
      <c r="B608"/>
      <c r="C608"/>
      <c r="D608"/>
      <c r="E608"/>
      <c r="F608" s="27" t="s">
        <v>7</v>
      </c>
      <c r="CC608" s="27" t="s">
        <v>8</v>
      </c>
      <c r="CD608" s="27" t="s">
        <v>7</v>
      </c>
      <c r="CE608" s="27" t="s">
        <v>8</v>
      </c>
      <c r="CF608" s="27" t="s">
        <v>7</v>
      </c>
      <c r="CI608" s="27" t="s">
        <v>8</v>
      </c>
      <c r="CJ608" s="27" t="s">
        <v>7</v>
      </c>
      <c r="CS608" s="27" t="s">
        <v>8</v>
      </c>
      <c r="CT608" s="27" t="s">
        <v>7</v>
      </c>
      <c r="CU608" s="27" t="s">
        <v>8</v>
      </c>
      <c r="CV608" s="27" t="s">
        <v>7</v>
      </c>
      <c r="CW608" s="27" t="s">
        <v>8</v>
      </c>
      <c r="CZ608" s="27" t="s">
        <v>7</v>
      </c>
      <c r="DA608" s="27" t="s">
        <v>8</v>
      </c>
      <c r="DL608" s="27" t="s">
        <v>7</v>
      </c>
      <c r="DM608" s="27" t="s">
        <v>8</v>
      </c>
      <c r="DN608" s="27" t="s">
        <v>7</v>
      </c>
      <c r="DO608" s="27" t="s">
        <v>8</v>
      </c>
      <c r="DP608" s="27" t="s">
        <v>7</v>
      </c>
      <c r="DS608" s="27" t="s">
        <v>8</v>
      </c>
      <c r="DU608" s="27" t="s">
        <v>8</v>
      </c>
      <c r="DV608" s="27" t="s">
        <v>7</v>
      </c>
      <c r="DW608" s="27" t="s">
        <v>8</v>
      </c>
      <c r="DX608" s="27" t="s">
        <v>7</v>
      </c>
      <c r="DY608" s="27" t="s">
        <v>8</v>
      </c>
      <c r="HC608" s="27" t="s">
        <v>8</v>
      </c>
      <c r="HD608" s="27" t="s">
        <v>7</v>
      </c>
      <c r="HM608" s="27" t="s">
        <v>8</v>
      </c>
      <c r="HN608" s="27" t="s">
        <v>7</v>
      </c>
      <c r="HQ608" s="27" t="s">
        <v>8</v>
      </c>
      <c r="HR608" s="27" t="s">
        <v>7</v>
      </c>
      <c r="HS608" s="27" t="s">
        <v>8</v>
      </c>
      <c r="HT608" s="27" t="s">
        <v>7</v>
      </c>
      <c r="HU608" s="27" t="s">
        <v>8</v>
      </c>
      <c r="HV608" s="27" t="s">
        <v>7</v>
      </c>
    </row>
    <row r="609" spans="1:250" x14ac:dyDescent="0.25">
      <c r="A609" s="7">
        <v>0.64683903605157422</v>
      </c>
      <c r="B609"/>
      <c r="C609"/>
      <c r="D609"/>
      <c r="E609"/>
      <c r="F609" s="27" t="s">
        <v>7</v>
      </c>
      <c r="CC609" s="27" t="s">
        <v>8</v>
      </c>
      <c r="CD609" s="27" t="s">
        <v>7</v>
      </c>
      <c r="CE609" s="27" t="s">
        <v>8</v>
      </c>
      <c r="CF609" s="27" t="s">
        <v>7</v>
      </c>
      <c r="CG609" s="27" t="s">
        <v>8</v>
      </c>
      <c r="CI609" s="27" t="s">
        <v>8</v>
      </c>
      <c r="CJ609" s="27" t="s">
        <v>7</v>
      </c>
      <c r="CS609" s="27" t="s">
        <v>8</v>
      </c>
      <c r="CT609" s="27" t="s">
        <v>7</v>
      </c>
      <c r="CU609" s="27" t="s">
        <v>8</v>
      </c>
      <c r="CV609" s="27" t="s">
        <v>7</v>
      </c>
      <c r="CW609" s="27" t="s">
        <v>8</v>
      </c>
      <c r="CZ609" s="27" t="s">
        <v>7</v>
      </c>
      <c r="DA609" s="27" t="s">
        <v>8</v>
      </c>
      <c r="DL609" s="27" t="s">
        <v>7</v>
      </c>
      <c r="DM609" s="27" t="s">
        <v>8</v>
      </c>
      <c r="DN609" s="27" t="s">
        <v>7</v>
      </c>
      <c r="DO609" s="27" t="s">
        <v>8</v>
      </c>
      <c r="DP609" s="27" t="s">
        <v>7</v>
      </c>
      <c r="DS609" s="27" t="s">
        <v>8</v>
      </c>
      <c r="DT609" s="27" t="s">
        <v>7</v>
      </c>
      <c r="DU609" s="27" t="s">
        <v>8</v>
      </c>
      <c r="DV609" s="27" t="s">
        <v>7</v>
      </c>
      <c r="DW609" s="27" t="s">
        <v>8</v>
      </c>
      <c r="DX609" s="27" t="s">
        <v>7</v>
      </c>
      <c r="DY609" s="27" t="s">
        <v>8</v>
      </c>
      <c r="DZ609" s="27" t="s">
        <v>7</v>
      </c>
      <c r="HC609" s="27" t="s">
        <v>8</v>
      </c>
      <c r="HD609" s="27" t="s">
        <v>7</v>
      </c>
      <c r="HM609" s="27" t="s">
        <v>8</v>
      </c>
      <c r="HN609" s="27" t="s">
        <v>7</v>
      </c>
      <c r="HQ609" s="27" t="s">
        <v>8</v>
      </c>
      <c r="HR609" s="27" t="s">
        <v>7</v>
      </c>
      <c r="HS609" s="27" t="s">
        <v>8</v>
      </c>
      <c r="HT609" s="27" t="s">
        <v>7</v>
      </c>
      <c r="HU609" s="27" t="s">
        <v>8</v>
      </c>
      <c r="HV609" s="27" t="s">
        <v>7</v>
      </c>
    </row>
    <row r="610" spans="1:250" x14ac:dyDescent="0.25">
      <c r="A610" s="7">
        <v>0.63415591769762181</v>
      </c>
      <c r="B610"/>
      <c r="C610"/>
      <c r="D610"/>
      <c r="E610"/>
      <c r="F610" s="27" t="s">
        <v>7</v>
      </c>
      <c r="CC610" s="27" t="s">
        <v>8</v>
      </c>
      <c r="CD610" s="27" t="s">
        <v>7</v>
      </c>
      <c r="CE610" s="27" t="s">
        <v>8</v>
      </c>
      <c r="CF610" s="27" t="s">
        <v>7</v>
      </c>
      <c r="CG610" s="27" t="s">
        <v>8</v>
      </c>
      <c r="CH610" s="27" t="s">
        <v>7</v>
      </c>
      <c r="CI610" s="27" t="s">
        <v>8</v>
      </c>
      <c r="CJ610" s="27" t="s">
        <v>7</v>
      </c>
      <c r="CS610" s="27" t="s">
        <v>8</v>
      </c>
      <c r="CT610" s="27" t="s">
        <v>7</v>
      </c>
      <c r="CU610" s="27" t="s">
        <v>8</v>
      </c>
      <c r="CV610" s="27" t="s">
        <v>7</v>
      </c>
      <c r="CW610" s="27" t="s">
        <v>8</v>
      </c>
      <c r="CZ610" s="27" t="s">
        <v>7</v>
      </c>
      <c r="DA610" s="27" t="s">
        <v>8</v>
      </c>
      <c r="DL610" s="27" t="s">
        <v>7</v>
      </c>
      <c r="DN610" s="27" t="s">
        <v>7</v>
      </c>
      <c r="DO610" s="27" t="s">
        <v>8</v>
      </c>
      <c r="DP610" s="27" t="s">
        <v>7</v>
      </c>
      <c r="DS610" s="27" t="s">
        <v>8</v>
      </c>
      <c r="DT610" s="27" t="s">
        <v>7</v>
      </c>
      <c r="DU610" s="27" t="s">
        <v>8</v>
      </c>
      <c r="DV610" s="27" t="s">
        <v>7</v>
      </c>
      <c r="DW610" s="27" t="s">
        <v>8</v>
      </c>
      <c r="DX610" s="27" t="s">
        <v>7</v>
      </c>
      <c r="DY610" s="27" t="s">
        <v>8</v>
      </c>
      <c r="DZ610" s="27" t="s">
        <v>7</v>
      </c>
      <c r="HC610" s="27" t="s">
        <v>8</v>
      </c>
      <c r="HD610" s="27" t="s">
        <v>7</v>
      </c>
      <c r="HM610" s="27" t="s">
        <v>8</v>
      </c>
      <c r="HN610" s="27" t="s">
        <v>7</v>
      </c>
      <c r="HQ610" s="27" t="s">
        <v>8</v>
      </c>
      <c r="HR610" s="27" t="s">
        <v>7</v>
      </c>
      <c r="HS610" s="27" t="s">
        <v>8</v>
      </c>
      <c r="HT610" s="27" t="s">
        <v>7</v>
      </c>
      <c r="HU610" s="27" t="s">
        <v>8</v>
      </c>
      <c r="HV610" s="27" t="s">
        <v>7</v>
      </c>
    </row>
    <row r="611" spans="1:250" x14ac:dyDescent="0.25">
      <c r="A611" s="7">
        <v>0.62172148793884496</v>
      </c>
      <c r="B611"/>
      <c r="C611"/>
      <c r="D611"/>
      <c r="E611"/>
      <c r="F611" s="27" t="s">
        <v>7</v>
      </c>
      <c r="CC611" s="27" t="s">
        <v>8</v>
      </c>
      <c r="CD611" s="27" t="s">
        <v>7</v>
      </c>
      <c r="CE611" s="27" t="s">
        <v>8</v>
      </c>
      <c r="CF611" s="27" t="s">
        <v>7</v>
      </c>
      <c r="CG611" s="27" t="s">
        <v>8</v>
      </c>
      <c r="CH611" s="27" t="s">
        <v>7</v>
      </c>
      <c r="CI611" s="27" t="s">
        <v>8</v>
      </c>
      <c r="CJ611" s="27" t="s">
        <v>7</v>
      </c>
      <c r="CS611" s="27" t="s">
        <v>8</v>
      </c>
      <c r="CT611" s="27" t="s">
        <v>7</v>
      </c>
      <c r="CU611" s="27" t="s">
        <v>8</v>
      </c>
      <c r="CV611" s="27" t="s">
        <v>7</v>
      </c>
      <c r="CW611" s="27" t="s">
        <v>8</v>
      </c>
      <c r="CZ611" s="27" t="s">
        <v>7</v>
      </c>
      <c r="DA611" s="27" t="s">
        <v>8</v>
      </c>
      <c r="DN611" s="27" t="s">
        <v>7</v>
      </c>
      <c r="DO611" s="27" t="s">
        <v>8</v>
      </c>
      <c r="DP611" s="27" t="s">
        <v>7</v>
      </c>
      <c r="DS611" s="27" t="s">
        <v>8</v>
      </c>
      <c r="DT611" s="27" t="s">
        <v>7</v>
      </c>
      <c r="DU611" s="27" t="s">
        <v>8</v>
      </c>
      <c r="DV611" s="27" t="s">
        <v>7</v>
      </c>
      <c r="DW611" s="27" t="s">
        <v>8</v>
      </c>
      <c r="DX611" s="27" t="s">
        <v>7</v>
      </c>
      <c r="DY611" s="27" t="s">
        <v>8</v>
      </c>
      <c r="DZ611" s="27" t="s">
        <v>7</v>
      </c>
      <c r="HC611" s="27" t="s">
        <v>8</v>
      </c>
      <c r="HD611" s="27" t="s">
        <v>7</v>
      </c>
      <c r="HM611" s="27" t="s">
        <v>8</v>
      </c>
      <c r="HN611" s="27" t="s">
        <v>7</v>
      </c>
      <c r="HQ611" s="27" t="s">
        <v>8</v>
      </c>
      <c r="HR611" s="27" t="s">
        <v>7</v>
      </c>
      <c r="HS611" s="27" t="s">
        <v>8</v>
      </c>
      <c r="HT611" s="27" t="s">
        <v>7</v>
      </c>
      <c r="HU611" s="27" t="s">
        <v>8</v>
      </c>
      <c r="HV611" s="27" t="s">
        <v>7</v>
      </c>
    </row>
    <row r="612" spans="1:250" x14ac:dyDescent="0.25">
      <c r="A612" s="7">
        <v>0.60953087052827937</v>
      </c>
      <c r="B612"/>
      <c r="C612"/>
      <c r="D612"/>
      <c r="E612"/>
      <c r="F612" s="27" t="s">
        <v>7</v>
      </c>
      <c r="CC612" s="27" t="s">
        <v>8</v>
      </c>
      <c r="CD612" s="27" t="s">
        <v>7</v>
      </c>
      <c r="CE612" s="27" t="s">
        <v>8</v>
      </c>
      <c r="CF612" s="27" t="s">
        <v>7</v>
      </c>
      <c r="CG612" s="27" t="s">
        <v>8</v>
      </c>
      <c r="CH612" s="27" t="s">
        <v>7</v>
      </c>
      <c r="CI612" s="27" t="s">
        <v>8</v>
      </c>
      <c r="CJ612" s="27" t="s">
        <v>7</v>
      </c>
      <c r="CQ612" s="27" t="s">
        <v>8</v>
      </c>
      <c r="CS612" s="27" t="s">
        <v>8</v>
      </c>
      <c r="CT612" s="27" t="s">
        <v>7</v>
      </c>
      <c r="CU612" s="27" t="s">
        <v>8</v>
      </c>
      <c r="CV612" s="27" t="s">
        <v>7</v>
      </c>
      <c r="CW612" s="27" t="s">
        <v>8</v>
      </c>
      <c r="CZ612" s="27" t="s">
        <v>7</v>
      </c>
      <c r="DA612" s="27" t="s">
        <v>8</v>
      </c>
      <c r="DN612" s="27" t="s">
        <v>7</v>
      </c>
      <c r="DP612" s="27" t="s">
        <v>7</v>
      </c>
      <c r="DS612" s="27" t="s">
        <v>8</v>
      </c>
      <c r="DT612" s="27" t="s">
        <v>7</v>
      </c>
      <c r="DU612" s="27" t="s">
        <v>8</v>
      </c>
      <c r="DV612" s="27" t="s">
        <v>7</v>
      </c>
      <c r="DW612" s="27" t="s">
        <v>8</v>
      </c>
      <c r="DX612" s="27" t="s">
        <v>7</v>
      </c>
      <c r="DY612" s="27" t="s">
        <v>8</v>
      </c>
      <c r="DZ612" s="27" t="s">
        <v>7</v>
      </c>
      <c r="HC612" s="27" t="s">
        <v>8</v>
      </c>
      <c r="HD612" s="27" t="s">
        <v>7</v>
      </c>
      <c r="HM612" s="27" t="s">
        <v>8</v>
      </c>
      <c r="HN612" s="27" t="s">
        <v>7</v>
      </c>
      <c r="HQ612" s="27" t="s">
        <v>8</v>
      </c>
      <c r="HR612" s="27" t="s">
        <v>7</v>
      </c>
      <c r="HS612" s="27" t="s">
        <v>8</v>
      </c>
      <c r="HT612" s="27" t="s">
        <v>7</v>
      </c>
      <c r="HU612" s="27" t="s">
        <v>8</v>
      </c>
      <c r="HV612" s="27" t="s">
        <v>7</v>
      </c>
    </row>
    <row r="613" spans="1:250" x14ac:dyDescent="0.25">
      <c r="A613" s="7">
        <v>0.59757928483164646</v>
      </c>
      <c r="B613"/>
      <c r="C613"/>
      <c r="D613"/>
      <c r="E613"/>
      <c r="F613" s="27" t="s">
        <v>7</v>
      </c>
      <c r="CC613" s="27" t="s">
        <v>8</v>
      </c>
      <c r="CD613" s="27" t="s">
        <v>7</v>
      </c>
      <c r="CE613" s="27" t="s">
        <v>8</v>
      </c>
      <c r="CF613" s="27" t="s">
        <v>7</v>
      </c>
      <c r="CG613" s="27" t="s">
        <v>8</v>
      </c>
      <c r="CH613" s="27" t="s">
        <v>7</v>
      </c>
      <c r="CI613" s="27" t="s">
        <v>8</v>
      </c>
      <c r="CJ613" s="27" t="s">
        <v>7</v>
      </c>
      <c r="CQ613" s="27" t="s">
        <v>8</v>
      </c>
      <c r="CR613" s="27" t="s">
        <v>7</v>
      </c>
      <c r="CS613" s="27" t="s">
        <v>8</v>
      </c>
      <c r="CT613" s="27" t="s">
        <v>7</v>
      </c>
      <c r="CU613" s="27" t="s">
        <v>8</v>
      </c>
      <c r="CV613" s="27" t="s">
        <v>7</v>
      </c>
      <c r="CW613" s="27" t="s">
        <v>8</v>
      </c>
      <c r="CZ613" s="27" t="s">
        <v>7</v>
      </c>
      <c r="DA613" s="27" t="s">
        <v>8</v>
      </c>
      <c r="DP613" s="27" t="s">
        <v>7</v>
      </c>
      <c r="DS613" s="27" t="s">
        <v>8</v>
      </c>
      <c r="DT613" s="27" t="s">
        <v>7</v>
      </c>
      <c r="DU613" s="27" t="s">
        <v>8</v>
      </c>
      <c r="DV613" s="27" t="s">
        <v>7</v>
      </c>
      <c r="DW613" s="27" t="s">
        <v>8</v>
      </c>
      <c r="DX613" s="27" t="s">
        <v>7</v>
      </c>
      <c r="DY613" s="27" t="s">
        <v>8</v>
      </c>
      <c r="DZ613" s="27" t="s">
        <v>7</v>
      </c>
      <c r="HC613" s="27" t="s">
        <v>8</v>
      </c>
      <c r="HD613" s="27" t="s">
        <v>7</v>
      </c>
      <c r="HM613" s="27" t="s">
        <v>8</v>
      </c>
      <c r="HN613" s="27" t="s">
        <v>7</v>
      </c>
      <c r="HQ613" s="27" t="s">
        <v>8</v>
      </c>
      <c r="HR613" s="27" t="s">
        <v>7</v>
      </c>
      <c r="HS613" s="27" t="s">
        <v>8</v>
      </c>
      <c r="HT613" s="27" t="s">
        <v>7</v>
      </c>
      <c r="HU613" s="27" t="s">
        <v>8</v>
      </c>
      <c r="HV613" s="27" t="s">
        <v>7</v>
      </c>
    </row>
    <row r="614" spans="1:250" x14ac:dyDescent="0.25">
      <c r="A614" s="7">
        <v>0.58586204395259456</v>
      </c>
      <c r="B614"/>
      <c r="C614"/>
      <c r="D614"/>
      <c r="E614"/>
      <c r="F614" s="27" t="s">
        <v>7</v>
      </c>
      <c r="CC614" s="27" t="s">
        <v>8</v>
      </c>
      <c r="CD614" s="27" t="s">
        <v>7</v>
      </c>
      <c r="CF614" s="27" t="s">
        <v>7</v>
      </c>
      <c r="CG614" s="27" t="s">
        <v>8</v>
      </c>
      <c r="CH614" s="27" t="s">
        <v>7</v>
      </c>
      <c r="CJ614" s="27" t="s">
        <v>7</v>
      </c>
      <c r="CQ614" s="27" t="s">
        <v>8</v>
      </c>
      <c r="CR614" s="27" t="s">
        <v>7</v>
      </c>
      <c r="CS614" s="27" t="s">
        <v>8</v>
      </c>
      <c r="CT614" s="27" t="s">
        <v>7</v>
      </c>
      <c r="CU614" s="27" t="s">
        <v>8</v>
      </c>
      <c r="CV614" s="27" t="s">
        <v>7</v>
      </c>
      <c r="CZ614" s="27" t="s">
        <v>7</v>
      </c>
      <c r="DA614" s="27" t="s">
        <v>8</v>
      </c>
      <c r="DP614" s="27" t="s">
        <v>7</v>
      </c>
      <c r="DS614" s="27" t="s">
        <v>8</v>
      </c>
      <c r="DT614" s="27" t="s">
        <v>7</v>
      </c>
      <c r="DV614" s="27" t="s">
        <v>7</v>
      </c>
      <c r="DW614" s="27" t="s">
        <v>8</v>
      </c>
      <c r="DX614" s="27" t="s">
        <v>7</v>
      </c>
      <c r="DY614" s="27" t="s">
        <v>8</v>
      </c>
      <c r="DZ614" s="27" t="s">
        <v>7</v>
      </c>
      <c r="HA614" s="27" t="s">
        <v>8</v>
      </c>
      <c r="HC614" s="27" t="s">
        <v>8</v>
      </c>
      <c r="HD614" s="27" t="s">
        <v>7</v>
      </c>
      <c r="HM614" s="27" t="s">
        <v>8</v>
      </c>
      <c r="HN614" s="27" t="s">
        <v>7</v>
      </c>
      <c r="HQ614" s="27" t="s">
        <v>8</v>
      </c>
      <c r="HR614" s="27" t="s">
        <v>7</v>
      </c>
      <c r="HS614" s="27" t="s">
        <v>8</v>
      </c>
      <c r="HT614" s="27" t="s">
        <v>7</v>
      </c>
      <c r="HV614" s="27" t="s">
        <v>7</v>
      </c>
      <c r="HW614" s="27" t="s">
        <v>8</v>
      </c>
    </row>
    <row r="615" spans="1:250" x14ac:dyDescent="0.25">
      <c r="A615" s="7">
        <v>0.57437455289470052</v>
      </c>
      <c r="B615"/>
      <c r="C615"/>
      <c r="D615"/>
      <c r="E615"/>
      <c r="F615" s="27" t="s">
        <v>7</v>
      </c>
      <c r="CC615" s="27" t="s">
        <v>8</v>
      </c>
      <c r="CF615" s="27" t="s">
        <v>7</v>
      </c>
      <c r="CG615" s="27" t="s">
        <v>8</v>
      </c>
      <c r="CJ615" s="27" t="s">
        <v>7</v>
      </c>
      <c r="CQ615" s="27" t="s">
        <v>8</v>
      </c>
      <c r="CR615" s="27" t="s">
        <v>7</v>
      </c>
      <c r="CS615" s="27" t="s">
        <v>8</v>
      </c>
      <c r="CT615" s="27" t="s">
        <v>7</v>
      </c>
      <c r="CZ615" s="27" t="s">
        <v>7</v>
      </c>
      <c r="DA615" s="27" t="s">
        <v>8</v>
      </c>
      <c r="DP615" s="27" t="s">
        <v>7</v>
      </c>
      <c r="DQ615" s="27" t="s">
        <v>8</v>
      </c>
      <c r="DS615" s="27" t="s">
        <v>8</v>
      </c>
      <c r="DV615" s="27" t="s">
        <v>7</v>
      </c>
      <c r="DX615" s="27" t="s">
        <v>7</v>
      </c>
      <c r="DY615" s="27" t="s">
        <v>8</v>
      </c>
      <c r="DZ615" s="27" t="s">
        <v>7</v>
      </c>
      <c r="HA615" s="27" t="s">
        <v>8</v>
      </c>
      <c r="HB615" s="27" t="s">
        <v>7</v>
      </c>
      <c r="HC615" s="27" t="s">
        <v>8</v>
      </c>
      <c r="HD615" s="27" t="s">
        <v>7</v>
      </c>
      <c r="HM615" s="27" t="s">
        <v>8</v>
      </c>
      <c r="HN615" s="27" t="s">
        <v>7</v>
      </c>
      <c r="HQ615" s="27" t="s">
        <v>8</v>
      </c>
      <c r="HR615" s="27" t="s">
        <v>7</v>
      </c>
      <c r="HS615" s="27" t="s">
        <v>8</v>
      </c>
      <c r="HV615" s="27" t="s">
        <v>7</v>
      </c>
      <c r="HW615" s="27" t="s">
        <v>8</v>
      </c>
      <c r="HX615" s="27" t="s">
        <v>7</v>
      </c>
    </row>
    <row r="616" spans="1:250" x14ac:dyDescent="0.25">
      <c r="A616" s="7">
        <v>0.56311230675951029</v>
      </c>
      <c r="B616"/>
      <c r="C616"/>
      <c r="D616"/>
      <c r="E616"/>
      <c r="F616" s="27" t="s">
        <v>7</v>
      </c>
      <c r="CC616" s="27" t="s">
        <v>8</v>
      </c>
      <c r="CF616" s="27" t="s">
        <v>7</v>
      </c>
      <c r="CJ616" s="27" t="s">
        <v>7</v>
      </c>
      <c r="CQ616" s="27" t="s">
        <v>8</v>
      </c>
      <c r="CR616" s="27" t="s">
        <v>7</v>
      </c>
      <c r="CS616" s="27" t="s">
        <v>8</v>
      </c>
      <c r="CZ616" s="27" t="s">
        <v>7</v>
      </c>
      <c r="DP616" s="27" t="s">
        <v>7</v>
      </c>
      <c r="DQ616" s="27" t="s">
        <v>8</v>
      </c>
      <c r="DR616" s="27" t="s">
        <v>7</v>
      </c>
      <c r="DS616" s="27" t="s">
        <v>8</v>
      </c>
      <c r="DX616" s="27" t="s">
        <v>7</v>
      </c>
      <c r="DY616" s="27" t="s">
        <v>8</v>
      </c>
      <c r="DZ616" s="27" t="s">
        <v>7</v>
      </c>
      <c r="HA616" s="27" t="s">
        <v>8</v>
      </c>
      <c r="HB616" s="27" t="s">
        <v>7</v>
      </c>
      <c r="HC616" s="27" t="s">
        <v>8</v>
      </c>
      <c r="HD616" s="27" t="s">
        <v>7</v>
      </c>
      <c r="HM616" s="27" t="s">
        <v>8</v>
      </c>
      <c r="HN616" s="27" t="s">
        <v>7</v>
      </c>
      <c r="HQ616" s="27" t="s">
        <v>8</v>
      </c>
      <c r="HR616" s="27" t="s">
        <v>7</v>
      </c>
      <c r="HV616" s="27" t="s">
        <v>7</v>
      </c>
      <c r="HW616" s="27" t="s">
        <v>8</v>
      </c>
      <c r="HX616" s="27" t="s">
        <v>7</v>
      </c>
    </row>
    <row r="617" spans="1:250" x14ac:dyDescent="0.25">
      <c r="A617" s="7">
        <v>0.55207088897991208</v>
      </c>
      <c r="B617"/>
      <c r="C617"/>
      <c r="D617"/>
      <c r="E617"/>
      <c r="F617" s="27" t="s">
        <v>7</v>
      </c>
      <c r="CC617" s="27" t="s">
        <v>8</v>
      </c>
      <c r="CJ617" s="27" t="s">
        <v>7</v>
      </c>
      <c r="CQ617" s="27" t="s">
        <v>8</v>
      </c>
      <c r="CR617" s="27" t="s">
        <v>7</v>
      </c>
      <c r="CS617" s="27" t="s">
        <v>8</v>
      </c>
      <c r="DP617" s="27" t="s">
        <v>7</v>
      </c>
      <c r="DQ617" s="27" t="s">
        <v>8</v>
      </c>
      <c r="DR617" s="27" t="s">
        <v>7</v>
      </c>
      <c r="DS617" s="27" t="s">
        <v>8</v>
      </c>
      <c r="DX617" s="27" t="s">
        <v>7</v>
      </c>
      <c r="DY617" s="27" t="s">
        <v>8</v>
      </c>
      <c r="DZ617" s="27" t="s">
        <v>7</v>
      </c>
      <c r="EA617" s="27" t="s">
        <v>8</v>
      </c>
      <c r="HA617" s="27" t="s">
        <v>8</v>
      </c>
      <c r="HB617" s="27" t="s">
        <v>7</v>
      </c>
      <c r="HC617" s="27" t="s">
        <v>8</v>
      </c>
      <c r="HD617" s="27" t="s">
        <v>7</v>
      </c>
      <c r="HM617" s="27" t="s">
        <v>8</v>
      </c>
      <c r="HN617" s="27" t="s">
        <v>7</v>
      </c>
      <c r="HQ617" s="27" t="s">
        <v>8</v>
      </c>
      <c r="HV617" s="27" t="s">
        <v>7</v>
      </c>
      <c r="HW617" s="27" t="s">
        <v>8</v>
      </c>
      <c r="HX617" s="27" t="s">
        <v>7</v>
      </c>
      <c r="HY617" s="27" t="s">
        <v>8</v>
      </c>
    </row>
    <row r="618" spans="1:250" x14ac:dyDescent="0.25">
      <c r="A618" s="7">
        <v>0.54124596958814908</v>
      </c>
      <c r="B618"/>
      <c r="C618"/>
      <c r="D618"/>
      <c r="E618"/>
      <c r="F618" s="27" t="s">
        <v>7</v>
      </c>
      <c r="CC618" s="27" t="s">
        <v>8</v>
      </c>
      <c r="CJ618" s="27" t="s">
        <v>7</v>
      </c>
      <c r="CK618" s="27" t="s">
        <v>8</v>
      </c>
      <c r="CQ618" s="27" t="s">
        <v>8</v>
      </c>
      <c r="CR618" s="27" t="s">
        <v>7</v>
      </c>
      <c r="CS618" s="27" t="s">
        <v>8</v>
      </c>
      <c r="DP618" s="27" t="s">
        <v>7</v>
      </c>
      <c r="DQ618" s="27" t="s">
        <v>8</v>
      </c>
      <c r="DR618" s="27" t="s">
        <v>7</v>
      </c>
      <c r="DS618" s="27" t="s">
        <v>8</v>
      </c>
      <c r="DX618" s="27" t="s">
        <v>7</v>
      </c>
      <c r="DZ618" s="27" t="s">
        <v>7</v>
      </c>
      <c r="EA618" s="27" t="s">
        <v>8</v>
      </c>
      <c r="EB618" s="27" t="s">
        <v>7</v>
      </c>
      <c r="HA618" s="27" t="s">
        <v>8</v>
      </c>
      <c r="HB618" s="27" t="s">
        <v>7</v>
      </c>
      <c r="HC618" s="27" t="s">
        <v>8</v>
      </c>
      <c r="HD618" s="27" t="s">
        <v>7</v>
      </c>
      <c r="HM618" s="27" t="s">
        <v>8</v>
      </c>
      <c r="HN618" s="27" t="s">
        <v>7</v>
      </c>
      <c r="HQ618" s="27" t="s">
        <v>8</v>
      </c>
      <c r="HV618" s="27" t="s">
        <v>7</v>
      </c>
      <c r="HX618" s="27" t="s">
        <v>7</v>
      </c>
      <c r="HY618" s="27" t="s">
        <v>8</v>
      </c>
      <c r="HZ618" s="27" t="s">
        <v>7</v>
      </c>
      <c r="IA618" s="27" t="s">
        <v>8</v>
      </c>
      <c r="IC618" s="27" t="s">
        <v>8</v>
      </c>
    </row>
    <row r="619" spans="1:250" x14ac:dyDescent="0.25">
      <c r="A619" s="7">
        <v>0.53063330351779314</v>
      </c>
      <c r="B619"/>
      <c r="C619"/>
      <c r="D619"/>
      <c r="E619"/>
      <c r="F619" s="27" t="s">
        <v>7</v>
      </c>
      <c r="CC619" s="27" t="s">
        <v>8</v>
      </c>
      <c r="CJ619" s="27" t="s">
        <v>7</v>
      </c>
      <c r="CK619" s="27" t="s">
        <v>8</v>
      </c>
      <c r="CL619" s="27" t="s">
        <v>7</v>
      </c>
      <c r="CQ619" s="27" t="s">
        <v>8</v>
      </c>
      <c r="CR619" s="27" t="s">
        <v>7</v>
      </c>
      <c r="DP619" s="27" t="s">
        <v>7</v>
      </c>
      <c r="DQ619" s="27" t="s">
        <v>8</v>
      </c>
      <c r="DR619" s="27" t="s">
        <v>7</v>
      </c>
      <c r="DS619" s="27" t="s">
        <v>8</v>
      </c>
      <c r="DZ619" s="27" t="s">
        <v>7</v>
      </c>
      <c r="EA619" s="27" t="s">
        <v>8</v>
      </c>
      <c r="EB619" s="27" t="s">
        <v>7</v>
      </c>
      <c r="EE619" s="27" t="s">
        <v>8</v>
      </c>
      <c r="HA619" s="27" t="s">
        <v>8</v>
      </c>
      <c r="HB619" s="27" t="s">
        <v>7</v>
      </c>
      <c r="HC619" s="27" t="s">
        <v>8</v>
      </c>
      <c r="HD619" s="27" t="s">
        <v>7</v>
      </c>
      <c r="HM619" s="27" t="s">
        <v>8</v>
      </c>
      <c r="HN619" s="27" t="s">
        <v>7</v>
      </c>
      <c r="HO619" s="27" t="s">
        <v>8</v>
      </c>
      <c r="HQ619" s="27" t="s">
        <v>8</v>
      </c>
      <c r="HX619" s="27" t="s">
        <v>7</v>
      </c>
      <c r="HY619" s="27" t="s">
        <v>8</v>
      </c>
      <c r="HZ619" s="27" t="s">
        <v>7</v>
      </c>
      <c r="IA619" s="27" t="s">
        <v>8</v>
      </c>
      <c r="IB619" s="27" t="s">
        <v>7</v>
      </c>
      <c r="IC619" s="27" t="s">
        <v>8</v>
      </c>
      <c r="ID619" s="27" t="s">
        <v>7</v>
      </c>
    </row>
    <row r="620" spans="1:250" x14ac:dyDescent="0.25">
      <c r="A620" s="7">
        <v>0.52022872893901284</v>
      </c>
      <c r="B620"/>
      <c r="C620"/>
      <c r="D620"/>
      <c r="E620"/>
      <c r="F620" s="27" t="s">
        <v>7</v>
      </c>
      <c r="CC620" s="27" t="s">
        <v>8</v>
      </c>
      <c r="CJ620" s="27" t="s">
        <v>7</v>
      </c>
      <c r="CK620" s="27" t="s">
        <v>8</v>
      </c>
      <c r="CL620" s="27" t="s">
        <v>7</v>
      </c>
      <c r="CO620" s="27" t="s">
        <v>8</v>
      </c>
      <c r="CQ620" s="27" t="s">
        <v>8</v>
      </c>
      <c r="DP620" s="27" t="s">
        <v>7</v>
      </c>
      <c r="DQ620" s="27" t="s">
        <v>8</v>
      </c>
      <c r="DR620" s="27" t="s">
        <v>7</v>
      </c>
      <c r="DS620" s="27" t="s">
        <v>8</v>
      </c>
      <c r="DZ620" s="27" t="s">
        <v>7</v>
      </c>
      <c r="EB620" s="27" t="s">
        <v>7</v>
      </c>
      <c r="EE620" s="27" t="s">
        <v>8</v>
      </c>
      <c r="EF620" s="27" t="s">
        <v>7</v>
      </c>
      <c r="HA620" s="27" t="s">
        <v>8</v>
      </c>
      <c r="HB620" s="27" t="s">
        <v>7</v>
      </c>
      <c r="HC620" s="27" t="s">
        <v>8</v>
      </c>
      <c r="HD620" s="27" t="s">
        <v>7</v>
      </c>
      <c r="HE620" s="27" t="s">
        <v>8</v>
      </c>
      <c r="HM620" s="27" t="s">
        <v>8</v>
      </c>
      <c r="HN620" s="27" t="s">
        <v>7</v>
      </c>
      <c r="HO620" s="27" t="s">
        <v>8</v>
      </c>
      <c r="HP620" s="27" t="s">
        <v>7</v>
      </c>
      <c r="HQ620" s="27" t="s">
        <v>8</v>
      </c>
      <c r="HX620" s="27" t="s">
        <v>7</v>
      </c>
      <c r="HY620" s="27" t="s">
        <v>8</v>
      </c>
      <c r="HZ620" s="27" t="s">
        <v>7</v>
      </c>
      <c r="IA620" s="27" t="s">
        <v>8</v>
      </c>
      <c r="IB620" s="27" t="s">
        <v>7</v>
      </c>
      <c r="IC620" s="27" t="s">
        <v>8</v>
      </c>
      <c r="ID620" s="27" t="s">
        <v>7</v>
      </c>
    </row>
    <row r="621" spans="1:250" x14ac:dyDescent="0.25">
      <c r="A621" s="7">
        <v>0.51002816562648323</v>
      </c>
      <c r="B621"/>
      <c r="C621"/>
      <c r="D621"/>
      <c r="E621"/>
      <c r="F621" s="27" t="s">
        <v>7</v>
      </c>
      <c r="CC621" s="27" t="s">
        <v>8</v>
      </c>
      <c r="CJ621" s="27" t="s">
        <v>7</v>
      </c>
      <c r="CK621" s="27" t="s">
        <v>8</v>
      </c>
      <c r="CL621" s="27" t="s">
        <v>7</v>
      </c>
      <c r="CO621" s="27" t="s">
        <v>8</v>
      </c>
      <c r="CP621" s="27" t="s">
        <v>7</v>
      </c>
      <c r="CQ621" s="27" t="s">
        <v>8</v>
      </c>
      <c r="DP621" s="27" t="s">
        <v>7</v>
      </c>
      <c r="DR621" s="27" t="s">
        <v>7</v>
      </c>
      <c r="EB621" s="27" t="s">
        <v>7</v>
      </c>
      <c r="EE621" s="27" t="s">
        <v>8</v>
      </c>
      <c r="EF621" s="27" t="s">
        <v>7</v>
      </c>
      <c r="HA621" s="27" t="s">
        <v>8</v>
      </c>
      <c r="HB621" s="27" t="s">
        <v>7</v>
      </c>
      <c r="HC621" s="27" t="s">
        <v>8</v>
      </c>
      <c r="HD621" s="27" t="s">
        <v>7</v>
      </c>
      <c r="HE621" s="27" t="s">
        <v>8</v>
      </c>
      <c r="HF621" s="27" t="s">
        <v>7</v>
      </c>
      <c r="HM621" s="27" t="s">
        <v>8</v>
      </c>
      <c r="HN621" s="27" t="s">
        <v>7</v>
      </c>
      <c r="HO621" s="27" t="s">
        <v>8</v>
      </c>
      <c r="HP621" s="27" t="s">
        <v>7</v>
      </c>
      <c r="HQ621" s="27" t="s">
        <v>8</v>
      </c>
      <c r="HX621" s="27" t="s">
        <v>7</v>
      </c>
      <c r="HY621" s="27" t="s">
        <v>8</v>
      </c>
      <c r="HZ621" s="27" t="s">
        <v>7</v>
      </c>
      <c r="IA621" s="27" t="s">
        <v>8</v>
      </c>
      <c r="IB621" s="27" t="s">
        <v>7</v>
      </c>
      <c r="IC621" s="27" t="s">
        <v>8</v>
      </c>
      <c r="ID621" s="27" t="s">
        <v>7</v>
      </c>
    </row>
    <row r="622" spans="1:250" x14ac:dyDescent="0.25">
      <c r="A622" s="7">
        <v>0.50002761335929735</v>
      </c>
      <c r="B622"/>
      <c r="C622"/>
      <c r="D622"/>
      <c r="E622"/>
      <c r="F622" s="27" t="s">
        <v>7</v>
      </c>
      <c r="AY622" s="27" t="s">
        <v>8</v>
      </c>
      <c r="CC622" s="27" t="s">
        <v>8</v>
      </c>
      <c r="CJ622" s="27" t="s">
        <v>7</v>
      </c>
      <c r="CK622" s="27" t="s">
        <v>8</v>
      </c>
      <c r="CL622" s="27" t="s">
        <v>7</v>
      </c>
      <c r="CO622" s="27" t="s">
        <v>8</v>
      </c>
      <c r="CP622" s="27" t="s">
        <v>7</v>
      </c>
      <c r="CQ622" s="27" t="s">
        <v>8</v>
      </c>
      <c r="EB622" s="27" t="s">
        <v>7</v>
      </c>
      <c r="EC622" s="27" t="s">
        <v>8</v>
      </c>
      <c r="EE622" s="27" t="s">
        <v>8</v>
      </c>
      <c r="EF622" s="27" t="s">
        <v>7</v>
      </c>
      <c r="HA622" s="27" t="s">
        <v>8</v>
      </c>
      <c r="HB622" s="27" t="s">
        <v>7</v>
      </c>
      <c r="HC622" s="27" t="s">
        <v>8</v>
      </c>
      <c r="HD622" s="27" t="s">
        <v>7</v>
      </c>
      <c r="HE622" s="27" t="s">
        <v>8</v>
      </c>
      <c r="HF622" s="27" t="s">
        <v>7</v>
      </c>
      <c r="HM622" s="27" t="s">
        <v>8</v>
      </c>
      <c r="HN622" s="27" t="s">
        <v>7</v>
      </c>
      <c r="HO622" s="27" t="s">
        <v>8</v>
      </c>
      <c r="HP622" s="27" t="s">
        <v>7</v>
      </c>
      <c r="HQ622" s="27" t="s">
        <v>8</v>
      </c>
      <c r="HX622" s="27" t="s">
        <v>7</v>
      </c>
      <c r="HY622" s="27" t="s">
        <v>8</v>
      </c>
      <c r="HZ622" s="27" t="s">
        <v>7</v>
      </c>
      <c r="IA622" s="27" t="s">
        <v>8</v>
      </c>
      <c r="IB622" s="27" t="s">
        <v>7</v>
      </c>
      <c r="IC622" s="27" t="s">
        <v>8</v>
      </c>
      <c r="ID622" s="27" t="s">
        <v>7</v>
      </c>
      <c r="IO622" s="27" t="s">
        <v>8</v>
      </c>
    </row>
    <row r="623" spans="1:250" x14ac:dyDescent="0.25">
      <c r="A623" s="7">
        <v>0.49022315035225228</v>
      </c>
      <c r="B623"/>
      <c r="C623"/>
      <c r="D623"/>
      <c r="E623"/>
      <c r="F623" s="27" t="s">
        <v>7</v>
      </c>
      <c r="AY623" s="27" t="s">
        <v>8</v>
      </c>
      <c r="AZ623" s="27" t="s">
        <v>7</v>
      </c>
      <c r="CC623" s="27" t="s">
        <v>8</v>
      </c>
      <c r="CJ623" s="27" t="s">
        <v>7</v>
      </c>
      <c r="CK623" s="27" t="s">
        <v>8</v>
      </c>
      <c r="CL623" s="27" t="s">
        <v>7</v>
      </c>
      <c r="CM623" s="27" t="s">
        <v>8</v>
      </c>
      <c r="CO623" s="27" t="s">
        <v>8</v>
      </c>
      <c r="CP623" s="27" t="s">
        <v>7</v>
      </c>
      <c r="CQ623" s="27" t="s">
        <v>8</v>
      </c>
      <c r="EB623" s="27" t="s">
        <v>7</v>
      </c>
      <c r="EC623" s="27" t="s">
        <v>8</v>
      </c>
      <c r="ED623" s="27" t="s">
        <v>7</v>
      </c>
      <c r="EE623" s="27" t="s">
        <v>8</v>
      </c>
      <c r="EF623" s="27" t="s">
        <v>7</v>
      </c>
      <c r="EG623" s="27" t="s">
        <v>8</v>
      </c>
      <c r="GG623" s="27" t="s">
        <v>8</v>
      </c>
      <c r="HA623" s="27" t="s">
        <v>8</v>
      </c>
      <c r="HB623" s="27" t="s">
        <v>7</v>
      </c>
      <c r="HC623" s="27" t="s">
        <v>8</v>
      </c>
      <c r="HD623" s="27" t="s">
        <v>7</v>
      </c>
      <c r="HE623" s="27" t="s">
        <v>8</v>
      </c>
      <c r="HF623" s="27" t="s">
        <v>7</v>
      </c>
      <c r="HM623" s="27" t="s">
        <v>8</v>
      </c>
      <c r="HN623" s="27" t="s">
        <v>7</v>
      </c>
      <c r="HO623" s="27" t="s">
        <v>8</v>
      </c>
      <c r="HP623" s="27" t="s">
        <v>7</v>
      </c>
      <c r="HQ623" s="27" t="s">
        <v>8</v>
      </c>
      <c r="HX623" s="27" t="s">
        <v>7</v>
      </c>
      <c r="HZ623" s="27" t="s">
        <v>7</v>
      </c>
      <c r="IA623" s="27" t="s">
        <v>8</v>
      </c>
      <c r="IB623" s="27" t="s">
        <v>7</v>
      </c>
      <c r="IC623" s="27" t="s">
        <v>8</v>
      </c>
      <c r="ID623" s="27" t="s">
        <v>7</v>
      </c>
      <c r="IO623" s="27" t="s">
        <v>8</v>
      </c>
      <c r="IP623" s="27" t="s">
        <v>7</v>
      </c>
    </row>
    <row r="624" spans="1:250" x14ac:dyDescent="0.25">
      <c r="A624" s="7">
        <v>0.48061093171789437</v>
      </c>
      <c r="B624"/>
      <c r="C624"/>
      <c r="D624"/>
      <c r="E624"/>
      <c r="F624" s="27" t="s">
        <v>7</v>
      </c>
      <c r="AY624" s="27" t="s">
        <v>8</v>
      </c>
      <c r="AZ624" s="27" t="s">
        <v>7</v>
      </c>
      <c r="BW624" s="27" t="s">
        <v>8</v>
      </c>
      <c r="CC624" s="27" t="s">
        <v>8</v>
      </c>
      <c r="CJ624" s="27" t="s">
        <v>7</v>
      </c>
      <c r="CK624" s="27" t="s">
        <v>8</v>
      </c>
      <c r="CL624" s="27" t="s">
        <v>7</v>
      </c>
      <c r="CM624" s="27" t="s">
        <v>8</v>
      </c>
      <c r="CN624" s="27" t="s">
        <v>7</v>
      </c>
      <c r="CO624" s="27" t="s">
        <v>8</v>
      </c>
      <c r="CP624" s="27" t="s">
        <v>7</v>
      </c>
      <c r="CQ624" s="27" t="s">
        <v>8</v>
      </c>
      <c r="EB624" s="27" t="s">
        <v>7</v>
      </c>
      <c r="EC624" s="27" t="s">
        <v>8</v>
      </c>
      <c r="ED624" s="27" t="s">
        <v>7</v>
      </c>
      <c r="EE624" s="27" t="s">
        <v>8</v>
      </c>
      <c r="EF624" s="27" t="s">
        <v>7</v>
      </c>
      <c r="EG624" s="27" t="s">
        <v>8</v>
      </c>
      <c r="EH624" s="27" t="s">
        <v>7</v>
      </c>
      <c r="GG624" s="27" t="s">
        <v>8</v>
      </c>
      <c r="GH624" s="27" t="s">
        <v>7</v>
      </c>
      <c r="HA624" s="27" t="s">
        <v>8</v>
      </c>
      <c r="HB624" s="27" t="s">
        <v>7</v>
      </c>
      <c r="HC624" s="27" t="s">
        <v>8</v>
      </c>
      <c r="HD624" s="27" t="s">
        <v>7</v>
      </c>
      <c r="HF624" s="27" t="s">
        <v>7</v>
      </c>
      <c r="HG624" s="27" t="s">
        <v>8</v>
      </c>
      <c r="HM624" s="27" t="s">
        <v>8</v>
      </c>
      <c r="HN624" s="27" t="s">
        <v>7</v>
      </c>
      <c r="HP624" s="27" t="s">
        <v>7</v>
      </c>
      <c r="HZ624" s="27" t="s">
        <v>7</v>
      </c>
      <c r="IA624" s="27" t="s">
        <v>8</v>
      </c>
      <c r="IB624" s="27" t="s">
        <v>7</v>
      </c>
      <c r="IC624" s="27" t="s">
        <v>8</v>
      </c>
      <c r="ID624" s="27" t="s">
        <v>7</v>
      </c>
      <c r="IO624" s="27" t="s">
        <v>8</v>
      </c>
      <c r="IP624" s="27" t="s">
        <v>7</v>
      </c>
    </row>
    <row r="625" spans="1:254" x14ac:dyDescent="0.25">
      <c r="A625" s="7">
        <v>0.47118718795871994</v>
      </c>
      <c r="B625"/>
      <c r="C625"/>
      <c r="D625"/>
      <c r="E625"/>
      <c r="F625" s="27" t="s">
        <v>7</v>
      </c>
      <c r="AY625" s="27" t="s">
        <v>8</v>
      </c>
      <c r="AZ625" s="27" t="s">
        <v>7</v>
      </c>
      <c r="BW625" s="27" t="s">
        <v>8</v>
      </c>
      <c r="BX625" s="27" t="s">
        <v>7</v>
      </c>
      <c r="CA625" s="27" t="s">
        <v>8</v>
      </c>
      <c r="CC625" s="27" t="s">
        <v>8</v>
      </c>
      <c r="CJ625" s="27" t="s">
        <v>7</v>
      </c>
      <c r="CK625" s="27" t="s">
        <v>8</v>
      </c>
      <c r="CL625" s="27" t="s">
        <v>7</v>
      </c>
      <c r="CM625" s="27" t="s">
        <v>8</v>
      </c>
      <c r="CN625" s="27" t="s">
        <v>7</v>
      </c>
      <c r="CO625" s="27" t="s">
        <v>8</v>
      </c>
      <c r="CP625" s="27" t="s">
        <v>7</v>
      </c>
      <c r="CQ625" s="27" t="s">
        <v>8</v>
      </c>
      <c r="EB625" s="27" t="s">
        <v>7</v>
      </c>
      <c r="EC625" s="27" t="s">
        <v>8</v>
      </c>
      <c r="ED625" s="27" t="s">
        <v>7</v>
      </c>
      <c r="EE625" s="27" t="s">
        <v>8</v>
      </c>
      <c r="EF625" s="27" t="s">
        <v>7</v>
      </c>
      <c r="EG625" s="27" t="s">
        <v>8</v>
      </c>
      <c r="EH625" s="27" t="s">
        <v>7</v>
      </c>
      <c r="FY625" s="27" t="s">
        <v>8</v>
      </c>
      <c r="GG625" s="27" t="s">
        <v>8</v>
      </c>
      <c r="GH625" s="27" t="s">
        <v>7</v>
      </c>
      <c r="HA625" s="27" t="s">
        <v>8</v>
      </c>
      <c r="HB625" s="27" t="s">
        <v>7</v>
      </c>
      <c r="HC625" s="27" t="s">
        <v>8</v>
      </c>
      <c r="HF625" s="27" t="s">
        <v>7</v>
      </c>
      <c r="HG625" s="27" t="s">
        <v>8</v>
      </c>
      <c r="HH625" s="27" t="s">
        <v>7</v>
      </c>
      <c r="HM625" s="27" t="s">
        <v>8</v>
      </c>
      <c r="HZ625" s="27" t="s">
        <v>7</v>
      </c>
      <c r="IB625" s="27" t="s">
        <v>7</v>
      </c>
      <c r="ID625" s="27" t="s">
        <v>7</v>
      </c>
      <c r="IO625" s="27" t="s">
        <v>8</v>
      </c>
      <c r="IP625" s="27" t="s">
        <v>7</v>
      </c>
    </row>
    <row r="626" spans="1:254" x14ac:dyDescent="0.25">
      <c r="A626" s="7">
        <v>0.46194822348894116</v>
      </c>
      <c r="B626"/>
      <c r="C626"/>
      <c r="D626"/>
      <c r="E626"/>
      <c r="F626" s="27" t="s">
        <v>7</v>
      </c>
      <c r="AY626" s="27" t="s">
        <v>8</v>
      </c>
      <c r="AZ626" s="27" t="s">
        <v>7</v>
      </c>
      <c r="BW626" s="27" t="s">
        <v>8</v>
      </c>
      <c r="BX626" s="27" t="s">
        <v>7</v>
      </c>
      <c r="CA626" s="27" t="s">
        <v>8</v>
      </c>
      <c r="CB626" s="27" t="s">
        <v>7</v>
      </c>
      <c r="CC626" s="27" t="s">
        <v>8</v>
      </c>
      <c r="CJ626" s="27" t="s">
        <v>7</v>
      </c>
      <c r="CK626" s="27" t="s">
        <v>8</v>
      </c>
      <c r="CL626" s="27" t="s">
        <v>7</v>
      </c>
      <c r="CM626" s="27" t="s">
        <v>8</v>
      </c>
      <c r="CN626" s="27" t="s">
        <v>7</v>
      </c>
      <c r="CO626" s="27" t="s">
        <v>8</v>
      </c>
      <c r="CP626" s="27" t="s">
        <v>7</v>
      </c>
      <c r="EB626" s="27" t="s">
        <v>7</v>
      </c>
      <c r="EC626" s="27" t="s">
        <v>8</v>
      </c>
      <c r="ED626" s="27" t="s">
        <v>7</v>
      </c>
      <c r="EE626" s="27" t="s">
        <v>8</v>
      </c>
      <c r="EF626" s="27" t="s">
        <v>7</v>
      </c>
      <c r="EG626" s="27" t="s">
        <v>8</v>
      </c>
      <c r="EH626" s="27" t="s">
        <v>7</v>
      </c>
      <c r="FY626" s="27" t="s">
        <v>8</v>
      </c>
      <c r="FZ626" s="27" t="s">
        <v>7</v>
      </c>
      <c r="GC626" s="27" t="s">
        <v>8</v>
      </c>
      <c r="GE626" s="27" t="s">
        <v>8</v>
      </c>
      <c r="GG626" s="27" t="s">
        <v>8</v>
      </c>
      <c r="GH626" s="27" t="s">
        <v>7</v>
      </c>
      <c r="HA626" s="27" t="s">
        <v>8</v>
      </c>
      <c r="HB626" s="27" t="s">
        <v>7</v>
      </c>
      <c r="HC626" s="27" t="s">
        <v>8</v>
      </c>
      <c r="HF626" s="27" t="s">
        <v>7</v>
      </c>
      <c r="HG626" s="27" t="s">
        <v>8</v>
      </c>
      <c r="HH626" s="27" t="s">
        <v>7</v>
      </c>
      <c r="HI626" s="27" t="s">
        <v>8</v>
      </c>
      <c r="HM626" s="27" t="s">
        <v>8</v>
      </c>
      <c r="ID626" s="27" t="s">
        <v>7</v>
      </c>
      <c r="IO626" s="27" t="s">
        <v>8</v>
      </c>
      <c r="IP626" s="27" t="s">
        <v>7</v>
      </c>
    </row>
    <row r="627" spans="1:254" x14ac:dyDescent="0.25">
      <c r="A627" s="7">
        <v>0.45289041518523643</v>
      </c>
      <c r="B627"/>
      <c r="C627"/>
      <c r="D627"/>
      <c r="E627"/>
      <c r="F627" s="27" t="s">
        <v>7</v>
      </c>
      <c r="AY627" s="27" t="s">
        <v>8</v>
      </c>
      <c r="AZ627" s="27" t="s">
        <v>7</v>
      </c>
      <c r="BW627" s="27" t="s">
        <v>8</v>
      </c>
      <c r="BX627" s="27" t="s">
        <v>7</v>
      </c>
      <c r="CA627" s="27" t="s">
        <v>8</v>
      </c>
      <c r="CB627" s="27" t="s">
        <v>7</v>
      </c>
      <c r="CC627" s="27" t="s">
        <v>8</v>
      </c>
      <c r="CJ627" s="27" t="s">
        <v>7</v>
      </c>
      <c r="CK627" s="27" t="s">
        <v>8</v>
      </c>
      <c r="CL627" s="27" t="s">
        <v>7</v>
      </c>
      <c r="CM627" s="27" t="s">
        <v>8</v>
      </c>
      <c r="CN627" s="27" t="s">
        <v>7</v>
      </c>
      <c r="CO627" s="27" t="s">
        <v>8</v>
      </c>
      <c r="EB627" s="27" t="s">
        <v>7</v>
      </c>
      <c r="EC627" s="27" t="s">
        <v>8</v>
      </c>
      <c r="ED627" s="27" t="s">
        <v>7</v>
      </c>
      <c r="EE627" s="27" t="s">
        <v>8</v>
      </c>
      <c r="EF627" s="27" t="s">
        <v>7</v>
      </c>
      <c r="EG627" s="27" t="s">
        <v>8</v>
      </c>
      <c r="EH627" s="27" t="s">
        <v>7</v>
      </c>
      <c r="FY627" s="27" t="s">
        <v>8</v>
      </c>
      <c r="FZ627" s="27" t="s">
        <v>7</v>
      </c>
      <c r="GC627" s="27" t="s">
        <v>8</v>
      </c>
      <c r="GD627" s="27" t="s">
        <v>7</v>
      </c>
      <c r="GE627" s="27" t="s">
        <v>8</v>
      </c>
      <c r="GF627" s="27" t="s">
        <v>7</v>
      </c>
      <c r="GG627" s="27" t="s">
        <v>8</v>
      </c>
      <c r="GH627" s="27" t="s">
        <v>7</v>
      </c>
      <c r="HA627" s="27" t="s">
        <v>8</v>
      </c>
      <c r="HB627" s="27" t="s">
        <v>7</v>
      </c>
      <c r="HC627" s="27" t="s">
        <v>8</v>
      </c>
      <c r="HF627" s="27" t="s">
        <v>7</v>
      </c>
      <c r="HG627" s="27" t="s">
        <v>8</v>
      </c>
      <c r="HH627" s="27" t="s">
        <v>7</v>
      </c>
      <c r="HI627" s="27" t="s">
        <v>8</v>
      </c>
      <c r="HJ627" s="27" t="s">
        <v>7</v>
      </c>
      <c r="HM627" s="27" t="s">
        <v>8</v>
      </c>
      <c r="ID627" s="27" t="s">
        <v>7</v>
      </c>
      <c r="II627" s="27" t="s">
        <v>8</v>
      </c>
      <c r="IO627" s="27" t="s">
        <v>8</v>
      </c>
      <c r="IP627" s="27" t="s">
        <v>7</v>
      </c>
    </row>
    <row r="628" spans="1:254" x14ac:dyDescent="0.25">
      <c r="A628" s="7">
        <v>0.44401021096591808</v>
      </c>
      <c r="B628"/>
      <c r="C628"/>
      <c r="D628"/>
      <c r="E628"/>
      <c r="F628" s="27" t="s">
        <v>7</v>
      </c>
      <c r="AY628" s="27" t="s">
        <v>8</v>
      </c>
      <c r="AZ628" s="27" t="s">
        <v>7</v>
      </c>
      <c r="BW628" s="27" t="s">
        <v>8</v>
      </c>
      <c r="BX628" s="27" t="s">
        <v>7</v>
      </c>
      <c r="CA628" s="27" t="s">
        <v>8</v>
      </c>
      <c r="CB628" s="27" t="s">
        <v>7</v>
      </c>
      <c r="CC628" s="27" t="s">
        <v>8</v>
      </c>
      <c r="CJ628" s="27" t="s">
        <v>7</v>
      </c>
      <c r="CL628" s="27" t="s">
        <v>7</v>
      </c>
      <c r="CM628" s="27" t="s">
        <v>8</v>
      </c>
      <c r="CN628" s="27" t="s">
        <v>7</v>
      </c>
      <c r="CO628" s="27" t="s">
        <v>8</v>
      </c>
      <c r="EB628" s="27" t="s">
        <v>7</v>
      </c>
      <c r="EC628" s="27" t="s">
        <v>8</v>
      </c>
      <c r="ED628" s="27" t="s">
        <v>7</v>
      </c>
      <c r="EE628" s="27" t="s">
        <v>8</v>
      </c>
      <c r="EF628" s="27" t="s">
        <v>7</v>
      </c>
      <c r="EG628" s="27" t="s">
        <v>8</v>
      </c>
      <c r="EH628" s="27" t="s">
        <v>7</v>
      </c>
      <c r="FY628" s="27" t="s">
        <v>8</v>
      </c>
      <c r="FZ628" s="27" t="s">
        <v>7</v>
      </c>
      <c r="GC628" s="27" t="s">
        <v>8</v>
      </c>
      <c r="GD628" s="27" t="s">
        <v>7</v>
      </c>
      <c r="GE628" s="27" t="s">
        <v>8</v>
      </c>
      <c r="GF628" s="27" t="s">
        <v>7</v>
      </c>
      <c r="GG628" s="27" t="s">
        <v>8</v>
      </c>
      <c r="GH628" s="27" t="s">
        <v>7</v>
      </c>
      <c r="HA628" s="27" t="s">
        <v>8</v>
      </c>
      <c r="HB628" s="27" t="s">
        <v>7</v>
      </c>
      <c r="HC628" s="27" t="s">
        <v>8</v>
      </c>
      <c r="HF628" s="27" t="s">
        <v>7</v>
      </c>
      <c r="HH628" s="27" t="s">
        <v>7</v>
      </c>
      <c r="HI628" s="27" t="s">
        <v>8</v>
      </c>
      <c r="HJ628" s="27" t="s">
        <v>7</v>
      </c>
      <c r="HM628" s="27" t="s">
        <v>8</v>
      </c>
      <c r="ID628" s="27" t="s">
        <v>7</v>
      </c>
      <c r="II628" s="27" t="s">
        <v>8</v>
      </c>
      <c r="IJ628" s="27" t="s">
        <v>7</v>
      </c>
      <c r="IO628" s="27" t="s">
        <v>8</v>
      </c>
      <c r="IP628" s="27" t="s">
        <v>7</v>
      </c>
    </row>
    <row r="629" spans="1:254" x14ac:dyDescent="0.25">
      <c r="A629" s="7">
        <v>0.4353041283979589</v>
      </c>
      <c r="B629"/>
      <c r="C629"/>
      <c r="D629"/>
      <c r="E629"/>
      <c r="F629" s="27" t="s">
        <v>7</v>
      </c>
      <c r="AY629" s="27" t="s">
        <v>8</v>
      </c>
      <c r="AZ629" s="27" t="s">
        <v>7</v>
      </c>
      <c r="BW629" s="27" t="s">
        <v>8</v>
      </c>
      <c r="BX629" s="27" t="s">
        <v>7</v>
      </c>
      <c r="CA629" s="27" t="s">
        <v>8</v>
      </c>
      <c r="CB629" s="27" t="s">
        <v>7</v>
      </c>
      <c r="CC629" s="27" t="s">
        <v>8</v>
      </c>
      <c r="CL629" s="27" t="s">
        <v>7</v>
      </c>
      <c r="CM629" s="27" t="s">
        <v>8</v>
      </c>
      <c r="CN629" s="27" t="s">
        <v>7</v>
      </c>
      <c r="CO629" s="27" t="s">
        <v>8</v>
      </c>
      <c r="EB629" s="27" t="s">
        <v>7</v>
      </c>
      <c r="EC629" s="27" t="s">
        <v>8</v>
      </c>
      <c r="ED629" s="27" t="s">
        <v>7</v>
      </c>
      <c r="EE629" s="27" t="s">
        <v>8</v>
      </c>
      <c r="EF629" s="27" t="s">
        <v>7</v>
      </c>
      <c r="EH629" s="27" t="s">
        <v>7</v>
      </c>
      <c r="FY629" s="27" t="s">
        <v>8</v>
      </c>
      <c r="FZ629" s="27" t="s">
        <v>7</v>
      </c>
      <c r="GA629" s="27" t="s">
        <v>8</v>
      </c>
      <c r="GC629" s="27" t="s">
        <v>8</v>
      </c>
      <c r="GD629" s="27" t="s">
        <v>7</v>
      </c>
      <c r="GE629" s="27" t="s">
        <v>8</v>
      </c>
      <c r="GF629" s="27" t="s">
        <v>7</v>
      </c>
      <c r="GG629" s="27" t="s">
        <v>8</v>
      </c>
      <c r="GH629" s="27" t="s">
        <v>7</v>
      </c>
      <c r="HA629" s="27" t="s">
        <v>8</v>
      </c>
      <c r="HB629" s="27" t="s">
        <v>7</v>
      </c>
      <c r="HC629" s="27" t="s">
        <v>8</v>
      </c>
      <c r="HH629" s="27" t="s">
        <v>7</v>
      </c>
      <c r="HJ629" s="27" t="s">
        <v>7</v>
      </c>
      <c r="HK629" s="27" t="s">
        <v>8</v>
      </c>
      <c r="HM629" s="27" t="s">
        <v>8</v>
      </c>
      <c r="ID629" s="27" t="s">
        <v>7</v>
      </c>
      <c r="II629" s="27" t="s">
        <v>8</v>
      </c>
      <c r="IJ629" s="27" t="s">
        <v>7</v>
      </c>
      <c r="IO629" s="27" t="s">
        <v>8</v>
      </c>
      <c r="IP629" s="27" t="s">
        <v>7</v>
      </c>
    </row>
    <row r="630" spans="1:254" x14ac:dyDescent="0.25">
      <c r="A630" s="7">
        <v>0.4267687533313323</v>
      </c>
      <c r="B630"/>
      <c r="C630"/>
      <c r="D630"/>
      <c r="E630"/>
      <c r="F630" s="27" t="s">
        <v>7</v>
      </c>
      <c r="AY630" s="27" t="s">
        <v>8</v>
      </c>
      <c r="AZ630" s="27" t="s">
        <v>7</v>
      </c>
      <c r="BW630" s="27" t="s">
        <v>8</v>
      </c>
      <c r="BX630" s="27" t="s">
        <v>7</v>
      </c>
      <c r="BY630" s="27" t="s">
        <v>8</v>
      </c>
      <c r="CA630" s="27" t="s">
        <v>8</v>
      </c>
      <c r="CB630" s="27" t="s">
        <v>7</v>
      </c>
      <c r="CC630" s="27" t="s">
        <v>8</v>
      </c>
      <c r="CL630" s="27" t="s">
        <v>7</v>
      </c>
      <c r="CN630" s="27" t="s">
        <v>7</v>
      </c>
      <c r="EB630" s="27" t="s">
        <v>7</v>
      </c>
      <c r="EC630" s="27" t="s">
        <v>8</v>
      </c>
      <c r="ED630" s="27" t="s">
        <v>7</v>
      </c>
      <c r="EE630" s="27" t="s">
        <v>8</v>
      </c>
      <c r="EH630" s="27" t="s">
        <v>7</v>
      </c>
      <c r="EI630" s="27" t="s">
        <v>8</v>
      </c>
      <c r="FQ630" s="27" t="s">
        <v>8</v>
      </c>
      <c r="FY630" s="27" t="s">
        <v>8</v>
      </c>
      <c r="FZ630" s="27" t="s">
        <v>7</v>
      </c>
      <c r="GA630" s="27" t="s">
        <v>8</v>
      </c>
      <c r="GB630" s="27" t="s">
        <v>7</v>
      </c>
      <c r="GC630" s="27" t="s">
        <v>8</v>
      </c>
      <c r="GD630" s="27" t="s">
        <v>7</v>
      </c>
      <c r="GE630" s="27" t="s">
        <v>8</v>
      </c>
      <c r="GF630" s="27" t="s">
        <v>7</v>
      </c>
      <c r="GH630" s="27" t="s">
        <v>7</v>
      </c>
      <c r="HA630" s="27" t="s">
        <v>8</v>
      </c>
      <c r="HB630" s="27" t="s">
        <v>7</v>
      </c>
      <c r="HC630" s="27" t="s">
        <v>8</v>
      </c>
      <c r="HJ630" s="27" t="s">
        <v>7</v>
      </c>
      <c r="HK630" s="27" t="s">
        <v>8</v>
      </c>
      <c r="HL630" s="27" t="s">
        <v>7</v>
      </c>
      <c r="HM630" s="27" t="s">
        <v>8</v>
      </c>
      <c r="ID630" s="27" t="s">
        <v>7</v>
      </c>
      <c r="IE630" s="27" t="s">
        <v>8</v>
      </c>
      <c r="IG630" s="27" t="s">
        <v>8</v>
      </c>
      <c r="II630" s="27" t="s">
        <v>8</v>
      </c>
      <c r="IJ630" s="27" t="s">
        <v>7</v>
      </c>
      <c r="IO630" s="27" t="s">
        <v>8</v>
      </c>
      <c r="IP630" s="27" t="s">
        <v>7</v>
      </c>
    </row>
    <row r="631" spans="1:254" x14ac:dyDescent="0.25">
      <c r="A631" s="7">
        <v>0.41840073856012971</v>
      </c>
      <c r="B631"/>
      <c r="C631"/>
      <c r="D631"/>
      <c r="E631"/>
      <c r="F631" s="27" t="s">
        <v>7</v>
      </c>
      <c r="AY631" s="27" t="s">
        <v>8</v>
      </c>
      <c r="AZ631" s="27" t="s">
        <v>7</v>
      </c>
      <c r="BW631" s="27" t="s">
        <v>8</v>
      </c>
      <c r="BX631" s="27" t="s">
        <v>7</v>
      </c>
      <c r="BY631" s="27" t="s">
        <v>8</v>
      </c>
      <c r="BZ631" s="27" t="s">
        <v>7</v>
      </c>
      <c r="CA631" s="27" t="s">
        <v>8</v>
      </c>
      <c r="CB631" s="27" t="s">
        <v>7</v>
      </c>
      <c r="EB631" s="27" t="s">
        <v>7</v>
      </c>
      <c r="EC631" s="27" t="s">
        <v>8</v>
      </c>
      <c r="ED631" s="27" t="s">
        <v>7</v>
      </c>
      <c r="EE631" s="27" t="s">
        <v>8</v>
      </c>
      <c r="EH631" s="27" t="s">
        <v>7</v>
      </c>
      <c r="EI631" s="27" t="s">
        <v>8</v>
      </c>
      <c r="EJ631" s="27" t="s">
        <v>7</v>
      </c>
      <c r="EK631" s="27" t="s">
        <v>8</v>
      </c>
      <c r="FQ631" s="27" t="s">
        <v>8</v>
      </c>
      <c r="FR631" s="27" t="s">
        <v>7</v>
      </c>
      <c r="FY631" s="27" t="s">
        <v>8</v>
      </c>
      <c r="FZ631" s="27" t="s">
        <v>7</v>
      </c>
      <c r="GA631" s="27" t="s">
        <v>8</v>
      </c>
      <c r="GB631" s="27" t="s">
        <v>7</v>
      </c>
      <c r="GC631" s="27" t="s">
        <v>8</v>
      </c>
      <c r="GD631" s="27" t="s">
        <v>7</v>
      </c>
      <c r="GE631" s="27" t="s">
        <v>8</v>
      </c>
      <c r="GH631" s="27" t="s">
        <v>7</v>
      </c>
      <c r="HA631" s="27" t="s">
        <v>8</v>
      </c>
      <c r="HB631" s="27" t="s">
        <v>7</v>
      </c>
      <c r="HC631" s="27" t="s">
        <v>8</v>
      </c>
      <c r="HJ631" s="27" t="s">
        <v>7</v>
      </c>
      <c r="HK631" s="27" t="s">
        <v>8</v>
      </c>
      <c r="HL631" s="27" t="s">
        <v>7</v>
      </c>
      <c r="HM631" s="27" t="s">
        <v>8</v>
      </c>
      <c r="ID631" s="27" t="s">
        <v>7</v>
      </c>
      <c r="IE631" s="27" t="s">
        <v>8</v>
      </c>
      <c r="IF631" s="27" t="s">
        <v>7</v>
      </c>
      <c r="IG631" s="27" t="s">
        <v>8</v>
      </c>
      <c r="IH631" s="27" t="s">
        <v>7</v>
      </c>
      <c r="II631" s="27" t="s">
        <v>8</v>
      </c>
      <c r="IJ631" s="27" t="s">
        <v>7</v>
      </c>
      <c r="IO631" s="27" t="s">
        <v>8</v>
      </c>
      <c r="IP631" s="27" t="s">
        <v>7</v>
      </c>
    </row>
    <row r="632" spans="1:254" x14ac:dyDescent="0.25">
      <c r="A632" s="7">
        <v>0.41019680250993112</v>
      </c>
      <c r="B632"/>
      <c r="C632"/>
      <c r="D632"/>
      <c r="E632"/>
      <c r="F632" s="27" t="s">
        <v>7</v>
      </c>
      <c r="AY632" s="27" t="s">
        <v>8</v>
      </c>
      <c r="AZ632" s="27" t="s">
        <v>7</v>
      </c>
      <c r="BW632" s="27" t="s">
        <v>8</v>
      </c>
      <c r="BX632" s="27" t="s">
        <v>7</v>
      </c>
      <c r="BY632" s="27" t="s">
        <v>8</v>
      </c>
      <c r="BZ632" s="27" t="s">
        <v>7</v>
      </c>
      <c r="CA632" s="27" t="s">
        <v>8</v>
      </c>
      <c r="EB632" s="27" t="s">
        <v>7</v>
      </c>
      <c r="EC632" s="27" t="s">
        <v>8</v>
      </c>
      <c r="ED632" s="27" t="s">
        <v>7</v>
      </c>
      <c r="EE632" s="27" t="s">
        <v>8</v>
      </c>
      <c r="EH632" s="27" t="s">
        <v>7</v>
      </c>
      <c r="EI632" s="27" t="s">
        <v>8</v>
      </c>
      <c r="EJ632" s="27" t="s">
        <v>7</v>
      </c>
      <c r="EK632" s="27" t="s">
        <v>8</v>
      </c>
      <c r="EL632" s="27" t="s">
        <v>7</v>
      </c>
      <c r="EM632" s="27" t="s">
        <v>8</v>
      </c>
      <c r="FQ632" s="27" t="s">
        <v>8</v>
      </c>
      <c r="FR632" s="27" t="s">
        <v>7</v>
      </c>
      <c r="FY632" s="27" t="s">
        <v>8</v>
      </c>
      <c r="FZ632" s="27" t="s">
        <v>7</v>
      </c>
      <c r="GA632" s="27" t="s">
        <v>8</v>
      </c>
      <c r="GB632" s="27" t="s">
        <v>7</v>
      </c>
      <c r="GC632" s="27" t="s">
        <v>8</v>
      </c>
      <c r="GD632" s="27" t="s">
        <v>7</v>
      </c>
      <c r="GE632" s="27" t="s">
        <v>8</v>
      </c>
      <c r="GH632" s="27" t="s">
        <v>7</v>
      </c>
      <c r="GO632" s="27" t="s">
        <v>8</v>
      </c>
      <c r="HA632" s="27" t="s">
        <v>8</v>
      </c>
      <c r="HB632" s="27" t="s">
        <v>7</v>
      </c>
      <c r="HC632" s="27" t="s">
        <v>8</v>
      </c>
      <c r="HJ632" s="27" t="s">
        <v>7</v>
      </c>
      <c r="HK632" s="27" t="s">
        <v>8</v>
      </c>
      <c r="HL632" s="27" t="s">
        <v>7</v>
      </c>
      <c r="ID632" s="27" t="s">
        <v>7</v>
      </c>
      <c r="IE632" s="27" t="s">
        <v>8</v>
      </c>
      <c r="IF632" s="27" t="s">
        <v>7</v>
      </c>
      <c r="IG632" s="27" t="s">
        <v>8</v>
      </c>
      <c r="IH632" s="27" t="s">
        <v>7</v>
      </c>
      <c r="II632" s="27" t="s">
        <v>8</v>
      </c>
      <c r="IJ632" s="27" t="s">
        <v>7</v>
      </c>
      <c r="IO632" s="27" t="s">
        <v>8</v>
      </c>
      <c r="IP632" s="27" t="s">
        <v>7</v>
      </c>
    </row>
    <row r="633" spans="1:254" x14ac:dyDescent="0.25">
      <c r="A633" s="7">
        <v>0.40215372795091286</v>
      </c>
      <c r="B633"/>
      <c r="C633"/>
      <c r="D633"/>
      <c r="E633"/>
      <c r="F633" s="27" t="s">
        <v>7</v>
      </c>
      <c r="AY633" s="27" t="s">
        <v>8</v>
      </c>
      <c r="AZ633" s="27" t="s">
        <v>7</v>
      </c>
      <c r="BW633" s="27" t="s">
        <v>8</v>
      </c>
      <c r="BX633" s="27" t="s">
        <v>7</v>
      </c>
      <c r="BY633" s="27" t="s">
        <v>8</v>
      </c>
      <c r="BZ633" s="27" t="s">
        <v>7</v>
      </c>
      <c r="EB633" s="27" t="s">
        <v>7</v>
      </c>
      <c r="EC633" s="27" t="s">
        <v>8</v>
      </c>
      <c r="ED633" s="27" t="s">
        <v>7</v>
      </c>
      <c r="EE633" s="27" t="s">
        <v>8</v>
      </c>
      <c r="EH633" s="27" t="s">
        <v>7</v>
      </c>
      <c r="EI633" s="27" t="s">
        <v>8</v>
      </c>
      <c r="EJ633" s="27" t="s">
        <v>7</v>
      </c>
      <c r="EK633" s="27" t="s">
        <v>8</v>
      </c>
      <c r="EL633" s="27" t="s">
        <v>7</v>
      </c>
      <c r="EM633" s="27" t="s">
        <v>8</v>
      </c>
      <c r="EN633" s="27" t="s">
        <v>7</v>
      </c>
      <c r="FQ633" s="27" t="s">
        <v>8</v>
      </c>
      <c r="FR633" s="27" t="s">
        <v>7</v>
      </c>
      <c r="FS633" s="27" t="s">
        <v>8</v>
      </c>
      <c r="FU633" s="27" t="s">
        <v>8</v>
      </c>
      <c r="FW633" s="27" t="s">
        <v>8</v>
      </c>
      <c r="FY633" s="27" t="s">
        <v>8</v>
      </c>
      <c r="FZ633" s="27" t="s">
        <v>7</v>
      </c>
      <c r="GA633" s="27" t="s">
        <v>8</v>
      </c>
      <c r="GB633" s="27" t="s">
        <v>7</v>
      </c>
      <c r="GD633" s="27" t="s">
        <v>7</v>
      </c>
      <c r="GE633" s="27" t="s">
        <v>8</v>
      </c>
      <c r="GH633" s="27" t="s">
        <v>7</v>
      </c>
      <c r="GO633" s="27" t="s">
        <v>8</v>
      </c>
      <c r="GP633" s="27" t="s">
        <v>7</v>
      </c>
      <c r="HA633" s="27" t="s">
        <v>8</v>
      </c>
      <c r="HB633" s="27" t="s">
        <v>7</v>
      </c>
      <c r="HJ633" s="27" t="s">
        <v>7</v>
      </c>
      <c r="HK633" s="27" t="s">
        <v>8</v>
      </c>
      <c r="ID633" s="27" t="s">
        <v>7</v>
      </c>
      <c r="IE633" s="27" t="s">
        <v>8</v>
      </c>
      <c r="IF633" s="27" t="s">
        <v>7</v>
      </c>
      <c r="IG633" s="27" t="s">
        <v>8</v>
      </c>
      <c r="IH633" s="27" t="s">
        <v>7</v>
      </c>
      <c r="II633" s="27" t="s">
        <v>8</v>
      </c>
      <c r="IJ633" s="27" t="s">
        <v>7</v>
      </c>
      <c r="IO633" s="27" t="s">
        <v>8</v>
      </c>
      <c r="IP633" s="27" t="s">
        <v>7</v>
      </c>
    </row>
    <row r="634" spans="1:254" x14ac:dyDescent="0.25">
      <c r="A634" s="7">
        <v>0.39426836073618904</v>
      </c>
      <c r="B634"/>
      <c r="C634"/>
      <c r="D634"/>
      <c r="E634"/>
      <c r="F634" s="27" t="s">
        <v>7</v>
      </c>
      <c r="AY634" s="27" t="s">
        <v>8</v>
      </c>
      <c r="AZ634" s="27" t="s">
        <v>7</v>
      </c>
      <c r="BW634" s="27" t="s">
        <v>8</v>
      </c>
      <c r="BX634" s="27" t="s">
        <v>7</v>
      </c>
      <c r="BY634" s="27" t="s">
        <v>8</v>
      </c>
      <c r="EB634" s="27" t="s">
        <v>7</v>
      </c>
      <c r="EC634" s="27" t="s">
        <v>8</v>
      </c>
      <c r="ED634" s="27" t="s">
        <v>7</v>
      </c>
      <c r="EE634" s="27" t="s">
        <v>8</v>
      </c>
      <c r="EH634" s="27" t="s">
        <v>7</v>
      </c>
      <c r="EI634" s="27" t="s">
        <v>8</v>
      </c>
      <c r="EJ634" s="27" t="s">
        <v>7</v>
      </c>
      <c r="EK634" s="27" t="s">
        <v>8</v>
      </c>
      <c r="EL634" s="27" t="s">
        <v>7</v>
      </c>
      <c r="EM634" s="27" t="s">
        <v>8</v>
      </c>
      <c r="EN634" s="27" t="s">
        <v>7</v>
      </c>
      <c r="FQ634" s="27" t="s">
        <v>8</v>
      </c>
      <c r="FR634" s="27" t="s">
        <v>7</v>
      </c>
      <c r="FS634" s="27" t="s">
        <v>8</v>
      </c>
      <c r="FT634" s="27" t="s">
        <v>7</v>
      </c>
      <c r="FU634" s="27" t="s">
        <v>8</v>
      </c>
      <c r="FV634" s="27" t="s">
        <v>7</v>
      </c>
      <c r="FW634" s="27" t="s">
        <v>8</v>
      </c>
      <c r="FX634" s="27" t="s">
        <v>7</v>
      </c>
      <c r="FY634" s="27" t="s">
        <v>8</v>
      </c>
      <c r="FZ634" s="27" t="s">
        <v>7</v>
      </c>
      <c r="GA634" s="27" t="s">
        <v>8</v>
      </c>
      <c r="GD634" s="27" t="s">
        <v>7</v>
      </c>
      <c r="GH634" s="27" t="s">
        <v>7</v>
      </c>
      <c r="GI634" s="27" t="s">
        <v>8</v>
      </c>
      <c r="GK634" s="27" t="s">
        <v>8</v>
      </c>
      <c r="GM634" s="27" t="s">
        <v>8</v>
      </c>
      <c r="GO634" s="27" t="s">
        <v>8</v>
      </c>
      <c r="GP634" s="27" t="s">
        <v>7</v>
      </c>
      <c r="HA634" s="27" t="s">
        <v>8</v>
      </c>
      <c r="HJ634" s="27" t="s">
        <v>7</v>
      </c>
      <c r="HK634" s="27" t="s">
        <v>8</v>
      </c>
      <c r="ID634" s="27" t="s">
        <v>7</v>
      </c>
      <c r="IE634" s="27" t="s">
        <v>8</v>
      </c>
      <c r="IF634" s="27" t="s">
        <v>7</v>
      </c>
      <c r="IG634" s="27" t="s">
        <v>8</v>
      </c>
      <c r="IH634" s="27" t="s">
        <v>7</v>
      </c>
      <c r="II634" s="27" t="s">
        <v>8</v>
      </c>
      <c r="IJ634" s="27" t="s">
        <v>7</v>
      </c>
      <c r="IO634" s="27" t="s">
        <v>8</v>
      </c>
      <c r="IP634" s="27" t="s">
        <v>7</v>
      </c>
    </row>
    <row r="635" spans="1:254" x14ac:dyDescent="0.25">
      <c r="A635" s="7">
        <v>0.38653760856489122</v>
      </c>
      <c r="B635"/>
      <c r="C635"/>
      <c r="D635"/>
      <c r="E635"/>
      <c r="F635" s="27" t="s">
        <v>7</v>
      </c>
      <c r="AY635" s="27" t="s">
        <v>8</v>
      </c>
      <c r="AZ635" s="27" t="s">
        <v>7</v>
      </c>
      <c r="BU635" s="27" t="s">
        <v>8</v>
      </c>
      <c r="BW635" s="27" t="s">
        <v>8</v>
      </c>
      <c r="BX635" s="27" t="s">
        <v>7</v>
      </c>
      <c r="EB635" s="27" t="s">
        <v>7</v>
      </c>
      <c r="EC635" s="27" t="s">
        <v>8</v>
      </c>
      <c r="ED635" s="27" t="s">
        <v>7</v>
      </c>
      <c r="EE635" s="27" t="s">
        <v>8</v>
      </c>
      <c r="EH635" s="27" t="s">
        <v>7</v>
      </c>
      <c r="EI635" s="27" t="s">
        <v>8</v>
      </c>
      <c r="EJ635" s="27" t="s">
        <v>7</v>
      </c>
      <c r="EK635" s="27" t="s">
        <v>8</v>
      </c>
      <c r="EL635" s="27" t="s">
        <v>7</v>
      </c>
      <c r="EM635" s="27" t="s">
        <v>8</v>
      </c>
      <c r="EN635" s="27" t="s">
        <v>7</v>
      </c>
      <c r="FQ635" s="27" t="s">
        <v>8</v>
      </c>
      <c r="FR635" s="27" t="s">
        <v>7</v>
      </c>
      <c r="FS635" s="27" t="s">
        <v>8</v>
      </c>
      <c r="FT635" s="27" t="s">
        <v>7</v>
      </c>
      <c r="FU635" s="27" t="s">
        <v>8</v>
      </c>
      <c r="FV635" s="27" t="s">
        <v>7</v>
      </c>
      <c r="FW635" s="27" t="s">
        <v>8</v>
      </c>
      <c r="FX635" s="27" t="s">
        <v>7</v>
      </c>
      <c r="FY635" s="27" t="s">
        <v>8</v>
      </c>
      <c r="FZ635" s="27" t="s">
        <v>7</v>
      </c>
      <c r="GA635" s="27" t="s">
        <v>8</v>
      </c>
      <c r="GH635" s="27" t="s">
        <v>7</v>
      </c>
      <c r="GI635" s="27" t="s">
        <v>8</v>
      </c>
      <c r="GJ635" s="27" t="s">
        <v>7</v>
      </c>
      <c r="GK635" s="27" t="s">
        <v>8</v>
      </c>
      <c r="GL635" s="27" t="s">
        <v>7</v>
      </c>
      <c r="GM635" s="27" t="s">
        <v>8</v>
      </c>
      <c r="GN635" s="27" t="s">
        <v>7</v>
      </c>
      <c r="GO635" s="27" t="s">
        <v>8</v>
      </c>
      <c r="GP635" s="27" t="s">
        <v>7</v>
      </c>
      <c r="HA635" s="27" t="s">
        <v>8</v>
      </c>
      <c r="HJ635" s="27" t="s">
        <v>7</v>
      </c>
      <c r="ID635" s="27" t="s">
        <v>7</v>
      </c>
      <c r="IF635" s="27" t="s">
        <v>7</v>
      </c>
      <c r="IG635" s="27" t="s">
        <v>8</v>
      </c>
      <c r="IH635" s="27" t="s">
        <v>7</v>
      </c>
      <c r="II635" s="27" t="s">
        <v>8</v>
      </c>
      <c r="IJ635" s="27" t="s">
        <v>7</v>
      </c>
      <c r="IM635" s="27" t="s">
        <v>8</v>
      </c>
      <c r="IO635" s="27" t="s">
        <v>8</v>
      </c>
      <c r="IP635" s="27" t="s">
        <v>7</v>
      </c>
      <c r="IQ635" s="27" t="s">
        <v>8</v>
      </c>
    </row>
    <row r="636" spans="1:254" x14ac:dyDescent="0.25">
      <c r="A636" s="7">
        <v>0.37895843976950117</v>
      </c>
      <c r="B636"/>
      <c r="C636"/>
      <c r="D636"/>
      <c r="E636"/>
      <c r="F636" s="27" t="s">
        <v>7</v>
      </c>
      <c r="AY636" s="27" t="s">
        <v>8</v>
      </c>
      <c r="AZ636" s="27" t="s">
        <v>7</v>
      </c>
      <c r="BU636" s="27" t="s">
        <v>8</v>
      </c>
      <c r="BV636" s="27" t="s">
        <v>7</v>
      </c>
      <c r="BW636" s="27" t="s">
        <v>8</v>
      </c>
      <c r="EB636" s="27" t="s">
        <v>7</v>
      </c>
      <c r="EC636" s="27" t="s">
        <v>8</v>
      </c>
      <c r="ED636" s="27" t="s">
        <v>7</v>
      </c>
      <c r="EE636" s="27" t="s">
        <v>8</v>
      </c>
      <c r="EH636" s="27" t="s">
        <v>7</v>
      </c>
      <c r="EI636" s="27" t="s">
        <v>8</v>
      </c>
      <c r="EJ636" s="27" t="s">
        <v>7</v>
      </c>
      <c r="EL636" s="27" t="s">
        <v>7</v>
      </c>
      <c r="EM636" s="27" t="s">
        <v>8</v>
      </c>
      <c r="EN636" s="27" t="s">
        <v>7</v>
      </c>
      <c r="EO636" s="27" t="s">
        <v>8</v>
      </c>
      <c r="FC636" s="27" t="s">
        <v>8</v>
      </c>
      <c r="FQ636" s="27" t="s">
        <v>8</v>
      </c>
      <c r="FR636" s="27" t="s">
        <v>7</v>
      </c>
      <c r="FS636" s="27" t="s">
        <v>8</v>
      </c>
      <c r="FT636" s="27" t="s">
        <v>7</v>
      </c>
      <c r="FU636" s="27" t="s">
        <v>8</v>
      </c>
      <c r="FV636" s="27" t="s">
        <v>7</v>
      </c>
      <c r="FX636" s="27" t="s">
        <v>7</v>
      </c>
      <c r="FY636" s="27" t="s">
        <v>8</v>
      </c>
      <c r="FZ636" s="27" t="s">
        <v>7</v>
      </c>
      <c r="GH636" s="27" t="s">
        <v>7</v>
      </c>
      <c r="GI636" s="27" t="s">
        <v>8</v>
      </c>
      <c r="GJ636" s="27" t="s">
        <v>7</v>
      </c>
      <c r="GK636" s="27" t="s">
        <v>8</v>
      </c>
      <c r="GL636" s="27" t="s">
        <v>7</v>
      </c>
      <c r="GM636" s="27" t="s">
        <v>8</v>
      </c>
      <c r="GN636" s="27" t="s">
        <v>7</v>
      </c>
      <c r="GO636" s="27" t="s">
        <v>8</v>
      </c>
      <c r="GP636" s="27" t="s">
        <v>7</v>
      </c>
      <c r="GY636" s="27" t="s">
        <v>8</v>
      </c>
      <c r="HA636" s="27" t="s">
        <v>8</v>
      </c>
      <c r="IF636" s="27" t="s">
        <v>7</v>
      </c>
      <c r="IG636" s="27" t="s">
        <v>8</v>
      </c>
      <c r="IH636" s="27" t="s">
        <v>7</v>
      </c>
      <c r="II636" s="27" t="s">
        <v>8</v>
      </c>
      <c r="IJ636" s="27" t="s">
        <v>7</v>
      </c>
      <c r="IK636" s="27" t="s">
        <v>8</v>
      </c>
      <c r="IM636" s="27" t="s">
        <v>8</v>
      </c>
      <c r="IN636" s="27" t="s">
        <v>7</v>
      </c>
      <c r="IO636" s="27" t="s">
        <v>8</v>
      </c>
      <c r="IP636" s="27" t="s">
        <v>7</v>
      </c>
      <c r="IQ636" s="27" t="s">
        <v>8</v>
      </c>
      <c r="IR636" s="27" t="s">
        <v>7</v>
      </c>
    </row>
    <row r="637" spans="1:254" x14ac:dyDescent="0.25">
      <c r="A637" s="7">
        <v>0.37152788212696197</v>
      </c>
      <c r="B637"/>
      <c r="C637"/>
      <c r="D637"/>
      <c r="E637"/>
      <c r="F637" s="27" t="s">
        <v>7</v>
      </c>
      <c r="AO637" s="27" t="s">
        <v>8</v>
      </c>
      <c r="AY637" s="27" t="s">
        <v>8</v>
      </c>
      <c r="AZ637" s="27" t="s">
        <v>7</v>
      </c>
      <c r="BU637" s="27" t="s">
        <v>8</v>
      </c>
      <c r="BV637" s="27" t="s">
        <v>7</v>
      </c>
      <c r="BW637" s="27" t="s">
        <v>8</v>
      </c>
      <c r="EB637" s="27" t="s">
        <v>7</v>
      </c>
      <c r="EC637" s="27" t="s">
        <v>8</v>
      </c>
      <c r="ED637" s="27" t="s">
        <v>7</v>
      </c>
      <c r="EE637" s="27" t="s">
        <v>8</v>
      </c>
      <c r="EH637" s="27" t="s">
        <v>7</v>
      </c>
      <c r="EI637" s="27" t="s">
        <v>8</v>
      </c>
      <c r="EL637" s="27" t="s">
        <v>7</v>
      </c>
      <c r="EM637" s="27" t="s">
        <v>8</v>
      </c>
      <c r="EN637" s="27" t="s">
        <v>7</v>
      </c>
      <c r="EO637" s="27" t="s">
        <v>8</v>
      </c>
      <c r="EP637" s="27" t="s">
        <v>7</v>
      </c>
      <c r="FC637" s="27" t="s">
        <v>8</v>
      </c>
      <c r="FD637" s="27" t="s">
        <v>7</v>
      </c>
      <c r="FQ637" s="27" t="s">
        <v>8</v>
      </c>
      <c r="FR637" s="27" t="s">
        <v>7</v>
      </c>
      <c r="FS637" s="27" t="s">
        <v>8</v>
      </c>
      <c r="FT637" s="27" t="s">
        <v>7</v>
      </c>
      <c r="FU637" s="27" t="s">
        <v>8</v>
      </c>
      <c r="FX637" s="27" t="s">
        <v>7</v>
      </c>
      <c r="FY637" s="27" t="s">
        <v>8</v>
      </c>
      <c r="GH637" s="27" t="s">
        <v>7</v>
      </c>
      <c r="GI637" s="27" t="s">
        <v>8</v>
      </c>
      <c r="GJ637" s="27" t="s">
        <v>7</v>
      </c>
      <c r="GK637" s="27" t="s">
        <v>8</v>
      </c>
      <c r="GL637" s="27" t="s">
        <v>7</v>
      </c>
      <c r="GM637" s="27" t="s">
        <v>8</v>
      </c>
      <c r="GN637" s="27" t="s">
        <v>7</v>
      </c>
      <c r="GO637" s="27" t="s">
        <v>8</v>
      </c>
      <c r="GP637" s="27" t="s">
        <v>7</v>
      </c>
      <c r="GY637" s="27" t="s">
        <v>8</v>
      </c>
      <c r="GZ637" s="27" t="s">
        <v>7</v>
      </c>
      <c r="HA637" s="27" t="s">
        <v>8</v>
      </c>
      <c r="IF637" s="27" t="s">
        <v>7</v>
      </c>
      <c r="IH637" s="27" t="s">
        <v>7</v>
      </c>
      <c r="IJ637" s="27" t="s">
        <v>7</v>
      </c>
      <c r="IK637" s="27" t="s">
        <v>8</v>
      </c>
      <c r="IL637" s="27" t="s">
        <v>7</v>
      </c>
      <c r="IM637" s="27" t="s">
        <v>8</v>
      </c>
      <c r="IN637" s="27" t="s">
        <v>7</v>
      </c>
      <c r="IO637" s="27" t="s">
        <v>8</v>
      </c>
      <c r="IP637" s="27" t="s">
        <v>7</v>
      </c>
      <c r="IQ637" s="27" t="s">
        <v>8</v>
      </c>
      <c r="IR637" s="27" t="s">
        <v>7</v>
      </c>
    </row>
    <row r="638" spans="1:254" x14ac:dyDescent="0.25">
      <c r="A638" s="7">
        <v>0.36424302169310002</v>
      </c>
      <c r="B638"/>
      <c r="C638"/>
      <c r="D638"/>
      <c r="E638"/>
      <c r="F638" s="27" t="s">
        <v>7</v>
      </c>
      <c r="AO638" s="27" t="s">
        <v>8</v>
      </c>
      <c r="AP638" s="27" t="s">
        <v>7</v>
      </c>
      <c r="AY638" s="27" t="s">
        <v>8</v>
      </c>
      <c r="AZ638" s="27" t="s">
        <v>7</v>
      </c>
      <c r="BU638" s="27" t="s">
        <v>8</v>
      </c>
      <c r="BV638" s="27" t="s">
        <v>7</v>
      </c>
      <c r="BW638" s="27" t="s">
        <v>8</v>
      </c>
      <c r="EB638" s="27" t="s">
        <v>7</v>
      </c>
      <c r="EC638" s="27" t="s">
        <v>8</v>
      </c>
      <c r="ED638" s="27" t="s">
        <v>7</v>
      </c>
      <c r="EE638" s="27" t="s">
        <v>8</v>
      </c>
      <c r="EH638" s="27" t="s">
        <v>7</v>
      </c>
      <c r="EI638" s="27" t="s">
        <v>8</v>
      </c>
      <c r="EL638" s="27" t="s">
        <v>7</v>
      </c>
      <c r="EM638" s="27" t="s">
        <v>8</v>
      </c>
      <c r="EN638" s="27" t="s">
        <v>7</v>
      </c>
      <c r="EO638" s="27" t="s">
        <v>8</v>
      </c>
      <c r="EP638" s="27" t="s">
        <v>7</v>
      </c>
      <c r="FC638" s="27" t="s">
        <v>8</v>
      </c>
      <c r="FD638" s="27" t="s">
        <v>7</v>
      </c>
      <c r="FQ638" s="27" t="s">
        <v>8</v>
      </c>
      <c r="FR638" s="27" t="s">
        <v>7</v>
      </c>
      <c r="FS638" s="27" t="s">
        <v>8</v>
      </c>
      <c r="FT638" s="27" t="s">
        <v>7</v>
      </c>
      <c r="FX638" s="27" t="s">
        <v>7</v>
      </c>
      <c r="FY638" s="27" t="s">
        <v>8</v>
      </c>
      <c r="GH638" s="27" t="s">
        <v>7</v>
      </c>
      <c r="GI638" s="27" t="s">
        <v>8</v>
      </c>
      <c r="GJ638" s="27" t="s">
        <v>7</v>
      </c>
      <c r="GK638" s="27" t="s">
        <v>8</v>
      </c>
      <c r="GL638" s="27" t="s">
        <v>7</v>
      </c>
      <c r="GM638" s="27" t="s">
        <v>8</v>
      </c>
      <c r="GN638" s="27" t="s">
        <v>7</v>
      </c>
      <c r="GO638" s="27" t="s">
        <v>8</v>
      </c>
      <c r="GP638" s="27" t="s">
        <v>7</v>
      </c>
      <c r="GY638" s="27" t="s">
        <v>8</v>
      </c>
      <c r="GZ638" s="27" t="s">
        <v>7</v>
      </c>
      <c r="HA638" s="27" t="s">
        <v>8</v>
      </c>
      <c r="IJ638" s="27" t="s">
        <v>7</v>
      </c>
      <c r="IK638" s="27" t="s">
        <v>8</v>
      </c>
      <c r="IL638" s="27" t="s">
        <v>7</v>
      </c>
      <c r="IM638" s="27" t="s">
        <v>8</v>
      </c>
      <c r="IN638" s="27" t="s">
        <v>7</v>
      </c>
      <c r="IO638" s="27" t="s">
        <v>8</v>
      </c>
      <c r="IP638" s="27" t="s">
        <v>7</v>
      </c>
      <c r="IR638" s="27" t="s">
        <v>7</v>
      </c>
    </row>
    <row r="639" spans="1:254" x14ac:dyDescent="0.25">
      <c r="A639" s="7">
        <v>0.35710100165990194</v>
      </c>
      <c r="B639"/>
      <c r="C639"/>
      <c r="D639"/>
      <c r="E639"/>
      <c r="F639" s="27" t="s">
        <v>7</v>
      </c>
      <c r="AO639" s="27" t="s">
        <v>8</v>
      </c>
      <c r="AP639" s="27" t="s">
        <v>7</v>
      </c>
      <c r="AY639" s="27" t="s">
        <v>8</v>
      </c>
      <c r="AZ639" s="27" t="s">
        <v>7</v>
      </c>
      <c r="BU639" s="27" t="s">
        <v>8</v>
      </c>
      <c r="BV639" s="27" t="s">
        <v>7</v>
      </c>
      <c r="BW639" s="27" t="s">
        <v>8</v>
      </c>
      <c r="EB639" s="27" t="s">
        <v>7</v>
      </c>
      <c r="EC639" s="27" t="s">
        <v>8</v>
      </c>
      <c r="ED639" s="27" t="s">
        <v>7</v>
      </c>
      <c r="EE639" s="27" t="s">
        <v>8</v>
      </c>
      <c r="EH639" s="27" t="s">
        <v>7</v>
      </c>
      <c r="EL639" s="27" t="s">
        <v>7</v>
      </c>
      <c r="EN639" s="27" t="s">
        <v>7</v>
      </c>
      <c r="EO639" s="27" t="s">
        <v>8</v>
      </c>
      <c r="EP639" s="27" t="s">
        <v>7</v>
      </c>
      <c r="FC639" s="27" t="s">
        <v>8</v>
      </c>
      <c r="FD639" s="27" t="s">
        <v>7</v>
      </c>
      <c r="FQ639" s="27" t="s">
        <v>8</v>
      </c>
      <c r="FR639" s="27" t="s">
        <v>7</v>
      </c>
      <c r="FS639" s="27" t="s">
        <v>8</v>
      </c>
      <c r="FX639" s="27" t="s">
        <v>7</v>
      </c>
      <c r="FY639" s="27" t="s">
        <v>8</v>
      </c>
      <c r="GH639" s="27" t="s">
        <v>7</v>
      </c>
      <c r="GI639" s="27" t="s">
        <v>8</v>
      </c>
      <c r="GJ639" s="27" t="s">
        <v>7</v>
      </c>
      <c r="GL639" s="27" t="s">
        <v>7</v>
      </c>
      <c r="GM639" s="27" t="s">
        <v>8</v>
      </c>
      <c r="GN639" s="27" t="s">
        <v>7</v>
      </c>
      <c r="GP639" s="27" t="s">
        <v>7</v>
      </c>
      <c r="GQ639" s="27" t="s">
        <v>8</v>
      </c>
      <c r="GY639" s="27" t="s">
        <v>8</v>
      </c>
      <c r="GZ639" s="27" t="s">
        <v>7</v>
      </c>
      <c r="HA639" s="27" t="s">
        <v>8</v>
      </c>
      <c r="IJ639" s="27" t="s">
        <v>7</v>
      </c>
      <c r="IK639" s="27" t="s">
        <v>8</v>
      </c>
      <c r="IL639" s="27" t="s">
        <v>7</v>
      </c>
      <c r="IM639" s="27" t="s">
        <v>8</v>
      </c>
      <c r="IN639" s="27" t="s">
        <v>7</v>
      </c>
      <c r="IO639" s="27" t="s">
        <v>8</v>
      </c>
      <c r="IR639" s="27" t="s">
        <v>7</v>
      </c>
      <c r="IS639" s="27" t="s">
        <v>8</v>
      </c>
    </row>
    <row r="640" spans="1:254" x14ac:dyDescent="0.25">
      <c r="A640" s="7">
        <v>0.35009902123519804</v>
      </c>
      <c r="B640"/>
      <c r="C640"/>
      <c r="D640"/>
      <c r="E640"/>
      <c r="F640" s="27" t="s">
        <v>7</v>
      </c>
      <c r="AO640" s="27" t="s">
        <v>8</v>
      </c>
      <c r="AP640" s="27" t="s">
        <v>7</v>
      </c>
      <c r="AY640" s="27" t="s">
        <v>8</v>
      </c>
      <c r="AZ640" s="27" t="s">
        <v>7</v>
      </c>
      <c r="BU640" s="27" t="s">
        <v>8</v>
      </c>
      <c r="BV640" s="27" t="s">
        <v>7</v>
      </c>
      <c r="BW640" s="27" t="s">
        <v>8</v>
      </c>
      <c r="EB640" s="27" t="s">
        <v>7</v>
      </c>
      <c r="EC640" s="27" t="s">
        <v>8</v>
      </c>
      <c r="ED640" s="27" t="s">
        <v>7</v>
      </c>
      <c r="EE640" s="27" t="s">
        <v>8</v>
      </c>
      <c r="EN640" s="27" t="s">
        <v>7</v>
      </c>
      <c r="EO640" s="27" t="s">
        <v>8</v>
      </c>
      <c r="EP640" s="27" t="s">
        <v>7</v>
      </c>
      <c r="FC640" s="27" t="s">
        <v>8</v>
      </c>
      <c r="FD640" s="27" t="s">
        <v>7</v>
      </c>
      <c r="FQ640" s="27" t="s">
        <v>8</v>
      </c>
      <c r="FR640" s="27" t="s">
        <v>7</v>
      </c>
      <c r="FS640" s="27" t="s">
        <v>8</v>
      </c>
      <c r="FX640" s="27" t="s">
        <v>7</v>
      </c>
      <c r="GH640" s="27" t="s">
        <v>7</v>
      </c>
      <c r="GI640" s="27" t="s">
        <v>8</v>
      </c>
      <c r="GL640" s="27" t="s">
        <v>7</v>
      </c>
      <c r="GP640" s="27" t="s">
        <v>7</v>
      </c>
      <c r="GQ640" s="27" t="s">
        <v>8</v>
      </c>
      <c r="GR640" s="27" t="s">
        <v>7</v>
      </c>
      <c r="GW640" s="27" t="s">
        <v>8</v>
      </c>
      <c r="GY640" s="27" t="s">
        <v>8</v>
      </c>
      <c r="GZ640" s="27" t="s">
        <v>7</v>
      </c>
      <c r="HA640" s="27" t="s">
        <v>8</v>
      </c>
      <c r="IJ640" s="27" t="s">
        <v>7</v>
      </c>
      <c r="IL640" s="27" t="s">
        <v>7</v>
      </c>
      <c r="IM640" s="27" t="s">
        <v>8</v>
      </c>
      <c r="IN640" s="27" t="s">
        <v>7</v>
      </c>
      <c r="IO640" s="27" t="s">
        <v>8</v>
      </c>
      <c r="IR640" s="27" t="s">
        <v>7</v>
      </c>
      <c r="IS640" s="27" t="s">
        <v>8</v>
      </c>
      <c r="IT640" s="27" t="s">
        <v>7</v>
      </c>
    </row>
    <row r="641" spans="1:257" x14ac:dyDescent="0.25">
      <c r="A641" s="7">
        <v>0.34323433454431179</v>
      </c>
      <c r="B641"/>
      <c r="C641"/>
      <c r="D641"/>
      <c r="E641"/>
      <c r="F641" s="27" t="s">
        <v>7</v>
      </c>
      <c r="AO641" s="27" t="s">
        <v>8</v>
      </c>
      <c r="AP641" s="27" t="s">
        <v>7</v>
      </c>
      <c r="AS641" s="27" t="s">
        <v>8</v>
      </c>
      <c r="AY641" s="27" t="s">
        <v>8</v>
      </c>
      <c r="AZ641" s="27" t="s">
        <v>7</v>
      </c>
      <c r="BO641" s="27" t="s">
        <v>8</v>
      </c>
      <c r="BU641" s="27" t="s">
        <v>8</v>
      </c>
      <c r="BV641" s="27" t="s">
        <v>7</v>
      </c>
      <c r="BW641" s="27" t="s">
        <v>8</v>
      </c>
      <c r="EB641" s="27" t="s">
        <v>7</v>
      </c>
      <c r="EC641" s="27" t="s">
        <v>8</v>
      </c>
      <c r="ED641" s="27" t="s">
        <v>7</v>
      </c>
      <c r="EE641" s="27" t="s">
        <v>8</v>
      </c>
      <c r="EN641" s="27" t="s">
        <v>7</v>
      </c>
      <c r="EO641" s="27" t="s">
        <v>8</v>
      </c>
      <c r="EP641" s="27" t="s">
        <v>7</v>
      </c>
      <c r="FC641" s="27" t="s">
        <v>8</v>
      </c>
      <c r="FD641" s="27" t="s">
        <v>7</v>
      </c>
      <c r="FE641" s="27" t="s">
        <v>8</v>
      </c>
      <c r="FQ641" s="27" t="s">
        <v>8</v>
      </c>
      <c r="FR641" s="27" t="s">
        <v>7</v>
      </c>
      <c r="GH641" s="27" t="s">
        <v>7</v>
      </c>
      <c r="GP641" s="27" t="s">
        <v>7</v>
      </c>
      <c r="GQ641" s="27" t="s">
        <v>8</v>
      </c>
      <c r="GR641" s="27" t="s">
        <v>7</v>
      </c>
      <c r="GW641" s="27" t="s">
        <v>8</v>
      </c>
      <c r="GX641" s="27" t="s">
        <v>7</v>
      </c>
      <c r="GY641" s="27" t="s">
        <v>8</v>
      </c>
      <c r="GZ641" s="27" t="s">
        <v>7</v>
      </c>
      <c r="HA641" s="27" t="s">
        <v>8</v>
      </c>
      <c r="IL641" s="27" t="s">
        <v>7</v>
      </c>
      <c r="IN641" s="27" t="s">
        <v>7</v>
      </c>
      <c r="IR641" s="27" t="s">
        <v>7</v>
      </c>
      <c r="IS641" s="27" t="s">
        <v>8</v>
      </c>
      <c r="IT641" s="27" t="s">
        <v>7</v>
      </c>
    </row>
    <row r="642" spans="1:257" x14ac:dyDescent="0.25">
      <c r="A642" s="7">
        <v>0.33650424955324681</v>
      </c>
      <c r="B642"/>
      <c r="C642"/>
      <c r="D642"/>
      <c r="E642"/>
      <c r="F642" s="27" t="s">
        <v>7</v>
      </c>
      <c r="I642" s="27" t="s">
        <v>8</v>
      </c>
      <c r="AO642" s="27" t="s">
        <v>8</v>
      </c>
      <c r="AP642" s="27" t="s">
        <v>7</v>
      </c>
      <c r="AS642" s="27" t="s">
        <v>8</v>
      </c>
      <c r="AT642" s="27" t="s">
        <v>7</v>
      </c>
      <c r="AY642" s="27" t="s">
        <v>8</v>
      </c>
      <c r="AZ642" s="27" t="s">
        <v>7</v>
      </c>
      <c r="BO642" s="27" t="s">
        <v>8</v>
      </c>
      <c r="BP642" s="27" t="s">
        <v>7</v>
      </c>
      <c r="BU642" s="27" t="s">
        <v>8</v>
      </c>
      <c r="BV642" s="27" t="s">
        <v>7</v>
      </c>
      <c r="EB642" s="27" t="s">
        <v>7</v>
      </c>
      <c r="EC642" s="27" t="s">
        <v>8</v>
      </c>
      <c r="ED642" s="27" t="s">
        <v>7</v>
      </c>
      <c r="EE642" s="27" t="s">
        <v>8</v>
      </c>
      <c r="EN642" s="27" t="s">
        <v>7</v>
      </c>
      <c r="EO642" s="27" t="s">
        <v>8</v>
      </c>
      <c r="EP642" s="27" t="s">
        <v>7</v>
      </c>
      <c r="EQ642" s="27" t="s">
        <v>8</v>
      </c>
      <c r="FC642" s="27" t="s">
        <v>8</v>
      </c>
      <c r="FD642" s="27" t="s">
        <v>7</v>
      </c>
      <c r="FE642" s="27" t="s">
        <v>8</v>
      </c>
      <c r="FF642" s="27" t="s">
        <v>7</v>
      </c>
      <c r="FG642" s="27" t="s">
        <v>8</v>
      </c>
      <c r="FQ642" s="27" t="s">
        <v>8</v>
      </c>
      <c r="GP642" s="27" t="s">
        <v>7</v>
      </c>
      <c r="GQ642" s="27" t="s">
        <v>8</v>
      </c>
      <c r="GR642" s="27" t="s">
        <v>7</v>
      </c>
      <c r="GW642" s="27" t="s">
        <v>8</v>
      </c>
      <c r="GX642" s="27" t="s">
        <v>7</v>
      </c>
      <c r="GY642" s="27" t="s">
        <v>8</v>
      </c>
      <c r="GZ642" s="27" t="s">
        <v>7</v>
      </c>
      <c r="HA642" s="27" t="s">
        <v>8</v>
      </c>
      <c r="IR642" s="27" t="s">
        <v>7</v>
      </c>
      <c r="IS642" s="27" t="s">
        <v>8</v>
      </c>
      <c r="IT642" s="27" t="s">
        <v>7</v>
      </c>
    </row>
    <row r="643" spans="1:257" x14ac:dyDescent="0.25">
      <c r="A643" s="7">
        <v>0.3299061270129871</v>
      </c>
      <c r="B643"/>
      <c r="C643"/>
      <c r="D643"/>
      <c r="E643"/>
      <c r="F643" s="27" t="s">
        <v>7</v>
      </c>
      <c r="G643" s="27" t="s">
        <v>8</v>
      </c>
      <c r="I643" s="27" t="s">
        <v>8</v>
      </c>
      <c r="J643" s="27" t="s">
        <v>7</v>
      </c>
      <c r="AO643" s="27" t="s">
        <v>8</v>
      </c>
      <c r="AP643" s="27" t="s">
        <v>7</v>
      </c>
      <c r="AS643" s="27" t="s">
        <v>8</v>
      </c>
      <c r="AT643" s="27" t="s">
        <v>7</v>
      </c>
      <c r="AY643" s="27" t="s">
        <v>8</v>
      </c>
      <c r="AZ643" s="27" t="s">
        <v>7</v>
      </c>
      <c r="BO643" s="27" t="s">
        <v>8</v>
      </c>
      <c r="BP643" s="27" t="s">
        <v>7</v>
      </c>
      <c r="BS643" s="27" t="s">
        <v>8</v>
      </c>
      <c r="BU643" s="27" t="s">
        <v>8</v>
      </c>
      <c r="EB643" s="27" t="s">
        <v>7</v>
      </c>
      <c r="EC643" s="27" t="s">
        <v>8</v>
      </c>
      <c r="ED643" s="27" t="s">
        <v>7</v>
      </c>
      <c r="EE643" s="27" t="s">
        <v>8</v>
      </c>
      <c r="EN643" s="27" t="s">
        <v>7</v>
      </c>
      <c r="EO643" s="27" t="s">
        <v>8</v>
      </c>
      <c r="EP643" s="27" t="s">
        <v>7</v>
      </c>
      <c r="EQ643" s="27" t="s">
        <v>8</v>
      </c>
      <c r="ER643" s="27" t="s">
        <v>7</v>
      </c>
      <c r="FC643" s="27" t="s">
        <v>8</v>
      </c>
      <c r="FD643" s="27" t="s">
        <v>7</v>
      </c>
      <c r="FE643" s="27" t="s">
        <v>8</v>
      </c>
      <c r="FF643" s="27" t="s">
        <v>7</v>
      </c>
      <c r="FG643" s="27" t="s">
        <v>8</v>
      </c>
      <c r="FH643" s="27" t="s">
        <v>7</v>
      </c>
      <c r="FQ643" s="27" t="s">
        <v>8</v>
      </c>
      <c r="GP643" s="27" t="s">
        <v>7</v>
      </c>
      <c r="GQ643" s="27" t="s">
        <v>8</v>
      </c>
      <c r="GR643" s="27" t="s">
        <v>7</v>
      </c>
      <c r="GW643" s="27" t="s">
        <v>8</v>
      </c>
      <c r="GX643" s="27" t="s">
        <v>7</v>
      </c>
      <c r="GY643" s="27" t="s">
        <v>8</v>
      </c>
      <c r="GZ643" s="27" t="s">
        <v>7</v>
      </c>
      <c r="HA643" s="27" t="s">
        <v>8</v>
      </c>
      <c r="IR643" s="27" t="s">
        <v>7</v>
      </c>
      <c r="IS643" s="27" t="s">
        <v>8</v>
      </c>
      <c r="IT643" s="27" t="s">
        <v>7</v>
      </c>
    </row>
    <row r="644" spans="1:257" x14ac:dyDescent="0.25">
      <c r="A644" s="7">
        <v>0.32343737942449713</v>
      </c>
      <c r="B644"/>
      <c r="C644"/>
      <c r="D644"/>
      <c r="E644"/>
      <c r="F644" s="27" t="s">
        <v>7</v>
      </c>
      <c r="G644" s="27" t="s">
        <v>8</v>
      </c>
      <c r="H644" s="27" t="s">
        <v>7</v>
      </c>
      <c r="I644" s="27" t="s">
        <v>8</v>
      </c>
      <c r="J644" s="27" t="s">
        <v>7</v>
      </c>
      <c r="AO644" s="27" t="s">
        <v>8</v>
      </c>
      <c r="AP644" s="27" t="s">
        <v>7</v>
      </c>
      <c r="AQ644" s="27" t="s">
        <v>8</v>
      </c>
      <c r="AS644" s="27" t="s">
        <v>8</v>
      </c>
      <c r="AT644" s="27" t="s">
        <v>7</v>
      </c>
      <c r="AY644" s="27" t="s">
        <v>8</v>
      </c>
      <c r="AZ644" s="27" t="s">
        <v>7</v>
      </c>
      <c r="BK644" s="27" t="s">
        <v>8</v>
      </c>
      <c r="BO644" s="27" t="s">
        <v>8</v>
      </c>
      <c r="BP644" s="27" t="s">
        <v>7</v>
      </c>
      <c r="BS644" s="27" t="s">
        <v>8</v>
      </c>
      <c r="BT644" s="27" t="s">
        <v>7</v>
      </c>
      <c r="BU644" s="27" t="s">
        <v>8</v>
      </c>
      <c r="EB644" s="27" t="s">
        <v>7</v>
      </c>
      <c r="EC644" s="27" t="s">
        <v>8</v>
      </c>
      <c r="ED644" s="27" t="s">
        <v>7</v>
      </c>
      <c r="EE644" s="27" t="s">
        <v>8</v>
      </c>
      <c r="EN644" s="27" t="s">
        <v>7</v>
      </c>
      <c r="EO644" s="27" t="s">
        <v>8</v>
      </c>
      <c r="EP644" s="27" t="s">
        <v>7</v>
      </c>
      <c r="EQ644" s="27" t="s">
        <v>8</v>
      </c>
      <c r="ER644" s="27" t="s">
        <v>7</v>
      </c>
      <c r="FC644" s="27" t="s">
        <v>8</v>
      </c>
      <c r="FD644" s="27" t="s">
        <v>7</v>
      </c>
      <c r="FE644" s="27" t="s">
        <v>8</v>
      </c>
      <c r="FF644" s="27" t="s">
        <v>7</v>
      </c>
      <c r="FG644" s="27" t="s">
        <v>8</v>
      </c>
      <c r="FH644" s="27" t="s">
        <v>7</v>
      </c>
      <c r="FQ644" s="27" t="s">
        <v>8</v>
      </c>
      <c r="GP644" s="27" t="s">
        <v>7</v>
      </c>
      <c r="GQ644" s="27" t="s">
        <v>8</v>
      </c>
      <c r="GR644" s="27" t="s">
        <v>7</v>
      </c>
      <c r="GS644" s="27" t="s">
        <v>8</v>
      </c>
      <c r="GU644" s="27" t="s">
        <v>8</v>
      </c>
      <c r="GW644" s="27" t="s">
        <v>8</v>
      </c>
      <c r="GX644" s="27" t="s">
        <v>7</v>
      </c>
      <c r="GZ644" s="27" t="s">
        <v>7</v>
      </c>
      <c r="HA644" s="27" t="s">
        <v>8</v>
      </c>
      <c r="IR644" s="27" t="s">
        <v>7</v>
      </c>
      <c r="IS644" s="27" t="s">
        <v>8</v>
      </c>
      <c r="IT644" s="27" t="s">
        <v>7</v>
      </c>
    </row>
    <row r="645" spans="1:257" x14ac:dyDescent="0.25">
      <c r="A645" s="7">
        <v>0.31709547002401678</v>
      </c>
      <c r="B645"/>
      <c r="C645"/>
      <c r="D645"/>
      <c r="E645"/>
      <c r="F645" s="27" t="s">
        <v>7</v>
      </c>
      <c r="G645" s="27" t="s">
        <v>8</v>
      </c>
      <c r="H645" s="27" t="s">
        <v>7</v>
      </c>
      <c r="I645" s="27" t="s">
        <v>8</v>
      </c>
      <c r="J645" s="27" t="s">
        <v>7</v>
      </c>
      <c r="AO645" s="27" t="s">
        <v>8</v>
      </c>
      <c r="AP645" s="27" t="s">
        <v>7</v>
      </c>
      <c r="AQ645" s="27" t="s">
        <v>8</v>
      </c>
      <c r="AR645" s="27" t="s">
        <v>7</v>
      </c>
      <c r="AS645" s="27" t="s">
        <v>8</v>
      </c>
      <c r="AT645" s="27" t="s">
        <v>7</v>
      </c>
      <c r="AY645" s="27" t="s">
        <v>8</v>
      </c>
      <c r="AZ645" s="27" t="s">
        <v>7</v>
      </c>
      <c r="BI645" s="27" t="s">
        <v>8</v>
      </c>
      <c r="BK645" s="27" t="s">
        <v>8</v>
      </c>
      <c r="BL645" s="27" t="s">
        <v>7</v>
      </c>
      <c r="BO645" s="27" t="s">
        <v>8</v>
      </c>
      <c r="BP645" s="27" t="s">
        <v>7</v>
      </c>
      <c r="BS645" s="27" t="s">
        <v>8</v>
      </c>
      <c r="BT645" s="27" t="s">
        <v>7</v>
      </c>
      <c r="BU645" s="27" t="s">
        <v>8</v>
      </c>
      <c r="EB645" s="27" t="s">
        <v>7</v>
      </c>
      <c r="EC645" s="27" t="s">
        <v>8</v>
      </c>
      <c r="ED645" s="27" t="s">
        <v>7</v>
      </c>
      <c r="EE645" s="27" t="s">
        <v>8</v>
      </c>
      <c r="EN645" s="27" t="s">
        <v>7</v>
      </c>
      <c r="EO645" s="27" t="s">
        <v>8</v>
      </c>
      <c r="EP645" s="27" t="s">
        <v>7</v>
      </c>
      <c r="EQ645" s="27" t="s">
        <v>8</v>
      </c>
      <c r="ER645" s="27" t="s">
        <v>7</v>
      </c>
      <c r="EW645" s="27" t="s">
        <v>8</v>
      </c>
      <c r="FC645" s="27" t="s">
        <v>8</v>
      </c>
      <c r="FD645" s="27" t="s">
        <v>7</v>
      </c>
      <c r="FE645" s="27" t="s">
        <v>8</v>
      </c>
      <c r="FF645" s="27" t="s">
        <v>7</v>
      </c>
      <c r="FG645" s="27" t="s">
        <v>8</v>
      </c>
      <c r="FH645" s="27" t="s">
        <v>7</v>
      </c>
      <c r="FI645" s="27" t="s">
        <v>8</v>
      </c>
      <c r="FQ645" s="27" t="s">
        <v>8</v>
      </c>
      <c r="GP645" s="27" t="s">
        <v>7</v>
      </c>
      <c r="GR645" s="27" t="s">
        <v>7</v>
      </c>
      <c r="GS645" s="27" t="s">
        <v>8</v>
      </c>
      <c r="GT645" s="27" t="s">
        <v>7</v>
      </c>
      <c r="GU645" s="27" t="s">
        <v>8</v>
      </c>
      <c r="GV645" s="27" t="s">
        <v>7</v>
      </c>
      <c r="GW645" s="27" t="s">
        <v>8</v>
      </c>
      <c r="GZ645" s="27" t="s">
        <v>7</v>
      </c>
      <c r="IR645" s="27" t="s">
        <v>7</v>
      </c>
      <c r="IS645" s="27" t="s">
        <v>8</v>
      </c>
      <c r="IT645" s="27" t="s">
        <v>7</v>
      </c>
    </row>
    <row r="646" spans="1:257" x14ac:dyDescent="0.25">
      <c r="A646" s="7">
        <v>0.31087791178825175</v>
      </c>
      <c r="B646"/>
      <c r="C646"/>
      <c r="D646"/>
      <c r="E646"/>
      <c r="F646" s="27" t="s">
        <v>7</v>
      </c>
      <c r="G646" s="27" t="s">
        <v>8</v>
      </c>
      <c r="H646" s="27" t="s">
        <v>7</v>
      </c>
      <c r="I646" s="27" t="s">
        <v>8</v>
      </c>
      <c r="J646" s="27" t="s">
        <v>7</v>
      </c>
      <c r="AO646" s="27" t="s">
        <v>8</v>
      </c>
      <c r="AP646" s="27" t="s">
        <v>7</v>
      </c>
      <c r="AQ646" s="27" t="s">
        <v>8</v>
      </c>
      <c r="AR646" s="27" t="s">
        <v>7</v>
      </c>
      <c r="AS646" s="27" t="s">
        <v>8</v>
      </c>
      <c r="AT646" s="27" t="s">
        <v>7</v>
      </c>
      <c r="AY646" s="27" t="s">
        <v>8</v>
      </c>
      <c r="AZ646" s="27" t="s">
        <v>7</v>
      </c>
      <c r="BI646" s="27" t="s">
        <v>8</v>
      </c>
      <c r="BJ646" s="27" t="s">
        <v>7</v>
      </c>
      <c r="BK646" s="27" t="s">
        <v>8</v>
      </c>
      <c r="BL646" s="27" t="s">
        <v>7</v>
      </c>
      <c r="BO646" s="27" t="s">
        <v>8</v>
      </c>
      <c r="BP646" s="27" t="s">
        <v>7</v>
      </c>
      <c r="BQ646" s="27" t="s">
        <v>8</v>
      </c>
      <c r="BS646" s="27" t="s">
        <v>8</v>
      </c>
      <c r="BT646" s="27" t="s">
        <v>7</v>
      </c>
      <c r="BU646" s="27" t="s">
        <v>8</v>
      </c>
      <c r="EB646" s="27" t="s">
        <v>7</v>
      </c>
      <c r="EC646" s="27" t="s">
        <v>8</v>
      </c>
      <c r="ED646" s="27" t="s">
        <v>7</v>
      </c>
      <c r="EE646" s="27" t="s">
        <v>8</v>
      </c>
      <c r="EN646" s="27" t="s">
        <v>7</v>
      </c>
      <c r="EP646" s="27" t="s">
        <v>7</v>
      </c>
      <c r="EQ646" s="27" t="s">
        <v>8</v>
      </c>
      <c r="ER646" s="27" t="s">
        <v>7</v>
      </c>
      <c r="EW646" s="27" t="s">
        <v>8</v>
      </c>
      <c r="EX646" s="27" t="s">
        <v>7</v>
      </c>
      <c r="FC646" s="27" t="s">
        <v>8</v>
      </c>
      <c r="FD646" s="27" t="s">
        <v>7</v>
      </c>
      <c r="FE646" s="27" t="s">
        <v>8</v>
      </c>
      <c r="FF646" s="27" t="s">
        <v>7</v>
      </c>
      <c r="FH646" s="27" t="s">
        <v>7</v>
      </c>
      <c r="FI646" s="27" t="s">
        <v>8</v>
      </c>
      <c r="FJ646" s="27" t="s">
        <v>7</v>
      </c>
      <c r="FQ646" s="27" t="s">
        <v>8</v>
      </c>
      <c r="GR646" s="27" t="s">
        <v>7</v>
      </c>
      <c r="GS646" s="27" t="s">
        <v>8</v>
      </c>
      <c r="GT646" s="27" t="s">
        <v>7</v>
      </c>
      <c r="GU646" s="27" t="s">
        <v>8</v>
      </c>
      <c r="GV646" s="27" t="s">
        <v>7</v>
      </c>
      <c r="GW646" s="27" t="s">
        <v>8</v>
      </c>
      <c r="IR646" s="27" t="s">
        <v>7</v>
      </c>
      <c r="IS646" s="27" t="s">
        <v>8</v>
      </c>
      <c r="IT646" s="27" t="s">
        <v>7</v>
      </c>
    </row>
    <row r="647" spans="1:257" x14ac:dyDescent="0.25">
      <c r="A647" s="7">
        <v>0.30478226645907036</v>
      </c>
      <c r="B647"/>
      <c r="C647"/>
      <c r="D647"/>
      <c r="E647"/>
      <c r="F647" s="27" t="s">
        <v>7</v>
      </c>
      <c r="G647" s="27" t="s">
        <v>8</v>
      </c>
      <c r="H647" s="27" t="s">
        <v>7</v>
      </c>
      <c r="I647" s="27" t="s">
        <v>8</v>
      </c>
      <c r="J647" s="27" t="s">
        <v>7</v>
      </c>
      <c r="K647" s="27" t="s">
        <v>8</v>
      </c>
      <c r="AO647" s="27" t="s">
        <v>8</v>
      </c>
      <c r="AP647" s="27" t="s">
        <v>7</v>
      </c>
      <c r="AQ647" s="27" t="s">
        <v>8</v>
      </c>
      <c r="AR647" s="27" t="s">
        <v>7</v>
      </c>
      <c r="AS647" s="27" t="s">
        <v>8</v>
      </c>
      <c r="AT647" s="27" t="s">
        <v>7</v>
      </c>
      <c r="AY647" s="27" t="s">
        <v>8</v>
      </c>
      <c r="AZ647" s="27" t="s">
        <v>7</v>
      </c>
      <c r="BI647" s="27" t="s">
        <v>8</v>
      </c>
      <c r="BJ647" s="27" t="s">
        <v>7</v>
      </c>
      <c r="BK647" s="27" t="s">
        <v>8</v>
      </c>
      <c r="BL647" s="27" t="s">
        <v>7</v>
      </c>
      <c r="BO647" s="27" t="s">
        <v>8</v>
      </c>
      <c r="BP647" s="27" t="s">
        <v>7</v>
      </c>
      <c r="BQ647" s="27" t="s">
        <v>8</v>
      </c>
      <c r="BR647" s="27" t="s">
        <v>7</v>
      </c>
      <c r="BS647" s="27" t="s">
        <v>8</v>
      </c>
      <c r="BT647" s="27" t="s">
        <v>7</v>
      </c>
      <c r="BU647" s="27" t="s">
        <v>8</v>
      </c>
      <c r="EB647" s="27" t="s">
        <v>7</v>
      </c>
      <c r="ED647" s="27" t="s">
        <v>7</v>
      </c>
      <c r="EE647" s="27" t="s">
        <v>8</v>
      </c>
      <c r="EP647" s="27" t="s">
        <v>7</v>
      </c>
      <c r="EQ647" s="27" t="s">
        <v>8</v>
      </c>
      <c r="ER647" s="27" t="s">
        <v>7</v>
      </c>
      <c r="EW647" s="27" t="s">
        <v>8</v>
      </c>
      <c r="EX647" s="27" t="s">
        <v>7</v>
      </c>
      <c r="FC647" s="27" t="s">
        <v>8</v>
      </c>
      <c r="FD647" s="27" t="s">
        <v>7</v>
      </c>
      <c r="FE647" s="27" t="s">
        <v>8</v>
      </c>
      <c r="FH647" s="27" t="s">
        <v>7</v>
      </c>
      <c r="FI647" s="27" t="s">
        <v>8</v>
      </c>
      <c r="FJ647" s="27" t="s">
        <v>7</v>
      </c>
      <c r="FO647" s="27" t="s">
        <v>8</v>
      </c>
      <c r="FQ647" s="27" t="s">
        <v>8</v>
      </c>
      <c r="GR647" s="27" t="s">
        <v>7</v>
      </c>
      <c r="GT647" s="27" t="s">
        <v>7</v>
      </c>
      <c r="GU647" s="27" t="s">
        <v>8</v>
      </c>
      <c r="GV647" s="27" t="s">
        <v>7</v>
      </c>
      <c r="GW647" s="27" t="s">
        <v>8</v>
      </c>
      <c r="IR647" s="27" t="s">
        <v>7</v>
      </c>
      <c r="IS647" s="27" t="s">
        <v>8</v>
      </c>
      <c r="IT647" s="27" t="s">
        <v>7</v>
      </c>
    </row>
    <row r="648" spans="1:257" x14ac:dyDescent="0.25">
      <c r="A648" s="7">
        <v>0.29880614358732388</v>
      </c>
      <c r="B648"/>
      <c r="C648"/>
      <c r="D648"/>
      <c r="E648"/>
      <c r="F648" s="27" t="s">
        <v>7</v>
      </c>
      <c r="G648" s="27" t="s">
        <v>8</v>
      </c>
      <c r="H648" s="27" t="s">
        <v>7</v>
      </c>
      <c r="I648" s="27" t="s">
        <v>8</v>
      </c>
      <c r="J648" s="27" t="s">
        <v>7</v>
      </c>
      <c r="K648" s="27" t="s">
        <v>8</v>
      </c>
      <c r="L648" s="27" t="s">
        <v>7</v>
      </c>
      <c r="AO648" s="27" t="s">
        <v>8</v>
      </c>
      <c r="AP648" s="27" t="s">
        <v>7</v>
      </c>
      <c r="AQ648" s="27" t="s">
        <v>8</v>
      </c>
      <c r="AR648" s="27" t="s">
        <v>7</v>
      </c>
      <c r="AS648" s="27" t="s">
        <v>8</v>
      </c>
      <c r="AT648" s="27" t="s">
        <v>7</v>
      </c>
      <c r="AY648" s="27" t="s">
        <v>8</v>
      </c>
      <c r="AZ648" s="27" t="s">
        <v>7</v>
      </c>
      <c r="BI648" s="27" t="s">
        <v>8</v>
      </c>
      <c r="BJ648" s="27" t="s">
        <v>7</v>
      </c>
      <c r="BK648" s="27" t="s">
        <v>8</v>
      </c>
      <c r="BL648" s="27" t="s">
        <v>7</v>
      </c>
      <c r="BO648" s="27" t="s">
        <v>8</v>
      </c>
      <c r="BP648" s="27" t="s">
        <v>7</v>
      </c>
      <c r="BQ648" s="27" t="s">
        <v>8</v>
      </c>
      <c r="BR648" s="27" t="s">
        <v>7</v>
      </c>
      <c r="BS648" s="27" t="s">
        <v>8</v>
      </c>
      <c r="BT648" s="27" t="s">
        <v>7</v>
      </c>
      <c r="BU648" s="27" t="s">
        <v>8</v>
      </c>
      <c r="ED648" s="27" t="s">
        <v>7</v>
      </c>
      <c r="EE648" s="27" t="s">
        <v>8</v>
      </c>
      <c r="EP648" s="27" t="s">
        <v>7</v>
      </c>
      <c r="EQ648" s="27" t="s">
        <v>8</v>
      </c>
      <c r="ER648" s="27" t="s">
        <v>7</v>
      </c>
      <c r="EW648" s="27" t="s">
        <v>8</v>
      </c>
      <c r="EX648" s="27" t="s">
        <v>7</v>
      </c>
      <c r="FC648" s="27" t="s">
        <v>8</v>
      </c>
      <c r="FD648" s="27" t="s">
        <v>7</v>
      </c>
      <c r="FH648" s="27" t="s">
        <v>7</v>
      </c>
      <c r="FI648" s="27" t="s">
        <v>8</v>
      </c>
      <c r="FJ648" s="27" t="s">
        <v>7</v>
      </c>
      <c r="FM648" s="27" t="s">
        <v>8</v>
      </c>
      <c r="FO648" s="27" t="s">
        <v>8</v>
      </c>
      <c r="FP648" s="27" t="s">
        <v>7</v>
      </c>
      <c r="FQ648" s="27" t="s">
        <v>8</v>
      </c>
      <c r="GT648" s="27" t="s">
        <v>7</v>
      </c>
      <c r="GV648" s="27" t="s">
        <v>7</v>
      </c>
      <c r="GW648" s="27" t="s">
        <v>8</v>
      </c>
      <c r="IR648" s="27" t="s">
        <v>7</v>
      </c>
      <c r="IS648" s="27" t="s">
        <v>8</v>
      </c>
      <c r="IT648" s="27" t="s">
        <v>7</v>
      </c>
    </row>
    <row r="649" spans="1:257" x14ac:dyDescent="0.25">
      <c r="A649" s="7">
        <v>0.2929471995954156</v>
      </c>
      <c r="B649"/>
      <c r="C649"/>
      <c r="D649"/>
      <c r="E649"/>
      <c r="F649" s="27" t="s">
        <v>7</v>
      </c>
      <c r="G649" s="27" t="s">
        <v>8</v>
      </c>
      <c r="H649" s="27" t="s">
        <v>7</v>
      </c>
      <c r="J649" s="27" t="s">
        <v>7</v>
      </c>
      <c r="K649" s="27" t="s">
        <v>8</v>
      </c>
      <c r="L649" s="27" t="s">
        <v>7</v>
      </c>
      <c r="AK649" s="27" t="s">
        <v>8</v>
      </c>
      <c r="AO649" s="27" t="s">
        <v>8</v>
      </c>
      <c r="AP649" s="27" t="s">
        <v>7</v>
      </c>
      <c r="AQ649" s="27" t="s">
        <v>8</v>
      </c>
      <c r="AR649" s="27" t="s">
        <v>7</v>
      </c>
      <c r="AS649" s="27" t="s">
        <v>8</v>
      </c>
      <c r="AT649" s="27" t="s">
        <v>7</v>
      </c>
      <c r="AY649" s="27" t="s">
        <v>8</v>
      </c>
      <c r="AZ649" s="27" t="s">
        <v>7</v>
      </c>
      <c r="BI649" s="27" t="s">
        <v>8</v>
      </c>
      <c r="BJ649" s="27" t="s">
        <v>7</v>
      </c>
      <c r="BK649" s="27" t="s">
        <v>8</v>
      </c>
      <c r="BL649" s="27" t="s">
        <v>7</v>
      </c>
      <c r="BO649" s="27" t="s">
        <v>8</v>
      </c>
      <c r="BP649" s="27" t="s">
        <v>7</v>
      </c>
      <c r="BQ649" s="27" t="s">
        <v>8</v>
      </c>
      <c r="BR649" s="27" t="s">
        <v>7</v>
      </c>
      <c r="BT649" s="27" t="s">
        <v>7</v>
      </c>
      <c r="BU649" s="27" t="s">
        <v>8</v>
      </c>
      <c r="ED649" s="27" t="s">
        <v>7</v>
      </c>
      <c r="EE649" s="27" t="s">
        <v>8</v>
      </c>
      <c r="EP649" s="27" t="s">
        <v>7</v>
      </c>
      <c r="ER649" s="27" t="s">
        <v>7</v>
      </c>
      <c r="EW649" s="27" t="s">
        <v>8</v>
      </c>
      <c r="EX649" s="27" t="s">
        <v>7</v>
      </c>
      <c r="FA649" s="27" t="s">
        <v>8</v>
      </c>
      <c r="FC649" s="27" t="s">
        <v>8</v>
      </c>
      <c r="FH649" s="27" t="s">
        <v>7</v>
      </c>
      <c r="FI649" s="27" t="s">
        <v>8</v>
      </c>
      <c r="FJ649" s="27" t="s">
        <v>7</v>
      </c>
      <c r="FK649" s="27" t="s">
        <v>8</v>
      </c>
      <c r="FM649" s="27" t="s">
        <v>8</v>
      </c>
      <c r="FN649" s="27" t="s">
        <v>7</v>
      </c>
      <c r="FO649" s="27" t="s">
        <v>8</v>
      </c>
      <c r="FP649" s="27" t="s">
        <v>7</v>
      </c>
      <c r="FQ649" s="27" t="s">
        <v>8</v>
      </c>
      <c r="GV649" s="27" t="s">
        <v>7</v>
      </c>
      <c r="GW649" s="27" t="s">
        <v>8</v>
      </c>
      <c r="IR649" s="27" t="s">
        <v>7</v>
      </c>
      <c r="IT649" s="27" t="s">
        <v>7</v>
      </c>
    </row>
    <row r="650" spans="1:257" x14ac:dyDescent="0.25">
      <c r="A650" s="7">
        <v>0.28720313685825055</v>
      </c>
      <c r="B650"/>
      <c r="C650"/>
      <c r="D650"/>
      <c r="E650"/>
      <c r="F650" s="27" t="s">
        <v>7</v>
      </c>
      <c r="G650" s="27" t="s">
        <v>8</v>
      </c>
      <c r="J650" s="27" t="s">
        <v>7</v>
      </c>
      <c r="K650" s="27" t="s">
        <v>8</v>
      </c>
      <c r="L650" s="27" t="s">
        <v>7</v>
      </c>
      <c r="Q650" s="27" t="s">
        <v>8</v>
      </c>
      <c r="AK650" s="27" t="s">
        <v>8</v>
      </c>
      <c r="AL650" s="27" t="s">
        <v>7</v>
      </c>
      <c r="AO650" s="27" t="s">
        <v>8</v>
      </c>
      <c r="AP650" s="27" t="s">
        <v>7</v>
      </c>
      <c r="AQ650" s="27" t="s">
        <v>8</v>
      </c>
      <c r="AR650" s="27" t="s">
        <v>7</v>
      </c>
      <c r="AT650" s="27" t="s">
        <v>7</v>
      </c>
      <c r="AY650" s="27" t="s">
        <v>8</v>
      </c>
      <c r="AZ650" s="27" t="s">
        <v>7</v>
      </c>
      <c r="BI650" s="27" t="s">
        <v>8</v>
      </c>
      <c r="BJ650" s="27" t="s">
        <v>7</v>
      </c>
      <c r="BK650" s="27" t="s">
        <v>8</v>
      </c>
      <c r="BL650" s="27" t="s">
        <v>7</v>
      </c>
      <c r="BO650" s="27" t="s">
        <v>8</v>
      </c>
      <c r="BP650" s="27" t="s">
        <v>7</v>
      </c>
      <c r="BQ650" s="27" t="s">
        <v>8</v>
      </c>
      <c r="BT650" s="27" t="s">
        <v>7</v>
      </c>
      <c r="BU650" s="27" t="s">
        <v>8</v>
      </c>
      <c r="ED650" s="27" t="s">
        <v>7</v>
      </c>
      <c r="EE650" s="27" t="s">
        <v>8</v>
      </c>
      <c r="ER650" s="27" t="s">
        <v>7</v>
      </c>
      <c r="EW650" s="27" t="s">
        <v>8</v>
      </c>
      <c r="EX650" s="27" t="s">
        <v>7</v>
      </c>
      <c r="EY650" s="27" t="s">
        <v>8</v>
      </c>
      <c r="FA650" s="27" t="s">
        <v>8</v>
      </c>
      <c r="FB650" s="27" t="s">
        <v>7</v>
      </c>
      <c r="FC650" s="27" t="s">
        <v>8</v>
      </c>
      <c r="FH650" s="27" t="s">
        <v>7</v>
      </c>
      <c r="FI650" s="27" t="s">
        <v>8</v>
      </c>
      <c r="FJ650" s="27" t="s">
        <v>7</v>
      </c>
      <c r="FK650" s="27" t="s">
        <v>8</v>
      </c>
      <c r="FL650" s="27" t="s">
        <v>7</v>
      </c>
      <c r="FM650" s="27" t="s">
        <v>8</v>
      </c>
      <c r="FN650" s="27" t="s">
        <v>7</v>
      </c>
      <c r="FO650" s="27" t="s">
        <v>8</v>
      </c>
      <c r="FP650" s="27" t="s">
        <v>7</v>
      </c>
      <c r="FQ650" s="27" t="s">
        <v>8</v>
      </c>
      <c r="GV650" s="27" t="s">
        <v>7</v>
      </c>
      <c r="IT650" s="27" t="s">
        <v>7</v>
      </c>
    </row>
    <row r="651" spans="1:257" x14ac:dyDescent="0.25">
      <c r="A651" s="7">
        <v>0.28157170280220645</v>
      </c>
      <c r="B651"/>
      <c r="C651"/>
      <c r="D651"/>
      <c r="E651"/>
      <c r="F651" s="27" t="s">
        <v>7</v>
      </c>
      <c r="G651" s="27" t="s">
        <v>8</v>
      </c>
      <c r="J651" s="27" t="s">
        <v>7</v>
      </c>
      <c r="L651" s="27" t="s">
        <v>7</v>
      </c>
      <c r="O651" s="27" t="s">
        <v>8</v>
      </c>
      <c r="Q651" s="27" t="s">
        <v>8</v>
      </c>
      <c r="R651" s="27" t="s">
        <v>7</v>
      </c>
      <c r="AK651" s="27" t="s">
        <v>8</v>
      </c>
      <c r="AL651" s="27" t="s">
        <v>7</v>
      </c>
      <c r="AO651" s="27" t="s">
        <v>8</v>
      </c>
      <c r="AP651" s="27" t="s">
        <v>7</v>
      </c>
      <c r="AQ651" s="27" t="s">
        <v>8</v>
      </c>
      <c r="AT651" s="27" t="s">
        <v>7</v>
      </c>
      <c r="AY651" s="27" t="s">
        <v>8</v>
      </c>
      <c r="AZ651" s="27" t="s">
        <v>7</v>
      </c>
      <c r="BI651" s="27" t="s">
        <v>8</v>
      </c>
      <c r="BJ651" s="27" t="s">
        <v>7</v>
      </c>
      <c r="BK651" s="27" t="s">
        <v>8</v>
      </c>
      <c r="BL651" s="27" t="s">
        <v>7</v>
      </c>
      <c r="BO651" s="27" t="s">
        <v>8</v>
      </c>
      <c r="BP651" s="27" t="s">
        <v>7</v>
      </c>
      <c r="BQ651" s="27" t="s">
        <v>8</v>
      </c>
      <c r="BT651" s="27" t="s">
        <v>7</v>
      </c>
      <c r="BU651" s="27" t="s">
        <v>8</v>
      </c>
      <c r="ED651" s="27" t="s">
        <v>7</v>
      </c>
      <c r="ER651" s="27" t="s">
        <v>7</v>
      </c>
      <c r="EW651" s="27" t="s">
        <v>8</v>
      </c>
      <c r="EX651" s="27" t="s">
        <v>7</v>
      </c>
      <c r="EY651" s="27" t="s">
        <v>8</v>
      </c>
      <c r="EZ651" s="27" t="s">
        <v>7</v>
      </c>
      <c r="FA651" s="27" t="s">
        <v>8</v>
      </c>
      <c r="FB651" s="27" t="s">
        <v>7</v>
      </c>
      <c r="FC651" s="27" t="s">
        <v>8</v>
      </c>
      <c r="FH651" s="27" t="s">
        <v>7</v>
      </c>
      <c r="FI651" s="27" t="s">
        <v>8</v>
      </c>
      <c r="FJ651" s="27" t="s">
        <v>7</v>
      </c>
      <c r="FK651" s="27" t="s">
        <v>8</v>
      </c>
      <c r="FL651" s="27" t="s">
        <v>7</v>
      </c>
      <c r="FM651" s="27" t="s">
        <v>8</v>
      </c>
      <c r="FN651" s="27" t="s">
        <v>7</v>
      </c>
      <c r="FO651" s="27" t="s">
        <v>8</v>
      </c>
      <c r="FP651" s="27" t="s">
        <v>7</v>
      </c>
      <c r="IT651" s="27" t="s">
        <v>7</v>
      </c>
    </row>
    <row r="652" spans="1:257" x14ac:dyDescent="0.25">
      <c r="A652" s="7">
        <v>0.27605068902177105</v>
      </c>
      <c r="B652"/>
      <c r="C652"/>
      <c r="D652"/>
      <c r="E652"/>
      <c r="F652" s="27" t="s">
        <v>7</v>
      </c>
      <c r="G652" s="27" t="s">
        <v>8</v>
      </c>
      <c r="L652" s="27" t="s">
        <v>7</v>
      </c>
      <c r="M652" s="27" t="s">
        <v>8</v>
      </c>
      <c r="O652" s="27" t="s">
        <v>8</v>
      </c>
      <c r="P652" s="27" t="s">
        <v>7</v>
      </c>
      <c r="Q652" s="27" t="s">
        <v>8</v>
      </c>
      <c r="R652" s="27" t="s">
        <v>7</v>
      </c>
      <c r="S652" s="27" t="s">
        <v>8</v>
      </c>
      <c r="Y652" s="27" t="s">
        <v>8</v>
      </c>
      <c r="AK652" s="27" t="s">
        <v>8</v>
      </c>
      <c r="AL652" s="27" t="s">
        <v>7</v>
      </c>
      <c r="AO652" s="27" t="s">
        <v>8</v>
      </c>
      <c r="AP652" s="27" t="s">
        <v>7</v>
      </c>
      <c r="AQ652" s="27" t="s">
        <v>8</v>
      </c>
      <c r="AT652" s="27" t="s">
        <v>7</v>
      </c>
      <c r="AY652" s="27" t="s">
        <v>8</v>
      </c>
      <c r="AZ652" s="27" t="s">
        <v>7</v>
      </c>
      <c r="BC652" s="27" t="s">
        <v>8</v>
      </c>
      <c r="BI652" s="27" t="s">
        <v>8</v>
      </c>
      <c r="BJ652" s="27" t="s">
        <v>7</v>
      </c>
      <c r="BK652" s="27" t="s">
        <v>8</v>
      </c>
      <c r="BL652" s="27" t="s">
        <v>7</v>
      </c>
      <c r="BM652" s="27" t="s">
        <v>8</v>
      </c>
      <c r="BO652" s="27" t="s">
        <v>8</v>
      </c>
      <c r="BP652" s="27" t="s">
        <v>7</v>
      </c>
      <c r="BQ652" s="27" t="s">
        <v>8</v>
      </c>
      <c r="BT652" s="27" t="s">
        <v>7</v>
      </c>
      <c r="BU652" s="27" t="s">
        <v>8</v>
      </c>
      <c r="ER652" s="27" t="s">
        <v>7</v>
      </c>
      <c r="EW652" s="27" t="s">
        <v>8</v>
      </c>
      <c r="EX652" s="27" t="s">
        <v>7</v>
      </c>
      <c r="EY652" s="27" t="s">
        <v>8</v>
      </c>
      <c r="EZ652" s="27" t="s">
        <v>7</v>
      </c>
      <c r="FA652" s="27" t="s">
        <v>8</v>
      </c>
      <c r="FB652" s="27" t="s">
        <v>7</v>
      </c>
      <c r="FC652" s="27" t="s">
        <v>8</v>
      </c>
      <c r="FH652" s="27" t="s">
        <v>7</v>
      </c>
      <c r="FI652" s="27" t="s">
        <v>8</v>
      </c>
      <c r="FJ652" s="27" t="s">
        <v>7</v>
      </c>
      <c r="FK652" s="27" t="s">
        <v>8</v>
      </c>
      <c r="FL652" s="27" t="s">
        <v>7</v>
      </c>
      <c r="FM652" s="27" t="s">
        <v>8</v>
      </c>
      <c r="FN652" s="27" t="s">
        <v>7</v>
      </c>
      <c r="IT652" s="27" t="s">
        <v>7</v>
      </c>
    </row>
    <row r="653" spans="1:257" x14ac:dyDescent="0.25">
      <c r="A653" s="7">
        <v>0.27063793041350104</v>
      </c>
      <c r="B653"/>
      <c r="C653"/>
      <c r="D653"/>
      <c r="E653"/>
      <c r="F653" s="27" t="s">
        <v>7</v>
      </c>
      <c r="G653" s="27" t="s">
        <v>8</v>
      </c>
      <c r="L653" s="27" t="s">
        <v>7</v>
      </c>
      <c r="M653" s="27" t="s">
        <v>8</v>
      </c>
      <c r="N653" s="27" t="s">
        <v>7</v>
      </c>
      <c r="O653" s="27" t="s">
        <v>8</v>
      </c>
      <c r="P653" s="27" t="s">
        <v>7</v>
      </c>
      <c r="Q653" s="27" t="s">
        <v>8</v>
      </c>
      <c r="R653" s="27" t="s">
        <v>7</v>
      </c>
      <c r="S653" s="27" t="s">
        <v>8</v>
      </c>
      <c r="T653" s="27" t="s">
        <v>7</v>
      </c>
      <c r="Y653" s="27" t="s">
        <v>8</v>
      </c>
      <c r="Z653" s="27" t="s">
        <v>7</v>
      </c>
      <c r="AK653" s="27" t="s">
        <v>8</v>
      </c>
      <c r="AL653" s="27" t="s">
        <v>7</v>
      </c>
      <c r="AO653" s="27" t="s">
        <v>8</v>
      </c>
      <c r="AP653" s="27" t="s">
        <v>7</v>
      </c>
      <c r="AQ653" s="27" t="s">
        <v>8</v>
      </c>
      <c r="AT653" s="27" t="s">
        <v>7</v>
      </c>
      <c r="AU653" s="27" t="s">
        <v>8</v>
      </c>
      <c r="AW653" s="27" t="s">
        <v>8</v>
      </c>
      <c r="AY653" s="27" t="s">
        <v>8</v>
      </c>
      <c r="AZ653" s="27" t="s">
        <v>7</v>
      </c>
      <c r="BC653" s="27" t="s">
        <v>8</v>
      </c>
      <c r="BD653" s="27" t="s">
        <v>7</v>
      </c>
      <c r="BI653" s="27" t="s">
        <v>8</v>
      </c>
      <c r="BJ653" s="27" t="s">
        <v>7</v>
      </c>
      <c r="BK653" s="27" t="s">
        <v>8</v>
      </c>
      <c r="BL653" s="27" t="s">
        <v>7</v>
      </c>
      <c r="BM653" s="27" t="s">
        <v>8</v>
      </c>
      <c r="BN653" s="27" t="s">
        <v>7</v>
      </c>
      <c r="BO653" s="27" t="s">
        <v>8</v>
      </c>
      <c r="BP653" s="27" t="s">
        <v>7</v>
      </c>
      <c r="BQ653" s="27" t="s">
        <v>8</v>
      </c>
      <c r="BT653" s="27" t="s">
        <v>7</v>
      </c>
      <c r="BU653" s="27" t="s">
        <v>8</v>
      </c>
      <c r="ER653" s="27" t="s">
        <v>7</v>
      </c>
      <c r="EU653" s="27" t="s">
        <v>8</v>
      </c>
      <c r="EW653" s="27" t="s">
        <v>8</v>
      </c>
      <c r="EX653" s="27" t="s">
        <v>7</v>
      </c>
      <c r="EY653" s="27" t="s">
        <v>8</v>
      </c>
      <c r="EZ653" s="27" t="s">
        <v>7</v>
      </c>
      <c r="FA653" s="27" t="s">
        <v>8</v>
      </c>
      <c r="FB653" s="27" t="s">
        <v>7</v>
      </c>
      <c r="FC653" s="27" t="s">
        <v>8</v>
      </c>
      <c r="FH653" s="27" t="s">
        <v>7</v>
      </c>
      <c r="FI653" s="27" t="s">
        <v>8</v>
      </c>
      <c r="FJ653" s="27" t="s">
        <v>7</v>
      </c>
      <c r="FL653" s="27" t="s">
        <v>7</v>
      </c>
      <c r="IT653" s="27" t="s">
        <v>7</v>
      </c>
    </row>
    <row r="654" spans="1:257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  <c r="L654" s="27" t="s">
        <v>7</v>
      </c>
      <c r="M654" s="27" t="s">
        <v>8</v>
      </c>
      <c r="N654" s="27" t="s">
        <v>7</v>
      </c>
      <c r="O654" s="27" t="s">
        <v>8</v>
      </c>
      <c r="P654" s="27" t="s">
        <v>7</v>
      </c>
      <c r="Q654" s="27" t="s">
        <v>8</v>
      </c>
      <c r="R654" s="27" t="s">
        <v>7</v>
      </c>
      <c r="S654" s="27" t="s">
        <v>8</v>
      </c>
      <c r="T654" s="27" t="s">
        <v>7</v>
      </c>
      <c r="Y654" s="27" t="s">
        <v>8</v>
      </c>
      <c r="Z654" s="27" t="s">
        <v>7</v>
      </c>
      <c r="AC654" s="27" t="s">
        <v>8</v>
      </c>
      <c r="AK654" s="27" t="s">
        <v>8</v>
      </c>
      <c r="AL654" s="27" t="s">
        <v>7</v>
      </c>
      <c r="AM654" s="27" t="s">
        <v>8</v>
      </c>
      <c r="AO654" s="27" t="s">
        <v>8</v>
      </c>
      <c r="AP654" s="27" t="s">
        <v>7</v>
      </c>
      <c r="AQ654" s="27" t="s">
        <v>8</v>
      </c>
      <c r="AT654" s="27" t="s">
        <v>7</v>
      </c>
      <c r="AU654" s="27" t="s">
        <v>8</v>
      </c>
      <c r="AV654" s="27" t="s">
        <v>7</v>
      </c>
      <c r="AW654" s="27" t="s">
        <v>8</v>
      </c>
      <c r="AX654" s="27" t="s">
        <v>7</v>
      </c>
      <c r="AY654" s="27" t="s">
        <v>8</v>
      </c>
      <c r="AZ654" s="27" t="s">
        <v>7</v>
      </c>
      <c r="BC654" s="27" t="s">
        <v>8</v>
      </c>
      <c r="BD654" s="27" t="s">
        <v>7</v>
      </c>
      <c r="BI654" s="27" t="s">
        <v>8</v>
      </c>
      <c r="BJ654" s="27" t="s">
        <v>7</v>
      </c>
      <c r="BK654" s="27" t="s">
        <v>8</v>
      </c>
      <c r="BL654" s="27" t="s">
        <v>7</v>
      </c>
      <c r="BM654" s="27" t="s">
        <v>8</v>
      </c>
      <c r="BN654" s="27" t="s">
        <v>7</v>
      </c>
      <c r="BO654" s="27" t="s">
        <v>8</v>
      </c>
      <c r="BP654" s="27" t="s">
        <v>7</v>
      </c>
      <c r="BQ654" s="27" t="s">
        <v>8</v>
      </c>
      <c r="BT654" s="27" t="s">
        <v>7</v>
      </c>
      <c r="ER654" s="27" t="s">
        <v>7</v>
      </c>
      <c r="ES654" s="27" t="s">
        <v>8</v>
      </c>
      <c r="EU654" s="27" t="s">
        <v>8</v>
      </c>
      <c r="EV654" s="27" t="s">
        <v>7</v>
      </c>
      <c r="EW654" s="27" t="s">
        <v>8</v>
      </c>
      <c r="EX654" s="27" t="s">
        <v>7</v>
      </c>
      <c r="EZ654" s="27" t="s">
        <v>7</v>
      </c>
      <c r="FA654" s="27" t="s">
        <v>8</v>
      </c>
      <c r="FB654" s="27" t="s">
        <v>7</v>
      </c>
      <c r="FH654" s="27" t="s">
        <v>7</v>
      </c>
      <c r="FI654" s="27" t="s">
        <v>8</v>
      </c>
      <c r="IT654" s="27" t="s">
        <v>7</v>
      </c>
    </row>
    <row r="655" spans="1:257" x14ac:dyDescent="0.25">
      <c r="A655" s="7">
        <v>0.26012872973231554</v>
      </c>
      <c r="B655"/>
      <c r="C655"/>
      <c r="D655"/>
      <c r="E655"/>
      <c r="F655" s="27" t="s">
        <v>7</v>
      </c>
      <c r="L655" s="27" t="s">
        <v>7</v>
      </c>
      <c r="N655" s="27" t="s">
        <v>7</v>
      </c>
      <c r="P655" s="27" t="s">
        <v>7</v>
      </c>
      <c r="Q655" s="27" t="s">
        <v>8</v>
      </c>
      <c r="R655" s="27" t="s">
        <v>7</v>
      </c>
      <c r="T655" s="27" t="s">
        <v>7</v>
      </c>
      <c r="Y655" s="27" t="s">
        <v>8</v>
      </c>
      <c r="Z655" s="27" t="s">
        <v>7</v>
      </c>
      <c r="AC655" s="27" t="s">
        <v>8</v>
      </c>
      <c r="AD655" s="27" t="s">
        <v>7</v>
      </c>
      <c r="AK655" s="27" t="s">
        <v>8</v>
      </c>
      <c r="AL655" s="27" t="s">
        <v>7</v>
      </c>
      <c r="AM655" s="27" t="s">
        <v>8</v>
      </c>
      <c r="AN655" s="27" t="s">
        <v>7</v>
      </c>
      <c r="AO655" s="27" t="s">
        <v>8</v>
      </c>
      <c r="AP655" s="27" t="s">
        <v>7</v>
      </c>
      <c r="AQ655" s="27" t="s">
        <v>8</v>
      </c>
      <c r="AT655" s="27" t="s">
        <v>7</v>
      </c>
      <c r="AU655" s="27" t="s">
        <v>8</v>
      </c>
      <c r="AV655" s="27" t="s">
        <v>7</v>
      </c>
      <c r="AW655" s="27" t="s">
        <v>8</v>
      </c>
      <c r="AX655" s="27" t="s">
        <v>7</v>
      </c>
      <c r="AY655" s="27" t="s">
        <v>8</v>
      </c>
      <c r="AZ655" s="27" t="s">
        <v>7</v>
      </c>
      <c r="BC655" s="27" t="s">
        <v>8</v>
      </c>
      <c r="BD655" s="27" t="s">
        <v>7</v>
      </c>
      <c r="BI655" s="27" t="s">
        <v>8</v>
      </c>
      <c r="BJ655" s="27" t="s">
        <v>7</v>
      </c>
      <c r="BL655" s="27" t="s">
        <v>7</v>
      </c>
      <c r="BM655" s="27" t="s">
        <v>8</v>
      </c>
      <c r="BN655" s="27" t="s">
        <v>7</v>
      </c>
      <c r="BO655" s="27" t="s">
        <v>8</v>
      </c>
      <c r="BP655" s="27" t="s">
        <v>7</v>
      </c>
      <c r="BQ655" s="27" t="s">
        <v>8</v>
      </c>
      <c r="ER655" s="27" t="s">
        <v>7</v>
      </c>
      <c r="ES655" s="27" t="s">
        <v>8</v>
      </c>
      <c r="ET655" s="27" t="s">
        <v>7</v>
      </c>
      <c r="EU655" s="27" t="s">
        <v>8</v>
      </c>
      <c r="EV655" s="27" t="s">
        <v>7</v>
      </c>
      <c r="EW655" s="27" t="s">
        <v>8</v>
      </c>
      <c r="EZ655" s="27" t="s">
        <v>7</v>
      </c>
      <c r="FH655" s="27" t="s">
        <v>7</v>
      </c>
      <c r="FI655" s="27" t="s">
        <v>8</v>
      </c>
      <c r="IT655" s="27" t="s">
        <v>7</v>
      </c>
    </row>
    <row r="656" spans="1:257" x14ac:dyDescent="0.25">
      <c r="A656" s="7">
        <v>0.25502816640423093</v>
      </c>
      <c r="B656"/>
      <c r="C656"/>
      <c r="D656"/>
      <c r="E656"/>
      <c r="P656" s="27" t="s">
        <v>7</v>
      </c>
      <c r="Q656" s="27" t="s">
        <v>8</v>
      </c>
      <c r="T656" s="27" t="s">
        <v>7</v>
      </c>
      <c r="U656" s="27" t="s">
        <v>8</v>
      </c>
      <c r="W656" s="27" t="s">
        <v>8</v>
      </c>
      <c r="Y656" s="27" t="s">
        <v>8</v>
      </c>
      <c r="Z656" s="27" t="s">
        <v>7</v>
      </c>
      <c r="AC656" s="27" t="s">
        <v>8</v>
      </c>
      <c r="AD656" s="27" t="s">
        <v>7</v>
      </c>
      <c r="AK656" s="27" t="s">
        <v>8</v>
      </c>
      <c r="AL656" s="27" t="s">
        <v>7</v>
      </c>
      <c r="AM656" s="27" t="s">
        <v>8</v>
      </c>
      <c r="AN656" s="27" t="s">
        <v>7</v>
      </c>
      <c r="AO656" s="27" t="s">
        <v>8</v>
      </c>
      <c r="AP656" s="27" t="s">
        <v>7</v>
      </c>
      <c r="AT656" s="27" t="s">
        <v>7</v>
      </c>
      <c r="AU656" s="27" t="s">
        <v>8</v>
      </c>
      <c r="AV656" s="27" t="s">
        <v>7</v>
      </c>
      <c r="AW656" s="27" t="s">
        <v>8</v>
      </c>
      <c r="AX656" s="27" t="s">
        <v>7</v>
      </c>
      <c r="AY656" s="27" t="s">
        <v>8</v>
      </c>
      <c r="AZ656" s="27" t="s">
        <v>7</v>
      </c>
      <c r="BC656" s="27" t="s">
        <v>8</v>
      </c>
      <c r="BD656" s="27" t="s">
        <v>7</v>
      </c>
      <c r="BI656" s="27" t="s">
        <v>8</v>
      </c>
      <c r="BL656" s="27" t="s">
        <v>7</v>
      </c>
      <c r="BM656" s="27" t="s">
        <v>8</v>
      </c>
      <c r="BN656" s="27" t="s">
        <v>7</v>
      </c>
      <c r="BO656" s="27" t="s">
        <v>8</v>
      </c>
      <c r="BP656" s="27" t="s">
        <v>7</v>
      </c>
      <c r="ER656" s="27" t="s">
        <v>7</v>
      </c>
      <c r="ES656" s="27" t="s">
        <v>8</v>
      </c>
      <c r="ET656" s="27" t="s">
        <v>7</v>
      </c>
      <c r="EU656" s="27" t="s">
        <v>8</v>
      </c>
      <c r="EV656" s="27" t="s">
        <v>7</v>
      </c>
      <c r="EW656" s="27" t="s">
        <v>8</v>
      </c>
      <c r="FH656" s="27" t="s">
        <v>7</v>
      </c>
      <c r="FI656" s="27" t="s">
        <v>8</v>
      </c>
      <c r="IT656" s="27" t="s">
        <v>7</v>
      </c>
      <c r="IW656" s="27" t="s">
        <v>8</v>
      </c>
    </row>
    <row r="657" spans="1:258" x14ac:dyDescent="0.25">
      <c r="A657" s="7">
        <v>0.25002761412179503</v>
      </c>
      <c r="B657"/>
      <c r="C657"/>
      <c r="D657"/>
      <c r="E657"/>
      <c r="P657" s="27" t="s">
        <v>7</v>
      </c>
      <c r="Q657" s="27" t="s">
        <v>8</v>
      </c>
      <c r="T657" s="27" t="s">
        <v>7</v>
      </c>
      <c r="U657" s="27" t="s">
        <v>8</v>
      </c>
      <c r="V657" s="27" t="s">
        <v>7</v>
      </c>
      <c r="W657" s="27" t="s">
        <v>8</v>
      </c>
      <c r="X657" s="27" t="s">
        <v>7</v>
      </c>
      <c r="Y657" s="27" t="s">
        <v>8</v>
      </c>
      <c r="Z657" s="27" t="s">
        <v>7</v>
      </c>
      <c r="AC657" s="27" t="s">
        <v>8</v>
      </c>
      <c r="AD657" s="27" t="s">
        <v>7</v>
      </c>
      <c r="AK657" s="27" t="s">
        <v>8</v>
      </c>
      <c r="AL657" s="27" t="s">
        <v>7</v>
      </c>
      <c r="AM657" s="27" t="s">
        <v>8</v>
      </c>
      <c r="AN657" s="27" t="s">
        <v>7</v>
      </c>
      <c r="AO657" s="27" t="s">
        <v>8</v>
      </c>
      <c r="AT657" s="27" t="s">
        <v>7</v>
      </c>
      <c r="AU657" s="27" t="s">
        <v>8</v>
      </c>
      <c r="AV657" s="27" t="s">
        <v>7</v>
      </c>
      <c r="AX657" s="27" t="s">
        <v>7</v>
      </c>
      <c r="AY657" s="27" t="s">
        <v>8</v>
      </c>
      <c r="AZ657" s="27" t="s">
        <v>7</v>
      </c>
      <c r="BC657" s="27" t="s">
        <v>8</v>
      </c>
      <c r="BD657" s="27" t="s">
        <v>7</v>
      </c>
      <c r="BI657" s="27" t="s">
        <v>8</v>
      </c>
      <c r="BL657" s="27" t="s">
        <v>7</v>
      </c>
      <c r="BM657" s="27" t="s">
        <v>8</v>
      </c>
      <c r="BN657" s="27" t="s">
        <v>7</v>
      </c>
      <c r="ER657" s="27" t="s">
        <v>7</v>
      </c>
      <c r="ES657" s="27" t="s">
        <v>8</v>
      </c>
      <c r="ET657" s="27" t="s">
        <v>7</v>
      </c>
      <c r="EU657" s="27" t="s">
        <v>8</v>
      </c>
      <c r="EV657" s="27" t="s">
        <v>7</v>
      </c>
      <c r="EW657" s="27" t="s">
        <v>8</v>
      </c>
      <c r="FH657" s="27" t="s">
        <v>7</v>
      </c>
      <c r="FI657" s="27" t="s">
        <v>8</v>
      </c>
      <c r="IT657" s="27" t="s">
        <v>7</v>
      </c>
      <c r="IW657" s="27" t="s">
        <v>8</v>
      </c>
      <c r="IX657" s="27" t="s">
        <v>7</v>
      </c>
    </row>
    <row r="658" spans="1:258" x14ac:dyDescent="0.25">
      <c r="A658" s="7">
        <v>0.24512511188411276</v>
      </c>
      <c r="B658"/>
      <c r="C658"/>
      <c r="D658"/>
      <c r="E658"/>
      <c r="P658" s="27" t="s">
        <v>7</v>
      </c>
      <c r="Q658" s="27" t="s">
        <v>8</v>
      </c>
      <c r="T658" s="27" t="s">
        <v>7</v>
      </c>
      <c r="U658" s="27" t="s">
        <v>8</v>
      </c>
      <c r="V658" s="27" t="s">
        <v>7</v>
      </c>
      <c r="W658" s="27" t="s">
        <v>8</v>
      </c>
      <c r="X658" s="27" t="s">
        <v>7</v>
      </c>
      <c r="Y658" s="27" t="s">
        <v>8</v>
      </c>
      <c r="Z658" s="27" t="s">
        <v>7</v>
      </c>
      <c r="AC658" s="27" t="s">
        <v>8</v>
      </c>
      <c r="AD658" s="27" t="s">
        <v>7</v>
      </c>
      <c r="AK658" s="27" t="s">
        <v>8</v>
      </c>
      <c r="AL658" s="27" t="s">
        <v>7</v>
      </c>
      <c r="AM658" s="27" t="s">
        <v>8</v>
      </c>
      <c r="AN658" s="27" t="s">
        <v>7</v>
      </c>
      <c r="AT658" s="27" t="s">
        <v>7</v>
      </c>
      <c r="AX658" s="27" t="s">
        <v>7</v>
      </c>
      <c r="AY658" s="27" t="s">
        <v>8</v>
      </c>
      <c r="AZ658" s="27" t="s">
        <v>7</v>
      </c>
      <c r="BA658" s="27" t="s">
        <v>8</v>
      </c>
      <c r="BC658" s="27" t="s">
        <v>8</v>
      </c>
      <c r="BD658" s="27" t="s">
        <v>7</v>
      </c>
      <c r="BG658" s="27" t="s">
        <v>8</v>
      </c>
      <c r="BI658" s="27" t="s">
        <v>8</v>
      </c>
      <c r="BL658" s="27" t="s">
        <v>7</v>
      </c>
      <c r="BM658" s="27" t="s">
        <v>8</v>
      </c>
      <c r="ER658" s="27" t="s">
        <v>7</v>
      </c>
      <c r="ES658" s="27" t="s">
        <v>8</v>
      </c>
      <c r="ET658" s="27" t="s">
        <v>7</v>
      </c>
      <c r="EU658" s="27" t="s">
        <v>8</v>
      </c>
      <c r="EV658" s="27" t="s">
        <v>7</v>
      </c>
      <c r="FH658" s="18" t="s">
        <v>7</v>
      </c>
      <c r="FI658" s="27" t="s">
        <v>8</v>
      </c>
      <c r="IT658" s="27" t="s">
        <v>7</v>
      </c>
      <c r="IU658" s="27" t="s">
        <v>8</v>
      </c>
      <c r="IW658" s="27" t="s">
        <v>8</v>
      </c>
      <c r="IX658" s="27" t="s">
        <v>7</v>
      </c>
    </row>
    <row r="659" spans="1:258" x14ac:dyDescent="0.25">
      <c r="A659" s="7">
        <v>0.24031873714128701</v>
      </c>
      <c r="B659"/>
      <c r="C659"/>
      <c r="D659"/>
      <c r="E659"/>
      <c r="P659" s="27" t="s">
        <v>7</v>
      </c>
      <c r="T659" s="27" t="s">
        <v>7</v>
      </c>
      <c r="V659" s="27" t="s">
        <v>7</v>
      </c>
      <c r="W659" s="27" t="s">
        <v>8</v>
      </c>
      <c r="X659" s="27" t="s">
        <v>7</v>
      </c>
      <c r="Y659" s="27" t="s">
        <v>8</v>
      </c>
      <c r="Z659" s="27" t="s">
        <v>7</v>
      </c>
      <c r="AC659" s="27" t="s">
        <v>8</v>
      </c>
      <c r="AD659" s="27" t="s">
        <v>7</v>
      </c>
      <c r="AG659" s="27" t="s">
        <v>8</v>
      </c>
      <c r="AK659" s="27" t="s">
        <v>8</v>
      </c>
      <c r="AL659" s="27" t="s">
        <v>7</v>
      </c>
      <c r="AX659" s="27" t="s">
        <v>7</v>
      </c>
      <c r="AZ659" s="27" t="s">
        <v>7</v>
      </c>
      <c r="BA659" s="27" t="s">
        <v>8</v>
      </c>
      <c r="BB659" s="27" t="s">
        <v>7</v>
      </c>
      <c r="BC659" s="27" t="s">
        <v>8</v>
      </c>
      <c r="BD659" s="27" t="s">
        <v>7</v>
      </c>
      <c r="BE659" s="27" t="s">
        <v>8</v>
      </c>
      <c r="BG659" s="27" t="s">
        <v>8</v>
      </c>
      <c r="BH659" s="27" t="s">
        <v>7</v>
      </c>
      <c r="BI659" s="27" t="s">
        <v>8</v>
      </c>
      <c r="BL659" s="27" t="s">
        <v>7</v>
      </c>
      <c r="BM659" s="27" t="s">
        <v>8</v>
      </c>
      <c r="ER659" s="27" t="s">
        <v>7</v>
      </c>
      <c r="ES659" s="27" t="s">
        <v>8</v>
      </c>
      <c r="ET659" s="27" t="s">
        <v>7</v>
      </c>
      <c r="EU659" s="27" t="s">
        <v>8</v>
      </c>
      <c r="FH659" s="27" t="s">
        <v>7</v>
      </c>
      <c r="FI659" s="27" t="s">
        <v>8</v>
      </c>
      <c r="IT659" s="27" t="s">
        <v>7</v>
      </c>
      <c r="IU659" s="27" t="s">
        <v>8</v>
      </c>
      <c r="IV659" s="27" t="s">
        <v>7</v>
      </c>
      <c r="IW659" s="27" t="s">
        <v>8</v>
      </c>
      <c r="IX659" s="27" t="s">
        <v>7</v>
      </c>
    </row>
    <row r="660" spans="1:258" x14ac:dyDescent="0.25">
      <c r="A660" s="7">
        <v>0.23560660504047748</v>
      </c>
      <c r="B660"/>
      <c r="C660"/>
      <c r="D660"/>
      <c r="E660"/>
      <c r="V660" s="27" t="s">
        <v>7</v>
      </c>
      <c r="W660" s="27" t="s">
        <v>8</v>
      </c>
      <c r="X660" s="27" t="s">
        <v>7</v>
      </c>
      <c r="Z660" s="27" t="s">
        <v>7</v>
      </c>
      <c r="AC660" s="27" t="s">
        <v>8</v>
      </c>
      <c r="AD660" s="27" t="s">
        <v>7</v>
      </c>
      <c r="AE660" s="27" t="s">
        <v>8</v>
      </c>
      <c r="AG660" s="27" t="s">
        <v>8</v>
      </c>
      <c r="AH660" s="27" t="s">
        <v>7</v>
      </c>
      <c r="AI660" s="27" t="s">
        <v>8</v>
      </c>
      <c r="AK660" s="27" t="s">
        <v>8</v>
      </c>
      <c r="AZ660" s="27" t="s">
        <v>7</v>
      </c>
      <c r="BA660" s="27" t="s">
        <v>8</v>
      </c>
      <c r="BB660" s="27" t="s">
        <v>7</v>
      </c>
      <c r="BC660" s="27" t="s">
        <v>8</v>
      </c>
      <c r="BD660" s="27" t="s">
        <v>7</v>
      </c>
      <c r="BE660" s="27" t="s">
        <v>8</v>
      </c>
      <c r="BF660" s="27" t="s">
        <v>7</v>
      </c>
      <c r="BG660" s="27" t="s">
        <v>8</v>
      </c>
      <c r="BH660" s="27" t="s">
        <v>7</v>
      </c>
      <c r="BI660" s="27" t="s">
        <v>8</v>
      </c>
      <c r="BL660" s="27" t="s">
        <v>7</v>
      </c>
      <c r="BM660" s="27" t="s">
        <v>8</v>
      </c>
      <c r="ER660" s="27" t="s">
        <v>7</v>
      </c>
      <c r="ES660" s="27" t="s">
        <v>8</v>
      </c>
      <c r="ET660" s="27" t="s">
        <v>7</v>
      </c>
      <c r="EU660" s="27" t="s">
        <v>8</v>
      </c>
      <c r="FH660" s="27" t="s">
        <v>7</v>
      </c>
      <c r="FI660" s="27" t="s">
        <v>8</v>
      </c>
      <c r="IT660" s="27" t="s">
        <v>7</v>
      </c>
      <c r="IU660" s="27" t="s">
        <v>8</v>
      </c>
      <c r="IV660" s="27" t="s">
        <v>7</v>
      </c>
      <c r="IW660" s="27" t="s">
        <v>8</v>
      </c>
      <c r="IX660" s="27" t="s">
        <v>7</v>
      </c>
    </row>
    <row r="661" spans="1:258" x14ac:dyDescent="0.25">
      <c r="A661" s="7">
        <v>0.23098686768674265</v>
      </c>
      <c r="B661"/>
      <c r="C661"/>
      <c r="D661"/>
      <c r="E661"/>
      <c r="V661" s="27" t="s">
        <v>7</v>
      </c>
      <c r="W661" s="27" t="s">
        <v>8</v>
      </c>
      <c r="Z661" s="27" t="s">
        <v>7</v>
      </c>
      <c r="AC661" s="27" t="s">
        <v>8</v>
      </c>
      <c r="AD661" s="27" t="s">
        <v>7</v>
      </c>
      <c r="AE661" s="27" t="s">
        <v>8</v>
      </c>
      <c r="AF661" s="27" t="s">
        <v>7</v>
      </c>
      <c r="AG661" s="27" t="s">
        <v>8</v>
      </c>
      <c r="AH661" s="27" t="s">
        <v>7</v>
      </c>
      <c r="AI661" s="27" t="s">
        <v>8</v>
      </c>
      <c r="AJ661" s="27" t="s">
        <v>7</v>
      </c>
      <c r="AK661" s="27" t="s">
        <v>8</v>
      </c>
      <c r="AZ661" s="27" t="s">
        <v>7</v>
      </c>
      <c r="BA661" s="27" t="s">
        <v>8</v>
      </c>
      <c r="BB661" s="27" t="s">
        <v>7</v>
      </c>
      <c r="BC661" s="27" t="s">
        <v>8</v>
      </c>
      <c r="BD661" s="27" t="s">
        <v>7</v>
      </c>
      <c r="BE661" s="27" t="s">
        <v>8</v>
      </c>
      <c r="BF661" s="27" t="s">
        <v>7</v>
      </c>
      <c r="BG661" s="27" t="s">
        <v>8</v>
      </c>
      <c r="BH661" s="27" t="s">
        <v>7</v>
      </c>
      <c r="BI661" s="27" t="s">
        <v>8</v>
      </c>
      <c r="BL661" s="27" t="s">
        <v>7</v>
      </c>
      <c r="BM661" s="27" t="s">
        <v>8</v>
      </c>
      <c r="ER661" s="27" t="s">
        <v>7</v>
      </c>
      <c r="ES661" s="27" t="s">
        <v>8</v>
      </c>
      <c r="ET661" s="27" t="s">
        <v>7</v>
      </c>
      <c r="EU661" s="27" t="s">
        <v>8</v>
      </c>
      <c r="FH661" s="27" t="s">
        <v>7</v>
      </c>
      <c r="FI661" s="27" t="s">
        <v>8</v>
      </c>
      <c r="IT661" s="27" t="s">
        <v>7</v>
      </c>
      <c r="IU661" s="27" t="s">
        <v>8</v>
      </c>
      <c r="IV661" s="27" t="s">
        <v>7</v>
      </c>
      <c r="IW661" s="27" t="s">
        <v>8</v>
      </c>
    </row>
    <row r="662" spans="1:258" x14ac:dyDescent="0.25">
      <c r="A662" s="7">
        <v>0.22645771341837515</v>
      </c>
      <c r="B662"/>
      <c r="C662"/>
      <c r="D662"/>
      <c r="E662"/>
      <c r="V662" s="27" t="s">
        <v>7</v>
      </c>
      <c r="Z662" s="27" t="s">
        <v>7</v>
      </c>
      <c r="AC662" s="27" t="s">
        <v>8</v>
      </c>
      <c r="AD662" s="27" t="s">
        <v>7</v>
      </c>
      <c r="AE662" s="27" t="s">
        <v>8</v>
      </c>
      <c r="AF662" s="27" t="s">
        <v>7</v>
      </c>
      <c r="AG662" s="27" t="s">
        <v>8</v>
      </c>
      <c r="AH662" s="27" t="s">
        <v>7</v>
      </c>
      <c r="AI662" s="27" t="s">
        <v>8</v>
      </c>
      <c r="AJ662" s="27" t="s">
        <v>7</v>
      </c>
      <c r="AK662" s="27" t="s">
        <v>8</v>
      </c>
      <c r="AZ662" s="27" t="s">
        <v>7</v>
      </c>
      <c r="BA662" s="27" t="s">
        <v>8</v>
      </c>
      <c r="BB662" s="27" t="s">
        <v>7</v>
      </c>
      <c r="BD662" s="27" t="s">
        <v>7</v>
      </c>
      <c r="BF662" s="27" t="s">
        <v>7</v>
      </c>
      <c r="BG662" s="27" t="s">
        <v>8</v>
      </c>
      <c r="BH662" s="27" t="s">
        <v>7</v>
      </c>
      <c r="BI662" s="27" t="s">
        <v>8</v>
      </c>
      <c r="BL662" s="27" t="s">
        <v>7</v>
      </c>
      <c r="ER662" s="27" t="s">
        <v>7</v>
      </c>
      <c r="ES662" s="27" t="s">
        <v>8</v>
      </c>
      <c r="ET662" s="27" t="s">
        <v>7</v>
      </c>
      <c r="FH662" s="27" t="s">
        <v>7</v>
      </c>
      <c r="IT662" s="27" t="s">
        <v>7</v>
      </c>
      <c r="IU662" s="27" t="s">
        <v>8</v>
      </c>
      <c r="IV662" s="27" t="s">
        <v>7</v>
      </c>
      <c r="IW662" s="27" t="s">
        <v>8</v>
      </c>
    </row>
    <row r="663" spans="1:258" x14ac:dyDescent="0.25">
      <c r="A663" s="7">
        <v>0.22201736609644623</v>
      </c>
      <c r="B663"/>
      <c r="C663"/>
      <c r="D663"/>
      <c r="E663"/>
      <c r="Z663" s="27" t="s">
        <v>7</v>
      </c>
      <c r="AA663" s="27" t="s">
        <v>8</v>
      </c>
      <c r="AC663" s="27" t="s">
        <v>8</v>
      </c>
      <c r="AD663" s="27" t="s">
        <v>7</v>
      </c>
      <c r="AE663" s="27" t="s">
        <v>8</v>
      </c>
      <c r="AF663" s="27" t="s">
        <v>7</v>
      </c>
      <c r="AG663" s="27" t="s">
        <v>8</v>
      </c>
      <c r="AH663" s="27" t="s">
        <v>7</v>
      </c>
      <c r="AJ663" s="27" t="s">
        <v>7</v>
      </c>
      <c r="AK663" s="27" t="s">
        <v>8</v>
      </c>
      <c r="AZ663" s="27" t="s">
        <v>7</v>
      </c>
      <c r="BA663" s="27" t="s">
        <v>8</v>
      </c>
      <c r="BF663" s="27" t="s">
        <v>7</v>
      </c>
      <c r="BH663" s="27" t="s">
        <v>7</v>
      </c>
      <c r="ER663" s="27" t="s">
        <v>7</v>
      </c>
      <c r="ES663" s="27" t="s">
        <v>8</v>
      </c>
      <c r="IT663" s="27" t="s">
        <v>7</v>
      </c>
      <c r="IV663" s="27" t="s">
        <v>7</v>
      </c>
      <c r="IW663" s="27" t="s">
        <v>8</v>
      </c>
    </row>
    <row r="664" spans="1:258" x14ac:dyDescent="0.25">
      <c r="A664" s="7">
        <v>0.21766408440828061</v>
      </c>
      <c r="B664"/>
      <c r="C664"/>
      <c r="D664"/>
      <c r="E664"/>
      <c r="Z664" s="27" t="s">
        <v>7</v>
      </c>
      <c r="AA664" s="27" t="s">
        <v>8</v>
      </c>
      <c r="AB664" s="27" t="s">
        <v>7</v>
      </c>
      <c r="AC664" s="27" t="s">
        <v>8</v>
      </c>
      <c r="AD664" s="27" t="s">
        <v>7</v>
      </c>
      <c r="AE664" s="27" t="s">
        <v>8</v>
      </c>
      <c r="AF664" s="27" t="s">
        <v>7</v>
      </c>
      <c r="AJ664" s="27" t="s">
        <v>7</v>
      </c>
      <c r="AZ664" s="27" t="s">
        <v>7</v>
      </c>
      <c r="BA664" s="27" t="s">
        <v>8</v>
      </c>
      <c r="ER664" s="27" t="s">
        <v>7</v>
      </c>
      <c r="ES664" s="27" t="s">
        <v>8</v>
      </c>
      <c r="IV664" s="27" t="s">
        <v>7</v>
      </c>
      <c r="IW664" s="27" t="s">
        <v>8</v>
      </c>
    </row>
    <row r="665" spans="1:258" x14ac:dyDescent="0.25">
      <c r="A665" s="7">
        <v>0.21339616118458882</v>
      </c>
      <c r="B665"/>
      <c r="C665"/>
      <c r="D665"/>
      <c r="E665"/>
      <c r="Z665" s="27" t="s">
        <v>7</v>
      </c>
      <c r="AA665" s="27" t="s">
        <v>8</v>
      </c>
      <c r="AB665" s="27" t="s">
        <v>7</v>
      </c>
      <c r="AC665" s="27" t="s">
        <v>8</v>
      </c>
      <c r="AD665" s="27" t="s">
        <v>7</v>
      </c>
      <c r="AZ665" s="27" t="s">
        <v>7</v>
      </c>
      <c r="BA665" s="27" t="s">
        <v>8</v>
      </c>
      <c r="ER665" s="27" t="s">
        <v>7</v>
      </c>
      <c r="ES665" s="27" t="s">
        <v>8</v>
      </c>
      <c r="IV665" s="27" t="s">
        <v>7</v>
      </c>
      <c r="IW665" s="27" t="s">
        <v>8</v>
      </c>
    </row>
    <row r="666" spans="1:258" x14ac:dyDescent="0.25">
      <c r="A666" s="7">
        <v>0.20921192272998904</v>
      </c>
      <c r="B666"/>
      <c r="C666"/>
      <c r="D666"/>
      <c r="E666"/>
      <c r="Z666" s="27" t="s">
        <v>7</v>
      </c>
      <c r="AA666" s="27" t="s">
        <v>8</v>
      </c>
      <c r="AB666" s="27" t="s">
        <v>7</v>
      </c>
      <c r="AC666" s="27" t="s">
        <v>8</v>
      </c>
      <c r="AZ666" s="27" t="s">
        <v>7</v>
      </c>
      <c r="ER666" s="27" t="s">
        <v>7</v>
      </c>
      <c r="ES666" s="27" t="s">
        <v>8</v>
      </c>
      <c r="IV666" s="27" t="s">
        <v>7</v>
      </c>
      <c r="IW666" s="27" t="s">
        <v>8</v>
      </c>
    </row>
    <row r="667" spans="1:258" x14ac:dyDescent="0.25">
      <c r="A667" s="7">
        <v>0.20510972816665593</v>
      </c>
      <c r="B667"/>
      <c r="C667"/>
      <c r="D667"/>
      <c r="E667"/>
      <c r="Z667" s="27" t="s">
        <v>7</v>
      </c>
      <c r="AB667" s="27" t="s">
        <v>7</v>
      </c>
      <c r="AC667" s="27" t="s">
        <v>8</v>
      </c>
      <c r="ER667" s="27" t="s">
        <v>7</v>
      </c>
      <c r="ES667" s="27" t="s">
        <v>8</v>
      </c>
      <c r="IV667" s="27" t="s">
        <v>7</v>
      </c>
    </row>
    <row r="668" spans="1:258" x14ac:dyDescent="0.25">
      <c r="A668" s="7">
        <v>0.20108796879083912</v>
      </c>
      <c r="B668"/>
      <c r="C668"/>
      <c r="D668"/>
      <c r="E668"/>
      <c r="AB668" s="27" t="s">
        <v>7</v>
      </c>
      <c r="AC668" s="27" t="s">
        <v>8</v>
      </c>
      <c r="ER668" s="27" t="s">
        <v>7</v>
      </c>
      <c r="ES668" s="27" t="s">
        <v>8</v>
      </c>
    </row>
    <row r="669" spans="1:258" x14ac:dyDescent="0.25">
      <c r="A669" s="7">
        <v>0.19714506744199917</v>
      </c>
      <c r="B669"/>
      <c r="C669"/>
      <c r="D669"/>
      <c r="E669"/>
      <c r="AB669" s="27" t="s">
        <v>7</v>
      </c>
      <c r="ER669" s="27" t="s">
        <v>7</v>
      </c>
    </row>
    <row r="670" spans="1:258" x14ac:dyDescent="0.25">
      <c r="A670" s="7">
        <v>0.19327947788431293</v>
      </c>
      <c r="B670"/>
      <c r="C670"/>
      <c r="D670"/>
      <c r="E670"/>
    </row>
    <row r="671" spans="1:258" x14ac:dyDescent="0.25">
      <c r="A671" s="7">
        <v>0.18948968420030682</v>
      </c>
      <c r="B671"/>
      <c r="C671"/>
      <c r="D671"/>
      <c r="E671"/>
    </row>
    <row r="672" spans="1:258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99" operator="equal">
      <formula>$U$1</formula>
    </cfRule>
    <cfRule type="cellIs" dxfId="89" priority="900" operator="equal">
      <formula>$S$1</formula>
    </cfRule>
  </conditionalFormatting>
  <conditionalFormatting sqref="D27">
    <cfRule type="cellIs" dxfId="88" priority="897" operator="equal">
      <formula>$S$1</formula>
    </cfRule>
    <cfRule type="cellIs" dxfId="87" priority="898" operator="equal">
      <formula>$U$1</formula>
    </cfRule>
  </conditionalFormatting>
  <conditionalFormatting sqref="C164">
    <cfRule type="cellIs" dxfId="86" priority="895" operator="equal">
      <formula>$U$1</formula>
    </cfRule>
    <cfRule type="cellIs" dxfId="85" priority="896" operator="equal">
      <formula>$S$1</formula>
    </cfRule>
  </conditionalFormatting>
  <conditionalFormatting sqref="D164">
    <cfRule type="cellIs" dxfId="84" priority="893" operator="equal">
      <formula>$S$1</formula>
    </cfRule>
    <cfRule type="cellIs" dxfId="83" priority="894" operator="equal">
      <formula>$U$1</formula>
    </cfRule>
  </conditionalFormatting>
  <conditionalFormatting sqref="C55">
    <cfRule type="cellIs" dxfId="82" priority="891" operator="equal">
      <formula>$U$1</formula>
    </cfRule>
    <cfRule type="cellIs" dxfId="81" priority="892" operator="equal">
      <formula>$S$1</formula>
    </cfRule>
  </conditionalFormatting>
  <conditionalFormatting sqref="D55">
    <cfRule type="cellIs" dxfId="80" priority="889" operator="equal">
      <formula>$S$1</formula>
    </cfRule>
    <cfRule type="cellIs" dxfId="79" priority="890" operator="equal">
      <formula>$U$1</formula>
    </cfRule>
  </conditionalFormatting>
  <conditionalFormatting sqref="C89">
    <cfRule type="cellIs" dxfId="78" priority="887" operator="equal">
      <formula>$U$1</formula>
    </cfRule>
    <cfRule type="cellIs" dxfId="77" priority="888" operator="equal">
      <formula>$S$1</formula>
    </cfRule>
  </conditionalFormatting>
  <conditionalFormatting sqref="D89">
    <cfRule type="cellIs" dxfId="76" priority="885" operator="equal">
      <formula>$S$1</formula>
    </cfRule>
    <cfRule type="cellIs" dxfId="75" priority="886" operator="equal">
      <formula>$U$1</formula>
    </cfRule>
  </conditionalFormatting>
  <conditionalFormatting sqref="C136">
    <cfRule type="cellIs" dxfId="74" priority="883" operator="equal">
      <formula>$U$1</formula>
    </cfRule>
    <cfRule type="cellIs" dxfId="73" priority="884" operator="equal">
      <formula>$S$1</formula>
    </cfRule>
  </conditionalFormatting>
  <conditionalFormatting sqref="D136">
    <cfRule type="cellIs" dxfId="72" priority="881" operator="equal">
      <formula>$S$1</formula>
    </cfRule>
    <cfRule type="cellIs" dxfId="71" priority="882" operator="equal">
      <formula>$U$1</formula>
    </cfRule>
  </conditionalFormatting>
  <conditionalFormatting sqref="C1">
    <cfRule type="cellIs" dxfId="70" priority="88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37" zoomScale="90" zoomScaleNormal="90" workbookViewId="0">
      <pane xSplit="4" topLeftCell="X1" activePane="topRight" state="frozen"/>
      <selection activeCell="A109" sqref="A109"/>
      <selection pane="topRight" activeCell="DE268" sqref="DE26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$A$267</v>
      </c>
      <c r="D111" s="1" t="str">
        <f>ADDRESS(C121-1,D121,1,1)</f>
        <v>$DE$267</v>
      </c>
      <c r="E111"/>
    </row>
    <row r="112" spans="1:5" x14ac:dyDescent="0.25">
      <c r="A112" s="30">
        <v>515.50191262726139</v>
      </c>
      <c r="C112" s="1" t="str">
        <f>ADDRESS(C121,1,1,1)</f>
        <v>$A$268</v>
      </c>
      <c r="D112" s="1" t="str">
        <f>ADDRESS(C121,D121-1,1,1)</f>
        <v>$DD$268</v>
      </c>
      <c r="E112"/>
    </row>
    <row r="113" spans="1:5" x14ac:dyDescent="0.25">
      <c r="A113" s="30">
        <v>490.95420250215363</v>
      </c>
      <c r="C113" s="1" t="str">
        <f>ADDRESS(C121+1,1,1,1)</f>
        <v>$A$269</v>
      </c>
      <c r="D113" s="1" t="str">
        <f>ADDRESS(C121-1,D121+1,1,1)</f>
        <v>$DF$267</v>
      </c>
    </row>
    <row r="114" spans="1:5" x14ac:dyDescent="0.25">
      <c r="A114" s="30">
        <v>467.57543095443202</v>
      </c>
      <c r="C114" s="1" t="str">
        <f>ADDRESS(C121,D121,1,1)</f>
        <v>$DE$268</v>
      </c>
      <c r="D114" s="1" t="str">
        <f>ADDRESS(C121+1,D121+1,1,1)</f>
        <v>$DF$269</v>
      </c>
    </row>
    <row r="115" spans="1:5" x14ac:dyDescent="0.25">
      <c r="A115" s="30">
        <v>445.30993424231622</v>
      </c>
      <c r="C115" s="1" t="str">
        <f>ADDRESS(C121+1,D121,1,1)</f>
        <v>$DE$269</v>
      </c>
    </row>
    <row r="116" spans="1:5" x14ac:dyDescent="0.25">
      <c r="A116" s="30">
        <v>424.10469927839637</v>
      </c>
      <c r="C116" s="1">
        <f>C117-1</f>
        <v>267</v>
      </c>
    </row>
    <row r="117" spans="1:5" x14ac:dyDescent="0.25">
      <c r="A117" s="30">
        <v>403.9092374079965</v>
      </c>
      <c r="C117" s="1">
        <f>C121</f>
        <v>268</v>
      </c>
      <c r="D117" s="1">
        <f>D121</f>
        <v>109</v>
      </c>
    </row>
    <row r="118" spans="1:5" x14ac:dyDescent="0.25">
      <c r="A118" s="30">
        <v>384.6754641980919</v>
      </c>
      <c r="C118" s="1">
        <f>C117+1</f>
        <v>269</v>
      </c>
      <c r="D118" s="1">
        <f>D117+1</f>
        <v>110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268</v>
      </c>
      <c r="D121" s="19">
        <v>109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R268</v>
      </c>
      <c r="D123" s="1" t="str">
        <f>"C"&amp;D121</f>
        <v>C109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0.25509363714308075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49" x14ac:dyDescent="0.25">
      <c r="A225" s="30">
        <v>2.0789281794113688</v>
      </c>
      <c r="E225"/>
    </row>
    <row r="226" spans="1:49" x14ac:dyDescent="0.25">
      <c r="A226" s="30">
        <v>1.9799315994393987</v>
      </c>
      <c r="E226"/>
    </row>
    <row r="227" spans="1:49" x14ac:dyDescent="0.25">
      <c r="A227" s="30">
        <v>1.8856491423232367</v>
      </c>
      <c r="E227"/>
    </row>
    <row r="228" spans="1:49" x14ac:dyDescent="0.25">
      <c r="A228" s="30">
        <v>1.7958563260221301</v>
      </c>
      <c r="C228" s="7"/>
      <c r="D228"/>
      <c r="E228"/>
    </row>
    <row r="229" spans="1:49" x14ac:dyDescent="0.25">
      <c r="A229" s="30">
        <v>1.7103393581163142</v>
      </c>
      <c r="E229"/>
    </row>
    <row r="230" spans="1:49" x14ac:dyDescent="0.25">
      <c r="A230" s="30">
        <v>1.628894626777442</v>
      </c>
      <c r="E230"/>
    </row>
    <row r="231" spans="1:49" x14ac:dyDescent="0.25">
      <c r="A231" s="30">
        <v>1.5513282159785162</v>
      </c>
      <c r="C231"/>
      <c r="D231"/>
      <c r="E231"/>
    </row>
    <row r="232" spans="1:49" x14ac:dyDescent="0.25">
      <c r="A232" s="30">
        <v>1.477455443789063</v>
      </c>
      <c r="E232"/>
    </row>
    <row r="233" spans="1:49" x14ac:dyDescent="0.25">
      <c r="A233" s="30">
        <v>1.4071004226562505</v>
      </c>
      <c r="E233"/>
    </row>
    <row r="234" spans="1:49" x14ac:dyDescent="0.25">
      <c r="A234" s="30">
        <v>1.3400956406250004</v>
      </c>
      <c r="E234"/>
    </row>
    <row r="235" spans="1:49" x14ac:dyDescent="0.25">
      <c r="A235" s="30">
        <v>1.2762815625000004</v>
      </c>
      <c r="C235"/>
      <c r="E235"/>
    </row>
    <row r="236" spans="1:49" x14ac:dyDescent="0.25">
      <c r="A236" s="30">
        <v>1.2155062500000002</v>
      </c>
      <c r="E236"/>
    </row>
    <row r="237" spans="1:4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49" x14ac:dyDescent="0.25">
      <c r="A238" s="30">
        <v>1.1025</v>
      </c>
      <c r="E238"/>
    </row>
    <row r="239" spans="1:49" x14ac:dyDescent="0.25">
      <c r="A239" s="30">
        <v>1.05</v>
      </c>
      <c r="E239"/>
    </row>
    <row r="240" spans="1:49" x14ac:dyDescent="0.25">
      <c r="A240" s="30">
        <v>1</v>
      </c>
      <c r="E240" s="29" t="s">
        <v>8</v>
      </c>
      <c r="AW240" s="31" t="s">
        <v>8</v>
      </c>
    </row>
    <row r="241" spans="1:106" x14ac:dyDescent="0.25">
      <c r="A241" s="30">
        <v>0.952380952380952</v>
      </c>
      <c r="B241"/>
      <c r="C241"/>
      <c r="D241"/>
      <c r="E241"/>
      <c r="F241" s="27" t="s">
        <v>7</v>
      </c>
      <c r="AW241" s="27" t="s">
        <v>8</v>
      </c>
      <c r="AX241" s="31" t="s">
        <v>7</v>
      </c>
    </row>
    <row r="242" spans="1:106" x14ac:dyDescent="0.25">
      <c r="A242" s="30">
        <v>0.90702947845804915</v>
      </c>
      <c r="B242"/>
      <c r="C242"/>
      <c r="D242"/>
      <c r="E242"/>
      <c r="F242" s="27" t="s">
        <v>7</v>
      </c>
      <c r="AS242" s="27" t="s">
        <v>8</v>
      </c>
      <c r="AW242" s="27" t="s">
        <v>8</v>
      </c>
      <c r="AX242" s="27" t="s">
        <v>7</v>
      </c>
      <c r="AY242" s="31"/>
    </row>
    <row r="243" spans="1:106" x14ac:dyDescent="0.25">
      <c r="A243" s="30">
        <v>0.86383759853147501</v>
      </c>
      <c r="B243"/>
      <c r="C243"/>
      <c r="D243"/>
      <c r="E243"/>
      <c r="F243" s="27" t="s">
        <v>7</v>
      </c>
      <c r="AS243" s="27" t="s">
        <v>8</v>
      </c>
      <c r="AT243" s="27" t="s">
        <v>7</v>
      </c>
      <c r="AW243" s="27" t="s">
        <v>8</v>
      </c>
      <c r="AX243" s="27" t="s">
        <v>7</v>
      </c>
      <c r="AY243" s="27" t="s">
        <v>8</v>
      </c>
      <c r="AZ243" s="31"/>
    </row>
    <row r="244" spans="1:106" x14ac:dyDescent="0.25">
      <c r="A244" s="30">
        <v>0.82270247479188063</v>
      </c>
      <c r="B244"/>
      <c r="C244"/>
      <c r="D244"/>
      <c r="E244"/>
      <c r="F244" s="27" t="s">
        <v>7</v>
      </c>
      <c r="AS244" s="27" t="s">
        <v>8</v>
      </c>
      <c r="AT244" s="27" t="s">
        <v>7</v>
      </c>
      <c r="AW244" s="27" t="s">
        <v>8</v>
      </c>
      <c r="AX244" s="27" t="s">
        <v>7</v>
      </c>
      <c r="AY244" s="27" t="s">
        <v>8</v>
      </c>
      <c r="AZ244" s="27" t="s">
        <v>7</v>
      </c>
      <c r="BA244" s="31"/>
    </row>
    <row r="245" spans="1:106" x14ac:dyDescent="0.25">
      <c r="A245" s="30">
        <v>0.78352616646845741</v>
      </c>
      <c r="B245"/>
      <c r="C245"/>
      <c r="D245"/>
      <c r="E245"/>
      <c r="F245" s="27" t="s">
        <v>7</v>
      </c>
      <c r="AI245" s="27" t="s">
        <v>8</v>
      </c>
      <c r="AQ245" s="27" t="s">
        <v>8</v>
      </c>
      <c r="AS245" s="27" t="s">
        <v>8</v>
      </c>
      <c r="AT245" s="27" t="s">
        <v>7</v>
      </c>
      <c r="AU245" s="27" t="s">
        <v>8</v>
      </c>
      <c r="AW245" s="27" t="s">
        <v>8</v>
      </c>
      <c r="AX245" s="27" t="s">
        <v>7</v>
      </c>
      <c r="AY245" s="27" t="s">
        <v>8</v>
      </c>
      <c r="AZ245" s="27" t="s">
        <v>7</v>
      </c>
      <c r="BB245" s="31"/>
      <c r="CS245" s="27" t="s">
        <v>8</v>
      </c>
    </row>
    <row r="246" spans="1:106" x14ac:dyDescent="0.25">
      <c r="A246" s="30">
        <v>0.74621539663662584</v>
      </c>
      <c r="B246"/>
      <c r="C246"/>
      <c r="D246"/>
      <c r="E246"/>
      <c r="F246" s="27" t="s">
        <v>7</v>
      </c>
      <c r="AI246" s="27" t="s">
        <v>8</v>
      </c>
      <c r="AJ246" s="27" t="s">
        <v>7</v>
      </c>
      <c r="AM246" s="27" t="s">
        <v>8</v>
      </c>
      <c r="AQ246" s="27" t="s">
        <v>8</v>
      </c>
      <c r="AR246" s="27" t="s">
        <v>7</v>
      </c>
      <c r="AS246" s="27" t="s">
        <v>8</v>
      </c>
      <c r="AT246" s="27" t="s">
        <v>7</v>
      </c>
      <c r="AU246" s="27" t="s">
        <v>8</v>
      </c>
      <c r="AV246" s="27" t="s">
        <v>7</v>
      </c>
      <c r="AW246" s="27" t="s">
        <v>8</v>
      </c>
      <c r="AX246" s="27" t="s">
        <v>7</v>
      </c>
      <c r="AY246" s="27" t="s">
        <v>8</v>
      </c>
      <c r="AZ246" s="27" t="s">
        <v>7</v>
      </c>
      <c r="BC246" s="31"/>
      <c r="CO246" s="27" t="s">
        <v>8</v>
      </c>
      <c r="CS246" s="27" t="s">
        <v>8</v>
      </c>
      <c r="CT246" s="27" t="s">
        <v>7</v>
      </c>
    </row>
    <row r="247" spans="1:106" x14ac:dyDescent="0.25">
      <c r="A247" s="30">
        <v>0.71068133013011958</v>
      </c>
      <c r="B247"/>
      <c r="C247"/>
      <c r="D247"/>
      <c r="E247"/>
      <c r="F247" s="27" t="s">
        <v>7</v>
      </c>
      <c r="AI247" s="27" t="s">
        <v>8</v>
      </c>
      <c r="AJ247" s="27" t="s">
        <v>7</v>
      </c>
      <c r="AK247" s="27" t="s">
        <v>8</v>
      </c>
      <c r="AM247" s="27" t="s">
        <v>8</v>
      </c>
      <c r="AN247" s="27" t="s">
        <v>7</v>
      </c>
      <c r="AQ247" s="27" t="s">
        <v>8</v>
      </c>
      <c r="AR247" s="27" t="s">
        <v>7</v>
      </c>
      <c r="AS247" s="27" t="s">
        <v>8</v>
      </c>
      <c r="AT247" s="27" t="s">
        <v>7</v>
      </c>
      <c r="AU247" s="27" t="s">
        <v>8</v>
      </c>
      <c r="AV247" s="27" t="s">
        <v>7</v>
      </c>
      <c r="AW247" s="27" t="s">
        <v>8</v>
      </c>
      <c r="AX247" s="27" t="s">
        <v>7</v>
      </c>
      <c r="AZ247" s="31" t="s">
        <v>7</v>
      </c>
      <c r="BA247" s="32" t="s">
        <v>8</v>
      </c>
      <c r="BC247" s="32" t="s">
        <v>8</v>
      </c>
      <c r="BD247" s="31"/>
      <c r="CO247" s="27" t="s">
        <v>8</v>
      </c>
      <c r="CP247" s="27" t="s">
        <v>7</v>
      </c>
      <c r="CS247" s="27" t="s">
        <v>8</v>
      </c>
      <c r="CT247" s="27" t="s">
        <v>7</v>
      </c>
      <c r="CU247" s="27" t="s">
        <v>8</v>
      </c>
    </row>
    <row r="248" spans="1:106" x14ac:dyDescent="0.25">
      <c r="A248" s="30">
        <v>0.676839362028685</v>
      </c>
      <c r="B248"/>
      <c r="C248"/>
      <c r="D248"/>
      <c r="E248"/>
      <c r="F248" s="27" t="s">
        <v>7</v>
      </c>
      <c r="AI248" s="27" t="s">
        <v>8</v>
      </c>
      <c r="AJ248" s="27" t="s">
        <v>7</v>
      </c>
      <c r="AK248" s="27" t="s">
        <v>8</v>
      </c>
      <c r="AL248" s="27" t="s">
        <v>7</v>
      </c>
      <c r="AM248" s="27" t="s">
        <v>8</v>
      </c>
      <c r="AN248" s="27" t="s">
        <v>7</v>
      </c>
      <c r="AQ248" s="27" t="s">
        <v>8</v>
      </c>
      <c r="AR248" s="27" t="s">
        <v>7</v>
      </c>
      <c r="AS248" s="27" t="s">
        <v>8</v>
      </c>
      <c r="AT248" s="27" t="s">
        <v>7</v>
      </c>
      <c r="AU248" s="27" t="s">
        <v>8</v>
      </c>
      <c r="AV248" s="27" t="s">
        <v>7</v>
      </c>
      <c r="AY248" s="31"/>
      <c r="AZ248" s="34" t="s">
        <v>7</v>
      </c>
      <c r="BA248" s="27" t="s">
        <v>8</v>
      </c>
      <c r="BB248" s="27" t="s">
        <v>7</v>
      </c>
      <c r="BC248" s="27" t="s">
        <v>8</v>
      </c>
      <c r="BD248" s="27" t="s">
        <v>7</v>
      </c>
      <c r="BE248" s="31"/>
      <c r="CM248" s="27" t="s">
        <v>8</v>
      </c>
      <c r="CO248" s="27" t="s">
        <v>8</v>
      </c>
      <c r="CP248" s="27" t="s">
        <v>7</v>
      </c>
      <c r="CQ248" s="27" t="s">
        <v>8</v>
      </c>
      <c r="CS248" s="27" t="s">
        <v>8</v>
      </c>
      <c r="CT248" s="27" t="s">
        <v>7</v>
      </c>
      <c r="CU248" s="27" t="s">
        <v>8</v>
      </c>
      <c r="CV248" s="27" t="s">
        <v>7</v>
      </c>
    </row>
    <row r="249" spans="1:106" x14ac:dyDescent="0.25">
      <c r="A249" s="30">
        <v>0.64460891621779492</v>
      </c>
      <c r="B249"/>
      <c r="C249"/>
      <c r="D249"/>
      <c r="E249"/>
      <c r="F249" s="27" t="s">
        <v>7</v>
      </c>
      <c r="AI249" s="27" t="s">
        <v>8</v>
      </c>
      <c r="AJ249" s="27" t="s">
        <v>7</v>
      </c>
      <c r="AK249" s="27" t="s">
        <v>8</v>
      </c>
      <c r="AL249" s="27" t="s">
        <v>7</v>
      </c>
      <c r="AM249" s="27" t="s">
        <v>8</v>
      </c>
      <c r="AN249" s="27" t="s">
        <v>7</v>
      </c>
      <c r="AQ249" s="27" t="s">
        <v>8</v>
      </c>
      <c r="AR249" s="27" t="s">
        <v>7</v>
      </c>
      <c r="AS249" s="27" t="s">
        <v>8</v>
      </c>
      <c r="AT249" s="27" t="s">
        <v>7</v>
      </c>
      <c r="AU249" s="27" t="s">
        <v>8</v>
      </c>
      <c r="AX249" s="31"/>
      <c r="AZ249" s="27" t="s">
        <v>7</v>
      </c>
      <c r="BA249" s="27" t="s">
        <v>8</v>
      </c>
      <c r="BB249" s="27" t="s">
        <v>7</v>
      </c>
      <c r="BC249" s="27" t="s">
        <v>8</v>
      </c>
      <c r="BD249" s="27" t="s">
        <v>7</v>
      </c>
      <c r="BE249" s="27" t="s">
        <v>8</v>
      </c>
      <c r="BF249" s="31"/>
      <c r="CM249" s="27" t="s">
        <v>8</v>
      </c>
      <c r="CN249" s="27" t="s">
        <v>7</v>
      </c>
      <c r="CO249" s="27" t="s">
        <v>8</v>
      </c>
      <c r="CP249" s="27" t="s">
        <v>7</v>
      </c>
      <c r="CQ249" s="27" t="s">
        <v>8</v>
      </c>
      <c r="CR249" s="27" t="s">
        <v>7</v>
      </c>
      <c r="CS249" s="27" t="s">
        <v>8</v>
      </c>
      <c r="CT249" s="27" t="s">
        <v>7</v>
      </c>
      <c r="CU249" s="27" t="s">
        <v>8</v>
      </c>
      <c r="CV249" s="27" t="s">
        <v>7</v>
      </c>
    </row>
    <row r="250" spans="1:106" x14ac:dyDescent="0.25">
      <c r="A250" s="30">
        <v>0.61391325354075688</v>
      </c>
      <c r="B250"/>
      <c r="C250"/>
      <c r="D250"/>
      <c r="E250"/>
      <c r="F250" s="27" t="s">
        <v>7</v>
      </c>
      <c r="AI250" s="27" t="s">
        <v>8</v>
      </c>
      <c r="AJ250" s="27" t="s">
        <v>7</v>
      </c>
      <c r="AK250" s="27" t="s">
        <v>8</v>
      </c>
      <c r="AL250" s="27" t="s">
        <v>7</v>
      </c>
      <c r="AM250" s="27" t="s">
        <v>8</v>
      </c>
      <c r="AN250" s="27" t="s">
        <v>7</v>
      </c>
      <c r="AQ250" s="27" t="s">
        <v>8</v>
      </c>
      <c r="AR250" s="27" t="s">
        <v>7</v>
      </c>
      <c r="AS250" s="27" t="s">
        <v>8</v>
      </c>
      <c r="AT250" s="27" t="s">
        <v>7</v>
      </c>
      <c r="AU250" s="27" t="s">
        <v>8</v>
      </c>
      <c r="AW250" s="31"/>
      <c r="AZ250" s="27" t="s">
        <v>7</v>
      </c>
      <c r="BA250" s="27" t="s">
        <v>8</v>
      </c>
      <c r="BB250" s="27" t="s">
        <v>7</v>
      </c>
      <c r="BC250" s="27" t="s">
        <v>8</v>
      </c>
      <c r="BD250" s="27" t="s">
        <v>7</v>
      </c>
      <c r="BE250" s="27" t="s">
        <v>8</v>
      </c>
      <c r="BF250" s="27" t="s">
        <v>7</v>
      </c>
      <c r="BG250" s="31"/>
      <c r="CM250" s="27" t="s">
        <v>8</v>
      </c>
      <c r="CN250" s="27" t="s">
        <v>7</v>
      </c>
      <c r="CO250" s="27" t="s">
        <v>8</v>
      </c>
      <c r="CP250" s="27" t="s">
        <v>7</v>
      </c>
      <c r="CQ250" s="27" t="s">
        <v>8</v>
      </c>
      <c r="CR250" s="27" t="s">
        <v>7</v>
      </c>
      <c r="CS250" s="27" t="s">
        <v>8</v>
      </c>
      <c r="CT250" s="27" t="s">
        <v>7</v>
      </c>
      <c r="CU250" s="27" t="s">
        <v>8</v>
      </c>
      <c r="CV250" s="27" t="s">
        <v>7</v>
      </c>
    </row>
    <row r="251" spans="1:106" x14ac:dyDescent="0.25">
      <c r="A251" s="30">
        <v>0.58467928908643485</v>
      </c>
      <c r="B251"/>
      <c r="C251"/>
      <c r="D251"/>
      <c r="E251"/>
      <c r="F251" s="27" t="s">
        <v>7</v>
      </c>
      <c r="AI251" s="27" t="s">
        <v>8</v>
      </c>
      <c r="AJ251" s="27" t="s">
        <v>7</v>
      </c>
      <c r="AL251" s="27" t="s">
        <v>7</v>
      </c>
      <c r="AM251" s="27" t="s">
        <v>8</v>
      </c>
      <c r="AN251" s="27" t="s">
        <v>7</v>
      </c>
      <c r="AQ251" s="27" t="s">
        <v>8</v>
      </c>
      <c r="AR251" s="32" t="s">
        <v>7</v>
      </c>
      <c r="AT251" s="32" t="s">
        <v>7</v>
      </c>
      <c r="AV251" s="31"/>
      <c r="AZ251" s="27" t="s">
        <v>7</v>
      </c>
      <c r="BA251" s="27" t="s">
        <v>8</v>
      </c>
      <c r="BB251" s="27" t="s">
        <v>7</v>
      </c>
      <c r="BD251" s="27" t="s">
        <v>7</v>
      </c>
      <c r="BE251" s="27" t="s">
        <v>8</v>
      </c>
      <c r="BF251" s="27" t="s">
        <v>7</v>
      </c>
      <c r="BH251" s="31"/>
      <c r="CK251" s="27" t="s">
        <v>8</v>
      </c>
      <c r="CM251" s="27" t="s">
        <v>8</v>
      </c>
      <c r="CN251" s="27" t="s">
        <v>7</v>
      </c>
      <c r="CO251" s="27" t="s">
        <v>8</v>
      </c>
      <c r="CP251" s="27" t="s">
        <v>7</v>
      </c>
      <c r="CQ251" s="27" t="s">
        <v>8</v>
      </c>
      <c r="CR251" s="27" t="s">
        <v>7</v>
      </c>
      <c r="CT251" s="27" t="s">
        <v>7</v>
      </c>
      <c r="CV251" s="27" t="s">
        <v>7</v>
      </c>
    </row>
    <row r="252" spans="1:106" x14ac:dyDescent="0.25">
      <c r="A252" s="30">
        <v>0.55683741817755672</v>
      </c>
      <c r="B252"/>
      <c r="C252"/>
      <c r="D252"/>
      <c r="E252"/>
      <c r="F252" s="27" t="s">
        <v>7</v>
      </c>
      <c r="AI252" s="27" t="s">
        <v>8</v>
      </c>
      <c r="AL252" s="27" t="s">
        <v>7</v>
      </c>
      <c r="AN252" s="27" t="s">
        <v>7</v>
      </c>
      <c r="AQ252" s="33" t="s">
        <v>8</v>
      </c>
      <c r="AU252" s="31"/>
      <c r="AZ252" s="27" t="s">
        <v>7</v>
      </c>
      <c r="BA252" s="27" t="s">
        <v>8</v>
      </c>
      <c r="BD252" s="27" t="s">
        <v>7</v>
      </c>
      <c r="BF252" s="27" t="s">
        <v>7</v>
      </c>
      <c r="BI252" s="31"/>
      <c r="CK252" s="27" t="s">
        <v>8</v>
      </c>
      <c r="CL252" s="27" t="s">
        <v>7</v>
      </c>
      <c r="CM252" s="27" t="s">
        <v>8</v>
      </c>
      <c r="CN252" s="27" t="s">
        <v>7</v>
      </c>
      <c r="CO252" s="27" t="s">
        <v>8</v>
      </c>
      <c r="CP252" s="27" t="s">
        <v>7</v>
      </c>
      <c r="CQ252" s="27" t="s">
        <v>8</v>
      </c>
      <c r="CV252" s="27" t="s">
        <v>7</v>
      </c>
      <c r="CW252" s="27" t="s">
        <v>8</v>
      </c>
    </row>
    <row r="253" spans="1:106" x14ac:dyDescent="0.25">
      <c r="A253" s="30">
        <v>0.53032135064529184</v>
      </c>
      <c r="B253"/>
      <c r="C253"/>
      <c r="D253"/>
      <c r="E253"/>
      <c r="F253" s="27" t="s">
        <v>7</v>
      </c>
      <c r="AI253" s="27" t="s">
        <v>8</v>
      </c>
      <c r="AN253" s="27" t="s">
        <v>7</v>
      </c>
      <c r="AO253" s="27" t="s">
        <v>8</v>
      </c>
      <c r="AQ253" s="27" t="s">
        <v>8</v>
      </c>
      <c r="AT253" s="31"/>
      <c r="AZ253" s="27" t="s">
        <v>7</v>
      </c>
      <c r="BA253" s="27" t="s">
        <v>8</v>
      </c>
      <c r="BF253" s="27" t="s">
        <v>7</v>
      </c>
      <c r="BI253" s="27" t="s">
        <v>8</v>
      </c>
      <c r="BJ253" s="31"/>
      <c r="CK253" s="27" t="s">
        <v>8</v>
      </c>
      <c r="CL253" s="27" t="s">
        <v>7</v>
      </c>
      <c r="CM253" s="27" t="s">
        <v>8</v>
      </c>
      <c r="CN253" s="27" t="s">
        <v>7</v>
      </c>
      <c r="CO253" s="27" t="s">
        <v>8</v>
      </c>
      <c r="CP253" s="27" t="s">
        <v>7</v>
      </c>
      <c r="CQ253" s="27" t="s">
        <v>8</v>
      </c>
      <c r="CV253" s="27" t="s">
        <v>7</v>
      </c>
      <c r="CW253" s="27" t="s">
        <v>8</v>
      </c>
      <c r="CX253" s="27" t="s">
        <v>7</v>
      </c>
    </row>
    <row r="254" spans="1:106" x14ac:dyDescent="0.25">
      <c r="A254" s="30">
        <v>0.50506795299551588</v>
      </c>
      <c r="B254"/>
      <c r="C254"/>
      <c r="D254"/>
      <c r="E254"/>
      <c r="F254" s="27" t="s">
        <v>7</v>
      </c>
      <c r="U254" s="27" t="s">
        <v>8</v>
      </c>
      <c r="AI254" s="27" t="s">
        <v>8</v>
      </c>
      <c r="AN254" s="27" t="s">
        <v>7</v>
      </c>
      <c r="AO254" s="27" t="s">
        <v>8</v>
      </c>
      <c r="AP254" s="27" t="s">
        <v>7</v>
      </c>
      <c r="AQ254" s="27" t="s">
        <v>8</v>
      </c>
      <c r="AS254" s="31"/>
      <c r="AZ254" s="27" t="s">
        <v>7</v>
      </c>
      <c r="BF254" s="27" t="s">
        <v>7</v>
      </c>
      <c r="BI254" s="33" t="s">
        <v>8</v>
      </c>
      <c r="BJ254" s="27" t="s">
        <v>7</v>
      </c>
      <c r="BK254" s="31"/>
      <c r="CK254" s="27" t="s">
        <v>8</v>
      </c>
      <c r="CL254" s="27" t="s">
        <v>7</v>
      </c>
      <c r="CM254" s="27" t="s">
        <v>8</v>
      </c>
      <c r="CN254" s="27" t="s">
        <v>7</v>
      </c>
      <c r="CO254" s="27" t="s">
        <v>8</v>
      </c>
      <c r="CP254" s="27" t="s">
        <v>7</v>
      </c>
      <c r="CQ254" s="27" t="s">
        <v>8</v>
      </c>
      <c r="CV254" s="27" t="s">
        <v>7</v>
      </c>
      <c r="CW254" s="27" t="s">
        <v>8</v>
      </c>
      <c r="CX254" s="27" t="s">
        <v>7</v>
      </c>
      <c r="DA254" s="27" t="s">
        <v>8</v>
      </c>
    </row>
    <row r="255" spans="1:106" x14ac:dyDescent="0.25">
      <c r="A255" s="30">
        <v>0.48101709809096732</v>
      </c>
      <c r="E255"/>
      <c r="F255" s="27" t="s">
        <v>7</v>
      </c>
      <c r="U255" s="27" t="s">
        <v>8</v>
      </c>
      <c r="V255" s="27" t="s">
        <v>7</v>
      </c>
      <c r="AG255" s="27" t="s">
        <v>8</v>
      </c>
      <c r="AI255" s="27" t="s">
        <v>8</v>
      </c>
      <c r="AN255" s="27" t="s">
        <v>7</v>
      </c>
      <c r="AO255" s="27" t="s">
        <v>8</v>
      </c>
      <c r="AP255" s="27" t="s">
        <v>7</v>
      </c>
      <c r="AQ255" s="27" t="s">
        <v>8</v>
      </c>
      <c r="AR255" s="31"/>
      <c r="BF255" s="27" t="s">
        <v>7</v>
      </c>
      <c r="BG255" s="27" t="s">
        <v>8</v>
      </c>
      <c r="BI255" s="27" t="s">
        <v>8</v>
      </c>
      <c r="BJ255" s="27" t="s">
        <v>7</v>
      </c>
      <c r="BL255" s="31"/>
      <c r="CC255" s="27" t="s">
        <v>8</v>
      </c>
      <c r="CE255" s="27" t="s">
        <v>8</v>
      </c>
      <c r="CK255" s="27" t="s">
        <v>8</v>
      </c>
      <c r="CL255" s="27" t="s">
        <v>7</v>
      </c>
      <c r="CM255" s="27" t="s">
        <v>8</v>
      </c>
      <c r="CN255" s="27" t="s">
        <v>7</v>
      </c>
      <c r="CO255" s="27" t="s">
        <v>8</v>
      </c>
      <c r="CP255" s="27" t="s">
        <v>7</v>
      </c>
      <c r="CV255" s="27" t="s">
        <v>7</v>
      </c>
      <c r="CX255" s="27" t="s">
        <v>7</v>
      </c>
      <c r="DA255" s="27" t="s">
        <v>8</v>
      </c>
      <c r="DB255" s="27" t="s">
        <v>7</v>
      </c>
    </row>
    <row r="256" spans="1:106" x14ac:dyDescent="0.25">
      <c r="A256" s="30">
        <v>0.45811152199139726</v>
      </c>
      <c r="E256"/>
      <c r="F256" s="27" t="s">
        <v>7</v>
      </c>
      <c r="U256" s="27" t="s">
        <v>8</v>
      </c>
      <c r="V256" s="27" t="s">
        <v>7</v>
      </c>
      <c r="AG256" s="27" t="s">
        <v>8</v>
      </c>
      <c r="AH256" s="27" t="s">
        <v>7</v>
      </c>
      <c r="AI256" s="27" t="s">
        <v>8</v>
      </c>
      <c r="AN256" s="27" t="s">
        <v>7</v>
      </c>
      <c r="AP256" s="27" t="s">
        <v>7</v>
      </c>
      <c r="AQ256" s="31" t="s">
        <v>8</v>
      </c>
      <c r="BF256" s="27" t="s">
        <v>7</v>
      </c>
      <c r="BG256" s="27" t="s">
        <v>8</v>
      </c>
      <c r="BH256" s="27" t="s">
        <v>7</v>
      </c>
      <c r="BI256" s="27" t="s">
        <v>8</v>
      </c>
      <c r="BJ256" s="27" t="s">
        <v>7</v>
      </c>
      <c r="BM256" s="31"/>
      <c r="CA256" s="27" t="s">
        <v>8</v>
      </c>
      <c r="CC256" s="27" t="s">
        <v>8</v>
      </c>
      <c r="CD256" s="27" t="s">
        <v>7</v>
      </c>
      <c r="CE256" s="27" t="s">
        <v>8</v>
      </c>
      <c r="CF256" s="27" t="s">
        <v>7</v>
      </c>
      <c r="CK256" s="27" t="s">
        <v>8</v>
      </c>
      <c r="CL256" s="27" t="s">
        <v>7</v>
      </c>
      <c r="CM256" s="27" t="s">
        <v>8</v>
      </c>
      <c r="CN256" s="27" t="s">
        <v>7</v>
      </c>
      <c r="CO256" s="27" t="s">
        <v>8</v>
      </c>
      <c r="CX256" s="27" t="s">
        <v>7</v>
      </c>
      <c r="CY256" s="27" t="s">
        <v>8</v>
      </c>
      <c r="DA256" s="27" t="s">
        <v>8</v>
      </c>
      <c r="DB256" s="27" t="s">
        <v>7</v>
      </c>
    </row>
    <row r="257" spans="1:109" x14ac:dyDescent="0.25">
      <c r="A257" s="30">
        <v>0.43629668761085438</v>
      </c>
      <c r="B257"/>
      <c r="C257"/>
      <c r="D257"/>
      <c r="E257"/>
      <c r="F257" s="27" t="s">
        <v>7</v>
      </c>
      <c r="U257" s="27" t="s">
        <v>8</v>
      </c>
      <c r="V257" s="27" t="s">
        <v>7</v>
      </c>
      <c r="AG257" s="27" t="s">
        <v>8</v>
      </c>
      <c r="AH257" s="27" t="s">
        <v>7</v>
      </c>
      <c r="AI257" s="27" t="s">
        <v>8</v>
      </c>
      <c r="AP257" s="31" t="s">
        <v>7</v>
      </c>
      <c r="BF257" s="27" t="s">
        <v>7</v>
      </c>
      <c r="BG257" s="27" t="s">
        <v>8</v>
      </c>
      <c r="BH257" s="27" t="s">
        <v>7</v>
      </c>
      <c r="BI257" s="27" t="s">
        <v>8</v>
      </c>
      <c r="BJ257" s="27" t="s">
        <v>7</v>
      </c>
      <c r="BN257" s="31"/>
      <c r="CA257" s="27" t="s">
        <v>8</v>
      </c>
      <c r="CB257" s="27" t="s">
        <v>7</v>
      </c>
      <c r="CC257" s="27" t="s">
        <v>8</v>
      </c>
      <c r="CD257" s="27" t="s">
        <v>7</v>
      </c>
      <c r="CE257" s="27" t="s">
        <v>8</v>
      </c>
      <c r="CF257" s="27" t="s">
        <v>7</v>
      </c>
      <c r="CK257" s="27" t="s">
        <v>8</v>
      </c>
      <c r="CL257" s="27" t="s">
        <v>7</v>
      </c>
      <c r="CM257" s="27" t="s">
        <v>8</v>
      </c>
      <c r="CN257" s="27" t="s">
        <v>7</v>
      </c>
      <c r="CO257" s="27" t="s">
        <v>8</v>
      </c>
      <c r="CX257" s="27" t="s">
        <v>7</v>
      </c>
      <c r="CY257" s="27" t="s">
        <v>8</v>
      </c>
      <c r="CZ257" s="27" t="s">
        <v>7</v>
      </c>
      <c r="DA257" s="27" t="s">
        <v>8</v>
      </c>
      <c r="DB257" s="27" t="s">
        <v>7</v>
      </c>
    </row>
    <row r="258" spans="1:109" x14ac:dyDescent="0.25">
      <c r="A258" s="30">
        <v>0.41552065486748019</v>
      </c>
      <c r="B258"/>
      <c r="C258"/>
      <c r="D258"/>
      <c r="E258"/>
      <c r="F258" s="27" t="s">
        <v>7</v>
      </c>
      <c r="U258" s="27" t="s">
        <v>8</v>
      </c>
      <c r="V258" s="27" t="s">
        <v>7</v>
      </c>
      <c r="AG258" s="27" t="s">
        <v>8</v>
      </c>
      <c r="AH258" s="27" t="s">
        <v>7</v>
      </c>
      <c r="AI258" s="27" t="s">
        <v>8</v>
      </c>
      <c r="AO258" s="31"/>
      <c r="BF258" s="27" t="s">
        <v>7</v>
      </c>
      <c r="BG258" s="27" t="s">
        <v>8</v>
      </c>
      <c r="BH258" s="27" t="s">
        <v>7</v>
      </c>
      <c r="BI258" s="27" t="s">
        <v>8</v>
      </c>
      <c r="BJ258" s="27" t="s">
        <v>7</v>
      </c>
      <c r="BK258" s="32" t="s">
        <v>8</v>
      </c>
      <c r="BM258" s="32" t="s">
        <v>8</v>
      </c>
      <c r="BO258" s="31"/>
      <c r="BY258" s="27" t="s">
        <v>8</v>
      </c>
      <c r="CA258" s="27" t="s">
        <v>8</v>
      </c>
      <c r="CB258" s="27" t="s">
        <v>7</v>
      </c>
      <c r="CC258" s="27" t="s">
        <v>8</v>
      </c>
      <c r="CD258" s="27" t="s">
        <v>7</v>
      </c>
      <c r="CE258" s="27" t="s">
        <v>8</v>
      </c>
      <c r="CF258" s="27" t="s">
        <v>7</v>
      </c>
      <c r="CG258" s="27" t="s">
        <v>8</v>
      </c>
      <c r="CK258" s="27" t="s">
        <v>8</v>
      </c>
      <c r="CL258" s="27" t="s">
        <v>7</v>
      </c>
      <c r="CN258" s="27" t="s">
        <v>7</v>
      </c>
      <c r="CO258" s="27" t="s">
        <v>8</v>
      </c>
      <c r="CX258" s="27" t="s">
        <v>7</v>
      </c>
      <c r="CY258" s="27" t="s">
        <v>8</v>
      </c>
      <c r="CZ258" s="27" t="s">
        <v>7</v>
      </c>
      <c r="DA258" s="27" t="s">
        <v>8</v>
      </c>
      <c r="DB258" s="27" t="s">
        <v>7</v>
      </c>
    </row>
    <row r="259" spans="1:109" x14ac:dyDescent="0.25">
      <c r="A259" s="30">
        <v>0.39573395701664765</v>
      </c>
      <c r="B259"/>
      <c r="C259"/>
      <c r="D259"/>
      <c r="E259"/>
      <c r="F259" s="27" t="s">
        <v>7</v>
      </c>
      <c r="U259" s="27" t="s">
        <v>8</v>
      </c>
      <c r="V259" s="27" t="s">
        <v>7</v>
      </c>
      <c r="AG259" s="27" t="s">
        <v>8</v>
      </c>
      <c r="AH259" s="27" t="s">
        <v>7</v>
      </c>
      <c r="AN259" s="31"/>
      <c r="BF259" s="27" t="s">
        <v>7</v>
      </c>
      <c r="BG259" s="27" t="s">
        <v>8</v>
      </c>
      <c r="BH259" s="27" t="s">
        <v>7</v>
      </c>
      <c r="BI259" s="27" t="s">
        <v>8</v>
      </c>
      <c r="BJ259" s="27" t="s">
        <v>7</v>
      </c>
      <c r="BK259" s="27" t="s">
        <v>8</v>
      </c>
      <c r="BL259" s="27" t="s">
        <v>7</v>
      </c>
      <c r="BM259" s="27" t="s">
        <v>8</v>
      </c>
      <c r="BN259" s="27" t="s">
        <v>7</v>
      </c>
      <c r="BP259" s="31"/>
      <c r="BY259" s="27" t="s">
        <v>8</v>
      </c>
      <c r="BZ259" s="27" t="s">
        <v>7</v>
      </c>
      <c r="CA259" s="27" t="s">
        <v>8</v>
      </c>
      <c r="CB259" s="27" t="s">
        <v>7</v>
      </c>
      <c r="CC259" s="27" t="s">
        <v>8</v>
      </c>
      <c r="CD259" s="27" t="s">
        <v>7</v>
      </c>
      <c r="CF259" s="27" t="s">
        <v>7</v>
      </c>
      <c r="CG259" s="27" t="s">
        <v>8</v>
      </c>
      <c r="CH259" s="27" t="s">
        <v>7</v>
      </c>
      <c r="CK259" s="27" t="s">
        <v>8</v>
      </c>
      <c r="CN259" s="27" t="s">
        <v>7</v>
      </c>
      <c r="CX259" s="27" t="s">
        <v>7</v>
      </c>
      <c r="CY259" s="27" t="s">
        <v>8</v>
      </c>
      <c r="CZ259" s="27" t="s">
        <v>7</v>
      </c>
      <c r="DA259" s="27" t="s">
        <v>8</v>
      </c>
      <c r="DB259" s="27" t="s">
        <v>7</v>
      </c>
    </row>
    <row r="260" spans="1:109" x14ac:dyDescent="0.25">
      <c r="A260" s="30">
        <v>0.37688948287299762</v>
      </c>
      <c r="B260"/>
      <c r="C260"/>
      <c r="D260"/>
      <c r="E260"/>
      <c r="F260" s="27" t="s">
        <v>7</v>
      </c>
      <c r="U260" s="27" t="s">
        <v>8</v>
      </c>
      <c r="V260" s="27" t="s">
        <v>7</v>
      </c>
      <c r="AG260" s="27" t="s">
        <v>8</v>
      </c>
      <c r="AM260" s="31"/>
      <c r="BF260" s="27" t="s">
        <v>7</v>
      </c>
      <c r="BG260" s="27" t="s">
        <v>8</v>
      </c>
      <c r="BH260" s="27" t="s">
        <v>7</v>
      </c>
      <c r="BI260" s="27" t="s">
        <v>8</v>
      </c>
      <c r="BJ260" s="27" t="s">
        <v>7</v>
      </c>
      <c r="BK260" s="27" t="s">
        <v>8</v>
      </c>
      <c r="BL260" s="27" t="s">
        <v>7</v>
      </c>
      <c r="BM260" s="27" t="s">
        <v>8</v>
      </c>
      <c r="BN260" s="27" t="s">
        <v>7</v>
      </c>
      <c r="BO260" s="27" t="s">
        <v>8</v>
      </c>
      <c r="BQ260" s="31"/>
      <c r="BU260" s="31" t="s">
        <v>8</v>
      </c>
      <c r="BY260" s="27" t="s">
        <v>8</v>
      </c>
      <c r="BZ260" s="27" t="s">
        <v>7</v>
      </c>
      <c r="CA260" s="27" t="s">
        <v>8</v>
      </c>
      <c r="CB260" s="27" t="s">
        <v>7</v>
      </c>
      <c r="CF260" s="27" t="s">
        <v>7</v>
      </c>
      <c r="CG260" s="27" t="s">
        <v>8</v>
      </c>
      <c r="CH260" s="27" t="s">
        <v>7</v>
      </c>
      <c r="CI260" s="27" t="s">
        <v>8</v>
      </c>
      <c r="CK260" s="27" t="s">
        <v>8</v>
      </c>
      <c r="CX260" s="27" t="s">
        <v>7</v>
      </c>
      <c r="CZ260" s="27" t="s">
        <v>7</v>
      </c>
      <c r="DA260" s="27" t="s">
        <v>8</v>
      </c>
      <c r="DB260" s="27" t="s">
        <v>7</v>
      </c>
    </row>
    <row r="261" spans="1:109" x14ac:dyDescent="0.25">
      <c r="A261" s="30">
        <v>0.35894236464094997</v>
      </c>
      <c r="B261"/>
      <c r="C261"/>
      <c r="D261"/>
      <c r="E261"/>
      <c r="F261" s="27" t="s">
        <v>7</v>
      </c>
      <c r="Q261" s="27" t="s">
        <v>8</v>
      </c>
      <c r="U261" s="27" t="s">
        <v>8</v>
      </c>
      <c r="V261" s="27" t="s">
        <v>7</v>
      </c>
      <c r="AG261" s="27" t="s">
        <v>8</v>
      </c>
      <c r="AL261" s="31"/>
      <c r="BF261" s="27" t="s">
        <v>7</v>
      </c>
      <c r="BG261" s="27" t="s">
        <v>8</v>
      </c>
      <c r="BH261" s="27" t="s">
        <v>7</v>
      </c>
      <c r="BI261" s="27" t="s">
        <v>8</v>
      </c>
      <c r="BJ261" s="32" t="s">
        <v>7</v>
      </c>
      <c r="BL261" s="32" t="s">
        <v>7</v>
      </c>
      <c r="BN261" s="27" t="s">
        <v>7</v>
      </c>
      <c r="BO261" s="27" t="s">
        <v>8</v>
      </c>
      <c r="BP261" s="27" t="s">
        <v>7</v>
      </c>
      <c r="BR261" s="31"/>
      <c r="BU261" s="27" t="s">
        <v>8</v>
      </c>
      <c r="BV261" s="31" t="s">
        <v>7</v>
      </c>
      <c r="BY261" s="27" t="s">
        <v>8</v>
      </c>
      <c r="BZ261" s="27" t="s">
        <v>7</v>
      </c>
      <c r="CA261" s="27" t="s">
        <v>8</v>
      </c>
      <c r="CF261" s="27" t="s">
        <v>7</v>
      </c>
      <c r="CG261" s="27" t="s">
        <v>8</v>
      </c>
      <c r="CH261" s="27" t="s">
        <v>7</v>
      </c>
      <c r="CI261" s="27" t="s">
        <v>8</v>
      </c>
      <c r="CJ261" s="27" t="s">
        <v>7</v>
      </c>
      <c r="CK261" s="27" t="s">
        <v>8</v>
      </c>
      <c r="CZ261" s="27" t="s">
        <v>7</v>
      </c>
      <c r="DA261" s="27" t="s">
        <v>8</v>
      </c>
      <c r="DB261" s="27" t="s">
        <v>7</v>
      </c>
    </row>
    <row r="262" spans="1:109" x14ac:dyDescent="0.25">
      <c r="A262" s="30">
        <v>0.34184987108661891</v>
      </c>
      <c r="B262"/>
      <c r="C262"/>
      <c r="D262"/>
      <c r="E262"/>
      <c r="F262" s="27" t="s">
        <v>7</v>
      </c>
      <c r="Q262" s="27" t="s">
        <v>8</v>
      </c>
      <c r="R262" s="27" t="s">
        <v>7</v>
      </c>
      <c r="S262" s="27" t="s">
        <v>8</v>
      </c>
      <c r="U262" s="27" t="s">
        <v>8</v>
      </c>
      <c r="V262" s="27" t="s">
        <v>7</v>
      </c>
      <c r="AC262" s="27" t="s">
        <v>8</v>
      </c>
      <c r="AG262" s="27" t="s">
        <v>8</v>
      </c>
      <c r="AK262" s="31"/>
      <c r="BF262" s="27" t="s">
        <v>7</v>
      </c>
      <c r="BG262" s="27" t="s">
        <v>8</v>
      </c>
      <c r="BH262" s="27" t="s">
        <v>7</v>
      </c>
      <c r="BI262" s="27" t="s">
        <v>8</v>
      </c>
      <c r="BN262" s="34" t="s">
        <v>7</v>
      </c>
      <c r="BO262" s="27" t="s">
        <v>8</v>
      </c>
      <c r="BP262" s="27" t="s">
        <v>7</v>
      </c>
      <c r="BQ262" s="27" t="s">
        <v>8</v>
      </c>
      <c r="BS262" s="31"/>
      <c r="BU262" s="27" t="s">
        <v>8</v>
      </c>
      <c r="BV262" s="27" t="s">
        <v>7</v>
      </c>
      <c r="BW262" s="31"/>
      <c r="BY262" s="27" t="s">
        <v>8</v>
      </c>
      <c r="BZ262" s="27" t="s">
        <v>7</v>
      </c>
      <c r="CF262" s="27" t="s">
        <v>7</v>
      </c>
      <c r="CH262" s="27" t="s">
        <v>7</v>
      </c>
      <c r="CI262" s="27" t="s">
        <v>8</v>
      </c>
      <c r="CJ262" s="27" t="s">
        <v>7</v>
      </c>
      <c r="CK262" s="27" t="s">
        <v>8</v>
      </c>
      <c r="CZ262" s="27" t="s">
        <v>7</v>
      </c>
      <c r="DB262" s="27" t="s">
        <v>7</v>
      </c>
      <c r="DC262" s="27" t="s">
        <v>8</v>
      </c>
    </row>
    <row r="263" spans="1:109" x14ac:dyDescent="0.25">
      <c r="A263" s="30">
        <v>0.32557130579677979</v>
      </c>
      <c r="B263"/>
      <c r="C263"/>
      <c r="D263"/>
      <c r="E263"/>
      <c r="F263" s="27" t="s">
        <v>7</v>
      </c>
      <c r="G263" s="27" t="s">
        <v>8</v>
      </c>
      <c r="Q263" s="27" t="s">
        <v>8</v>
      </c>
      <c r="R263" s="27" t="s">
        <v>7</v>
      </c>
      <c r="S263" s="27" t="s">
        <v>8</v>
      </c>
      <c r="T263" s="27" t="s">
        <v>7</v>
      </c>
      <c r="U263" s="27" t="s">
        <v>8</v>
      </c>
      <c r="V263" s="27" t="s">
        <v>7</v>
      </c>
      <c r="AA263" s="27" t="s">
        <v>8</v>
      </c>
      <c r="AC263" s="27" t="s">
        <v>8</v>
      </c>
      <c r="AD263" s="27" t="s">
        <v>7</v>
      </c>
      <c r="AE263" s="27" t="s">
        <v>8</v>
      </c>
      <c r="AG263" s="27" t="s">
        <v>8</v>
      </c>
      <c r="AJ263" s="31"/>
      <c r="BF263" s="27" t="s">
        <v>7</v>
      </c>
      <c r="BG263" s="27" t="s">
        <v>8</v>
      </c>
      <c r="BH263" s="27" t="s">
        <v>7</v>
      </c>
      <c r="BI263" s="27" t="s">
        <v>8</v>
      </c>
      <c r="BN263" s="27" t="s">
        <v>7</v>
      </c>
      <c r="BO263" s="27" t="s">
        <v>8</v>
      </c>
      <c r="BP263" s="27" t="s">
        <v>7</v>
      </c>
      <c r="BQ263" s="27" t="s">
        <v>8</v>
      </c>
      <c r="BR263" s="27" t="s">
        <v>7</v>
      </c>
      <c r="BT263" s="31"/>
      <c r="BU263" s="33" t="s">
        <v>8</v>
      </c>
      <c r="BV263" s="27" t="s">
        <v>7</v>
      </c>
      <c r="BX263" s="31"/>
      <c r="BY263" s="27" t="s">
        <v>8</v>
      </c>
      <c r="CH263" s="27" t="s">
        <v>7</v>
      </c>
      <c r="CI263" s="27" t="s">
        <v>8</v>
      </c>
      <c r="CJ263" s="27" t="s">
        <v>7</v>
      </c>
      <c r="DB263" s="27" t="s">
        <v>7</v>
      </c>
      <c r="DC263" s="27" t="s">
        <v>8</v>
      </c>
      <c r="DD263" s="27" t="s">
        <v>7</v>
      </c>
    </row>
    <row r="264" spans="1:109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H264" s="27" t="s">
        <v>7</v>
      </c>
      <c r="Q264" s="27" t="s">
        <v>8</v>
      </c>
      <c r="R264" s="27" t="s">
        <v>7</v>
      </c>
      <c r="S264" s="27" t="s">
        <v>8</v>
      </c>
      <c r="T264" s="27" t="s">
        <v>7</v>
      </c>
      <c r="U264" s="27" t="s">
        <v>8</v>
      </c>
      <c r="V264" s="27" t="s">
        <v>7</v>
      </c>
      <c r="Y264" s="27" t="s">
        <v>8</v>
      </c>
      <c r="AA264" s="27" t="s">
        <v>8</v>
      </c>
      <c r="AB264" s="27" t="s">
        <v>7</v>
      </c>
      <c r="AC264" s="27" t="s">
        <v>8</v>
      </c>
      <c r="AD264" s="27" t="s">
        <v>7</v>
      </c>
      <c r="AE264" s="27" t="s">
        <v>8</v>
      </c>
      <c r="AF264" s="27" t="s">
        <v>7</v>
      </c>
      <c r="AG264" s="27" t="s">
        <v>8</v>
      </c>
      <c r="AI264" s="31"/>
      <c r="BF264" s="27" t="s">
        <v>7</v>
      </c>
      <c r="BH264" s="27" t="s">
        <v>7</v>
      </c>
      <c r="BI264" s="27" t="s">
        <v>8</v>
      </c>
      <c r="BN264" s="27" t="s">
        <v>7</v>
      </c>
      <c r="BP264" s="27" t="s">
        <v>7</v>
      </c>
      <c r="BQ264" s="27" t="s">
        <v>8</v>
      </c>
      <c r="BR264" s="27" t="s">
        <v>7</v>
      </c>
      <c r="BS264" s="27" t="s">
        <v>8</v>
      </c>
      <c r="BU264" s="31" t="s">
        <v>8</v>
      </c>
      <c r="BV264" s="27" t="s">
        <v>7</v>
      </c>
      <c r="BW264" s="27" t="s">
        <v>8</v>
      </c>
      <c r="BY264" s="31" t="s">
        <v>8</v>
      </c>
      <c r="CH264" s="27" t="s">
        <v>7</v>
      </c>
      <c r="CI264" s="27" t="s">
        <v>8</v>
      </c>
      <c r="DB264" s="27" t="s">
        <v>7</v>
      </c>
      <c r="DC264" s="27" t="s">
        <v>8</v>
      </c>
      <c r="DD264" s="27" t="s">
        <v>7</v>
      </c>
    </row>
    <row r="265" spans="1:109" x14ac:dyDescent="0.25">
      <c r="A265" s="30">
        <v>0.2953027716977592</v>
      </c>
      <c r="B265"/>
      <c r="C265"/>
      <c r="D265"/>
      <c r="E265"/>
      <c r="F265" s="27" t="s">
        <v>7</v>
      </c>
      <c r="G265" s="27" t="s">
        <v>8</v>
      </c>
      <c r="H265" s="27" t="s">
        <v>7</v>
      </c>
      <c r="O265" s="27" t="s">
        <v>8</v>
      </c>
      <c r="Q265" s="27" t="s">
        <v>8</v>
      </c>
      <c r="R265" s="27" t="s">
        <v>7</v>
      </c>
      <c r="S265" s="27" t="s">
        <v>8</v>
      </c>
      <c r="T265" s="27" t="s">
        <v>7</v>
      </c>
      <c r="U265" s="27" t="s">
        <v>8</v>
      </c>
      <c r="V265" s="27" t="s">
        <v>7</v>
      </c>
      <c r="Y265" s="27" t="s">
        <v>8</v>
      </c>
      <c r="Z265" s="27" t="s">
        <v>7</v>
      </c>
      <c r="AA265" s="27" t="s">
        <v>8</v>
      </c>
      <c r="AB265" s="27" t="s">
        <v>7</v>
      </c>
      <c r="AC265" s="27" t="s">
        <v>8</v>
      </c>
      <c r="AD265" s="27" t="s">
        <v>7</v>
      </c>
      <c r="AE265" s="27" t="s">
        <v>8</v>
      </c>
      <c r="AF265" s="27" t="s">
        <v>7</v>
      </c>
      <c r="AG265" s="27" t="s">
        <v>8</v>
      </c>
      <c r="AH265" s="31"/>
      <c r="BH265" s="27" t="s">
        <v>7</v>
      </c>
      <c r="BI265" s="27" t="s">
        <v>8</v>
      </c>
      <c r="BP265" s="27" t="s">
        <v>7</v>
      </c>
      <c r="BR265" s="27" t="s">
        <v>7</v>
      </c>
      <c r="BS265" s="27" t="s">
        <v>8</v>
      </c>
      <c r="BT265" s="27" t="s">
        <v>7</v>
      </c>
      <c r="BU265" s="27" t="s">
        <v>8</v>
      </c>
      <c r="BV265" s="27" t="s">
        <v>7</v>
      </c>
      <c r="BW265" s="27" t="s">
        <v>8</v>
      </c>
      <c r="BX265" s="27" t="s">
        <v>7</v>
      </c>
      <c r="BY265" s="27" t="s">
        <v>8</v>
      </c>
      <c r="BZ265" s="31"/>
      <c r="CH265" s="27" t="s">
        <v>7</v>
      </c>
      <c r="DB265" s="27" t="s">
        <v>7</v>
      </c>
      <c r="DD265" s="27" t="s">
        <v>7</v>
      </c>
    </row>
    <row r="266" spans="1:109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H266" s="27" t="s">
        <v>7</v>
      </c>
      <c r="I266" s="27" t="s">
        <v>8</v>
      </c>
      <c r="O266" s="27" t="s">
        <v>8</v>
      </c>
      <c r="P266" s="27" t="s">
        <v>7</v>
      </c>
      <c r="Q266" s="27" t="s">
        <v>8</v>
      </c>
      <c r="R266" s="27" t="s">
        <v>7</v>
      </c>
      <c r="S266" s="27" t="s">
        <v>8</v>
      </c>
      <c r="T266" s="27" t="s">
        <v>7</v>
      </c>
      <c r="U266" s="27" t="s">
        <v>8</v>
      </c>
      <c r="V266" s="27" t="s">
        <v>7</v>
      </c>
      <c r="Y266" s="27" t="s">
        <v>8</v>
      </c>
      <c r="Z266" s="27" t="s">
        <v>7</v>
      </c>
      <c r="AA266" s="27" t="s">
        <v>8</v>
      </c>
      <c r="AB266" s="27" t="s">
        <v>7</v>
      </c>
      <c r="AC266" s="27" t="s">
        <v>8</v>
      </c>
      <c r="AD266" s="27" t="s">
        <v>7</v>
      </c>
      <c r="AE266" s="27" t="s">
        <v>8</v>
      </c>
      <c r="AF266" s="27" t="s">
        <v>7</v>
      </c>
      <c r="AG266" s="31" t="s">
        <v>8</v>
      </c>
      <c r="BH266" s="27" t="s">
        <v>7</v>
      </c>
      <c r="BR266" s="27" t="s">
        <v>7</v>
      </c>
      <c r="BS266" s="27" t="s">
        <v>8</v>
      </c>
      <c r="BT266" s="27" t="s">
        <v>7</v>
      </c>
      <c r="BU266" s="27" t="s">
        <v>8</v>
      </c>
      <c r="BV266" s="27" t="s">
        <v>7</v>
      </c>
      <c r="BW266" s="27" t="s">
        <v>8</v>
      </c>
      <c r="BX266" s="27" t="s">
        <v>7</v>
      </c>
      <c r="BY266" s="27" t="s">
        <v>8</v>
      </c>
      <c r="CA266" s="31"/>
      <c r="DD266" s="27" t="s">
        <v>7</v>
      </c>
    </row>
    <row r="267" spans="1:109" x14ac:dyDescent="0.25">
      <c r="A267" s="30">
        <v>0.26784831900023492</v>
      </c>
      <c r="B267"/>
      <c r="C267"/>
      <c r="D267"/>
      <c r="E267"/>
      <c r="F267" s="27" t="s">
        <v>7</v>
      </c>
      <c r="H267" s="27" t="s">
        <v>7</v>
      </c>
      <c r="I267" s="27" t="s">
        <v>8</v>
      </c>
      <c r="J267" s="27" t="s">
        <v>7</v>
      </c>
      <c r="K267" s="27" t="s">
        <v>8</v>
      </c>
      <c r="M267" s="27" t="s">
        <v>8</v>
      </c>
      <c r="O267" s="27" t="s">
        <v>8</v>
      </c>
      <c r="P267" s="27" t="s">
        <v>7</v>
      </c>
      <c r="Q267" s="27" t="s">
        <v>8</v>
      </c>
      <c r="R267" s="27" t="s">
        <v>7</v>
      </c>
      <c r="S267" s="27" t="s">
        <v>8</v>
      </c>
      <c r="T267" s="27" t="s">
        <v>7</v>
      </c>
      <c r="U267" s="27" t="s">
        <v>8</v>
      </c>
      <c r="V267" s="27" t="s">
        <v>7</v>
      </c>
      <c r="W267" s="27" t="s">
        <v>8</v>
      </c>
      <c r="Y267" s="27" t="s">
        <v>8</v>
      </c>
      <c r="Z267" s="27" t="s">
        <v>7</v>
      </c>
      <c r="AB267" s="27" t="s">
        <v>7</v>
      </c>
      <c r="AC267" s="27" t="s">
        <v>8</v>
      </c>
      <c r="AD267" s="27" t="s">
        <v>7</v>
      </c>
      <c r="AE267" s="27" t="s">
        <v>8</v>
      </c>
      <c r="AF267" s="31" t="s">
        <v>7</v>
      </c>
      <c r="BR267" s="27" t="s">
        <v>7</v>
      </c>
      <c r="BS267" s="27" t="s">
        <v>8</v>
      </c>
      <c r="BT267" s="27" t="s">
        <v>7</v>
      </c>
      <c r="BV267" s="27" t="s">
        <v>7</v>
      </c>
      <c r="BW267" s="27" t="s">
        <v>8</v>
      </c>
      <c r="BX267" s="27" t="s">
        <v>7</v>
      </c>
      <c r="DD267" s="27" t="s">
        <v>7</v>
      </c>
    </row>
    <row r="268" spans="1:109" x14ac:dyDescent="0.25">
      <c r="A268" s="30">
        <v>0.25509363714308075</v>
      </c>
      <c r="B268"/>
      <c r="C268"/>
      <c r="D268"/>
      <c r="E268"/>
      <c r="H268" s="27" t="s">
        <v>7</v>
      </c>
      <c r="I268" s="27" t="s">
        <v>8</v>
      </c>
      <c r="J268" s="27" t="s">
        <v>7</v>
      </c>
      <c r="K268" s="27" t="s">
        <v>8</v>
      </c>
      <c r="L268" s="27" t="s">
        <v>7</v>
      </c>
      <c r="M268" s="27" t="s">
        <v>8</v>
      </c>
      <c r="N268" s="27" t="s">
        <v>7</v>
      </c>
      <c r="O268" s="27" t="s">
        <v>8</v>
      </c>
      <c r="P268" s="27" t="s">
        <v>7</v>
      </c>
      <c r="Q268" s="27" t="s">
        <v>8</v>
      </c>
      <c r="R268" s="27" t="s">
        <v>7</v>
      </c>
      <c r="T268" s="27" t="s">
        <v>7</v>
      </c>
      <c r="U268" s="27" t="s">
        <v>8</v>
      </c>
      <c r="V268" s="27" t="s">
        <v>7</v>
      </c>
      <c r="W268" s="27" t="s">
        <v>8</v>
      </c>
      <c r="X268" s="27" t="s">
        <v>7</v>
      </c>
      <c r="Y268" s="27" t="s">
        <v>8</v>
      </c>
      <c r="AB268" s="27" t="s">
        <v>7</v>
      </c>
      <c r="AC268" s="27" t="s">
        <v>8</v>
      </c>
      <c r="AD268" s="27" t="s">
        <v>7</v>
      </c>
      <c r="BR268" s="27" t="s">
        <v>7</v>
      </c>
      <c r="BS268" s="27" t="s">
        <v>8</v>
      </c>
      <c r="BV268" s="34" t="s">
        <v>7</v>
      </c>
      <c r="BW268" s="27" t="s">
        <v>8</v>
      </c>
      <c r="DD268" s="27" t="s">
        <v>7</v>
      </c>
      <c r="DE268" s="27" t="s">
        <v>8</v>
      </c>
    </row>
    <row r="269" spans="1:109" x14ac:dyDescent="0.25">
      <c r="A269" s="30">
        <v>0.24294632108864825</v>
      </c>
      <c r="B269"/>
      <c r="C269"/>
      <c r="D269"/>
      <c r="E269"/>
      <c r="H269" s="27" t="s">
        <v>7</v>
      </c>
      <c r="J269" s="27" t="s">
        <v>7</v>
      </c>
      <c r="K269" s="27" t="s">
        <v>8</v>
      </c>
      <c r="L269" s="27" t="s">
        <v>7</v>
      </c>
      <c r="M269" s="27" t="s">
        <v>8</v>
      </c>
      <c r="N269" s="27" t="s">
        <v>7</v>
      </c>
      <c r="O269" s="27" t="s">
        <v>8</v>
      </c>
      <c r="P269" s="27" t="s">
        <v>7</v>
      </c>
      <c r="T269" s="27" t="s">
        <v>7</v>
      </c>
      <c r="V269" s="27" t="s">
        <v>7</v>
      </c>
      <c r="W269" s="27" t="s">
        <v>8</v>
      </c>
      <c r="X269" s="27" t="s">
        <v>7</v>
      </c>
      <c r="Y269" s="27" t="s">
        <v>8</v>
      </c>
      <c r="AB269" s="27" t="s">
        <v>7</v>
      </c>
      <c r="AC269" s="27" t="s">
        <v>8</v>
      </c>
      <c r="BR269" s="27" t="s">
        <v>7</v>
      </c>
      <c r="BS269" s="27" t="s">
        <v>8</v>
      </c>
      <c r="BV269" s="27" t="s">
        <v>7</v>
      </c>
      <c r="BW269" s="27" t="s">
        <v>8</v>
      </c>
      <c r="DD269" s="27" t="s">
        <v>7</v>
      </c>
      <c r="DE269" s="27" t="s">
        <v>8</v>
      </c>
    </row>
    <row r="270" spans="1:109" x14ac:dyDescent="0.25">
      <c r="A270" s="30">
        <v>0.23137744865585538</v>
      </c>
      <c r="B270"/>
      <c r="C270"/>
      <c r="D270"/>
      <c r="E270"/>
      <c r="J270" s="27" t="s">
        <v>7</v>
      </c>
      <c r="L270" s="27" t="s">
        <v>7</v>
      </c>
      <c r="M270" s="27" t="s">
        <v>8</v>
      </c>
      <c r="N270" s="27" t="s">
        <v>7</v>
      </c>
      <c r="O270" s="27" t="s">
        <v>8</v>
      </c>
      <c r="V270" s="27" t="s">
        <v>7</v>
      </c>
      <c r="W270" s="27" t="s">
        <v>8</v>
      </c>
      <c r="X270" s="27" t="s">
        <v>7</v>
      </c>
      <c r="AB270" s="27" t="s">
        <v>7</v>
      </c>
      <c r="BR270" s="27" t="s">
        <v>7</v>
      </c>
      <c r="BS270" s="27" t="s">
        <v>8</v>
      </c>
      <c r="BV270" s="27" t="s">
        <v>7</v>
      </c>
      <c r="DD270" s="27" t="s">
        <v>7</v>
      </c>
      <c r="DE270" s="27" t="s">
        <v>8</v>
      </c>
    </row>
    <row r="271" spans="1:109" x14ac:dyDescent="0.25">
      <c r="A271" s="30">
        <v>0.22035947491033836</v>
      </c>
      <c r="B271"/>
      <c r="C271"/>
      <c r="D271"/>
      <c r="E271"/>
      <c r="L271" s="27" t="s">
        <v>7</v>
      </c>
      <c r="M271" s="27" t="s">
        <v>8</v>
      </c>
      <c r="N271" s="27" t="s">
        <v>7</v>
      </c>
      <c r="V271" s="27" t="s">
        <v>7</v>
      </c>
      <c r="W271" s="27" t="s">
        <v>8</v>
      </c>
      <c r="BR271" s="27" t="s">
        <v>7</v>
      </c>
      <c r="BS271" s="27" t="s">
        <v>8</v>
      </c>
      <c r="DD271" s="27" t="s">
        <v>7</v>
      </c>
      <c r="DE271" s="27" t="s">
        <v>8</v>
      </c>
    </row>
    <row r="272" spans="1:109" x14ac:dyDescent="0.25">
      <c r="A272" s="30">
        <v>0.20986616658127455</v>
      </c>
      <c r="B272"/>
      <c r="C272"/>
      <c r="D272"/>
      <c r="E272"/>
      <c r="L272" s="27" t="s">
        <v>7</v>
      </c>
      <c r="M272" s="27" t="s">
        <v>8</v>
      </c>
      <c r="V272" s="27" t="s">
        <v>7</v>
      </c>
      <c r="BR272" s="27" t="s">
        <v>7</v>
      </c>
      <c r="BS272" s="27" t="s">
        <v>8</v>
      </c>
      <c r="DD272" s="27" t="s">
        <v>7</v>
      </c>
    </row>
    <row r="273" spans="1:70" x14ac:dyDescent="0.25">
      <c r="A273" s="30">
        <v>0.19987253960121379</v>
      </c>
      <c r="B273"/>
      <c r="C273"/>
      <c r="D273"/>
      <c r="E273"/>
      <c r="L273" s="27" t="s">
        <v>7</v>
      </c>
      <c r="BR273" s="27" t="s">
        <v>7</v>
      </c>
    </row>
    <row r="274" spans="1:70" x14ac:dyDescent="0.25">
      <c r="A274" s="30">
        <v>0.19035479962020352</v>
      </c>
      <c r="B274"/>
      <c r="C274"/>
      <c r="D274"/>
      <c r="E274"/>
    </row>
    <row r="275" spans="1:70" x14ac:dyDescent="0.25">
      <c r="A275" s="30">
        <v>0.18129028535257471</v>
      </c>
      <c r="B275"/>
      <c r="C275"/>
      <c r="D275"/>
      <c r="E275"/>
    </row>
    <row r="276" spans="1:70" x14ac:dyDescent="0.25">
      <c r="A276" s="30">
        <v>0.17265741462149967</v>
      </c>
      <c r="B276"/>
      <c r="C276"/>
      <c r="D276"/>
      <c r="E276"/>
    </row>
    <row r="277" spans="1:70" x14ac:dyDescent="0.25">
      <c r="A277" s="30">
        <v>0.16443563297285677</v>
      </c>
      <c r="B277"/>
      <c r="C277"/>
      <c r="D277"/>
      <c r="E277"/>
    </row>
    <row r="278" spans="1:70" x14ac:dyDescent="0.25">
      <c r="A278" s="30">
        <v>0.15660536473605399</v>
      </c>
      <c r="B278"/>
      <c r="C278"/>
      <c r="D278"/>
      <c r="E278"/>
    </row>
    <row r="279" spans="1:70" x14ac:dyDescent="0.25">
      <c r="A279" s="30">
        <v>0.14914796641528946</v>
      </c>
      <c r="B279"/>
      <c r="C279"/>
      <c r="D279"/>
      <c r="E279"/>
    </row>
    <row r="280" spans="1:70" x14ac:dyDescent="0.25">
      <c r="A280" s="30">
        <v>0.14204568230027562</v>
      </c>
      <c r="B280"/>
      <c r="C280"/>
      <c r="D280"/>
      <c r="E280"/>
    </row>
    <row r="281" spans="1:70" x14ac:dyDescent="0.25">
      <c r="A281" s="30">
        <v>0.13528160219073862</v>
      </c>
      <c r="B281"/>
      <c r="C281"/>
      <c r="D281"/>
      <c r="E281"/>
    </row>
    <row r="282" spans="1:70" x14ac:dyDescent="0.25">
      <c r="A282" s="30">
        <v>0.12883962113403674</v>
      </c>
      <c r="B282"/>
      <c r="C282"/>
      <c r="D282"/>
      <c r="E282"/>
    </row>
    <row r="283" spans="1:70" x14ac:dyDescent="0.25">
      <c r="A283" s="30">
        <v>0.12270440108003494</v>
      </c>
      <c r="B283"/>
      <c r="C283"/>
      <c r="D283"/>
      <c r="E283"/>
    </row>
    <row r="284" spans="1:70" x14ac:dyDescent="0.25">
      <c r="A284" s="30">
        <v>0.11686133436193799</v>
      </c>
      <c r="B284"/>
      <c r="C284"/>
      <c r="D284"/>
      <c r="E284"/>
    </row>
    <row r="285" spans="1:70" x14ac:dyDescent="0.25">
      <c r="A285" s="30">
        <v>0.11129650891613138</v>
      </c>
      <c r="B285"/>
      <c r="C285"/>
      <c r="D285"/>
      <c r="E285"/>
    </row>
    <row r="286" spans="1:70" x14ac:dyDescent="0.25">
      <c r="A286" s="30">
        <v>0.10599667515822032</v>
      </c>
      <c r="B286"/>
      <c r="C286"/>
      <c r="D286"/>
      <c r="E286"/>
    </row>
    <row r="287" spans="1:70" x14ac:dyDescent="0.25">
      <c r="A287" s="30">
        <v>0.10094921443640027</v>
      </c>
      <c r="B287"/>
      <c r="C287"/>
      <c r="D287"/>
      <c r="E287"/>
    </row>
    <row r="288" spans="1:70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14" operator="equal">
      <formula>$U$1</formula>
    </cfRule>
    <cfRule type="cellIs" dxfId="67" priority="915" operator="equal">
      <formula>$S$1</formula>
    </cfRule>
  </conditionalFormatting>
  <conditionalFormatting sqref="D136">
    <cfRule type="cellIs" dxfId="66" priority="912" operator="equal">
      <formula>$S$1</formula>
    </cfRule>
    <cfRule type="cellIs" dxfId="65" priority="913" operator="equal">
      <formula>$U$1</formula>
    </cfRule>
  </conditionalFormatting>
  <conditionalFormatting sqref="C162">
    <cfRule type="cellIs" dxfId="64" priority="910" operator="equal">
      <formula>$U$1</formula>
    </cfRule>
    <cfRule type="cellIs" dxfId="63" priority="911" operator="equal">
      <formula>$S$1</formula>
    </cfRule>
  </conditionalFormatting>
  <conditionalFormatting sqref="D162">
    <cfRule type="cellIs" dxfId="62" priority="908" operator="equal">
      <formula>$S$1</formula>
    </cfRule>
    <cfRule type="cellIs" dxfId="61" priority="909" operator="equal">
      <formula>$U$1</formula>
    </cfRule>
  </conditionalFormatting>
  <conditionalFormatting sqref="C187">
    <cfRule type="cellIs" dxfId="60" priority="906" operator="equal">
      <formula>$U$1</formula>
    </cfRule>
    <cfRule type="cellIs" dxfId="59" priority="907" operator="equal">
      <formula>$S$1</formula>
    </cfRule>
  </conditionalFormatting>
  <conditionalFormatting sqref="D187">
    <cfRule type="cellIs" dxfId="58" priority="904" operator="equal">
      <formula>$S$1</formula>
    </cfRule>
    <cfRule type="cellIs" dxfId="57" priority="905" operator="equal">
      <formula>$U$1</formula>
    </cfRule>
  </conditionalFormatting>
  <conditionalFormatting sqref="C212">
    <cfRule type="cellIs" dxfId="56" priority="902" operator="equal">
      <formula>$U$1</formula>
    </cfRule>
    <cfRule type="cellIs" dxfId="55" priority="903" operator="equal">
      <formula>$S$1</formula>
    </cfRule>
  </conditionalFormatting>
  <conditionalFormatting sqref="D212">
    <cfRule type="cellIs" dxfId="54" priority="900" operator="equal">
      <formula>$S$1</formula>
    </cfRule>
    <cfRule type="cellIs" dxfId="53" priority="901" operator="equal">
      <formula>$U$1</formula>
    </cfRule>
  </conditionalFormatting>
  <conditionalFormatting sqref="C237">
    <cfRule type="cellIs" dxfId="52" priority="898" operator="equal">
      <formula>$U$1</formula>
    </cfRule>
    <cfRule type="cellIs" dxfId="51" priority="899" operator="equal">
      <formula>$S$1</formula>
    </cfRule>
  </conditionalFormatting>
  <conditionalFormatting sqref="D237">
    <cfRule type="cellIs" dxfId="50" priority="896" operator="equal">
      <formula>$S$1</formula>
    </cfRule>
    <cfRule type="cellIs" dxfId="49" priority="897" operator="equal">
      <formula>$U$1</formula>
    </cfRule>
  </conditionalFormatting>
  <conditionalFormatting sqref="C106">
    <cfRule type="cellIs" dxfId="48" priority="894" operator="equal">
      <formula>$U$1</formula>
    </cfRule>
    <cfRule type="cellIs" dxfId="47" priority="895" operator="equal">
      <formula>$S$1</formula>
    </cfRule>
  </conditionalFormatting>
  <conditionalFormatting sqref="D106">
    <cfRule type="cellIs" dxfId="46" priority="892" operator="equal">
      <formula>$S$1</formula>
    </cfRule>
    <cfRule type="cellIs" dxfId="45" priority="893" operator="equal">
      <formula>$U$1</formula>
    </cfRule>
  </conditionalFormatting>
  <conditionalFormatting sqref="C81">
    <cfRule type="cellIs" dxfId="44" priority="890" operator="equal">
      <formula>$U$1</formula>
    </cfRule>
    <cfRule type="cellIs" dxfId="43" priority="891" operator="equal">
      <formula>$S$1</formula>
    </cfRule>
  </conditionalFormatting>
  <conditionalFormatting sqref="D81">
    <cfRule type="cellIs" dxfId="42" priority="888" operator="equal">
      <formula>$S$1</formula>
    </cfRule>
    <cfRule type="cellIs" dxfId="41" priority="889" operator="equal">
      <formula>$U$1</formula>
    </cfRule>
  </conditionalFormatting>
  <conditionalFormatting sqref="C56">
    <cfRule type="cellIs" dxfId="40" priority="886" operator="equal">
      <formula>$U$1</formula>
    </cfRule>
    <cfRule type="cellIs" dxfId="39" priority="887" operator="equal">
      <formula>$S$1</formula>
    </cfRule>
  </conditionalFormatting>
  <conditionalFormatting sqref="D56">
    <cfRule type="cellIs" dxfId="38" priority="884" operator="equal">
      <formula>$S$1</formula>
    </cfRule>
    <cfRule type="cellIs" dxfId="37" priority="885" operator="equal">
      <formula>$U$1</formula>
    </cfRule>
  </conditionalFormatting>
  <conditionalFormatting sqref="C31">
    <cfRule type="cellIs" dxfId="36" priority="882" operator="equal">
      <formula>$U$1</formula>
    </cfRule>
    <cfRule type="cellIs" dxfId="35" priority="883" operator="equal">
      <formula>$S$1</formula>
    </cfRule>
  </conditionalFormatting>
  <conditionalFormatting sqref="D31">
    <cfRule type="cellIs" dxfId="34" priority="880" operator="equal">
      <formula>$S$1</formula>
    </cfRule>
    <cfRule type="cellIs" dxfId="33" priority="88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7" zoomScale="90" zoomScaleNormal="90" workbookViewId="0">
      <pane xSplit="4" topLeftCell="G1" activePane="topRight" state="frozen"/>
      <selection activeCell="A109" sqref="A109"/>
      <selection pane="topRight" activeCell="AN137" sqref="AN13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$A$136</v>
      </c>
      <c r="D111" s="1" t="str">
        <f>ADDRESS(C121-1,D121,1,1)</f>
        <v>$AN$136</v>
      </c>
      <c r="E111"/>
    </row>
    <row r="112" spans="1:5" x14ac:dyDescent="0.25">
      <c r="A112" s="30">
        <v>2.3579476910000019</v>
      </c>
      <c r="C112" s="1" t="str">
        <f>ADDRESS(C121,1,1,1)</f>
        <v>$A$137</v>
      </c>
      <c r="D112" s="1" t="str">
        <f>ADDRESS(C121,D121-1,1,1)</f>
        <v>$AM$137</v>
      </c>
      <c r="E112"/>
    </row>
    <row r="113" spans="1:38" x14ac:dyDescent="0.25">
      <c r="A113" s="30">
        <v>2.1435888100000016</v>
      </c>
      <c r="C113" s="1" t="str">
        <f>ADDRESS(C121+1,1,1,1)</f>
        <v>$A$138</v>
      </c>
      <c r="D113" s="1" t="str">
        <f>ADDRESS(C121-1,D121+1,1,1)</f>
        <v>$AO$136</v>
      </c>
    </row>
    <row r="114" spans="1:38" x14ac:dyDescent="0.25">
      <c r="A114" s="30">
        <v>1.9487171000000014</v>
      </c>
      <c r="C114" s="1" t="str">
        <f>ADDRESS(C121,D121,1,1)</f>
        <v>$AN$137</v>
      </c>
      <c r="D114" s="1" t="str">
        <f>ADDRESS(C121+1,D121+1,1,1)</f>
        <v>$AO$138</v>
      </c>
    </row>
    <row r="115" spans="1:38" x14ac:dyDescent="0.25">
      <c r="A115" s="30">
        <v>1.7715610000000011</v>
      </c>
      <c r="C115" s="1" t="str">
        <f>ADDRESS(C121+1,D121,1,1)</f>
        <v>$AN$138</v>
      </c>
    </row>
    <row r="116" spans="1:38" x14ac:dyDescent="0.25">
      <c r="A116" s="30">
        <v>1.6105100000000008</v>
      </c>
      <c r="C116" s="1">
        <f>C117-1</f>
        <v>136</v>
      </c>
    </row>
    <row r="117" spans="1:38" x14ac:dyDescent="0.25">
      <c r="A117" s="30">
        <v>1.4641000000000006</v>
      </c>
      <c r="C117" s="1">
        <f>C121</f>
        <v>137</v>
      </c>
      <c r="D117" s="1">
        <f>D121</f>
        <v>40</v>
      </c>
    </row>
    <row r="118" spans="1:38" x14ac:dyDescent="0.25">
      <c r="A118" s="30">
        <v>1.3310000000000004</v>
      </c>
      <c r="C118" s="1">
        <f>C117+1</f>
        <v>138</v>
      </c>
      <c r="D118" s="1">
        <f>D117+1</f>
        <v>41</v>
      </c>
    </row>
    <row r="119" spans="1:38" x14ac:dyDescent="0.25">
      <c r="A119" s="30">
        <v>1.2100000000000002</v>
      </c>
    </row>
    <row r="120" spans="1:38" x14ac:dyDescent="0.25">
      <c r="A120" s="30">
        <v>1.1000000000000001</v>
      </c>
      <c r="C120" s="1" t="s">
        <v>9</v>
      </c>
    </row>
    <row r="121" spans="1:38" x14ac:dyDescent="0.25">
      <c r="A121" s="30">
        <v>1</v>
      </c>
      <c r="C121" s="18">
        <v>137</v>
      </c>
      <c r="D121" s="19">
        <v>40</v>
      </c>
      <c r="E121" s="18" t="s">
        <v>8</v>
      </c>
      <c r="S121" s="31" t="s">
        <v>8</v>
      </c>
    </row>
    <row r="122" spans="1:38" x14ac:dyDescent="0.25">
      <c r="A122" s="30">
        <v>0.90909090909090895</v>
      </c>
      <c r="C122" s="1" t="str">
        <f>INDEX(1:1048576,C117,D117)</f>
        <v>O</v>
      </c>
      <c r="F122" s="27" t="s">
        <v>7</v>
      </c>
      <c r="Q122" s="27" t="s">
        <v>8</v>
      </c>
      <c r="S122" s="27" t="s">
        <v>8</v>
      </c>
      <c r="T122" s="31" t="s">
        <v>7</v>
      </c>
    </row>
    <row r="123" spans="1:38" x14ac:dyDescent="0.25">
      <c r="A123" s="30">
        <v>0.82644628099173523</v>
      </c>
      <c r="C123" s="1" t="str">
        <f>"R"&amp;C121</f>
        <v>R137</v>
      </c>
      <c r="D123" s="1" t="str">
        <f>"C"&amp;D121</f>
        <v>C40</v>
      </c>
      <c r="F123" s="27" t="s">
        <v>7</v>
      </c>
      <c r="Q123" s="27" t="s">
        <v>8</v>
      </c>
      <c r="R123" s="27" t="s">
        <v>7</v>
      </c>
      <c r="S123" s="27" t="s">
        <v>8</v>
      </c>
      <c r="T123" s="27" t="s">
        <v>7</v>
      </c>
      <c r="U123" s="31"/>
    </row>
    <row r="124" spans="1:3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M124" s="27" t="s">
        <v>8</v>
      </c>
      <c r="Q124" s="33" t="s">
        <v>8</v>
      </c>
      <c r="R124" s="27" t="s">
        <v>7</v>
      </c>
      <c r="S124" s="27" t="s">
        <v>8</v>
      </c>
      <c r="T124" s="27" t="s">
        <v>7</v>
      </c>
      <c r="V124" s="31"/>
      <c r="AI124" s="27" t="s">
        <v>8</v>
      </c>
      <c r="AK124" s="27" t="s">
        <v>8</v>
      </c>
    </row>
    <row r="125" spans="1:38" x14ac:dyDescent="0.25">
      <c r="A125" s="30">
        <v>0.68301345536507019</v>
      </c>
      <c r="F125" s="27" t="s">
        <v>7</v>
      </c>
      <c r="M125" s="27" t="s">
        <v>8</v>
      </c>
      <c r="N125" s="27" t="s">
        <v>7</v>
      </c>
      <c r="O125" s="27" t="s">
        <v>8</v>
      </c>
      <c r="Q125" s="27" t="s">
        <v>8</v>
      </c>
      <c r="R125" s="27" t="s">
        <v>7</v>
      </c>
      <c r="S125" s="27" t="s">
        <v>8</v>
      </c>
      <c r="T125" s="27" t="s">
        <v>7</v>
      </c>
      <c r="U125" s="27" t="s">
        <v>8</v>
      </c>
      <c r="W125" s="31"/>
      <c r="AG125" s="27" t="s">
        <v>8</v>
      </c>
      <c r="AI125" s="27" t="s">
        <v>8</v>
      </c>
      <c r="AJ125" s="27" t="s">
        <v>7</v>
      </c>
      <c r="AK125" s="27" t="s">
        <v>8</v>
      </c>
      <c r="AL125" s="27" t="s">
        <v>7</v>
      </c>
    </row>
    <row r="126" spans="1:38" x14ac:dyDescent="0.25">
      <c r="A126" s="30">
        <v>0.6209213230591546</v>
      </c>
      <c r="C126" s="1" t="s">
        <v>10</v>
      </c>
      <c r="F126" s="27" t="s">
        <v>7</v>
      </c>
      <c r="M126" s="27" t="s">
        <v>8</v>
      </c>
      <c r="N126" s="27" t="s">
        <v>7</v>
      </c>
      <c r="O126" s="27" t="s">
        <v>8</v>
      </c>
      <c r="P126" s="27" t="s">
        <v>7</v>
      </c>
      <c r="Q126" s="27" t="s">
        <v>8</v>
      </c>
      <c r="R126" s="27" t="s">
        <v>7</v>
      </c>
      <c r="S126" s="27" t="s">
        <v>8</v>
      </c>
      <c r="T126" s="27" t="s">
        <v>7</v>
      </c>
      <c r="U126" s="27" t="s">
        <v>8</v>
      </c>
      <c r="V126" s="27" t="s">
        <v>7</v>
      </c>
      <c r="X126" s="31"/>
      <c r="AG126" s="27" t="s">
        <v>8</v>
      </c>
      <c r="AH126" s="27" t="s">
        <v>7</v>
      </c>
      <c r="AI126" s="27" t="s">
        <v>8</v>
      </c>
      <c r="AJ126" s="27" t="s">
        <v>7</v>
      </c>
      <c r="AK126" s="27" t="s">
        <v>8</v>
      </c>
      <c r="AL126" s="27" t="s">
        <v>7</v>
      </c>
    </row>
    <row r="127" spans="1:38" x14ac:dyDescent="0.25">
      <c r="A127" s="30">
        <v>0.56447393005377677</v>
      </c>
      <c r="C127" s="30">
        <v>0.2176291357901482</v>
      </c>
      <c r="D127"/>
      <c r="F127" s="27" t="s">
        <v>7</v>
      </c>
      <c r="M127" s="27" t="s">
        <v>8</v>
      </c>
      <c r="N127" s="27" t="s">
        <v>7</v>
      </c>
      <c r="O127" s="27" t="s">
        <v>8</v>
      </c>
      <c r="P127" s="27" t="s">
        <v>7</v>
      </c>
      <c r="Q127" s="27" t="s">
        <v>8</v>
      </c>
      <c r="R127" s="27" t="s">
        <v>7</v>
      </c>
      <c r="T127" s="27" t="s">
        <v>7</v>
      </c>
      <c r="U127" s="27" t="s">
        <v>8</v>
      </c>
      <c r="V127" s="27" t="s">
        <v>7</v>
      </c>
      <c r="Y127" s="31"/>
      <c r="AE127" s="27" t="s">
        <v>8</v>
      </c>
      <c r="AG127" s="27" t="s">
        <v>8</v>
      </c>
      <c r="AH127" s="27" t="s">
        <v>7</v>
      </c>
      <c r="AI127" s="27" t="s">
        <v>8</v>
      </c>
      <c r="AJ127" s="27" t="s">
        <v>7</v>
      </c>
      <c r="AK127" s="27" t="s">
        <v>8</v>
      </c>
      <c r="AL127" s="27" t="s">
        <v>7</v>
      </c>
    </row>
    <row r="128" spans="1:38" x14ac:dyDescent="0.25">
      <c r="A128" s="30">
        <v>0.51315811823070612</v>
      </c>
      <c r="F128" s="27" t="s">
        <v>7</v>
      </c>
      <c r="M128" s="27" t="s">
        <v>8</v>
      </c>
      <c r="N128" s="27" t="s">
        <v>7</v>
      </c>
      <c r="P128" s="27" t="s">
        <v>7</v>
      </c>
      <c r="Q128" s="27" t="s">
        <v>8</v>
      </c>
      <c r="T128" s="34" t="s">
        <v>7</v>
      </c>
      <c r="V128" s="27" t="s">
        <v>7</v>
      </c>
      <c r="Y128" s="33" t="s">
        <v>8</v>
      </c>
      <c r="Z128" s="31"/>
      <c r="AE128" s="27" t="s">
        <v>8</v>
      </c>
      <c r="AF128" s="27" t="s">
        <v>7</v>
      </c>
      <c r="AG128" s="27" t="s">
        <v>8</v>
      </c>
      <c r="AH128" s="27" t="s">
        <v>7</v>
      </c>
      <c r="AI128" s="27" t="s">
        <v>8</v>
      </c>
      <c r="AJ128" s="27" t="s">
        <v>7</v>
      </c>
      <c r="AL128" s="27" t="s">
        <v>7</v>
      </c>
    </row>
    <row r="129" spans="1:4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I129" s="27" t="s">
        <v>8</v>
      </c>
      <c r="M129" s="27" t="s">
        <v>8</v>
      </c>
      <c r="P129" s="34" t="s">
        <v>7</v>
      </c>
      <c r="Q129" s="27" t="s">
        <v>8</v>
      </c>
      <c r="V129" s="27" t="s">
        <v>7</v>
      </c>
      <c r="W129" s="27" t="s">
        <v>8</v>
      </c>
      <c r="Y129" s="27" t="s">
        <v>8</v>
      </c>
      <c r="Z129" s="27" t="s">
        <v>7</v>
      </c>
      <c r="AA129" s="31"/>
      <c r="AC129" s="27" t="s">
        <v>8</v>
      </c>
      <c r="AE129" s="27" t="s">
        <v>8</v>
      </c>
      <c r="AF129" s="27" t="s">
        <v>7</v>
      </c>
      <c r="AG129" s="27" t="s">
        <v>8</v>
      </c>
      <c r="AH129" s="27" t="s">
        <v>7</v>
      </c>
      <c r="AI129" s="27" t="s">
        <v>8</v>
      </c>
      <c r="AL129" s="27" t="s">
        <v>7</v>
      </c>
      <c r="AM129" s="27" t="s">
        <v>8</v>
      </c>
    </row>
    <row r="130" spans="1:40" x14ac:dyDescent="0.25">
      <c r="A130" s="30">
        <v>0.42409761837248428</v>
      </c>
      <c r="C130" s="6"/>
      <c r="D130" s="6"/>
      <c r="E130"/>
      <c r="F130" s="27" t="s">
        <v>7</v>
      </c>
      <c r="I130" s="27" t="s">
        <v>8</v>
      </c>
      <c r="J130" s="27" t="s">
        <v>7</v>
      </c>
      <c r="M130" s="27" t="s">
        <v>8</v>
      </c>
      <c r="P130" s="27" t="s">
        <v>7</v>
      </c>
      <c r="V130" s="27" t="s">
        <v>7</v>
      </c>
      <c r="W130" s="27" t="s">
        <v>8</v>
      </c>
      <c r="X130" s="27" t="s">
        <v>7</v>
      </c>
      <c r="Y130" s="27" t="s">
        <v>8</v>
      </c>
      <c r="Z130" s="27" t="s">
        <v>7</v>
      </c>
      <c r="AB130" s="31"/>
      <c r="AC130" s="27" t="s">
        <v>8</v>
      </c>
      <c r="AD130" s="27" t="s">
        <v>7</v>
      </c>
      <c r="AE130" s="27" t="s">
        <v>8</v>
      </c>
      <c r="AF130" s="27" t="s">
        <v>7</v>
      </c>
      <c r="AH130" s="27" t="s">
        <v>7</v>
      </c>
      <c r="AI130" s="27" t="s">
        <v>8</v>
      </c>
      <c r="AL130" s="27" t="s">
        <v>7</v>
      </c>
      <c r="AM130" s="27" t="s">
        <v>8</v>
      </c>
      <c r="AN130" s="27" t="s">
        <v>7</v>
      </c>
    </row>
    <row r="131" spans="1:40" x14ac:dyDescent="0.25">
      <c r="A131" s="30">
        <v>0.38554328942953109</v>
      </c>
      <c r="E131"/>
      <c r="F131" s="27" t="s">
        <v>7</v>
      </c>
      <c r="I131" s="27" t="s">
        <v>8</v>
      </c>
      <c r="J131" s="27" t="s">
        <v>7</v>
      </c>
      <c r="M131" s="27" t="s">
        <v>8</v>
      </c>
      <c r="V131" s="27" t="s">
        <v>7</v>
      </c>
      <c r="W131" s="27" t="s">
        <v>8</v>
      </c>
      <c r="X131" s="27" t="s">
        <v>7</v>
      </c>
      <c r="Y131" s="27" t="s">
        <v>8</v>
      </c>
      <c r="Z131" s="27" t="s">
        <v>7</v>
      </c>
      <c r="AA131" s="27" t="s">
        <v>8</v>
      </c>
      <c r="AC131" s="31" t="s">
        <v>8</v>
      </c>
      <c r="AD131" s="27" t="s">
        <v>7</v>
      </c>
      <c r="AE131" s="27" t="s">
        <v>8</v>
      </c>
      <c r="AH131" s="27" t="s">
        <v>7</v>
      </c>
      <c r="AL131" s="27" t="s">
        <v>7</v>
      </c>
      <c r="AM131" s="27" t="s">
        <v>8</v>
      </c>
      <c r="AN131" s="27" t="s">
        <v>7</v>
      </c>
    </row>
    <row r="132" spans="1:40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I132" s="27" t="s">
        <v>8</v>
      </c>
      <c r="J132" s="27" t="s">
        <v>7</v>
      </c>
      <c r="M132" s="33" t="s">
        <v>8</v>
      </c>
      <c r="V132" s="27" t="s">
        <v>7</v>
      </c>
      <c r="W132" s="27" t="s">
        <v>8</v>
      </c>
      <c r="X132" s="27" t="s">
        <v>7</v>
      </c>
      <c r="Y132" s="27" t="s">
        <v>8</v>
      </c>
      <c r="Z132" s="27" t="s">
        <v>7</v>
      </c>
      <c r="AA132" s="27" t="s">
        <v>8</v>
      </c>
      <c r="AB132" s="27" t="s">
        <v>7</v>
      </c>
      <c r="AC132" s="27" t="s">
        <v>8</v>
      </c>
      <c r="AD132" s="31" t="s">
        <v>7</v>
      </c>
      <c r="AE132" s="27" t="s">
        <v>8</v>
      </c>
      <c r="AL132" s="27" t="s">
        <v>7</v>
      </c>
      <c r="AN132" s="27" t="s">
        <v>7</v>
      </c>
    </row>
    <row r="133" spans="1:40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I133" s="27" t="s">
        <v>8</v>
      </c>
      <c r="J133" s="27" t="s">
        <v>7</v>
      </c>
      <c r="K133" s="27" t="s">
        <v>8</v>
      </c>
      <c r="M133" s="27" t="s">
        <v>8</v>
      </c>
      <c r="V133" s="27" t="s">
        <v>7</v>
      </c>
      <c r="X133" s="27" t="s">
        <v>7</v>
      </c>
      <c r="Y133" s="27" t="s">
        <v>8</v>
      </c>
      <c r="Z133" s="27" t="s">
        <v>7</v>
      </c>
      <c r="AA133" s="27" t="s">
        <v>8</v>
      </c>
      <c r="AB133" s="27" t="s">
        <v>7</v>
      </c>
      <c r="AC133" s="27" t="s">
        <v>8</v>
      </c>
      <c r="AD133" s="27" t="s">
        <v>7</v>
      </c>
      <c r="AE133" s="31" t="s">
        <v>8</v>
      </c>
      <c r="AN133" s="27" t="s">
        <v>7</v>
      </c>
    </row>
    <row r="134" spans="1:40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H134" s="27" t="s">
        <v>7</v>
      </c>
      <c r="I134" s="27" t="s">
        <v>8</v>
      </c>
      <c r="J134" s="27" t="s">
        <v>7</v>
      </c>
      <c r="K134" s="27" t="s">
        <v>8</v>
      </c>
      <c r="L134" s="27" t="s">
        <v>7</v>
      </c>
      <c r="M134" s="27" t="s">
        <v>8</v>
      </c>
      <c r="X134" s="27" t="s">
        <v>7</v>
      </c>
      <c r="Z134" s="27" t="s">
        <v>7</v>
      </c>
      <c r="AA134" s="27" t="s">
        <v>8</v>
      </c>
      <c r="AB134" s="27" t="s">
        <v>7</v>
      </c>
      <c r="AC134" s="27" t="s">
        <v>8</v>
      </c>
      <c r="AD134" s="31" t="s">
        <v>7</v>
      </c>
      <c r="AN134" s="27" t="s">
        <v>7</v>
      </c>
    </row>
    <row r="135" spans="1:40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H135" s="27" t="s">
        <v>7</v>
      </c>
      <c r="J135" s="27" t="s">
        <v>7</v>
      </c>
      <c r="K135" s="27" t="s">
        <v>8</v>
      </c>
      <c r="L135" s="27" t="s">
        <v>7</v>
      </c>
      <c r="M135" s="27" t="s">
        <v>8</v>
      </c>
      <c r="Z135" s="34" t="s">
        <v>7</v>
      </c>
      <c r="AA135" s="27" t="s">
        <v>8</v>
      </c>
      <c r="AB135" s="18" t="s">
        <v>7</v>
      </c>
      <c r="AC135" s="31" t="s">
        <v>8</v>
      </c>
      <c r="AN135" s="27" t="s">
        <v>7</v>
      </c>
    </row>
    <row r="136" spans="1:4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J136" s="27" t="s">
        <v>7</v>
      </c>
      <c r="K136" s="27" t="s">
        <v>8</v>
      </c>
      <c r="L136" s="27" t="s">
        <v>7</v>
      </c>
      <c r="Z136" s="27" t="s">
        <v>7</v>
      </c>
      <c r="AA136" s="27" t="s">
        <v>8</v>
      </c>
      <c r="AB136" s="31" t="s">
        <v>7</v>
      </c>
      <c r="AN136" s="27" t="s">
        <v>7</v>
      </c>
    </row>
    <row r="137" spans="1:40" x14ac:dyDescent="0.25">
      <c r="A137" s="30">
        <v>0.2176291357901482</v>
      </c>
      <c r="E137"/>
      <c r="F137" s="27" t="s">
        <v>7</v>
      </c>
      <c r="G137" s="27" t="s">
        <v>8</v>
      </c>
      <c r="J137" s="27" t="s">
        <v>7</v>
      </c>
      <c r="Z137" s="27" t="s">
        <v>7</v>
      </c>
      <c r="AA137" s="31" t="s">
        <v>8</v>
      </c>
      <c r="AN137" s="27" t="s">
        <v>7</v>
      </c>
    </row>
    <row r="138" spans="1:4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Z138" s="31" t="s">
        <v>7</v>
      </c>
    </row>
    <row r="139" spans="1:40" x14ac:dyDescent="0.25">
      <c r="A139" s="30">
        <v>0.17985878990921333</v>
      </c>
      <c r="E139"/>
    </row>
    <row r="140" spans="1:40" x14ac:dyDescent="0.25">
      <c r="A140" s="30">
        <v>0.16350799082655756</v>
      </c>
      <c r="C140" s="1">
        <v>0</v>
      </c>
      <c r="E140"/>
    </row>
    <row r="141" spans="1:40" x14ac:dyDescent="0.25">
      <c r="A141" s="30">
        <v>0.14864362802414322</v>
      </c>
      <c r="C141" s="1">
        <v>1</v>
      </c>
      <c r="E141"/>
    </row>
    <row r="142" spans="1:40" x14ac:dyDescent="0.25">
      <c r="A142" s="30">
        <v>0.13513057093103928</v>
      </c>
      <c r="C142" s="1">
        <v>2</v>
      </c>
      <c r="E142"/>
    </row>
    <row r="143" spans="1:40" x14ac:dyDescent="0.25">
      <c r="A143" s="30">
        <v>0.12284597357367205</v>
      </c>
      <c r="C143" s="1">
        <v>3</v>
      </c>
      <c r="E143"/>
    </row>
    <row r="144" spans="1:40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98" operator="equal">
      <formula>$U$1</formula>
    </cfRule>
    <cfRule type="cellIs" dxfId="30" priority="899" operator="equal">
      <formula>$S$1</formula>
    </cfRule>
  </conditionalFormatting>
  <conditionalFormatting sqref="D136">
    <cfRule type="cellIs" dxfId="29" priority="896" operator="equal">
      <formula>$S$1</formula>
    </cfRule>
    <cfRule type="cellIs" dxfId="28" priority="897" operator="equal">
      <formula>$U$1</formula>
    </cfRule>
  </conditionalFormatting>
  <conditionalFormatting sqref="C102">
    <cfRule type="cellIs" dxfId="27" priority="894" operator="equal">
      <formula>$U$1</formula>
    </cfRule>
    <cfRule type="cellIs" dxfId="26" priority="895" operator="equal">
      <formula>$S$1</formula>
    </cfRule>
  </conditionalFormatting>
  <conditionalFormatting sqref="D102">
    <cfRule type="cellIs" dxfId="25" priority="892" operator="equal">
      <formula>$S$1</formula>
    </cfRule>
    <cfRule type="cellIs" dxfId="24" priority="893" operator="equal">
      <formula>$U$1</formula>
    </cfRule>
  </conditionalFormatting>
  <conditionalFormatting sqref="C77">
    <cfRule type="cellIs" dxfId="23" priority="890" operator="equal">
      <formula>$U$1</formula>
    </cfRule>
    <cfRule type="cellIs" dxfId="22" priority="891" operator="equal">
      <formula>$S$1</formula>
    </cfRule>
  </conditionalFormatting>
  <conditionalFormatting sqref="D77">
    <cfRule type="cellIs" dxfId="21" priority="888" operator="equal">
      <formula>$S$1</formula>
    </cfRule>
    <cfRule type="cellIs" dxfId="20" priority="889" operator="equal">
      <formula>$U$1</formula>
    </cfRule>
  </conditionalFormatting>
  <conditionalFormatting sqref="C52">
    <cfRule type="cellIs" dxfId="19" priority="886" operator="equal">
      <formula>$U$1</formula>
    </cfRule>
    <cfRule type="cellIs" dxfId="18" priority="887" operator="equal">
      <formula>$S$1</formula>
    </cfRule>
  </conditionalFormatting>
  <conditionalFormatting sqref="D52">
    <cfRule type="cellIs" dxfId="17" priority="884" operator="equal">
      <formula>$S$1</formula>
    </cfRule>
    <cfRule type="cellIs" dxfId="16" priority="885" operator="equal">
      <formula>$U$1</formula>
    </cfRule>
  </conditionalFormatting>
  <conditionalFormatting sqref="C26">
    <cfRule type="cellIs" dxfId="15" priority="882" operator="equal">
      <formula>$U$1</formula>
    </cfRule>
    <cfRule type="cellIs" dxfId="14" priority="883" operator="equal">
      <formula>$S$1</formula>
    </cfRule>
  </conditionalFormatting>
  <conditionalFormatting sqref="D26">
    <cfRule type="cellIs" dxfId="13" priority="880" operator="equal">
      <formula>$S$1</formula>
    </cfRule>
    <cfRule type="cellIs" dxfId="12" priority="88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2022-01-28T01:19:58Z</dcterms:modified>
</cp:coreProperties>
</file>