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C8A7BC7-AD25-447A-9D24-313B1243747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/>
  <c r="C117" i="3"/>
  <c r="C122" i="3" s="1"/>
  <c r="C133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18" i="5"/>
  <c r="C102" i="5"/>
  <c r="D31" i="4"/>
  <c r="M3" i="6"/>
  <c r="C81" i="4"/>
  <c r="C52" i="5"/>
  <c r="C118" i="2"/>
  <c r="C116" i="2"/>
  <c r="K3" i="6"/>
  <c r="D26" i="5"/>
  <c r="C122" i="5"/>
  <c r="C133" i="5" s="1"/>
  <c r="D136" i="5" s="1"/>
  <c r="C56" i="4"/>
  <c r="D136" i="2"/>
  <c r="C136" i="2"/>
  <c r="C138" i="2"/>
  <c r="C2" i="1" l="1"/>
  <c r="D2" i="1"/>
  <c r="C116" i="4"/>
  <c r="C118" i="4"/>
  <c r="C118" i="3"/>
  <c r="C116" i="3"/>
  <c r="R765" i="1"/>
  <c r="C136" i="5"/>
  <c r="C138" i="5" s="1"/>
  <c r="C136" i="4"/>
  <c r="D136" i="4"/>
  <c r="C136" i="3"/>
  <c r="D136" i="3"/>
  <c r="C138" i="4" l="1"/>
  <c r="C138" i="3"/>
  <c r="R764" i="1"/>
  <c r="S765" i="1"/>
  <c r="T765" i="1" s="1"/>
  <c r="S764" i="1" l="1"/>
  <c r="T764" i="1" s="1"/>
  <c r="R763" i="1"/>
  <c r="R762" i="1" l="1"/>
  <c r="S763" i="1"/>
  <c r="T763" i="1" s="1"/>
  <c r="R761" i="1" l="1"/>
  <c r="S762" i="1"/>
  <c r="T762" i="1" s="1"/>
  <c r="S761" i="1" l="1"/>
  <c r="T761" i="1" s="1"/>
  <c r="R760" i="1"/>
  <c r="S760" i="1" l="1"/>
  <c r="T760" i="1" s="1"/>
  <c r="R759" i="1"/>
  <c r="R758" i="1" l="1"/>
  <c r="S759" i="1"/>
  <c r="T759" i="1" s="1"/>
  <c r="R757" i="1" l="1"/>
  <c r="S758" i="1"/>
  <c r="T758" i="1" s="1"/>
  <c r="S757" i="1" l="1"/>
  <c r="T757" i="1" s="1"/>
  <c r="R756" i="1"/>
  <c r="S756" i="1" l="1"/>
  <c r="T756" i="1" s="1"/>
  <c r="R755" i="1"/>
  <c r="R754" i="1" l="1"/>
  <c r="S755" i="1"/>
  <c r="T755" i="1" s="1"/>
  <c r="R753" i="1" l="1"/>
  <c r="S754" i="1"/>
  <c r="T754" i="1" s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R746" i="1" l="1"/>
  <c r="S747" i="1"/>
  <c r="T747" i="1" s="1"/>
  <c r="R745" i="1" l="1"/>
  <c r="S746" i="1"/>
  <c r="T746" i="1" s="1"/>
  <c r="S745" i="1" l="1"/>
  <c r="T745" i="1" s="1"/>
  <c r="R744" i="1"/>
  <c r="S744" i="1" l="1"/>
  <c r="T744" i="1" s="1"/>
  <c r="R743" i="1"/>
  <c r="S743" i="1" l="1"/>
  <c r="T743" i="1" s="1"/>
  <c r="R742" i="1"/>
  <c r="S742" i="1" l="1"/>
  <c r="T742" i="1" s="1"/>
  <c r="R741" i="1"/>
  <c r="R740" i="1" l="1"/>
  <c r="S741" i="1"/>
  <c r="T741" i="1" s="1"/>
  <c r="R739" i="1" l="1"/>
  <c r="S740" i="1"/>
  <c r="T740" i="1" s="1"/>
  <c r="S739" i="1" l="1"/>
  <c r="T739" i="1" s="1"/>
  <c r="R738" i="1"/>
  <c r="S738" i="1" l="1"/>
  <c r="T738" i="1" s="1"/>
  <c r="R737" i="1"/>
  <c r="S737" i="1" l="1"/>
  <c r="T737" i="1" s="1"/>
  <c r="R736" i="1"/>
  <c r="S736" i="1" l="1"/>
  <c r="T736" i="1" s="1"/>
  <c r="R735" i="1"/>
  <c r="S735" i="1" l="1"/>
  <c r="T735" i="1" s="1"/>
  <c r="R734" i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R729" i="1" l="1"/>
  <c r="S730" i="1"/>
  <c r="T730" i="1" s="1"/>
  <c r="R728" i="1" l="1"/>
  <c r="S729" i="1"/>
  <c r="T729" i="1" s="1"/>
  <c r="S728" i="1" l="1"/>
  <c r="T728" i="1" s="1"/>
  <c r="R727" i="1"/>
  <c r="S727" i="1" l="1"/>
  <c r="T727" i="1" s="1"/>
  <c r="R726" i="1"/>
  <c r="R725" i="1" l="1"/>
  <c r="S726" i="1"/>
  <c r="T726" i="1" s="1"/>
  <c r="S725" i="1" l="1"/>
  <c r="T725" i="1" s="1"/>
  <c r="R724" i="1"/>
  <c r="S724" i="1" l="1"/>
  <c r="T724" i="1" s="1"/>
  <c r="R723" i="1"/>
  <c r="S723" i="1" l="1"/>
  <c r="T723" i="1" s="1"/>
  <c r="R722" i="1"/>
  <c r="S722" i="1" l="1"/>
  <c r="T722" i="1" s="1"/>
  <c r="R721" i="1"/>
  <c r="R720" i="1" l="1"/>
  <c r="S721" i="1"/>
  <c r="T721" i="1" s="1"/>
  <c r="R719" i="1" l="1"/>
  <c r="S720" i="1"/>
  <c r="T720" i="1" s="1"/>
  <c r="R718" i="1" l="1"/>
  <c r="S719" i="1"/>
  <c r="T719" i="1" s="1"/>
  <c r="S718" i="1" l="1"/>
  <c r="T718" i="1" s="1"/>
  <c r="R717" i="1"/>
  <c r="S717" i="1" l="1"/>
  <c r="T717" i="1" s="1"/>
  <c r="R716" i="1"/>
  <c r="R715" i="1" l="1"/>
  <c r="S716" i="1"/>
  <c r="T716" i="1" s="1"/>
  <c r="R714" i="1" l="1"/>
  <c r="S715" i="1"/>
  <c r="T715" i="1" s="1"/>
  <c r="S714" i="1" l="1"/>
  <c r="T714" i="1" s="1"/>
  <c r="R713" i="1"/>
  <c r="S713" i="1" l="1"/>
  <c r="T713" i="1" s="1"/>
  <c r="R712" i="1"/>
  <c r="R711" i="1" l="1"/>
  <c r="S712" i="1"/>
  <c r="T712" i="1" s="1"/>
  <c r="S711" i="1" l="1"/>
  <c r="T711" i="1" s="1"/>
  <c r="R710" i="1"/>
  <c r="R709" i="1" l="1"/>
  <c r="S710" i="1"/>
  <c r="T710" i="1" s="1"/>
  <c r="S709" i="1" l="1"/>
  <c r="T709" i="1" s="1"/>
  <c r="R708" i="1"/>
  <c r="S708" i="1" l="1"/>
  <c r="T708" i="1" s="1"/>
  <c r="R707" i="1"/>
  <c r="R706" i="1" l="1"/>
  <c r="S707" i="1"/>
  <c r="T707" i="1" s="1"/>
  <c r="R705" i="1" l="1"/>
  <c r="S706" i="1"/>
  <c r="T706" i="1" s="1"/>
  <c r="S705" i="1" l="1"/>
  <c r="T705" i="1" s="1"/>
  <c r="R704" i="1"/>
  <c r="S704" i="1" l="1"/>
  <c r="T704" i="1" s="1"/>
  <c r="R703" i="1"/>
  <c r="S703" i="1" l="1"/>
  <c r="T703" i="1" s="1"/>
  <c r="R702" i="1"/>
  <c r="R701" i="1" l="1"/>
  <c r="S702" i="1"/>
  <c r="T702" i="1" s="1"/>
  <c r="S701" i="1" l="1"/>
  <c r="T701" i="1" s="1"/>
  <c r="R700" i="1"/>
  <c r="S700" i="1" l="1"/>
  <c r="T700" i="1" s="1"/>
  <c r="R699" i="1"/>
  <c r="R698" i="1" l="1"/>
  <c r="S699" i="1"/>
  <c r="T699" i="1" s="1"/>
  <c r="R697" i="1" l="1"/>
  <c r="S698" i="1"/>
  <c r="T698" i="1" s="1"/>
  <c r="S697" i="1" l="1"/>
  <c r="T697" i="1" s="1"/>
  <c r="R696" i="1"/>
  <c r="S696" i="1" l="1"/>
  <c r="T696" i="1" s="1"/>
  <c r="R695" i="1"/>
  <c r="R694" i="1" l="1"/>
  <c r="S695" i="1"/>
  <c r="T695" i="1" s="1"/>
  <c r="S694" i="1" l="1"/>
  <c r="T694" i="1" s="1"/>
  <c r="R693" i="1"/>
  <c r="S693" i="1" l="1"/>
  <c r="T693" i="1" s="1"/>
  <c r="R692" i="1"/>
  <c r="R691" i="1" l="1"/>
  <c r="S692" i="1"/>
  <c r="T692" i="1" s="1"/>
  <c r="S691" i="1" l="1"/>
  <c r="T691" i="1" s="1"/>
  <c r="R690" i="1"/>
  <c r="R689" i="1" l="1"/>
  <c r="S690" i="1"/>
  <c r="T690" i="1" s="1"/>
  <c r="S689" i="1" l="1"/>
  <c r="T689" i="1" s="1"/>
  <c r="R688" i="1"/>
  <c r="R687" i="1" l="1"/>
  <c r="S688" i="1"/>
  <c r="T688" i="1" s="1"/>
  <c r="S687" i="1" l="1"/>
  <c r="T687" i="1" s="1"/>
  <c r="R686" i="1"/>
  <c r="S686" i="1" l="1"/>
  <c r="T686" i="1" s="1"/>
  <c r="R685" i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S680" i="1" l="1"/>
  <c r="T680" i="1" s="1"/>
  <c r="R679" i="1"/>
  <c r="S679" i="1" l="1"/>
  <c r="T679" i="1" s="1"/>
  <c r="R678" i="1"/>
  <c r="S678" i="1" l="1"/>
  <c r="T678" i="1" s="1"/>
  <c r="R677" i="1"/>
  <c r="R676" i="1" l="1"/>
  <c r="S677" i="1"/>
  <c r="T677" i="1" s="1"/>
  <c r="R675" i="1" l="1"/>
  <c r="S676" i="1"/>
  <c r="T676" i="1" s="1"/>
  <c r="S675" i="1" l="1"/>
  <c r="T675" i="1" s="1"/>
  <c r="R674" i="1"/>
  <c r="S674" i="1" l="1"/>
  <c r="T674" i="1" s="1"/>
  <c r="R673" i="1"/>
  <c r="R672" i="1" l="1"/>
  <c r="S673" i="1"/>
  <c r="T673" i="1" s="1"/>
  <c r="S672" i="1" l="1"/>
  <c r="T672" i="1" s="1"/>
  <c r="R671" i="1"/>
  <c r="S671" i="1" l="1"/>
  <c r="T671" i="1" s="1"/>
  <c r="R670" i="1"/>
  <c r="R669" i="1" l="1"/>
  <c r="S670" i="1"/>
  <c r="T670" i="1" s="1"/>
  <c r="S669" i="1" l="1"/>
  <c r="T669" i="1" s="1"/>
  <c r="R668" i="1"/>
  <c r="S668" i="1" l="1"/>
  <c r="T668" i="1" s="1"/>
  <c r="R667" i="1"/>
  <c r="R666" i="1" l="1"/>
  <c r="S667" i="1"/>
  <c r="T667" i="1" s="1"/>
  <c r="S666" i="1" l="1"/>
  <c r="T666" i="1" s="1"/>
  <c r="R665" i="1"/>
  <c r="S665" i="1" l="1"/>
  <c r="T665" i="1" s="1"/>
  <c r="R664" i="1"/>
  <c r="R663" i="1" l="1"/>
  <c r="S664" i="1"/>
  <c r="T664" i="1" s="1"/>
  <c r="S663" i="1" l="1"/>
  <c r="T663" i="1" s="1"/>
  <c r="R662" i="1"/>
  <c r="S662" i="1" l="1"/>
  <c r="T662" i="1" s="1"/>
  <c r="R661" i="1"/>
  <c r="R660" i="1" l="1"/>
  <c r="S661" i="1"/>
  <c r="T661" i="1" s="1"/>
  <c r="S660" i="1" l="1"/>
  <c r="T660" i="1" s="1"/>
  <c r="R659" i="1"/>
  <c r="S659" i="1" l="1"/>
  <c r="T659" i="1" s="1"/>
  <c r="R658" i="1"/>
  <c r="R657" i="1" l="1"/>
  <c r="S658" i="1"/>
  <c r="T658" i="1" s="1"/>
  <c r="S657" i="1" l="1"/>
  <c r="T657" i="1" s="1"/>
  <c r="R656" i="1"/>
  <c r="S656" i="1" l="1"/>
  <c r="T656" i="1" s="1"/>
  <c r="R655" i="1"/>
  <c r="S655" i="1" l="1"/>
  <c r="T655" i="1" s="1"/>
  <c r="R654" i="1"/>
  <c r="S654" i="1" l="1"/>
  <c r="T654" i="1" s="1"/>
  <c r="R653" i="1"/>
  <c r="S653" i="1" l="1"/>
  <c r="T653" i="1" s="1"/>
  <c r="R652" i="1"/>
  <c r="R651" i="1" l="1"/>
  <c r="S652" i="1"/>
  <c r="T652" i="1" s="1"/>
  <c r="S651" i="1" l="1"/>
  <c r="T651" i="1" s="1"/>
  <c r="R650" i="1"/>
  <c r="S650" i="1" l="1"/>
  <c r="T650" i="1" s="1"/>
  <c r="R649" i="1"/>
  <c r="S649" i="1" l="1"/>
  <c r="T649" i="1" s="1"/>
  <c r="R648" i="1"/>
  <c r="S648" i="1" l="1"/>
  <c r="T648" i="1" s="1"/>
  <c r="R647" i="1"/>
  <c r="R646" i="1" l="1"/>
  <c r="S647" i="1"/>
  <c r="T647" i="1" s="1"/>
  <c r="S646" i="1" l="1"/>
  <c r="T646" i="1" s="1"/>
  <c r="R645" i="1"/>
  <c r="S645" i="1" l="1"/>
  <c r="T645" i="1" s="1"/>
  <c r="R644" i="1"/>
  <c r="S644" i="1" l="1"/>
  <c r="T644" i="1" s="1"/>
  <c r="R643" i="1"/>
  <c r="S643" i="1" l="1"/>
  <c r="T643" i="1" s="1"/>
  <c r="R642" i="1"/>
  <c r="S642" i="1" l="1"/>
  <c r="T642" i="1" s="1"/>
  <c r="R641" i="1"/>
  <c r="S641" i="1" l="1"/>
  <c r="T641" i="1" s="1"/>
  <c r="R640" i="1"/>
  <c r="S640" i="1" l="1"/>
  <c r="T640" i="1" s="1"/>
  <c r="R639" i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S635" i="1" l="1"/>
  <c r="T635" i="1" s="1"/>
  <c r="R634" i="1"/>
  <c r="S634" i="1" l="1"/>
  <c r="T634" i="1" s="1"/>
  <c r="R633" i="1"/>
  <c r="R632" i="1" l="1"/>
  <c r="S633" i="1"/>
  <c r="T633" i="1" s="1"/>
  <c r="S632" i="1" l="1"/>
  <c r="T632" i="1" s="1"/>
  <c r="R631" i="1"/>
  <c r="S631" i="1" l="1"/>
  <c r="T631" i="1" s="1"/>
  <c r="R630" i="1"/>
  <c r="R629" i="1" l="1"/>
  <c r="S630" i="1"/>
  <c r="T630" i="1" s="1"/>
  <c r="S629" i="1" l="1"/>
  <c r="T629" i="1" s="1"/>
  <c r="R628" i="1"/>
  <c r="S628" i="1" l="1"/>
  <c r="T628" i="1" s="1"/>
  <c r="R627" i="1"/>
  <c r="S627" i="1" l="1"/>
  <c r="T627" i="1" s="1"/>
  <c r="R626" i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S620" i="1" l="1"/>
  <c r="T620" i="1" s="1"/>
  <c r="R619" i="1"/>
  <c r="R618" i="1" l="1"/>
  <c r="S619" i="1"/>
  <c r="T619" i="1" s="1"/>
  <c r="R617" i="1" l="1"/>
  <c r="S618" i="1"/>
  <c r="T618" i="1" s="1"/>
  <c r="S617" i="1" l="1"/>
  <c r="T617" i="1" s="1"/>
  <c r="R616" i="1"/>
  <c r="S616" i="1" l="1"/>
  <c r="T616" i="1" s="1"/>
  <c r="R615" i="1"/>
  <c r="S615" i="1" l="1"/>
  <c r="T615" i="1" s="1"/>
  <c r="R614" i="1"/>
  <c r="S614" i="1" l="1"/>
  <c r="T614" i="1" s="1"/>
  <c r="R613" i="1"/>
  <c r="R612" i="1" l="1"/>
  <c r="S613" i="1"/>
  <c r="T613" i="1" s="1"/>
  <c r="S612" i="1" l="1"/>
  <c r="T612" i="1" s="1"/>
  <c r="R611" i="1"/>
  <c r="S611" i="1" l="1"/>
  <c r="T611" i="1" s="1"/>
  <c r="R610" i="1"/>
  <c r="R609" i="1" l="1"/>
  <c r="S610" i="1"/>
  <c r="T610" i="1" s="1"/>
  <c r="S609" i="1" l="1"/>
  <c r="T609" i="1" s="1"/>
  <c r="R608" i="1"/>
  <c r="S608" i="1" l="1"/>
  <c r="T608" i="1" s="1"/>
  <c r="R607" i="1"/>
  <c r="R606" i="1" l="1"/>
  <c r="S607" i="1"/>
  <c r="T607" i="1" s="1"/>
  <c r="R605" i="1" l="1"/>
  <c r="S606" i="1"/>
  <c r="T606" i="1" s="1"/>
  <c r="S605" i="1" l="1"/>
  <c r="T605" i="1" s="1"/>
  <c r="R604" i="1"/>
  <c r="R603" i="1" l="1"/>
  <c r="S604" i="1"/>
  <c r="T604" i="1" s="1"/>
  <c r="R602" i="1" l="1"/>
  <c r="S603" i="1"/>
  <c r="T603" i="1" s="1"/>
  <c r="S602" i="1" l="1"/>
  <c r="T602" i="1" s="1"/>
  <c r="R601" i="1"/>
  <c r="S601" i="1" l="1"/>
  <c r="T601" i="1" s="1"/>
  <c r="R600" i="1"/>
  <c r="S600" i="1" l="1"/>
  <c r="T600" i="1" s="1"/>
  <c r="R599" i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S595" i="1" l="1"/>
  <c r="T595" i="1" s="1"/>
  <c r="R594" i="1"/>
  <c r="R593" i="1" l="1"/>
  <c r="S594" i="1"/>
  <c r="T594" i="1" s="1"/>
  <c r="S593" i="1" l="1"/>
  <c r="T593" i="1" s="1"/>
  <c r="R592" i="1"/>
  <c r="S592" i="1" l="1"/>
  <c r="T592" i="1" s="1"/>
  <c r="R591" i="1"/>
  <c r="R590" i="1" l="1"/>
  <c r="S591" i="1"/>
  <c r="T591" i="1" s="1"/>
  <c r="R589" i="1" l="1"/>
  <c r="S590" i="1"/>
  <c r="T590" i="1" s="1"/>
  <c r="S589" i="1" l="1"/>
  <c r="T589" i="1" s="1"/>
  <c r="R588" i="1"/>
  <c r="S588" i="1" l="1"/>
  <c r="T588" i="1" s="1"/>
  <c r="R587" i="1"/>
  <c r="R586" i="1" l="1"/>
  <c r="S587" i="1"/>
  <c r="T587" i="1" s="1"/>
  <c r="R585" i="1" l="1"/>
  <c r="S586" i="1"/>
  <c r="T586" i="1" s="1"/>
  <c r="S585" i="1" l="1"/>
  <c r="T585" i="1" s="1"/>
  <c r="R584" i="1"/>
  <c r="S584" i="1" l="1"/>
  <c r="T584" i="1" s="1"/>
  <c r="R583" i="1"/>
  <c r="R582" i="1" l="1"/>
  <c r="S583" i="1"/>
  <c r="T583" i="1" s="1"/>
  <c r="R581" i="1" l="1"/>
  <c r="S582" i="1"/>
  <c r="T582" i="1" s="1"/>
  <c r="S581" i="1" l="1"/>
  <c r="T581" i="1" s="1"/>
  <c r="R580" i="1"/>
  <c r="S580" i="1" l="1"/>
  <c r="T580" i="1" s="1"/>
  <c r="R579" i="1"/>
  <c r="S579" i="1" l="1"/>
  <c r="T579" i="1" s="1"/>
  <c r="R578" i="1"/>
  <c r="S578" i="1" l="1"/>
  <c r="T578" i="1" s="1"/>
  <c r="R577" i="1"/>
  <c r="S577" i="1" l="1"/>
  <c r="T577" i="1" s="1"/>
  <c r="R576" i="1"/>
  <c r="S576" i="1" l="1"/>
  <c r="T576" i="1" s="1"/>
  <c r="R575" i="1"/>
  <c r="S575" i="1" l="1"/>
  <c r="T575" i="1" s="1"/>
  <c r="R574" i="1"/>
  <c r="R573" i="1" l="1"/>
  <c r="S574" i="1"/>
  <c r="T574" i="1" s="1"/>
  <c r="R572" i="1" l="1"/>
  <c r="S573" i="1"/>
  <c r="T573" i="1" s="1"/>
  <c r="S572" i="1" l="1"/>
  <c r="T572" i="1" s="1"/>
  <c r="R571" i="1"/>
  <c r="S571" i="1" l="1"/>
  <c r="T571" i="1" s="1"/>
  <c r="R570" i="1"/>
  <c r="R569" i="1" l="1"/>
  <c r="S570" i="1"/>
  <c r="T570" i="1" s="1"/>
  <c r="R568" i="1" l="1"/>
  <c r="S569" i="1"/>
  <c r="T569" i="1" s="1"/>
  <c r="S568" i="1" l="1"/>
  <c r="T568" i="1" s="1"/>
  <c r="R567" i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S563" i="1" l="1"/>
  <c r="T563" i="1" s="1"/>
  <c r="R562" i="1"/>
  <c r="S562" i="1" l="1"/>
  <c r="T562" i="1" s="1"/>
  <c r="R561" i="1"/>
  <c r="R560" i="1" l="1"/>
  <c r="S561" i="1"/>
  <c r="T561" i="1" s="1"/>
  <c r="S560" i="1" l="1"/>
  <c r="T560" i="1" s="1"/>
  <c r="R559" i="1"/>
  <c r="S559" i="1" l="1"/>
  <c r="T559" i="1" s="1"/>
  <c r="R558" i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S550" i="1" l="1"/>
  <c r="T550" i="1" s="1"/>
  <c r="R549" i="1"/>
  <c r="R548" i="1" l="1"/>
  <c r="S549" i="1"/>
  <c r="T549" i="1" s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R543" i="1" l="1"/>
  <c r="S544" i="1"/>
  <c r="T544" i="1" s="1"/>
  <c r="R542" i="1" l="1"/>
  <c r="S543" i="1"/>
  <c r="T543" i="1" s="1"/>
  <c r="S542" i="1" l="1"/>
  <c r="T542" i="1" s="1"/>
  <c r="R541" i="1"/>
  <c r="S541" i="1" l="1"/>
  <c r="T541" i="1" s="1"/>
  <c r="R540" i="1"/>
  <c r="S540" i="1" l="1"/>
  <c r="T540" i="1" s="1"/>
  <c r="R539" i="1"/>
  <c r="R538" i="1" l="1"/>
  <c r="S539" i="1"/>
  <c r="T539" i="1" s="1"/>
  <c r="R537" i="1" l="1"/>
  <c r="S538" i="1"/>
  <c r="T538" i="1" s="1"/>
  <c r="S537" i="1" l="1"/>
  <c r="T537" i="1" s="1"/>
  <c r="R536" i="1"/>
  <c r="S536" i="1" l="1"/>
  <c r="T536" i="1" s="1"/>
  <c r="R535" i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S531" i="1" l="1"/>
  <c r="T531" i="1" s="1"/>
  <c r="R530" i="1"/>
  <c r="S530" i="1" l="1"/>
  <c r="T530" i="1" s="1"/>
  <c r="R529" i="1"/>
  <c r="R528" i="1" l="1"/>
  <c r="S529" i="1"/>
  <c r="T529" i="1" s="1"/>
  <c r="R527" i="1" l="1"/>
  <c r="S528" i="1"/>
  <c r="T528" i="1" s="1"/>
  <c r="R526" i="1" l="1"/>
  <c r="S527" i="1"/>
  <c r="T527" i="1" s="1"/>
  <c r="S526" i="1" l="1"/>
  <c r="T526" i="1" s="1"/>
  <c r="R525" i="1"/>
  <c r="S525" i="1" l="1"/>
  <c r="T525" i="1" s="1"/>
  <c r="R524" i="1"/>
  <c r="R523" i="1" l="1"/>
  <c r="S524" i="1"/>
  <c r="T524" i="1" s="1"/>
  <c r="R522" i="1" l="1"/>
  <c r="S523" i="1"/>
  <c r="T523" i="1" s="1"/>
  <c r="S522" i="1" l="1"/>
  <c r="T522" i="1" s="1"/>
  <c r="R521" i="1"/>
  <c r="S521" i="1" l="1"/>
  <c r="T521" i="1" s="1"/>
  <c r="R520" i="1"/>
  <c r="S520" i="1" l="1"/>
  <c r="T520" i="1" s="1"/>
  <c r="R519" i="1"/>
  <c r="R518" i="1" l="1"/>
  <c r="S519" i="1"/>
  <c r="T519" i="1" s="1"/>
  <c r="S518" i="1" l="1"/>
  <c r="T518" i="1" s="1"/>
  <c r="R517" i="1"/>
  <c r="S517" i="1" l="1"/>
  <c r="T517" i="1" s="1"/>
  <c r="R516" i="1"/>
  <c r="S516" i="1" l="1"/>
  <c r="T516" i="1" s="1"/>
  <c r="R515" i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S506" i="1" l="1"/>
  <c r="T506" i="1" s="1"/>
  <c r="R505" i="1"/>
  <c r="S505" i="1" l="1"/>
  <c r="T505" i="1" s="1"/>
  <c r="R504" i="1"/>
  <c r="S504" i="1" l="1"/>
  <c r="T504" i="1" s="1"/>
  <c r="R503" i="1"/>
  <c r="S503" i="1" l="1"/>
  <c r="T503" i="1" s="1"/>
  <c r="R502" i="1"/>
  <c r="R501" i="1" l="1"/>
  <c r="S502" i="1"/>
  <c r="T502" i="1" s="1"/>
  <c r="S501" i="1" l="1"/>
  <c r="T501" i="1" s="1"/>
  <c r="R500" i="1"/>
  <c r="S500" i="1" l="1"/>
  <c r="T500" i="1" s="1"/>
  <c r="R499" i="1"/>
  <c r="R498" i="1" l="1"/>
  <c r="S499" i="1"/>
  <c r="T499" i="1" s="1"/>
  <c r="S498" i="1" l="1"/>
  <c r="T498" i="1" s="1"/>
  <c r="R497" i="1"/>
  <c r="R496" i="1" l="1"/>
  <c r="S497" i="1"/>
  <c r="T497" i="1" s="1"/>
  <c r="S496" i="1" l="1"/>
  <c r="T496" i="1" s="1"/>
  <c r="R495" i="1"/>
  <c r="R494" i="1" l="1"/>
  <c r="S495" i="1"/>
  <c r="T495" i="1" s="1"/>
  <c r="S494" i="1" l="1"/>
  <c r="T494" i="1" s="1"/>
  <c r="R493" i="1"/>
  <c r="S493" i="1" l="1"/>
  <c r="T493" i="1" s="1"/>
  <c r="R492" i="1"/>
  <c r="R491" i="1" l="1"/>
  <c r="S492" i="1"/>
  <c r="T492" i="1" s="1"/>
  <c r="S491" i="1" l="1"/>
  <c r="T491" i="1" s="1"/>
  <c r="R490" i="1"/>
  <c r="S490" i="1" l="1"/>
  <c r="T490" i="1" s="1"/>
  <c r="R489" i="1"/>
  <c r="R488" i="1" l="1"/>
  <c r="S489" i="1"/>
  <c r="T489" i="1" s="1"/>
  <c r="R487" i="1" l="1"/>
  <c r="S488" i="1"/>
  <c r="T488" i="1" s="1"/>
  <c r="S487" i="1" l="1"/>
  <c r="T487" i="1" s="1"/>
  <c r="R486" i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R481" i="1" l="1"/>
  <c r="S482" i="1"/>
  <c r="T482" i="1" s="1"/>
  <c r="R480" i="1" l="1"/>
  <c r="S481" i="1"/>
  <c r="T481" i="1" s="1"/>
  <c r="S480" i="1" l="1"/>
  <c r="T480" i="1" s="1"/>
  <c r="R479" i="1"/>
  <c r="R478" i="1" l="1"/>
  <c r="S479" i="1"/>
  <c r="T479" i="1" s="1"/>
  <c r="R477" i="1" l="1"/>
  <c r="S478" i="1"/>
  <c r="T478" i="1" s="1"/>
  <c r="S477" i="1" l="1"/>
  <c r="T477" i="1" s="1"/>
  <c r="R476" i="1"/>
  <c r="S476" i="1" l="1"/>
  <c r="T476" i="1" s="1"/>
  <c r="R475" i="1"/>
  <c r="R474" i="1" l="1"/>
  <c r="S475" i="1"/>
  <c r="T475" i="1" s="1"/>
  <c r="S474" i="1" l="1"/>
  <c r="T474" i="1" s="1"/>
  <c r="R473" i="1"/>
  <c r="S473" i="1" l="1"/>
  <c r="T473" i="1" s="1"/>
  <c r="R472" i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S468" i="1" l="1"/>
  <c r="T468" i="1" s="1"/>
  <c r="R467" i="1"/>
  <c r="S467" i="1" l="1"/>
  <c r="T467" i="1" s="1"/>
  <c r="R466" i="1"/>
  <c r="S466" i="1" l="1"/>
  <c r="T466" i="1" s="1"/>
  <c r="R465" i="1"/>
  <c r="S465" i="1" l="1"/>
  <c r="T465" i="1" s="1"/>
  <c r="R464" i="1"/>
  <c r="R463" i="1" l="1"/>
  <c r="S464" i="1"/>
  <c r="T464" i="1" s="1"/>
  <c r="S463" i="1" l="1"/>
  <c r="T463" i="1" s="1"/>
  <c r="R462" i="1"/>
  <c r="R461" i="1" l="1"/>
  <c r="S462" i="1"/>
  <c r="T462" i="1" s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R445" i="1" l="1"/>
  <c r="S446" i="1"/>
  <c r="T446" i="1" s="1"/>
  <c r="S445" i="1" l="1"/>
  <c r="T445" i="1" s="1"/>
  <c r="R444" i="1"/>
  <c r="S444" i="1" l="1"/>
  <c r="T444" i="1" s="1"/>
  <c r="R443" i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R437" i="1" l="1"/>
  <c r="S438" i="1"/>
  <c r="T438" i="1" s="1"/>
  <c r="S437" i="1" l="1"/>
  <c r="T437" i="1" s="1"/>
  <c r="R436" i="1"/>
  <c r="S436" i="1" l="1"/>
  <c r="T436" i="1" s="1"/>
  <c r="R435" i="1"/>
  <c r="S435" i="1" l="1"/>
  <c r="T435" i="1" s="1"/>
  <c r="R434" i="1"/>
  <c r="R433" i="1" l="1"/>
  <c r="S434" i="1"/>
  <c r="T434" i="1" s="1"/>
  <c r="S433" i="1" l="1"/>
  <c r="T433" i="1" s="1"/>
  <c r="R432" i="1"/>
  <c r="S432" i="1" l="1"/>
  <c r="T432" i="1" s="1"/>
  <c r="R431" i="1"/>
  <c r="S431" i="1" l="1"/>
  <c r="T431" i="1" s="1"/>
  <c r="R430" i="1"/>
  <c r="S430" i="1" l="1"/>
  <c r="T430" i="1" s="1"/>
  <c r="R429" i="1"/>
  <c r="R428" i="1" l="1"/>
  <c r="S429" i="1"/>
  <c r="T429" i="1" s="1"/>
  <c r="S428" i="1" l="1"/>
  <c r="T428" i="1" s="1"/>
  <c r="R427" i="1"/>
  <c r="S427" i="1" l="1"/>
  <c r="T427" i="1" s="1"/>
  <c r="R426" i="1"/>
  <c r="R425" i="1" l="1"/>
  <c r="S426" i="1"/>
  <c r="T426" i="1" s="1"/>
  <c r="S425" i="1" l="1"/>
  <c r="T425" i="1" s="1"/>
  <c r="R424" i="1"/>
  <c r="R423" i="1" l="1"/>
  <c r="S424" i="1"/>
  <c r="T424" i="1" s="1"/>
  <c r="S423" i="1" l="1"/>
  <c r="T423" i="1" s="1"/>
  <c r="R422" i="1"/>
  <c r="S422" i="1" l="1"/>
  <c r="T422" i="1" s="1"/>
  <c r="R421" i="1"/>
  <c r="S421" i="1" l="1"/>
  <c r="T421" i="1" s="1"/>
  <c r="R420" i="1"/>
  <c r="R419" i="1" l="1"/>
  <c r="S420" i="1"/>
  <c r="T420" i="1" s="1"/>
  <c r="R418" i="1" l="1"/>
  <c r="S419" i="1"/>
  <c r="T419" i="1" s="1"/>
  <c r="R417" i="1" l="1"/>
  <c r="S418" i="1"/>
  <c r="T418" i="1" s="1"/>
  <c r="S417" i="1" l="1"/>
  <c r="T417" i="1" s="1"/>
  <c r="R416" i="1"/>
  <c r="S416" i="1" l="1"/>
  <c r="T416" i="1" s="1"/>
  <c r="R415" i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S409" i="1" l="1"/>
  <c r="T409" i="1" s="1"/>
  <c r="R408" i="1"/>
  <c r="S408" i="1" l="1"/>
  <c r="T408" i="1" s="1"/>
  <c r="R407" i="1"/>
  <c r="S407" i="1" l="1"/>
  <c r="T407" i="1" s="1"/>
  <c r="R406" i="1"/>
  <c r="R405" i="1" l="1"/>
  <c r="S406" i="1"/>
  <c r="T406" i="1" s="1"/>
  <c r="R404" i="1" l="1"/>
  <c r="S405" i="1"/>
  <c r="T405" i="1" s="1"/>
  <c r="S404" i="1" l="1"/>
  <c r="T404" i="1" s="1"/>
  <c r="R403" i="1"/>
  <c r="R402" i="1" l="1"/>
  <c r="S403" i="1"/>
  <c r="T403" i="1" s="1"/>
  <c r="R401" i="1" l="1"/>
  <c r="S402" i="1"/>
  <c r="T402" i="1" s="1"/>
  <c r="S401" i="1" l="1"/>
  <c r="T401" i="1" s="1"/>
  <c r="R400" i="1"/>
  <c r="S400" i="1" l="1"/>
  <c r="T400" i="1" s="1"/>
  <c r="R399" i="1"/>
  <c r="S399" i="1" l="1"/>
  <c r="T399" i="1" s="1"/>
  <c r="R398" i="1"/>
  <c r="S398" i="1" l="1"/>
  <c r="T398" i="1" s="1"/>
  <c r="R397" i="1"/>
  <c r="R396" i="1" l="1"/>
  <c r="S397" i="1"/>
  <c r="T397" i="1" s="1"/>
  <c r="S396" i="1" l="1"/>
  <c r="T396" i="1" s="1"/>
  <c r="R395" i="1"/>
  <c r="S395" i="1" l="1"/>
  <c r="T395" i="1" s="1"/>
  <c r="R394" i="1"/>
  <c r="R393" i="1" l="1"/>
  <c r="S394" i="1"/>
  <c r="T394" i="1" s="1"/>
  <c r="S393" i="1" l="1"/>
  <c r="T393" i="1" s="1"/>
  <c r="R392" i="1"/>
  <c r="S392" i="1" l="1"/>
  <c r="T392" i="1" s="1"/>
  <c r="R391" i="1"/>
  <c r="R390" i="1" l="1"/>
  <c r="S391" i="1"/>
  <c r="T391" i="1" s="1"/>
  <c r="R389" i="1" l="1"/>
  <c r="S390" i="1"/>
  <c r="T390" i="1" s="1"/>
  <c r="S389" i="1" l="1"/>
  <c r="T389" i="1" s="1"/>
  <c r="R388" i="1"/>
  <c r="S388" i="1" l="1"/>
  <c r="T388" i="1" s="1"/>
  <c r="R387" i="1"/>
  <c r="R386" i="1" l="1"/>
  <c r="S387" i="1"/>
  <c r="T387" i="1" s="1"/>
  <c r="R385" i="1" l="1"/>
  <c r="S386" i="1"/>
  <c r="T386" i="1" s="1"/>
  <c r="S385" i="1" l="1"/>
  <c r="T385" i="1" s="1"/>
  <c r="R384" i="1"/>
  <c r="S384" i="1" l="1"/>
  <c r="T384" i="1" s="1"/>
  <c r="R383" i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R378" i="1" l="1"/>
  <c r="S379" i="1"/>
  <c r="T379" i="1" s="1"/>
  <c r="S378" i="1" l="1"/>
  <c r="T378" i="1" s="1"/>
  <c r="R377" i="1"/>
  <c r="S377" i="1" l="1"/>
  <c r="T377" i="1" s="1"/>
  <c r="R376" i="1"/>
  <c r="S376" i="1" l="1"/>
  <c r="T376" i="1" s="1"/>
  <c r="R375" i="1"/>
  <c r="R374" i="1" l="1"/>
  <c r="S375" i="1"/>
  <c r="T375" i="1" s="1"/>
  <c r="R373" i="1" l="1"/>
  <c r="S374" i="1"/>
  <c r="T374" i="1" s="1"/>
  <c r="S373" i="1" l="1"/>
  <c r="T373" i="1" s="1"/>
  <c r="R372" i="1"/>
  <c r="R371" i="1" l="1"/>
  <c r="S372" i="1"/>
  <c r="T372" i="1" s="1"/>
  <c r="R370" i="1" l="1"/>
  <c r="S371" i="1"/>
  <c r="T371" i="1" s="1"/>
  <c r="S370" i="1" l="1"/>
  <c r="T370" i="1" s="1"/>
  <c r="R369" i="1"/>
  <c r="S369" i="1" l="1"/>
  <c r="T369" i="1" s="1"/>
  <c r="R368" i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S364" i="1" l="1"/>
  <c r="T364" i="1" s="1"/>
  <c r="R363" i="1"/>
  <c r="S363" i="1" l="1"/>
  <c r="T363" i="1" s="1"/>
  <c r="R362" i="1"/>
  <c r="R361" i="1" l="1"/>
  <c r="S362" i="1"/>
  <c r="T362" i="1" s="1"/>
  <c r="S361" i="1" l="1"/>
  <c r="T361" i="1" s="1"/>
  <c r="R360" i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S356" i="1" l="1"/>
  <c r="T356" i="1" s="1"/>
  <c r="R355" i="1"/>
  <c r="R354" i="1" l="1"/>
  <c r="S355" i="1"/>
  <c r="T355" i="1" s="1"/>
  <c r="R353" i="1" l="1"/>
  <c r="S354" i="1"/>
  <c r="T354" i="1" s="1"/>
  <c r="S353" i="1" l="1"/>
  <c r="T353" i="1" s="1"/>
  <c r="R352" i="1"/>
  <c r="S352" i="1" l="1"/>
  <c r="T352" i="1" s="1"/>
  <c r="R351" i="1"/>
  <c r="R350" i="1" l="1"/>
  <c r="S351" i="1"/>
  <c r="T351" i="1" s="1"/>
  <c r="R349" i="1" l="1"/>
  <c r="S350" i="1"/>
  <c r="T350" i="1" s="1"/>
  <c r="S349" i="1" l="1"/>
  <c r="T349" i="1" s="1"/>
  <c r="R348" i="1"/>
  <c r="R347" i="1" l="1"/>
  <c r="S348" i="1"/>
  <c r="T348" i="1" s="1"/>
  <c r="S347" i="1" l="1"/>
  <c r="T347" i="1" s="1"/>
  <c r="R346" i="1"/>
  <c r="S346" i="1" l="1"/>
  <c r="T346" i="1" s="1"/>
  <c r="R345" i="1"/>
  <c r="S345" i="1" l="1"/>
  <c r="T345" i="1" s="1"/>
  <c r="R344" i="1"/>
  <c r="R343" i="1" l="1"/>
  <c r="S344" i="1"/>
  <c r="T344" i="1" s="1"/>
  <c r="S343" i="1" l="1"/>
  <c r="T343" i="1" s="1"/>
  <c r="R342" i="1"/>
  <c r="R341" i="1" l="1"/>
  <c r="S342" i="1"/>
  <c r="T342" i="1" s="1"/>
  <c r="S341" i="1" l="1"/>
  <c r="T341" i="1" s="1"/>
  <c r="R340" i="1"/>
  <c r="S340" i="1" l="1"/>
  <c r="T340" i="1" s="1"/>
  <c r="R339" i="1"/>
  <c r="S339" i="1" l="1"/>
  <c r="T339" i="1" s="1"/>
  <c r="R338" i="1"/>
  <c r="S338" i="1" l="1"/>
  <c r="T338" i="1" s="1"/>
  <c r="R337" i="1"/>
  <c r="S337" i="1" l="1"/>
  <c r="T337" i="1" s="1"/>
  <c r="R336" i="1"/>
  <c r="S336" i="1" l="1"/>
  <c r="T336" i="1" s="1"/>
  <c r="R335" i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S331" i="1" l="1"/>
  <c r="T331" i="1" s="1"/>
  <c r="R330" i="1"/>
  <c r="S330" i="1" l="1"/>
  <c r="T330" i="1" s="1"/>
  <c r="R329" i="1"/>
  <c r="R328" i="1" l="1"/>
  <c r="S329" i="1"/>
  <c r="T329" i="1" s="1"/>
  <c r="S328" i="1" l="1"/>
  <c r="T328" i="1" s="1"/>
  <c r="R327" i="1"/>
  <c r="S327" i="1" l="1"/>
  <c r="T327" i="1" s="1"/>
  <c r="R326" i="1"/>
  <c r="S326" i="1" l="1"/>
  <c r="T326" i="1" s="1"/>
  <c r="R325" i="1"/>
  <c r="S325" i="1" l="1"/>
  <c r="T325" i="1" s="1"/>
  <c r="R324" i="1"/>
  <c r="R323" i="1" l="1"/>
  <c r="S324" i="1"/>
  <c r="T324" i="1" s="1"/>
  <c r="R322" i="1" l="1"/>
  <c r="S323" i="1"/>
  <c r="T323" i="1" s="1"/>
  <c r="S322" i="1" l="1"/>
  <c r="T322" i="1" s="1"/>
  <c r="R321" i="1"/>
  <c r="S321" i="1" l="1"/>
  <c r="T321" i="1" s="1"/>
  <c r="R320" i="1"/>
  <c r="R319" i="1" l="1"/>
  <c r="S320" i="1"/>
  <c r="T320" i="1" s="1"/>
  <c r="R318" i="1" l="1"/>
  <c r="S319" i="1"/>
  <c r="T319" i="1" s="1"/>
  <c r="S318" i="1" l="1"/>
  <c r="T318" i="1" s="1"/>
  <c r="R317" i="1"/>
  <c r="S317" i="1" l="1"/>
  <c r="T317" i="1" s="1"/>
  <c r="R316" i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S312" i="1" l="1"/>
  <c r="T312" i="1" s="1"/>
  <c r="R311" i="1"/>
  <c r="S311" i="1" l="1"/>
  <c r="T311" i="1" s="1"/>
  <c r="R310" i="1"/>
  <c r="S310" i="1" l="1"/>
  <c r="T310" i="1" s="1"/>
  <c r="R309" i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S302" i="1" l="1"/>
  <c r="T302" i="1" s="1"/>
  <c r="R301" i="1"/>
  <c r="S301" i="1" l="1"/>
  <c r="T301" i="1" s="1"/>
  <c r="R300" i="1"/>
  <c r="R299" i="1" l="1"/>
  <c r="S300" i="1"/>
  <c r="T300" i="1" s="1"/>
  <c r="R298" i="1" l="1"/>
  <c r="S299" i="1"/>
  <c r="T299" i="1" s="1"/>
  <c r="S298" i="1" l="1"/>
  <c r="T298" i="1" s="1"/>
  <c r="R297" i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S293" i="1" l="1"/>
  <c r="T293" i="1" s="1"/>
  <c r="R292" i="1"/>
  <c r="S292" i="1" l="1"/>
  <c r="T292" i="1" s="1"/>
  <c r="R291" i="1"/>
  <c r="R290" i="1" l="1"/>
  <c r="S291" i="1"/>
  <c r="T291" i="1" s="1"/>
  <c r="S290" i="1" l="1"/>
  <c r="T290" i="1" s="1"/>
  <c r="R289" i="1"/>
  <c r="S289" i="1" l="1"/>
  <c r="T289" i="1" s="1"/>
  <c r="R288" i="1"/>
  <c r="R287" i="1" l="1"/>
  <c r="S288" i="1"/>
  <c r="T288" i="1" s="1"/>
  <c r="R286" i="1" l="1"/>
  <c r="S287" i="1"/>
  <c r="T287" i="1" s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R279" i="1" l="1"/>
  <c r="S280" i="1"/>
  <c r="T280" i="1" s="1"/>
  <c r="R278" i="1" l="1"/>
  <c r="S279" i="1"/>
  <c r="T279" i="1" s="1"/>
  <c r="S278" i="1" l="1"/>
  <c r="T278" i="1" s="1"/>
  <c r="R277" i="1"/>
  <c r="S277" i="1" l="1"/>
  <c r="T277" i="1" s="1"/>
  <c r="R276" i="1"/>
  <c r="S276" i="1" l="1"/>
  <c r="T276" i="1" s="1"/>
  <c r="R275" i="1"/>
  <c r="S275" i="1" l="1"/>
  <c r="T275" i="1" s="1"/>
  <c r="R274" i="1"/>
  <c r="R273" i="1" l="1"/>
  <c r="S274" i="1"/>
  <c r="T274" i="1" s="1"/>
  <c r="S273" i="1" l="1"/>
  <c r="T273" i="1" s="1"/>
  <c r="R272" i="1"/>
  <c r="R271" i="1" l="1"/>
  <c r="S272" i="1"/>
  <c r="T272" i="1" s="1"/>
  <c r="R270" i="1" l="1"/>
  <c r="S271" i="1"/>
  <c r="T271" i="1" s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S266" i="1" l="1"/>
  <c r="T266" i="1" s="1"/>
  <c r="R265" i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S257" i="1" l="1"/>
  <c r="T257" i="1" s="1"/>
  <c r="R256" i="1"/>
  <c r="S256" i="1" l="1"/>
  <c r="T256" i="1" s="1"/>
  <c r="R255" i="1"/>
  <c r="R254" i="1" l="1"/>
  <c r="S255" i="1"/>
  <c r="T255" i="1" s="1"/>
  <c r="R253" i="1" l="1"/>
  <c r="S254" i="1"/>
  <c r="T254" i="1" s="1"/>
  <c r="S253" i="1" l="1"/>
  <c r="T253" i="1" s="1"/>
  <c r="R252" i="1"/>
  <c r="S252" i="1" l="1"/>
  <c r="T252" i="1" s="1"/>
  <c r="R251" i="1"/>
  <c r="R250" i="1" l="1"/>
  <c r="S251" i="1"/>
  <c r="T251" i="1" s="1"/>
  <c r="R249" i="1" l="1"/>
  <c r="S250" i="1"/>
  <c r="T250" i="1" s="1"/>
  <c r="S249" i="1" l="1"/>
  <c r="T249" i="1" s="1"/>
  <c r="R248" i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S238" i="1" l="1"/>
  <c r="T238" i="1" s="1"/>
  <c r="R237" i="1"/>
  <c r="R236" i="1" l="1"/>
  <c r="S237" i="1"/>
  <c r="T237" i="1" s="1"/>
  <c r="R235" i="1" l="1"/>
  <c r="S236" i="1"/>
  <c r="T236" i="1" s="1"/>
  <c r="S235" i="1" l="1"/>
  <c r="T235" i="1" s="1"/>
  <c r="R234" i="1"/>
  <c r="S234" i="1" l="1"/>
  <c r="T234" i="1" s="1"/>
  <c r="R233" i="1"/>
  <c r="S233" i="1" l="1"/>
  <c r="T233" i="1" s="1"/>
  <c r="R232" i="1"/>
  <c r="R231" i="1" l="1"/>
  <c r="S232" i="1"/>
  <c r="T232" i="1" s="1"/>
  <c r="S231" i="1" l="1"/>
  <c r="T231" i="1" s="1"/>
  <c r="R230" i="1"/>
  <c r="S230" i="1" l="1"/>
  <c r="T230" i="1" s="1"/>
  <c r="R229" i="1"/>
  <c r="R228" i="1" l="1"/>
  <c r="S229" i="1"/>
  <c r="T229" i="1" s="1"/>
  <c r="S228" i="1" l="1"/>
  <c r="T228" i="1" s="1"/>
  <c r="R227" i="1"/>
  <c r="S227" i="1" l="1"/>
  <c r="T227" i="1" s="1"/>
  <c r="R226" i="1"/>
  <c r="S226" i="1" l="1"/>
  <c r="T226" i="1" s="1"/>
  <c r="R225" i="1"/>
  <c r="R224" i="1" l="1"/>
  <c r="S225" i="1"/>
  <c r="T225" i="1" s="1"/>
  <c r="R223" i="1" l="1"/>
  <c r="S224" i="1"/>
  <c r="T224" i="1" s="1"/>
  <c r="S223" i="1" l="1"/>
  <c r="T223" i="1" s="1"/>
  <c r="R222" i="1"/>
  <c r="S222" i="1" l="1"/>
  <c r="T222" i="1" s="1"/>
  <c r="R221" i="1"/>
  <c r="S221" i="1" l="1"/>
  <c r="T221" i="1" s="1"/>
  <c r="R220" i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S214" i="1" l="1"/>
  <c r="T214" i="1" s="1"/>
  <c r="R213" i="1"/>
  <c r="R212" i="1" l="1"/>
  <c r="S213" i="1"/>
  <c r="T213" i="1" s="1"/>
  <c r="R211" i="1" l="1"/>
  <c r="S212" i="1"/>
  <c r="T212" i="1" s="1"/>
  <c r="S211" i="1" l="1"/>
  <c r="T211" i="1" s="1"/>
  <c r="R210" i="1"/>
  <c r="S210" i="1" l="1"/>
  <c r="T210" i="1" s="1"/>
  <c r="R209" i="1"/>
  <c r="S209" i="1" l="1"/>
  <c r="T209" i="1" s="1"/>
  <c r="R208" i="1"/>
  <c r="R207" i="1" l="1"/>
  <c r="S208" i="1"/>
  <c r="T208" i="1" s="1"/>
  <c r="S207" i="1" l="1"/>
  <c r="T207" i="1" s="1"/>
  <c r="R206" i="1"/>
  <c r="S206" i="1" l="1"/>
  <c r="T206" i="1" s="1"/>
  <c r="R205" i="1"/>
  <c r="S205" i="1" l="1"/>
  <c r="T205" i="1" s="1"/>
  <c r="R204" i="1"/>
  <c r="R203" i="1" l="1"/>
  <c r="S204" i="1"/>
  <c r="T204" i="1" s="1"/>
  <c r="R202" i="1" l="1"/>
  <c r="S203" i="1"/>
  <c r="T203" i="1" s="1"/>
  <c r="S202" i="1" l="1"/>
  <c r="T202" i="1" s="1"/>
  <c r="R201" i="1"/>
  <c r="S201" i="1" l="1"/>
  <c r="T201" i="1" s="1"/>
  <c r="R200" i="1"/>
  <c r="S200" i="1" l="1"/>
  <c r="T200" i="1" s="1"/>
  <c r="R199" i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S194" i="1" l="1"/>
  <c r="T194" i="1" s="1"/>
  <c r="R193" i="1"/>
  <c r="S193" i="1" l="1"/>
  <c r="T193" i="1" s="1"/>
  <c r="R192" i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R187" i="1" l="1"/>
  <c r="S188" i="1"/>
  <c r="T188" i="1" s="1"/>
  <c r="R186" i="1" l="1"/>
  <c r="S187" i="1"/>
  <c r="T187" i="1" s="1"/>
  <c r="S186" i="1" l="1"/>
  <c r="T186" i="1" s="1"/>
  <c r="R185" i="1"/>
  <c r="S185" i="1" l="1"/>
  <c r="T185" i="1" s="1"/>
  <c r="R184" i="1"/>
  <c r="R183" i="1" l="1"/>
  <c r="S184" i="1"/>
  <c r="T184" i="1" s="1"/>
  <c r="S183" i="1" l="1"/>
  <c r="T183" i="1" s="1"/>
  <c r="R182" i="1"/>
  <c r="S182" i="1" l="1"/>
  <c r="T182" i="1" s="1"/>
  <c r="R181" i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S170" i="1" l="1"/>
  <c r="T170" i="1" s="1"/>
  <c r="R169" i="1"/>
  <c r="S169" i="1" l="1"/>
  <c r="T169" i="1" s="1"/>
  <c r="R168" i="1"/>
  <c r="S168" i="1" l="1"/>
  <c r="T168" i="1" s="1"/>
  <c r="R167" i="1"/>
  <c r="R166" i="1" l="1"/>
  <c r="S167" i="1"/>
  <c r="T167" i="1" s="1"/>
  <c r="R165" i="1" l="1"/>
  <c r="S166" i="1"/>
  <c r="T166" i="1" s="1"/>
  <c r="S165" i="1" l="1"/>
  <c r="T165" i="1" s="1"/>
  <c r="R164" i="1"/>
  <c r="S164" i="1" l="1"/>
  <c r="T164" i="1" s="1"/>
  <c r="R163" i="1"/>
  <c r="R162" i="1" l="1"/>
  <c r="S163" i="1"/>
  <c r="T163" i="1" s="1"/>
  <c r="S162" i="1" l="1"/>
  <c r="T162" i="1" s="1"/>
  <c r="R161" i="1"/>
  <c r="S161" i="1" l="1"/>
  <c r="T161" i="1" s="1"/>
  <c r="R160" i="1"/>
  <c r="R159" i="1" l="1"/>
  <c r="S160" i="1"/>
  <c r="T160" i="1" s="1"/>
  <c r="S159" i="1" l="1"/>
  <c r="T159" i="1" s="1"/>
  <c r="R158" i="1"/>
  <c r="S158" i="1" l="1"/>
  <c r="T158" i="1" s="1"/>
  <c r="R157" i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S146" i="1" l="1"/>
  <c r="T146" i="1" s="1"/>
  <c r="R145" i="1"/>
  <c r="S145" i="1" l="1"/>
  <c r="T145" i="1" s="1"/>
  <c r="R144" i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S138" i="1" l="1"/>
  <c r="T138" i="1" s="1"/>
  <c r="R137" i="1"/>
  <c r="R136" i="1" l="1"/>
  <c r="S137" i="1"/>
  <c r="T137" i="1" s="1"/>
  <c r="S136" i="1" l="1"/>
  <c r="T136" i="1" s="1"/>
  <c r="R135" i="1"/>
  <c r="R134" i="1" l="1"/>
  <c r="S135" i="1"/>
  <c r="T135" i="1" s="1"/>
  <c r="S134" i="1" l="1"/>
  <c r="T134" i="1" s="1"/>
  <c r="R133" i="1"/>
  <c r="S133" i="1" l="1"/>
  <c r="T133" i="1" s="1"/>
  <c r="R132" i="1"/>
  <c r="S132" i="1" l="1"/>
  <c r="T132" i="1" s="1"/>
  <c r="R131" i="1"/>
  <c r="S131" i="1" l="1"/>
  <c r="T131" i="1" s="1"/>
  <c r="R130" i="1"/>
  <c r="S130" i="1" l="1"/>
  <c r="T130" i="1" s="1"/>
  <c r="R129" i="1"/>
  <c r="R128" i="1" l="1"/>
  <c r="S129" i="1"/>
  <c r="T129" i="1" s="1"/>
  <c r="R127" i="1" l="1"/>
  <c r="S128" i="1"/>
  <c r="T128" i="1" s="1"/>
  <c r="S127" i="1" l="1"/>
  <c r="T127" i="1" s="1"/>
  <c r="R126" i="1"/>
  <c r="S126" i="1" l="1"/>
  <c r="T126" i="1" s="1"/>
  <c r="R125" i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S117" i="1" l="1"/>
  <c r="T117" i="1" s="1"/>
  <c r="R116" i="1"/>
  <c r="R115" i="1" l="1"/>
  <c r="S116" i="1"/>
  <c r="T116" i="1" s="1"/>
  <c r="R114" i="1" l="1"/>
  <c r="S115" i="1"/>
  <c r="T115" i="1" s="1"/>
  <c r="S114" i="1" l="1"/>
  <c r="T114" i="1" s="1"/>
  <c r="R113" i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S97" i="1" l="1"/>
  <c r="T97" i="1" s="1"/>
  <c r="R96" i="1"/>
  <c r="S96" i="1" l="1"/>
  <c r="T96" i="1" s="1"/>
  <c r="R95" i="1"/>
  <c r="S95" i="1" l="1"/>
  <c r="T95" i="1" s="1"/>
  <c r="R94" i="1"/>
  <c r="S94" i="1" l="1"/>
  <c r="T94" i="1" s="1"/>
  <c r="R93" i="1"/>
  <c r="S93" i="1" l="1"/>
  <c r="T93" i="1" s="1"/>
  <c r="R92" i="1"/>
  <c r="S92" i="1" l="1"/>
  <c r="T92" i="1" s="1"/>
  <c r="R91" i="1"/>
  <c r="S91" i="1" l="1"/>
  <c r="T91" i="1" s="1"/>
  <c r="R90" i="1"/>
  <c r="S90" i="1" l="1"/>
  <c r="T90" i="1" s="1"/>
  <c r="R89" i="1"/>
  <c r="S89" i="1" l="1"/>
  <c r="T89" i="1" s="1"/>
  <c r="R88" i="1"/>
  <c r="S88" i="1" l="1"/>
  <c r="T88" i="1" s="1"/>
  <c r="R87" i="1"/>
  <c r="R86" i="1" l="1"/>
  <c r="S87" i="1"/>
  <c r="T87" i="1" s="1"/>
  <c r="S86" i="1" l="1"/>
  <c r="T86" i="1" s="1"/>
  <c r="R85" i="1"/>
  <c r="R84" i="1" l="1"/>
  <c r="S85" i="1"/>
  <c r="T85" i="1" s="1"/>
  <c r="S84" i="1" l="1"/>
  <c r="T84" i="1" s="1"/>
  <c r="R83" i="1"/>
  <c r="R82" i="1" l="1"/>
  <c r="S83" i="1"/>
  <c r="T83" i="1" s="1"/>
  <c r="S82" i="1" l="1"/>
  <c r="T82" i="1" s="1"/>
  <c r="R81" i="1"/>
  <c r="S81" i="1" l="1"/>
  <c r="T81" i="1" s="1"/>
  <c r="R80" i="1"/>
  <c r="S80" i="1" l="1"/>
  <c r="T80" i="1" s="1"/>
  <c r="R79" i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R71" i="1" l="1"/>
  <c r="S72" i="1"/>
  <c r="T72" i="1" s="1"/>
  <c r="S71" i="1" l="1"/>
  <c r="T71" i="1" s="1"/>
  <c r="R70" i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R63" i="1" l="1"/>
  <c r="S64" i="1"/>
  <c r="T64" i="1" s="1"/>
  <c r="S63" i="1" l="1"/>
  <c r="T63" i="1" s="1"/>
  <c r="R62" i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S51" i="1" l="1"/>
  <c r="T51" i="1" s="1"/>
  <c r="R50" i="1"/>
  <c r="R49" i="1" l="1"/>
  <c r="S50" i="1"/>
  <c r="T50" i="1" s="1"/>
  <c r="S49" i="1" l="1"/>
  <c r="T49" i="1" s="1"/>
  <c r="R48" i="1"/>
  <c r="R47" i="1" l="1"/>
  <c r="S48" i="1"/>
  <c r="T48" i="1" s="1"/>
  <c r="S47" i="1" l="1"/>
  <c r="T47" i="1" s="1"/>
  <c r="R46" i="1"/>
  <c r="R45" i="1" l="1"/>
  <c r="S46" i="1"/>
  <c r="T46" i="1" s="1"/>
  <c r="S45" i="1" l="1"/>
  <c r="T45" i="1" s="1"/>
  <c r="R44" i="1"/>
  <c r="R43" i="1" l="1"/>
  <c r="S44" i="1"/>
  <c r="T44" i="1" s="1"/>
  <c r="S43" i="1" l="1"/>
  <c r="T43" i="1" s="1"/>
  <c r="R42" i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S34" i="1" l="1"/>
  <c r="T34" i="1" s="1"/>
  <c r="R33" i="1"/>
  <c r="R32" i="1" l="1"/>
  <c r="S33" i="1"/>
  <c r="T33" i="1" s="1"/>
  <c r="R31" i="1" l="1"/>
  <c r="S32" i="1"/>
  <c r="T32" i="1" s="1"/>
  <c r="S31" i="1" l="1"/>
  <c r="T31" i="1" s="1"/>
  <c r="R30" i="1"/>
  <c r="R29" i="1" l="1"/>
  <c r="S30" i="1"/>
  <c r="T30" i="1" s="1"/>
  <c r="S29" i="1" l="1"/>
  <c r="T29" i="1" s="1"/>
  <c r="R28" i="1"/>
  <c r="R27" i="1" l="1"/>
  <c r="S28" i="1"/>
  <c r="T28" i="1" s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<sst xmlns="http://schemas.openxmlformats.org/spreadsheetml/2006/main" count="3195" uniqueCount="34">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</sst>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1.9930000000000001</c:v>
                </c:pt>
                <c:pt idx="1">
                  <c:v>1.994</c:v>
                </c:pt>
                <c:pt idx="2">
                  <c:v>2.0110000000000001</c:v>
                </c:pt>
                <c:pt idx="3">
                  <c:v>2.0150000000000001</c:v>
                </c:pt>
                <c:pt idx="4">
                  <c:v>2.0609999999999999</c:v>
                </c:pt>
                <c:pt idx="5">
                  <c:v>2.0409999999999999</c:v>
                </c:pt>
                <c:pt idx="6">
                  <c:v>2.0880000000000001</c:v>
                </c:pt>
                <c:pt idx="7">
                  <c:v>2.1179999999999999</c:v>
                </c:pt>
                <c:pt idx="8">
                  <c:v>2.137</c:v>
                </c:pt>
                <c:pt idx="9">
                  <c:v>2.1890000000000001</c:v>
                </c:pt>
                <c:pt idx="10">
                  <c:v>2.161</c:v>
                </c:pt>
                <c:pt idx="11">
                  <c:v>2.1779999999999999</c:v>
                </c:pt>
                <c:pt idx="12">
                  <c:v>2.1880000000000002</c:v>
                </c:pt>
                <c:pt idx="13">
                  <c:v>2.1920000000000002</c:v>
                </c:pt>
                <c:pt idx="14">
                  <c:v>2.169</c:v>
                </c:pt>
                <c:pt idx="15">
                  <c:v>2.165</c:v>
                </c:pt>
                <c:pt idx="16">
                  <c:v>2.15</c:v>
                </c:pt>
                <c:pt idx="17">
                  <c:v>2.1389999999999998</c:v>
                </c:pt>
                <c:pt idx="18">
                  <c:v>2.1309999999999998</c:v>
                </c:pt>
                <c:pt idx="19">
                  <c:v>2.13</c:v>
                </c:pt>
                <c:pt idx="20">
                  <c:v>2.121</c:v>
                </c:pt>
                <c:pt idx="21">
                  <c:v>2.218</c:v>
                </c:pt>
                <c:pt idx="22">
                  <c:v>2.2589999999999999</c:v>
                </c:pt>
                <c:pt idx="23">
                  <c:v>2.27</c:v>
                </c:pt>
                <c:pt idx="24">
                  <c:v>2.2759999999999998</c:v>
                </c:pt>
                <c:pt idx="25">
                  <c:v>2.3130000000000002</c:v>
                </c:pt>
                <c:pt idx="26">
                  <c:v>2.3290000000000002</c:v>
                </c:pt>
                <c:pt idx="27">
                  <c:v>2.2839999999999998</c:v>
                </c:pt>
                <c:pt idx="28">
                  <c:v>2.3370000000000002</c:v>
                </c:pt>
                <c:pt idx="29">
                  <c:v>2.3039999999999998</c:v>
                </c:pt>
                <c:pt idx="30">
                  <c:v>2.3540000000000001</c:v>
                </c:pt>
                <c:pt idx="31">
                  <c:v>2.3969999999999998</c:v>
                </c:pt>
                <c:pt idx="32">
                  <c:v>2.4089999999999998</c:v>
                </c:pt>
                <c:pt idx="33">
                  <c:v>2.3849999999999998</c:v>
                </c:pt>
                <c:pt idx="34">
                  <c:v>2.3820000000000001</c:v>
                </c:pt>
                <c:pt idx="35">
                  <c:v>2.4249999999999998</c:v>
                </c:pt>
                <c:pt idx="36">
                  <c:v>2.3809999999999998</c:v>
                </c:pt>
                <c:pt idx="37">
                  <c:v>2.3929999999999998</c:v>
                </c:pt>
                <c:pt idx="38">
                  <c:v>2.367</c:v>
                </c:pt>
                <c:pt idx="39">
                  <c:v>2.3380000000000001</c:v>
                </c:pt>
                <c:pt idx="40">
                  <c:v>2.3889999999999998</c:v>
                </c:pt>
                <c:pt idx="41">
                  <c:v>2.399</c:v>
                </c:pt>
                <c:pt idx="42">
                  <c:v>2.387</c:v>
                </c:pt>
                <c:pt idx="43">
                  <c:v>2.4089999999999998</c:v>
                </c:pt>
                <c:pt idx="44">
                  <c:v>2.3610000000000002</c:v>
                </c:pt>
                <c:pt idx="45">
                  <c:v>2.35</c:v>
                </c:pt>
                <c:pt idx="46">
                  <c:v>2.4409999999999998</c:v>
                </c:pt>
                <c:pt idx="47">
                  <c:v>2.4359999999999999</c:v>
                </c:pt>
                <c:pt idx="48">
                  <c:v>2.415</c:v>
                </c:pt>
                <c:pt idx="49">
                  <c:v>2.4300000000000002</c:v>
                </c:pt>
                <c:pt idx="50">
                  <c:v>2.4889999999999999</c:v>
                </c:pt>
                <c:pt idx="51">
                  <c:v>2.5089999999999999</c:v>
                </c:pt>
                <c:pt idx="52">
                  <c:v>2.5009999999999999</c:v>
                </c:pt>
                <c:pt idx="53">
                  <c:v>2.5409999999999999</c:v>
                </c:pt>
                <c:pt idx="54">
                  <c:v>2.6</c:v>
                </c:pt>
                <c:pt idx="55">
                  <c:v>2.7250000000000001</c:v>
                </c:pt>
                <c:pt idx="56">
                  <c:v>2.8330000000000002</c:v>
                </c:pt>
                <c:pt idx="57">
                  <c:v>2.879</c:v>
                </c:pt>
                <c:pt idx="58">
                  <c:v>2.859</c:v>
                </c:pt>
                <c:pt idx="59">
                  <c:v>2.8719999999999999</c:v>
                </c:pt>
                <c:pt idx="60">
                  <c:v>2.8530000000000002</c:v>
                </c:pt>
                <c:pt idx="61">
                  <c:v>2.8069999999999999</c:v>
                </c:pt>
                <c:pt idx="62">
                  <c:v>2.8559999999999999</c:v>
                </c:pt>
                <c:pt idx="63">
                  <c:v>2.87</c:v>
                </c:pt>
                <c:pt idx="64">
                  <c:v>2.601</c:v>
                </c:pt>
                <c:pt idx="65">
                  <c:v>2.6309999999999998</c:v>
                </c:pt>
                <c:pt idx="66">
                  <c:v>2.548</c:v>
                </c:pt>
                <c:pt idx="67">
                  <c:v>2.5720000000000001</c:v>
                </c:pt>
                <c:pt idx="68">
                  <c:v>2.7610000000000001</c:v>
                </c:pt>
                <c:pt idx="69">
                  <c:v>2.427</c:v>
                </c:pt>
                <c:pt idx="70">
                  <c:v>2.3260000000000001</c:v>
                </c:pt>
                <c:pt idx="71">
                  <c:v>2.2749999999999999</c:v>
                </c:pt>
                <c:pt idx="72">
                  <c:v>2.2029999999999998</c:v>
                </c:pt>
                <c:pt idx="73">
                  <c:v>2.1659999999999999</c:v>
                </c:pt>
                <c:pt idx="74">
                  <c:v>2.2109999999999999</c:v>
                </c:pt>
                <c:pt idx="75">
                  <c:v>2.2160000000000002</c:v>
                </c:pt>
                <c:pt idx="76">
                  <c:v>2.1459999999999999</c:v>
                </c:pt>
                <c:pt idx="77">
                  <c:v>2.181</c:v>
                </c:pt>
                <c:pt idx="78">
                  <c:v>2.1360000000000001</c:v>
                </c:pt>
                <c:pt idx="79">
                  <c:v>2.1960000000000002</c:v>
                </c:pt>
                <c:pt idx="80">
                  <c:v>2.1930000000000001</c:v>
                </c:pt>
                <c:pt idx="81">
                  <c:v>2.2210000000000001</c:v>
                </c:pt>
                <c:pt idx="82">
                  <c:v>2.2440000000000002</c:v>
                </c:pt>
                <c:pt idx="83">
                  <c:v>2.2589999999999999</c:v>
                </c:pt>
                <c:pt idx="84">
                  <c:v>2.2930000000000001</c:v>
                </c:pt>
                <c:pt idx="85">
                  <c:v>2.2829999999999999</c:v>
                </c:pt>
                <c:pt idx="86">
                  <c:v>2.3210000000000002</c:v>
                </c:pt>
                <c:pt idx="87">
                  <c:v>2.294</c:v>
                </c:pt>
                <c:pt idx="88">
                  <c:v>2.3290000000000002</c:v>
                </c:pt>
                <c:pt idx="89">
                  <c:v>2.4710000000000001</c:v>
                </c:pt>
                <c:pt idx="90">
                  <c:v>2.3210000000000002</c:v>
                </c:pt>
                <c:pt idx="91">
                  <c:v>2.0640000000000001</c:v>
                </c:pt>
                <c:pt idx="92">
                  <c:v>2.1219999999999999</c:v>
                </c:pt>
                <c:pt idx="93">
                  <c:v>1.9970000000000001</c:v>
                </c:pt>
                <c:pt idx="94">
                  <c:v>1.921</c:v>
                </c:pt>
                <c:pt idx="95">
                  <c:v>1.8460000000000001</c:v>
                </c:pt>
                <c:pt idx="96">
                  <c:v>1.843</c:v>
                </c:pt>
                <c:pt idx="97">
                  <c:v>1.7989999999999999</c:v>
                </c:pt>
                <c:pt idx="98">
                  <c:v>1.774</c:v>
                </c:pt>
                <c:pt idx="99">
                  <c:v>1.79</c:v>
                </c:pt>
                <c:pt idx="100">
                  <c:v>1.762</c:v>
                </c:pt>
                <c:pt idx="101">
                  <c:v>1.8149999999999999</c:v>
                </c:pt>
                <c:pt idx="102">
                  <c:v>1.712</c:v>
                </c:pt>
                <c:pt idx="103">
                  <c:v>1.7230000000000001</c:v>
                </c:pt>
                <c:pt idx="104">
                  <c:v>1.71</c:v>
                </c:pt>
                <c:pt idx="105">
                  <c:v>1.661</c:v>
                </c:pt>
                <c:pt idx="106">
                  <c:v>1.667</c:v>
                </c:pt>
                <c:pt idx="107">
                  <c:v>1.63</c:v>
                </c:pt>
                <c:pt idx="108">
                  <c:v>1.64</c:v>
                </c:pt>
                <c:pt idx="109">
                  <c:v>1.6479999999999999</c:v>
                </c:pt>
                <c:pt idx="110">
                  <c:v>1.665</c:v>
                </c:pt>
                <c:pt idx="111">
                  <c:v>1.641</c:v>
                </c:pt>
                <c:pt idx="112">
                  <c:v>1.651</c:v>
                </c:pt>
                <c:pt idx="113">
                  <c:v>1.657</c:v>
                </c:pt>
                <c:pt idx="114">
                  <c:v>1.69</c:v>
                </c:pt>
                <c:pt idx="115">
                  <c:v>1.6890000000000001</c:v>
                </c:pt>
                <c:pt idx="116">
                  <c:v>1.6220000000000001</c:v>
                </c:pt>
                <c:pt idx="117">
                  <c:v>1.613</c:v>
                </c:pt>
                <c:pt idx="118">
                  <c:v>1.625</c:v>
                </c:pt>
                <c:pt idx="119">
                  <c:v>1.58</c:v>
                </c:pt>
                <c:pt idx="120">
                  <c:v>1.5660000000000001</c:v>
                </c:pt>
                <c:pt idx="121">
                  <c:v>1.5649999999999999</c:v>
                </c:pt>
                <c:pt idx="122">
                  <c:v>1.569</c:v>
                </c:pt>
                <c:pt idx="123">
                  <c:v>1.595</c:v>
                </c:pt>
                <c:pt idx="124">
                  <c:v>1.575</c:v>
                </c:pt>
                <c:pt idx="125">
                  <c:v>1.607</c:v>
                </c:pt>
                <c:pt idx="126">
                  <c:v>1.655</c:v>
                </c:pt>
                <c:pt idx="127">
                  <c:v>1.6559999999999999</c:v>
                </c:pt>
                <c:pt idx="128">
                  <c:v>1.6259999999999999</c:v>
                </c:pt>
                <c:pt idx="129">
                  <c:v>1.659</c:v>
                </c:pt>
                <c:pt idx="130">
                  <c:v>1.675</c:v>
                </c:pt>
                <c:pt idx="131">
                  <c:v>1.72</c:v>
                </c:pt>
                <c:pt idx="132">
                  <c:v>1.7330000000000001</c:v>
                </c:pt>
                <c:pt idx="133">
                  <c:v>1.7350000000000001</c:v>
                </c:pt>
                <c:pt idx="134">
                  <c:v>1.732</c:v>
                </c:pt>
                <c:pt idx="135">
                  <c:v>1.71</c:v>
                </c:pt>
                <c:pt idx="136">
                  <c:v>1.7030000000000001</c:v>
                </c:pt>
                <c:pt idx="137">
                  <c:v>1.74</c:v>
                </c:pt>
                <c:pt idx="138">
                  <c:v>1.714</c:v>
                </c:pt>
                <c:pt idx="139">
                  <c:v>1.7210000000000001</c:v>
                </c:pt>
                <c:pt idx="140">
                  <c:v>1.7430000000000001</c:v>
                </c:pt>
                <c:pt idx="141">
                  <c:v>1.7290000000000001</c:v>
                </c:pt>
                <c:pt idx="142">
                  <c:v>1.766</c:v>
                </c:pt>
                <c:pt idx="143">
                  <c:v>1.8779999999999999</c:v>
                </c:pt>
                <c:pt idx="144">
                  <c:v>1.8520000000000001</c:v>
                </c:pt>
                <c:pt idx="145">
                  <c:v>1.8919999999999999</c:v>
                </c:pt>
                <c:pt idx="146">
                  <c:v>1.841</c:v>
                </c:pt>
                <c:pt idx="147">
                  <c:v>1.863</c:v>
                </c:pt>
                <c:pt idx="148">
                  <c:v>1.899</c:v>
                </c:pt>
                <c:pt idx="149">
                  <c:v>1.91</c:v>
                </c:pt>
                <c:pt idx="150">
                  <c:v>1.96</c:v>
                </c:pt>
                <c:pt idx="151">
                  <c:v>1.976</c:v>
                </c:pt>
                <c:pt idx="152">
                  <c:v>2.0009999999999999</c:v>
                </c:pt>
                <c:pt idx="153">
                  <c:v>2.0569999999999999</c:v>
                </c:pt>
                <c:pt idx="154">
                  <c:v>2.0819999999999999</c:v>
                </c:pt>
                <c:pt idx="155">
                  <c:v>2.0030000000000001</c:v>
                </c:pt>
                <c:pt idx="156">
                  <c:v>2.0150000000000001</c:v>
                </c:pt>
                <c:pt idx="157">
                  <c:v>2.093</c:v>
                </c:pt>
                <c:pt idx="158">
                  <c:v>2.0840000000000001</c:v>
                </c:pt>
                <c:pt idx="159">
                  <c:v>2.0960000000000001</c:v>
                </c:pt>
                <c:pt idx="160">
                  <c:v>2.15</c:v>
                </c:pt>
                <c:pt idx="161">
                  <c:v>2.2698999999999998</c:v>
                </c:pt>
                <c:pt idx="162">
                  <c:v>1.9904999999999999</c:v>
                </c:pt>
                <c:pt idx="163">
                  <c:v>2.0743999999999998</c:v>
                </c:pt>
                <c:pt idx="164">
                  <c:v>2.1002000000000001</c:v>
                </c:pt>
                <c:pt idx="165">
                  <c:v>2.1591999999999998</c:v>
                </c:pt>
                <c:pt idx="166">
                  <c:v>2.1978</c:v>
                </c:pt>
                <c:pt idx="167">
                  <c:v>2.1798000000000002</c:v>
                </c:pt>
                <c:pt idx="168">
                  <c:v>1.8907</c:v>
                </c:pt>
                <c:pt idx="169">
                  <c:v>1.8220000000000001</c:v>
                </c:pt>
                <c:pt idx="170">
                  <c:v>1.8355999999999999</c:v>
                </c:pt>
                <c:pt idx="171">
                  <c:v>1.7845</c:v>
                </c:pt>
                <c:pt idx="172">
                  <c:v>1.7565999999999999</c:v>
                </c:pt>
                <c:pt idx="173">
                  <c:v>1.8191999999999999</c:v>
                </c:pt>
                <c:pt idx="174">
                  <c:v>1.8577999999999999</c:v>
                </c:pt>
                <c:pt idx="175">
                  <c:v>1.9026000000000001</c:v>
                </c:pt>
                <c:pt idx="176">
                  <c:v>1.9594</c:v>
                </c:pt>
                <c:pt idx="177">
                  <c:v>1.8915999999999999</c:v>
                </c:pt>
                <c:pt idx="178">
                  <c:v>1.9351</c:v>
                </c:pt>
                <c:pt idx="179">
                  <c:v>1.7170000000000001</c:v>
                </c:pt>
                <c:pt idx="180">
                  <c:v>1.6043000000000001</c:v>
                </c:pt>
                <c:pt idx="181">
                  <c:v>1.5971</c:v>
                </c:pt>
                <c:pt idx="182">
                  <c:v>1.6420999999999999</c:v>
                </c:pt>
                <c:pt idx="183">
                  <c:v>1.7717000000000001</c:v>
                </c:pt>
                <c:pt idx="184">
                  <c:v>1.7799</c:v>
                </c:pt>
                <c:pt idx="185">
                  <c:v>1.4524999999999999</c:v>
                </c:pt>
                <c:pt idx="186">
                  <c:v>1.3580000000000001</c:v>
                </c:pt>
                <c:pt idx="187">
                  <c:v>1.1748000000000001</c:v>
                </c:pt>
                <c:pt idx="188">
                  <c:v>1.1217999999999999</c:v>
                </c:pt>
                <c:pt idx="189">
                  <c:v>1.1032999999999999</c:v>
                </c:pt>
                <c:pt idx="190">
                  <c:v>1.0965</c:v>
                </c:pt>
                <c:pt idx="191">
                  <c:v>1.0683</c:v>
                </c:pt>
                <c:pt idx="192">
                  <c:v>1.0925</c:v>
                </c:pt>
                <c:pt idx="193">
                  <c:v>1.1243000000000001</c:v>
                </c:pt>
                <c:pt idx="194">
                  <c:v>1.1000000000000001</c:v>
                </c:pt>
                <c:pt idx="195">
                  <c:v>1.1141000000000001</c:v>
                </c:pt>
                <c:pt idx="196">
                  <c:v>1.1613</c:v>
                </c:pt>
                <c:pt idx="197">
                  <c:v>1.0411999999999999</c:v>
                </c:pt>
                <c:pt idx="198">
                  <c:v>1.0396000000000001</c:v>
                </c:pt>
                <c:pt idx="199">
                  <c:v>1.0085999999999999</c:v>
                </c:pt>
                <c:pt idx="200">
                  <c:v>1.0345</c:v>
                </c:pt>
                <c:pt idx="201">
                  <c:v>1.0317000000000001</c:v>
                </c:pt>
                <c:pt idx="202">
                  <c:v>1.0197000000000001</c:v>
                </c:pt>
                <c:pt idx="203">
                  <c:v>1.0118</c:v>
                </c:pt>
                <c:pt idx="204">
                  <c:v>1.0346</c:v>
                </c:pt>
                <c:pt idx="205">
                  <c:v>0.99560000000000004</c:v>
                </c:pt>
                <c:pt idx="206">
                  <c:v>0.96719999999999995</c:v>
                </c:pt>
                <c:pt idx="207">
                  <c:v>0.98019999999999996</c:v>
                </c:pt>
                <c:pt idx="208">
                  <c:v>0.96750000000000003</c:v>
                </c:pt>
                <c:pt idx="209">
                  <c:v>0.98350000000000004</c:v>
                </c:pt>
                <c:pt idx="210">
                  <c:v>0.97189999999999999</c:v>
                </c:pt>
                <c:pt idx="211">
                  <c:v>0.9738</c:v>
                </c:pt>
                <c:pt idx="212">
                  <c:v>0.95920000000000005</c:v>
                </c:pt>
                <c:pt idx="213">
                  <c:v>0.95240000000000002</c:v>
                </c:pt>
                <c:pt idx="214">
                  <c:v>0.95679999999999998</c:v>
                </c:pt>
                <c:pt idx="215">
                  <c:v>0.95760000000000001</c:v>
                </c:pt>
                <c:pt idx="216">
                  <c:v>0.94969999999999999</c:v>
                </c:pt>
                <c:pt idx="217">
                  <c:v>0.97150000000000003</c:v>
                </c:pt>
                <c:pt idx="218">
                  <c:v>0.99329999999999996</c:v>
                </c:pt>
                <c:pt idx="219">
                  <c:v>0.9425</c:v>
                </c:pt>
                <c:pt idx="220">
                  <c:v>0.96599999999999997</c:v>
                </c:pt>
                <c:pt idx="221">
                  <c:v>1.0324</c:v>
                </c:pt>
                <c:pt idx="222">
                  <c:v>1.0284</c:v>
                </c:pt>
                <c:pt idx="223">
                  <c:v>1.0325</c:v>
                </c:pt>
                <c:pt idx="224">
                  <c:v>1.0470999999999999</c:v>
                </c:pt>
                <c:pt idx="225">
                  <c:v>1.0456000000000001</c:v>
                </c:pt>
                <c:pt idx="226">
                  <c:v>1.0616000000000001</c:v>
                </c:pt>
                <c:pt idx="227">
                  <c:v>1.0626</c:v>
                </c:pt>
                <c:pt idx="228">
                  <c:v>1.0415000000000001</c:v>
                </c:pt>
                <c:pt idx="229">
                  <c:v>1.0462</c:v>
                </c:pt>
                <c:pt idx="230">
                  <c:v>1.0611999999999999</c:v>
                </c:pt>
                <c:pt idx="231">
                  <c:v>1.0310999999999999</c:v>
                </c:pt>
                <c:pt idx="232">
                  <c:v>1.05</c:v>
                </c:pt>
                <c:pt idx="233">
                  <c:v>1.0227999999999999</c:v>
                </c:pt>
                <c:pt idx="234">
                  <c:v>1.0288999999999999</c:v>
                </c:pt>
                <c:pt idx="235">
                  <c:v>1.0468999999999999</c:v>
                </c:pt>
                <c:pt idx="236">
                  <c:v>1.044</c:v>
                </c:pt>
                <c:pt idx="237">
                  <c:v>1.0629</c:v>
                </c:pt>
                <c:pt idx="238">
                  <c:v>1.0722</c:v>
                </c:pt>
                <c:pt idx="239">
                  <c:v>1.0670999999999999</c:v>
                </c:pt>
                <c:pt idx="240">
                  <c:v>1.0642</c:v>
                </c:pt>
                <c:pt idx="241">
                  <c:v>1.0943000000000001</c:v>
                </c:pt>
                <c:pt idx="242">
                  <c:v>1.0764</c:v>
                </c:pt>
                <c:pt idx="243">
                  <c:v>1.0760000000000001</c:v>
                </c:pt>
                <c:pt idx="244">
                  <c:v>1.1040000000000001</c:v>
                </c:pt>
                <c:pt idx="245">
                  <c:v>1.1535</c:v>
                </c:pt>
                <c:pt idx="246">
                  <c:v>1.1279999999999999</c:v>
                </c:pt>
                <c:pt idx="247">
                  <c:v>1.0722</c:v>
                </c:pt>
                <c:pt idx="248">
                  <c:v>1.075</c:v>
                </c:pt>
                <c:pt idx="249">
                  <c:v>1.04</c:v>
                </c:pt>
                <c:pt idx="250">
                  <c:v>1.0880000000000001</c:v>
                </c:pt>
                <c:pt idx="251">
                  <c:v>1.1407</c:v>
                </c:pt>
                <c:pt idx="252">
                  <c:v>1.2069000000000001</c:v>
                </c:pt>
                <c:pt idx="253">
                  <c:v>1.175</c:v>
                </c:pt>
                <c:pt idx="254">
                  <c:v>1.3366</c:v>
                </c:pt>
                <c:pt idx="255">
                  <c:v>1.3231999999999999</c:v>
                </c:pt>
                <c:pt idx="256">
                  <c:v>1.3412999999999999</c:v>
                </c:pt>
                <c:pt idx="257">
                  <c:v>1.323</c:v>
                </c:pt>
                <c:pt idx="258">
                  <c:v>1.3593999999999999</c:v>
                </c:pt>
                <c:pt idx="259">
                  <c:v>1.2814000000000001</c:v>
                </c:pt>
                <c:pt idx="260">
                  <c:v>1.3788</c:v>
                </c:pt>
                <c:pt idx="261">
                  <c:v>1.3829</c:v>
                </c:pt>
                <c:pt idx="262">
                  <c:v>1.3805000000000001</c:v>
                </c:pt>
                <c:pt idx="263">
                  <c:v>1.4469000000000001</c:v>
                </c:pt>
                <c:pt idx="264">
                  <c:v>1.5196000000000001</c:v>
                </c:pt>
                <c:pt idx="265">
                  <c:v>1.4454</c:v>
                </c:pt>
                <c:pt idx="266">
                  <c:v>1.4702999999999999</c:v>
                </c:pt>
                <c:pt idx="267">
                  <c:v>1.5673999999999999</c:v>
                </c:pt>
                <c:pt idx="268">
                  <c:v>1.6065</c:v>
                </c:pt>
                <c:pt idx="269">
                  <c:v>1.7442</c:v>
                </c:pt>
                <c:pt idx="270">
                  <c:v>1.5375000000000001</c:v>
                </c:pt>
                <c:pt idx="271">
                  <c:v>1.3738999999999999</c:v>
                </c:pt>
                <c:pt idx="272">
                  <c:v>1.4152</c:v>
                </c:pt>
                <c:pt idx="273">
                  <c:v>1.3903000000000001</c:v>
                </c:pt>
                <c:pt idx="274">
                  <c:v>1.3448</c:v>
                </c:pt>
                <c:pt idx="275">
                  <c:v>1.1521999999999999</c:v>
                </c:pt>
                <c:pt idx="276">
                  <c:v>1.0683</c:v>
                </c:pt>
                <c:pt idx="277">
                  <c:v>1.0357000000000001</c:v>
                </c:pt>
                <c:pt idx="278">
                  <c:v>1.0278</c:v>
                </c:pt>
                <c:pt idx="279">
                  <c:v>1.0437000000000001</c:v>
                </c:pt>
                <c:pt idx="280">
                  <c:v>1.0721000000000001</c:v>
                </c:pt>
                <c:pt idx="281">
                  <c:v>1.0839000000000001</c:v>
                </c:pt>
                <c:pt idx="282">
                  <c:v>1.1218999999999999</c:v>
                </c:pt>
                <c:pt idx="283">
                  <c:v>1.0947</c:v>
                </c:pt>
                <c:pt idx="284">
                  <c:v>1.1100000000000001</c:v>
                </c:pt>
                <c:pt idx="285">
                  <c:v>1.1719999999999999</c:v>
                </c:pt>
                <c:pt idx="286">
                  <c:v>1.1720999999999999</c:v>
                </c:pt>
                <c:pt idx="287">
                  <c:v>1.2185999999999999</c:v>
                </c:pt>
                <c:pt idx="288">
                  <c:v>1.1779999999999999</c:v>
                </c:pt>
                <c:pt idx="289">
                  <c:v>1.1922999999999999</c:v>
                </c:pt>
                <c:pt idx="290">
                  <c:v>1.2156</c:v>
                </c:pt>
                <c:pt idx="291">
                  <c:v>1.2585</c:v>
                </c:pt>
                <c:pt idx="292">
                  <c:v>1.2051000000000001</c:v>
                </c:pt>
                <c:pt idx="293">
                  <c:v>1.2108000000000001</c:v>
                </c:pt>
                <c:pt idx="294">
                  <c:v>1.2230000000000001</c:v>
                </c:pt>
                <c:pt idx="295">
                  <c:v>1.2098</c:v>
                </c:pt>
                <c:pt idx="296">
                  <c:v>1.2567999999999999</c:v>
                </c:pt>
                <c:pt idx="297">
                  <c:v>1.3079000000000001</c:v>
                </c:pt>
                <c:pt idx="298">
                  <c:v>1.3472</c:v>
                </c:pt>
                <c:pt idx="299">
                  <c:v>1.2949999999999999</c:v>
                </c:pt>
                <c:pt idx="300">
                  <c:v>1.3588</c:v>
                </c:pt>
                <c:pt idx="301">
                  <c:v>1.3806</c:v>
                </c:pt>
                <c:pt idx="302">
                  <c:v>1.4056999999999999</c:v>
                </c:pt>
                <c:pt idx="303">
                  <c:v>1.4598</c:v>
                </c:pt>
                <c:pt idx="304">
                  <c:v>1.4246000000000001</c:v>
                </c:pt>
                <c:pt idx="305">
                  <c:v>1.43</c:v>
                </c:pt>
                <c:pt idx="306">
                  <c:v>1.3902000000000001</c:v>
                </c:pt>
                <c:pt idx="307">
                  <c:v>1.3691</c:v>
                </c:pt>
                <c:pt idx="308">
                  <c:v>1.363</c:v>
                </c:pt>
                <c:pt idx="309">
                  <c:v>1.4044000000000001</c:v>
                </c:pt>
                <c:pt idx="310">
                  <c:v>1.4080999999999999</c:v>
                </c:pt>
                <c:pt idx="311">
                  <c:v>1.4319999999999999</c:v>
                </c:pt>
                <c:pt idx="312">
                  <c:v>1.4639</c:v>
                </c:pt>
                <c:pt idx="313">
                  <c:v>1.5076000000000001</c:v>
                </c:pt>
                <c:pt idx="314">
                  <c:v>1.5224</c:v>
                </c:pt>
                <c:pt idx="315">
                  <c:v>1.5399</c:v>
                </c:pt>
                <c:pt idx="316">
                  <c:v>1.56</c:v>
                </c:pt>
                <c:pt idx="317">
                  <c:v>1.5936999999999999</c:v>
                </c:pt>
                <c:pt idx="318">
                  <c:v>1.6398999999999999</c:v>
                </c:pt>
                <c:pt idx="319">
                  <c:v>1.7411000000000001</c:v>
                </c:pt>
                <c:pt idx="320">
                  <c:v>1.5787</c:v>
                </c:pt>
                <c:pt idx="321">
                  <c:v>1.4358</c:v>
                </c:pt>
                <c:pt idx="322">
                  <c:v>1.3702000000000001</c:v>
                </c:pt>
                <c:pt idx="323">
                  <c:v>1.403</c:v>
                </c:pt>
                <c:pt idx="324">
                  <c:v>1.4762999999999999</c:v>
                </c:pt>
                <c:pt idx="325">
                  <c:v>1.425</c:v>
                </c:pt>
                <c:pt idx="326">
                  <c:v>1.43</c:v>
                </c:pt>
                <c:pt idx="327">
                  <c:v>1.4598</c:v>
                </c:pt>
                <c:pt idx="328">
                  <c:v>1.5726</c:v>
                </c:pt>
                <c:pt idx="329">
                  <c:v>1.6298999999999999</c:v>
                </c:pt>
                <c:pt idx="330">
                  <c:v>1.6093999999999999</c:v>
                </c:pt>
                <c:pt idx="331">
                  <c:v>1.6332</c:v>
                </c:pt>
                <c:pt idx="332">
                  <c:v>1.5669</c:v>
                </c:pt>
                <c:pt idx="333">
                  <c:v>1.4280999999999999</c:v>
                </c:pt>
                <c:pt idx="334">
                  <c:v>1.4401999999999999</c:v>
                </c:pt>
                <c:pt idx="335">
                  <c:v>1.4449000000000001</c:v>
                </c:pt>
                <c:pt idx="336">
                  <c:v>1.4106000000000001</c:v>
                </c:pt>
                <c:pt idx="337">
                  <c:v>1.3701000000000001</c:v>
                </c:pt>
                <c:pt idx="338">
                  <c:v>1.2044999999999999</c:v>
                </c:pt>
                <c:pt idx="339">
                  <c:v>1.2636000000000001</c:v>
                </c:pt>
                <c:pt idx="340">
                  <c:v>1.302</c:v>
                </c:pt>
                <c:pt idx="341">
                  <c:v>1.278</c:v>
                </c:pt>
                <c:pt idx="342">
                  <c:v>1.2192000000000001</c:v>
                </c:pt>
                <c:pt idx="343">
                  <c:v>1.2472000000000001</c:v>
                </c:pt>
                <c:pt idx="344">
                  <c:v>1.1866000000000001</c:v>
                </c:pt>
                <c:pt idx="345">
                  <c:v>1.2</c:v>
                </c:pt>
                <c:pt idx="346">
                  <c:v>1.1698999999999999</c:v>
                </c:pt>
                <c:pt idx="347">
                  <c:v>1.2470000000000001</c:v>
                </c:pt>
                <c:pt idx="348">
                  <c:v>1.0648</c:v>
                </c:pt>
                <c:pt idx="349">
                  <c:v>0.94269999999999998</c:v>
                </c:pt>
                <c:pt idx="350">
                  <c:v>0.90310000000000001</c:v>
                </c:pt>
                <c:pt idx="351">
                  <c:v>0.8367</c:v>
                </c:pt>
                <c:pt idx="352">
                  <c:v>0.82489999999999997</c:v>
                </c:pt>
                <c:pt idx="353">
                  <c:v>0.80800000000000005</c:v>
                </c:pt>
                <c:pt idx="354">
                  <c:v>0.81679999999999997</c:v>
                </c:pt>
                <c:pt idx="355">
                  <c:v>0.75180000000000002</c:v>
                </c:pt>
                <c:pt idx="356">
                  <c:v>0.74760000000000004</c:v>
                </c:pt>
                <c:pt idx="357">
                  <c:v>0.70069999999999999</c:v>
                </c:pt>
                <c:pt idx="358">
                  <c:v>0.67059999999999997</c:v>
                </c:pt>
                <c:pt idx="359">
                  <c:v>0.66149999999999998</c:v>
                </c:pt>
                <c:pt idx="360">
                  <c:v>0.67520000000000002</c:v>
                </c:pt>
                <c:pt idx="361">
                  <c:v>0.67249999999999999</c:v>
                </c:pt>
                <c:pt idx="362">
                  <c:v>0.68379999999999996</c:v>
                </c:pt>
                <c:pt idx="363">
                  <c:v>0.69</c:v>
                </c:pt>
                <c:pt idx="364">
                  <c:v>0.69099999999999995</c:v>
                </c:pt>
                <c:pt idx="365">
                  <c:v>0.62339999999999995</c:v>
                </c:pt>
                <c:pt idx="366">
                  <c:v>0.6159</c:v>
                </c:pt>
                <c:pt idx="367">
                  <c:v>0.58509999999999995</c:v>
                </c:pt>
                <c:pt idx="368">
                  <c:v>0.58440000000000003</c:v>
                </c:pt>
                <c:pt idx="369">
                  <c:v>0.58989999999999998</c:v>
                </c:pt>
                <c:pt idx="370">
                  <c:v>0.56859999999999999</c:v>
                </c:pt>
                <c:pt idx="371">
                  <c:v>0.54959999999999998</c:v>
                </c:pt>
                <c:pt idx="372">
                  <c:v>0.55979999999999996</c:v>
                </c:pt>
                <c:pt idx="373">
                  <c:v>0.53169999999999995</c:v>
                </c:pt>
                <c:pt idx="374">
                  <c:v>0.54139999999999999</c:v>
                </c:pt>
                <c:pt idx="375">
                  <c:v>0.53010000000000002</c:v>
                </c:pt>
                <c:pt idx="376">
                  <c:v>0.5464</c:v>
                </c:pt>
                <c:pt idx="377">
                  <c:v>0.52270000000000005</c:v>
                </c:pt>
                <c:pt idx="378">
                  <c:v>0.52980000000000005</c:v>
                </c:pt>
                <c:pt idx="379">
                  <c:v>0.52849999999999997</c:v>
                </c:pt>
                <c:pt idx="380">
                  <c:v>0.51729999999999998</c:v>
                </c:pt>
                <c:pt idx="381">
                  <c:v>0.52529999999999999</c:v>
                </c:pt>
                <c:pt idx="382">
                  <c:v>0.53459999999999996</c:v>
                </c:pt>
                <c:pt idx="383">
                  <c:v>0.55359999999999998</c:v>
                </c:pt>
                <c:pt idx="384">
                  <c:v>0.53059999999999996</c:v>
                </c:pt>
                <c:pt idx="385">
                  <c:v>0.53</c:v>
                </c:pt>
                <c:pt idx="386">
                  <c:v>0.54590000000000005</c:v>
                </c:pt>
                <c:pt idx="387">
                  <c:v>0.55889999999999995</c:v>
                </c:pt>
                <c:pt idx="388">
                  <c:v>0.57250000000000001</c:v>
                </c:pt>
                <c:pt idx="389">
                  <c:v>0.5806</c:v>
                </c:pt>
                <c:pt idx="390">
                  <c:v>0.61160000000000003</c:v>
                </c:pt>
                <c:pt idx="391">
                  <c:v>0.57750000000000001</c:v>
                </c:pt>
                <c:pt idx="392">
                  <c:v>0.57399999999999995</c:v>
                </c:pt>
                <c:pt idx="393">
                  <c:v>0.57750000000000001</c:v>
                </c:pt>
                <c:pt idx="394">
                  <c:v>0.59060000000000001</c:v>
                </c:pt>
                <c:pt idx="395">
                  <c:v>0.59</c:v>
                </c:pt>
                <c:pt idx="396">
                  <c:v>0.59519999999999995</c:v>
                </c:pt>
                <c:pt idx="397">
                  <c:v>0.59299999999999997</c:v>
                </c:pt>
                <c:pt idx="398">
                  <c:v>0.62719999999999998</c:v>
                </c:pt>
                <c:pt idx="399">
                  <c:v>0.63419999999999999</c:v>
                </c:pt>
                <c:pt idx="400">
                  <c:v>0.58830000000000005</c:v>
                </c:pt>
                <c:pt idx="401">
                  <c:v>0.622</c:v>
                </c:pt>
                <c:pt idx="402">
                  <c:v>0.60450000000000004</c:v>
                </c:pt>
                <c:pt idx="403">
                  <c:v>0.62</c:v>
                </c:pt>
                <c:pt idx="404">
                  <c:v>0.6381</c:v>
                </c:pt>
                <c:pt idx="405">
                  <c:v>0.63</c:v>
                </c:pt>
                <c:pt idx="406">
                  <c:v>0.64780000000000004</c:v>
                </c:pt>
                <c:pt idx="407">
                  <c:v>0.66010000000000002</c:v>
                </c:pt>
                <c:pt idx="408">
                  <c:v>0.67490000000000006</c:v>
                </c:pt>
                <c:pt idx="409">
                  <c:v>0.69889999999999997</c:v>
                </c:pt>
                <c:pt idx="410">
                  <c:v>0.71589999999999998</c:v>
                </c:pt>
                <c:pt idx="411">
                  <c:v>0.66749999999999998</c:v>
                </c:pt>
                <c:pt idx="412">
                  <c:v>0.61899999999999999</c:v>
                </c:pt>
                <c:pt idx="413">
                  <c:v>0.62990000000000002</c:v>
                </c:pt>
                <c:pt idx="414">
                  <c:v>0.62990000000000002</c:v>
                </c:pt>
                <c:pt idx="415">
                  <c:v>0.62029999999999996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C0-40CF-AE97-5A0362861F3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-1.3525740584003816</c:v>
                </c:pt>
                <c:pt idx="1">
                  <c:v>-1.3524174878003814</c:v>
                </c:pt>
                <c:pt idx="2">
                  <c:v>-1.3470614996624506</c:v>
                </c:pt>
                <c:pt idx="3">
                  <c:v>-1.3493280377705588</c:v>
                </c:pt>
                <c:pt idx="4">
                  <c:v>-1.3444531180668549</c:v>
                </c:pt>
                <c:pt idx="5">
                  <c:v>-1.345154865284246</c:v>
                </c:pt>
                <c:pt idx="6">
                  <c:v>-1.3056293084163828</c:v>
                </c:pt>
                <c:pt idx="7">
                  <c:v>-1.299957975056383</c:v>
                </c:pt>
                <c:pt idx="8">
                  <c:v>-1.298875234256383</c:v>
                </c:pt>
                <c:pt idx="9">
                  <c:v>-1.295496507024499</c:v>
                </c:pt>
                <c:pt idx="10">
                  <c:v>-1.295822357836999</c:v>
                </c:pt>
                <c:pt idx="11">
                  <c:v>-1.2969962552605283</c:v>
                </c:pt>
                <c:pt idx="12">
                  <c:v>-1.2960686200224332</c:v>
                </c:pt>
                <c:pt idx="13">
                  <c:v>-1.2939348319846975</c:v>
                </c:pt>
                <c:pt idx="14">
                  <c:v>-1.2945890176989834</c:v>
                </c:pt>
                <c:pt idx="15">
                  <c:v>-1.2925857249789834</c:v>
                </c:pt>
                <c:pt idx="16">
                  <c:v>-1.2948201332574643</c:v>
                </c:pt>
                <c:pt idx="17">
                  <c:v>-1.2954617327812739</c:v>
                </c:pt>
                <c:pt idx="18">
                  <c:v>-1.2966614515505046</c:v>
                </c:pt>
                <c:pt idx="19">
                  <c:v>-1.2956935768058238</c:v>
                </c:pt>
                <c:pt idx="20">
                  <c:v>-1.294314067750268</c:v>
                </c:pt>
                <c:pt idx="21">
                  <c:v>-1.2834272040128945</c:v>
                </c:pt>
                <c:pt idx="22">
                  <c:v>-1.2774464573622919</c:v>
                </c:pt>
                <c:pt idx="23">
                  <c:v>-1.2749886974000277</c:v>
                </c:pt>
                <c:pt idx="24">
                  <c:v>-1.2734673602261146</c:v>
                </c:pt>
                <c:pt idx="25">
                  <c:v>-1.2723904058390179</c:v>
                </c:pt>
                <c:pt idx="26">
                  <c:v>-1.2707624969818752</c:v>
                </c:pt>
                <c:pt idx="27">
                  <c:v>-1.2724202424218751</c:v>
                </c:pt>
                <c:pt idx="28">
                  <c:v>-1.2663161188461176</c:v>
                </c:pt>
                <c:pt idx="29">
                  <c:v>-1.2691532796461173</c:v>
                </c:pt>
                <c:pt idx="30">
                  <c:v>-1.2636264740809002</c:v>
                </c:pt>
                <c:pt idx="31">
                  <c:v>-1.2547895761598475</c:v>
                </c:pt>
                <c:pt idx="32">
                  <c:v>-1.2533135915598472</c:v>
                </c:pt>
                <c:pt idx="33">
                  <c:v>-1.256259695337625</c:v>
                </c:pt>
                <c:pt idx="34">
                  <c:v>-1.2579415105481513</c:v>
                </c:pt>
                <c:pt idx="35">
                  <c:v>-1.2495011161397007</c:v>
                </c:pt>
                <c:pt idx="36">
                  <c:v>-1.2548980089397006</c:v>
                </c:pt>
                <c:pt idx="37">
                  <c:v>-1.2537023706063672</c:v>
                </c:pt>
                <c:pt idx="38">
                  <c:v>-1.2553045326959194</c:v>
                </c:pt>
                <c:pt idx="39">
                  <c:v>-1.2556697953959193</c:v>
                </c:pt>
                <c:pt idx="40">
                  <c:v>-1.249753677342156</c:v>
                </c:pt>
                <c:pt idx="41">
                  <c:v>-1.2471224858494021</c:v>
                </c:pt>
                <c:pt idx="42">
                  <c:v>-1.2518652865636879</c:v>
                </c:pt>
                <c:pt idx="43">
                  <c:v>-1.2503813848970213</c:v>
                </c:pt>
                <c:pt idx="44">
                  <c:v>-1.2576008818970212</c:v>
                </c:pt>
                <c:pt idx="45">
                  <c:v>-1.2589235975991488</c:v>
                </c:pt>
                <c:pt idx="46">
                  <c:v>-1.2449257976962362</c:v>
                </c:pt>
                <c:pt idx="47">
                  <c:v>-1.2458266432725071</c:v>
                </c:pt>
                <c:pt idx="48">
                  <c:v>-1.246195482430402</c:v>
                </c:pt>
                <c:pt idx="49">
                  <c:v>-1.2417932596611714</c:v>
                </c:pt>
                <c:pt idx="50">
                  <c:v>-1.2325302200040285</c:v>
                </c:pt>
                <c:pt idx="51">
                  <c:v>-1.2245043923588674</c:v>
                </c:pt>
                <c:pt idx="52">
                  <c:v>-1.2192717648088671</c:v>
                </c:pt>
                <c:pt idx="53">
                  <c:v>-1.2129238521231527</c:v>
                </c:pt>
                <c:pt idx="54">
                  <c:v>-1.2042718351048043</c:v>
                </c:pt>
                <c:pt idx="55">
                  <c:v>-1.1993405208781376</c:v>
                </c:pt>
                <c:pt idx="56">
                  <c:v>-1.1894754332877759</c:v>
                </c:pt>
                <c:pt idx="57">
                  <c:v>-1.1704241829344826</c:v>
                </c:pt>
                <c:pt idx="58">
                  <c:v>-1.1729800100076533</c:v>
                </c:pt>
                <c:pt idx="59">
                  <c:v>-1.1623853516743201</c:v>
                </c:pt>
                <c:pt idx="60">
                  <c:v>-1.1772584289071968</c:v>
                </c:pt>
                <c:pt idx="61">
                  <c:v>-1.194591176497801</c:v>
                </c:pt>
                <c:pt idx="62">
                  <c:v>-1.1808927484920866</c:v>
                </c:pt>
                <c:pt idx="63">
                  <c:v>-1.1713904194802525</c:v>
                </c:pt>
                <c:pt idx="64">
                  <c:v>-1.0860396148261171</c:v>
                </c:pt>
                <c:pt idx="65">
                  <c:v>-1.0860396148261171</c:v>
                </c:pt>
                <c:pt idx="66">
                  <c:v>-1.0869017564832597</c:v>
                </c:pt>
                <c:pt idx="67">
                  <c:v>-1.0766756073923507</c:v>
                </c:pt>
                <c:pt idx="68">
                  <c:v>-1.01300467906918</c:v>
                </c:pt>
                <c:pt idx="69">
                  <c:v>-1.0763332207269745</c:v>
                </c:pt>
                <c:pt idx="70">
                  <c:v>-1.1039736801979425</c:v>
                </c:pt>
                <c:pt idx="71">
                  <c:v>-1.1052420913831276</c:v>
                </c:pt>
                <c:pt idx="72">
                  <c:v>-1.1168947630210586</c:v>
                </c:pt>
                <c:pt idx="73">
                  <c:v>-1.0670331801313913</c:v>
                </c:pt>
                <c:pt idx="74">
                  <c:v>-1.0614801829462059</c:v>
                </c:pt>
                <c:pt idx="75">
                  <c:v>-1.0601694920841371</c:v>
                </c:pt>
                <c:pt idx="76">
                  <c:v>-1.0719054662200596</c:v>
                </c:pt>
                <c:pt idx="77">
                  <c:v>-1.0653483149978373</c:v>
                </c:pt>
                <c:pt idx="78">
                  <c:v>-1.0658390199034979</c:v>
                </c:pt>
                <c:pt idx="79">
                  <c:v>-1.0562652680680549</c:v>
                </c:pt>
                <c:pt idx="80">
                  <c:v>-1.0546043294251977</c:v>
                </c:pt>
                <c:pt idx="81">
                  <c:v>-1.0470951713251977</c:v>
                </c:pt>
                <c:pt idx="82">
                  <c:v>-1.044043582226837</c:v>
                </c:pt>
                <c:pt idx="83">
                  <c:v>-1.0323539365601706</c:v>
                </c:pt>
                <c:pt idx="84">
                  <c:v>-1.0234900705601706</c:v>
                </c:pt>
                <c:pt idx="85">
                  <c:v>-1.024429855722607</c:v>
                </c:pt>
                <c:pt idx="86">
                  <c:v>-1.0241168361841455</c:v>
                </c:pt>
                <c:pt idx="87">
                  <c:v>-1.0243241911688783</c:v>
                </c:pt>
                <c:pt idx="88">
                  <c:v>-1.0003739036455139</c:v>
                </c:pt>
                <c:pt idx="89">
                  <c:v>-0.91408436147557937</c:v>
                </c:pt>
                <c:pt idx="90">
                  <c:v>-0.90580450845974836</c:v>
                </c:pt>
                <c:pt idx="91">
                  <c:v>-0.9587764714090441</c:v>
                </c:pt>
                <c:pt idx="92">
                  <c:v>-0.932872794138774</c:v>
                </c:pt>
                <c:pt idx="93">
                  <c:v>-0.93355116519398873</c:v>
                </c:pt>
                <c:pt idx="94">
                  <c:v>-0.95443919119398868</c:v>
                </c:pt>
                <c:pt idx="95">
                  <c:v>-0.95952465480223614</c:v>
                </c:pt>
                <c:pt idx="96">
                  <c:v>-0.95888253925051192</c:v>
                </c:pt>
                <c:pt idx="97">
                  <c:v>-0.96069710661893304</c:v>
                </c:pt>
                <c:pt idx="98">
                  <c:v>-0.96199106570984216</c:v>
                </c:pt>
                <c:pt idx="99">
                  <c:v>-0.95686665522836067</c:v>
                </c:pt>
                <c:pt idx="100">
                  <c:v>-0.95715946722836065</c:v>
                </c:pt>
                <c:pt idx="101">
                  <c:v>-0.9566258567132091</c:v>
                </c:pt>
                <c:pt idx="102">
                  <c:v>-0.80492710671320911</c:v>
                </c:pt>
                <c:pt idx="103">
                  <c:v>-0.80281194569434122</c:v>
                </c:pt>
                <c:pt idx="104">
                  <c:v>-0.79954905902767448</c:v>
                </c:pt>
                <c:pt idx="105">
                  <c:v>-0.8050157009026746</c:v>
                </c:pt>
                <c:pt idx="106">
                  <c:v>-0.80026183258924177</c:v>
                </c:pt>
                <c:pt idx="107">
                  <c:v>-0.80175553392257504</c:v>
                </c:pt>
                <c:pt idx="108">
                  <c:v>-0.80009810058924191</c:v>
                </c:pt>
                <c:pt idx="109">
                  <c:v>-0.79831890958924179</c:v>
                </c:pt>
                <c:pt idx="110">
                  <c:v>-0.79563713707495598</c:v>
                </c:pt>
                <c:pt idx="111">
                  <c:v>-0.7961721596956457</c:v>
                </c:pt>
                <c:pt idx="112">
                  <c:v>-0.79313494827746389</c:v>
                </c:pt>
                <c:pt idx="113">
                  <c:v>-0.79526705257935082</c:v>
                </c:pt>
                <c:pt idx="114">
                  <c:v>-0.79406442863198234</c:v>
                </c:pt>
                <c:pt idx="115">
                  <c:v>-0.79217272811085548</c:v>
                </c:pt>
                <c:pt idx="116">
                  <c:v>-0.77957843530510018</c:v>
                </c:pt>
                <c:pt idx="117">
                  <c:v>-0.78055808130510018</c:v>
                </c:pt>
                <c:pt idx="118">
                  <c:v>-0.77797975652249152</c:v>
                </c:pt>
                <c:pt idx="119">
                  <c:v>-0.77646800951461747</c:v>
                </c:pt>
                <c:pt idx="120">
                  <c:v>-0.77646800951461747</c:v>
                </c:pt>
                <c:pt idx="121">
                  <c:v>-0.77480026816461733</c:v>
                </c:pt>
                <c:pt idx="122">
                  <c:v>-0.77338971783961741</c:v>
                </c:pt>
                <c:pt idx="123">
                  <c:v>-0.77177786624870837</c:v>
                </c:pt>
                <c:pt idx="124">
                  <c:v>-0.774682197941016</c:v>
                </c:pt>
                <c:pt idx="125">
                  <c:v>-0.77654092886538584</c:v>
                </c:pt>
                <c:pt idx="126">
                  <c:v>-0.77495001884099557</c:v>
                </c:pt>
                <c:pt idx="127">
                  <c:v>-0.77598381660099558</c:v>
                </c:pt>
                <c:pt idx="128">
                  <c:v>-0.77957415719748691</c:v>
                </c:pt>
                <c:pt idx="129">
                  <c:v>-0.75787299318935675</c:v>
                </c:pt>
                <c:pt idx="130">
                  <c:v>-0.72080926956374103</c:v>
                </c:pt>
                <c:pt idx="131">
                  <c:v>-0.71888734229959017</c:v>
                </c:pt>
                <c:pt idx="132">
                  <c:v>-0.71793571374537313</c:v>
                </c:pt>
                <c:pt idx="133">
                  <c:v>-0.7164950264614226</c:v>
                </c:pt>
                <c:pt idx="134">
                  <c:v>-0.71698313711931738</c:v>
                </c:pt>
                <c:pt idx="135">
                  <c:v>-0.71858096608946664</c:v>
                </c:pt>
                <c:pt idx="136">
                  <c:v>-0.7181466707346279</c:v>
                </c:pt>
                <c:pt idx="137">
                  <c:v>-0.7145159632609438</c:v>
                </c:pt>
                <c:pt idx="138">
                  <c:v>-0.71184592807116265</c:v>
                </c:pt>
                <c:pt idx="139">
                  <c:v>-0.71024891923187705</c:v>
                </c:pt>
                <c:pt idx="140">
                  <c:v>-0.70844178938572311</c:v>
                </c:pt>
                <c:pt idx="141">
                  <c:v>-0.70409971568572316</c:v>
                </c:pt>
                <c:pt idx="142">
                  <c:v>-0.69803176396572331</c:v>
                </c:pt>
                <c:pt idx="143">
                  <c:v>-0.69985720785461214</c:v>
                </c:pt>
                <c:pt idx="144">
                  <c:v>-0.70411636815896006</c:v>
                </c:pt>
                <c:pt idx="145">
                  <c:v>-0.69938266015896011</c:v>
                </c:pt>
                <c:pt idx="146">
                  <c:v>-0.69950265277434476</c:v>
                </c:pt>
                <c:pt idx="147">
                  <c:v>-0.69605946820807973</c:v>
                </c:pt>
                <c:pt idx="148">
                  <c:v>-0.68945224218307954</c:v>
                </c:pt>
                <c:pt idx="149">
                  <c:v>-0.69116886036489766</c:v>
                </c:pt>
                <c:pt idx="150">
                  <c:v>-0.68291432931611706</c:v>
                </c:pt>
                <c:pt idx="151">
                  <c:v>-0.66934113678420226</c:v>
                </c:pt>
                <c:pt idx="152">
                  <c:v>-0.66068284578420233</c:v>
                </c:pt>
                <c:pt idx="153">
                  <c:v>-0.65523605178420219</c:v>
                </c:pt>
                <c:pt idx="154">
                  <c:v>-0.65064642377104431</c:v>
                </c:pt>
                <c:pt idx="155">
                  <c:v>-0.63388606355875377</c:v>
                </c:pt>
                <c:pt idx="156">
                  <c:v>-0.63034428227968398</c:v>
                </c:pt>
                <c:pt idx="157">
                  <c:v>-0.62439025982337326</c:v>
                </c:pt>
                <c:pt idx="158">
                  <c:v>-0.61772934051256256</c:v>
                </c:pt>
                <c:pt idx="159">
                  <c:v>-0.61707956143210274</c:v>
                </c:pt>
                <c:pt idx="160">
                  <c:v>-0.60630639574956313</c:v>
                </c:pt>
                <c:pt idx="161">
                  <c:v>-0.59821616295052005</c:v>
                </c:pt>
                <c:pt idx="162">
                  <c:v>-0.65493809512670598</c:v>
                </c:pt>
                <c:pt idx="163">
                  <c:v>-0.63019725113652303</c:v>
                </c:pt>
                <c:pt idx="164">
                  <c:v>-0.59823088230747468</c:v>
                </c:pt>
                <c:pt idx="165">
                  <c:v>-0.57387436978976258</c:v>
                </c:pt>
                <c:pt idx="166">
                  <c:v>-0.5522315386554224</c:v>
                </c:pt>
                <c:pt idx="167">
                  <c:v>-0.49504594015282377</c:v>
                </c:pt>
                <c:pt idx="168">
                  <c:v>-0.44715873220251329</c:v>
                </c:pt>
                <c:pt idx="169">
                  <c:v>-0.44433702154845922</c:v>
                </c:pt>
                <c:pt idx="170">
                  <c:v>-0.42555044148067495</c:v>
                </c:pt>
                <c:pt idx="171">
                  <c:v>-0.43574692062559289</c:v>
                </c:pt>
                <c:pt idx="172">
                  <c:v>-0.43976850702164549</c:v>
                </c:pt>
                <c:pt idx="173">
                  <c:v>-0.42446789598638712</c:v>
                </c:pt>
                <c:pt idx="174">
                  <c:v>-0.41253727651863203</c:v>
                </c:pt>
                <c:pt idx="175">
                  <c:v>-0.41652189779458404</c:v>
                </c:pt>
                <c:pt idx="176">
                  <c:v>-0.38875471117271893</c:v>
                </c:pt>
                <c:pt idx="177">
                  <c:v>-0.4217048581033393</c:v>
                </c:pt>
                <c:pt idx="178">
                  <c:v>-0.39660705501660271</c:v>
                </c:pt>
                <c:pt idx="179">
                  <c:v>-0.43988046134655723</c:v>
                </c:pt>
                <c:pt idx="180">
                  <c:v>-0.44839519519328952</c:v>
                </c:pt>
                <c:pt idx="181">
                  <c:v>-0.44702152429956138</c:v>
                </c:pt>
                <c:pt idx="182">
                  <c:v>-0.43974171213570595</c:v>
                </c:pt>
                <c:pt idx="183">
                  <c:v>-0.39755679831292029</c:v>
                </c:pt>
                <c:pt idx="184">
                  <c:v>-0.35944566235660763</c:v>
                </c:pt>
                <c:pt idx="185">
                  <c:v>-0.54237014275634976</c:v>
                </c:pt>
                <c:pt idx="186">
                  <c:v>-0.59703764297622919</c:v>
                </c:pt>
                <c:pt idx="187">
                  <c:v>-0.64773119619472053</c:v>
                </c:pt>
                <c:pt idx="188">
                  <c:v>-0.66780378076487368</c:v>
                </c:pt>
                <c:pt idx="189">
                  <c:v>-0.67121277626850995</c:v>
                </c:pt>
                <c:pt idx="190">
                  <c:v>-0.67176992995443352</c:v>
                </c:pt>
                <c:pt idx="191">
                  <c:v>-0.67758163753792511</c:v>
                </c:pt>
                <c:pt idx="192">
                  <c:v>-0.67096745202536234</c:v>
                </c:pt>
                <c:pt idx="193">
                  <c:v>-0.66365199668719976</c:v>
                </c:pt>
                <c:pt idx="194">
                  <c:v>-0.66435181113164421</c:v>
                </c:pt>
                <c:pt idx="195">
                  <c:v>-0.65601063522514602</c:v>
                </c:pt>
                <c:pt idx="196">
                  <c:v>-0.62690550333861639</c:v>
                </c:pt>
                <c:pt idx="197">
                  <c:v>-0.6837186301813416</c:v>
                </c:pt>
                <c:pt idx="198">
                  <c:v>-0.67447594967827518</c:v>
                </c:pt>
                <c:pt idx="199">
                  <c:v>-0.68251924674750597</c:v>
                </c:pt>
                <c:pt idx="200">
                  <c:v>-0.67400543396225643</c:v>
                </c:pt>
                <c:pt idx="201">
                  <c:v>-0.6717637053733676</c:v>
                </c:pt>
                <c:pt idx="202">
                  <c:v>-0.67717624210737348</c:v>
                </c:pt>
                <c:pt idx="203">
                  <c:v>-0.68032550016526816</c:v>
                </c:pt>
                <c:pt idx="204">
                  <c:v>-0.67468039883563857</c:v>
                </c:pt>
                <c:pt idx="205">
                  <c:v>-0.67700534323356598</c:v>
                </c:pt>
                <c:pt idx="206">
                  <c:v>-0.67953635606853269</c:v>
                </c:pt>
                <c:pt idx="207">
                  <c:v>-0.67709401255344881</c:v>
                </c:pt>
                <c:pt idx="208">
                  <c:v>-0.67581845600260138</c:v>
                </c:pt>
                <c:pt idx="209">
                  <c:v>-0.67443818366939379</c:v>
                </c:pt>
                <c:pt idx="210">
                  <c:v>-0.67690199926471151</c:v>
                </c:pt>
                <c:pt idx="211">
                  <c:v>-0.6753737867682732</c:v>
                </c:pt>
                <c:pt idx="212">
                  <c:v>-0.67598345632068479</c:v>
                </c:pt>
                <c:pt idx="213">
                  <c:v>-0.67586228320145414</c:v>
                </c:pt>
                <c:pt idx="214">
                  <c:v>-0.67353787241645413</c:v>
                </c:pt>
                <c:pt idx="215">
                  <c:v>-0.67328221352398099</c:v>
                </c:pt>
                <c:pt idx="216">
                  <c:v>-0.67634049990090395</c:v>
                </c:pt>
                <c:pt idx="217">
                  <c:v>-0.67365592382650963</c:v>
                </c:pt>
                <c:pt idx="218">
                  <c:v>-0.67111770018585926</c:v>
                </c:pt>
                <c:pt idx="219">
                  <c:v>-0.68077501021247333</c:v>
                </c:pt>
                <c:pt idx="220">
                  <c:v>-0.68016790083093492</c:v>
                </c:pt>
                <c:pt idx="221">
                  <c:v>-0.67233992476061955</c:v>
                </c:pt>
                <c:pt idx="222">
                  <c:v>-0.67960941859523494</c:v>
                </c:pt>
                <c:pt idx="223">
                  <c:v>-0.67750487313923502</c:v>
                </c:pt>
                <c:pt idx="224">
                  <c:v>-0.67399816416675784</c:v>
                </c:pt>
                <c:pt idx="225">
                  <c:v>-0.67190255394663212</c:v>
                </c:pt>
                <c:pt idx="226">
                  <c:v>-0.66844568359841794</c:v>
                </c:pt>
                <c:pt idx="227">
                  <c:v>-0.67208367585466811</c:v>
                </c:pt>
                <c:pt idx="228">
                  <c:v>-0.66807971096321084</c:v>
                </c:pt>
                <c:pt idx="229">
                  <c:v>-0.66756538274595201</c:v>
                </c:pt>
                <c:pt idx="230">
                  <c:v>-0.65393826976595204</c:v>
                </c:pt>
                <c:pt idx="231">
                  <c:v>-0.63175151801751805</c:v>
                </c:pt>
                <c:pt idx="232">
                  <c:v>-0.62837078651751788</c:v>
                </c:pt>
                <c:pt idx="233">
                  <c:v>-0.62844866377174657</c:v>
                </c:pt>
                <c:pt idx="234">
                  <c:v>-0.63039738463254391</c:v>
                </c:pt>
                <c:pt idx="235">
                  <c:v>-0.62511007881710456</c:v>
                </c:pt>
                <c:pt idx="236">
                  <c:v>-0.62463381206752466</c:v>
                </c:pt>
                <c:pt idx="237">
                  <c:v>-0.6187257471993004</c:v>
                </c:pt>
                <c:pt idx="238">
                  <c:v>-0.616032832635664</c:v>
                </c:pt>
                <c:pt idx="239">
                  <c:v>-0.6153819366644776</c:v>
                </c:pt>
                <c:pt idx="240">
                  <c:v>-0.6125367277544429</c:v>
                </c:pt>
                <c:pt idx="241">
                  <c:v>-0.60730456711089065</c:v>
                </c:pt>
                <c:pt idx="242">
                  <c:v>-0.61565203715848571</c:v>
                </c:pt>
                <c:pt idx="243">
                  <c:v>-0.60772504488518586</c:v>
                </c:pt>
                <c:pt idx="244">
                  <c:v>-0.59967785987609501</c:v>
                </c:pt>
                <c:pt idx="245">
                  <c:v>-0.58080232605186466</c:v>
                </c:pt>
                <c:pt idx="246">
                  <c:v>-0.56012478511033381</c:v>
                </c:pt>
                <c:pt idx="247">
                  <c:v>-0.57697487492276611</c:v>
                </c:pt>
                <c:pt idx="248">
                  <c:v>-0.57074678631866937</c:v>
                </c:pt>
                <c:pt idx="249">
                  <c:v>-0.58458132066686208</c:v>
                </c:pt>
                <c:pt idx="250">
                  <c:v>-0.57827967855026863</c:v>
                </c:pt>
                <c:pt idx="251">
                  <c:v>-0.56426439376403292</c:v>
                </c:pt>
                <c:pt idx="252">
                  <c:v>-0.5530798487977181</c:v>
                </c:pt>
                <c:pt idx="253">
                  <c:v>-0.5591252745708003</c:v>
                </c:pt>
                <c:pt idx="254">
                  <c:v>-0.53704148843060351</c:v>
                </c:pt>
                <c:pt idx="255">
                  <c:v>-0.52931037713340723</c:v>
                </c:pt>
                <c:pt idx="256">
                  <c:v>-0.51185624049583145</c:v>
                </c:pt>
                <c:pt idx="257">
                  <c:v>-0.50838724803675805</c:v>
                </c:pt>
                <c:pt idx="258">
                  <c:v>-0.49182841591824783</c:v>
                </c:pt>
                <c:pt idx="259">
                  <c:v>-0.4986866922069535</c:v>
                </c:pt>
                <c:pt idx="260">
                  <c:v>-0.47530762150984973</c:v>
                </c:pt>
                <c:pt idx="261">
                  <c:v>-0.45090209297058392</c:v>
                </c:pt>
                <c:pt idx="262">
                  <c:v>-0.45307432405455339</c:v>
                </c:pt>
                <c:pt idx="263">
                  <c:v>-0.42130325602540769</c:v>
                </c:pt>
                <c:pt idx="264">
                  <c:v>-0.4021607944362372</c:v>
                </c:pt>
                <c:pt idx="265">
                  <c:v>-0.41740633912918984</c:v>
                </c:pt>
                <c:pt idx="266">
                  <c:v>-0.40736491305259415</c:v>
                </c:pt>
                <c:pt idx="267">
                  <c:v>-0.36361484762423041</c:v>
                </c:pt>
                <c:pt idx="268">
                  <c:v>-0.31965366611647833</c:v>
                </c:pt>
                <c:pt idx="269">
                  <c:v>-0.21734582729064678</c:v>
                </c:pt>
                <c:pt idx="270">
                  <c:v>-0.23520564324995114</c:v>
                </c:pt>
                <c:pt idx="271">
                  <c:v>-0.241444600288582</c:v>
                </c:pt>
                <c:pt idx="272">
                  <c:v>-0.20412728102532654</c:v>
                </c:pt>
                <c:pt idx="273">
                  <c:v>-0.22206683192605556</c:v>
                </c:pt>
                <c:pt idx="274">
                  <c:v>-0.25901484774412381</c:v>
                </c:pt>
                <c:pt idx="275">
                  <c:v>-0.29963412284998009</c:v>
                </c:pt>
                <c:pt idx="276">
                  <c:v>-0.31049365243496913</c:v>
                </c:pt>
                <c:pt idx="277">
                  <c:v>-0.30309135520524627</c:v>
                </c:pt>
                <c:pt idx="278">
                  <c:v>-0.29965215162402026</c:v>
                </c:pt>
                <c:pt idx="279">
                  <c:v>-0.29573884503800985</c:v>
                </c:pt>
                <c:pt idx="280">
                  <c:v>-0.28696279514624518</c:v>
                </c:pt>
                <c:pt idx="281">
                  <c:v>-0.28055107772624521</c:v>
                </c:pt>
                <c:pt idx="282">
                  <c:v>-0.27585865756250483</c:v>
                </c:pt>
                <c:pt idx="283">
                  <c:v>-0.28554224582959342</c:v>
                </c:pt>
                <c:pt idx="284">
                  <c:v>-0.28543394383609344</c:v>
                </c:pt>
                <c:pt idx="285">
                  <c:v>-0.28252156113585891</c:v>
                </c:pt>
                <c:pt idx="286">
                  <c:v>-0.27392679305033257</c:v>
                </c:pt>
                <c:pt idx="287">
                  <c:v>-0.26132948841098158</c:v>
                </c:pt>
                <c:pt idx="288">
                  <c:v>-0.25704736515377397</c:v>
                </c:pt>
                <c:pt idx="289">
                  <c:v>-0.2533747647142835</c:v>
                </c:pt>
                <c:pt idx="290">
                  <c:v>-0.24132842546346914</c:v>
                </c:pt>
                <c:pt idx="291">
                  <c:v>-0.23393823811052794</c:v>
                </c:pt>
                <c:pt idx="292">
                  <c:v>-0.22597685441156901</c:v>
                </c:pt>
                <c:pt idx="293">
                  <c:v>-0.21662517828055455</c:v>
                </c:pt>
                <c:pt idx="294">
                  <c:v>-0.20705400104121027</c:v>
                </c:pt>
                <c:pt idx="295">
                  <c:v>-0.20535532359676587</c:v>
                </c:pt>
                <c:pt idx="296">
                  <c:v>-0.19166441543929455</c:v>
                </c:pt>
                <c:pt idx="297">
                  <c:v>-0.18041588723183447</c:v>
                </c:pt>
                <c:pt idx="298">
                  <c:v>-0.17033272223261881</c:v>
                </c:pt>
                <c:pt idx="299">
                  <c:v>-0.17929690546907201</c:v>
                </c:pt>
                <c:pt idx="300">
                  <c:v>-0.16401159699628284</c:v>
                </c:pt>
                <c:pt idx="301">
                  <c:v>-0.15807055304656692</c:v>
                </c:pt>
                <c:pt idx="302">
                  <c:v>-0.15113150082645729</c:v>
                </c:pt>
                <c:pt idx="303">
                  <c:v>-0.14112343027447835</c:v>
                </c:pt>
                <c:pt idx="304">
                  <c:v>-0.14486732205687836</c:v>
                </c:pt>
                <c:pt idx="305">
                  <c:v>-0.13359512647335142</c:v>
                </c:pt>
                <c:pt idx="306">
                  <c:v>-0.13139226798323975</c:v>
                </c:pt>
                <c:pt idx="307">
                  <c:v>-0.13159309854014589</c:v>
                </c:pt>
                <c:pt idx="308">
                  <c:v>-0.1206246511048954</c:v>
                </c:pt>
                <c:pt idx="309">
                  <c:v>-0.11169640759074835</c:v>
                </c:pt>
                <c:pt idx="310">
                  <c:v>-0.10881006486477941</c:v>
                </c:pt>
                <c:pt idx="311">
                  <c:v>-8.8964958670300839E-2</c:v>
                </c:pt>
                <c:pt idx="312">
                  <c:v>-7.836797757202664E-2</c:v>
                </c:pt>
                <c:pt idx="313">
                  <c:v>-6.0997814710976116E-2</c:v>
                </c:pt>
                <c:pt idx="314">
                  <c:v>-4.5048540210976144E-2</c:v>
                </c:pt>
                <c:pt idx="315">
                  <c:v>-3.2588621178248851E-2</c:v>
                </c:pt>
                <c:pt idx="316">
                  <c:v>-2.131494029759717E-2</c:v>
                </c:pt>
                <c:pt idx="317">
                  <c:v>-1.5344038267442588E-2</c:v>
                </c:pt>
                <c:pt idx="318">
                  <c:v>3.4327541660023665E-3</c:v>
                </c:pt>
                <c:pt idx="319">
                  <c:v>4.6347798081957568E-2</c:v>
                </c:pt>
                <c:pt idx="320">
                  <c:v>1.4716852327139767E-2</c:v>
                </c:pt>
                <c:pt idx="321">
                  <c:v>5.0105782044799624E-3</c:v>
                </c:pt>
                <c:pt idx="322">
                  <c:v>-5.2199265470902348E-3</c:v>
                </c:pt>
                <c:pt idx="323">
                  <c:v>9.4076226797518321E-3</c:v>
                </c:pt>
                <c:pt idx="324">
                  <c:v>4.4060175331638668E-2</c:v>
                </c:pt>
                <c:pt idx="325">
                  <c:v>2.8162650829269015E-2</c:v>
                </c:pt>
                <c:pt idx="326">
                  <c:v>3.8168712391858942E-2</c:v>
                </c:pt>
                <c:pt idx="327">
                  <c:v>4.8227353463951961E-2</c:v>
                </c:pt>
                <c:pt idx="328">
                  <c:v>7.3619945800085254E-2</c:v>
                </c:pt>
                <c:pt idx="329">
                  <c:v>9.0891113550347555E-2</c:v>
                </c:pt>
                <c:pt idx="330">
                  <c:v>8.1993622412645073E-2</c:v>
                </c:pt>
                <c:pt idx="331">
                  <c:v>0.10111380283755703</c:v>
                </c:pt>
                <c:pt idx="332">
                  <c:v>0.13313587401113841</c:v>
                </c:pt>
                <c:pt idx="333">
                  <c:v>0.1407982344325969</c:v>
                </c:pt>
                <c:pt idx="334">
                  <c:v>0.12951885802080748</c:v>
                </c:pt>
                <c:pt idx="335">
                  <c:v>0.1223726706543532</c:v>
                </c:pt>
                <c:pt idx="336">
                  <c:v>0.12994809882148786</c:v>
                </c:pt>
                <c:pt idx="337">
                  <c:v>0.12379481354170781</c:v>
                </c:pt>
                <c:pt idx="338">
                  <c:v>0.11452483829243065</c:v>
                </c:pt>
                <c:pt idx="339">
                  <c:v>0.1127386198521857</c:v>
                </c:pt>
                <c:pt idx="340">
                  <c:v>8.1335843897132956E-2</c:v>
                </c:pt>
                <c:pt idx="341">
                  <c:v>8.4839081505380332E-2</c:v>
                </c:pt>
                <c:pt idx="342">
                  <c:v>0.10454825862206693</c:v>
                </c:pt>
                <c:pt idx="343">
                  <c:v>0.10668350347401727</c:v>
                </c:pt>
                <c:pt idx="344">
                  <c:v>9.4088858980601292E-2</c:v>
                </c:pt>
                <c:pt idx="345">
                  <c:v>9.9846819376929755E-2</c:v>
                </c:pt>
                <c:pt idx="346">
                  <c:v>9.3520083326929751E-2</c:v>
                </c:pt>
                <c:pt idx="347">
                  <c:v>7.5287628760337372E-2</c:v>
                </c:pt>
                <c:pt idx="348">
                  <c:v>1.6727273780417624E-2</c:v>
                </c:pt>
                <c:pt idx="349">
                  <c:v>-1.8278743899839831E-2</c:v>
                </c:pt>
                <c:pt idx="350">
                  <c:v>-3.002946844944613E-2</c:v>
                </c:pt>
                <c:pt idx="351">
                  <c:v>-3.2909271180563304E-2</c:v>
                </c:pt>
                <c:pt idx="352">
                  <c:v>-4.31515650912929E-2</c:v>
                </c:pt>
                <c:pt idx="353">
                  <c:v>-5.5788504510767382E-2</c:v>
                </c:pt>
                <c:pt idx="354">
                  <c:v>-5.2526687190767404E-2</c:v>
                </c:pt>
                <c:pt idx="355">
                  <c:v>-5.3026269706836326E-2</c:v>
                </c:pt>
                <c:pt idx="356">
                  <c:v>-6.4263239087204438E-2</c:v>
                </c:pt>
                <c:pt idx="357">
                  <c:v>-6.2507689104357125E-2</c:v>
                </c:pt>
                <c:pt idx="358">
                  <c:v>-6.2562385137774831E-2</c:v>
                </c:pt>
                <c:pt idx="359">
                  <c:v>-5.8095790713718877E-2</c:v>
                </c:pt>
                <c:pt idx="360">
                  <c:v>-5.3078100717195348E-2</c:v>
                </c:pt>
                <c:pt idx="361">
                  <c:v>-5.6172398802043846E-2</c:v>
                </c:pt>
                <c:pt idx="362">
                  <c:v>-5.6204107511897854E-2</c:v>
                </c:pt>
                <c:pt idx="363">
                  <c:v>-6.1760310937360785E-2</c:v>
                </c:pt>
                <c:pt idx="364">
                  <c:v>-6.0475586011463717E-2</c:v>
                </c:pt>
                <c:pt idx="365">
                  <c:v>-3.1026649921172812E-2</c:v>
                </c:pt>
                <c:pt idx="366">
                  <c:v>-2.9369950892975564E-2</c:v>
                </c:pt>
                <c:pt idx="367">
                  <c:v>-2.2259355153799194E-2</c:v>
                </c:pt>
                <c:pt idx="368">
                  <c:v>-1.8670531433934611E-2</c:v>
                </c:pt>
                <c:pt idx="369">
                  <c:v>-1.4202027298174439E-2</c:v>
                </c:pt>
                <c:pt idx="370">
                  <c:v>-1.6609304085674435E-2</c:v>
                </c:pt>
                <c:pt idx="371">
                  <c:v>-1.9582752135674428E-2</c:v>
                </c:pt>
                <c:pt idx="372">
                  <c:v>-4.1438176746113912E-3</c:v>
                </c:pt>
                <c:pt idx="373">
                  <c:v>-5.5434094261706413E-3</c:v>
                </c:pt>
                <c:pt idx="374">
                  <c:v>-2.0707989895223898E-3</c:v>
                </c:pt>
                <c:pt idx="375">
                  <c:v>-4.0585469191907987E-3</c:v>
                </c:pt>
                <c:pt idx="376">
                  <c:v>-5.506957488079698E-3</c:v>
                </c:pt>
                <c:pt idx="377">
                  <c:v>-5.8891554630796988E-3</c:v>
                </c:pt>
                <c:pt idx="378">
                  <c:v>-4.6128388603925603E-3</c:v>
                </c:pt>
                <c:pt idx="379">
                  <c:v>-2.2286646409832821E-3</c:v>
                </c:pt>
                <c:pt idx="380">
                  <c:v>-4.2388077470746468E-3</c:v>
                </c:pt>
                <c:pt idx="381">
                  <c:v>-4.6731546393823358E-3</c:v>
                </c:pt>
                <c:pt idx="382">
                  <c:v>-1.1958662492555498E-2</c:v>
                </c:pt>
                <c:pt idx="383">
                  <c:v>-1.1257470258512944E-2</c:v>
                </c:pt>
                <c:pt idx="384">
                  <c:v>-1.2176962317941508E-2</c:v>
                </c:pt>
                <c:pt idx="385">
                  <c:v>-1.2129543254590709E-2</c:v>
                </c:pt>
                <c:pt idx="386">
                  <c:v>-1.1391397728579162E-2</c:v>
                </c:pt>
                <c:pt idx="387">
                  <c:v>-9.6083763619125139E-3</c:v>
                </c:pt>
                <c:pt idx="388">
                  <c:v>-6.9793721051990753E-3</c:v>
                </c:pt>
                <c:pt idx="389">
                  <c:v>-3.9426891766276475E-3</c:v>
                </c:pt>
                <c:pt idx="390">
                  <c:v>5.4364254317911345E-4</c:v>
                </c:pt>
                <c:pt idx="391">
                  <c:v>-5.6411199608208812E-3</c:v>
                </c:pt>
                <c:pt idx="392">
                  <c:v>-5.1727562680936087E-3</c:v>
                </c:pt>
                <c:pt idx="393">
                  <c:v>-5.2912644363475696E-3</c:v>
                </c:pt>
                <c:pt idx="394">
                  <c:v>-5.4911021182267655E-3</c:v>
                </c:pt>
                <c:pt idx="395">
                  <c:v>-7.8191167728139215E-3</c:v>
                </c:pt>
                <c:pt idx="396">
                  <c:v>-6.9139755808784393E-3</c:v>
                </c:pt>
                <c:pt idx="397">
                  <c:v>-6.8189273668656939E-3</c:v>
                </c:pt>
                <c:pt idx="398">
                  <c:v>-5.1404515848432206E-3</c:v>
                </c:pt>
                <c:pt idx="399">
                  <c:v>-5.3478576194966841E-3</c:v>
                </c:pt>
                <c:pt idx="400">
                  <c:v>-8.6934271458124681E-3</c:v>
                </c:pt>
                <c:pt idx="401">
                  <c:v>-5.7490573701394999E-3</c:v>
                </c:pt>
                <c:pt idx="402">
                  <c:v>-9.7412583690345139E-3</c:v>
                </c:pt>
                <c:pt idx="403">
                  <c:v>-6.8009596903451368E-4</c:v>
                </c:pt>
                <c:pt idx="404">
                  <c:v>5.7703932595369453E-3</c:v>
                </c:pt>
                <c:pt idx="405">
                  <c:v>1.5526351449423569E-3</c:v>
                </c:pt>
                <c:pt idx="406">
                  <c:v>2.514513043611982E-3</c:v>
                </c:pt>
                <c:pt idx="407">
                  <c:v>7.9478241434788044E-3</c:v>
                </c:pt>
                <c:pt idx="408">
                  <c:v>1.2511207918821257E-2</c:v>
                </c:pt>
                <c:pt idx="409">
                  <c:v>1.5916349712084346E-2</c:v>
                </c:pt>
                <c:pt idx="410">
                  <c:v>2.4700873858376979E-2</c:v>
                </c:pt>
                <c:pt idx="411">
                  <c:v>1.1379657717658453E-2</c:v>
                </c:pt>
                <c:pt idx="412">
                  <c:v>-1.3290108926169799E-2</c:v>
                </c:pt>
                <c:pt idx="413">
                  <c:v>-8.6374456931194703E-4</c:v>
                </c:pt>
                <c:pt idx="414">
                  <c:v>5.0255818756880467E-3</c:v>
                </c:pt>
                <c:pt idx="415">
                  <c:v>-4.0575355909786203E-3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C0-40CF-AE97-5A0362861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810464"/>
        <c:axId val="608813792"/>
      </c:lineChart>
      <c:dateAx>
        <c:axId val="608810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13792"/>
        <c:crosses val="autoZero"/>
        <c:auto val="1"/>
        <c:lblOffset val="100"/>
        <c:baseTimeUnit val="days"/>
      </c:dateAx>
      <c:valAx>
        <c:axId val="60881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1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2BD1F31-D1E5-4D69-ABDF-34E9DE3B7ECD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B81FF2-E087-4AF6-89D4-356B50D537D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3.4</v>
      </c>
      <c r="D2" s="4">
        <f>MIN(D3:D1912)</f>
        <v>0.107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1.9950000000000001</v>
      </c>
      <c r="C5">
        <v>2.0129999999999999</v>
      </c>
      <c r="D5">
        <v>1.988</v>
      </c>
      <c r="E5">
        <v>1.9930000000000001</v>
      </c>
      <c r="F5">
        <v>26095.1</v>
      </c>
      <c r="G5">
        <v>1.9930000000000001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-0.59999999999998932</v>
      </c>
      <c r="Q5">
        <f t="shared" ref="Q5" si="1">F5*P5</f>
        <v>-15657.059999999721</v>
      </c>
      <c r="R5">
        <f t="shared" ref="R5" si="2">R6+Q5</f>
        <v>-135257405.84003815</v>
      </c>
      <c r="S5">
        <f t="shared" ref="S5" si="3">R5/100000</f>
        <v>-1352.5740584003815</v>
      </c>
      <c r="T5">
        <f t="shared" ref="T5" si="4">S5/1000</f>
        <v>-1.3525740584003816</v>
      </c>
    </row>
    <row r="6" spans="1:20" x14ac:dyDescent="0.25">
      <c r="A6" s="5">
        <v>44587</v>
      </c>
      <c r="B6">
        <v>2.0110000000000001</v>
      </c>
      <c r="C6">
        <v>2.0470000000000002</v>
      </c>
      <c r="D6">
        <v>1.9890000000000001</v>
      </c>
      <c r="E6">
        <v>1.994</v>
      </c>
      <c r="F6">
        <v>647181.9</v>
      </c>
      <c r="G6">
        <v>1.994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-0.8275862068965556</v>
      </c>
      <c r="Q6">
        <f t="shared" ref="Q6" si="6">F6*P6</f>
        <v>-535598.813793106</v>
      </c>
      <c r="R6">
        <f t="shared" ref="R6" si="7">R7+Q6</f>
        <v>-135241748.78003815</v>
      </c>
      <c r="S6">
        <f t="shared" ref="S6" si="8">R6/100000</f>
        <v>-1352.4174878003814</v>
      </c>
      <c r="T6">
        <f t="shared" ref="T6" si="9">S6/1000</f>
        <v>-1.3524174878003814</v>
      </c>
    </row>
    <row r="7" spans="1:20" x14ac:dyDescent="0.25">
      <c r="A7" s="5">
        <v>44586</v>
      </c>
      <c r="B7">
        <v>2.0179999999999998</v>
      </c>
      <c r="C7">
        <v>2.0179999999999998</v>
      </c>
      <c r="D7">
        <v>1.9810000000000001</v>
      </c>
      <c r="E7">
        <v>2.0110000000000001</v>
      </c>
      <c r="F7">
        <v>364617</v>
      </c>
      <c r="G7">
        <v>2.0110000000000001</v>
      </c>
      <c r="L7" t="s">
        <v>7</v>
      </c>
      <c r="M7" t="s">
        <v>7</v>
      </c>
      <c r="N7" t="s">
        <v>7</v>
      </c>
      <c r="P7">
        <f t="shared" ref="P7" si="10">IF(C7=D7,0,((E7-D7)-(C7-E7))/(C7-D7))</f>
        <v>0.62162162162163626</v>
      </c>
      <c r="Q7">
        <f t="shared" ref="Q7" si="11">F7*P7</f>
        <v>226653.81081081615</v>
      </c>
      <c r="R7">
        <f t="shared" ref="R7" si="12">R8+Q7</f>
        <v>-134706149.96624506</v>
      </c>
      <c r="S7">
        <f t="shared" ref="S7" si="13">R7/100000</f>
        <v>-1347.0614996624506</v>
      </c>
      <c r="T7">
        <f t="shared" ref="T7" si="14">S7/1000</f>
        <v>-1.3470614996624506</v>
      </c>
    </row>
    <row r="8" spans="1:20" x14ac:dyDescent="0.25">
      <c r="A8" s="5">
        <v>44585</v>
      </c>
      <c r="B8">
        <v>2.0640000000000001</v>
      </c>
      <c r="C8">
        <v>2.0720000000000001</v>
      </c>
      <c r="D8">
        <v>1.9910000000000001</v>
      </c>
      <c r="E8">
        <v>2.0150000000000001</v>
      </c>
      <c r="F8">
        <v>1196571.2</v>
      </c>
      <c r="G8">
        <v>2.0150000000000001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-0.40740740740740661</v>
      </c>
      <c r="Q8">
        <f t="shared" ref="Q8" si="16">F8*P8</f>
        <v>-487491.97037036938</v>
      </c>
      <c r="R8">
        <f t="shared" ref="R8" si="17">R9+Q8</f>
        <v>-134932803.77705586</v>
      </c>
      <c r="S8">
        <f t="shared" ref="S8" si="18">R8/100000</f>
        <v>-1349.3280377705587</v>
      </c>
      <c r="T8">
        <f t="shared" ref="T8" si="19">S8/1000</f>
        <v>-1.3493280377705588</v>
      </c>
    </row>
    <row r="9" spans="1:20" x14ac:dyDescent="0.25">
      <c r="A9" s="5">
        <v>44584</v>
      </c>
      <c r="B9">
        <v>2.0449999999999999</v>
      </c>
      <c r="C9">
        <v>2.081</v>
      </c>
      <c r="D9">
        <v>2.0350000000000001</v>
      </c>
      <c r="E9">
        <v>2.0609999999999999</v>
      </c>
      <c r="F9">
        <v>538006.19999999995</v>
      </c>
      <c r="G9">
        <v>2.0609999999999999</v>
      </c>
      <c r="L9" t="s">
        <v>7</v>
      </c>
      <c r="M9" t="s">
        <v>7</v>
      </c>
      <c r="N9" t="s">
        <v>7</v>
      </c>
      <c r="P9">
        <f t="shared" ref="P9" si="20">IF(C9=D9,0,((E9-D9)-(C9-E9))/(C9-D9))</f>
        <v>0.13043478260869146</v>
      </c>
      <c r="Q9">
        <f t="shared" ref="Q9" si="21">F9*P9</f>
        <v>70174.721739128174</v>
      </c>
      <c r="R9">
        <f t="shared" ref="R9" si="22">R10+Q9</f>
        <v>-134445311.80668548</v>
      </c>
      <c r="S9">
        <f t="shared" ref="S9" si="23">R9/100000</f>
        <v>-1344.4531180668548</v>
      </c>
      <c r="T9">
        <f t="shared" ref="T9" si="24">S9/1000</f>
        <v>-1.3444531180668549</v>
      </c>
    </row>
    <row r="10" spans="1:20" x14ac:dyDescent="0.25">
      <c r="A10" s="5">
        <v>44583</v>
      </c>
      <c r="B10">
        <v>2.0859999999999999</v>
      </c>
      <c r="C10">
        <v>2.645</v>
      </c>
      <c r="D10">
        <v>2.032</v>
      </c>
      <c r="E10">
        <v>2.0409999999999999</v>
      </c>
      <c r="F10">
        <v>4072128.8</v>
      </c>
      <c r="G10">
        <v>2.0409999999999999</v>
      </c>
      <c r="L10" t="s">
        <v>7</v>
      </c>
      <c r="M10" t="s">
        <v>8</v>
      </c>
      <c r="N10" t="s">
        <v>7</v>
      </c>
      <c r="P10">
        <f t="shared" ref="P10" si="25">IF(C10=D10,0,((E10-D10)-(C10-E10))/(C10-D10))</f>
        <v>-0.97063621533442124</v>
      </c>
      <c r="Q10">
        <f t="shared" ref="Q10" si="26">F10*P10</f>
        <v>-3952555.6867862982</v>
      </c>
      <c r="R10">
        <f t="shared" ref="R10" si="27">R11+Q10</f>
        <v>-134515486.52842459</v>
      </c>
      <c r="S10">
        <f t="shared" ref="S10" si="28">R10/100000</f>
        <v>-1345.1548652842459</v>
      </c>
      <c r="T10">
        <f t="shared" ref="T10" si="29">S10/1000</f>
        <v>-1.345154865284246</v>
      </c>
    </row>
    <row r="11" spans="1:20" x14ac:dyDescent="0.25">
      <c r="A11" s="5">
        <v>44582</v>
      </c>
      <c r="B11">
        <v>2.113</v>
      </c>
      <c r="C11">
        <v>2.1749999999999998</v>
      </c>
      <c r="D11">
        <v>2.0750000000000002</v>
      </c>
      <c r="E11">
        <v>2.0880000000000001</v>
      </c>
      <c r="F11">
        <v>766396.4</v>
      </c>
      <c r="G11">
        <v>2.0880000000000001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-0.7400000000000011</v>
      </c>
      <c r="Q11">
        <f t="shared" ref="Q11" si="31">F11*P11</f>
        <v>-567133.33600000083</v>
      </c>
      <c r="R11">
        <f t="shared" ref="R11" si="32">R12+Q11</f>
        <v>-130562930.8416383</v>
      </c>
      <c r="S11">
        <f t="shared" ref="S11" si="33">R11/100000</f>
        <v>-1305.6293084163829</v>
      </c>
      <c r="T11">
        <f t="shared" ref="T11" si="34">S11/1000</f>
        <v>-1.3056293084163828</v>
      </c>
    </row>
    <row r="12" spans="1:20" x14ac:dyDescent="0.25">
      <c r="A12" s="5">
        <v>44581</v>
      </c>
      <c r="B12">
        <v>2.14</v>
      </c>
      <c r="C12">
        <v>2.1549999999999998</v>
      </c>
      <c r="D12">
        <v>2.105</v>
      </c>
      <c r="E12">
        <v>2.1179999999999999</v>
      </c>
      <c r="F12">
        <v>225571</v>
      </c>
      <c r="G12">
        <v>2.1179999999999999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-0.48000000000000215</v>
      </c>
      <c r="Q12">
        <f t="shared" ref="Q12" si="36">F12*P12</f>
        <v>-108274.08000000048</v>
      </c>
      <c r="R12">
        <f t="shared" ref="R12" si="37">R13+Q12</f>
        <v>-129995797.5056383</v>
      </c>
      <c r="S12">
        <f t="shared" ref="S12" si="38">R12/100000</f>
        <v>-1299.957975056383</v>
      </c>
      <c r="T12">
        <f t="shared" ref="T12" si="39">S12/1000</f>
        <v>-1.299957975056383</v>
      </c>
    </row>
    <row r="13" spans="1:20" x14ac:dyDescent="0.25">
      <c r="A13" s="5">
        <v>44580</v>
      </c>
      <c r="B13">
        <v>2.1890000000000001</v>
      </c>
      <c r="C13">
        <v>2.202</v>
      </c>
      <c r="D13">
        <v>2.133</v>
      </c>
      <c r="E13">
        <v>2.137</v>
      </c>
      <c r="F13">
        <v>382183.9</v>
      </c>
      <c r="G13">
        <v>2.137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-0.88405797101449257</v>
      </c>
      <c r="Q13">
        <f t="shared" ref="Q13" si="41">F13*P13</f>
        <v>-337872.72318840574</v>
      </c>
      <c r="R13">
        <f t="shared" ref="R13" si="42">R14+Q13</f>
        <v>-129887523.4256383</v>
      </c>
      <c r="S13">
        <f t="shared" ref="S13" si="43">R13/100000</f>
        <v>-1298.875234256383</v>
      </c>
      <c r="T13">
        <f t="shared" ref="T13" si="44">S13/1000</f>
        <v>-1.298875234256383</v>
      </c>
    </row>
    <row r="14" spans="1:20" x14ac:dyDescent="0.25">
      <c r="A14" s="5">
        <v>44579</v>
      </c>
      <c r="B14">
        <v>2.16</v>
      </c>
      <c r="C14">
        <v>2.218</v>
      </c>
      <c r="D14">
        <v>2.1539999999999999</v>
      </c>
      <c r="E14">
        <v>2.1890000000000001</v>
      </c>
      <c r="F14">
        <v>347574.2</v>
      </c>
      <c r="G14">
        <v>2.1890000000000001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9.3750000000003469E-2</v>
      </c>
      <c r="Q14">
        <f t="shared" ref="Q14" si="46">F14*P14</f>
        <v>32585.081250001207</v>
      </c>
      <c r="R14">
        <f t="shared" ref="R14" si="47">R15+Q14</f>
        <v>-129549650.7024499</v>
      </c>
      <c r="S14">
        <f t="shared" ref="S14" si="48">R14/100000</f>
        <v>-1295.4965070244991</v>
      </c>
      <c r="T14">
        <f t="shared" ref="T14" si="49">S14/1000</f>
        <v>-1.295496507024499</v>
      </c>
    </row>
    <row r="15" spans="1:20" x14ac:dyDescent="0.25">
      <c r="A15" s="5">
        <v>44578</v>
      </c>
      <c r="B15">
        <v>2.173</v>
      </c>
      <c r="C15">
        <v>2.19</v>
      </c>
      <c r="D15">
        <v>2.105</v>
      </c>
      <c r="E15">
        <v>2.161</v>
      </c>
      <c r="F15">
        <v>369560.3</v>
      </c>
      <c r="G15">
        <v>2.161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0.31764705882353111</v>
      </c>
      <c r="Q15">
        <f t="shared" ref="Q15" si="51">F15*P15</f>
        <v>117389.7423529418</v>
      </c>
      <c r="R15">
        <f t="shared" ref="R15" si="52">R16+Q15</f>
        <v>-129582235.7836999</v>
      </c>
      <c r="S15">
        <f t="shared" ref="S15" si="53">R15/100000</f>
        <v>-1295.8223578369989</v>
      </c>
      <c r="T15">
        <f t="shared" ref="T15" si="54">S15/1000</f>
        <v>-1.295822357836999</v>
      </c>
    </row>
    <row r="16" spans="1:20" x14ac:dyDescent="0.25">
      <c r="A16" s="5">
        <v>44577</v>
      </c>
      <c r="B16">
        <v>2.19</v>
      </c>
      <c r="C16">
        <v>2.21</v>
      </c>
      <c r="D16">
        <v>2.1680000000000001</v>
      </c>
      <c r="E16">
        <v>2.1779999999999999</v>
      </c>
      <c r="F16">
        <v>177094</v>
      </c>
      <c r="G16">
        <v>2.1779999999999999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-0.52380952380953183</v>
      </c>
      <c r="Q16">
        <f t="shared" ref="Q16" si="56">F16*P16</f>
        <v>-92763.523809525228</v>
      </c>
      <c r="R16">
        <f t="shared" ref="R16" si="57">R17+Q16</f>
        <v>-129699625.52605285</v>
      </c>
      <c r="S16">
        <f t="shared" ref="S16" si="58">R16/100000</f>
        <v>-1296.9962552605284</v>
      </c>
      <c r="T16">
        <f t="shared" ref="T16" si="59">S16/1000</f>
        <v>-1.2969962552605283</v>
      </c>
    </row>
    <row r="17" spans="1:20" x14ac:dyDescent="0.25">
      <c r="A17" s="5">
        <v>44576</v>
      </c>
      <c r="B17">
        <v>2.1920000000000002</v>
      </c>
      <c r="C17">
        <v>2.2400000000000002</v>
      </c>
      <c r="D17">
        <v>2.1869999999999998</v>
      </c>
      <c r="E17">
        <v>2.1880000000000002</v>
      </c>
      <c r="F17">
        <v>221746.6</v>
      </c>
      <c r="G17">
        <v>2.1880000000000002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-0.96226415094338391</v>
      </c>
      <c r="Q17">
        <f t="shared" ref="Q17" si="61">F17*P17</f>
        <v>-213378.80377358219</v>
      </c>
      <c r="R17">
        <f t="shared" ref="R17" si="62">R18+Q17</f>
        <v>-129606862.00224333</v>
      </c>
      <c r="S17">
        <f t="shared" ref="S17" si="63">R17/100000</f>
        <v>-1296.0686200224332</v>
      </c>
      <c r="T17">
        <f t="shared" ref="T17" si="64">S17/1000</f>
        <v>-1.2960686200224332</v>
      </c>
    </row>
    <row r="18" spans="1:20" x14ac:dyDescent="0.25">
      <c r="A18" s="5">
        <v>44575</v>
      </c>
      <c r="B18">
        <v>2.169</v>
      </c>
      <c r="C18">
        <v>2.2109999999999999</v>
      </c>
      <c r="D18">
        <v>2.1619999999999999</v>
      </c>
      <c r="E18">
        <v>2.1920000000000002</v>
      </c>
      <c r="F18">
        <v>291410</v>
      </c>
      <c r="G18">
        <v>2.1920000000000002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0.2244897959183792</v>
      </c>
      <c r="Q18">
        <f t="shared" ref="Q18" si="66">F18*P18</f>
        <v>65418.571428574884</v>
      </c>
      <c r="R18">
        <f t="shared" ref="R18" si="67">R19+Q18</f>
        <v>-129393483.19846974</v>
      </c>
      <c r="S18">
        <f t="shared" ref="S18" si="68">R18/100000</f>
        <v>-1293.9348319846974</v>
      </c>
      <c r="T18">
        <f t="shared" ref="T18" si="69">S18/1000</f>
        <v>-1.2939348319846975</v>
      </c>
    </row>
    <row r="19" spans="1:20" x14ac:dyDescent="0.25">
      <c r="A19" s="5">
        <v>44574</v>
      </c>
      <c r="B19">
        <v>2.1669999999999998</v>
      </c>
      <c r="C19">
        <v>2.2069999999999999</v>
      </c>
      <c r="D19">
        <v>2.157</v>
      </c>
      <c r="E19">
        <v>2.169</v>
      </c>
      <c r="F19">
        <v>385248.6</v>
      </c>
      <c r="G19">
        <v>2.169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-0.51999999999999791</v>
      </c>
      <c r="Q19">
        <f t="shared" ref="Q19" si="71">F19*P19</f>
        <v>-200329.27199999918</v>
      </c>
      <c r="R19">
        <f t="shared" ref="R19" si="72">R20+Q19</f>
        <v>-129458901.76989833</v>
      </c>
      <c r="S19">
        <f t="shared" ref="S19" si="73">R19/100000</f>
        <v>-1294.5890176989833</v>
      </c>
      <c r="T19">
        <f t="shared" ref="T19" si="74">S19/1000</f>
        <v>-1.2945890176989834</v>
      </c>
    </row>
    <row r="20" spans="1:20" x14ac:dyDescent="0.25">
      <c r="A20" s="5">
        <v>44573</v>
      </c>
      <c r="B20">
        <v>2.149</v>
      </c>
      <c r="C20">
        <v>2.1880000000000002</v>
      </c>
      <c r="D20">
        <v>2.109</v>
      </c>
      <c r="E20">
        <v>2.165</v>
      </c>
      <c r="F20">
        <v>534903.80000000005</v>
      </c>
      <c r="G20">
        <v>2.165</v>
      </c>
      <c r="L20" t="s">
        <v>7</v>
      </c>
      <c r="M20" t="s">
        <v>7</v>
      </c>
      <c r="N20" t="s">
        <v>7</v>
      </c>
      <c r="P20">
        <f t="shared" ref="P20" si="75">IF(C20=D20,0,((E20-D20)-(C20-E20))/(C20-D20))</f>
        <v>0.41772151898733978</v>
      </c>
      <c r="Q20">
        <f t="shared" ref="Q20" si="76">F20*P20</f>
        <v>223440.82784810022</v>
      </c>
      <c r="R20">
        <f t="shared" ref="R20" si="77">R21+Q20</f>
        <v>-129258572.49789833</v>
      </c>
      <c r="S20">
        <f t="shared" ref="S20" si="78">R20/100000</f>
        <v>-1292.5857249789833</v>
      </c>
      <c r="T20">
        <f t="shared" ref="T20" si="79">S20/1000</f>
        <v>-1.2925857249789834</v>
      </c>
    </row>
    <row r="21" spans="1:20" x14ac:dyDescent="0.25">
      <c r="A21" s="5">
        <v>44572</v>
      </c>
      <c r="B21">
        <v>2.14</v>
      </c>
      <c r="C21">
        <v>2.1739999999999999</v>
      </c>
      <c r="D21">
        <v>2.1110000000000002</v>
      </c>
      <c r="E21">
        <v>2.15</v>
      </c>
      <c r="F21">
        <v>269471.8</v>
      </c>
      <c r="G21">
        <v>2.15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0.23809523809523406</v>
      </c>
      <c r="Q21">
        <f t="shared" ref="Q21" si="81">F21*P21</f>
        <v>64159.95238095129</v>
      </c>
      <c r="R21">
        <f t="shared" ref="R21" si="82">R22+Q21</f>
        <v>-129482013.32574643</v>
      </c>
      <c r="S21">
        <f t="shared" ref="S21" si="83">R21/100000</f>
        <v>-1294.8201332574642</v>
      </c>
      <c r="T21">
        <f t="shared" ref="T21" si="84">S21/1000</f>
        <v>-1.2948201332574643</v>
      </c>
    </row>
    <row r="22" spans="1:20" x14ac:dyDescent="0.25">
      <c r="A22" s="5">
        <v>44571</v>
      </c>
      <c r="B22">
        <v>2.1309999999999998</v>
      </c>
      <c r="C22">
        <v>2.157</v>
      </c>
      <c r="D22">
        <v>2.105</v>
      </c>
      <c r="E22">
        <v>2.1389999999999998</v>
      </c>
      <c r="F22">
        <v>389908.6</v>
      </c>
      <c r="G22">
        <v>2.1389999999999998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0.30769230769229916</v>
      </c>
      <c r="Q22">
        <f t="shared" ref="Q22" si="86">F22*P22</f>
        <v>119971.87692307359</v>
      </c>
      <c r="R22">
        <f t="shared" ref="R22" si="87">R23+Q22</f>
        <v>-129546173.27812739</v>
      </c>
      <c r="S22">
        <f t="shared" ref="S22" si="88">R22/100000</f>
        <v>-1295.4617327812739</v>
      </c>
      <c r="T22">
        <f t="shared" ref="T22" si="89">S22/1000</f>
        <v>-1.2954617327812739</v>
      </c>
    </row>
    <row r="23" spans="1:20" x14ac:dyDescent="0.25">
      <c r="A23" s="5">
        <v>44570</v>
      </c>
      <c r="B23">
        <v>2.129</v>
      </c>
      <c r="C23">
        <v>2.1680000000000001</v>
      </c>
      <c r="D23">
        <v>2.121</v>
      </c>
      <c r="E23">
        <v>2.1309999999999998</v>
      </c>
      <c r="F23">
        <v>168481.9</v>
      </c>
      <c r="G23">
        <v>2.1309999999999998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-0.57446808510639347</v>
      </c>
      <c r="Q23">
        <f t="shared" ref="Q23" si="91">F23*P23</f>
        <v>-96787.474468086875</v>
      </c>
      <c r="R23">
        <f t="shared" ref="R23" si="92">R24+Q23</f>
        <v>-129666145.15505046</v>
      </c>
      <c r="S23">
        <f t="shared" ref="S23" si="93">R23/100000</f>
        <v>-1296.6614515505046</v>
      </c>
      <c r="T23">
        <f t="shared" ref="T23" si="94">S23/1000</f>
        <v>-1.2966614515505046</v>
      </c>
    </row>
    <row r="24" spans="1:20" x14ac:dyDescent="0.25">
      <c r="A24" s="5">
        <v>44569</v>
      </c>
      <c r="B24">
        <v>2.125</v>
      </c>
      <c r="C24">
        <v>2.1549999999999998</v>
      </c>
      <c r="D24">
        <v>2.1190000000000002</v>
      </c>
      <c r="E24">
        <v>2.13</v>
      </c>
      <c r="F24">
        <v>354730.9</v>
      </c>
      <c r="G24">
        <v>2.13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-0.38888888888889983</v>
      </c>
      <c r="Q24">
        <f t="shared" ref="Q24" si="96">F24*P24</f>
        <v>-137950.90555555944</v>
      </c>
      <c r="R24">
        <f t="shared" ref="R24" si="97">R25+Q24</f>
        <v>-129569357.68058237</v>
      </c>
      <c r="S24">
        <f t="shared" ref="S24" si="98">R24/100000</f>
        <v>-1295.6935768058238</v>
      </c>
      <c r="T24">
        <f t="shared" ref="T24" si="99">S24/1000</f>
        <v>-1.2956935768058238</v>
      </c>
    </row>
    <row r="25" spans="1:20" x14ac:dyDescent="0.25">
      <c r="A25" s="5">
        <v>44568</v>
      </c>
      <c r="B25">
        <v>2.2160000000000002</v>
      </c>
      <c r="C25">
        <v>2.218</v>
      </c>
      <c r="D25">
        <v>2.1190000000000002</v>
      </c>
      <c r="E25">
        <v>2.121</v>
      </c>
      <c r="F25">
        <v>1134525.8</v>
      </c>
      <c r="G25">
        <v>2.121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-0.959595959595964</v>
      </c>
      <c r="Q25">
        <f t="shared" ref="Q25" si="101">F25*P25</f>
        <v>-1088686.3737373787</v>
      </c>
      <c r="R25">
        <f t="shared" ref="R25" si="102">R26+Q25</f>
        <v>-129431406.77502681</v>
      </c>
      <c r="S25">
        <f t="shared" ref="S25" si="103">R25/100000</f>
        <v>-1294.3140677502681</v>
      </c>
      <c r="T25">
        <f t="shared" ref="T25" si="104">S25/1000</f>
        <v>-1.294314067750268</v>
      </c>
    </row>
    <row r="26" spans="1:20" x14ac:dyDescent="0.25">
      <c r="A26" s="5">
        <v>44567</v>
      </c>
      <c r="B26">
        <v>2.2559999999999998</v>
      </c>
      <c r="C26">
        <v>2.2850000000000001</v>
      </c>
      <c r="D26">
        <v>2.202</v>
      </c>
      <c r="E26">
        <v>2.218</v>
      </c>
      <c r="F26">
        <v>973337.2</v>
      </c>
      <c r="G26">
        <v>2.218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-0.61445783132530174</v>
      </c>
      <c r="Q26">
        <f t="shared" ref="Q26" si="106">F26*P26</f>
        <v>-598074.66506024147</v>
      </c>
      <c r="R26">
        <f t="shared" ref="R26" si="107">R27+Q26</f>
        <v>-128342720.40128943</v>
      </c>
      <c r="S26">
        <f t="shared" ref="S26" si="108">R26/100000</f>
        <v>-1283.4272040128944</v>
      </c>
      <c r="T26">
        <f t="shared" ref="T26" si="109">S26/1000</f>
        <v>-1.2834272040128945</v>
      </c>
    </row>
    <row r="27" spans="1:20" x14ac:dyDescent="0.25">
      <c r="A27" s="5">
        <v>44566</v>
      </c>
      <c r="B27">
        <v>2.2690000000000001</v>
      </c>
      <c r="C27">
        <v>2.2959999999999998</v>
      </c>
      <c r="D27">
        <v>2.2429999999999999</v>
      </c>
      <c r="E27">
        <v>2.2589999999999999</v>
      </c>
      <c r="F27">
        <v>620291.80000000005</v>
      </c>
      <c r="G27">
        <v>2.2589999999999999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-0.39622641509433837</v>
      </c>
      <c r="Q27">
        <f t="shared" ref="Q27" si="111">F27*P27</f>
        <v>-245775.99622641434</v>
      </c>
      <c r="R27">
        <f t="shared" ref="R27" si="112">R28+Q27</f>
        <v>-127744645.7362292</v>
      </c>
      <c r="S27">
        <f t="shared" ref="S27" si="113">R27/100000</f>
        <v>-1277.446457362292</v>
      </c>
      <c r="T27">
        <f t="shared" ref="T27" si="114">S27/1000</f>
        <v>-1.2774464573622919</v>
      </c>
    </row>
    <row r="28" spans="1:20" x14ac:dyDescent="0.25">
      <c r="A28" s="5">
        <v>44565</v>
      </c>
      <c r="B28">
        <v>2.2759999999999998</v>
      </c>
      <c r="C28">
        <v>2.2890000000000001</v>
      </c>
      <c r="D28">
        <v>2.266</v>
      </c>
      <c r="E28">
        <v>2.27</v>
      </c>
      <c r="F28">
        <v>233271.7</v>
      </c>
      <c r="G28">
        <v>2.27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-0.65217391304347994</v>
      </c>
      <c r="Q28">
        <f t="shared" ref="Q28" si="116">F28*P28</f>
        <v>-152133.71739130476</v>
      </c>
      <c r="R28">
        <f t="shared" ref="R28" si="117">R29+Q28</f>
        <v>-127498869.74000278</v>
      </c>
      <c r="S28">
        <f t="shared" ref="S28" si="118">R28/100000</f>
        <v>-1274.9886974000278</v>
      </c>
      <c r="T28">
        <f t="shared" ref="T28" si="119">S28/1000</f>
        <v>-1.2749886974000277</v>
      </c>
    </row>
    <row r="29" spans="1:20" x14ac:dyDescent="0.25">
      <c r="A29" s="5">
        <v>44564</v>
      </c>
      <c r="B29">
        <v>2.3090000000000002</v>
      </c>
      <c r="C29">
        <v>2.3199999999999998</v>
      </c>
      <c r="D29">
        <v>2.258</v>
      </c>
      <c r="E29">
        <v>2.2759999999999998</v>
      </c>
      <c r="F29">
        <v>256812.2</v>
      </c>
      <c r="G29">
        <v>2.2759999999999998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-0.41935483870968249</v>
      </c>
      <c r="Q29">
        <f t="shared" ref="Q29" si="121">F29*P29</f>
        <v>-107695.43870967872</v>
      </c>
      <c r="R29">
        <f t="shared" ref="R29" si="122">R30+Q29</f>
        <v>-127346736.02261147</v>
      </c>
      <c r="S29">
        <f t="shared" ref="S29" si="123">R29/100000</f>
        <v>-1273.4673602261146</v>
      </c>
      <c r="T29">
        <f t="shared" ref="T29" si="124">S29/1000</f>
        <v>-1.2734673602261146</v>
      </c>
    </row>
    <row r="30" spans="1:20" x14ac:dyDescent="0.25">
      <c r="A30" s="5">
        <v>44563</v>
      </c>
      <c r="B30">
        <v>2.3290000000000002</v>
      </c>
      <c r="C30">
        <v>2.37</v>
      </c>
      <c r="D30">
        <v>2.2999999999999998</v>
      </c>
      <c r="E30">
        <v>2.3130000000000002</v>
      </c>
      <c r="F30">
        <v>258985.5</v>
      </c>
      <c r="G30">
        <v>2.3130000000000002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-0.62857142857142023</v>
      </c>
      <c r="Q30">
        <f t="shared" ref="Q30" si="126">F30*P30</f>
        <v>-162790.88571428356</v>
      </c>
      <c r="R30">
        <f t="shared" ref="R30" si="127">R31+Q30</f>
        <v>-127239040.58390179</v>
      </c>
      <c r="S30">
        <f t="shared" ref="S30" si="128">R30/100000</f>
        <v>-1272.3904058390178</v>
      </c>
      <c r="T30">
        <f t="shared" ref="T30" si="129">S30/1000</f>
        <v>-1.2723904058390179</v>
      </c>
    </row>
    <row r="31" spans="1:20" x14ac:dyDescent="0.25">
      <c r="A31" s="5">
        <v>44562</v>
      </c>
      <c r="B31">
        <v>2.2869999999999999</v>
      </c>
      <c r="C31">
        <v>2.335</v>
      </c>
      <c r="D31">
        <v>2.2850000000000001</v>
      </c>
      <c r="E31">
        <v>2.3290000000000002</v>
      </c>
      <c r="F31">
        <v>218124.4</v>
      </c>
      <c r="G31">
        <v>2.3290000000000002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0.76000000000000778</v>
      </c>
      <c r="Q31">
        <f t="shared" ref="Q31" si="131">F31*P31</f>
        <v>165774.54400000168</v>
      </c>
      <c r="R31">
        <f t="shared" ref="R31" si="132">R32+Q31</f>
        <v>-127076249.69818752</v>
      </c>
      <c r="S31">
        <f t="shared" ref="S31" si="133">R31/100000</f>
        <v>-1270.7624969818751</v>
      </c>
      <c r="T31">
        <f t="shared" ref="T31" si="134">S31/1000</f>
        <v>-1.2707624969818752</v>
      </c>
    </row>
    <row r="32" spans="1:20" x14ac:dyDescent="0.25">
      <c r="A32" s="5">
        <v>44561</v>
      </c>
      <c r="B32">
        <v>2.335</v>
      </c>
      <c r="C32">
        <v>2.38</v>
      </c>
      <c r="D32">
        <v>2.2810000000000001</v>
      </c>
      <c r="E32">
        <v>2.2839999999999998</v>
      </c>
      <c r="F32">
        <v>649793.80000000005</v>
      </c>
      <c r="G32">
        <v>2.2839999999999998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-0.93939393939394589</v>
      </c>
      <c r="Q32">
        <f t="shared" ref="Q32" si="136">F32*P32</f>
        <v>-610412.35757576185</v>
      </c>
      <c r="R32">
        <f t="shared" ref="R32" si="137">R33+Q32</f>
        <v>-127242024.24218751</v>
      </c>
      <c r="S32">
        <f t="shared" ref="S32" si="138">R32/100000</f>
        <v>-1272.4202424218752</v>
      </c>
      <c r="T32">
        <f t="shared" ref="T32" si="139">S32/1000</f>
        <v>-1.2724202424218751</v>
      </c>
    </row>
    <row r="33" spans="1:20" x14ac:dyDescent="0.25">
      <c r="A33" s="5">
        <v>44560</v>
      </c>
      <c r="B33">
        <v>2.3039999999999998</v>
      </c>
      <c r="C33">
        <v>2.3410000000000002</v>
      </c>
      <c r="D33">
        <v>2.3010000000000002</v>
      </c>
      <c r="E33">
        <v>2.3370000000000002</v>
      </c>
      <c r="F33">
        <v>354645.1</v>
      </c>
      <c r="G33">
        <v>2.3370000000000002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0.8</v>
      </c>
      <c r="Q33">
        <f t="shared" ref="Q33" si="141">F33*P33</f>
        <v>283716.08</v>
      </c>
      <c r="R33">
        <f t="shared" ref="R33" si="142">R34+Q33</f>
        <v>-126631611.88461176</v>
      </c>
      <c r="S33">
        <f t="shared" ref="S33" si="143">R33/100000</f>
        <v>-1266.3161188461177</v>
      </c>
      <c r="T33">
        <f t="shared" ref="T33" si="144">S33/1000</f>
        <v>-1.2663161188461176</v>
      </c>
    </row>
    <row r="34" spans="1:20" x14ac:dyDescent="0.25">
      <c r="A34" s="5">
        <v>44559</v>
      </c>
      <c r="B34">
        <v>2.3540000000000001</v>
      </c>
      <c r="C34">
        <v>2.37</v>
      </c>
      <c r="D34">
        <v>2.3010000000000002</v>
      </c>
      <c r="E34">
        <v>2.3039999999999998</v>
      </c>
      <c r="F34">
        <v>605316.80000000005</v>
      </c>
      <c r="G34">
        <v>2.3039999999999998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-0.91304347826087906</v>
      </c>
      <c r="Q34">
        <f t="shared" ref="Q34" si="146">F34*P34</f>
        <v>-552680.55652174493</v>
      </c>
      <c r="R34">
        <f t="shared" ref="R34" si="147">R35+Q34</f>
        <v>-126915327.96461175</v>
      </c>
      <c r="S34">
        <f t="shared" ref="S34" si="148">R34/100000</f>
        <v>-1269.1532796461174</v>
      </c>
      <c r="T34">
        <f t="shared" ref="T34" si="149">S34/1000</f>
        <v>-1.2691532796461173</v>
      </c>
    </row>
    <row r="35" spans="1:20" x14ac:dyDescent="0.25">
      <c r="A35" s="5">
        <v>44558</v>
      </c>
      <c r="B35">
        <v>2.3969999999999998</v>
      </c>
      <c r="C35">
        <v>2.4289999999999998</v>
      </c>
      <c r="D35">
        <v>2.3530000000000002</v>
      </c>
      <c r="E35">
        <v>2.3540000000000001</v>
      </c>
      <c r="F35">
        <v>907573.3</v>
      </c>
      <c r="G35">
        <v>2.3540000000000001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-0.97368421052631859</v>
      </c>
      <c r="Q35">
        <f t="shared" ref="Q35" si="151">F35*P35</f>
        <v>-883689.79210526578</v>
      </c>
      <c r="R35">
        <f t="shared" ref="R35" si="152">R36+Q35</f>
        <v>-126362647.40809001</v>
      </c>
      <c r="S35">
        <f t="shared" ref="S35" si="153">R35/100000</f>
        <v>-1263.6264740809002</v>
      </c>
      <c r="T35">
        <f t="shared" ref="T35" si="154">S35/1000</f>
        <v>-1.2636264740809002</v>
      </c>
    </row>
    <row r="36" spans="1:20" x14ac:dyDescent="0.25">
      <c r="A36" s="5">
        <v>44557</v>
      </c>
      <c r="B36">
        <v>2.415</v>
      </c>
      <c r="C36">
        <v>2.448</v>
      </c>
      <c r="D36">
        <v>2.363</v>
      </c>
      <c r="E36">
        <v>2.3969999999999998</v>
      </c>
      <c r="F36">
        <v>737992.3</v>
      </c>
      <c r="G36">
        <v>2.3969999999999998</v>
      </c>
      <c r="L36" t="s">
        <v>7</v>
      </c>
      <c r="M36" t="s">
        <v>7</v>
      </c>
      <c r="N36" t="s">
        <v>7</v>
      </c>
      <c r="P36">
        <f t="shared" ref="P36" si="155">IF(C36=D36,0,((E36-D36)-(C36-E36))/(C36-D36))</f>
        <v>-0.20000000000000417</v>
      </c>
      <c r="Q36">
        <f t="shared" ref="Q36" si="156">F36*P36</f>
        <v>-147598.46000000308</v>
      </c>
      <c r="R36">
        <f t="shared" ref="R36" si="157">R37+Q36</f>
        <v>-125478957.61598474</v>
      </c>
      <c r="S36">
        <f t="shared" ref="S36" si="158">R36/100000</f>
        <v>-1254.7895761598475</v>
      </c>
      <c r="T36">
        <f t="shared" ref="T36" si="159">S36/1000</f>
        <v>-1.2547895761598475</v>
      </c>
    </row>
    <row r="37" spans="1:20" x14ac:dyDescent="0.25">
      <c r="A37" s="5">
        <v>44556</v>
      </c>
      <c r="B37">
        <v>2.3879999999999999</v>
      </c>
      <c r="C37">
        <v>2.419</v>
      </c>
      <c r="D37">
        <v>2.3650000000000002</v>
      </c>
      <c r="E37">
        <v>2.4089999999999998</v>
      </c>
      <c r="F37">
        <v>467910.6</v>
      </c>
      <c r="G37">
        <v>2.4089999999999998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0.62962962962961988</v>
      </c>
      <c r="Q37">
        <f t="shared" ref="Q37" si="161">F37*P37</f>
        <v>294610.37777777319</v>
      </c>
      <c r="R37">
        <f t="shared" ref="R37" si="162">R38+Q37</f>
        <v>-125331359.15598473</v>
      </c>
      <c r="S37">
        <f t="shared" ref="S37" si="163">R37/100000</f>
        <v>-1253.3135915598473</v>
      </c>
      <c r="T37">
        <f t="shared" ref="T37" si="164">S37/1000</f>
        <v>-1.2533135915598472</v>
      </c>
    </row>
    <row r="38" spans="1:20" x14ac:dyDescent="0.25">
      <c r="A38" s="5">
        <v>44555</v>
      </c>
      <c r="B38">
        <v>2.3820000000000001</v>
      </c>
      <c r="C38">
        <v>2.3969999999999998</v>
      </c>
      <c r="D38">
        <v>2.359</v>
      </c>
      <c r="E38">
        <v>2.3849999999999998</v>
      </c>
      <c r="F38">
        <v>456492.7</v>
      </c>
      <c r="G38">
        <v>2.3849999999999998</v>
      </c>
      <c r="L38" t="s">
        <v>7</v>
      </c>
      <c r="M38" t="s">
        <v>7</v>
      </c>
      <c r="N38" t="s">
        <v>7</v>
      </c>
      <c r="P38">
        <f t="shared" ref="P38" si="165">IF(C38=D38,0,((E38-D38)-(C38-E38))/(C38-D38))</f>
        <v>0.36842105263157526</v>
      </c>
      <c r="Q38">
        <f t="shared" ref="Q38" si="166">F38*P38</f>
        <v>168181.52105262989</v>
      </c>
      <c r="R38">
        <f t="shared" ref="R38" si="167">R39+Q38</f>
        <v>-125625969.5337625</v>
      </c>
      <c r="S38">
        <f t="shared" ref="S38" si="168">R38/100000</f>
        <v>-1256.2596953376251</v>
      </c>
      <c r="T38">
        <f t="shared" ref="T38" si="169">S38/1000</f>
        <v>-1.256259695337625</v>
      </c>
    </row>
    <row r="39" spans="1:20" x14ac:dyDescent="0.25">
      <c r="A39" s="5">
        <v>44554</v>
      </c>
      <c r="B39">
        <v>2.4249999999999998</v>
      </c>
      <c r="C39">
        <v>2.4430000000000001</v>
      </c>
      <c r="D39">
        <v>2.3719999999999999</v>
      </c>
      <c r="E39">
        <v>2.3820000000000001</v>
      </c>
      <c r="F39">
        <v>1175035.3</v>
      </c>
      <c r="G39">
        <v>2.3820000000000001</v>
      </c>
      <c r="L39" t="s">
        <v>7</v>
      </c>
      <c r="M39" t="s">
        <v>7</v>
      </c>
      <c r="N39" t="s">
        <v>7</v>
      </c>
      <c r="P39">
        <f t="shared" ref="P39" si="170">IF(C39=D39,0,((E39-D39)-(C39-E39))/(C39-D39))</f>
        <v>-0.71830985915492374</v>
      </c>
      <c r="Q39">
        <f t="shared" ref="Q39" si="171">F39*P39</f>
        <v>-844039.44084506354</v>
      </c>
      <c r="R39">
        <f t="shared" ref="R39" si="172">R40+Q39</f>
        <v>-125794151.05481513</v>
      </c>
      <c r="S39">
        <f t="shared" ref="S39" si="173">R39/100000</f>
        <v>-1257.9415105481512</v>
      </c>
      <c r="T39">
        <f t="shared" ref="T39" si="174">S39/1000</f>
        <v>-1.2579415105481513</v>
      </c>
    </row>
    <row r="40" spans="1:20" x14ac:dyDescent="0.25">
      <c r="A40" s="5">
        <v>44553</v>
      </c>
      <c r="B40">
        <v>2.3809999999999998</v>
      </c>
      <c r="C40">
        <v>2.4340000000000002</v>
      </c>
      <c r="D40">
        <v>2.3639999999999999</v>
      </c>
      <c r="E40">
        <v>2.4249999999999998</v>
      </c>
      <c r="F40">
        <v>726504.8</v>
      </c>
      <c r="G40">
        <v>2.4249999999999998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0.74285714285713411</v>
      </c>
      <c r="Q40">
        <f t="shared" ref="Q40" si="176">F40*P40</f>
        <v>539689.27999999363</v>
      </c>
      <c r="R40">
        <f t="shared" ref="R40" si="177">R41+Q40</f>
        <v>-124950111.61397007</v>
      </c>
      <c r="S40">
        <f t="shared" ref="S40" si="178">R40/100000</f>
        <v>-1249.5011161397008</v>
      </c>
      <c r="T40">
        <f t="shared" ref="T40" si="179">S40/1000</f>
        <v>-1.2495011161397007</v>
      </c>
    </row>
    <row r="41" spans="1:20" x14ac:dyDescent="0.25">
      <c r="A41" s="5">
        <v>44552</v>
      </c>
      <c r="B41">
        <v>2.3929999999999998</v>
      </c>
      <c r="C41">
        <v>2.407</v>
      </c>
      <c r="D41">
        <v>2.3650000000000002</v>
      </c>
      <c r="E41">
        <v>2.3809999999999998</v>
      </c>
      <c r="F41">
        <v>502168.1</v>
      </c>
      <c r="G41">
        <v>2.3809999999999998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-0.23809523809525521</v>
      </c>
      <c r="Q41">
        <f t="shared" ref="Q41" si="181">F41*P41</f>
        <v>-119563.83333334191</v>
      </c>
      <c r="R41">
        <f t="shared" ref="R41" si="182">R42+Q41</f>
        <v>-125489800.89397006</v>
      </c>
      <c r="S41">
        <f t="shared" ref="S41" si="183">R41/100000</f>
        <v>-1254.8980089397005</v>
      </c>
      <c r="T41">
        <f t="shared" ref="T41" si="184">S41/1000</f>
        <v>-1.2548980089397006</v>
      </c>
    </row>
    <row r="42" spans="1:20" x14ac:dyDescent="0.25">
      <c r="A42" s="5">
        <v>44551</v>
      </c>
      <c r="B42">
        <v>2.367</v>
      </c>
      <c r="C42">
        <v>2.4159999999999999</v>
      </c>
      <c r="D42">
        <v>2.3490000000000002</v>
      </c>
      <c r="E42">
        <v>2.3929999999999998</v>
      </c>
      <c r="F42">
        <v>511166</v>
      </c>
      <c r="G42">
        <v>2.3929999999999998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0.31343283582088882</v>
      </c>
      <c r="Q42">
        <f t="shared" ref="Q42" si="186">F42*P42</f>
        <v>160216.20895522044</v>
      </c>
      <c r="R42">
        <f t="shared" ref="R42" si="187">R43+Q42</f>
        <v>-125370237.06063671</v>
      </c>
      <c r="S42">
        <f t="shared" ref="S42" si="188">R42/100000</f>
        <v>-1253.7023706063671</v>
      </c>
      <c r="T42">
        <f t="shared" ref="T42" si="189">S42/1000</f>
        <v>-1.2537023706063672</v>
      </c>
    </row>
    <row r="43" spans="1:20" x14ac:dyDescent="0.25">
      <c r="A43" s="5">
        <v>44550</v>
      </c>
      <c r="B43">
        <v>2.3370000000000002</v>
      </c>
      <c r="C43">
        <v>2.4049999999999998</v>
      </c>
      <c r="D43">
        <v>2.3250000000000002</v>
      </c>
      <c r="E43">
        <v>2.367</v>
      </c>
      <c r="F43">
        <v>730525.4</v>
      </c>
      <c r="G43">
        <v>2.367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5.000000000000028E-2</v>
      </c>
      <c r="Q43">
        <f t="shared" ref="Q43" si="191">F43*P43</f>
        <v>36526.270000000208</v>
      </c>
      <c r="R43">
        <f t="shared" ref="R43" si="192">R44+Q43</f>
        <v>-125530453.26959193</v>
      </c>
      <c r="S43">
        <f t="shared" ref="S43" si="193">R43/100000</f>
        <v>-1255.3045326959193</v>
      </c>
      <c r="T43">
        <f t="shared" ref="T43" si="194">S43/1000</f>
        <v>-1.2553045326959194</v>
      </c>
    </row>
    <row r="44" spans="1:20" x14ac:dyDescent="0.25">
      <c r="A44" s="5">
        <v>44549</v>
      </c>
      <c r="B44">
        <v>2.3889999999999998</v>
      </c>
      <c r="C44">
        <v>2.4289999999999998</v>
      </c>
      <c r="D44">
        <v>2.3359999999999999</v>
      </c>
      <c r="E44">
        <v>2.3380000000000001</v>
      </c>
      <c r="F44">
        <v>618201.1</v>
      </c>
      <c r="G44">
        <v>2.3380000000000001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-0.95698924731182311</v>
      </c>
      <c r="Q44">
        <f t="shared" ref="Q44" si="196">F44*P44</f>
        <v>-591611.8053763411</v>
      </c>
      <c r="R44">
        <f t="shared" ref="R44" si="197">R45+Q44</f>
        <v>-125566979.53959192</v>
      </c>
      <c r="S44">
        <f t="shared" ref="S44" si="198">R44/100000</f>
        <v>-1255.6697953959192</v>
      </c>
      <c r="T44">
        <f t="shared" ref="T44" si="199">S44/1000</f>
        <v>-1.2556697953959193</v>
      </c>
    </row>
    <row r="45" spans="1:20" x14ac:dyDescent="0.25">
      <c r="A45" s="5">
        <v>44548</v>
      </c>
      <c r="B45">
        <v>2.4</v>
      </c>
      <c r="C45">
        <v>2.4390000000000001</v>
      </c>
      <c r="D45">
        <v>2.37</v>
      </c>
      <c r="E45">
        <v>2.3889999999999998</v>
      </c>
      <c r="F45">
        <v>585652.30000000005</v>
      </c>
      <c r="G45">
        <v>2.3889999999999998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-0.44927536231884935</v>
      </c>
      <c r="Q45">
        <f t="shared" ref="Q45" si="201">F45*P45</f>
        <v>-263119.1492753675</v>
      </c>
      <c r="R45">
        <f t="shared" ref="R45" si="202">R46+Q45</f>
        <v>-124975367.73421559</v>
      </c>
      <c r="S45">
        <f t="shared" ref="S45" si="203">R45/100000</f>
        <v>-1249.7536773421559</v>
      </c>
      <c r="T45">
        <f t="shared" ref="T45" si="204">S45/1000</f>
        <v>-1.249753677342156</v>
      </c>
    </row>
    <row r="46" spans="1:20" x14ac:dyDescent="0.25">
      <c r="A46" s="5">
        <v>44547</v>
      </c>
      <c r="B46">
        <v>2.387</v>
      </c>
      <c r="C46">
        <v>2.41</v>
      </c>
      <c r="D46">
        <v>2.3330000000000002</v>
      </c>
      <c r="E46">
        <v>2.399</v>
      </c>
      <c r="F46">
        <v>663992.1</v>
      </c>
      <c r="G46">
        <v>2.399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0.71428571428571097</v>
      </c>
      <c r="Q46">
        <f t="shared" ref="Q46" si="206">F46*P46</f>
        <v>474280.07142856921</v>
      </c>
      <c r="R46">
        <f t="shared" ref="R46" si="207">R47+Q46</f>
        <v>-124712248.58494022</v>
      </c>
      <c r="S46">
        <f t="shared" ref="S46" si="208">R46/100000</f>
        <v>-1247.1224858494022</v>
      </c>
      <c r="T46">
        <f t="shared" ref="T46" si="209">S46/1000</f>
        <v>-1.2471224858494021</v>
      </c>
    </row>
    <row r="47" spans="1:20" x14ac:dyDescent="0.25">
      <c r="A47" s="5">
        <v>44546</v>
      </c>
      <c r="B47">
        <v>2.4089999999999998</v>
      </c>
      <c r="C47">
        <v>2.427</v>
      </c>
      <c r="D47">
        <v>2.367</v>
      </c>
      <c r="E47">
        <v>2.387</v>
      </c>
      <c r="F47">
        <v>445170.5</v>
      </c>
      <c r="G47">
        <v>2.387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-0.33333333333333331</v>
      </c>
      <c r="Q47">
        <f t="shared" ref="Q47" si="211">F47*P47</f>
        <v>-148390.16666666666</v>
      </c>
      <c r="R47">
        <f t="shared" ref="R47" si="212">R48+Q47</f>
        <v>-125186528.65636879</v>
      </c>
      <c r="S47">
        <f t="shared" ref="S47" si="213">R47/100000</f>
        <v>-1251.865286563688</v>
      </c>
      <c r="T47">
        <f t="shared" ref="T47" si="214">S47/1000</f>
        <v>-1.2518652865636879</v>
      </c>
    </row>
    <row r="48" spans="1:20" x14ac:dyDescent="0.25">
      <c r="A48" s="5">
        <v>44545</v>
      </c>
      <c r="B48">
        <v>2.359</v>
      </c>
      <c r="C48">
        <v>2.4089999999999998</v>
      </c>
      <c r="D48">
        <v>2.323</v>
      </c>
      <c r="E48">
        <v>2.4089999999999998</v>
      </c>
      <c r="F48">
        <v>721949.7</v>
      </c>
      <c r="G48">
        <v>2.4089999999999998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1</v>
      </c>
      <c r="Q48">
        <f t="shared" ref="Q48" si="216">F48*P48</f>
        <v>721949.7</v>
      </c>
      <c r="R48">
        <f t="shared" ref="R48" si="217">R49+Q48</f>
        <v>-125038138.48970212</v>
      </c>
      <c r="S48">
        <f t="shared" ref="S48" si="218">R48/100000</f>
        <v>-1250.3813848970212</v>
      </c>
      <c r="T48">
        <f t="shared" ref="T48" si="219">S48/1000</f>
        <v>-1.2503813848970213</v>
      </c>
    </row>
    <row r="49" spans="1:20" x14ac:dyDescent="0.25">
      <c r="A49" s="5">
        <v>44544</v>
      </c>
      <c r="B49">
        <v>2.35</v>
      </c>
      <c r="C49">
        <v>2.3780000000000001</v>
      </c>
      <c r="D49">
        <v>2.331</v>
      </c>
      <c r="E49">
        <v>2.3610000000000002</v>
      </c>
      <c r="F49">
        <v>478212.6</v>
      </c>
      <c r="G49">
        <v>2.3610000000000002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0.27659574468085751</v>
      </c>
      <c r="Q49">
        <f t="shared" ref="Q49" si="221">F49*P49</f>
        <v>132271.57021276903</v>
      </c>
      <c r="R49">
        <f t="shared" ref="R49" si="222">R50+Q49</f>
        <v>-125760088.18970212</v>
      </c>
      <c r="S49">
        <f t="shared" ref="S49" si="223">R49/100000</f>
        <v>-1257.6008818970213</v>
      </c>
      <c r="T49">
        <f t="shared" ref="T49" si="224">S49/1000</f>
        <v>-1.2576008818970212</v>
      </c>
    </row>
    <row r="50" spans="1:20" x14ac:dyDescent="0.25">
      <c r="A50" s="5">
        <v>44543</v>
      </c>
      <c r="B50">
        <v>2.44</v>
      </c>
      <c r="C50">
        <v>2.4489999999999998</v>
      </c>
      <c r="D50">
        <v>2.3460000000000001</v>
      </c>
      <c r="E50">
        <v>2.35</v>
      </c>
      <c r="F50">
        <v>1517656.2</v>
      </c>
      <c r="G50">
        <v>2.35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-0.92233009708737834</v>
      </c>
      <c r="Q50">
        <f t="shared" ref="Q50" si="226">F50*P50</f>
        <v>-1399779.9902912616</v>
      </c>
      <c r="R50">
        <f t="shared" ref="R50" si="227">R51+Q50</f>
        <v>-125892359.75991489</v>
      </c>
      <c r="S50">
        <f t="shared" ref="S50" si="228">R50/100000</f>
        <v>-1258.9235975991489</v>
      </c>
      <c r="T50">
        <f t="shared" ref="T50" si="229">S50/1000</f>
        <v>-1.2589235975991488</v>
      </c>
    </row>
    <row r="51" spans="1:20" x14ac:dyDescent="0.25">
      <c r="A51" s="5">
        <v>44542</v>
      </c>
      <c r="B51">
        <v>2.42</v>
      </c>
      <c r="C51">
        <v>2.464</v>
      </c>
      <c r="D51">
        <v>2.4049999999999998</v>
      </c>
      <c r="E51">
        <v>2.4409999999999998</v>
      </c>
      <c r="F51">
        <v>408845.3</v>
      </c>
      <c r="G51">
        <v>2.4409999999999998</v>
      </c>
      <c r="L51" t="s">
        <v>7</v>
      </c>
      <c r="M51" t="s">
        <v>7</v>
      </c>
      <c r="N51" t="s">
        <v>8</v>
      </c>
      <c r="P51">
        <f t="shared" ref="P51" si="230">IF(C51=D51,0,((E51-D51)-(C51-E51))/(C51-D51))</f>
        <v>0.22033898305084515</v>
      </c>
      <c r="Q51">
        <f t="shared" ref="Q51" si="231">F51*P51</f>
        <v>90084.557627117698</v>
      </c>
      <c r="R51">
        <f t="shared" ref="R51" si="232">R52+Q51</f>
        <v>-124492579.76962362</v>
      </c>
      <c r="S51">
        <f t="shared" ref="S51" si="233">R51/100000</f>
        <v>-1244.9257976962363</v>
      </c>
      <c r="T51">
        <f t="shared" ref="T51" si="234">S51/1000</f>
        <v>-1.2449257976962362</v>
      </c>
    </row>
    <row r="52" spans="1:20" x14ac:dyDescent="0.25">
      <c r="A52" s="5">
        <v>44541</v>
      </c>
      <c r="B52">
        <v>2.4159999999999999</v>
      </c>
      <c r="C52">
        <v>2.4380000000000002</v>
      </c>
      <c r="D52">
        <v>2.4</v>
      </c>
      <c r="E52">
        <v>2.4359999999999999</v>
      </c>
      <c r="F52">
        <v>41223.199999999997</v>
      </c>
      <c r="G52">
        <v>2.4359999999999999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0.89473684210525206</v>
      </c>
      <c r="Q52">
        <f t="shared" ref="Q52" si="236">F52*P52</f>
        <v>36883.915789473227</v>
      </c>
      <c r="R52">
        <f t="shared" ref="R52" si="237">R53+Q52</f>
        <v>-124582664.32725073</v>
      </c>
      <c r="S52">
        <f t="shared" ref="S52" si="238">R52/100000</f>
        <v>-1245.8266432725072</v>
      </c>
      <c r="T52">
        <f t="shared" ref="T52" si="239">S52/1000</f>
        <v>-1.2458266432725071</v>
      </c>
    </row>
    <row r="53" spans="1:20" x14ac:dyDescent="0.25">
      <c r="A53" s="5">
        <v>44540</v>
      </c>
      <c r="B53">
        <v>2.4300000000000002</v>
      </c>
      <c r="C53">
        <v>2.4990000000000001</v>
      </c>
      <c r="D53">
        <v>2.395</v>
      </c>
      <c r="E53">
        <v>2.415</v>
      </c>
      <c r="F53">
        <v>715361.2</v>
      </c>
      <c r="G53">
        <v>2.415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-0.61538461538461542</v>
      </c>
      <c r="Q53">
        <f t="shared" ref="Q53" si="241">F53*P53</f>
        <v>-440222.27692307689</v>
      </c>
      <c r="R53">
        <f t="shared" ref="R53" si="242">R54+Q53</f>
        <v>-124619548.2430402</v>
      </c>
      <c r="S53">
        <f t="shared" ref="S53" si="243">R53/100000</f>
        <v>-1246.1954824304021</v>
      </c>
      <c r="T53">
        <f t="shared" ref="T53" si="244">S53/1000</f>
        <v>-1.246195482430402</v>
      </c>
    </row>
    <row r="54" spans="1:20" x14ac:dyDescent="0.25">
      <c r="A54" s="5">
        <v>44539</v>
      </c>
      <c r="B54">
        <v>2.4900000000000002</v>
      </c>
      <c r="C54">
        <v>2.4990000000000001</v>
      </c>
      <c r="D54">
        <v>2.4289999999999998</v>
      </c>
      <c r="E54">
        <v>2.4300000000000002</v>
      </c>
      <c r="F54">
        <v>953548.2</v>
      </c>
      <c r="G54">
        <v>2.4300000000000002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-0.97142857142856198</v>
      </c>
      <c r="Q54">
        <f t="shared" ref="Q54" si="246">F54*P54</f>
        <v>-926303.96571427665</v>
      </c>
      <c r="R54">
        <f t="shared" ref="R54" si="247">R55+Q54</f>
        <v>-124179325.96611713</v>
      </c>
      <c r="S54">
        <f t="shared" ref="S54" si="248">R54/100000</f>
        <v>-1241.7932596611713</v>
      </c>
      <c r="T54">
        <f t="shared" ref="T54" si="249">S54/1000</f>
        <v>-1.2417932596611714</v>
      </c>
    </row>
    <row r="55" spans="1:20" x14ac:dyDescent="0.25">
      <c r="A55" s="5">
        <v>44538</v>
      </c>
      <c r="B55">
        <v>2.5089999999999999</v>
      </c>
      <c r="C55">
        <v>2.5489999999999999</v>
      </c>
      <c r="D55">
        <v>2.4870000000000001</v>
      </c>
      <c r="E55">
        <v>2.4889999999999999</v>
      </c>
      <c r="F55">
        <v>857933.3</v>
      </c>
      <c r="G55">
        <v>2.4889999999999999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-0.93548387096774888</v>
      </c>
      <c r="Q55">
        <f t="shared" ref="Q55" si="251">F55*P55</f>
        <v>-802582.76451613498</v>
      </c>
      <c r="R55">
        <f t="shared" ref="R55" si="252">R56+Q55</f>
        <v>-123253022.00040285</v>
      </c>
      <c r="S55">
        <f t="shared" ref="S55" si="253">R55/100000</f>
        <v>-1232.5302200040285</v>
      </c>
      <c r="T55">
        <f t="shared" ref="T55" si="254">S55/1000</f>
        <v>-1.2325302200040285</v>
      </c>
    </row>
    <row r="56" spans="1:20" x14ac:dyDescent="0.25">
      <c r="A56" s="5">
        <v>44537</v>
      </c>
      <c r="B56">
        <v>2.5009999999999999</v>
      </c>
      <c r="C56">
        <v>2.5680000000000001</v>
      </c>
      <c r="D56">
        <v>2.488</v>
      </c>
      <c r="E56">
        <v>2.5089999999999999</v>
      </c>
      <c r="F56">
        <v>1101605.8</v>
      </c>
      <c r="G56">
        <v>2.5089999999999999</v>
      </c>
      <c r="L56" t="s">
        <v>7</v>
      </c>
      <c r="M56" t="s">
        <v>7</v>
      </c>
      <c r="N56" t="s">
        <v>8</v>
      </c>
      <c r="P56">
        <f t="shared" ref="P56" si="255">IF(C56=D56,0,((E56-D56)-(C56-E56))/(C56-D56))</f>
        <v>-0.47500000000000275</v>
      </c>
      <c r="Q56">
        <f t="shared" ref="Q56" si="256">F56*P56</f>
        <v>-523262.75500000303</v>
      </c>
      <c r="R56">
        <f t="shared" ref="R56" si="257">R57+Q56</f>
        <v>-122450439.23588672</v>
      </c>
      <c r="S56">
        <f t="shared" ref="S56" si="258">R56/100000</f>
        <v>-1224.5043923588673</v>
      </c>
      <c r="T56">
        <f t="shared" ref="T56" si="259">S56/1000</f>
        <v>-1.2245043923588674</v>
      </c>
    </row>
    <row r="57" spans="1:20" x14ac:dyDescent="0.25">
      <c r="A57" s="5">
        <v>44536</v>
      </c>
      <c r="B57">
        <v>2.5409999999999999</v>
      </c>
      <c r="C57">
        <v>2.5529999999999999</v>
      </c>
      <c r="D57">
        <v>2.4830000000000001</v>
      </c>
      <c r="E57">
        <v>2.5009999999999999</v>
      </c>
      <c r="F57">
        <v>1306923.2</v>
      </c>
      <c r="G57">
        <v>2.5009999999999999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-0.48571428571429043</v>
      </c>
      <c r="Q57">
        <f t="shared" ref="Q57" si="261">F57*P57</f>
        <v>-634791.26857143466</v>
      </c>
      <c r="R57">
        <f t="shared" ref="R57" si="262">R58+Q57</f>
        <v>-121927176.48088671</v>
      </c>
      <c r="S57">
        <f t="shared" ref="S57" si="263">R57/100000</f>
        <v>-1219.2717648088671</v>
      </c>
      <c r="T57">
        <f t="shared" ref="T57" si="264">S57/1000</f>
        <v>-1.2192717648088671</v>
      </c>
    </row>
    <row r="58" spans="1:20" x14ac:dyDescent="0.25">
      <c r="A58" s="5">
        <v>44535</v>
      </c>
      <c r="B58">
        <v>2.6</v>
      </c>
      <c r="C58">
        <v>2.641</v>
      </c>
      <c r="D58">
        <v>2.532</v>
      </c>
      <c r="E58">
        <v>2.5409999999999999</v>
      </c>
      <c r="F58">
        <v>1036340.5</v>
      </c>
      <c r="G58">
        <v>2.5409999999999999</v>
      </c>
      <c r="L58" t="s">
        <v>7</v>
      </c>
      <c r="M58" t="s">
        <v>7</v>
      </c>
      <c r="N58" t="s">
        <v>8</v>
      </c>
      <c r="P58">
        <f t="shared" ref="P58" si="265">IF(C58=D58,0,((E58-D58)-(C58-E58))/(C58-D58))</f>
        <v>-0.8348623853211028</v>
      </c>
      <c r="Q58">
        <f t="shared" ref="Q58" si="266">F58*P58</f>
        <v>-865201.70183486433</v>
      </c>
      <c r="R58">
        <f t="shared" ref="R58" si="267">R59+Q58</f>
        <v>-121292385.21231528</v>
      </c>
      <c r="S58">
        <f t="shared" ref="S58" si="268">R58/100000</f>
        <v>-1212.9238521231528</v>
      </c>
      <c r="T58">
        <f t="shared" ref="T58" si="269">S58/1000</f>
        <v>-1.2129238521231527</v>
      </c>
    </row>
    <row r="59" spans="1:20" x14ac:dyDescent="0.25">
      <c r="A59" s="5">
        <v>44534</v>
      </c>
      <c r="B59">
        <v>2.7210000000000001</v>
      </c>
      <c r="C59">
        <v>2.7290000000000001</v>
      </c>
      <c r="D59">
        <v>2.504</v>
      </c>
      <c r="E59">
        <v>2.6</v>
      </c>
      <c r="F59">
        <v>3362259.7</v>
      </c>
      <c r="G59">
        <v>2.6</v>
      </c>
      <c r="L59" t="s">
        <v>7</v>
      </c>
      <c r="M59" t="s">
        <v>7</v>
      </c>
      <c r="N59" t="s">
        <v>8</v>
      </c>
      <c r="P59">
        <f t="shared" ref="P59" si="270">IF(C59=D59,0,((E59-D59)-(C59-E59))/(C59-D59))</f>
        <v>-0.14666666666666625</v>
      </c>
      <c r="Q59">
        <f t="shared" ref="Q59" si="271">F59*P59</f>
        <v>-493131.42266666528</v>
      </c>
      <c r="R59">
        <f t="shared" ref="R59" si="272">R60+Q59</f>
        <v>-120427183.51048042</v>
      </c>
      <c r="S59">
        <f t="shared" ref="S59" si="273">R59/100000</f>
        <v>-1204.2718351048043</v>
      </c>
      <c r="T59">
        <f t="shared" ref="T59" si="274">S59/1000</f>
        <v>-1.2042718351048043</v>
      </c>
    </row>
    <row r="60" spans="1:20" x14ac:dyDescent="0.25">
      <c r="A60" s="5">
        <v>44533</v>
      </c>
      <c r="B60">
        <v>2.8330000000000002</v>
      </c>
      <c r="C60">
        <v>2.847</v>
      </c>
      <c r="D60">
        <v>2.681</v>
      </c>
      <c r="E60">
        <v>2.7250000000000001</v>
      </c>
      <c r="F60">
        <v>2099493</v>
      </c>
      <c r="G60">
        <v>2.7250000000000001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-0.46987951807228845</v>
      </c>
      <c r="Q60">
        <f t="shared" ref="Q60" si="276">F60*P60</f>
        <v>-986508.75903614308</v>
      </c>
      <c r="R60">
        <f t="shared" ref="R60" si="277">R61+Q60</f>
        <v>-119934052.08781375</v>
      </c>
      <c r="S60">
        <f t="shared" ref="S60" si="278">R60/100000</f>
        <v>-1199.3405208781376</v>
      </c>
      <c r="T60">
        <f t="shared" ref="T60" si="279">S60/1000</f>
        <v>-1.1993405208781376</v>
      </c>
    </row>
    <row r="61" spans="1:20" x14ac:dyDescent="0.25">
      <c r="A61" s="5">
        <v>44532</v>
      </c>
      <c r="B61">
        <v>2.879</v>
      </c>
      <c r="C61">
        <v>2.988</v>
      </c>
      <c r="D61">
        <v>2.8210000000000002</v>
      </c>
      <c r="E61">
        <v>2.8330000000000002</v>
      </c>
      <c r="F61">
        <v>2224866.2999999998</v>
      </c>
      <c r="G61">
        <v>2.8330000000000002</v>
      </c>
      <c r="L61" t="s">
        <v>8</v>
      </c>
      <c r="M61" t="s">
        <v>7</v>
      </c>
      <c r="N61" t="s">
        <v>8</v>
      </c>
      <c r="P61">
        <f t="shared" ref="P61" si="280">IF(C61=D61,0,((E61-D61)-(C61-E61))/(C61-D61))</f>
        <v>-0.85628742514970035</v>
      </c>
      <c r="Q61">
        <f t="shared" ref="Q61" si="281">F61*P61</f>
        <v>-1905125.0353293407</v>
      </c>
      <c r="R61">
        <f t="shared" ref="R61" si="282">R62+Q61</f>
        <v>-118947543.32877761</v>
      </c>
      <c r="S61">
        <f t="shared" ref="S61" si="283">R61/100000</f>
        <v>-1189.475433287776</v>
      </c>
      <c r="T61">
        <f t="shared" ref="T61" si="284">S61/1000</f>
        <v>-1.1894754332877759</v>
      </c>
    </row>
    <row r="62" spans="1:20" x14ac:dyDescent="0.25">
      <c r="A62" s="5">
        <v>44531</v>
      </c>
      <c r="B62">
        <v>2.8580000000000001</v>
      </c>
      <c r="C62">
        <v>2.915</v>
      </c>
      <c r="D62">
        <v>2.8330000000000002</v>
      </c>
      <c r="E62">
        <v>2.879</v>
      </c>
      <c r="F62">
        <v>2095778.2</v>
      </c>
      <c r="G62">
        <v>2.879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0.12195121951219275</v>
      </c>
      <c r="Q62">
        <f t="shared" ref="Q62" si="286">F62*P62</f>
        <v>255582.70731706818</v>
      </c>
      <c r="R62">
        <f t="shared" ref="R62" si="287">R63+Q62</f>
        <v>-117042418.29344827</v>
      </c>
      <c r="S62">
        <f t="shared" ref="S62" si="288">R62/100000</f>
        <v>-1170.4241829344826</v>
      </c>
      <c r="T62">
        <f t="shared" ref="T62" si="289">S62/1000</f>
        <v>-1.1704241829344826</v>
      </c>
    </row>
    <row r="63" spans="1:20" x14ac:dyDescent="0.25">
      <c r="A63" s="5">
        <v>44530</v>
      </c>
      <c r="B63">
        <v>2.8719999999999999</v>
      </c>
      <c r="C63">
        <v>2.915</v>
      </c>
      <c r="D63">
        <v>2.843</v>
      </c>
      <c r="E63">
        <v>2.859</v>
      </c>
      <c r="F63">
        <v>1907038.5</v>
      </c>
      <c r="G63">
        <v>2.859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-0.55555555555555558</v>
      </c>
      <c r="Q63">
        <f t="shared" ref="Q63" si="291">F63*P63</f>
        <v>-1059465.8333333335</v>
      </c>
      <c r="R63">
        <f t="shared" ref="R63" si="292">R64+Q63</f>
        <v>-117298001.00076534</v>
      </c>
      <c r="S63">
        <f t="shared" ref="S63" si="293">R63/100000</f>
        <v>-1172.9800100076534</v>
      </c>
      <c r="T63">
        <f t="shared" ref="T63" si="294">S63/1000</f>
        <v>-1.1729800100076533</v>
      </c>
    </row>
    <row r="64" spans="1:20" x14ac:dyDescent="0.25">
      <c r="A64" s="5">
        <v>44529</v>
      </c>
      <c r="B64">
        <v>2.867</v>
      </c>
      <c r="C64">
        <v>2.879</v>
      </c>
      <c r="D64">
        <v>2.806</v>
      </c>
      <c r="E64">
        <v>2.8719999999999999</v>
      </c>
      <c r="F64">
        <v>1840228.2</v>
      </c>
      <c r="G64">
        <v>2.8719999999999999</v>
      </c>
      <c r="L64" t="s">
        <v>7</v>
      </c>
      <c r="M64" t="s">
        <v>7</v>
      </c>
      <c r="N64" t="s">
        <v>8</v>
      </c>
      <c r="P64">
        <f t="shared" ref="P64" si="295">IF(C64=D64,0,((E64-D64)-(C64-E64))/(C64-D64))</f>
        <v>0.80821917808218846</v>
      </c>
      <c r="Q64">
        <f t="shared" ref="Q64" si="296">F64*P64</f>
        <v>1487307.7232876651</v>
      </c>
      <c r="R64">
        <f t="shared" ref="R64" si="297">R65+Q64</f>
        <v>-116238535.16743201</v>
      </c>
      <c r="S64">
        <f t="shared" ref="S64" si="298">R64/100000</f>
        <v>-1162.3853516743202</v>
      </c>
      <c r="T64">
        <f t="shared" ref="T64" si="299">S64/1000</f>
        <v>-1.1623853516743201</v>
      </c>
    </row>
    <row r="65" spans="1:20" x14ac:dyDescent="0.25">
      <c r="A65" s="5">
        <v>44528</v>
      </c>
      <c r="B65">
        <v>2.8069999999999999</v>
      </c>
      <c r="C65">
        <v>2.8719999999999999</v>
      </c>
      <c r="D65">
        <v>2.7229999999999999</v>
      </c>
      <c r="E65">
        <v>2.8530000000000002</v>
      </c>
      <c r="F65">
        <v>2326648.1</v>
      </c>
      <c r="G65">
        <v>2.8530000000000002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0.74496644295302439</v>
      </c>
      <c r="Q65">
        <f t="shared" ref="Q65" si="301">F65*P65</f>
        <v>1733274.7590604126</v>
      </c>
      <c r="R65">
        <f t="shared" ref="R65" si="302">R66+Q65</f>
        <v>-117725842.89071968</v>
      </c>
      <c r="S65">
        <f t="shared" ref="S65" si="303">R65/100000</f>
        <v>-1177.2584289071967</v>
      </c>
      <c r="T65">
        <f t="shared" ref="T65" si="304">S65/1000</f>
        <v>-1.1772584289071968</v>
      </c>
    </row>
    <row r="66" spans="1:20" x14ac:dyDescent="0.25">
      <c r="A66" s="5">
        <v>44527</v>
      </c>
      <c r="B66">
        <v>2.855</v>
      </c>
      <c r="C66">
        <v>2.9489999999999998</v>
      </c>
      <c r="D66">
        <v>2.774</v>
      </c>
      <c r="E66">
        <v>2.8069999999999999</v>
      </c>
      <c r="F66">
        <v>2199288.9</v>
      </c>
      <c r="G66">
        <v>2.8069999999999999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-0.62285714285714344</v>
      </c>
      <c r="Q66">
        <f t="shared" ref="Q66" si="306">F66*P66</f>
        <v>-1369842.8005714298</v>
      </c>
      <c r="R66">
        <f t="shared" ref="R66" si="307">R67+Q66</f>
        <v>-119459117.64978009</v>
      </c>
      <c r="S66">
        <f t="shared" ref="S66" si="308">R66/100000</f>
        <v>-1194.5911764978009</v>
      </c>
      <c r="T66">
        <f t="shared" ref="T66" si="309">S66/1000</f>
        <v>-1.194591176497801</v>
      </c>
    </row>
    <row r="67" spans="1:20" x14ac:dyDescent="0.25">
      <c r="A67" s="5">
        <v>44526</v>
      </c>
      <c r="B67">
        <v>2.8730000000000002</v>
      </c>
      <c r="C67">
        <v>3.048</v>
      </c>
      <c r="D67">
        <v>2.71</v>
      </c>
      <c r="E67">
        <v>2.8559999999999999</v>
      </c>
      <c r="F67">
        <v>6982146.0999999996</v>
      </c>
      <c r="G67">
        <v>2.8559999999999999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-0.13609467455621377</v>
      </c>
      <c r="Q67">
        <f t="shared" ref="Q67" si="311">F67*P67</f>
        <v>-950232.90118343709</v>
      </c>
      <c r="R67">
        <f t="shared" ref="R67" si="312">R68+Q67</f>
        <v>-118089274.84920867</v>
      </c>
      <c r="S67">
        <f t="shared" ref="S67" si="313">R67/100000</f>
        <v>-1180.8927484920866</v>
      </c>
      <c r="T67">
        <f t="shared" ref="T67" si="314">S67/1000</f>
        <v>-1.1808927484920866</v>
      </c>
    </row>
    <row r="68" spans="1:20" x14ac:dyDescent="0.25">
      <c r="A68" s="5">
        <v>44525</v>
      </c>
      <c r="B68">
        <v>2.8290000000000002</v>
      </c>
      <c r="C68">
        <v>3.4</v>
      </c>
      <c r="D68">
        <v>2.7349999999999999</v>
      </c>
      <c r="E68">
        <v>2.87</v>
      </c>
      <c r="F68">
        <v>14369186.1</v>
      </c>
      <c r="G68">
        <v>2.87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-0.59398496240601439</v>
      </c>
      <c r="Q68">
        <f t="shared" ref="Q68" si="316">F68*P68</f>
        <v>-8535080.4654135238</v>
      </c>
      <c r="R68">
        <f t="shared" ref="R68" si="317">R69+Q68</f>
        <v>-117139041.94802523</v>
      </c>
      <c r="S68">
        <f t="shared" ref="S68" si="318">R68/100000</f>
        <v>-1171.3904194802524</v>
      </c>
      <c r="T68">
        <f t="shared" ref="T68" si="319">S68/1000</f>
        <v>-1.1713904194802525</v>
      </c>
    </row>
    <row r="69" spans="1:20" x14ac:dyDescent="0.25">
      <c r="A69" s="5">
        <v>44524</v>
      </c>
      <c r="B69">
        <v>2.6309999999999998</v>
      </c>
      <c r="C69">
        <v>2.66</v>
      </c>
      <c r="D69">
        <v>2.5419999999999998</v>
      </c>
      <c r="E69">
        <v>2.601</v>
      </c>
      <c r="F69">
        <v>1234581.1000000001</v>
      </c>
      <c r="G69">
        <v>2.601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0</v>
      </c>
      <c r="Q69">
        <f t="shared" ref="Q69" si="321">F69*P69</f>
        <v>0</v>
      </c>
      <c r="R69">
        <f t="shared" ref="R69" si="322">R70+Q69</f>
        <v>-108603961.4826117</v>
      </c>
      <c r="S69">
        <f t="shared" ref="S69" si="323">R69/100000</f>
        <v>-1086.039614826117</v>
      </c>
      <c r="T69">
        <f t="shared" ref="T69" si="324">S69/1000</f>
        <v>-1.0860396148261171</v>
      </c>
    </row>
    <row r="70" spans="1:20" x14ac:dyDescent="0.25">
      <c r="A70" s="5">
        <v>44523</v>
      </c>
      <c r="B70">
        <v>2.5459999999999998</v>
      </c>
      <c r="C70">
        <v>2.75</v>
      </c>
      <c r="D70">
        <v>2.5049999999999999</v>
      </c>
      <c r="E70">
        <v>2.6309999999999998</v>
      </c>
      <c r="F70">
        <v>3017495.8</v>
      </c>
      <c r="G70">
        <v>2.6309999999999998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2.8571428571427224E-2</v>
      </c>
      <c r="Q70">
        <f t="shared" ref="Q70" si="326">F70*P70</f>
        <v>86214.16571428164</v>
      </c>
      <c r="R70">
        <f t="shared" ref="R70" si="327">R71+Q70</f>
        <v>-108603961.4826117</v>
      </c>
      <c r="S70">
        <f t="shared" ref="S70" si="328">R70/100000</f>
        <v>-1086.039614826117</v>
      </c>
      <c r="T70">
        <f t="shared" ref="T70" si="329">S70/1000</f>
        <v>-1.0860396148261171</v>
      </c>
    </row>
    <row r="71" spans="1:20" x14ac:dyDescent="0.25">
      <c r="A71" s="5">
        <v>44522</v>
      </c>
      <c r="B71">
        <v>2.5710000000000002</v>
      </c>
      <c r="C71">
        <v>2.6589999999999998</v>
      </c>
      <c r="D71">
        <v>2.5049999999999999</v>
      </c>
      <c r="E71">
        <v>2.548</v>
      </c>
      <c r="F71">
        <v>2315922</v>
      </c>
      <c r="G71">
        <v>2.548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-0.44155844155843932</v>
      </c>
      <c r="Q71">
        <f t="shared" ref="Q71" si="331">F71*P71</f>
        <v>-1022614.9090909039</v>
      </c>
      <c r="R71">
        <f t="shared" ref="R71" si="332">R72+Q71</f>
        <v>-108690175.64832598</v>
      </c>
      <c r="S71">
        <f t="shared" ref="S71" si="333">R71/100000</f>
        <v>-1086.9017564832598</v>
      </c>
      <c r="T71">
        <f t="shared" ref="T71" si="334">S71/1000</f>
        <v>-1.0869017564832597</v>
      </c>
    </row>
    <row r="72" spans="1:20" x14ac:dyDescent="0.25">
      <c r="A72" s="5">
        <v>44521</v>
      </c>
      <c r="B72">
        <v>2.76</v>
      </c>
      <c r="C72">
        <v>2.871</v>
      </c>
      <c r="D72">
        <v>2.5430000000000001</v>
      </c>
      <c r="E72">
        <v>2.5720000000000001</v>
      </c>
      <c r="F72">
        <v>7734838.7000000002</v>
      </c>
      <c r="G72">
        <v>2.5720000000000001</v>
      </c>
      <c r="L72" t="s">
        <v>7</v>
      </c>
      <c r="M72" t="s">
        <v>8</v>
      </c>
      <c r="N72" t="s">
        <v>8</v>
      </c>
      <c r="P72">
        <f t="shared" ref="P72" si="335">IF(C72=D72,0,((E72-D72)-(C72-E72))/(C72-D72))</f>
        <v>-0.82317073170731747</v>
      </c>
      <c r="Q72">
        <f t="shared" ref="Q72" si="336">F72*P72</f>
        <v>-6367092.8323170766</v>
      </c>
      <c r="R72">
        <f t="shared" ref="R72" si="337">R73+Q72</f>
        <v>-107667560.73923507</v>
      </c>
      <c r="S72">
        <f t="shared" ref="S72" si="338">R72/100000</f>
        <v>-1076.6756073923507</v>
      </c>
      <c r="T72">
        <f t="shared" ref="T72" si="339">S72/1000</f>
        <v>-1.0766756073923507</v>
      </c>
    </row>
    <row r="73" spans="1:20" x14ac:dyDescent="0.25">
      <c r="A73" s="5">
        <v>44520</v>
      </c>
      <c r="B73">
        <v>2.427</v>
      </c>
      <c r="C73">
        <v>2.9</v>
      </c>
      <c r="D73">
        <v>2.3740000000000001</v>
      </c>
      <c r="E73">
        <v>2.7610000000000001</v>
      </c>
      <c r="F73">
        <v>13431779.4</v>
      </c>
      <c r="G73">
        <v>2.7610000000000001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0.47148288973384089</v>
      </c>
      <c r="Q73">
        <f t="shared" ref="Q73" si="341">F73*P73</f>
        <v>6332854.1657794761</v>
      </c>
      <c r="R73">
        <f t="shared" ref="R73" si="342">R74+Q73</f>
        <v>-101300467.90691799</v>
      </c>
      <c r="S73">
        <f t="shared" ref="S73" si="343">R73/100000</f>
        <v>-1013.0046790691799</v>
      </c>
      <c r="T73">
        <f t="shared" ref="T73" si="344">S73/1000</f>
        <v>-1.01300467906918</v>
      </c>
    </row>
    <row r="74" spans="1:20" x14ac:dyDescent="0.25">
      <c r="A74" s="5">
        <v>44519</v>
      </c>
      <c r="B74">
        <v>2.3250000000000002</v>
      </c>
      <c r="C74">
        <v>2.4489999999999998</v>
      </c>
      <c r="D74">
        <v>2.294</v>
      </c>
      <c r="E74">
        <v>2.427</v>
      </c>
      <c r="F74">
        <v>3859703.8</v>
      </c>
      <c r="G74">
        <v>2.427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0.71612903225806679</v>
      </c>
      <c r="Q74">
        <f t="shared" ref="Q74" si="346">F74*P74</f>
        <v>2764045.9470967827</v>
      </c>
      <c r="R74">
        <f t="shared" ref="R74" si="347">R75+Q74</f>
        <v>-107633322.07269746</v>
      </c>
      <c r="S74">
        <f t="shared" ref="S74" si="348">R74/100000</f>
        <v>-1076.3332207269746</v>
      </c>
      <c r="T74">
        <f t="shared" ref="T74" si="349">S74/1000</f>
        <v>-1.0763332207269745</v>
      </c>
    </row>
    <row r="75" spans="1:20" x14ac:dyDescent="0.25">
      <c r="A75" s="5">
        <v>44518</v>
      </c>
      <c r="B75">
        <v>2.2709999999999999</v>
      </c>
      <c r="C75">
        <v>2.4300000000000002</v>
      </c>
      <c r="D75">
        <v>2.214</v>
      </c>
      <c r="E75">
        <v>2.3260000000000001</v>
      </c>
      <c r="F75">
        <v>3424710.2</v>
      </c>
      <c r="G75">
        <v>2.3260000000000001</v>
      </c>
      <c r="L75" t="s">
        <v>8</v>
      </c>
      <c r="M75" t="s">
        <v>7</v>
      </c>
      <c r="N75" t="s">
        <v>8</v>
      </c>
      <c r="P75">
        <f t="shared" ref="P75" si="350">IF(C75=D75,0,((E75-D75)-(C75-E75))/(C75-D75))</f>
        <v>3.7037037037037035E-2</v>
      </c>
      <c r="Q75">
        <f t="shared" ref="Q75" si="351">F75*P75</f>
        <v>126841.11851851852</v>
      </c>
      <c r="R75">
        <f t="shared" ref="R75" si="352">R76+Q75</f>
        <v>-110397368.01979424</v>
      </c>
      <c r="S75">
        <f t="shared" ref="S75" si="353">R75/100000</f>
        <v>-1103.9736801979425</v>
      </c>
      <c r="T75">
        <f t="shared" ref="T75" si="354">S75/1000</f>
        <v>-1.1039736801979425</v>
      </c>
    </row>
    <row r="76" spans="1:20" x14ac:dyDescent="0.25">
      <c r="A76" s="5">
        <v>44517</v>
      </c>
      <c r="B76">
        <v>2.2029999999999998</v>
      </c>
      <c r="C76">
        <v>2.306</v>
      </c>
      <c r="D76">
        <v>2.19</v>
      </c>
      <c r="E76">
        <v>2.2749999999999999</v>
      </c>
      <c r="F76">
        <v>2503166.5</v>
      </c>
      <c r="G76">
        <v>2.2749999999999999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0.46551724137930844</v>
      </c>
      <c r="Q76">
        <f t="shared" ref="Q76" si="356">F76*P76</f>
        <v>1165267.1637930986</v>
      </c>
      <c r="R76">
        <f t="shared" ref="R76" si="357">R77+Q76</f>
        <v>-110524209.13831276</v>
      </c>
      <c r="S76">
        <f t="shared" ref="S76" si="358">R76/100000</f>
        <v>-1105.2420913831277</v>
      </c>
      <c r="T76">
        <f t="shared" ref="T76" si="359">S76/1000</f>
        <v>-1.1052420913831276</v>
      </c>
    </row>
    <row r="77" spans="1:20" x14ac:dyDescent="0.25">
      <c r="A77" s="5">
        <v>44516</v>
      </c>
      <c r="B77">
        <v>2.1669999999999998</v>
      </c>
      <c r="C77">
        <v>2.7109999999999999</v>
      </c>
      <c r="D77">
        <v>2.14</v>
      </c>
      <c r="E77">
        <v>2.2029999999999998</v>
      </c>
      <c r="F77">
        <v>6397969.4000000004</v>
      </c>
      <c r="G77">
        <v>2.2029999999999998</v>
      </c>
      <c r="L77" t="s">
        <v>8</v>
      </c>
      <c r="M77" t="s">
        <v>8</v>
      </c>
      <c r="N77" t="s">
        <v>8</v>
      </c>
      <c r="P77">
        <f t="shared" ref="P77" si="360">IF(C77=D77,0,((E77-D77)-(C77-E77))/(C77-D77))</f>
        <v>-0.77933450087565759</v>
      </c>
      <c r="Q77">
        <f t="shared" ref="Q77" si="361">F77*P77</f>
        <v>-4986158.2889667312</v>
      </c>
      <c r="R77">
        <f t="shared" ref="R77" si="362">R78+Q77</f>
        <v>-111689476.30210586</v>
      </c>
      <c r="S77">
        <f t="shared" ref="S77" si="363">R77/100000</f>
        <v>-1116.8947630210587</v>
      </c>
      <c r="T77">
        <f t="shared" ref="T77" si="364">S77/1000</f>
        <v>-1.1168947630210586</v>
      </c>
    </row>
    <row r="78" spans="1:20" x14ac:dyDescent="0.25">
      <c r="A78" s="5">
        <v>44515</v>
      </c>
      <c r="B78">
        <v>2.2120000000000002</v>
      </c>
      <c r="C78">
        <v>2.2370000000000001</v>
      </c>
      <c r="D78">
        <v>2.1560000000000001</v>
      </c>
      <c r="E78">
        <v>2.1659999999999999</v>
      </c>
      <c r="F78">
        <v>737365.2</v>
      </c>
      <c r="G78">
        <v>2.1659999999999999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-0.75308641975309154</v>
      </c>
      <c r="Q78">
        <f t="shared" ref="Q78" si="366">F78*P78</f>
        <v>-555299.71851852222</v>
      </c>
      <c r="R78">
        <f t="shared" ref="R78" si="367">R79+Q78</f>
        <v>-106703318.01313913</v>
      </c>
      <c r="S78">
        <f t="shared" ref="S78" si="368">R78/100000</f>
        <v>-1067.0331801313912</v>
      </c>
      <c r="T78">
        <f t="shared" ref="T78" si="369">S78/1000</f>
        <v>-1.0670331801313913</v>
      </c>
    </row>
    <row r="79" spans="1:20" x14ac:dyDescent="0.25">
      <c r="A79" s="5">
        <v>44514</v>
      </c>
      <c r="B79">
        <v>2.2160000000000002</v>
      </c>
      <c r="C79">
        <v>2.2450000000000001</v>
      </c>
      <c r="D79">
        <v>2.1869999999999998</v>
      </c>
      <c r="E79">
        <v>2.2109999999999999</v>
      </c>
      <c r="F79">
        <v>760200.7</v>
      </c>
      <c r="G79">
        <v>2.2109999999999999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-0.17241379310345145</v>
      </c>
      <c r="Q79">
        <f t="shared" ref="Q79" si="371">F79*P79</f>
        <v>-131069.08620689895</v>
      </c>
      <c r="R79">
        <f t="shared" ref="R79" si="372">R80+Q79</f>
        <v>-106148018.2946206</v>
      </c>
      <c r="S79">
        <f t="shared" ref="S79" si="373">R79/100000</f>
        <v>-1061.480182946206</v>
      </c>
      <c r="T79">
        <f t="shared" ref="T79" si="374">S79/1000</f>
        <v>-1.0614801829462059</v>
      </c>
    </row>
    <row r="80" spans="1:20" x14ac:dyDescent="0.25">
      <c r="A80" s="5">
        <v>44513</v>
      </c>
      <c r="B80">
        <v>2.1429999999999998</v>
      </c>
      <c r="C80">
        <v>2.246</v>
      </c>
      <c r="D80">
        <v>2.1429999999999998</v>
      </c>
      <c r="E80">
        <v>2.2160000000000002</v>
      </c>
      <c r="F80">
        <v>2811175.2</v>
      </c>
      <c r="G80">
        <v>2.2160000000000002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0.41747572815534473</v>
      </c>
      <c r="Q80">
        <f t="shared" ref="Q80" si="376">F80*P80</f>
        <v>1173597.4135922468</v>
      </c>
      <c r="R80">
        <f t="shared" ref="R80" si="377">R81+Q80</f>
        <v>-106016949.20841371</v>
      </c>
      <c r="S80">
        <f t="shared" ref="S80" si="378">R80/100000</f>
        <v>-1060.1694920841371</v>
      </c>
      <c r="T80">
        <f t="shared" ref="T80" si="379">S80/1000</f>
        <v>-1.0601694920841371</v>
      </c>
    </row>
    <row r="81" spans="1:20" x14ac:dyDescent="0.25">
      <c r="A81" s="5">
        <v>44512</v>
      </c>
      <c r="B81">
        <v>2.181</v>
      </c>
      <c r="C81">
        <v>2.234</v>
      </c>
      <c r="D81">
        <v>2.1259999999999999</v>
      </c>
      <c r="E81">
        <v>2.1459999999999999</v>
      </c>
      <c r="F81">
        <v>1041429.9</v>
      </c>
      <c r="G81">
        <v>2.1459999999999999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-0.62962962962962965</v>
      </c>
      <c r="Q81">
        <f t="shared" ref="Q81" si="381">F81*P81</f>
        <v>-655715.12222222227</v>
      </c>
      <c r="R81">
        <f t="shared" ref="R81" si="382">R82+Q81</f>
        <v>-107190546.62200595</v>
      </c>
      <c r="S81">
        <f t="shared" ref="S81" si="383">R81/100000</f>
        <v>-1071.9054662200595</v>
      </c>
      <c r="T81">
        <f t="shared" ref="T81" si="384">S81/1000</f>
        <v>-1.0719054662200596</v>
      </c>
    </row>
    <row r="82" spans="1:20" x14ac:dyDescent="0.25">
      <c r="A82" s="5">
        <v>44511</v>
      </c>
      <c r="B82">
        <v>2.137</v>
      </c>
      <c r="C82">
        <v>2.2309999999999999</v>
      </c>
      <c r="D82">
        <v>2.125</v>
      </c>
      <c r="E82">
        <v>2.181</v>
      </c>
      <c r="F82">
        <v>866912</v>
      </c>
      <c r="G82">
        <v>2.181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5.6603773584907875E-2</v>
      </c>
      <c r="Q82">
        <f t="shared" ref="Q82" si="386">F82*P82</f>
        <v>49070.490566039654</v>
      </c>
      <c r="R82">
        <f t="shared" ref="R82" si="387">R83+Q82</f>
        <v>-106534831.49978374</v>
      </c>
      <c r="S82">
        <f t="shared" ref="S82" si="388">R82/100000</f>
        <v>-1065.3483149978374</v>
      </c>
      <c r="T82">
        <f t="shared" ref="T82" si="389">S82/1000</f>
        <v>-1.0653483149978373</v>
      </c>
    </row>
    <row r="83" spans="1:20" x14ac:dyDescent="0.25">
      <c r="A83" s="5">
        <v>44510</v>
      </c>
      <c r="B83">
        <v>2.1960000000000002</v>
      </c>
      <c r="C83">
        <v>2.2029999999999998</v>
      </c>
      <c r="D83">
        <v>2.1240000000000001</v>
      </c>
      <c r="E83">
        <v>2.1360000000000001</v>
      </c>
      <c r="F83">
        <v>1375138.9</v>
      </c>
      <c r="G83">
        <v>2.1360000000000001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-0.69620253164556833</v>
      </c>
      <c r="Q83">
        <f t="shared" ref="Q83" si="391">F83*P83</f>
        <v>-957375.18354430201</v>
      </c>
      <c r="R83">
        <f t="shared" ref="R83" si="392">R84+Q83</f>
        <v>-106583901.99034978</v>
      </c>
      <c r="S83">
        <f t="shared" ref="S83" si="393">R83/100000</f>
        <v>-1065.839019903498</v>
      </c>
      <c r="T83">
        <f t="shared" ref="T83" si="394">S83/1000</f>
        <v>-1.0658390199034979</v>
      </c>
    </row>
    <row r="84" spans="1:20" x14ac:dyDescent="0.25">
      <c r="A84" s="5">
        <v>44509</v>
      </c>
      <c r="B84">
        <v>2.1909999999999998</v>
      </c>
      <c r="C84">
        <v>2.23</v>
      </c>
      <c r="D84">
        <v>2.1739999999999999</v>
      </c>
      <c r="E84">
        <v>2.1960000000000002</v>
      </c>
      <c r="F84">
        <v>775104.7</v>
      </c>
      <c r="G84">
        <v>2.1960000000000002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-0.21428571428570636</v>
      </c>
      <c r="Q84">
        <f t="shared" ref="Q84" si="396">F84*P84</f>
        <v>-166093.86428570814</v>
      </c>
      <c r="R84">
        <f t="shared" ref="R84" si="397">R85+Q84</f>
        <v>-105626526.80680548</v>
      </c>
      <c r="S84">
        <f t="shared" ref="S84" si="398">R84/100000</f>
        <v>-1056.2652680680549</v>
      </c>
      <c r="T84">
        <f t="shared" ref="T84" si="399">S84/1000</f>
        <v>-1.0562652680680549</v>
      </c>
    </row>
    <row r="85" spans="1:20" x14ac:dyDescent="0.25">
      <c r="A85" s="5">
        <v>44508</v>
      </c>
      <c r="B85">
        <v>2.2210000000000001</v>
      </c>
      <c r="C85">
        <v>2.2309999999999999</v>
      </c>
      <c r="D85">
        <v>2.1909999999999998</v>
      </c>
      <c r="E85">
        <v>2.1930000000000001</v>
      </c>
      <c r="F85">
        <v>834350.9</v>
      </c>
      <c r="G85">
        <v>2.1930000000000001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-0.89999999999998892</v>
      </c>
      <c r="Q85">
        <f t="shared" ref="Q85" si="401">F85*P85</f>
        <v>-750915.80999999074</v>
      </c>
      <c r="R85">
        <f t="shared" ref="R85" si="402">R86+Q85</f>
        <v>-105460432.94251977</v>
      </c>
      <c r="S85">
        <f t="shared" ref="S85" si="403">R85/100000</f>
        <v>-1054.6043294251976</v>
      </c>
      <c r="T85">
        <f t="shared" ref="T85" si="404">S85/1000</f>
        <v>-1.0546043294251977</v>
      </c>
    </row>
    <row r="86" spans="1:20" x14ac:dyDescent="0.25">
      <c r="A86" s="5">
        <v>44507</v>
      </c>
      <c r="B86">
        <v>2.2450000000000001</v>
      </c>
      <c r="C86">
        <v>2.2629999999999999</v>
      </c>
      <c r="D86">
        <v>2.202</v>
      </c>
      <c r="E86">
        <v>2.2210000000000001</v>
      </c>
      <c r="F86">
        <v>809334.5</v>
      </c>
      <c r="G86">
        <v>2.2210000000000001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-0.37704918032786405</v>
      </c>
      <c r="Q86">
        <f t="shared" ref="Q86" si="406">F86*P86</f>
        <v>-305158.90983606171</v>
      </c>
      <c r="R86">
        <f t="shared" ref="R86" si="407">R87+Q86</f>
        <v>-104709517.13251978</v>
      </c>
      <c r="S86">
        <f t="shared" ref="S86" si="408">R86/100000</f>
        <v>-1047.0951713251977</v>
      </c>
      <c r="T86">
        <f t="shared" ref="T86" si="409">S86/1000</f>
        <v>-1.0470951713251977</v>
      </c>
    </row>
    <row r="87" spans="1:20" x14ac:dyDescent="0.25">
      <c r="A87" s="5">
        <v>44506</v>
      </c>
      <c r="B87">
        <v>2.2589999999999999</v>
      </c>
      <c r="C87">
        <v>2.4489999999999998</v>
      </c>
      <c r="D87">
        <v>2.23</v>
      </c>
      <c r="E87">
        <v>2.2440000000000002</v>
      </c>
      <c r="F87">
        <v>1340331.1000000001</v>
      </c>
      <c r="G87">
        <v>2.2440000000000002</v>
      </c>
      <c r="L87" t="s">
        <v>8</v>
      </c>
      <c r="M87" t="s">
        <v>7</v>
      </c>
      <c r="N87" t="s">
        <v>8</v>
      </c>
      <c r="P87">
        <f t="shared" ref="P87" si="410">IF(C87=D87,0,((E87-D87)-(C87-E87))/(C87-D87))</f>
        <v>-0.87214611872145897</v>
      </c>
      <c r="Q87">
        <f t="shared" ref="Q87" si="411">F87*P87</f>
        <v>-1168964.5666666639</v>
      </c>
      <c r="R87">
        <f t="shared" ref="R87" si="412">R88+Q87</f>
        <v>-104404358.22268371</v>
      </c>
      <c r="S87">
        <f t="shared" ref="S87" si="413">R87/100000</f>
        <v>-1044.0435822268371</v>
      </c>
      <c r="T87">
        <f t="shared" ref="T87" si="414">S87/1000</f>
        <v>-1.044043582226837</v>
      </c>
    </row>
    <row r="88" spans="1:20" x14ac:dyDescent="0.25">
      <c r="A88" s="5">
        <v>44505</v>
      </c>
      <c r="B88">
        <v>2.2909999999999999</v>
      </c>
      <c r="C88">
        <v>2.34</v>
      </c>
      <c r="D88">
        <v>2.2589999999999999</v>
      </c>
      <c r="E88">
        <v>2.2589999999999999</v>
      </c>
      <c r="F88">
        <v>886386.6</v>
      </c>
      <c r="G88">
        <v>2.2589999999999999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-1</v>
      </c>
      <c r="Q88">
        <f t="shared" ref="Q88" si="416">F88*P88</f>
        <v>-886386.6</v>
      </c>
      <c r="R88">
        <f t="shared" ref="R88" si="417">R89+Q88</f>
        <v>-103235393.65601705</v>
      </c>
      <c r="S88">
        <f t="shared" ref="S88" si="418">R88/100000</f>
        <v>-1032.3539365601705</v>
      </c>
      <c r="T88">
        <f t="shared" ref="T88" si="419">S88/1000</f>
        <v>-1.0323539365601706</v>
      </c>
    </row>
    <row r="89" spans="1:20" x14ac:dyDescent="0.25">
      <c r="A89" s="5">
        <v>44504</v>
      </c>
      <c r="B89">
        <v>2.2829999999999999</v>
      </c>
      <c r="C89">
        <v>2.387</v>
      </c>
      <c r="D89">
        <v>2.19</v>
      </c>
      <c r="E89">
        <v>2.2930000000000001</v>
      </c>
      <c r="F89">
        <v>2057085.3</v>
      </c>
      <c r="G89">
        <v>2.2930000000000001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4.5685279187818978E-2</v>
      </c>
      <c r="Q89">
        <f t="shared" ref="Q89" si="421">F89*P89</f>
        <v>93978.516243658363</v>
      </c>
      <c r="R89">
        <f t="shared" ref="R89" si="422">R90+Q89</f>
        <v>-102349007.05601706</v>
      </c>
      <c r="S89">
        <f t="shared" ref="S89" si="423">R89/100000</f>
        <v>-1023.4900705601706</v>
      </c>
      <c r="T89">
        <f t="shared" ref="T89" si="424">S89/1000</f>
        <v>-1.0234900705601706</v>
      </c>
    </row>
    <row r="90" spans="1:20" x14ac:dyDescent="0.25">
      <c r="A90" s="5">
        <v>44503</v>
      </c>
      <c r="B90">
        <v>2.3180000000000001</v>
      </c>
      <c r="C90">
        <v>2.3359999999999999</v>
      </c>
      <c r="D90">
        <v>2.2320000000000002</v>
      </c>
      <c r="E90">
        <v>2.2829999999999999</v>
      </c>
      <c r="F90">
        <v>1627701.6</v>
      </c>
      <c r="G90">
        <v>2.2829999999999999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-1.9230769230771449E-2</v>
      </c>
      <c r="Q90">
        <f t="shared" ref="Q90" si="426">F90*P90</f>
        <v>-31301.953846157459</v>
      </c>
      <c r="R90">
        <f t="shared" ref="R90" si="427">R91+Q90</f>
        <v>-102442985.57226071</v>
      </c>
      <c r="S90">
        <f t="shared" ref="S90" si="428">R90/100000</f>
        <v>-1024.429855722607</v>
      </c>
      <c r="T90">
        <f t="shared" ref="T90" si="429">S90/1000</f>
        <v>-1.024429855722607</v>
      </c>
    </row>
    <row r="91" spans="1:20" x14ac:dyDescent="0.25">
      <c r="A91" s="5">
        <v>44502</v>
      </c>
      <c r="B91">
        <v>2.294</v>
      </c>
      <c r="C91">
        <v>2.3860000000000001</v>
      </c>
      <c r="D91">
        <v>2.2549999999999999</v>
      </c>
      <c r="E91">
        <v>2.3210000000000002</v>
      </c>
      <c r="F91">
        <v>2716350.3</v>
      </c>
      <c r="G91">
        <v>2.3210000000000002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7.6335877862620779E-3</v>
      </c>
      <c r="Q91">
        <f t="shared" ref="Q91" si="431">F91*P91</f>
        <v>20735.498473289328</v>
      </c>
      <c r="R91">
        <f t="shared" ref="R91" si="432">R92+Q91</f>
        <v>-102411683.61841455</v>
      </c>
      <c r="S91">
        <f t="shared" ref="S91" si="433">R91/100000</f>
        <v>-1024.1168361841455</v>
      </c>
      <c r="T91">
        <f t="shared" ref="T91" si="434">S91/1000</f>
        <v>-1.0241168361841455</v>
      </c>
    </row>
    <row r="92" spans="1:20" x14ac:dyDescent="0.25">
      <c r="A92" s="5">
        <v>44501</v>
      </c>
      <c r="B92">
        <v>2.3290000000000002</v>
      </c>
      <c r="C92">
        <v>2.395</v>
      </c>
      <c r="D92">
        <v>2.2879999999999998</v>
      </c>
      <c r="E92">
        <v>2.294</v>
      </c>
      <c r="F92">
        <v>2697558.7</v>
      </c>
      <c r="G92">
        <v>2.294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-0.88785046728971562</v>
      </c>
      <c r="Q92">
        <f t="shared" ref="Q92" si="436">F92*P92</f>
        <v>-2395028.7523364378</v>
      </c>
      <c r="R92">
        <f t="shared" ref="R92" si="437">R93+Q92</f>
        <v>-102432419.11688784</v>
      </c>
      <c r="S92">
        <f t="shared" ref="S92" si="438">R92/100000</f>
        <v>-1024.3241911688783</v>
      </c>
      <c r="T92">
        <f t="shared" ref="T92" si="439">S92/1000</f>
        <v>-1.0243241911688783</v>
      </c>
    </row>
    <row r="93" spans="1:20" x14ac:dyDescent="0.25">
      <c r="A93" s="5">
        <v>44500</v>
      </c>
      <c r="B93">
        <v>2.472</v>
      </c>
      <c r="C93">
        <v>2.6280000000000001</v>
      </c>
      <c r="D93">
        <v>2.3220000000000001</v>
      </c>
      <c r="E93">
        <v>2.3290000000000002</v>
      </c>
      <c r="F93">
        <v>9042671.1999999993</v>
      </c>
      <c r="G93">
        <v>2.3290000000000002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-0.95424836601307117</v>
      </c>
      <c r="Q93">
        <f t="shared" ref="Q93" si="441">F93*P93</f>
        <v>-8628954.2169934567</v>
      </c>
      <c r="R93">
        <f t="shared" ref="R93" si="442">R94+Q93</f>
        <v>-100037390.3645514</v>
      </c>
      <c r="S93">
        <f t="shared" ref="S93" si="443">R93/100000</f>
        <v>-1000.3739036455139</v>
      </c>
      <c r="T93">
        <f t="shared" ref="T93" si="444">S93/1000</f>
        <v>-1.0003739036455139</v>
      </c>
    </row>
    <row r="94" spans="1:20" x14ac:dyDescent="0.25">
      <c r="A94" s="5">
        <v>44499</v>
      </c>
      <c r="B94">
        <v>2.323</v>
      </c>
      <c r="C94">
        <v>2.68</v>
      </c>
      <c r="D94">
        <v>2.3010000000000002</v>
      </c>
      <c r="E94">
        <v>2.4710000000000001</v>
      </c>
      <c r="F94">
        <v>8046318.7000000002</v>
      </c>
      <c r="G94">
        <v>2.4710000000000001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-0.10290237467018508</v>
      </c>
      <c r="Q94">
        <f t="shared" ref="Q94" si="446">F94*P94</f>
        <v>-827985.30158311652</v>
      </c>
      <c r="R94">
        <f t="shared" ref="R94" si="447">R95+Q94</f>
        <v>-91408436.147557944</v>
      </c>
      <c r="S94">
        <f t="shared" ref="S94" si="448">R94/100000</f>
        <v>-914.08436147557939</v>
      </c>
      <c r="T94">
        <f t="shared" ref="T94" si="449">S94/1000</f>
        <v>-0.91408436147557937</v>
      </c>
    </row>
    <row r="95" spans="1:20" x14ac:dyDescent="0.25">
      <c r="A95" s="5">
        <v>44498</v>
      </c>
      <c r="B95">
        <v>2.0640000000000001</v>
      </c>
      <c r="C95">
        <v>2.3980000000000001</v>
      </c>
      <c r="D95">
        <v>2.0430000000000001</v>
      </c>
      <c r="E95">
        <v>2.3210000000000002</v>
      </c>
      <c r="F95">
        <v>9355744.6999999993</v>
      </c>
      <c r="G95">
        <v>2.3210000000000002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0.56619718309859179</v>
      </c>
      <c r="Q95">
        <f t="shared" ref="Q95" si="451">F95*P95</f>
        <v>5297196.2949295789</v>
      </c>
      <c r="R95">
        <f t="shared" ref="R95" si="452">R96+Q95</f>
        <v>-90580450.845974833</v>
      </c>
      <c r="S95">
        <f t="shared" ref="S95" si="453">R95/100000</f>
        <v>-905.80450845974838</v>
      </c>
      <c r="T95">
        <f t="shared" ref="T95" si="454">S95/1000</f>
        <v>-0.90580450845974836</v>
      </c>
    </row>
    <row r="96" spans="1:20" x14ac:dyDescent="0.25">
      <c r="A96" s="5">
        <v>44497</v>
      </c>
      <c r="B96">
        <v>2.121</v>
      </c>
      <c r="C96">
        <v>2.214</v>
      </c>
      <c r="D96">
        <v>2.0289999999999999</v>
      </c>
      <c r="E96">
        <v>2.0640000000000001</v>
      </c>
      <c r="F96">
        <v>4167113.3</v>
      </c>
      <c r="G96">
        <v>2.0640000000000001</v>
      </c>
      <c r="L96" t="s">
        <v>7</v>
      </c>
      <c r="M96" t="s">
        <v>8</v>
      </c>
      <c r="N96" t="s">
        <v>7</v>
      </c>
      <c r="P96">
        <f t="shared" ref="P96" si="455">IF(C96=D96,0,((E96-D96)-(C96-E96))/(C96-D96))</f>
        <v>-0.62162162162162016</v>
      </c>
      <c r="Q96">
        <f t="shared" ref="Q96" si="456">F96*P96</f>
        <v>-2590367.7270270209</v>
      </c>
      <c r="R96">
        <f t="shared" ref="R96" si="457">R97+Q96</f>
        <v>-95877647.140904412</v>
      </c>
      <c r="S96">
        <f t="shared" ref="S96" si="458">R96/100000</f>
        <v>-958.77647140904412</v>
      </c>
      <c r="T96">
        <f t="shared" ref="T96" si="459">S96/1000</f>
        <v>-0.9587764714090441</v>
      </c>
    </row>
    <row r="97" spans="1:20" x14ac:dyDescent="0.25">
      <c r="A97" s="5">
        <v>44496</v>
      </c>
      <c r="B97">
        <v>1.9970000000000001</v>
      </c>
      <c r="C97">
        <v>2.2839999999999998</v>
      </c>
      <c r="D97">
        <v>1.958</v>
      </c>
      <c r="E97">
        <v>2.1219999999999999</v>
      </c>
      <c r="F97">
        <v>11057448.199999999</v>
      </c>
      <c r="G97">
        <v>2.1219999999999999</v>
      </c>
      <c r="L97" t="s">
        <v>8</v>
      </c>
      <c r="M97" t="s">
        <v>8</v>
      </c>
      <c r="N97" t="s">
        <v>7</v>
      </c>
      <c r="P97">
        <f t="shared" ref="P97" si="460">IF(C97=D97,0,((E97-D97)-(C97-E97))/(C97-D97))</f>
        <v>6.1349693251533822E-3</v>
      </c>
      <c r="Q97">
        <f t="shared" ref="Q97" si="461">F97*P97</f>
        <v>67837.105521472477</v>
      </c>
      <c r="R97">
        <f t="shared" ref="R97" si="462">R98+Q97</f>
        <v>-93287279.413877398</v>
      </c>
      <c r="S97">
        <f t="shared" ref="S97" si="463">R97/100000</f>
        <v>-932.872794138774</v>
      </c>
      <c r="T97">
        <f t="shared" ref="T97" si="464">S97/1000</f>
        <v>-0.932872794138774</v>
      </c>
    </row>
    <row r="98" spans="1:20" x14ac:dyDescent="0.25">
      <c r="A98" s="5">
        <v>44495</v>
      </c>
      <c r="B98">
        <v>1.9219999999999999</v>
      </c>
      <c r="C98">
        <v>1.9970000000000001</v>
      </c>
      <c r="D98">
        <v>1.88</v>
      </c>
      <c r="E98">
        <v>1.9970000000000001</v>
      </c>
      <c r="F98">
        <v>2088802.6</v>
      </c>
      <c r="G98">
        <v>1.9970000000000001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1</v>
      </c>
      <c r="Q98">
        <f t="shared" ref="Q98" si="466">F98*P98</f>
        <v>2088802.6</v>
      </c>
      <c r="R98">
        <f t="shared" ref="R98" si="467">R99+Q98</f>
        <v>-93355116.519398868</v>
      </c>
      <c r="S98">
        <f t="shared" ref="S98" si="468">R98/100000</f>
        <v>-933.55116519398871</v>
      </c>
      <c r="T98">
        <f t="shared" ref="T98" si="469">S98/1000</f>
        <v>-0.93355116519398873</v>
      </c>
    </row>
    <row r="99" spans="1:20" x14ac:dyDescent="0.25">
      <c r="A99" s="5">
        <v>44494</v>
      </c>
      <c r="B99">
        <v>1.847</v>
      </c>
      <c r="C99">
        <v>1.9410000000000001</v>
      </c>
      <c r="D99">
        <v>1.8440000000000001</v>
      </c>
      <c r="E99">
        <v>1.921</v>
      </c>
      <c r="F99">
        <v>865421</v>
      </c>
      <c r="G99">
        <v>1.921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0.58762886597938102</v>
      </c>
      <c r="Q99">
        <f t="shared" ref="Q99" si="471">F99*P99</f>
        <v>508546.36082474189</v>
      </c>
      <c r="R99">
        <f t="shared" ref="R99" si="472">R100+Q99</f>
        <v>-95443919.119398862</v>
      </c>
      <c r="S99">
        <f t="shared" ref="S99" si="473">R99/100000</f>
        <v>-954.43919119398868</v>
      </c>
      <c r="T99">
        <f t="shared" ref="T99" si="474">S99/1000</f>
        <v>-0.95443919119398868</v>
      </c>
    </row>
    <row r="100" spans="1:20" x14ac:dyDescent="0.25">
      <c r="A100" s="5">
        <v>44493</v>
      </c>
      <c r="B100">
        <v>1.843</v>
      </c>
      <c r="C100">
        <v>1.8779999999999999</v>
      </c>
      <c r="D100">
        <v>1.82</v>
      </c>
      <c r="E100">
        <v>1.8460000000000001</v>
      </c>
      <c r="F100">
        <v>620711.69999999995</v>
      </c>
      <c r="G100">
        <v>1.8460000000000001</v>
      </c>
      <c r="L100" t="s">
        <v>8</v>
      </c>
      <c r="M100" t="s">
        <v>7</v>
      </c>
      <c r="N100" t="s">
        <v>7</v>
      </c>
      <c r="P100">
        <f t="shared" ref="P100" si="475">IF(C100=D100,0,((E100-D100)-(C100-E100))/(C100-D100))</f>
        <v>-0.10344827586206554</v>
      </c>
      <c r="Q100">
        <f t="shared" ref="Q100" si="476">F100*P100</f>
        <v>-64211.555172411659</v>
      </c>
      <c r="R100">
        <f t="shared" ref="R100" si="477">R101+Q100</f>
        <v>-95952465.480223611</v>
      </c>
      <c r="S100">
        <f t="shared" ref="S100" si="478">R100/100000</f>
        <v>-959.52465480223611</v>
      </c>
      <c r="T100">
        <f t="shared" ref="T100" si="479">S100/1000</f>
        <v>-0.95952465480223614</v>
      </c>
    </row>
    <row r="101" spans="1:20" x14ac:dyDescent="0.25">
      <c r="A101" s="5">
        <v>44492</v>
      </c>
      <c r="B101">
        <v>1.8009999999999999</v>
      </c>
      <c r="C101">
        <v>1.873</v>
      </c>
      <c r="D101">
        <v>1.7969999999999999</v>
      </c>
      <c r="E101">
        <v>1.843</v>
      </c>
      <c r="F101">
        <v>861919.5</v>
      </c>
      <c r="G101">
        <v>1.843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0.21052631578947367</v>
      </c>
      <c r="Q101">
        <f t="shared" ref="Q101" si="481">F101*P101</f>
        <v>181456.73684210525</v>
      </c>
      <c r="R101">
        <f t="shared" ref="R101" si="482">R102+Q101</f>
        <v>-95888253.925051197</v>
      </c>
      <c r="S101">
        <f t="shared" ref="S101" si="483">R101/100000</f>
        <v>-958.88253925051197</v>
      </c>
      <c r="T101">
        <f t="shared" ref="T101" si="484">S101/1000</f>
        <v>-0.95888253925051192</v>
      </c>
    </row>
    <row r="102" spans="1:20" x14ac:dyDescent="0.25">
      <c r="A102" s="5">
        <v>44491</v>
      </c>
      <c r="B102">
        <v>1.776</v>
      </c>
      <c r="C102">
        <v>1.8160000000000001</v>
      </c>
      <c r="D102">
        <v>1.772</v>
      </c>
      <c r="E102">
        <v>1.7989999999999999</v>
      </c>
      <c r="F102">
        <v>569342</v>
      </c>
      <c r="G102">
        <v>1.7989999999999999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0.22727272727272221</v>
      </c>
      <c r="Q102">
        <f t="shared" ref="Q102" si="486">F102*P102</f>
        <v>129395.90909090621</v>
      </c>
      <c r="R102">
        <f t="shared" ref="R102" si="487">R103+Q102</f>
        <v>-96069710.661893308</v>
      </c>
      <c r="S102">
        <f t="shared" ref="S102" si="488">R102/100000</f>
        <v>-960.69710661893305</v>
      </c>
      <c r="T102">
        <f t="shared" ref="T102" si="489">S102/1000</f>
        <v>-0.96069710661893304</v>
      </c>
    </row>
    <row r="103" spans="1:20" x14ac:dyDescent="0.25">
      <c r="A103" s="5">
        <v>44490</v>
      </c>
      <c r="B103">
        <v>1.79</v>
      </c>
      <c r="C103">
        <v>1.82</v>
      </c>
      <c r="D103">
        <v>1.766</v>
      </c>
      <c r="E103">
        <v>1.774</v>
      </c>
      <c r="F103">
        <v>728205.7</v>
      </c>
      <c r="G103">
        <v>1.774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-0.70370370370370372</v>
      </c>
      <c r="Q103">
        <f t="shared" ref="Q103" si="491">F103*P103</f>
        <v>-512441.04814814811</v>
      </c>
      <c r="R103">
        <f t="shared" ref="R103" si="492">R104+Q103</f>
        <v>-96199106.570984215</v>
      </c>
      <c r="S103">
        <f t="shared" ref="S103" si="493">R103/100000</f>
        <v>-961.99106570984213</v>
      </c>
      <c r="T103">
        <f t="shared" ref="T103" si="494">S103/1000</f>
        <v>-0.96199106570984216</v>
      </c>
    </row>
    <row r="104" spans="1:20" x14ac:dyDescent="0.25">
      <c r="A104" s="5">
        <v>44489</v>
      </c>
      <c r="B104">
        <v>1.762</v>
      </c>
      <c r="C104">
        <v>1.8280000000000001</v>
      </c>
      <c r="D104">
        <v>1.75</v>
      </c>
      <c r="E104">
        <v>1.79</v>
      </c>
      <c r="F104">
        <v>1141966.8</v>
      </c>
      <c r="G104">
        <v>1.79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2.564102564102564E-2</v>
      </c>
      <c r="Q104">
        <f t="shared" ref="Q104" si="496">F104*P104</f>
        <v>29281.200000000001</v>
      </c>
      <c r="R104">
        <f t="shared" ref="R104" si="497">R105+Q104</f>
        <v>-95686665.522836059</v>
      </c>
      <c r="S104">
        <f t="shared" ref="S104" si="498">R104/100000</f>
        <v>-956.86665522836063</v>
      </c>
      <c r="T104">
        <f t="shared" ref="T104" si="499">S104/1000</f>
        <v>-0.95686665522836067</v>
      </c>
    </row>
    <row r="105" spans="1:20" x14ac:dyDescent="0.25">
      <c r="A105" s="5">
        <v>44488</v>
      </c>
      <c r="B105">
        <v>1.8149999999999999</v>
      </c>
      <c r="C105">
        <v>1.83</v>
      </c>
      <c r="D105">
        <v>1.698</v>
      </c>
      <c r="E105">
        <v>1.762</v>
      </c>
      <c r="F105">
        <v>1760914.7</v>
      </c>
      <c r="G105">
        <v>1.762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-3.0303030303030304E-2</v>
      </c>
      <c r="Q105">
        <f t="shared" ref="Q105" si="501">F105*P105</f>
        <v>-53361.051515151514</v>
      </c>
      <c r="R105">
        <f t="shared" ref="R105" si="502">R106+Q105</f>
        <v>-95715946.722836062</v>
      </c>
      <c r="S105">
        <f t="shared" ref="S105" si="503">R105/100000</f>
        <v>-957.15946722836065</v>
      </c>
      <c r="T105">
        <f t="shared" ref="T105" si="504">S105/1000</f>
        <v>-0.95715946722836065</v>
      </c>
    </row>
    <row r="106" spans="1:20" x14ac:dyDescent="0.25">
      <c r="A106" s="5">
        <v>44487</v>
      </c>
      <c r="B106">
        <v>1.71</v>
      </c>
      <c r="C106">
        <v>2.6720000000000002</v>
      </c>
      <c r="D106">
        <v>1.708</v>
      </c>
      <c r="E106">
        <v>1.8149999999999999</v>
      </c>
      <c r="F106">
        <v>19498346</v>
      </c>
      <c r="G106">
        <v>1.8149999999999999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-0.77800829875518684</v>
      </c>
      <c r="Q106">
        <f t="shared" ref="Q106" si="506">F106*P106</f>
        <v>-15169875.000000002</v>
      </c>
      <c r="R106">
        <f t="shared" ref="R106" si="507">R107+Q106</f>
        <v>-95662585.671320915</v>
      </c>
      <c r="S106">
        <f t="shared" ref="S106" si="508">R106/100000</f>
        <v>-956.62585671320915</v>
      </c>
      <c r="T106">
        <f t="shared" ref="T106" si="509">S106/1000</f>
        <v>-0.9566258567132091</v>
      </c>
    </row>
    <row r="107" spans="1:20" x14ac:dyDescent="0.25">
      <c r="A107" s="5">
        <v>44486</v>
      </c>
      <c r="B107">
        <v>1.7250000000000001</v>
      </c>
      <c r="C107">
        <v>1.748</v>
      </c>
      <c r="D107">
        <v>1.6950000000000001</v>
      </c>
      <c r="E107">
        <v>1.712</v>
      </c>
      <c r="F107">
        <v>590018.6</v>
      </c>
      <c r="G107">
        <v>1.712</v>
      </c>
      <c r="L107" t="s">
        <v>8</v>
      </c>
      <c r="M107" t="s">
        <v>7</v>
      </c>
      <c r="N107" t="s">
        <v>7</v>
      </c>
      <c r="P107">
        <f t="shared" ref="P107" si="510">IF(C107=D107,0,((E107-D107)-(C107-E107))/(C107-D107))</f>
        <v>-0.35849056603773871</v>
      </c>
      <c r="Q107">
        <f t="shared" ref="Q107" si="511">F107*P107</f>
        <v>-211516.10188679415</v>
      </c>
      <c r="R107">
        <f t="shared" ref="R107" si="512">R108+Q107</f>
        <v>-80492710.671320915</v>
      </c>
      <c r="S107">
        <f t="shared" ref="S107" si="513">R107/100000</f>
        <v>-804.92710671320913</v>
      </c>
      <c r="T107">
        <f t="shared" ref="T107" si="514">S107/1000</f>
        <v>-0.80492710671320911</v>
      </c>
    </row>
    <row r="108" spans="1:20" x14ac:dyDescent="0.25">
      <c r="A108" s="5">
        <v>44485</v>
      </c>
      <c r="B108">
        <v>1.704</v>
      </c>
      <c r="C108">
        <v>1.7989999999999999</v>
      </c>
      <c r="D108">
        <v>1.6850000000000001</v>
      </c>
      <c r="E108">
        <v>1.7230000000000001</v>
      </c>
      <c r="F108">
        <v>978866</v>
      </c>
      <c r="G108">
        <v>1.7230000000000001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-0.33333333333333204</v>
      </c>
      <c r="Q108">
        <f t="shared" ref="Q108" si="516">F108*P108</f>
        <v>-326288.66666666541</v>
      </c>
      <c r="R108">
        <f t="shared" ref="R108" si="517">R109+Q108</f>
        <v>-80281194.569434121</v>
      </c>
      <c r="S108">
        <f t="shared" ref="S108" si="518">R108/100000</f>
        <v>-802.81194569434126</v>
      </c>
      <c r="T108">
        <f t="shared" ref="T108" si="519">S108/1000</f>
        <v>-0.80281194569434122</v>
      </c>
    </row>
    <row r="109" spans="1:20" x14ac:dyDescent="0.25">
      <c r="A109" s="5">
        <v>44484</v>
      </c>
      <c r="B109">
        <v>1.6619999999999999</v>
      </c>
      <c r="C109">
        <v>1.7250000000000001</v>
      </c>
      <c r="D109">
        <v>1.645</v>
      </c>
      <c r="E109">
        <v>1.71</v>
      </c>
      <c r="F109">
        <v>874662.7</v>
      </c>
      <c r="G109">
        <v>1.71</v>
      </c>
      <c r="L109" t="s">
        <v>8</v>
      </c>
      <c r="M109" t="s">
        <v>7</v>
      </c>
      <c r="N109" t="s">
        <v>7</v>
      </c>
      <c r="P109">
        <f t="shared" ref="P109" si="520">IF(C109=D109,0,((E109-D109)-(C109-E109))/(C109-D109))</f>
        <v>0.62499999999999722</v>
      </c>
      <c r="Q109">
        <f t="shared" ref="Q109" si="521">F109*P109</f>
        <v>546664.18749999756</v>
      </c>
      <c r="R109">
        <f t="shared" ref="R109" si="522">R110+Q109</f>
        <v>-79954905.90276745</v>
      </c>
      <c r="S109">
        <f t="shared" ref="S109" si="523">R109/100000</f>
        <v>-799.5490590276745</v>
      </c>
      <c r="T109">
        <f t="shared" ref="T109" si="524">S109/1000</f>
        <v>-0.79954905902767448</v>
      </c>
    </row>
    <row r="110" spans="1:20" x14ac:dyDescent="0.25">
      <c r="A110" s="5">
        <v>44483</v>
      </c>
      <c r="B110">
        <v>1.669</v>
      </c>
      <c r="C110">
        <v>1.718</v>
      </c>
      <c r="D110">
        <v>1.651</v>
      </c>
      <c r="E110">
        <v>1.661</v>
      </c>
      <c r="F110">
        <v>677679.1</v>
      </c>
      <c r="G110">
        <v>1.661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-0.70149253731343231</v>
      </c>
      <c r="Q110">
        <f t="shared" ref="Q110" si="526">F110*P110</f>
        <v>-475386.83134328324</v>
      </c>
      <c r="R110">
        <f t="shared" ref="R110" si="527">R111+Q110</f>
        <v>-80501570.09026745</v>
      </c>
      <c r="S110">
        <f t="shared" ref="S110" si="528">R110/100000</f>
        <v>-805.01570090267455</v>
      </c>
      <c r="T110">
        <f t="shared" ref="T110" si="529">S110/1000</f>
        <v>-0.8050157009026746</v>
      </c>
    </row>
    <row r="111" spans="1:20" x14ac:dyDescent="0.25">
      <c r="A111" s="5">
        <v>44482</v>
      </c>
      <c r="B111">
        <v>1.633</v>
      </c>
      <c r="C111">
        <v>1.69</v>
      </c>
      <c r="D111">
        <v>1.621</v>
      </c>
      <c r="E111">
        <v>1.667</v>
      </c>
      <c r="F111">
        <v>448110.4</v>
      </c>
      <c r="G111">
        <v>1.667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0.33333333333333548</v>
      </c>
      <c r="Q111">
        <f t="shared" ref="Q111" si="531">F111*P111</f>
        <v>149370.13333333429</v>
      </c>
      <c r="R111">
        <f t="shared" ref="R111" si="532">R112+Q111</f>
        <v>-80026183.258924171</v>
      </c>
      <c r="S111">
        <f t="shared" ref="S111" si="533">R111/100000</f>
        <v>-800.26183258924175</v>
      </c>
      <c r="T111">
        <f t="shared" ref="T111" si="534">S111/1000</f>
        <v>-0.80026183258924177</v>
      </c>
    </row>
    <row r="112" spans="1:20" x14ac:dyDescent="0.25">
      <c r="A112" s="5">
        <v>44481</v>
      </c>
      <c r="B112">
        <v>1.635</v>
      </c>
      <c r="C112">
        <v>1.681</v>
      </c>
      <c r="D112">
        <v>1.609</v>
      </c>
      <c r="E112">
        <v>1.63</v>
      </c>
      <c r="F112">
        <v>397784</v>
      </c>
      <c r="G112">
        <v>1.63</v>
      </c>
      <c r="L112" t="s">
        <v>8</v>
      </c>
      <c r="M112" t="s">
        <v>7</v>
      </c>
      <c r="N112" t="s">
        <v>7</v>
      </c>
      <c r="P112">
        <f t="shared" ref="P112" si="535">IF(C112=D112,0,((E112-D112)-(C112-E112))/(C112-D112))</f>
        <v>-0.41666666666666974</v>
      </c>
      <c r="Q112">
        <f t="shared" ref="Q112" si="536">F112*P112</f>
        <v>-165743.33333333457</v>
      </c>
      <c r="R112">
        <f t="shared" ref="R112" si="537">R113+Q112</f>
        <v>-80175553.392257512</v>
      </c>
      <c r="S112">
        <f t="shared" ref="S112" si="538">R112/100000</f>
        <v>-801.75553392257507</v>
      </c>
      <c r="T112">
        <f t="shared" ref="T112" si="539">S112/1000</f>
        <v>-0.80175553392257504</v>
      </c>
    </row>
    <row r="113" spans="1:20" x14ac:dyDescent="0.25">
      <c r="A113" s="5">
        <v>44480</v>
      </c>
      <c r="B113">
        <v>1.643</v>
      </c>
      <c r="C113">
        <v>1.68</v>
      </c>
      <c r="D113">
        <v>1.62</v>
      </c>
      <c r="E113">
        <v>1.64</v>
      </c>
      <c r="F113">
        <v>533757.30000000005</v>
      </c>
      <c r="G113">
        <v>1.64</v>
      </c>
      <c r="L113" t="s">
        <v>8</v>
      </c>
      <c r="M113" t="s">
        <v>7</v>
      </c>
      <c r="N113" t="s">
        <v>7</v>
      </c>
      <c r="P113">
        <f t="shared" ref="P113" si="540">IF(C113=D113,0,((E113-D113)-(C113-E113))/(C113-D113))</f>
        <v>-0.33333333333333826</v>
      </c>
      <c r="Q113">
        <f t="shared" ref="Q113" si="541">F113*P113</f>
        <v>-177919.10000000265</v>
      </c>
      <c r="R113">
        <f t="shared" ref="R113" si="542">R114+Q113</f>
        <v>-80009810.058924183</v>
      </c>
      <c r="S113">
        <f t="shared" ref="S113" si="543">R113/100000</f>
        <v>-800.09810058924188</v>
      </c>
      <c r="T113">
        <f t="shared" ref="T113" si="544">S113/1000</f>
        <v>-0.80009810058924191</v>
      </c>
    </row>
    <row r="114" spans="1:20" x14ac:dyDescent="0.25">
      <c r="A114" s="5">
        <v>44479</v>
      </c>
      <c r="B114">
        <v>1.667</v>
      </c>
      <c r="C114">
        <v>1.68</v>
      </c>
      <c r="D114">
        <v>1.645</v>
      </c>
      <c r="E114">
        <v>1.6479999999999999</v>
      </c>
      <c r="F114">
        <v>323662.2</v>
      </c>
      <c r="G114">
        <v>1.6479999999999999</v>
      </c>
      <c r="L114" t="s">
        <v>8</v>
      </c>
      <c r="M114" t="s">
        <v>7</v>
      </c>
      <c r="N114" t="s">
        <v>7</v>
      </c>
      <c r="P114">
        <f t="shared" ref="P114" si="545">IF(C114=D114,0,((E114-D114)-(C114-E114))/(C114-D114))</f>
        <v>-0.8285714285714344</v>
      </c>
      <c r="Q114">
        <f t="shared" ref="Q114" si="546">F114*P114</f>
        <v>-268177.25142857333</v>
      </c>
      <c r="R114">
        <f t="shared" ref="R114" si="547">R115+Q114</f>
        <v>-79831890.958924174</v>
      </c>
      <c r="S114">
        <f t="shared" ref="S114" si="548">R114/100000</f>
        <v>-798.3189095892418</v>
      </c>
      <c r="T114">
        <f t="shared" ref="T114" si="549">S114/1000</f>
        <v>-0.79831890958924179</v>
      </c>
    </row>
    <row r="115" spans="1:20" x14ac:dyDescent="0.25">
      <c r="A115" s="5">
        <v>44478</v>
      </c>
      <c r="B115">
        <v>1.6439999999999999</v>
      </c>
      <c r="C115">
        <v>1.69</v>
      </c>
      <c r="D115">
        <v>1.6319999999999999</v>
      </c>
      <c r="E115">
        <v>1.665</v>
      </c>
      <c r="F115">
        <v>387891.4</v>
      </c>
      <c r="G115">
        <v>1.665</v>
      </c>
      <c r="L115" t="s">
        <v>8</v>
      </c>
      <c r="M115" t="s">
        <v>7</v>
      </c>
      <c r="N115" t="s">
        <v>7</v>
      </c>
      <c r="P115">
        <f t="shared" ref="P115" si="550">IF(C115=D115,0,((E115-D115)-(C115-E115))/(C115-D115))</f>
        <v>0.13793103448276245</v>
      </c>
      <c r="Q115">
        <f t="shared" ref="Q115" si="551">F115*P115</f>
        <v>53502.262068967008</v>
      </c>
      <c r="R115">
        <f t="shared" ref="R115" si="552">R116+Q115</f>
        <v>-79563713.7074956</v>
      </c>
      <c r="S115">
        <f t="shared" ref="S115" si="553">R115/100000</f>
        <v>-795.63713707495594</v>
      </c>
      <c r="T115">
        <f t="shared" ref="T115" si="554">S115/1000</f>
        <v>-0.79563713707495598</v>
      </c>
    </row>
    <row r="116" spans="1:20" x14ac:dyDescent="0.25">
      <c r="A116" s="5">
        <v>44477</v>
      </c>
      <c r="B116">
        <v>1.6559999999999999</v>
      </c>
      <c r="C116">
        <v>1.6890000000000001</v>
      </c>
      <c r="D116">
        <v>1.6339999999999999</v>
      </c>
      <c r="E116">
        <v>1.641</v>
      </c>
      <c r="F116">
        <v>407430.8</v>
      </c>
      <c r="G116">
        <v>1.641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-0.74545454545454193</v>
      </c>
      <c r="Q116">
        <f t="shared" ref="Q116" si="556">F116*P116</f>
        <v>-303721.14181818039</v>
      </c>
      <c r="R116">
        <f t="shared" ref="R116" si="557">R117+Q116</f>
        <v>-79617215.969564572</v>
      </c>
      <c r="S116">
        <f t="shared" ref="S116" si="558">R116/100000</f>
        <v>-796.17215969564575</v>
      </c>
      <c r="T116">
        <f t="shared" ref="T116" si="559">S116/1000</f>
        <v>-0.7961721596956457</v>
      </c>
    </row>
    <row r="117" spans="1:20" x14ac:dyDescent="0.25">
      <c r="A117" s="5">
        <v>44476</v>
      </c>
      <c r="B117">
        <v>1.655</v>
      </c>
      <c r="C117">
        <v>1.68</v>
      </c>
      <c r="D117">
        <v>1.5740000000000001</v>
      </c>
      <c r="E117">
        <v>1.651</v>
      </c>
      <c r="F117">
        <v>470839.7</v>
      </c>
      <c r="G117">
        <v>1.651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0.45283018867924624</v>
      </c>
      <c r="Q117">
        <f t="shared" ref="Q117" si="561">F117*P117</f>
        <v>213210.43018867969</v>
      </c>
      <c r="R117">
        <f t="shared" ref="R117" si="562">R118+Q117</f>
        <v>-79313494.827746391</v>
      </c>
      <c r="S117">
        <f t="shared" ref="S117" si="563">R117/100000</f>
        <v>-793.13494827746388</v>
      </c>
      <c r="T117">
        <f t="shared" ref="T117" si="564">S117/1000</f>
        <v>-0.79313494827746389</v>
      </c>
    </row>
    <row r="118" spans="1:20" x14ac:dyDescent="0.25">
      <c r="A118" s="5">
        <v>44475</v>
      </c>
      <c r="B118">
        <v>1.6930000000000001</v>
      </c>
      <c r="C118">
        <v>1.7</v>
      </c>
      <c r="D118">
        <v>1.6240000000000001</v>
      </c>
      <c r="E118">
        <v>1.657</v>
      </c>
      <c r="F118">
        <v>913994.2</v>
      </c>
      <c r="G118">
        <v>1.657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-0.13157894736842143</v>
      </c>
      <c r="Q118">
        <f t="shared" ref="Q118" si="566">F118*P118</f>
        <v>-120262.39473684244</v>
      </c>
      <c r="R118">
        <f t="shared" ref="R118" si="567">R119+Q118</f>
        <v>-79526705.257935077</v>
      </c>
      <c r="S118">
        <f t="shared" ref="S118" si="568">R118/100000</f>
        <v>-795.26705257935077</v>
      </c>
      <c r="T118">
        <f t="shared" ref="T118" si="569">S118/1000</f>
        <v>-0.79526705257935082</v>
      </c>
    </row>
    <row r="119" spans="1:20" x14ac:dyDescent="0.25">
      <c r="A119" s="5">
        <v>44474</v>
      </c>
      <c r="B119">
        <v>1.677</v>
      </c>
      <c r="C119">
        <v>1.7310000000000001</v>
      </c>
      <c r="D119">
        <v>1.66</v>
      </c>
      <c r="E119">
        <v>1.69</v>
      </c>
      <c r="F119">
        <v>1221006.7</v>
      </c>
      <c r="G119">
        <v>1.69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-0.15492957746479005</v>
      </c>
      <c r="Q119">
        <f t="shared" ref="Q119" si="571">F119*P119</f>
        <v>-189170.05211267766</v>
      </c>
      <c r="R119">
        <f t="shared" ref="R119" si="572">R120+Q119</f>
        <v>-79406442.863198236</v>
      </c>
      <c r="S119">
        <f t="shared" ref="S119" si="573">R119/100000</f>
        <v>-794.06442863198231</v>
      </c>
      <c r="T119">
        <f t="shared" ref="T119" si="574">S119/1000</f>
        <v>-0.79406442863198234</v>
      </c>
    </row>
    <row r="120" spans="1:20" x14ac:dyDescent="0.25">
      <c r="A120" s="5">
        <v>44473</v>
      </c>
      <c r="B120">
        <v>1.629</v>
      </c>
      <c r="C120">
        <v>1.887</v>
      </c>
      <c r="D120">
        <v>1.609</v>
      </c>
      <c r="E120">
        <v>1.6890000000000001</v>
      </c>
      <c r="F120">
        <v>2967130</v>
      </c>
      <c r="G120">
        <v>1.6890000000000001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-0.42446043165467578</v>
      </c>
      <c r="Q120">
        <f t="shared" ref="Q120" si="576">F120*P120</f>
        <v>-1259429.2805755381</v>
      </c>
      <c r="R120">
        <f t="shared" ref="R120" si="577">R121+Q120</f>
        <v>-79217272.811085552</v>
      </c>
      <c r="S120">
        <f t="shared" ref="S120" si="578">R120/100000</f>
        <v>-792.17272811085547</v>
      </c>
      <c r="T120">
        <f t="shared" ref="T120" si="579">S120/1000</f>
        <v>-0.79217272811085548</v>
      </c>
    </row>
    <row r="121" spans="1:20" x14ac:dyDescent="0.25">
      <c r="A121" s="5">
        <v>44472</v>
      </c>
      <c r="B121">
        <v>1.613</v>
      </c>
      <c r="C121">
        <v>1.6359999999999999</v>
      </c>
      <c r="D121">
        <v>1.6</v>
      </c>
      <c r="E121">
        <v>1.6220000000000001</v>
      </c>
      <c r="F121">
        <v>440840.7</v>
      </c>
      <c r="G121">
        <v>1.6220000000000001</v>
      </c>
      <c r="L121" t="s">
        <v>8</v>
      </c>
      <c r="M121" t="s">
        <v>7</v>
      </c>
      <c r="N121" t="s">
        <v>7</v>
      </c>
      <c r="P121">
        <f t="shared" ref="P121" si="580">IF(C121=D121,0,((E121-D121)-(C121-E121))/(C121-D121))</f>
        <v>0.22222222222222976</v>
      </c>
      <c r="Q121">
        <f t="shared" ref="Q121" si="581">F121*P121</f>
        <v>97964.600000003324</v>
      </c>
      <c r="R121">
        <f t="shared" ref="R121" si="582">R122+Q121</f>
        <v>-77957843.530510008</v>
      </c>
      <c r="S121">
        <f t="shared" ref="S121" si="583">R121/100000</f>
        <v>-779.57843530510013</v>
      </c>
      <c r="T121">
        <f t="shared" ref="T121" si="584">S121/1000</f>
        <v>-0.77957843530510018</v>
      </c>
    </row>
    <row r="122" spans="1:20" x14ac:dyDescent="0.25">
      <c r="A122" s="5">
        <v>44471</v>
      </c>
      <c r="B122">
        <v>1.6339999999999999</v>
      </c>
      <c r="C122">
        <v>1.6459999999999999</v>
      </c>
      <c r="D122">
        <v>1.6</v>
      </c>
      <c r="E122">
        <v>1.613</v>
      </c>
      <c r="F122">
        <v>593014.69999999995</v>
      </c>
      <c r="G122">
        <v>1.613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-0.43478260869565427</v>
      </c>
      <c r="Q122">
        <f t="shared" ref="Q122" si="586">F122*P122</f>
        <v>-257832.47826087079</v>
      </c>
      <c r="R122">
        <f t="shared" ref="R122" si="587">R123+Q122</f>
        <v>-78055808.130510017</v>
      </c>
      <c r="S122">
        <f t="shared" ref="S122" si="588">R122/100000</f>
        <v>-780.55808130510013</v>
      </c>
      <c r="T122">
        <f t="shared" ref="T122" si="589">S122/1000</f>
        <v>-0.78055808130510018</v>
      </c>
    </row>
    <row r="123" spans="1:20" x14ac:dyDescent="0.25">
      <c r="A123" s="5">
        <v>44470</v>
      </c>
      <c r="B123">
        <v>1.58</v>
      </c>
      <c r="C123">
        <v>1.696</v>
      </c>
      <c r="D123">
        <v>1.569</v>
      </c>
      <c r="E123">
        <v>1.625</v>
      </c>
      <c r="F123">
        <v>1279945.8</v>
      </c>
      <c r="G123">
        <v>1.625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-0.11811023622047168</v>
      </c>
      <c r="Q123">
        <f t="shared" ref="Q123" si="591">F123*P123</f>
        <v>-151174.70078740059</v>
      </c>
      <c r="R123">
        <f t="shared" ref="R123" si="592">R124+Q123</f>
        <v>-77797975.652249143</v>
      </c>
      <c r="S123">
        <f t="shared" ref="S123" si="593">R123/100000</f>
        <v>-777.97975652249147</v>
      </c>
      <c r="T123">
        <f t="shared" ref="T123" si="594">S123/1000</f>
        <v>-0.77797975652249152</v>
      </c>
    </row>
    <row r="124" spans="1:20" x14ac:dyDescent="0.25">
      <c r="A124" s="5">
        <v>44469</v>
      </c>
      <c r="B124">
        <v>1.5660000000000001</v>
      </c>
      <c r="C124">
        <v>1.6080000000000001</v>
      </c>
      <c r="D124">
        <v>1.552</v>
      </c>
      <c r="E124">
        <v>1.58</v>
      </c>
      <c r="F124">
        <v>209539.8</v>
      </c>
      <c r="G124">
        <v>1.58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</v>
      </c>
      <c r="Q124">
        <f t="shared" ref="Q124" si="596">F124*P124</f>
        <v>0</v>
      </c>
      <c r="R124">
        <f t="shared" ref="R124" si="597">R125+Q124</f>
        <v>-77646800.951461747</v>
      </c>
      <c r="S124">
        <f t="shared" ref="S124" si="598">R124/100000</f>
        <v>-776.46800951461751</v>
      </c>
      <c r="T124">
        <f t="shared" ref="T124" si="599">S124/1000</f>
        <v>-0.77646800951461747</v>
      </c>
    </row>
    <row r="125" spans="1:20" x14ac:dyDescent="0.25">
      <c r="A125" s="5">
        <v>44468</v>
      </c>
      <c r="B125">
        <v>1.5649999999999999</v>
      </c>
      <c r="C125">
        <v>1.6279999999999999</v>
      </c>
      <c r="D125">
        <v>1.548</v>
      </c>
      <c r="E125">
        <v>1.5660000000000001</v>
      </c>
      <c r="F125">
        <v>303225.7</v>
      </c>
      <c r="G125">
        <v>1.5660000000000001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-0.54999999999999871</v>
      </c>
      <c r="Q125">
        <f t="shared" ref="Q125" si="601">F125*P125</f>
        <v>-166774.1349999996</v>
      </c>
      <c r="R125">
        <f t="shared" ref="R125" si="602">R126+Q125</f>
        <v>-77646800.951461747</v>
      </c>
      <c r="S125">
        <f t="shared" ref="S125" si="603">R125/100000</f>
        <v>-776.46800951461751</v>
      </c>
      <c r="T125">
        <f t="shared" ref="T125" si="604">S125/1000</f>
        <v>-0.77646800951461747</v>
      </c>
    </row>
    <row r="126" spans="1:20" x14ac:dyDescent="0.25">
      <c r="A126" s="5">
        <v>44467</v>
      </c>
      <c r="B126">
        <v>1.569</v>
      </c>
      <c r="C126">
        <v>1.6279999999999999</v>
      </c>
      <c r="D126">
        <v>1.548</v>
      </c>
      <c r="E126">
        <v>1.5649999999999999</v>
      </c>
      <c r="F126">
        <v>245313.1</v>
      </c>
      <c r="G126">
        <v>1.5649999999999999</v>
      </c>
      <c r="L126" t="s">
        <v>8</v>
      </c>
      <c r="M126" t="s">
        <v>7</v>
      </c>
      <c r="N126" t="s">
        <v>7</v>
      </c>
      <c r="P126">
        <f t="shared" ref="P126" si="605">IF(C126=D126,0,((E126-D126)-(C126-E126))/(C126-D126))</f>
        <v>-0.57500000000000162</v>
      </c>
      <c r="Q126">
        <f t="shared" ref="Q126" si="606">F126*P126</f>
        <v>-141055.03250000041</v>
      </c>
      <c r="R126">
        <f t="shared" ref="R126" si="607">R127+Q126</f>
        <v>-77480026.816461742</v>
      </c>
      <c r="S126">
        <f t="shared" ref="S126" si="608">R126/100000</f>
        <v>-774.80026816461736</v>
      </c>
      <c r="T126">
        <f t="shared" ref="T126" si="609">S126/1000</f>
        <v>-0.77480026816461733</v>
      </c>
    </row>
    <row r="127" spans="1:20" x14ac:dyDescent="0.25">
      <c r="A127" s="5">
        <v>44466</v>
      </c>
      <c r="B127">
        <v>1.595</v>
      </c>
      <c r="C127">
        <v>1.6060000000000001</v>
      </c>
      <c r="D127">
        <v>1.5620000000000001</v>
      </c>
      <c r="E127">
        <v>1.569</v>
      </c>
      <c r="F127">
        <v>236404.9</v>
      </c>
      <c r="G127">
        <v>1.569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-0.68181818181818687</v>
      </c>
      <c r="Q127">
        <f t="shared" ref="Q127" si="611">F127*P127</f>
        <v>-161185.15909091028</v>
      </c>
      <c r="R127">
        <f t="shared" ref="R127" si="612">R128+Q127</f>
        <v>-77338971.783961743</v>
      </c>
      <c r="S127">
        <f t="shared" ref="S127" si="613">R127/100000</f>
        <v>-773.38971783961745</v>
      </c>
      <c r="T127">
        <f t="shared" ref="T127" si="614">S127/1000</f>
        <v>-0.77338971783961741</v>
      </c>
    </row>
    <row r="128" spans="1:20" x14ac:dyDescent="0.25">
      <c r="A128" s="5">
        <v>44465</v>
      </c>
      <c r="B128">
        <v>1.575</v>
      </c>
      <c r="C128">
        <v>1.6</v>
      </c>
      <c r="D128">
        <v>1.5349999999999999</v>
      </c>
      <c r="E128">
        <v>1.595</v>
      </c>
      <c r="F128">
        <v>343239.2</v>
      </c>
      <c r="G128">
        <v>1.595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0.84615384615384304</v>
      </c>
      <c r="Q128">
        <f t="shared" ref="Q128" si="616">F128*P128</f>
        <v>290433.16923076817</v>
      </c>
      <c r="R128">
        <f t="shared" ref="R128" si="617">R129+Q128</f>
        <v>-77177786.624870837</v>
      </c>
      <c r="S128">
        <f t="shared" ref="S128" si="618">R128/100000</f>
        <v>-771.77786624870839</v>
      </c>
      <c r="T128">
        <f t="shared" ref="T128" si="619">S128/1000</f>
        <v>-0.77177786624870837</v>
      </c>
    </row>
    <row r="129" spans="1:20" x14ac:dyDescent="0.25">
      <c r="A129" s="5">
        <v>44464</v>
      </c>
      <c r="B129">
        <v>1.607</v>
      </c>
      <c r="C129">
        <v>1.627</v>
      </c>
      <c r="D129">
        <v>1.508</v>
      </c>
      <c r="E129">
        <v>1.575</v>
      </c>
      <c r="F129">
        <v>1474593.2</v>
      </c>
      <c r="G129">
        <v>1.575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0.12605042016806642</v>
      </c>
      <c r="Q129">
        <f t="shared" ref="Q129" si="621">F129*P129</f>
        <v>185873.09243697359</v>
      </c>
      <c r="R129">
        <f t="shared" ref="R129" si="622">R130+Q129</f>
        <v>-77468219.794101611</v>
      </c>
      <c r="S129">
        <f t="shared" ref="S129" si="623">R129/100000</f>
        <v>-774.68219794101606</v>
      </c>
      <c r="T129">
        <f t="shared" ref="T129" si="624">S129/1000</f>
        <v>-0.774682197941016</v>
      </c>
    </row>
    <row r="130" spans="1:20" x14ac:dyDescent="0.25">
      <c r="A130" s="5">
        <v>44463</v>
      </c>
      <c r="B130">
        <v>1.657</v>
      </c>
      <c r="C130">
        <v>1.657</v>
      </c>
      <c r="D130">
        <v>1.575</v>
      </c>
      <c r="E130">
        <v>1.607</v>
      </c>
      <c r="F130">
        <v>724747.9</v>
      </c>
      <c r="G130">
        <v>1.607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-0.21951219512195122</v>
      </c>
      <c r="Q130">
        <f t="shared" ref="Q130" si="626">F130*P130</f>
        <v>-159091.00243902439</v>
      </c>
      <c r="R130">
        <f t="shared" ref="R130" si="627">R131+Q130</f>
        <v>-77654092.88653858</v>
      </c>
      <c r="S130">
        <f t="shared" ref="S130" si="628">R130/100000</f>
        <v>-776.54092886538581</v>
      </c>
      <c r="T130">
        <f t="shared" ref="T130" si="629">S130/1000</f>
        <v>-0.77654092886538584</v>
      </c>
    </row>
    <row r="131" spans="1:20" x14ac:dyDescent="0.25">
      <c r="A131" s="5">
        <v>44462</v>
      </c>
      <c r="B131">
        <v>1.659</v>
      </c>
      <c r="C131">
        <v>1.6759999999999999</v>
      </c>
      <c r="D131">
        <v>1.6259999999999999</v>
      </c>
      <c r="E131">
        <v>1.655</v>
      </c>
      <c r="F131">
        <v>646123.6</v>
      </c>
      <c r="G131">
        <v>1.655</v>
      </c>
      <c r="L131" t="s">
        <v>7</v>
      </c>
      <c r="M131" t="s">
        <v>7</v>
      </c>
      <c r="N131" t="s">
        <v>7</v>
      </c>
      <c r="P131">
        <f t="shared" ref="P131" si="630">IF(C131=D131,0,((E131-D131)-(C131-E131))/(C131-D131))</f>
        <v>0.16000000000000444</v>
      </c>
      <c r="Q131">
        <f t="shared" ref="Q131" si="631">F131*P131</f>
        <v>103379.77600000286</v>
      </c>
      <c r="R131">
        <f t="shared" ref="R131" si="632">R132+Q131</f>
        <v>-77495001.884099558</v>
      </c>
      <c r="S131">
        <f t="shared" ref="S131" si="633">R131/100000</f>
        <v>-774.95001884099554</v>
      </c>
      <c r="T131">
        <f t="shared" ref="T131" si="634">S131/1000</f>
        <v>-0.77495001884099557</v>
      </c>
    </row>
    <row r="132" spans="1:20" x14ac:dyDescent="0.25">
      <c r="A132" s="5">
        <v>44461</v>
      </c>
      <c r="B132">
        <v>1.625</v>
      </c>
      <c r="C132">
        <v>1.669</v>
      </c>
      <c r="D132">
        <v>1.6120000000000001</v>
      </c>
      <c r="E132">
        <v>1.6559999999999999</v>
      </c>
      <c r="F132">
        <v>660159.4</v>
      </c>
      <c r="G132">
        <v>1.6559999999999999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0.54385964912280227</v>
      </c>
      <c r="Q132">
        <f t="shared" ref="Q132" si="636">F132*P132</f>
        <v>359034.05964911968</v>
      </c>
      <c r="R132">
        <f t="shared" ref="R132" si="637">R133+Q132</f>
        <v>-77598381.660099566</v>
      </c>
      <c r="S132">
        <f t="shared" ref="S132" si="638">R132/100000</f>
        <v>-775.98381660099562</v>
      </c>
      <c r="T132">
        <f t="shared" ref="T132" si="639">S132/1000</f>
        <v>-0.77598381660099558</v>
      </c>
    </row>
    <row r="133" spans="1:20" x14ac:dyDescent="0.25">
      <c r="A133" s="5">
        <v>44460</v>
      </c>
      <c r="B133">
        <v>1.625</v>
      </c>
      <c r="C133">
        <v>1.98</v>
      </c>
      <c r="D133">
        <v>1.611</v>
      </c>
      <c r="E133">
        <v>1.6259999999999999</v>
      </c>
      <c r="F133">
        <v>2362162.1</v>
      </c>
      <c r="G133">
        <v>1.6259999999999999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-0.91869918699187048</v>
      </c>
      <c r="Q133">
        <f t="shared" ref="Q133" si="641">F133*P133</f>
        <v>-2170116.4008130096</v>
      </c>
      <c r="R133">
        <f t="shared" ref="R133" si="642">R134+Q133</f>
        <v>-77957415.719748691</v>
      </c>
      <c r="S133">
        <f t="shared" ref="S133" si="643">R133/100000</f>
        <v>-779.5741571974869</v>
      </c>
      <c r="T133">
        <f t="shared" ref="T133" si="644">S133/1000</f>
        <v>-0.77957415719748691</v>
      </c>
    </row>
    <row r="134" spans="1:20" x14ac:dyDescent="0.25">
      <c r="A134" s="5">
        <v>44459</v>
      </c>
      <c r="B134">
        <v>1.677</v>
      </c>
      <c r="C134">
        <v>2.2589999999999999</v>
      </c>
      <c r="D134">
        <v>1.65</v>
      </c>
      <c r="E134">
        <v>1.659</v>
      </c>
      <c r="F134">
        <v>3819256.8</v>
      </c>
      <c r="G134">
        <v>1.659</v>
      </c>
      <c r="L134" t="s">
        <v>8</v>
      </c>
      <c r="M134" t="s">
        <v>8</v>
      </c>
      <c r="N134" t="s">
        <v>7</v>
      </c>
      <c r="P134">
        <f t="shared" ref="P134" si="645">IF(C134=D134,0,((E134-D134)-(C134-E134))/(C134-D134))</f>
        <v>-0.97044334975369417</v>
      </c>
      <c r="Q134">
        <f t="shared" ref="Q134" si="646">F134*P134</f>
        <v>-3706372.3625615747</v>
      </c>
      <c r="R134">
        <f t="shared" ref="R134" si="647">R135+Q134</f>
        <v>-75787299.318935677</v>
      </c>
      <c r="S134">
        <f t="shared" ref="S134" si="648">R134/100000</f>
        <v>-757.87299318935675</v>
      </c>
      <c r="T134">
        <f t="shared" ref="T134" si="649">S134/1000</f>
        <v>-0.75787299318935675</v>
      </c>
    </row>
    <row r="135" spans="1:20" x14ac:dyDescent="0.25">
      <c r="A135" s="5">
        <v>44458</v>
      </c>
      <c r="B135">
        <v>1.7190000000000001</v>
      </c>
      <c r="C135">
        <v>1.7190000000000001</v>
      </c>
      <c r="D135">
        <v>1.6659999999999999</v>
      </c>
      <c r="E135">
        <v>1.675</v>
      </c>
      <c r="F135">
        <v>291034.7</v>
      </c>
      <c r="G135">
        <v>1.675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-0.66037735849056256</v>
      </c>
      <c r="Q135">
        <f t="shared" ref="Q135" si="651">F135*P135</f>
        <v>-192192.72641509335</v>
      </c>
      <c r="R135">
        <f t="shared" ref="R135" si="652">R136+Q135</f>
        <v>-72080926.956374109</v>
      </c>
      <c r="S135">
        <f t="shared" ref="S135" si="653">R135/100000</f>
        <v>-720.80926956374105</v>
      </c>
      <c r="T135">
        <f t="shared" ref="T135" si="654">S135/1000</f>
        <v>-0.72080926956374103</v>
      </c>
    </row>
    <row r="136" spans="1:20" x14ac:dyDescent="0.25">
      <c r="A136" s="5">
        <v>44457</v>
      </c>
      <c r="B136">
        <v>1.736</v>
      </c>
      <c r="C136">
        <v>1.7689999999999999</v>
      </c>
      <c r="D136">
        <v>1.6859999999999999</v>
      </c>
      <c r="E136">
        <v>1.72</v>
      </c>
      <c r="F136">
        <v>526567.80000000005</v>
      </c>
      <c r="G136">
        <v>1.72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-0.18072289156626398</v>
      </c>
      <c r="Q136">
        <f t="shared" ref="Q136" si="656">F136*P136</f>
        <v>-95162.855421686181</v>
      </c>
      <c r="R136">
        <f t="shared" ref="R136" si="657">R137+Q136</f>
        <v>-71888734.229959011</v>
      </c>
      <c r="S136">
        <f t="shared" ref="S136" si="658">R136/100000</f>
        <v>-718.88734229959016</v>
      </c>
      <c r="T136">
        <f t="shared" ref="T136" si="659">S136/1000</f>
        <v>-0.71888734229959017</v>
      </c>
    </row>
    <row r="137" spans="1:20" x14ac:dyDescent="0.25">
      <c r="A137" s="5">
        <v>44456</v>
      </c>
      <c r="B137">
        <v>1.7370000000000001</v>
      </c>
      <c r="C137">
        <v>1.78</v>
      </c>
      <c r="D137">
        <v>1.6990000000000001</v>
      </c>
      <c r="E137">
        <v>1.7330000000000001</v>
      </c>
      <c r="F137">
        <v>897659</v>
      </c>
      <c r="G137">
        <v>1.7330000000000001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-0.16049382716049268</v>
      </c>
      <c r="Q137">
        <f t="shared" ref="Q137" si="661">F137*P137</f>
        <v>-144068.72839506069</v>
      </c>
      <c r="R137">
        <f t="shared" ref="R137" si="662">R138+Q137</f>
        <v>-71793571.374537319</v>
      </c>
      <c r="S137">
        <f t="shared" ref="S137" si="663">R137/100000</f>
        <v>-717.93571374537316</v>
      </c>
      <c r="T137">
        <f t="shared" ref="T137" si="664">S137/1000</f>
        <v>-0.71793571374537313</v>
      </c>
    </row>
    <row r="138" spans="1:20" x14ac:dyDescent="0.25">
      <c r="A138" s="5">
        <v>44455</v>
      </c>
      <c r="B138">
        <v>1.7330000000000001</v>
      </c>
      <c r="C138">
        <v>1.77</v>
      </c>
      <c r="D138">
        <v>1.694</v>
      </c>
      <c r="E138">
        <v>1.7350000000000001</v>
      </c>
      <c r="F138">
        <v>618273.5</v>
      </c>
      <c r="G138">
        <v>1.7350000000000001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7.8947368421055555E-2</v>
      </c>
      <c r="Q138">
        <f t="shared" ref="Q138" si="666">F138*P138</f>
        <v>48811.065789475491</v>
      </c>
      <c r="R138">
        <f t="shared" ref="R138" si="667">R139+Q138</f>
        <v>-71649502.646142259</v>
      </c>
      <c r="S138">
        <f t="shared" ref="S138" si="668">R138/100000</f>
        <v>-716.49502646142264</v>
      </c>
      <c r="T138">
        <f t="shared" ref="T138" si="669">S138/1000</f>
        <v>-0.7164950264614226</v>
      </c>
    </row>
    <row r="139" spans="1:20" x14ac:dyDescent="0.25">
      <c r="A139" s="5">
        <v>44454</v>
      </c>
      <c r="B139">
        <v>1.712</v>
      </c>
      <c r="C139">
        <v>1.7490000000000001</v>
      </c>
      <c r="D139">
        <v>1.6819999999999999</v>
      </c>
      <c r="E139">
        <v>1.732</v>
      </c>
      <c r="F139">
        <v>324407.7</v>
      </c>
      <c r="G139">
        <v>1.732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0.49253731343283336</v>
      </c>
      <c r="Q139">
        <f t="shared" ref="Q139" si="671">F139*P139</f>
        <v>159782.89701492459</v>
      </c>
      <c r="R139">
        <f t="shared" ref="R139" si="672">R140+Q139</f>
        <v>-71698313.711931735</v>
      </c>
      <c r="S139">
        <f t="shared" ref="S139" si="673">R139/100000</f>
        <v>-716.98313711931735</v>
      </c>
      <c r="T139">
        <f t="shared" ref="T139" si="674">S139/1000</f>
        <v>-0.71698313711931738</v>
      </c>
    </row>
    <row r="140" spans="1:20" x14ac:dyDescent="0.25">
      <c r="A140" s="5">
        <v>44453</v>
      </c>
      <c r="B140">
        <v>1.7010000000000001</v>
      </c>
      <c r="C140">
        <v>1.7450000000000001</v>
      </c>
      <c r="D140">
        <v>1.6830000000000001</v>
      </c>
      <c r="E140">
        <v>1.71</v>
      </c>
      <c r="F140">
        <v>336578.9</v>
      </c>
      <c r="G140">
        <v>1.71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-0.12903225806451971</v>
      </c>
      <c r="Q140">
        <f t="shared" ref="Q140" si="676">F140*P140</f>
        <v>-43429.535483872176</v>
      </c>
      <c r="R140">
        <f t="shared" ref="R140" si="677">R141+Q140</f>
        <v>-71858096.608946666</v>
      </c>
      <c r="S140">
        <f t="shared" ref="S140" si="678">R140/100000</f>
        <v>-718.58096608946664</v>
      </c>
      <c r="T140">
        <f t="shared" ref="T140" si="679">S140/1000</f>
        <v>-0.71858096608946664</v>
      </c>
    </row>
    <row r="141" spans="1:20" x14ac:dyDescent="0.25">
      <c r="A141" s="5">
        <v>44452</v>
      </c>
      <c r="B141">
        <v>1.738</v>
      </c>
      <c r="C141">
        <v>1.778</v>
      </c>
      <c r="D141">
        <v>1.6830000000000001</v>
      </c>
      <c r="E141">
        <v>1.7030000000000001</v>
      </c>
      <c r="F141">
        <v>627122.19999999995</v>
      </c>
      <c r="G141">
        <v>1.7030000000000001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-0.5789473684210521</v>
      </c>
      <c r="Q141">
        <f t="shared" ref="Q141" si="681">F141*P141</f>
        <v>-363070.74736842071</v>
      </c>
      <c r="R141">
        <f t="shared" ref="R141" si="682">R142+Q141</f>
        <v>-71814667.073462799</v>
      </c>
      <c r="S141">
        <f t="shared" ref="S141" si="683">R141/100000</f>
        <v>-718.14667073462795</v>
      </c>
      <c r="T141">
        <f t="shared" ref="T141" si="684">S141/1000</f>
        <v>-0.7181466707346279</v>
      </c>
    </row>
    <row r="142" spans="1:20" x14ac:dyDescent="0.25">
      <c r="A142" s="5">
        <v>44451</v>
      </c>
      <c r="B142">
        <v>1.71</v>
      </c>
      <c r="C142">
        <v>1.84</v>
      </c>
      <c r="D142">
        <v>1.7030000000000001</v>
      </c>
      <c r="E142">
        <v>1.74</v>
      </c>
      <c r="F142">
        <v>580626.69999999995</v>
      </c>
      <c r="G142">
        <v>1.74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-0.45985401459854131</v>
      </c>
      <c r="Q142">
        <f t="shared" ref="Q142" si="686">F142*P142</f>
        <v>-267003.51897810283</v>
      </c>
      <c r="R142">
        <f t="shared" ref="R142" si="687">R143+Q142</f>
        <v>-71451596.326094374</v>
      </c>
      <c r="S142">
        <f t="shared" ref="S142" si="688">R142/100000</f>
        <v>-714.51596326094375</v>
      </c>
      <c r="T142">
        <f t="shared" ref="T142" si="689">S142/1000</f>
        <v>-0.7145159632609438</v>
      </c>
    </row>
    <row r="143" spans="1:20" x14ac:dyDescent="0.25">
      <c r="A143" s="5">
        <v>44450</v>
      </c>
      <c r="B143">
        <v>1.7210000000000001</v>
      </c>
      <c r="C143">
        <v>1.7869999999999999</v>
      </c>
      <c r="D143">
        <v>1.675</v>
      </c>
      <c r="E143">
        <v>1.714</v>
      </c>
      <c r="F143">
        <v>526073.5</v>
      </c>
      <c r="G143">
        <v>1.714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-0.30357142857142916</v>
      </c>
      <c r="Q143">
        <f t="shared" ref="Q143" si="691">F143*P143</f>
        <v>-159700.88392857174</v>
      </c>
      <c r="R143">
        <f t="shared" ref="R143" si="692">R144+Q143</f>
        <v>-71184592.80711627</v>
      </c>
      <c r="S143">
        <f t="shared" ref="S143" si="693">R143/100000</f>
        <v>-711.84592807116269</v>
      </c>
      <c r="T143">
        <f t="shared" ref="T143" si="694">S143/1000</f>
        <v>-0.71184592807116265</v>
      </c>
    </row>
    <row r="144" spans="1:20" x14ac:dyDescent="0.25">
      <c r="A144" s="5">
        <v>44449</v>
      </c>
      <c r="B144">
        <v>1.7470000000000001</v>
      </c>
      <c r="C144">
        <v>1.7889999999999999</v>
      </c>
      <c r="D144">
        <v>1.6850000000000001</v>
      </c>
      <c r="E144">
        <v>1.7210000000000001</v>
      </c>
      <c r="F144">
        <v>587317.19999999995</v>
      </c>
      <c r="G144">
        <v>1.7210000000000001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-0.30769230769230621</v>
      </c>
      <c r="Q144">
        <f t="shared" ref="Q144" si="696">F144*P144</f>
        <v>-180712.98461538373</v>
      </c>
      <c r="R144">
        <f t="shared" ref="R144" si="697">R145+Q144</f>
        <v>-71024891.923187703</v>
      </c>
      <c r="S144">
        <f t="shared" ref="S144" si="698">R144/100000</f>
        <v>-710.24891923187704</v>
      </c>
      <c r="T144">
        <f t="shared" ref="T144" si="699">S144/1000</f>
        <v>-0.71024891923187705</v>
      </c>
    </row>
    <row r="145" spans="1:20" x14ac:dyDescent="0.25">
      <c r="A145" s="5">
        <v>44448</v>
      </c>
      <c r="B145">
        <v>1.736</v>
      </c>
      <c r="C145">
        <v>1.837</v>
      </c>
      <c r="D145">
        <v>1.7170000000000001</v>
      </c>
      <c r="E145">
        <v>1.7430000000000001</v>
      </c>
      <c r="F145">
        <v>766248.3</v>
      </c>
      <c r="G145">
        <v>1.7430000000000001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-0.56666666666666587</v>
      </c>
      <c r="Q145">
        <f t="shared" ref="Q145" si="701">F145*P145</f>
        <v>-434207.36999999941</v>
      </c>
      <c r="R145">
        <f t="shared" ref="R145" si="702">R146+Q145</f>
        <v>-70844178.938572317</v>
      </c>
      <c r="S145">
        <f t="shared" ref="S145" si="703">R145/100000</f>
        <v>-708.44178938572315</v>
      </c>
      <c r="T145">
        <f t="shared" ref="T145" si="704">S145/1000</f>
        <v>-0.70844178938572311</v>
      </c>
    </row>
    <row r="146" spans="1:20" x14ac:dyDescent="0.25">
      <c r="A146" s="5">
        <v>44447</v>
      </c>
      <c r="B146">
        <v>1.758</v>
      </c>
      <c r="C146">
        <v>1.839</v>
      </c>
      <c r="D146">
        <v>1.714</v>
      </c>
      <c r="E146">
        <v>1.7290000000000001</v>
      </c>
      <c r="F146">
        <v>798414.7</v>
      </c>
      <c r="G146">
        <v>1.7290000000000001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-0.75999999999999801</v>
      </c>
      <c r="Q146">
        <f t="shared" ref="Q146" si="706">F146*P146</f>
        <v>-606795.17199999839</v>
      </c>
      <c r="R146">
        <f t="shared" ref="R146" si="707">R147+Q146</f>
        <v>-70409971.568572313</v>
      </c>
      <c r="S146">
        <f t="shared" ref="S146" si="708">R146/100000</f>
        <v>-704.09971568572314</v>
      </c>
      <c r="T146">
        <f t="shared" ref="T146" si="709">S146/1000</f>
        <v>-0.70409971568572316</v>
      </c>
    </row>
    <row r="147" spans="1:20" x14ac:dyDescent="0.25">
      <c r="A147" s="5">
        <v>44446</v>
      </c>
      <c r="B147">
        <v>1.8779999999999999</v>
      </c>
      <c r="C147">
        <v>1.89</v>
      </c>
      <c r="D147">
        <v>1.611</v>
      </c>
      <c r="E147">
        <v>1.766</v>
      </c>
      <c r="F147">
        <v>1642899.5</v>
      </c>
      <c r="G147">
        <v>1.766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0.11111111111111165</v>
      </c>
      <c r="Q147">
        <f t="shared" ref="Q147" si="711">F147*P147</f>
        <v>182544.38888888978</v>
      </c>
      <c r="R147">
        <f t="shared" ref="R147" si="712">R148+Q147</f>
        <v>-69803176.396572322</v>
      </c>
      <c r="S147">
        <f t="shared" ref="S147" si="713">R147/100000</f>
        <v>-698.03176396572326</v>
      </c>
      <c r="T147">
        <f t="shared" ref="T147" si="714">S147/1000</f>
        <v>-0.69803176396572331</v>
      </c>
    </row>
    <row r="148" spans="1:20" x14ac:dyDescent="0.25">
      <c r="A148" s="5">
        <v>44445</v>
      </c>
      <c r="B148">
        <v>1.855</v>
      </c>
      <c r="C148">
        <v>1.89</v>
      </c>
      <c r="D148">
        <v>1.8440000000000001</v>
      </c>
      <c r="E148">
        <v>1.8779999999999999</v>
      </c>
      <c r="F148">
        <v>890551.7</v>
      </c>
      <c r="G148">
        <v>1.8779999999999999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0.47826086956521485</v>
      </c>
      <c r="Q148">
        <f t="shared" ref="Q148" si="716">F148*P148</f>
        <v>425916.03043478035</v>
      </c>
      <c r="R148">
        <f t="shared" ref="R148" si="717">R149+Q148</f>
        <v>-69985720.785461217</v>
      </c>
      <c r="S148">
        <f t="shared" ref="S148" si="718">R148/100000</f>
        <v>-699.85720785461217</v>
      </c>
      <c r="T148">
        <f t="shared" ref="T148" si="719">S148/1000</f>
        <v>-0.69985720785461214</v>
      </c>
    </row>
    <row r="149" spans="1:20" x14ac:dyDescent="0.25">
      <c r="A149" s="5">
        <v>44444</v>
      </c>
      <c r="B149">
        <v>1.8919999999999999</v>
      </c>
      <c r="C149">
        <v>1.9179999999999999</v>
      </c>
      <c r="D149">
        <v>1.83</v>
      </c>
      <c r="E149">
        <v>1.8520000000000001</v>
      </c>
      <c r="F149">
        <v>946741.6</v>
      </c>
      <c r="G149">
        <v>1.8520000000000001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-0.49999999999999872</v>
      </c>
      <c r="Q149">
        <f t="shared" ref="Q149" si="721">F149*P149</f>
        <v>-473370.79999999877</v>
      </c>
      <c r="R149">
        <f t="shared" ref="R149" si="722">R150+Q149</f>
        <v>-70411636.815896004</v>
      </c>
      <c r="S149">
        <f t="shared" ref="S149" si="723">R149/100000</f>
        <v>-704.11636815896009</v>
      </c>
      <c r="T149">
        <f t="shared" ref="T149" si="724">S149/1000</f>
        <v>-0.70411636815896006</v>
      </c>
    </row>
    <row r="150" spans="1:20" x14ac:dyDescent="0.25">
      <c r="A150" s="5">
        <v>44443</v>
      </c>
      <c r="B150">
        <v>1.841</v>
      </c>
      <c r="C150">
        <v>1.95</v>
      </c>
      <c r="D150">
        <v>1.833</v>
      </c>
      <c r="E150">
        <v>1.8919999999999999</v>
      </c>
      <c r="F150">
        <v>1403913.6</v>
      </c>
      <c r="G150">
        <v>1.8919999999999999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8.5470085470076059E-3</v>
      </c>
      <c r="Q150">
        <f t="shared" ref="Q150" si="726">F150*P150</f>
        <v>11999.261538460218</v>
      </c>
      <c r="R150">
        <f t="shared" ref="R150" si="727">R151+Q150</f>
        <v>-69938266.015896007</v>
      </c>
      <c r="S150">
        <f t="shared" ref="S150" si="728">R150/100000</f>
        <v>-699.38266015896011</v>
      </c>
      <c r="T150">
        <f t="shared" ref="T150" si="729">S150/1000</f>
        <v>-0.69938266015896011</v>
      </c>
    </row>
    <row r="151" spans="1:20" x14ac:dyDescent="0.25">
      <c r="A151" s="5">
        <v>44442</v>
      </c>
      <c r="B151">
        <v>1.863</v>
      </c>
      <c r="C151">
        <v>1.8979999999999999</v>
      </c>
      <c r="D151">
        <v>1.8149999999999999</v>
      </c>
      <c r="E151">
        <v>1.841</v>
      </c>
      <c r="F151">
        <v>921884.9</v>
      </c>
      <c r="G151">
        <v>1.841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-0.37349397590361361</v>
      </c>
      <c r="Q151">
        <f t="shared" ref="Q151" si="731">F151*P151</f>
        <v>-344318.45662650524</v>
      </c>
      <c r="R151">
        <f t="shared" ref="R151" si="732">R152+Q151</f>
        <v>-69950265.277434468</v>
      </c>
      <c r="S151">
        <f t="shared" ref="S151" si="733">R151/100000</f>
        <v>-699.50265277434471</v>
      </c>
      <c r="T151">
        <f t="shared" ref="T151" si="734">S151/1000</f>
        <v>-0.69950265277434476</v>
      </c>
    </row>
    <row r="152" spans="1:20" x14ac:dyDescent="0.25">
      <c r="A152" s="5">
        <v>44441</v>
      </c>
      <c r="B152">
        <v>1.899</v>
      </c>
      <c r="C152">
        <v>1.93</v>
      </c>
      <c r="D152">
        <v>1.85</v>
      </c>
      <c r="E152">
        <v>1.863</v>
      </c>
      <c r="F152">
        <v>978848.3</v>
      </c>
      <c r="G152">
        <v>1.863</v>
      </c>
      <c r="L152" t="s">
        <v>7</v>
      </c>
      <c r="M152" t="s">
        <v>7</v>
      </c>
      <c r="N152" t="s">
        <v>7</v>
      </c>
      <c r="P152">
        <f t="shared" ref="P152" si="735">IF(C152=D152,0,((E152-D152)-(C152-E152))/(C152-D152))</f>
        <v>-0.67500000000000182</v>
      </c>
      <c r="Q152">
        <f t="shared" ref="Q152" si="736">F152*P152</f>
        <v>-660722.60250000178</v>
      </c>
      <c r="R152">
        <f t="shared" ref="R152" si="737">R153+Q152</f>
        <v>-69605946.820807964</v>
      </c>
      <c r="S152">
        <f t="shared" ref="S152" si="738">R152/100000</f>
        <v>-696.05946820807969</v>
      </c>
      <c r="T152">
        <f t="shared" ref="T152" si="739">S152/1000</f>
        <v>-0.69605946820807973</v>
      </c>
    </row>
    <row r="153" spans="1:20" x14ac:dyDescent="0.25">
      <c r="A153" s="5">
        <v>44440</v>
      </c>
      <c r="B153">
        <v>1.911</v>
      </c>
      <c r="C153">
        <v>1.9330000000000001</v>
      </c>
      <c r="D153">
        <v>1.845</v>
      </c>
      <c r="E153">
        <v>1.899</v>
      </c>
      <c r="F153">
        <v>755312</v>
      </c>
      <c r="G153">
        <v>1.899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0.22727272727272727</v>
      </c>
      <c r="Q153">
        <f t="shared" ref="Q153" si="741">F153*P153</f>
        <v>171661.81818181818</v>
      </c>
      <c r="R153">
        <f t="shared" ref="R153" si="742">R154+Q153</f>
        <v>-68945224.218307957</v>
      </c>
      <c r="S153">
        <f t="shared" ref="S153" si="743">R153/100000</f>
        <v>-689.45224218307953</v>
      </c>
      <c r="T153">
        <f t="shared" ref="T153" si="744">S153/1000</f>
        <v>-0.68945224218307954</v>
      </c>
    </row>
    <row r="154" spans="1:20" x14ac:dyDescent="0.25">
      <c r="A154" s="5">
        <v>44439</v>
      </c>
      <c r="B154">
        <v>1.962</v>
      </c>
      <c r="C154">
        <v>1.982</v>
      </c>
      <c r="D154">
        <v>1.9</v>
      </c>
      <c r="E154">
        <v>1.91</v>
      </c>
      <c r="F154">
        <v>1091728.3</v>
      </c>
      <c r="G154">
        <v>1.91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-0.75609756097560976</v>
      </c>
      <c r="Q154">
        <f t="shared" ref="Q154" si="746">F154*P154</f>
        <v>-825453.10487804888</v>
      </c>
      <c r="R154">
        <f t="shared" ref="R154" si="747">R155+Q154</f>
        <v>-69116886.03648977</v>
      </c>
      <c r="S154">
        <f t="shared" ref="S154" si="748">R154/100000</f>
        <v>-691.16886036489768</v>
      </c>
      <c r="T154">
        <f t="shared" ref="T154" si="749">S154/1000</f>
        <v>-0.69116886036489766</v>
      </c>
    </row>
    <row r="155" spans="1:20" x14ac:dyDescent="0.25">
      <c r="A155" s="5">
        <v>44438</v>
      </c>
      <c r="B155">
        <v>1.9870000000000001</v>
      </c>
      <c r="C155">
        <v>2.085</v>
      </c>
      <c r="D155">
        <v>1.944</v>
      </c>
      <c r="E155">
        <v>1.96</v>
      </c>
      <c r="F155">
        <v>1755798.3</v>
      </c>
      <c r="G155">
        <v>1.96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-0.77304964539007071</v>
      </c>
      <c r="Q155">
        <f t="shared" ref="Q155" si="751">F155*P155</f>
        <v>-1357319.253191489</v>
      </c>
      <c r="R155">
        <f t="shared" ref="R155" si="752">R156+Q155</f>
        <v>-68291432.931611717</v>
      </c>
      <c r="S155">
        <f t="shared" ref="S155" si="753">R155/100000</f>
        <v>-682.91432931611712</v>
      </c>
      <c r="T155">
        <f t="shared" ref="T155" si="754">S155/1000</f>
        <v>-0.68291432931611706</v>
      </c>
    </row>
    <row r="156" spans="1:20" x14ac:dyDescent="0.25">
      <c r="A156" s="5">
        <v>44437</v>
      </c>
      <c r="B156">
        <v>2</v>
      </c>
      <c r="C156">
        <v>2.0489999999999999</v>
      </c>
      <c r="D156">
        <v>1.976</v>
      </c>
      <c r="E156">
        <v>1.976</v>
      </c>
      <c r="F156">
        <v>865829.1</v>
      </c>
      <c r="G156">
        <v>1.976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-1</v>
      </c>
      <c r="Q156">
        <f t="shared" ref="Q156" si="756">F156*P156</f>
        <v>-865829.1</v>
      </c>
      <c r="R156">
        <f t="shared" ref="R156" si="757">R157+Q156</f>
        <v>-66934113.678420231</v>
      </c>
      <c r="S156">
        <f t="shared" ref="S156" si="758">R156/100000</f>
        <v>-669.34113678420226</v>
      </c>
      <c r="T156">
        <f t="shared" ref="T156" si="759">S156/1000</f>
        <v>-0.66934113678420226</v>
      </c>
    </row>
    <row r="157" spans="1:20" x14ac:dyDescent="0.25">
      <c r="A157" s="5">
        <v>44436</v>
      </c>
      <c r="B157">
        <v>2.0569999999999999</v>
      </c>
      <c r="C157">
        <v>2.081</v>
      </c>
      <c r="D157">
        <v>1.9850000000000001</v>
      </c>
      <c r="E157">
        <v>2.0009999999999999</v>
      </c>
      <c r="F157">
        <v>817019.1</v>
      </c>
      <c r="G157">
        <v>2.0009999999999999</v>
      </c>
      <c r="L157" t="s">
        <v>7</v>
      </c>
      <c r="M157" t="s">
        <v>8</v>
      </c>
      <c r="N157" t="s">
        <v>8</v>
      </c>
      <c r="P157">
        <f t="shared" ref="P157" si="760">IF(C157=D157,0,((E157-D157)-(C157-E157))/(C157-D157))</f>
        <v>-0.66666666666667052</v>
      </c>
      <c r="Q157">
        <f t="shared" ref="Q157" si="761">F157*P157</f>
        <v>-544679.40000000317</v>
      </c>
      <c r="R157">
        <f t="shared" ref="R157" si="762">R158+Q157</f>
        <v>-66068284.578420229</v>
      </c>
      <c r="S157">
        <f t="shared" ref="S157" si="763">R157/100000</f>
        <v>-660.6828457842023</v>
      </c>
      <c r="T157">
        <f t="shared" ref="T157" si="764">S157/1000</f>
        <v>-0.66068284578420233</v>
      </c>
    </row>
    <row r="158" spans="1:20" x14ac:dyDescent="0.25">
      <c r="A158" s="5">
        <v>44435</v>
      </c>
      <c r="B158">
        <v>2.0819999999999999</v>
      </c>
      <c r="C158">
        <v>2.15</v>
      </c>
      <c r="D158">
        <v>1.998</v>
      </c>
      <c r="E158">
        <v>2.0569999999999999</v>
      </c>
      <c r="F158">
        <v>2051833.7</v>
      </c>
      <c r="G158">
        <v>2.0569999999999999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-0.22368421052631612</v>
      </c>
      <c r="Q158">
        <f t="shared" ref="Q158" si="766">F158*P158</f>
        <v>-458962.80131579016</v>
      </c>
      <c r="R158">
        <f t="shared" ref="R158" si="767">R159+Q158</f>
        <v>-65523605.178420223</v>
      </c>
      <c r="S158">
        <f t="shared" ref="S158" si="768">R158/100000</f>
        <v>-655.23605178420223</v>
      </c>
      <c r="T158">
        <f t="shared" ref="T158" si="769">S158/1000</f>
        <v>-0.65523605178420219</v>
      </c>
    </row>
    <row r="159" spans="1:20" x14ac:dyDescent="0.25">
      <c r="A159" s="5">
        <v>44434</v>
      </c>
      <c r="B159">
        <v>2</v>
      </c>
      <c r="C159">
        <v>2.3239999999999998</v>
      </c>
      <c r="D159">
        <v>1.966</v>
      </c>
      <c r="E159">
        <v>2.0819999999999999</v>
      </c>
      <c r="F159">
        <v>4762070.5999999996</v>
      </c>
      <c r="G159">
        <v>2.0819999999999999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-0.35195530726257029</v>
      </c>
      <c r="Q159">
        <f t="shared" ref="Q159" si="771">F159*P159</f>
        <v>-1676036.0212290525</v>
      </c>
      <c r="R159">
        <f t="shared" ref="R159" si="772">R160+Q159</f>
        <v>-65064642.377104431</v>
      </c>
      <c r="S159">
        <f t="shared" ref="S159" si="773">R159/100000</f>
        <v>-650.64642377104428</v>
      </c>
      <c r="T159">
        <f t="shared" ref="T159" si="774">S159/1000</f>
        <v>-0.65064642377104431</v>
      </c>
    </row>
    <row r="160" spans="1:20" x14ac:dyDescent="0.25">
      <c r="A160" s="5">
        <v>44433</v>
      </c>
      <c r="B160">
        <v>2.0150000000000001</v>
      </c>
      <c r="C160">
        <v>2.0840000000000001</v>
      </c>
      <c r="D160">
        <v>1.9550000000000001</v>
      </c>
      <c r="E160">
        <v>2.0030000000000001</v>
      </c>
      <c r="F160">
        <v>1384514.5</v>
      </c>
      <c r="G160">
        <v>2.0030000000000001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-0.25581395348837144</v>
      </c>
      <c r="Q160">
        <f t="shared" ref="Q160" si="776">F160*P160</f>
        <v>-354178.12790697586</v>
      </c>
      <c r="R160">
        <f t="shared" ref="R160" si="777">R161+Q160</f>
        <v>-63388606.35587538</v>
      </c>
      <c r="S160">
        <f t="shared" ref="S160" si="778">R160/100000</f>
        <v>-633.88606355875379</v>
      </c>
      <c r="T160">
        <f t="shared" ref="T160" si="779">S160/1000</f>
        <v>-0.63388606355875377</v>
      </c>
    </row>
    <row r="161" spans="1:20" x14ac:dyDescent="0.25">
      <c r="A161" s="5">
        <v>44432</v>
      </c>
      <c r="B161">
        <v>2.0910000000000002</v>
      </c>
      <c r="C161">
        <v>2.1030000000000002</v>
      </c>
      <c r="D161">
        <v>2</v>
      </c>
      <c r="E161">
        <v>2.0150000000000001</v>
      </c>
      <c r="F161">
        <v>840088.1</v>
      </c>
      <c r="G161">
        <v>2.0150000000000001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-0.70873786407766803</v>
      </c>
      <c r="Q161">
        <f t="shared" ref="Q161" si="781">F161*P161</f>
        <v>-595402.24563106638</v>
      </c>
      <c r="R161">
        <f t="shared" ref="R161" si="782">R162+Q161</f>
        <v>-63034428.227968402</v>
      </c>
      <c r="S161">
        <f t="shared" ref="S161" si="783">R161/100000</f>
        <v>-630.34428227968397</v>
      </c>
      <c r="T161">
        <f t="shared" ref="T161" si="784">S161/1000</f>
        <v>-0.63034428227968398</v>
      </c>
    </row>
    <row r="162" spans="1:20" x14ac:dyDescent="0.25">
      <c r="A162" s="5">
        <v>44431</v>
      </c>
      <c r="B162">
        <v>2.0750000000000002</v>
      </c>
      <c r="C162">
        <v>2.198</v>
      </c>
      <c r="D162">
        <v>2.0499999999999998</v>
      </c>
      <c r="E162">
        <v>2.093</v>
      </c>
      <c r="F162">
        <v>1590025.9</v>
      </c>
      <c r="G162">
        <v>2.093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-0.41891891891891742</v>
      </c>
      <c r="Q162">
        <f t="shared" ref="Q162" si="786">F162*P162</f>
        <v>-666091.9310810786</v>
      </c>
      <c r="R162">
        <f t="shared" ref="R162" si="787">R163+Q162</f>
        <v>-62439025.982337333</v>
      </c>
      <c r="S162">
        <f t="shared" ref="S162" si="788">R162/100000</f>
        <v>-624.3902598233733</v>
      </c>
      <c r="T162">
        <f t="shared" ref="T162" si="789">S162/1000</f>
        <v>-0.62439025982337326</v>
      </c>
    </row>
    <row r="163" spans="1:20" x14ac:dyDescent="0.25">
      <c r="A163" s="5">
        <v>44430</v>
      </c>
      <c r="B163">
        <v>2.097</v>
      </c>
      <c r="C163">
        <v>2.1389999999999998</v>
      </c>
      <c r="D163">
        <v>2.052</v>
      </c>
      <c r="E163">
        <v>2.0840000000000001</v>
      </c>
      <c r="F163">
        <v>245786</v>
      </c>
      <c r="G163">
        <v>2.0840000000000001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-0.2643678160919512</v>
      </c>
      <c r="Q163">
        <f t="shared" ref="Q163" si="791">F163*P163</f>
        <v>-64977.908045976321</v>
      </c>
      <c r="R163">
        <f t="shared" ref="R163" si="792">R164+Q163</f>
        <v>-61772934.051256254</v>
      </c>
      <c r="S163">
        <f t="shared" ref="S163" si="793">R163/100000</f>
        <v>-617.72934051256254</v>
      </c>
      <c r="T163">
        <f t="shared" ref="T163" si="794">S163/1000</f>
        <v>-0.61772934051256256</v>
      </c>
    </row>
    <row r="164" spans="1:20" x14ac:dyDescent="0.25">
      <c r="A164" s="5">
        <v>44429</v>
      </c>
      <c r="B164">
        <v>2.15</v>
      </c>
      <c r="C164">
        <v>2.2050000000000001</v>
      </c>
      <c r="D164">
        <v>2.0790000000000002</v>
      </c>
      <c r="E164">
        <v>2.0960000000000001</v>
      </c>
      <c r="F164">
        <v>1475455.3</v>
      </c>
      <c r="G164">
        <v>2.0960000000000001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-0.73015873015873145</v>
      </c>
      <c r="Q164">
        <f t="shared" ref="Q164" si="796">F164*P164</f>
        <v>-1077316.5682539702</v>
      </c>
      <c r="R164">
        <f t="shared" ref="R164" si="797">R165+Q164</f>
        <v>-61707956.143210277</v>
      </c>
      <c r="S164">
        <f t="shared" ref="S164" si="798">R164/100000</f>
        <v>-617.07956143210276</v>
      </c>
      <c r="T164">
        <f t="shared" ref="T164" si="799">S164/1000</f>
        <v>-0.61707956143210274</v>
      </c>
    </row>
    <row r="165" spans="1:20" x14ac:dyDescent="0.25">
      <c r="A165" s="5">
        <v>44428</v>
      </c>
      <c r="B165">
        <v>1.982</v>
      </c>
      <c r="C165">
        <v>2.4</v>
      </c>
      <c r="D165">
        <v>1.982</v>
      </c>
      <c r="E165">
        <v>2.15</v>
      </c>
      <c r="F165">
        <v>4124045.5</v>
      </c>
      <c r="G165">
        <v>2.15</v>
      </c>
      <c r="L165" t="s">
        <v>7</v>
      </c>
      <c r="M165" t="s">
        <v>8</v>
      </c>
      <c r="N165" t="s">
        <v>8</v>
      </c>
      <c r="P165">
        <f t="shared" ref="P165" si="800">IF(C165=D165,0,((E165-D165)-(C165-E165))/(C165-D165))</f>
        <v>-0.19617224880382797</v>
      </c>
      <c r="Q165">
        <f t="shared" ref="Q165" si="801">F165*P165</f>
        <v>-809023.2799043071</v>
      </c>
      <c r="R165">
        <f t="shared" ref="R165" si="802">R166+Q165</f>
        <v>-60630639.574956305</v>
      </c>
      <c r="S165">
        <f t="shared" ref="S165" si="803">R165/100000</f>
        <v>-606.30639574956308</v>
      </c>
      <c r="T165">
        <f t="shared" ref="T165" si="804">S165/1000</f>
        <v>-0.60630639574956313</v>
      </c>
    </row>
    <row r="166" spans="1:20" x14ac:dyDescent="0.25">
      <c r="A166" s="5">
        <v>44427</v>
      </c>
      <c r="B166">
        <v>1.9904999999999999</v>
      </c>
      <c r="C166">
        <v>2.4</v>
      </c>
      <c r="D166">
        <v>1.9637</v>
      </c>
      <c r="E166">
        <v>2.2698999999999998</v>
      </c>
      <c r="F166">
        <v>14053253.27</v>
      </c>
      <c r="G166">
        <v>2.2698999999999998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0.40362136144854399</v>
      </c>
      <c r="Q166">
        <f t="shared" ref="Q166" si="806">F166*P166</f>
        <v>5672193.2176186023</v>
      </c>
      <c r="R166">
        <f t="shared" ref="R166" si="807">R167+Q166</f>
        <v>-59821616.295051999</v>
      </c>
      <c r="S166">
        <f t="shared" ref="S166" si="808">R166/100000</f>
        <v>-598.21616295052002</v>
      </c>
      <c r="T166">
        <f t="shared" ref="T166" si="809">S166/1000</f>
        <v>-0.59821616295052005</v>
      </c>
    </row>
    <row r="167" spans="1:20" x14ac:dyDescent="0.25">
      <c r="A167" s="5">
        <v>44426</v>
      </c>
      <c r="B167">
        <v>2.0743999999999998</v>
      </c>
      <c r="C167">
        <v>2.0849000000000002</v>
      </c>
      <c r="D167">
        <v>1.9810000000000001</v>
      </c>
      <c r="E167">
        <v>1.9904999999999999</v>
      </c>
      <c r="F167">
        <v>3027766.42</v>
      </c>
      <c r="G167">
        <v>1.9904999999999999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-0.8171318575553449</v>
      </c>
      <c r="Q167">
        <f t="shared" ref="Q167" si="811">F167*P167</f>
        <v>-2474084.3990182965</v>
      </c>
      <c r="R167">
        <f t="shared" ref="R167" si="812">R168+Q167</f>
        <v>-65493809.512670599</v>
      </c>
      <c r="S167">
        <f t="shared" ref="S167" si="813">R167/100000</f>
        <v>-654.938095126706</v>
      </c>
      <c r="T167">
        <f t="shared" ref="T167" si="814">S167/1000</f>
        <v>-0.65493809512670598</v>
      </c>
    </row>
    <row r="168" spans="1:20" x14ac:dyDescent="0.25">
      <c r="A168" s="5">
        <v>44425</v>
      </c>
      <c r="B168">
        <v>2.1002000000000001</v>
      </c>
      <c r="C168">
        <v>2.1549999999999998</v>
      </c>
      <c r="D168">
        <v>2.0741000000000001</v>
      </c>
      <c r="E168">
        <v>2.0743999999999998</v>
      </c>
      <c r="F168">
        <v>3220522.09</v>
      </c>
      <c r="G168">
        <v>2.0743999999999998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-0.99258343634116819</v>
      </c>
      <c r="Q168">
        <f t="shared" ref="Q168" si="816">F168*P168</f>
        <v>-3196636.8829048406</v>
      </c>
      <c r="R168">
        <f t="shared" ref="R168" si="817">R169+Q168</f>
        <v>-63019725.113652304</v>
      </c>
      <c r="S168">
        <f t="shared" ref="S168" si="818">R168/100000</f>
        <v>-630.19725113652305</v>
      </c>
      <c r="T168">
        <f t="shared" ref="T168" si="819">S168/1000</f>
        <v>-0.63019725113652303</v>
      </c>
    </row>
    <row r="169" spans="1:20" x14ac:dyDescent="0.25">
      <c r="A169" s="5">
        <v>44424</v>
      </c>
      <c r="B169">
        <v>2.1638000000000002</v>
      </c>
      <c r="C169">
        <v>2.1814</v>
      </c>
      <c r="D169">
        <v>2.1000999999999999</v>
      </c>
      <c r="E169">
        <v>2.1002000000000001</v>
      </c>
      <c r="F169">
        <v>2441657.79</v>
      </c>
      <c r="G169">
        <v>2.1002000000000001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-0.99753997539974881</v>
      </c>
      <c r="Q169">
        <f t="shared" ref="Q169" si="821">F169*P169</f>
        <v>-2435651.2517712051</v>
      </c>
      <c r="R169">
        <f t="shared" ref="R169" si="822">R170+Q169</f>
        <v>-59823088.230747461</v>
      </c>
      <c r="S169">
        <f t="shared" ref="S169" si="823">R169/100000</f>
        <v>-598.23088230747464</v>
      </c>
      <c r="T169">
        <f t="shared" ref="T169" si="824">S169/1000</f>
        <v>-0.59823088230747468</v>
      </c>
    </row>
    <row r="170" spans="1:20" x14ac:dyDescent="0.25">
      <c r="A170" s="5">
        <v>44423</v>
      </c>
      <c r="B170">
        <v>2.2000000000000002</v>
      </c>
      <c r="C170">
        <v>2.25</v>
      </c>
      <c r="D170">
        <v>2.1341000000000001</v>
      </c>
      <c r="E170">
        <v>2.1591999999999998</v>
      </c>
      <c r="F170">
        <v>3817966.71</v>
      </c>
      <c r="G170">
        <v>2.1591999999999998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-0.56686798964625196</v>
      </c>
      <c r="Q170">
        <f t="shared" ref="Q170" si="826">F170*P170</f>
        <v>-2164283.1134340148</v>
      </c>
      <c r="R170">
        <f t="shared" ref="R170" si="827">R171+Q170</f>
        <v>-57387436.978976257</v>
      </c>
      <c r="S170">
        <f t="shared" ref="S170" si="828">R170/100000</f>
        <v>-573.87436978976257</v>
      </c>
      <c r="T170">
        <f t="shared" ref="T170" si="829">S170/1000</f>
        <v>-0.57387436978976258</v>
      </c>
    </row>
    <row r="171" spans="1:20" x14ac:dyDescent="0.25">
      <c r="A171" s="5">
        <v>44422</v>
      </c>
      <c r="B171">
        <v>2.1692999999999998</v>
      </c>
      <c r="C171">
        <v>2.4493999999999998</v>
      </c>
      <c r="D171">
        <v>2.1223000000000001</v>
      </c>
      <c r="E171">
        <v>2.1978</v>
      </c>
      <c r="F171">
        <v>10622038.199999999</v>
      </c>
      <c r="G171">
        <v>2.1978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-0.53836747172118637</v>
      </c>
      <c r="Q171">
        <f t="shared" ref="Q171" si="831">F171*P171</f>
        <v>-5718559.850259861</v>
      </c>
      <c r="R171">
        <f t="shared" ref="R171" si="832">R172+Q171</f>
        <v>-55223153.86554224</v>
      </c>
      <c r="S171">
        <f t="shared" ref="S171" si="833">R171/100000</f>
        <v>-552.23153865542236</v>
      </c>
      <c r="T171">
        <f t="shared" ref="T171" si="834">S171/1000</f>
        <v>-0.5522315386554224</v>
      </c>
    </row>
    <row r="172" spans="1:20" x14ac:dyDescent="0.25">
      <c r="A172" s="5">
        <v>44421</v>
      </c>
      <c r="B172">
        <v>1.8885000000000001</v>
      </c>
      <c r="C172">
        <v>2.7850000000000001</v>
      </c>
      <c r="D172">
        <v>1.8834</v>
      </c>
      <c r="E172">
        <v>2.1798000000000002</v>
      </c>
      <c r="F172">
        <v>13981576</v>
      </c>
      <c r="G172">
        <v>2.1798000000000002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-0.34250221827861543</v>
      </c>
      <c r="Q172">
        <f t="shared" ref="Q172" si="836">F172*P172</f>
        <v>-4788720.7950310512</v>
      </c>
      <c r="R172">
        <f t="shared" ref="R172" si="837">R173+Q172</f>
        <v>-49504594.015282378</v>
      </c>
      <c r="S172">
        <f t="shared" ref="S172" si="838">R172/100000</f>
        <v>-495.04594015282379</v>
      </c>
      <c r="T172">
        <f t="shared" ref="T172" si="839">S172/1000</f>
        <v>-0.49504594015282377</v>
      </c>
    </row>
    <row r="173" spans="1:20" x14ac:dyDescent="0.25">
      <c r="A173" s="5">
        <v>44420</v>
      </c>
      <c r="B173">
        <v>1.821</v>
      </c>
      <c r="C173">
        <v>1.9857</v>
      </c>
      <c r="D173">
        <v>1.8081</v>
      </c>
      <c r="E173">
        <v>1.8907</v>
      </c>
      <c r="F173">
        <v>4041417.84</v>
      </c>
      <c r="G173">
        <v>1.8907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-6.9819819819819634E-2</v>
      </c>
      <c r="Q173">
        <f t="shared" ref="Q173" si="841">F173*P173</f>
        <v>-282171.06540540466</v>
      </c>
      <c r="R173">
        <f t="shared" ref="R173" si="842">R174+Q173</f>
        <v>-44715873.220251329</v>
      </c>
      <c r="S173">
        <f t="shared" ref="S173" si="843">R173/100000</f>
        <v>-447.15873220251331</v>
      </c>
      <c r="T173">
        <f t="shared" ref="T173" si="844">S173/1000</f>
        <v>-0.44715873220251329</v>
      </c>
    </row>
    <row r="174" spans="1:20" x14ac:dyDescent="0.25">
      <c r="A174" s="5">
        <v>44419</v>
      </c>
      <c r="B174">
        <v>1.8353999999999999</v>
      </c>
      <c r="C174">
        <v>1.8940999999999999</v>
      </c>
      <c r="D174">
        <v>1.8106</v>
      </c>
      <c r="E174">
        <v>1.8220000000000001</v>
      </c>
      <c r="F174">
        <v>2584315.38</v>
      </c>
      <c r="G174">
        <v>1.8220000000000001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-0.72694610778442903</v>
      </c>
      <c r="Q174">
        <f t="shared" ref="Q174" si="846">F174*P174</f>
        <v>-1878658.0067784376</v>
      </c>
      <c r="R174">
        <f t="shared" ref="R174" si="847">R175+Q174</f>
        <v>-44433702.154845923</v>
      </c>
      <c r="S174">
        <f t="shared" ref="S174" si="848">R174/100000</f>
        <v>-444.33702154845923</v>
      </c>
      <c r="T174">
        <f t="shared" ref="T174" si="849">S174/1000</f>
        <v>-0.44433702154845922</v>
      </c>
    </row>
    <row r="175" spans="1:20" x14ac:dyDescent="0.25">
      <c r="A175" s="5">
        <v>44418</v>
      </c>
      <c r="B175">
        <v>1.7847</v>
      </c>
      <c r="C175">
        <v>1.875</v>
      </c>
      <c r="D175">
        <v>1.7529999999999999</v>
      </c>
      <c r="E175">
        <v>1.8355999999999999</v>
      </c>
      <c r="F175">
        <v>2879561.24</v>
      </c>
      <c r="G175">
        <v>1.8355999999999999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0.35409836065573663</v>
      </c>
      <c r="Q175">
        <f t="shared" ref="Q175" si="851">F175*P175</f>
        <v>1019647.9144918002</v>
      </c>
      <c r="R175">
        <f t="shared" ref="R175" si="852">R176+Q175</f>
        <v>-42555044.148067489</v>
      </c>
      <c r="S175">
        <f t="shared" ref="S175" si="853">R175/100000</f>
        <v>-425.55044148067492</v>
      </c>
      <c r="T175">
        <f t="shared" ref="T175" si="854">S175/1000</f>
        <v>-0.42555044148067495</v>
      </c>
    </row>
    <row r="176" spans="1:20" x14ac:dyDescent="0.25">
      <c r="A176" s="5">
        <v>44417</v>
      </c>
      <c r="B176">
        <v>1.7552000000000001</v>
      </c>
      <c r="C176">
        <v>1.8131999999999999</v>
      </c>
      <c r="D176">
        <v>1.7372000000000001</v>
      </c>
      <c r="E176">
        <v>1.7845</v>
      </c>
      <c r="F176">
        <v>1643228.85</v>
      </c>
      <c r="G176">
        <v>1.7845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0.244736842105263</v>
      </c>
      <c r="Q176">
        <f t="shared" ref="Q176" si="856">F176*P176</f>
        <v>402158.6396052629</v>
      </c>
      <c r="R176">
        <f t="shared" ref="R176" si="857">R177+Q176</f>
        <v>-43574692.062559292</v>
      </c>
      <c r="S176">
        <f t="shared" ref="S176" si="858">R176/100000</f>
        <v>-435.74692062559291</v>
      </c>
      <c r="T176">
        <f t="shared" ref="T176" si="859">S176/1000</f>
        <v>-0.43574692062559289</v>
      </c>
    </row>
    <row r="177" spans="1:20" x14ac:dyDescent="0.25">
      <c r="A177" s="5">
        <v>44416</v>
      </c>
      <c r="B177">
        <v>1.8153999999999999</v>
      </c>
      <c r="C177">
        <v>1.8508</v>
      </c>
      <c r="D177">
        <v>1.7521</v>
      </c>
      <c r="E177">
        <v>1.7565999999999999</v>
      </c>
      <c r="F177">
        <v>1683578.94</v>
      </c>
      <c r="G177">
        <v>1.7565999999999999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-0.90881458966565454</v>
      </c>
      <c r="Q177">
        <f t="shared" ref="Q177" si="861">F177*P177</f>
        <v>-1530061.1035258377</v>
      </c>
      <c r="R177">
        <f t="shared" ref="R177" si="862">R178+Q177</f>
        <v>-43976850.702164553</v>
      </c>
      <c r="S177">
        <f t="shared" ref="S177" si="863">R177/100000</f>
        <v>-439.76850702164552</v>
      </c>
      <c r="T177">
        <f t="shared" ref="T177" si="864">S177/1000</f>
        <v>-0.43976850702164549</v>
      </c>
    </row>
    <row r="178" spans="1:20" x14ac:dyDescent="0.25">
      <c r="A178" s="5">
        <v>44415</v>
      </c>
      <c r="B178">
        <v>1.8572</v>
      </c>
      <c r="C178">
        <v>1.8891</v>
      </c>
      <c r="D178">
        <v>1.7910999999999999</v>
      </c>
      <c r="E178">
        <v>1.8191999999999999</v>
      </c>
      <c r="F178">
        <v>2797130.88</v>
      </c>
      <c r="G178">
        <v>1.8191999999999999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-0.42653061224489819</v>
      </c>
      <c r="Q178">
        <f t="shared" ref="Q178" si="866">F178*P178</f>
        <v>-1193061.9467755109</v>
      </c>
      <c r="R178">
        <f t="shared" ref="R178" si="867">R179+Q178</f>
        <v>-42446789.598638713</v>
      </c>
      <c r="S178">
        <f t="shared" ref="S178" si="868">R178/100000</f>
        <v>-424.46789598638713</v>
      </c>
      <c r="T178">
        <f t="shared" ref="T178" si="869">S178/1000</f>
        <v>-0.42446789598638712</v>
      </c>
    </row>
    <row r="179" spans="1:20" x14ac:dyDescent="0.25">
      <c r="A179" s="5">
        <v>44414</v>
      </c>
      <c r="B179">
        <v>1.9093</v>
      </c>
      <c r="C179">
        <v>1.9440999999999999</v>
      </c>
      <c r="D179">
        <v>1.7524</v>
      </c>
      <c r="E179">
        <v>1.8577999999999999</v>
      </c>
      <c r="F179">
        <v>3999224.6</v>
      </c>
      <c r="G179">
        <v>1.8577999999999999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9.9634846113718811E-2</v>
      </c>
      <c r="Q179">
        <f t="shared" ref="Q179" si="871">F179*P179</f>
        <v>398462.12759519869</v>
      </c>
      <c r="R179">
        <f t="shared" ref="R179" si="872">R180+Q179</f>
        <v>-41253727.651863202</v>
      </c>
      <c r="S179">
        <f t="shared" ref="S179" si="873">R179/100000</f>
        <v>-412.53727651863204</v>
      </c>
      <c r="T179">
        <f t="shared" ref="T179" si="874">S179/1000</f>
        <v>-0.41253727651863203</v>
      </c>
    </row>
    <row r="180" spans="1:20" x14ac:dyDescent="0.25">
      <c r="A180" s="5">
        <v>44413</v>
      </c>
      <c r="B180">
        <v>1.9593</v>
      </c>
      <c r="C180">
        <v>2.0299999999999998</v>
      </c>
      <c r="D180">
        <v>1.8713</v>
      </c>
      <c r="E180">
        <v>1.9026000000000001</v>
      </c>
      <c r="F180">
        <v>4585486.49</v>
      </c>
      <c r="G180">
        <v>1.9026000000000001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-0.60554505356017474</v>
      </c>
      <c r="Q180">
        <f t="shared" ref="Q180" si="876">F180*P180</f>
        <v>-2776718.6621865076</v>
      </c>
      <c r="R180">
        <f t="shared" ref="R180" si="877">R181+Q180</f>
        <v>-41652189.779458404</v>
      </c>
      <c r="S180">
        <f t="shared" ref="S180" si="878">R180/100000</f>
        <v>-416.52189779458405</v>
      </c>
      <c r="T180">
        <f t="shared" ref="T180" si="879">S180/1000</f>
        <v>-0.41652189779458404</v>
      </c>
    </row>
    <row r="181" spans="1:20" x14ac:dyDescent="0.25">
      <c r="A181" s="5">
        <v>44412</v>
      </c>
      <c r="B181">
        <v>1.8916999999999999</v>
      </c>
      <c r="C181">
        <v>1.9850000000000001</v>
      </c>
      <c r="D181">
        <v>1.8351</v>
      </c>
      <c r="E181">
        <v>1.9594</v>
      </c>
      <c r="F181">
        <v>5004282.7</v>
      </c>
      <c r="G181">
        <v>1.9594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0.65843895930620355</v>
      </c>
      <c r="Q181">
        <f t="shared" ref="Q181" si="881">F181*P181</f>
        <v>3295014.6930620386</v>
      </c>
      <c r="R181">
        <f t="shared" ref="R181" si="882">R182+Q181</f>
        <v>-38875471.117271893</v>
      </c>
      <c r="S181">
        <f t="shared" ref="S181" si="883">R181/100000</f>
        <v>-388.75471117271894</v>
      </c>
      <c r="T181">
        <f t="shared" ref="T181" si="884">S181/1000</f>
        <v>-0.38875471117271893</v>
      </c>
    </row>
    <row r="182" spans="1:20" x14ac:dyDescent="0.25">
      <c r="A182" s="5">
        <v>44411</v>
      </c>
      <c r="B182">
        <v>1.9379</v>
      </c>
      <c r="C182">
        <v>1.9752000000000001</v>
      </c>
      <c r="D182">
        <v>1.8606</v>
      </c>
      <c r="E182">
        <v>1.8915999999999999</v>
      </c>
      <c r="F182">
        <v>5468076.4900000002</v>
      </c>
      <c r="G182">
        <v>1.8915999999999999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-0.45898778359511505</v>
      </c>
      <c r="Q182">
        <f t="shared" ref="Q182" si="886">F182*P182</f>
        <v>-2509780.3086736565</v>
      </c>
      <c r="R182">
        <f t="shared" ref="R182" si="887">R183+Q182</f>
        <v>-42170485.81033393</v>
      </c>
      <c r="S182">
        <f t="shared" ref="S182" si="888">R182/100000</f>
        <v>-421.70485810333929</v>
      </c>
      <c r="T182">
        <f t="shared" ref="T182" si="889">S182/1000</f>
        <v>-0.4217048581033393</v>
      </c>
    </row>
    <row r="183" spans="1:20" x14ac:dyDescent="0.25">
      <c r="A183" s="5">
        <v>44410</v>
      </c>
      <c r="B183">
        <v>1.7169000000000001</v>
      </c>
      <c r="C183">
        <v>2.0585</v>
      </c>
      <c r="D183">
        <v>1.7073</v>
      </c>
      <c r="E183">
        <v>1.9351</v>
      </c>
      <c r="F183">
        <v>14557107.57</v>
      </c>
      <c r="G183">
        <v>1.9351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0.29726651480637828</v>
      </c>
      <c r="Q183">
        <f t="shared" ref="Q183" si="891">F183*P183</f>
        <v>4327340.6329954462</v>
      </c>
      <c r="R183">
        <f t="shared" ref="R183" si="892">R184+Q183</f>
        <v>-39660705.501660272</v>
      </c>
      <c r="S183">
        <f t="shared" ref="S183" si="893">R183/100000</f>
        <v>-396.60705501660271</v>
      </c>
      <c r="T183">
        <f t="shared" ref="T183" si="894">S183/1000</f>
        <v>-0.39660705501660271</v>
      </c>
    </row>
    <row r="184" spans="1:20" x14ac:dyDescent="0.25">
      <c r="A184" s="5">
        <v>44409</v>
      </c>
      <c r="B184">
        <v>1.6013999999999999</v>
      </c>
      <c r="C184">
        <v>1.81</v>
      </c>
      <c r="D184">
        <v>1.5866</v>
      </c>
      <c r="E184">
        <v>1.7170000000000001</v>
      </c>
      <c r="F184">
        <v>5086073.6399999997</v>
      </c>
      <c r="G184">
        <v>1.7170000000000001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0.16741271262309801</v>
      </c>
      <c r="Q184">
        <f t="shared" ref="Q184" si="896">F184*P184</f>
        <v>851473.38467323396</v>
      </c>
      <c r="R184">
        <f t="shared" ref="R184" si="897">R185+Q184</f>
        <v>-43988046.134655721</v>
      </c>
      <c r="S184">
        <f t="shared" ref="S184" si="898">R184/100000</f>
        <v>-439.88046134655724</v>
      </c>
      <c r="T184">
        <f t="shared" ref="T184" si="899">S184/1000</f>
        <v>-0.43988046134655723</v>
      </c>
    </row>
    <row r="185" spans="1:20" x14ac:dyDescent="0.25">
      <c r="A185" s="5">
        <v>44408</v>
      </c>
      <c r="B185">
        <v>1.5983000000000001</v>
      </c>
      <c r="C185">
        <v>1.6496</v>
      </c>
      <c r="D185">
        <v>1.5634999999999999</v>
      </c>
      <c r="E185">
        <v>1.6043000000000001</v>
      </c>
      <c r="F185">
        <v>2628290.31</v>
      </c>
      <c r="G185">
        <v>1.6043000000000001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-5.2264808362366119E-2</v>
      </c>
      <c r="Q185">
        <f t="shared" ref="Q185" si="901">F185*P185</f>
        <v>-137367.08937281385</v>
      </c>
      <c r="R185">
        <f t="shared" ref="R185" si="902">R186+Q185</f>
        <v>-44839519.519328952</v>
      </c>
      <c r="S185">
        <f t="shared" ref="S185" si="903">R185/100000</f>
        <v>-448.39519519328951</v>
      </c>
      <c r="T185">
        <f t="shared" ref="T185" si="904">S185/1000</f>
        <v>-0.44839519519328952</v>
      </c>
    </row>
    <row r="186" spans="1:20" x14ac:dyDescent="0.25">
      <c r="A186" s="5">
        <v>44407</v>
      </c>
      <c r="B186">
        <v>1.6437999999999999</v>
      </c>
      <c r="C186">
        <v>1.6733</v>
      </c>
      <c r="D186">
        <v>1.5405</v>
      </c>
      <c r="E186">
        <v>1.5971</v>
      </c>
      <c r="F186">
        <v>4932444.1600000001</v>
      </c>
      <c r="G186">
        <v>1.5971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-0.14759036144578355</v>
      </c>
      <c r="Q186">
        <f t="shared" ref="Q186" si="906">F186*P186</f>
        <v>-727981.21638554428</v>
      </c>
      <c r="R186">
        <f t="shared" ref="R186" si="907">R187+Q186</f>
        <v>-44702152.429956138</v>
      </c>
      <c r="S186">
        <f t="shared" ref="S186" si="908">R186/100000</f>
        <v>-447.02152429956141</v>
      </c>
      <c r="T186">
        <f t="shared" ref="T186" si="909">S186/1000</f>
        <v>-0.44702152429956138</v>
      </c>
    </row>
    <row r="187" spans="1:20" x14ac:dyDescent="0.25">
      <c r="A187" s="5">
        <v>44406</v>
      </c>
      <c r="B187">
        <v>1.7632000000000001</v>
      </c>
      <c r="C187">
        <v>1.7850999999999999</v>
      </c>
      <c r="D187">
        <v>1.6214</v>
      </c>
      <c r="E187">
        <v>1.6420999999999999</v>
      </c>
      <c r="F187">
        <v>5646500.7300000004</v>
      </c>
      <c r="G187">
        <v>1.6420999999999999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-0.74709835064141783</v>
      </c>
      <c r="Q187">
        <f t="shared" ref="Q187" si="911">F187*P187</f>
        <v>-4218491.3822785625</v>
      </c>
      <c r="R187">
        <f t="shared" ref="R187" si="912">R188+Q187</f>
        <v>-43974171.213570595</v>
      </c>
      <c r="S187">
        <f t="shared" ref="S187" si="913">R187/100000</f>
        <v>-439.74171213570594</v>
      </c>
      <c r="T187">
        <f t="shared" ref="T187" si="914">S187/1000</f>
        <v>-0.43974171213570595</v>
      </c>
    </row>
    <row r="188" spans="1:20" x14ac:dyDescent="0.25">
      <c r="A188" s="5">
        <v>44405</v>
      </c>
      <c r="B188">
        <v>1.7799</v>
      </c>
      <c r="C188">
        <v>1.946</v>
      </c>
      <c r="D188">
        <v>1.6672</v>
      </c>
      <c r="E188">
        <v>1.7717000000000001</v>
      </c>
      <c r="F188">
        <v>15222614.189999999</v>
      </c>
      <c r="G188">
        <v>1.7717000000000001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-0.25035868005738837</v>
      </c>
      <c r="Q188">
        <f t="shared" ref="Q188" si="916">F188*P188</f>
        <v>-3811113.5956312702</v>
      </c>
      <c r="R188">
        <f t="shared" ref="R188" si="917">R189+Q188</f>
        <v>-39755679.831292033</v>
      </c>
      <c r="S188">
        <f t="shared" ref="S188" si="918">R188/100000</f>
        <v>-397.55679831292031</v>
      </c>
      <c r="T188">
        <f t="shared" ref="T188" si="919">S188/1000</f>
        <v>-0.39755679831292029</v>
      </c>
    </row>
    <row r="189" spans="1:20" x14ac:dyDescent="0.25">
      <c r="A189" s="5">
        <v>44404</v>
      </c>
      <c r="B189">
        <v>1.4599</v>
      </c>
      <c r="C189">
        <v>1.829</v>
      </c>
      <c r="D189">
        <v>1.4025000000000001</v>
      </c>
      <c r="E189">
        <v>1.7799</v>
      </c>
      <c r="F189">
        <v>23764024.030000001</v>
      </c>
      <c r="G189">
        <v>1.7799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0.76975381008206356</v>
      </c>
      <c r="Q189">
        <f t="shared" ref="Q189" si="921">F189*P189</f>
        <v>18292448.039974216</v>
      </c>
      <c r="R189">
        <f t="shared" ref="R189" si="922">R190+Q189</f>
        <v>-35944566.235660762</v>
      </c>
      <c r="S189">
        <f t="shared" ref="S189" si="923">R189/100000</f>
        <v>-359.44566235660761</v>
      </c>
      <c r="T189">
        <f t="shared" ref="T189" si="924">S189/1000</f>
        <v>-0.35944566235660763</v>
      </c>
    </row>
    <row r="190" spans="1:20" x14ac:dyDescent="0.25">
      <c r="A190" s="5">
        <v>44403</v>
      </c>
      <c r="B190">
        <v>1.3633</v>
      </c>
      <c r="C190">
        <v>1.4787999999999999</v>
      </c>
      <c r="D190">
        <v>1.3460000000000001</v>
      </c>
      <c r="E190">
        <v>1.4524999999999999</v>
      </c>
      <c r="F190">
        <v>9052174.5999999996</v>
      </c>
      <c r="G190">
        <v>1.4524999999999999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0.60391566265060204</v>
      </c>
      <c r="Q190">
        <f t="shared" ref="Q190" si="926">F190*P190</f>
        <v>5466750.0219879486</v>
      </c>
      <c r="R190">
        <f t="shared" ref="R190" si="927">R191+Q190</f>
        <v>-54237014.275634974</v>
      </c>
      <c r="S190">
        <f t="shared" ref="S190" si="928">R190/100000</f>
        <v>-542.37014275634976</v>
      </c>
      <c r="T190">
        <f t="shared" ref="T190" si="929">S190/1000</f>
        <v>-0.54237014275634976</v>
      </c>
    </row>
    <row r="191" spans="1:20" x14ac:dyDescent="0.25">
      <c r="A191" s="5">
        <v>44402</v>
      </c>
      <c r="B191">
        <v>1.1748000000000001</v>
      </c>
      <c r="C191">
        <v>1.399</v>
      </c>
      <c r="D191">
        <v>1.1551</v>
      </c>
      <c r="E191">
        <v>1.3580000000000001</v>
      </c>
      <c r="F191">
        <v>7636910.21</v>
      </c>
      <c r="G191">
        <v>1.3580000000000001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0.66379663796638033</v>
      </c>
      <c r="Q191">
        <f t="shared" ref="Q191" si="931">F191*P191</f>
        <v>5069355.3218491236</v>
      </c>
      <c r="R191">
        <f t="shared" ref="R191" si="932">R192+Q191</f>
        <v>-59703764.297622927</v>
      </c>
      <c r="S191">
        <f t="shared" ref="S191" si="933">R191/100000</f>
        <v>-597.03764297622922</v>
      </c>
      <c r="T191">
        <f t="shared" ref="T191:T197" si="934">S191/1000</f>
        <v>-0.59703764297622919</v>
      </c>
    </row>
    <row r="192" spans="1:20" x14ac:dyDescent="0.25">
      <c r="A192" s="5">
        <v>44401</v>
      </c>
      <c r="B192">
        <v>1.1221000000000001</v>
      </c>
      <c r="C192">
        <v>1.1935</v>
      </c>
      <c r="D192">
        <v>1.1151</v>
      </c>
      <c r="E192">
        <v>1.1748000000000001</v>
      </c>
      <c r="F192">
        <v>3838269.83</v>
      </c>
      <c r="G192">
        <v>1.1748000000000001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0.52295918367347105</v>
      </c>
      <c r="Q192">
        <f t="shared" ref="Q192" si="936">F192*P192</f>
        <v>2007258.4570153125</v>
      </c>
      <c r="R192">
        <f t="shared" ref="R192" si="937">R193+Q192</f>
        <v>-64773119.619472049</v>
      </c>
      <c r="S192">
        <f t="shared" ref="S192" si="938">R192/100000</f>
        <v>-647.7311961947205</v>
      </c>
      <c r="T192">
        <f t="shared" si="934"/>
        <v>-0.64773119619472053</v>
      </c>
    </row>
    <row r="193" spans="1:20" x14ac:dyDescent="0.25">
      <c r="A193" s="5">
        <v>44400</v>
      </c>
      <c r="B193">
        <v>1.1032999999999999</v>
      </c>
      <c r="C193">
        <v>1.1379999999999999</v>
      </c>
      <c r="D193">
        <v>1.0940000000000001</v>
      </c>
      <c r="E193">
        <v>1.1217999999999999</v>
      </c>
      <c r="F193">
        <v>1293067.26</v>
      </c>
      <c r="G193">
        <v>1.1217999999999999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0.26363636363636095</v>
      </c>
      <c r="Q193">
        <f t="shared" ref="Q193" si="940">F193*P193</f>
        <v>340899.55036363291</v>
      </c>
      <c r="R193">
        <f t="shared" ref="R193" si="941">R194+Q193</f>
        <v>-66780378.076487362</v>
      </c>
      <c r="S193">
        <f t="shared" ref="S193" si="942">R193/100000</f>
        <v>-667.80378076487364</v>
      </c>
      <c r="T193">
        <f t="shared" si="934"/>
        <v>-0.66780378076487368</v>
      </c>
    </row>
    <row r="194" spans="1:20" x14ac:dyDescent="0.25">
      <c r="A194" s="5">
        <v>44399</v>
      </c>
      <c r="B194">
        <v>1.0899000000000001</v>
      </c>
      <c r="C194">
        <v>1.119</v>
      </c>
      <c r="D194">
        <v>1.0849</v>
      </c>
      <c r="E194">
        <v>1.1032999999999999</v>
      </c>
      <c r="F194">
        <v>703664.47</v>
      </c>
      <c r="G194">
        <v>1.1032999999999999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7.9178885630496285E-2</v>
      </c>
      <c r="Q194">
        <f t="shared" ref="Q194" si="944">F194*P194</f>
        <v>55715.368592373779</v>
      </c>
      <c r="R194">
        <f t="shared" ref="R194" si="945">R195+Q194</f>
        <v>-67121277.626850992</v>
      </c>
      <c r="S194">
        <f t="shared" ref="S194" si="946">R194/100000</f>
        <v>-671.21277626850997</v>
      </c>
      <c r="T194">
        <f t="shared" si="934"/>
        <v>-0.67121277626850995</v>
      </c>
    </row>
    <row r="195" spans="1:20" x14ac:dyDescent="0.25">
      <c r="A195" s="5">
        <v>44398</v>
      </c>
      <c r="B195">
        <v>1.0678000000000001</v>
      </c>
      <c r="C195">
        <v>1.1129</v>
      </c>
      <c r="D195">
        <v>1.0602</v>
      </c>
      <c r="E195">
        <v>1.0965</v>
      </c>
      <c r="F195">
        <v>1539080.35</v>
      </c>
      <c r="G195">
        <v>1.0965</v>
      </c>
      <c r="L195" t="s">
        <v>7</v>
      </c>
      <c r="M195" t="s">
        <v>8</v>
      </c>
      <c r="N195" t="s">
        <v>7</v>
      </c>
      <c r="P195">
        <f t="shared" ref="P195" si="947">IF(C195=D195,0,((E195-D195)-(C195-E195))/(C195-D195))</f>
        <v>0.37760910815939358</v>
      </c>
      <c r="Q195">
        <f t="shared" ref="Q195" si="948">F195*P195</f>
        <v>581170.75834914739</v>
      </c>
      <c r="R195">
        <f t="shared" ref="R195" si="949">R196+Q195</f>
        <v>-67176992.995443359</v>
      </c>
      <c r="S195">
        <f t="shared" ref="S195" si="950">R195/100000</f>
        <v>-671.76992995443356</v>
      </c>
      <c r="T195">
        <f t="shared" si="934"/>
        <v>-0.67176992995443352</v>
      </c>
    </row>
    <row r="196" spans="1:20" x14ac:dyDescent="0.25">
      <c r="A196" s="5">
        <v>44397</v>
      </c>
      <c r="B196">
        <v>1.093</v>
      </c>
      <c r="C196">
        <v>1.1000000000000001</v>
      </c>
      <c r="D196">
        <v>1.0602</v>
      </c>
      <c r="E196">
        <v>1.0683</v>
      </c>
      <c r="F196">
        <v>1115443.1499999999</v>
      </c>
      <c r="G196">
        <v>1.0683</v>
      </c>
      <c r="L196" t="s">
        <v>7</v>
      </c>
      <c r="M196" t="s">
        <v>8</v>
      </c>
      <c r="N196" t="s">
        <v>7</v>
      </c>
      <c r="P196">
        <f t="shared" ref="P196" si="951">IF(C196=D196,0,((E196-D196)-(C196-E196))/(C196-D196))</f>
        <v>-0.59296482412060381</v>
      </c>
      <c r="Q196">
        <f t="shared" ref="Q196" si="952">F196*P196</f>
        <v>-661418.55125628226</v>
      </c>
      <c r="R196">
        <f t="shared" ref="R196" si="953">R197+Q196</f>
        <v>-67758163.753792509</v>
      </c>
      <c r="S196">
        <f t="shared" ref="S196" si="954">R196/100000</f>
        <v>-677.58163753792508</v>
      </c>
      <c r="T196">
        <f t="shared" si="934"/>
        <v>-0.67758163753792511</v>
      </c>
    </row>
    <row r="197" spans="1:20" x14ac:dyDescent="0.25">
      <c r="A197" s="5">
        <v>44396</v>
      </c>
      <c r="B197">
        <v>1.1214999999999999</v>
      </c>
      <c r="C197">
        <v>1.1427</v>
      </c>
      <c r="D197">
        <v>1.0861000000000001</v>
      </c>
      <c r="E197">
        <v>1.0925</v>
      </c>
      <c r="F197">
        <v>945330.53</v>
      </c>
      <c r="G197">
        <v>0</v>
      </c>
      <c r="L197" t="s">
        <v>7</v>
      </c>
      <c r="M197" t="s">
        <v>8</v>
      </c>
      <c r="N197" t="s">
        <v>7</v>
      </c>
      <c r="P197">
        <f t="shared" ref="P197" si="955">IF(C197=D197,0,((E197-D197)-(C197-E197))/(C197-D197))</f>
        <v>-0.77385159010600835</v>
      </c>
      <c r="Q197">
        <f t="shared" ref="Q197" si="956">F197*P197</f>
        <v>-731545.53381625563</v>
      </c>
      <c r="R197">
        <f t="shared" ref="R197" si="957">R198+Q197</f>
        <v>-67096745.202536233</v>
      </c>
      <c r="S197">
        <f t="shared" ref="S197" si="958">R197/100000</f>
        <v>-670.96745202536238</v>
      </c>
      <c r="T197">
        <f t="shared" si="934"/>
        <v>-0.67096745202536234</v>
      </c>
    </row>
    <row r="198" spans="1:20" x14ac:dyDescent="0.25">
      <c r="A198" s="5">
        <v>44395</v>
      </c>
      <c r="B198">
        <v>1.1003000000000001</v>
      </c>
      <c r="C198">
        <v>1.155</v>
      </c>
      <c r="D198">
        <v>1.0902000000000001</v>
      </c>
      <c r="E198">
        <v>1.1243000000000001</v>
      </c>
      <c r="F198">
        <v>1333764</v>
      </c>
      <c r="G198">
        <v>0</v>
      </c>
      <c r="L198" t="s">
        <v>7</v>
      </c>
      <c r="M198" t="s">
        <v>8</v>
      </c>
      <c r="N198" t="s">
        <v>7</v>
      </c>
      <c r="P198">
        <f t="shared" ref="P198:P261" si="959">IF(C198=D198,0,((E198-D198)-(C198-E198))/(C198-D198))</f>
        <v>5.2469135802470236E-2</v>
      </c>
      <c r="Q198">
        <f t="shared" ref="Q198:Q261" si="960">F198*P198</f>
        <v>69981.444444445908</v>
      </c>
      <c r="R198">
        <f t="shared" ref="R198:R261" si="961">R199+Q198</f>
        <v>-66365199.668719977</v>
      </c>
      <c r="S198">
        <f t="shared" ref="S198:S261" si="962">R198/100000</f>
        <v>-663.65199668719981</v>
      </c>
      <c r="T198">
        <f t="shared" ref="T198:T261" si="963">S198/1000</f>
        <v>-0.66365199668719976</v>
      </c>
    </row>
    <row r="199" spans="1:20" x14ac:dyDescent="0.25">
      <c r="A199" s="5">
        <v>44394</v>
      </c>
      <c r="B199">
        <v>1.1141000000000001</v>
      </c>
      <c r="C199">
        <v>1.1414</v>
      </c>
      <c r="D199">
        <v>1.0860000000000001</v>
      </c>
      <c r="E199">
        <v>1.1000000000000001</v>
      </c>
      <c r="F199">
        <v>1686500.53</v>
      </c>
      <c r="G199">
        <v>0</v>
      </c>
      <c r="L199" t="s">
        <v>7</v>
      </c>
      <c r="M199" t="s">
        <v>8</v>
      </c>
      <c r="N199" t="s">
        <v>7</v>
      </c>
      <c r="P199">
        <f t="shared" si="959"/>
        <v>-0.49458483754512494</v>
      </c>
      <c r="Q199">
        <f t="shared" si="960"/>
        <v>-834117.59064981714</v>
      </c>
      <c r="R199">
        <f t="shared" si="961"/>
        <v>-66435181.113164425</v>
      </c>
      <c r="S199">
        <f t="shared" si="962"/>
        <v>-664.35181113164424</v>
      </c>
      <c r="T199">
        <f t="shared" si="963"/>
        <v>-0.66435181113164421</v>
      </c>
    </row>
    <row r="200" spans="1:20" x14ac:dyDescent="0.25">
      <c r="A200" s="5">
        <v>44393</v>
      </c>
      <c r="B200">
        <v>1.1634</v>
      </c>
      <c r="C200">
        <v>1.1919999999999999</v>
      </c>
      <c r="D200">
        <v>1.1044</v>
      </c>
      <c r="E200">
        <v>1.1141000000000001</v>
      </c>
      <c r="F200">
        <v>3738430.43</v>
      </c>
      <c r="G200">
        <v>0</v>
      </c>
      <c r="L200" t="s">
        <v>7</v>
      </c>
      <c r="M200" t="s">
        <v>8</v>
      </c>
      <c r="N200" t="s">
        <v>7</v>
      </c>
      <c r="P200">
        <f t="shared" si="959"/>
        <v>-0.77853881278538695</v>
      </c>
      <c r="Q200">
        <f t="shared" si="960"/>
        <v>-2910513.1886529638</v>
      </c>
      <c r="R200">
        <f t="shared" si="961"/>
        <v>-65601063.522514604</v>
      </c>
      <c r="S200">
        <f t="shared" si="962"/>
        <v>-656.01063522514607</v>
      </c>
      <c r="T200">
        <f t="shared" si="963"/>
        <v>-0.65601063522514602</v>
      </c>
    </row>
    <row r="201" spans="1:20" x14ac:dyDescent="0.25">
      <c r="A201" s="5">
        <v>44392</v>
      </c>
      <c r="B201">
        <v>1.0405</v>
      </c>
      <c r="C201">
        <v>1.2137</v>
      </c>
      <c r="D201">
        <v>1.0405</v>
      </c>
      <c r="E201">
        <v>1.1613</v>
      </c>
      <c r="F201">
        <v>14386013.99</v>
      </c>
      <c r="G201">
        <v>0</v>
      </c>
      <c r="L201" t="s">
        <v>8</v>
      </c>
      <c r="M201" t="s">
        <v>8</v>
      </c>
      <c r="N201" t="s">
        <v>7</v>
      </c>
      <c r="P201">
        <f t="shared" si="959"/>
        <v>0.39491916859122406</v>
      </c>
      <c r="Q201">
        <f t="shared" si="960"/>
        <v>5681312.6842725184</v>
      </c>
      <c r="R201">
        <f t="shared" si="961"/>
        <v>-62690550.333861642</v>
      </c>
      <c r="S201">
        <f t="shared" si="962"/>
        <v>-626.90550333861643</v>
      </c>
      <c r="T201">
        <f t="shared" si="963"/>
        <v>-0.62690550333861639</v>
      </c>
    </row>
    <row r="202" spans="1:20" x14ac:dyDescent="0.25">
      <c r="A202" s="5">
        <v>44391</v>
      </c>
      <c r="B202">
        <v>1.0394000000000001</v>
      </c>
      <c r="C202">
        <v>1.1140000000000001</v>
      </c>
      <c r="D202">
        <v>0.99660000000000004</v>
      </c>
      <c r="E202">
        <v>1.0411999999999999</v>
      </c>
      <c r="F202">
        <v>3847839.33</v>
      </c>
      <c r="G202">
        <v>0</v>
      </c>
      <c r="L202" t="s">
        <v>8</v>
      </c>
      <c r="M202" t="s">
        <v>8</v>
      </c>
      <c r="N202" t="s">
        <v>7</v>
      </c>
      <c r="P202">
        <f t="shared" si="959"/>
        <v>-0.24020442930153596</v>
      </c>
      <c r="Q202">
        <f t="shared" si="960"/>
        <v>-924268.05030665454</v>
      </c>
      <c r="R202">
        <f t="shared" si="961"/>
        <v>-68371863.018134162</v>
      </c>
      <c r="S202">
        <f t="shared" si="962"/>
        <v>-683.71863018134161</v>
      </c>
      <c r="T202">
        <f t="shared" si="963"/>
        <v>-0.6837186301813416</v>
      </c>
    </row>
    <row r="203" spans="1:20" x14ac:dyDescent="0.25">
      <c r="A203" s="5">
        <v>44390</v>
      </c>
      <c r="B203">
        <v>1.0065999999999999</v>
      </c>
      <c r="C203">
        <v>1.0501</v>
      </c>
      <c r="D203">
        <v>1.0045999999999999</v>
      </c>
      <c r="E203">
        <v>1.0396000000000001</v>
      </c>
      <c r="F203">
        <v>1493755.17</v>
      </c>
      <c r="G203">
        <v>0</v>
      </c>
      <c r="L203" t="s">
        <v>8</v>
      </c>
      <c r="M203" t="s">
        <v>7</v>
      </c>
      <c r="N203" t="s">
        <v>7</v>
      </c>
      <c r="P203">
        <f t="shared" si="959"/>
        <v>0.53846153846154143</v>
      </c>
      <c r="Q203">
        <f t="shared" si="960"/>
        <v>804329.70692308131</v>
      </c>
      <c r="R203">
        <f t="shared" si="961"/>
        <v>-67447594.967827514</v>
      </c>
      <c r="S203">
        <f t="shared" si="962"/>
        <v>-674.47594967827513</v>
      </c>
      <c r="T203">
        <f t="shared" si="963"/>
        <v>-0.67447594967827518</v>
      </c>
    </row>
    <row r="204" spans="1:20" x14ac:dyDescent="0.25">
      <c r="A204" s="5">
        <v>44389</v>
      </c>
      <c r="B204">
        <v>1.0375000000000001</v>
      </c>
      <c r="C204">
        <v>1.0526</v>
      </c>
      <c r="D204">
        <v>1.0065</v>
      </c>
      <c r="E204">
        <v>1.0085999999999999</v>
      </c>
      <c r="F204">
        <v>936722.6</v>
      </c>
      <c r="G204">
        <v>0</v>
      </c>
      <c r="L204" t="s">
        <v>8</v>
      </c>
      <c r="M204" t="s">
        <v>7</v>
      </c>
      <c r="N204" t="s">
        <v>7</v>
      </c>
      <c r="P204">
        <f t="shared" si="959"/>
        <v>-0.90889370932754932</v>
      </c>
      <c r="Q204">
        <f t="shared" si="960"/>
        <v>-851381.27852494619</v>
      </c>
      <c r="R204">
        <f t="shared" si="961"/>
        <v>-68251924.674750596</v>
      </c>
      <c r="S204">
        <f t="shared" si="962"/>
        <v>-682.51924674750592</v>
      </c>
      <c r="T204">
        <f t="shared" si="963"/>
        <v>-0.68251924674750597</v>
      </c>
    </row>
    <row r="205" spans="1:20" x14ac:dyDescent="0.25">
      <c r="A205" s="5">
        <v>44388</v>
      </c>
      <c r="B205">
        <v>1.0317000000000001</v>
      </c>
      <c r="C205">
        <v>1.0694999999999999</v>
      </c>
      <c r="D205">
        <v>1.0065</v>
      </c>
      <c r="E205">
        <v>1.0345</v>
      </c>
      <c r="F205">
        <v>2017555.73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-0.11111111111110955</v>
      </c>
      <c r="Q205">
        <f t="shared" si="960"/>
        <v>-224172.85888888573</v>
      </c>
      <c r="R205">
        <f t="shared" si="961"/>
        <v>-67400543.396225646</v>
      </c>
      <c r="S205">
        <f t="shared" si="962"/>
        <v>-674.00543396225646</v>
      </c>
      <c r="T205">
        <f t="shared" si="963"/>
        <v>-0.67400543396225643</v>
      </c>
    </row>
    <row r="206" spans="1:20" x14ac:dyDescent="0.25">
      <c r="A206" s="5">
        <v>44387</v>
      </c>
      <c r="B206">
        <v>1.0197000000000001</v>
      </c>
      <c r="C206">
        <v>1.04</v>
      </c>
      <c r="D206">
        <v>1.0053000000000001</v>
      </c>
      <c r="E206">
        <v>1.0317000000000001</v>
      </c>
      <c r="F206">
        <v>1037652.07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0.52161383285302676</v>
      </c>
      <c r="Q206">
        <f t="shared" si="960"/>
        <v>541253.67340057716</v>
      </c>
      <c r="R206">
        <f t="shared" si="961"/>
        <v>-67176370.537336767</v>
      </c>
      <c r="S206">
        <f t="shared" si="962"/>
        <v>-671.76370537336766</v>
      </c>
      <c r="T206">
        <f t="shared" si="963"/>
        <v>-0.6717637053733676</v>
      </c>
    </row>
    <row r="207" spans="1:20" x14ac:dyDescent="0.25">
      <c r="A207" s="5">
        <v>44386</v>
      </c>
      <c r="B207">
        <v>1.0071000000000001</v>
      </c>
      <c r="C207">
        <v>1.0267999999999999</v>
      </c>
      <c r="D207">
        <v>0.99450000000000005</v>
      </c>
      <c r="E207">
        <v>1.0197000000000001</v>
      </c>
      <c r="F207">
        <v>561994.67000000004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0.56037151702786936</v>
      </c>
      <c r="Q207">
        <f t="shared" si="960"/>
        <v>314925.80578947684</v>
      </c>
      <c r="R207">
        <f t="shared" si="961"/>
        <v>-67717624.210737348</v>
      </c>
      <c r="S207">
        <f t="shared" si="962"/>
        <v>-677.17624210737347</v>
      </c>
      <c r="T207">
        <f t="shared" si="963"/>
        <v>-0.67717624210737348</v>
      </c>
    </row>
    <row r="208" spans="1:20" x14ac:dyDescent="0.25">
      <c r="A208" s="5">
        <v>44385</v>
      </c>
      <c r="B208">
        <v>1.0345</v>
      </c>
      <c r="C208">
        <v>1.0483</v>
      </c>
      <c r="D208">
        <v>0.99429999999999996</v>
      </c>
      <c r="E208">
        <v>1.0118</v>
      </c>
      <c r="F208">
        <v>1604397.22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-0.35185185185184981</v>
      </c>
      <c r="Q208">
        <f t="shared" si="960"/>
        <v>-564510.1329629597</v>
      </c>
      <c r="R208">
        <f t="shared" si="961"/>
        <v>-68032550.016526818</v>
      </c>
      <c r="S208">
        <f t="shared" si="962"/>
        <v>-680.32550016526818</v>
      </c>
      <c r="T208">
        <f t="shared" si="963"/>
        <v>-0.68032550016526816</v>
      </c>
    </row>
    <row r="209" spans="1:20" x14ac:dyDescent="0.25">
      <c r="A209" s="5">
        <v>44384</v>
      </c>
      <c r="B209">
        <v>1.0004</v>
      </c>
      <c r="C209">
        <v>1.07</v>
      </c>
      <c r="D209">
        <v>0.99280000000000002</v>
      </c>
      <c r="E209">
        <v>1.0346</v>
      </c>
      <c r="F209">
        <v>2804464.18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8.2901554404143082E-2</v>
      </c>
      <c r="Q209">
        <f t="shared" si="960"/>
        <v>232494.43979274054</v>
      </c>
      <c r="R209">
        <f t="shared" si="961"/>
        <v>-67468039.883563861</v>
      </c>
      <c r="S209">
        <f t="shared" si="962"/>
        <v>-674.68039883563858</v>
      </c>
      <c r="T209">
        <f t="shared" si="963"/>
        <v>-0.67468039883563857</v>
      </c>
    </row>
    <row r="210" spans="1:20" x14ac:dyDescent="0.25">
      <c r="A210" s="5">
        <v>44383</v>
      </c>
      <c r="B210">
        <v>0.96840000000000004</v>
      </c>
      <c r="C210">
        <v>1.01</v>
      </c>
      <c r="D210">
        <v>0.96509999999999996</v>
      </c>
      <c r="E210">
        <v>0.99560000000000004</v>
      </c>
      <c r="F210">
        <v>705853.89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0.35857461024499099</v>
      </c>
      <c r="Q210">
        <f t="shared" si="960"/>
        <v>253101.28349666073</v>
      </c>
      <c r="R210">
        <f t="shared" si="961"/>
        <v>-67700534.323356599</v>
      </c>
      <c r="S210">
        <f t="shared" si="962"/>
        <v>-677.00534323356601</v>
      </c>
      <c r="T210">
        <f t="shared" si="963"/>
        <v>-0.67700534323356598</v>
      </c>
    </row>
    <row r="211" spans="1:20" x14ac:dyDescent="0.25">
      <c r="A211" s="5">
        <v>44382</v>
      </c>
      <c r="B211">
        <v>0.97870000000000001</v>
      </c>
      <c r="C211">
        <v>0.98050000000000004</v>
      </c>
      <c r="D211">
        <v>0.96260000000000001</v>
      </c>
      <c r="E211">
        <v>0.96719999999999995</v>
      </c>
      <c r="F211">
        <v>502505.16</v>
      </c>
      <c r="G211">
        <v>0</v>
      </c>
      <c r="L211" t="s">
        <v>8</v>
      </c>
      <c r="M211" t="s">
        <v>7</v>
      </c>
      <c r="N211" t="s">
        <v>7</v>
      </c>
      <c r="P211">
        <f t="shared" si="959"/>
        <v>-0.48603351955308038</v>
      </c>
      <c r="Q211">
        <f t="shared" si="960"/>
        <v>-244234.35150838378</v>
      </c>
      <c r="R211">
        <f t="shared" si="961"/>
        <v>-67953635.606853262</v>
      </c>
      <c r="S211">
        <f t="shared" si="962"/>
        <v>-679.53635606853265</v>
      </c>
      <c r="T211">
        <f t="shared" si="963"/>
        <v>-0.67953635606853269</v>
      </c>
    </row>
    <row r="212" spans="1:20" x14ac:dyDescent="0.25">
      <c r="A212" s="5">
        <v>44381</v>
      </c>
      <c r="B212">
        <v>0.96750000000000003</v>
      </c>
      <c r="C212">
        <v>1.0046999999999999</v>
      </c>
      <c r="D212">
        <v>0.96340000000000003</v>
      </c>
      <c r="E212">
        <v>0.98019999999999996</v>
      </c>
      <c r="F212">
        <v>684162.15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-0.18644067796610314</v>
      </c>
      <c r="Q212">
        <f t="shared" si="960"/>
        <v>-127555.65508474676</v>
      </c>
      <c r="R212">
        <f t="shared" si="961"/>
        <v>-67709401.255344883</v>
      </c>
      <c r="S212">
        <f t="shared" si="962"/>
        <v>-677.09401255344881</v>
      </c>
      <c r="T212">
        <f t="shared" si="963"/>
        <v>-0.67709401255344881</v>
      </c>
    </row>
    <row r="213" spans="1:20" x14ac:dyDescent="0.25">
      <c r="A213" s="5">
        <v>44380</v>
      </c>
      <c r="B213">
        <v>0.98360000000000003</v>
      </c>
      <c r="C213">
        <v>0.98670000000000002</v>
      </c>
      <c r="D213">
        <v>0.96020000000000005</v>
      </c>
      <c r="E213">
        <v>0.96750000000000003</v>
      </c>
      <c r="F213">
        <v>307371.57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-0.44905660377358625</v>
      </c>
      <c r="Q213">
        <f t="shared" si="960"/>
        <v>-138027.23332075513</v>
      </c>
      <c r="R213">
        <f t="shared" si="961"/>
        <v>-67581845.600260139</v>
      </c>
      <c r="S213">
        <f t="shared" si="962"/>
        <v>-675.81845600260135</v>
      </c>
      <c r="T213">
        <f t="shared" si="963"/>
        <v>-0.67581845600260138</v>
      </c>
    </row>
    <row r="214" spans="1:20" x14ac:dyDescent="0.25">
      <c r="A214" s="5">
        <v>44379</v>
      </c>
      <c r="B214">
        <v>0.9698</v>
      </c>
      <c r="C214">
        <v>0.98699999999999999</v>
      </c>
      <c r="D214">
        <v>0.95709999999999995</v>
      </c>
      <c r="E214">
        <v>0.98350000000000004</v>
      </c>
      <c r="F214">
        <v>321694.7</v>
      </c>
      <c r="G214">
        <v>0</v>
      </c>
      <c r="L214" t="s">
        <v>8</v>
      </c>
      <c r="M214" t="s">
        <v>7</v>
      </c>
      <c r="N214" t="s">
        <v>7</v>
      </c>
      <c r="P214">
        <f t="shared" si="959"/>
        <v>0.76588628762542188</v>
      </c>
      <c r="Q214">
        <f t="shared" si="960"/>
        <v>246381.55953177382</v>
      </c>
      <c r="R214">
        <f t="shared" si="961"/>
        <v>-67443818.366939381</v>
      </c>
      <c r="S214">
        <f t="shared" si="962"/>
        <v>-674.43818366939377</v>
      </c>
      <c r="T214">
        <f t="shared" si="963"/>
        <v>-0.67443818366939379</v>
      </c>
    </row>
    <row r="215" spans="1:20" x14ac:dyDescent="0.25">
      <c r="A215" s="5">
        <v>44378</v>
      </c>
      <c r="B215">
        <v>0.97360000000000002</v>
      </c>
      <c r="C215">
        <v>0.99509999999999998</v>
      </c>
      <c r="D215">
        <v>0.95860000000000001</v>
      </c>
      <c r="E215">
        <v>0.97189999999999999</v>
      </c>
      <c r="F215">
        <v>563431.88</v>
      </c>
      <c r="G215">
        <v>0</v>
      </c>
      <c r="L215" t="s">
        <v>8</v>
      </c>
      <c r="M215" t="s">
        <v>7</v>
      </c>
      <c r="N215" t="s">
        <v>7</v>
      </c>
      <c r="P215">
        <f t="shared" si="959"/>
        <v>-0.27123287671232948</v>
      </c>
      <c r="Q215">
        <f t="shared" si="960"/>
        <v>-152821.24964383602</v>
      </c>
      <c r="R215">
        <f t="shared" si="961"/>
        <v>-67690199.926471159</v>
      </c>
      <c r="S215">
        <f t="shared" si="962"/>
        <v>-676.90199926471155</v>
      </c>
      <c r="T215">
        <f t="shared" si="963"/>
        <v>-0.67690199926471151</v>
      </c>
    </row>
    <row r="216" spans="1:20" x14ac:dyDescent="0.25">
      <c r="A216" s="5">
        <v>44377</v>
      </c>
      <c r="B216">
        <v>0.95920000000000005</v>
      </c>
      <c r="C216">
        <v>0.98699999999999999</v>
      </c>
      <c r="D216">
        <v>0.95589999999999997</v>
      </c>
      <c r="E216">
        <v>0.9738</v>
      </c>
      <c r="F216">
        <v>403419.64</v>
      </c>
      <c r="G216">
        <v>0</v>
      </c>
      <c r="L216" t="s">
        <v>8</v>
      </c>
      <c r="M216" t="s">
        <v>7</v>
      </c>
      <c r="N216" t="s">
        <v>7</v>
      </c>
      <c r="P216">
        <f t="shared" si="959"/>
        <v>0.15112540192926158</v>
      </c>
      <c r="Q216">
        <f t="shared" si="960"/>
        <v>60966.955241158015</v>
      </c>
      <c r="R216">
        <f t="shared" si="961"/>
        <v>-67537378.676827326</v>
      </c>
      <c r="S216">
        <f t="shared" si="962"/>
        <v>-675.37378676827325</v>
      </c>
      <c r="T216">
        <f t="shared" si="963"/>
        <v>-0.6753737867682732</v>
      </c>
    </row>
    <row r="217" spans="1:20" x14ac:dyDescent="0.25">
      <c r="A217" s="5">
        <v>44376</v>
      </c>
      <c r="B217">
        <v>0.95130000000000003</v>
      </c>
      <c r="C217">
        <v>0.97</v>
      </c>
      <c r="D217">
        <v>0.94920000000000004</v>
      </c>
      <c r="E217">
        <v>0.95920000000000005</v>
      </c>
      <c r="F217">
        <v>315050.11</v>
      </c>
      <c r="G217">
        <v>0</v>
      </c>
      <c r="L217" t="s">
        <v>8</v>
      </c>
      <c r="M217" t="s">
        <v>7</v>
      </c>
      <c r="N217" t="s">
        <v>7</v>
      </c>
      <c r="P217">
        <f t="shared" si="959"/>
        <v>-3.8461538461534356E-2</v>
      </c>
      <c r="Q217">
        <f t="shared" si="960"/>
        <v>-12117.311923075629</v>
      </c>
      <c r="R217">
        <f t="shared" si="961"/>
        <v>-67598345.632068485</v>
      </c>
      <c r="S217">
        <f t="shared" si="962"/>
        <v>-675.98345632068481</v>
      </c>
      <c r="T217">
        <f t="shared" si="963"/>
        <v>-0.67598345632068479</v>
      </c>
    </row>
    <row r="218" spans="1:20" x14ac:dyDescent="0.25">
      <c r="A218" s="5">
        <v>44375</v>
      </c>
      <c r="B218">
        <v>0.95509999999999995</v>
      </c>
      <c r="C218">
        <v>0.9698</v>
      </c>
      <c r="D218">
        <v>0.94579999999999997</v>
      </c>
      <c r="E218">
        <v>0.95240000000000002</v>
      </c>
      <c r="F218">
        <v>516535.73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-0.44999999999999629</v>
      </c>
      <c r="Q218">
        <f t="shared" si="960"/>
        <v>-232441.07849999808</v>
      </c>
      <c r="R218">
        <f t="shared" si="961"/>
        <v>-67586228.320145413</v>
      </c>
      <c r="S218">
        <f t="shared" si="962"/>
        <v>-675.86228320145415</v>
      </c>
      <c r="T218">
        <f t="shared" si="963"/>
        <v>-0.67586228320145414</v>
      </c>
    </row>
    <row r="219" spans="1:20" x14ac:dyDescent="0.25">
      <c r="A219" s="5">
        <v>44374</v>
      </c>
      <c r="B219">
        <v>0.95789999999999997</v>
      </c>
      <c r="C219">
        <v>0.97170000000000001</v>
      </c>
      <c r="D219">
        <v>0.94379999999999997</v>
      </c>
      <c r="E219">
        <v>0.95679999999999998</v>
      </c>
      <c r="F219">
        <v>375414.9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-6.8100358422939433E-2</v>
      </c>
      <c r="Q219">
        <f t="shared" si="960"/>
        <v>-25565.889247311967</v>
      </c>
      <c r="R219">
        <f t="shared" si="961"/>
        <v>-67353787.241645411</v>
      </c>
      <c r="S219">
        <f t="shared" si="962"/>
        <v>-673.53787241645409</v>
      </c>
      <c r="T219">
        <f t="shared" si="963"/>
        <v>-0.67353787241645413</v>
      </c>
    </row>
    <row r="220" spans="1:20" x14ac:dyDescent="0.25">
      <c r="A220" s="5">
        <v>44373</v>
      </c>
      <c r="B220">
        <v>0.94969999999999999</v>
      </c>
      <c r="C220">
        <v>0.96</v>
      </c>
      <c r="D220">
        <v>0.9405</v>
      </c>
      <c r="E220">
        <v>0.95760000000000001</v>
      </c>
      <c r="F220">
        <v>405691.05</v>
      </c>
      <c r="G220">
        <v>0</v>
      </c>
      <c r="L220" t="s">
        <v>8</v>
      </c>
      <c r="M220" t="s">
        <v>7</v>
      </c>
      <c r="N220" t="s">
        <v>7</v>
      </c>
      <c r="P220">
        <f t="shared" si="959"/>
        <v>0.75384615384615772</v>
      </c>
      <c r="Q220">
        <f t="shared" si="960"/>
        <v>305828.63769230928</v>
      </c>
      <c r="R220">
        <f t="shared" si="961"/>
        <v>-67328221.352398098</v>
      </c>
      <c r="S220">
        <f t="shared" si="962"/>
        <v>-673.282213523981</v>
      </c>
      <c r="T220">
        <f t="shared" si="963"/>
        <v>-0.67328221352398099</v>
      </c>
    </row>
    <row r="221" spans="1:20" x14ac:dyDescent="0.25">
      <c r="A221" s="5">
        <v>44372</v>
      </c>
      <c r="B221">
        <v>0.96989999999999998</v>
      </c>
      <c r="C221">
        <v>0.97489999999999999</v>
      </c>
      <c r="D221">
        <v>0.94599999999999995</v>
      </c>
      <c r="E221">
        <v>0.94969999999999999</v>
      </c>
      <c r="F221">
        <v>360856.97</v>
      </c>
      <c r="G221">
        <v>0</v>
      </c>
      <c r="L221" t="s">
        <v>8</v>
      </c>
      <c r="M221" t="s">
        <v>7</v>
      </c>
      <c r="N221" t="s">
        <v>7</v>
      </c>
      <c r="P221">
        <f t="shared" si="959"/>
        <v>-0.74394463667819843</v>
      </c>
      <c r="Q221">
        <f t="shared" si="960"/>
        <v>-268457.60743944551</v>
      </c>
      <c r="R221">
        <f t="shared" si="961"/>
        <v>-67634049.9900904</v>
      </c>
      <c r="S221">
        <f t="shared" si="962"/>
        <v>-676.34049990090398</v>
      </c>
      <c r="T221">
        <f t="shared" si="963"/>
        <v>-0.67634049990090395</v>
      </c>
    </row>
    <row r="222" spans="1:20" x14ac:dyDescent="0.25">
      <c r="A222" s="5">
        <v>44371</v>
      </c>
      <c r="B222">
        <v>0.99350000000000005</v>
      </c>
      <c r="C222">
        <v>0.998</v>
      </c>
      <c r="D222">
        <v>0.96109999999999995</v>
      </c>
      <c r="E222">
        <v>0.97150000000000003</v>
      </c>
      <c r="F222">
        <v>581741.93999999994</v>
      </c>
      <c r="G222">
        <v>0</v>
      </c>
      <c r="L222" t="s">
        <v>8</v>
      </c>
      <c r="M222" t="s">
        <v>7</v>
      </c>
      <c r="N222" t="s">
        <v>7</v>
      </c>
      <c r="P222">
        <f t="shared" si="959"/>
        <v>-0.43631436314362798</v>
      </c>
      <c r="Q222">
        <f t="shared" si="960"/>
        <v>-253822.36406503862</v>
      </c>
      <c r="R222">
        <f t="shared" si="961"/>
        <v>-67365592.382650957</v>
      </c>
      <c r="S222">
        <f t="shared" si="962"/>
        <v>-673.65592382650959</v>
      </c>
      <c r="T222">
        <f t="shared" si="963"/>
        <v>-0.67365592382650963</v>
      </c>
    </row>
    <row r="223" spans="1:20" x14ac:dyDescent="0.25">
      <c r="A223" s="5">
        <v>44370</v>
      </c>
      <c r="B223">
        <v>0.94599999999999995</v>
      </c>
      <c r="C223">
        <v>0.99660000000000004</v>
      </c>
      <c r="D223">
        <v>0.93310000000000004</v>
      </c>
      <c r="E223">
        <v>0.99329999999999996</v>
      </c>
      <c r="F223">
        <v>1077749.01</v>
      </c>
      <c r="G223">
        <v>0</v>
      </c>
      <c r="L223" t="s">
        <v>8</v>
      </c>
      <c r="M223" t="s">
        <v>7</v>
      </c>
      <c r="N223" t="s">
        <v>7</v>
      </c>
      <c r="P223">
        <f t="shared" si="959"/>
        <v>0.89606299212598173</v>
      </c>
      <c r="Q223">
        <f t="shared" si="960"/>
        <v>965731.00266141456</v>
      </c>
      <c r="R223">
        <f t="shared" si="961"/>
        <v>-67111770.01858592</v>
      </c>
      <c r="S223">
        <f t="shared" si="962"/>
        <v>-671.11770018585923</v>
      </c>
      <c r="T223">
        <f t="shared" si="963"/>
        <v>-0.67111770018585926</v>
      </c>
    </row>
    <row r="224" spans="1:20" x14ac:dyDescent="0.25">
      <c r="A224" s="5">
        <v>44369</v>
      </c>
      <c r="B224">
        <v>0.96499999999999997</v>
      </c>
      <c r="C224">
        <v>0.97309999999999997</v>
      </c>
      <c r="D224">
        <v>0.91459999999999997</v>
      </c>
      <c r="E224">
        <v>0.9425</v>
      </c>
      <c r="F224">
        <v>1315403.6599999999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-4.6153846153844866E-2</v>
      </c>
      <c r="Q224">
        <f t="shared" si="960"/>
        <v>-60710.938153844458</v>
      </c>
      <c r="R224">
        <f t="shared" si="961"/>
        <v>-68077501.021247342</v>
      </c>
      <c r="S224">
        <f t="shared" si="962"/>
        <v>-680.77501021247338</v>
      </c>
      <c r="T224">
        <f t="shared" si="963"/>
        <v>-0.68077501021247333</v>
      </c>
    </row>
    <row r="225" spans="1:20" x14ac:dyDescent="0.25">
      <c r="A225" s="5">
        <v>44368</v>
      </c>
      <c r="B225">
        <v>1.0327</v>
      </c>
      <c r="C225">
        <v>1.0449999999999999</v>
      </c>
      <c r="D225">
        <v>0.93720000000000003</v>
      </c>
      <c r="E225">
        <v>0.96599999999999997</v>
      </c>
      <c r="F225">
        <v>1680987.69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-0.46567717996289493</v>
      </c>
      <c r="Q225">
        <f t="shared" si="960"/>
        <v>-782797.60703154095</v>
      </c>
      <c r="R225">
        <f t="shared" si="961"/>
        <v>-68016790.083093494</v>
      </c>
      <c r="S225">
        <f t="shared" si="962"/>
        <v>-680.16790083093497</v>
      </c>
      <c r="T225">
        <f t="shared" si="963"/>
        <v>-0.68016790083093492</v>
      </c>
    </row>
    <row r="226" spans="1:20" x14ac:dyDescent="0.25">
      <c r="A226" s="5">
        <v>44367</v>
      </c>
      <c r="B226">
        <v>1.0276000000000001</v>
      </c>
      <c r="C226">
        <v>1.0342</v>
      </c>
      <c r="D226">
        <v>1.0134000000000001</v>
      </c>
      <c r="E226">
        <v>1.0324</v>
      </c>
      <c r="F226">
        <v>879101.58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0.8269230769230741</v>
      </c>
      <c r="Q226">
        <f t="shared" si="960"/>
        <v>726949.38346153591</v>
      </c>
      <c r="R226">
        <f t="shared" si="961"/>
        <v>-67233992.476061955</v>
      </c>
      <c r="S226">
        <f t="shared" si="962"/>
        <v>-672.33992476061951</v>
      </c>
      <c r="T226">
        <f t="shared" si="963"/>
        <v>-0.67233992476061955</v>
      </c>
    </row>
    <row r="227" spans="1:20" x14ac:dyDescent="0.25">
      <c r="A227" s="5">
        <v>44366</v>
      </c>
      <c r="B227">
        <v>1.0327999999999999</v>
      </c>
      <c r="C227">
        <v>1.042</v>
      </c>
      <c r="D227">
        <v>1.022</v>
      </c>
      <c r="E227">
        <v>1.0284</v>
      </c>
      <c r="F227">
        <v>584595.96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-0.36000000000000443</v>
      </c>
      <c r="Q227">
        <f t="shared" si="960"/>
        <v>-210454.54560000257</v>
      </c>
      <c r="R227">
        <f t="shared" si="961"/>
        <v>-67960941.85952349</v>
      </c>
      <c r="S227">
        <f t="shared" si="962"/>
        <v>-679.60941859523496</v>
      </c>
      <c r="T227">
        <f t="shared" si="963"/>
        <v>-0.67960941859523494</v>
      </c>
    </row>
    <row r="228" spans="1:20" x14ac:dyDescent="0.25">
      <c r="A228" s="5">
        <v>44365</v>
      </c>
      <c r="B228">
        <v>1.0471999999999999</v>
      </c>
      <c r="C228">
        <v>1.0570999999999999</v>
      </c>
      <c r="D228">
        <v>1.0244</v>
      </c>
      <c r="E228">
        <v>1.0325</v>
      </c>
      <c r="F228">
        <v>694965.96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-0.50458715596330228</v>
      </c>
      <c r="Q228">
        <f t="shared" si="960"/>
        <v>-350670.89724770607</v>
      </c>
      <c r="R228">
        <f t="shared" si="961"/>
        <v>-67750487.313923493</v>
      </c>
      <c r="S228">
        <f t="shared" si="962"/>
        <v>-677.50487313923497</v>
      </c>
      <c r="T228">
        <f t="shared" si="963"/>
        <v>-0.67750487313923502</v>
      </c>
    </row>
    <row r="229" spans="1:20" x14ac:dyDescent="0.25">
      <c r="A229" s="5">
        <v>44364</v>
      </c>
      <c r="B229">
        <v>1.0476000000000001</v>
      </c>
      <c r="C229">
        <v>1.0680000000000001</v>
      </c>
      <c r="D229">
        <v>1.0362</v>
      </c>
      <c r="E229">
        <v>1.0470999999999999</v>
      </c>
      <c r="F229">
        <v>666404.05000000005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-0.3144654088050382</v>
      </c>
      <c r="Q229">
        <f t="shared" si="960"/>
        <v>-209561.02201258313</v>
      </c>
      <c r="R229">
        <f t="shared" si="961"/>
        <v>-67399816.416675791</v>
      </c>
      <c r="S229">
        <f t="shared" si="962"/>
        <v>-673.99816416675787</v>
      </c>
      <c r="T229">
        <f t="shared" si="963"/>
        <v>-0.67399816416675784</v>
      </c>
    </row>
    <row r="230" spans="1:20" x14ac:dyDescent="0.25">
      <c r="A230" s="5">
        <v>44363</v>
      </c>
      <c r="B230">
        <v>1.0603</v>
      </c>
      <c r="C230">
        <v>1.0625</v>
      </c>
      <c r="D230">
        <v>1.0401</v>
      </c>
      <c r="E230">
        <v>1.0456000000000001</v>
      </c>
      <c r="F230">
        <v>679244.7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-0.50892857142856551</v>
      </c>
      <c r="Q230">
        <f t="shared" si="960"/>
        <v>-345687.03482142452</v>
      </c>
      <c r="R230">
        <f t="shared" si="961"/>
        <v>-67190255.394663215</v>
      </c>
      <c r="S230">
        <f t="shared" si="962"/>
        <v>-671.90255394663211</v>
      </c>
      <c r="T230">
        <f t="shared" si="963"/>
        <v>-0.67190255394663212</v>
      </c>
    </row>
    <row r="231" spans="1:20" x14ac:dyDescent="0.25">
      <c r="A231" s="5">
        <v>44362</v>
      </c>
      <c r="B231">
        <v>1.0621</v>
      </c>
      <c r="C231">
        <v>1.07</v>
      </c>
      <c r="D231">
        <v>1.0444</v>
      </c>
      <c r="E231">
        <v>1.0616000000000001</v>
      </c>
      <c r="F231">
        <v>1058325.02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0.34375000000000461</v>
      </c>
      <c r="Q231">
        <f t="shared" si="960"/>
        <v>363799.22562500491</v>
      </c>
      <c r="R231">
        <f t="shared" si="961"/>
        <v>-66844568.359841794</v>
      </c>
      <c r="S231">
        <f t="shared" si="962"/>
        <v>-668.44568359841799</v>
      </c>
      <c r="T231">
        <f t="shared" si="963"/>
        <v>-0.66844568359841794</v>
      </c>
    </row>
    <row r="232" spans="1:20" x14ac:dyDescent="0.25">
      <c r="A232" s="5">
        <v>44361</v>
      </c>
      <c r="B232">
        <v>1.0410999999999999</v>
      </c>
      <c r="C232">
        <v>1.0980000000000001</v>
      </c>
      <c r="D232">
        <v>1.0383</v>
      </c>
      <c r="E232">
        <v>1.0626</v>
      </c>
      <c r="F232">
        <v>2153483.8199999998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-0.18592964824120761</v>
      </c>
      <c r="Q232">
        <f t="shared" si="960"/>
        <v>-400396.48914573202</v>
      </c>
      <c r="R232">
        <f t="shared" si="961"/>
        <v>-67208367.585466802</v>
      </c>
      <c r="S232">
        <f t="shared" si="962"/>
        <v>-672.08367585466806</v>
      </c>
      <c r="T232">
        <f t="shared" si="963"/>
        <v>-0.67208367585466811</v>
      </c>
    </row>
    <row r="233" spans="1:20" x14ac:dyDescent="0.25">
      <c r="A233" s="5">
        <v>44360</v>
      </c>
      <c r="B233">
        <v>1.046</v>
      </c>
      <c r="C233">
        <v>1.0519000000000001</v>
      </c>
      <c r="D233">
        <v>1.0322</v>
      </c>
      <c r="E233">
        <v>1.0415000000000001</v>
      </c>
      <c r="F233">
        <v>921115.08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-5.5837563451770357E-2</v>
      </c>
      <c r="Q233">
        <f t="shared" si="960"/>
        <v>-51432.821725882524</v>
      </c>
      <c r="R233">
        <f t="shared" si="961"/>
        <v>-66807971.096321076</v>
      </c>
      <c r="S233">
        <f t="shared" si="962"/>
        <v>-668.0797109632108</v>
      </c>
      <c r="T233">
        <f t="shared" si="963"/>
        <v>-0.66807971096321084</v>
      </c>
    </row>
    <row r="234" spans="1:20" x14ac:dyDescent="0.25">
      <c r="A234" s="5">
        <v>44359</v>
      </c>
      <c r="B234">
        <v>1.0643</v>
      </c>
      <c r="C234">
        <v>1.0993999999999999</v>
      </c>
      <c r="D234">
        <v>1.0424</v>
      </c>
      <c r="E234">
        <v>1.0462</v>
      </c>
      <c r="F234">
        <v>1572359.19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-0.86666666666666559</v>
      </c>
      <c r="Q234">
        <f t="shared" si="960"/>
        <v>-1362711.2979999983</v>
      </c>
      <c r="R234">
        <f t="shared" si="961"/>
        <v>-66756538.274595194</v>
      </c>
      <c r="S234">
        <f t="shared" si="962"/>
        <v>-667.56538274595198</v>
      </c>
      <c r="T234">
        <f t="shared" si="963"/>
        <v>-0.66756538274595201</v>
      </c>
    </row>
    <row r="235" spans="1:20" x14ac:dyDescent="0.25">
      <c r="A235" s="5">
        <v>44358</v>
      </c>
      <c r="B235">
        <v>1.0297000000000001</v>
      </c>
      <c r="C235">
        <v>1.1599999999999999</v>
      </c>
      <c r="D235">
        <v>1.0290999999999999</v>
      </c>
      <c r="E235">
        <v>1.0611999999999999</v>
      </c>
      <c r="F235">
        <v>4354191.6100000003</v>
      </c>
      <c r="G235">
        <v>0</v>
      </c>
      <c r="L235" t="s">
        <v>8</v>
      </c>
      <c r="M235" t="s">
        <v>7</v>
      </c>
      <c r="N235" t="s">
        <v>7</v>
      </c>
      <c r="P235">
        <f t="shared" si="959"/>
        <v>-0.50954927425515639</v>
      </c>
      <c r="Q235">
        <f t="shared" si="960"/>
        <v>-2218675.1748433909</v>
      </c>
      <c r="R235">
        <f t="shared" si="961"/>
        <v>-65393826.976595193</v>
      </c>
      <c r="S235">
        <f t="shared" si="962"/>
        <v>-653.93826976595199</v>
      </c>
      <c r="T235">
        <f t="shared" si="963"/>
        <v>-0.65393826976595204</v>
      </c>
    </row>
    <row r="236" spans="1:20" x14ac:dyDescent="0.25">
      <c r="A236" s="5">
        <v>44357</v>
      </c>
      <c r="B236">
        <v>1.0482</v>
      </c>
      <c r="C236">
        <v>1.0499000000000001</v>
      </c>
      <c r="D236">
        <v>1.0217000000000001</v>
      </c>
      <c r="E236">
        <v>1.0310999999999999</v>
      </c>
      <c r="F236">
        <v>1014219.45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-0.33333333333334381</v>
      </c>
      <c r="Q236">
        <f t="shared" si="960"/>
        <v>-338073.15000001062</v>
      </c>
      <c r="R236">
        <f t="shared" si="961"/>
        <v>-63175151.8017518</v>
      </c>
      <c r="S236">
        <f t="shared" si="962"/>
        <v>-631.75151801751804</v>
      </c>
      <c r="T236">
        <f t="shared" si="963"/>
        <v>-0.63175151801751805</v>
      </c>
    </row>
    <row r="237" spans="1:20" x14ac:dyDescent="0.25">
      <c r="A237" s="5">
        <v>44356</v>
      </c>
      <c r="B237">
        <v>1.0264</v>
      </c>
      <c r="C237">
        <v>1.0900000000000001</v>
      </c>
      <c r="D237">
        <v>1.0096000000000001</v>
      </c>
      <c r="E237">
        <v>1.05</v>
      </c>
      <c r="F237">
        <v>1565332.81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4.9751243781089027E-3</v>
      </c>
      <c r="Q237">
        <f t="shared" si="960"/>
        <v>7787.7254228847114</v>
      </c>
      <c r="R237">
        <f t="shared" si="961"/>
        <v>-62837078.651751786</v>
      </c>
      <c r="S237">
        <f t="shared" si="962"/>
        <v>-628.3707865175179</v>
      </c>
      <c r="T237">
        <f t="shared" si="963"/>
        <v>-0.62837078651751788</v>
      </c>
    </row>
    <row r="238" spans="1:20" x14ac:dyDescent="0.25">
      <c r="A238" s="5">
        <v>44355</v>
      </c>
      <c r="B238">
        <v>1.0289999999999999</v>
      </c>
      <c r="C238">
        <v>1.0353000000000001</v>
      </c>
      <c r="D238">
        <v>1.0052000000000001</v>
      </c>
      <c r="E238">
        <v>1.0227999999999999</v>
      </c>
      <c r="F238">
        <v>1150127.4099999999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0.16943521594683247</v>
      </c>
      <c r="Q238">
        <f t="shared" si="960"/>
        <v>194872.08607972111</v>
      </c>
      <c r="R238">
        <f t="shared" si="961"/>
        <v>-62844866.377174668</v>
      </c>
      <c r="S238">
        <f t="shared" si="962"/>
        <v>-628.44866377174662</v>
      </c>
      <c r="T238">
        <f t="shared" si="963"/>
        <v>-0.62844866377174657</v>
      </c>
    </row>
    <row r="239" spans="1:20" x14ac:dyDescent="0.25">
      <c r="A239" s="5">
        <v>44354</v>
      </c>
      <c r="B239">
        <v>1.0461</v>
      </c>
      <c r="C239">
        <v>1.0673999999999999</v>
      </c>
      <c r="D239">
        <v>1.0253000000000001</v>
      </c>
      <c r="E239">
        <v>1.0288999999999999</v>
      </c>
      <c r="F239">
        <v>637809.67000000004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-0.82897862232779851</v>
      </c>
      <c r="Q239">
        <f t="shared" si="960"/>
        <v>-528730.5815439478</v>
      </c>
      <c r="R239">
        <f t="shared" si="961"/>
        <v>-63039738.463254392</v>
      </c>
      <c r="S239">
        <f t="shared" si="962"/>
        <v>-630.39738463254389</v>
      </c>
      <c r="T239">
        <f t="shared" si="963"/>
        <v>-0.63039738463254391</v>
      </c>
    </row>
    <row r="240" spans="1:20" x14ac:dyDescent="0.25">
      <c r="A240" s="5">
        <v>44353</v>
      </c>
      <c r="B240">
        <v>1.0409999999999999</v>
      </c>
      <c r="C240">
        <v>1.06</v>
      </c>
      <c r="D240">
        <v>1.0362</v>
      </c>
      <c r="E240">
        <v>1.0468999999999999</v>
      </c>
      <c r="F240">
        <v>472297.86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-0.10084033613446115</v>
      </c>
      <c r="Q240">
        <f t="shared" si="960"/>
        <v>-47626.674957986674</v>
      </c>
      <c r="R240">
        <f t="shared" si="961"/>
        <v>-62511007.881710447</v>
      </c>
      <c r="S240">
        <f t="shared" si="962"/>
        <v>-625.11007881710452</v>
      </c>
      <c r="T240">
        <f t="shared" si="963"/>
        <v>-0.62511007881710456</v>
      </c>
    </row>
    <row r="241" spans="1:20" x14ac:dyDescent="0.25">
      <c r="A241" s="5">
        <v>44352</v>
      </c>
      <c r="B241">
        <v>1.0645</v>
      </c>
      <c r="C241">
        <v>1.0828</v>
      </c>
      <c r="D241">
        <v>1.04</v>
      </c>
      <c r="E241">
        <v>1.044</v>
      </c>
      <c r="F241">
        <v>726624.07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-0.81308411214953236</v>
      </c>
      <c r="Q241">
        <f t="shared" si="960"/>
        <v>-590806.48682242958</v>
      </c>
      <c r="R241">
        <f t="shared" si="961"/>
        <v>-62463381.206752464</v>
      </c>
      <c r="S241">
        <f t="shared" si="962"/>
        <v>-624.63381206752467</v>
      </c>
      <c r="T241">
        <f t="shared" si="963"/>
        <v>-0.62463381206752466</v>
      </c>
    </row>
    <row r="242" spans="1:20" x14ac:dyDescent="0.25">
      <c r="A242" s="5">
        <v>44351</v>
      </c>
      <c r="B242">
        <v>1.0722</v>
      </c>
      <c r="C242">
        <v>1.1045</v>
      </c>
      <c r="D242">
        <v>1.0341</v>
      </c>
      <c r="E242">
        <v>1.0629</v>
      </c>
      <c r="F242">
        <v>1481103.01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-0.18181818181818382</v>
      </c>
      <c r="Q242">
        <f t="shared" si="960"/>
        <v>-269291.45636363933</v>
      </c>
      <c r="R242">
        <f t="shared" si="961"/>
        <v>-61872574.719930038</v>
      </c>
      <c r="S242">
        <f t="shared" si="962"/>
        <v>-618.72574719930037</v>
      </c>
      <c r="T242">
        <f t="shared" si="963"/>
        <v>-0.6187257471993004</v>
      </c>
    </row>
    <row r="243" spans="1:20" x14ac:dyDescent="0.25">
      <c r="A243" s="5">
        <v>44350</v>
      </c>
      <c r="B243">
        <v>1.0669</v>
      </c>
      <c r="C243">
        <v>1.0849</v>
      </c>
      <c r="D243">
        <v>1.0612999999999999</v>
      </c>
      <c r="E243">
        <v>1.0722</v>
      </c>
      <c r="F243">
        <v>853396.94</v>
      </c>
      <c r="G243">
        <v>0</v>
      </c>
      <c r="L243" t="s">
        <v>7</v>
      </c>
      <c r="M243" t="s">
        <v>8</v>
      </c>
      <c r="N243" t="s">
        <v>7</v>
      </c>
      <c r="P243">
        <f t="shared" si="959"/>
        <v>-7.6271186440669353E-2</v>
      </c>
      <c r="Q243">
        <f t="shared" si="960"/>
        <v>-65089.59711863671</v>
      </c>
      <c r="R243">
        <f t="shared" si="961"/>
        <v>-61603283.263566397</v>
      </c>
      <c r="S243">
        <f t="shared" si="962"/>
        <v>-616.03283263566402</v>
      </c>
      <c r="T243">
        <f t="shared" si="963"/>
        <v>-0.616032832635664</v>
      </c>
    </row>
    <row r="244" spans="1:20" x14ac:dyDescent="0.25">
      <c r="A244" s="5">
        <v>44349</v>
      </c>
      <c r="B244">
        <v>1.0642</v>
      </c>
      <c r="C244">
        <v>1.0878000000000001</v>
      </c>
      <c r="D244">
        <v>1.0589</v>
      </c>
      <c r="E244">
        <v>1.0670999999999999</v>
      </c>
      <c r="F244">
        <v>657812.30000000005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-0.43252595155709739</v>
      </c>
      <c r="Q244">
        <f t="shared" si="960"/>
        <v>-284520.89100346284</v>
      </c>
      <c r="R244">
        <f t="shared" si="961"/>
        <v>-61538193.666447759</v>
      </c>
      <c r="S244">
        <f t="shared" si="962"/>
        <v>-615.38193666447762</v>
      </c>
      <c r="T244">
        <f t="shared" si="963"/>
        <v>-0.6153819366644776</v>
      </c>
    </row>
    <row r="245" spans="1:20" x14ac:dyDescent="0.25">
      <c r="A245" s="5">
        <v>44348</v>
      </c>
      <c r="B245">
        <v>1.0932999999999999</v>
      </c>
      <c r="C245">
        <v>1.1000000000000001</v>
      </c>
      <c r="D245">
        <v>1.0589</v>
      </c>
      <c r="E245">
        <v>1.0642</v>
      </c>
      <c r="F245">
        <v>705055.09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-0.74209245742092145</v>
      </c>
      <c r="Q245">
        <f t="shared" si="960"/>
        <v>-523216.06435522891</v>
      </c>
      <c r="R245">
        <f t="shared" si="961"/>
        <v>-61253672.775444299</v>
      </c>
      <c r="S245">
        <f t="shared" si="962"/>
        <v>-612.53672775444295</v>
      </c>
      <c r="T245">
        <f t="shared" si="963"/>
        <v>-0.6125367277544429</v>
      </c>
    </row>
    <row r="246" spans="1:20" x14ac:dyDescent="0.25">
      <c r="A246" s="5">
        <v>44347</v>
      </c>
      <c r="B246">
        <v>1.0770999999999999</v>
      </c>
      <c r="C246">
        <v>1.097</v>
      </c>
      <c r="D246">
        <v>1.0575000000000001</v>
      </c>
      <c r="E246">
        <v>1.0943000000000001</v>
      </c>
      <c r="F246">
        <v>966935.68</v>
      </c>
      <c r="G246">
        <v>0</v>
      </c>
      <c r="L246" t="s">
        <v>7</v>
      </c>
      <c r="M246" t="s">
        <v>8</v>
      </c>
      <c r="N246" t="s">
        <v>7</v>
      </c>
      <c r="P246">
        <f t="shared" si="959"/>
        <v>0.86329113924050971</v>
      </c>
      <c r="Q246">
        <f t="shared" si="960"/>
        <v>834747.00475949701</v>
      </c>
      <c r="R246">
        <f t="shared" si="961"/>
        <v>-60730456.711089067</v>
      </c>
      <c r="S246">
        <f t="shared" si="962"/>
        <v>-607.30456711089062</v>
      </c>
      <c r="T246">
        <f t="shared" si="963"/>
        <v>-0.60730456711089065</v>
      </c>
    </row>
    <row r="247" spans="1:20" x14ac:dyDescent="0.25">
      <c r="A247" s="5">
        <v>44346</v>
      </c>
      <c r="B247">
        <v>1.0762</v>
      </c>
      <c r="C247">
        <v>1.1100000000000001</v>
      </c>
      <c r="D247">
        <v>1.0703</v>
      </c>
      <c r="E247">
        <v>1.0764</v>
      </c>
      <c r="F247">
        <v>1144369.43</v>
      </c>
      <c r="G247">
        <v>0</v>
      </c>
      <c r="L247" t="s">
        <v>7</v>
      </c>
      <c r="M247" t="s">
        <v>8</v>
      </c>
      <c r="N247" t="s">
        <v>7</v>
      </c>
      <c r="P247">
        <f t="shared" si="959"/>
        <v>-0.69269521410579427</v>
      </c>
      <c r="Q247">
        <f t="shared" si="960"/>
        <v>-792699.22732997569</v>
      </c>
      <c r="R247">
        <f t="shared" si="961"/>
        <v>-61565203.715848565</v>
      </c>
      <c r="S247">
        <f t="shared" si="962"/>
        <v>-615.65203715848565</v>
      </c>
      <c r="T247">
        <f t="shared" si="963"/>
        <v>-0.61565203715848571</v>
      </c>
    </row>
    <row r="248" spans="1:20" x14ac:dyDescent="0.25">
      <c r="A248" s="5">
        <v>44345</v>
      </c>
      <c r="B248">
        <v>1.1043000000000001</v>
      </c>
      <c r="C248">
        <v>1.1319999999999999</v>
      </c>
      <c r="D248">
        <v>1.0660000000000001</v>
      </c>
      <c r="E248">
        <v>1.0760000000000001</v>
      </c>
      <c r="F248">
        <v>1154596.1100000001</v>
      </c>
      <c r="G248">
        <v>0</v>
      </c>
      <c r="L248" t="s">
        <v>7</v>
      </c>
      <c r="M248" t="s">
        <v>8</v>
      </c>
      <c r="N248" t="s">
        <v>7</v>
      </c>
      <c r="P248">
        <f t="shared" si="959"/>
        <v>-0.69696969696969591</v>
      </c>
      <c r="Q248">
        <f t="shared" si="960"/>
        <v>-804718.50090908981</v>
      </c>
      <c r="R248">
        <f t="shared" si="961"/>
        <v>-60772504.488518588</v>
      </c>
      <c r="S248">
        <f t="shared" si="962"/>
        <v>-607.72504488518587</v>
      </c>
      <c r="T248">
        <f t="shared" si="963"/>
        <v>-0.60772504488518586</v>
      </c>
    </row>
    <row r="249" spans="1:20" x14ac:dyDescent="0.25">
      <c r="A249" s="5">
        <v>44344</v>
      </c>
      <c r="B249">
        <v>1.1506000000000001</v>
      </c>
      <c r="C249">
        <v>1.1884999999999999</v>
      </c>
      <c r="D249">
        <v>1.0878000000000001</v>
      </c>
      <c r="E249">
        <v>1.1040000000000001</v>
      </c>
      <c r="F249">
        <v>2782966.7</v>
      </c>
      <c r="G249">
        <v>0</v>
      </c>
      <c r="L249" t="s">
        <v>7</v>
      </c>
      <c r="M249" t="s">
        <v>8</v>
      </c>
      <c r="N249" t="s">
        <v>7</v>
      </c>
      <c r="P249">
        <f t="shared" si="959"/>
        <v>-0.67825223435948312</v>
      </c>
      <c r="Q249">
        <f t="shared" si="960"/>
        <v>-1887553.3824230374</v>
      </c>
      <c r="R249">
        <f t="shared" si="961"/>
        <v>-59967785.987609498</v>
      </c>
      <c r="S249">
        <f t="shared" si="962"/>
        <v>-599.677859876095</v>
      </c>
      <c r="T249">
        <f t="shared" si="963"/>
        <v>-0.59967785987609501</v>
      </c>
    </row>
    <row r="250" spans="1:20" x14ac:dyDescent="0.25">
      <c r="A250" s="5">
        <v>44343</v>
      </c>
      <c r="B250">
        <v>1.131</v>
      </c>
      <c r="C250">
        <v>1.26</v>
      </c>
      <c r="D250">
        <v>1.1006</v>
      </c>
      <c r="E250">
        <v>1.1535</v>
      </c>
      <c r="F250">
        <v>6149253.7800000003</v>
      </c>
      <c r="G250">
        <v>0</v>
      </c>
      <c r="L250" t="s">
        <v>8</v>
      </c>
      <c r="M250" t="s">
        <v>8</v>
      </c>
      <c r="N250" t="s">
        <v>7</v>
      </c>
      <c r="P250">
        <f t="shared" si="959"/>
        <v>-0.33626097867001314</v>
      </c>
      <c r="Q250">
        <f t="shared" si="960"/>
        <v>-2067754.0941530778</v>
      </c>
      <c r="R250">
        <f t="shared" si="961"/>
        <v>-58080232.605186462</v>
      </c>
      <c r="S250">
        <f t="shared" si="962"/>
        <v>-580.80232605186461</v>
      </c>
      <c r="T250">
        <f t="shared" si="963"/>
        <v>-0.58080232605186466</v>
      </c>
    </row>
    <row r="251" spans="1:20" x14ac:dyDescent="0.25">
      <c r="A251" s="5">
        <v>44342</v>
      </c>
      <c r="B251">
        <v>1.0724</v>
      </c>
      <c r="C251">
        <v>1.1586000000000001</v>
      </c>
      <c r="D251">
        <v>1.0476000000000001</v>
      </c>
      <c r="E251">
        <v>1.1279999999999999</v>
      </c>
      <c r="F251">
        <v>3755742.91</v>
      </c>
      <c r="G251">
        <v>0</v>
      </c>
      <c r="L251" t="s">
        <v>8</v>
      </c>
      <c r="M251" t="s">
        <v>8</v>
      </c>
      <c r="N251" t="s">
        <v>7</v>
      </c>
      <c r="P251">
        <f t="shared" si="959"/>
        <v>0.44864864864864529</v>
      </c>
      <c r="Q251">
        <f t="shared" si="960"/>
        <v>1685008.9812432306</v>
      </c>
      <c r="R251">
        <f t="shared" si="961"/>
        <v>-56012478.511033386</v>
      </c>
      <c r="S251">
        <f t="shared" si="962"/>
        <v>-560.12478511033385</v>
      </c>
      <c r="T251">
        <f t="shared" si="963"/>
        <v>-0.56012478511033381</v>
      </c>
    </row>
    <row r="252" spans="1:20" x14ac:dyDescent="0.25">
      <c r="A252" s="5">
        <v>44341</v>
      </c>
      <c r="B252">
        <v>1.075</v>
      </c>
      <c r="C252">
        <v>1.1476999999999999</v>
      </c>
      <c r="D252">
        <v>1.0403</v>
      </c>
      <c r="E252">
        <v>1.0722</v>
      </c>
      <c r="F252">
        <v>1534166.78</v>
      </c>
      <c r="G252">
        <v>0</v>
      </c>
      <c r="L252" t="s">
        <v>8</v>
      </c>
      <c r="M252" t="s">
        <v>7</v>
      </c>
      <c r="N252" t="s">
        <v>7</v>
      </c>
      <c r="P252">
        <f t="shared" si="959"/>
        <v>-0.40595903165735464</v>
      </c>
      <c r="Q252">
        <f t="shared" si="960"/>
        <v>-622808.8604096818</v>
      </c>
      <c r="R252">
        <f t="shared" si="961"/>
        <v>-57697487.492276616</v>
      </c>
      <c r="S252">
        <f t="shared" si="962"/>
        <v>-576.97487492276616</v>
      </c>
      <c r="T252">
        <f t="shared" si="963"/>
        <v>-0.57697487492276611</v>
      </c>
    </row>
    <row r="253" spans="1:20" x14ac:dyDescent="0.25">
      <c r="A253" s="5">
        <v>44340</v>
      </c>
      <c r="B253">
        <v>1.0451999999999999</v>
      </c>
      <c r="C253">
        <v>1.0841000000000001</v>
      </c>
      <c r="D253">
        <v>1.026</v>
      </c>
      <c r="E253">
        <v>1.075</v>
      </c>
      <c r="F253">
        <v>2014502.37</v>
      </c>
      <c r="G253">
        <v>0</v>
      </c>
      <c r="L253" t="s">
        <v>8</v>
      </c>
      <c r="M253" t="s">
        <v>7</v>
      </c>
      <c r="N253" t="s">
        <v>7</v>
      </c>
      <c r="P253">
        <f t="shared" si="959"/>
        <v>0.68674698795180378</v>
      </c>
      <c r="Q253">
        <f t="shared" si="960"/>
        <v>1383453.4348192702</v>
      </c>
      <c r="R253">
        <f t="shared" si="961"/>
        <v>-57074678.631866932</v>
      </c>
      <c r="S253">
        <f t="shared" si="962"/>
        <v>-570.74678631866936</v>
      </c>
      <c r="T253">
        <f t="shared" si="963"/>
        <v>-0.57074678631866937</v>
      </c>
    </row>
    <row r="254" spans="1:20" x14ac:dyDescent="0.25">
      <c r="A254" s="5">
        <v>44339</v>
      </c>
      <c r="B254">
        <v>1.0881000000000001</v>
      </c>
      <c r="C254">
        <v>1.1137999999999999</v>
      </c>
      <c r="D254">
        <v>0.99990000000000001</v>
      </c>
      <c r="E254">
        <v>1.04</v>
      </c>
      <c r="F254">
        <v>2129842.84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-0.29587357330991987</v>
      </c>
      <c r="Q254">
        <f t="shared" si="960"/>
        <v>-630164.21165934787</v>
      </c>
      <c r="R254">
        <f t="shared" si="961"/>
        <v>-58458132.066686206</v>
      </c>
      <c r="S254">
        <f t="shared" si="962"/>
        <v>-584.5813206668621</v>
      </c>
      <c r="T254">
        <f t="shared" si="963"/>
        <v>-0.58458132066686208</v>
      </c>
    </row>
    <row r="255" spans="1:20" x14ac:dyDescent="0.25">
      <c r="A255" s="5">
        <v>44338</v>
      </c>
      <c r="B255">
        <v>1.1467000000000001</v>
      </c>
      <c r="C255">
        <v>1.1772</v>
      </c>
      <c r="D255">
        <v>1.0812999999999999</v>
      </c>
      <c r="E255">
        <v>1.0880000000000001</v>
      </c>
      <c r="F255">
        <v>1629170.68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-0.86027111574556525</v>
      </c>
      <c r="Q255">
        <f t="shared" si="960"/>
        <v>-1401528.4786235611</v>
      </c>
      <c r="R255">
        <f t="shared" si="961"/>
        <v>-57827967.855026856</v>
      </c>
      <c r="S255">
        <f t="shared" si="962"/>
        <v>-578.27967855026861</v>
      </c>
      <c r="T255">
        <f t="shared" si="963"/>
        <v>-0.57827967855026863</v>
      </c>
    </row>
    <row r="256" spans="1:20" x14ac:dyDescent="0.25">
      <c r="A256" s="5">
        <v>44337</v>
      </c>
      <c r="B256">
        <v>1.2070000000000001</v>
      </c>
      <c r="C256">
        <v>1.2297</v>
      </c>
      <c r="D256">
        <v>1.1160000000000001</v>
      </c>
      <c r="E256">
        <v>1.1407</v>
      </c>
      <c r="F256">
        <v>1977733.69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-0.56552330694810971</v>
      </c>
      <c r="Q256">
        <f t="shared" si="960"/>
        <v>-1118454.4966314875</v>
      </c>
      <c r="R256">
        <f t="shared" si="961"/>
        <v>-56426439.376403295</v>
      </c>
      <c r="S256">
        <f t="shared" si="962"/>
        <v>-564.26439376403289</v>
      </c>
      <c r="T256">
        <f t="shared" si="963"/>
        <v>-0.56426439376403292</v>
      </c>
    </row>
    <row r="257" spans="1:20" x14ac:dyDescent="0.25">
      <c r="A257" s="5">
        <v>44336</v>
      </c>
      <c r="B257">
        <v>1.1751</v>
      </c>
      <c r="C257">
        <v>1.2302</v>
      </c>
      <c r="D257">
        <v>1.1585000000000001</v>
      </c>
      <c r="E257">
        <v>1.2069000000000001</v>
      </c>
      <c r="F257">
        <v>1726920.43</v>
      </c>
      <c r="G257">
        <v>0</v>
      </c>
      <c r="L257" t="s">
        <v>8</v>
      </c>
      <c r="M257" t="s">
        <v>7</v>
      </c>
      <c r="N257" t="s">
        <v>7</v>
      </c>
      <c r="P257">
        <f t="shared" si="959"/>
        <v>0.3500697350069758</v>
      </c>
      <c r="Q257">
        <f t="shared" si="960"/>
        <v>604542.57730823266</v>
      </c>
      <c r="R257">
        <f t="shared" si="961"/>
        <v>-55307984.879771806</v>
      </c>
      <c r="S257">
        <f t="shared" si="962"/>
        <v>-553.07984879771811</v>
      </c>
      <c r="T257">
        <f t="shared" si="963"/>
        <v>-0.5530798487977181</v>
      </c>
    </row>
    <row r="258" spans="1:20" x14ac:dyDescent="0.25">
      <c r="A258" s="5">
        <v>44335</v>
      </c>
      <c r="B258">
        <v>1.3448</v>
      </c>
      <c r="C258">
        <v>1.3664000000000001</v>
      </c>
      <c r="D258">
        <v>1.1022000000000001</v>
      </c>
      <c r="E258">
        <v>1.175</v>
      </c>
      <c r="F258">
        <v>4919507.84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-0.44890234670704027</v>
      </c>
      <c r="Q258">
        <f t="shared" si="960"/>
        <v>-2208378.6140196826</v>
      </c>
      <c r="R258">
        <f t="shared" si="961"/>
        <v>-55912527.457080036</v>
      </c>
      <c r="S258">
        <f t="shared" si="962"/>
        <v>-559.12527457080034</v>
      </c>
      <c r="T258">
        <f t="shared" si="963"/>
        <v>-0.5591252745708003</v>
      </c>
    </row>
    <row r="259" spans="1:20" x14ac:dyDescent="0.25">
      <c r="A259" s="5">
        <v>44334</v>
      </c>
      <c r="B259">
        <v>1.3282</v>
      </c>
      <c r="C259">
        <v>1.3997999999999999</v>
      </c>
      <c r="D259">
        <v>1.3035000000000001</v>
      </c>
      <c r="E259">
        <v>1.3366</v>
      </c>
      <c r="F259">
        <v>2473441.92</v>
      </c>
      <c r="G259">
        <v>0</v>
      </c>
      <c r="L259" t="s">
        <v>7</v>
      </c>
      <c r="M259" t="s">
        <v>7</v>
      </c>
      <c r="N259" t="s">
        <v>7</v>
      </c>
      <c r="P259">
        <f t="shared" si="959"/>
        <v>-0.3125649013499488</v>
      </c>
      <c r="Q259">
        <f t="shared" si="960"/>
        <v>-773111.1297196279</v>
      </c>
      <c r="R259">
        <f t="shared" si="961"/>
        <v>-53704148.843060352</v>
      </c>
      <c r="S259">
        <f t="shared" si="962"/>
        <v>-537.04148843060352</v>
      </c>
      <c r="T259">
        <f t="shared" si="963"/>
        <v>-0.53704148843060351</v>
      </c>
    </row>
    <row r="260" spans="1:20" x14ac:dyDescent="0.25">
      <c r="A260" s="5">
        <v>44333</v>
      </c>
      <c r="B260">
        <v>1.3418000000000001</v>
      </c>
      <c r="C260">
        <v>1.45</v>
      </c>
      <c r="D260">
        <v>1.2849999999999999</v>
      </c>
      <c r="E260">
        <v>1.3231999999999999</v>
      </c>
      <c r="F260">
        <v>3250488.2</v>
      </c>
      <c r="G260">
        <v>0</v>
      </c>
      <c r="L260" t="s">
        <v>8</v>
      </c>
      <c r="M260" t="s">
        <v>7</v>
      </c>
      <c r="N260" t="s">
        <v>7</v>
      </c>
      <c r="P260">
        <f t="shared" si="959"/>
        <v>-0.53696969696969687</v>
      </c>
      <c r="Q260">
        <f t="shared" si="960"/>
        <v>-1745413.6637575754</v>
      </c>
      <c r="R260">
        <f t="shared" si="961"/>
        <v>-52931037.713340722</v>
      </c>
      <c r="S260">
        <f t="shared" si="962"/>
        <v>-529.3103771334072</v>
      </c>
      <c r="T260">
        <f t="shared" si="963"/>
        <v>-0.52931037713340723</v>
      </c>
    </row>
    <row r="261" spans="1:20" x14ac:dyDescent="0.25">
      <c r="A261" s="5">
        <v>44332</v>
      </c>
      <c r="B261">
        <v>1.323</v>
      </c>
      <c r="C261">
        <v>1.3718999999999999</v>
      </c>
      <c r="D261">
        <v>1.3201000000000001</v>
      </c>
      <c r="E261">
        <v>1.3412999999999999</v>
      </c>
      <c r="F261">
        <v>1911636.27</v>
      </c>
      <c r="G261">
        <v>0</v>
      </c>
      <c r="L261" t="s">
        <v>8</v>
      </c>
      <c r="M261" t="s">
        <v>7</v>
      </c>
      <c r="N261" t="s">
        <v>7</v>
      </c>
      <c r="P261">
        <f t="shared" si="959"/>
        <v>-0.18146718146718346</v>
      </c>
      <c r="Q261">
        <f t="shared" si="960"/>
        <v>-346899.24590733973</v>
      </c>
      <c r="R261">
        <f t="shared" si="961"/>
        <v>-51185624.049583144</v>
      </c>
      <c r="S261">
        <f t="shared" si="962"/>
        <v>-511.85624049583146</v>
      </c>
      <c r="T261">
        <f t="shared" si="963"/>
        <v>-0.51185624049583145</v>
      </c>
    </row>
    <row r="262" spans="1:20" x14ac:dyDescent="0.25">
      <c r="A262" s="5">
        <v>44331</v>
      </c>
      <c r="B262">
        <v>1.357</v>
      </c>
      <c r="C262">
        <v>1.4028</v>
      </c>
      <c r="D262">
        <v>1.3142</v>
      </c>
      <c r="E262">
        <v>1.323</v>
      </c>
      <c r="F262">
        <v>2066355.67</v>
      </c>
      <c r="G262">
        <v>0</v>
      </c>
      <c r="L262" t="s">
        <v>8</v>
      </c>
      <c r="M262" t="s">
        <v>7</v>
      </c>
      <c r="N262" t="s">
        <v>7</v>
      </c>
      <c r="P262">
        <f t="shared" ref="P262:P325" si="964">IF(C262=D262,0,((E262-D262)-(C262-E262))/(C262-D262))</f>
        <v>-0.80135440180587092</v>
      </c>
      <c r="Q262">
        <f t="shared" ref="Q262:Q325" si="965">F262*P262</f>
        <v>-1655883.2118510196</v>
      </c>
      <c r="R262">
        <f t="shared" ref="R262:R325" si="966">R263+Q262</f>
        <v>-50838724.803675808</v>
      </c>
      <c r="S262">
        <f t="shared" ref="S262:S325" si="967">R262/100000</f>
        <v>-508.38724803675808</v>
      </c>
      <c r="T262">
        <f t="shared" ref="T262:T325" si="968">S262/1000</f>
        <v>-0.50838724803675805</v>
      </c>
    </row>
    <row r="263" spans="1:20" x14ac:dyDescent="0.25">
      <c r="A263" s="5">
        <v>44330</v>
      </c>
      <c r="B263">
        <v>1.2813000000000001</v>
      </c>
      <c r="C263">
        <v>1.4</v>
      </c>
      <c r="D263">
        <v>1.2786999999999999</v>
      </c>
      <c r="E263">
        <v>1.3593999999999999</v>
      </c>
      <c r="F263">
        <v>2074585.82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0.33058532563891208</v>
      </c>
      <c r="Q263">
        <f t="shared" si="965"/>
        <v>685827.6288705694</v>
      </c>
      <c r="R263">
        <f t="shared" si="966"/>
        <v>-49182841.591824785</v>
      </c>
      <c r="S263">
        <f t="shared" si="967"/>
        <v>-491.82841591824786</v>
      </c>
      <c r="T263">
        <f t="shared" si="968"/>
        <v>-0.49182841591824783</v>
      </c>
    </row>
    <row r="264" spans="1:20" x14ac:dyDescent="0.25">
      <c r="A264" s="5">
        <v>44329</v>
      </c>
      <c r="B264">
        <v>1.3788</v>
      </c>
      <c r="C264">
        <v>1.3885000000000001</v>
      </c>
      <c r="D264">
        <v>1.2710999999999999</v>
      </c>
      <c r="E264">
        <v>1.2814000000000001</v>
      </c>
      <c r="F264">
        <v>2835436.88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-0.82453151618398324</v>
      </c>
      <c r="Q264">
        <f t="shared" si="965"/>
        <v>-2337907.0697103827</v>
      </c>
      <c r="R264">
        <f t="shared" si="966"/>
        <v>-49868669.220695354</v>
      </c>
      <c r="S264">
        <f t="shared" si="967"/>
        <v>-498.68669220695352</v>
      </c>
      <c r="T264">
        <f t="shared" si="968"/>
        <v>-0.4986866922069535</v>
      </c>
    </row>
    <row r="265" spans="1:20" x14ac:dyDescent="0.25">
      <c r="A265" s="5">
        <v>44328</v>
      </c>
      <c r="B265">
        <v>1.3832</v>
      </c>
      <c r="C265">
        <v>1.5203</v>
      </c>
      <c r="D265">
        <v>1.3405</v>
      </c>
      <c r="E265">
        <v>1.3788</v>
      </c>
      <c r="F265">
        <v>4252048.4800000004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-0.57397107897664057</v>
      </c>
      <c r="Q265">
        <f t="shared" si="965"/>
        <v>-2440552.8539265846</v>
      </c>
      <c r="R265">
        <f t="shared" si="966"/>
        <v>-47530762.150984973</v>
      </c>
      <c r="S265">
        <f t="shared" si="967"/>
        <v>-475.30762150984975</v>
      </c>
      <c r="T265">
        <f t="shared" si="968"/>
        <v>-0.47530762150984973</v>
      </c>
    </row>
    <row r="266" spans="1:20" x14ac:dyDescent="0.25">
      <c r="A266" s="5">
        <v>44327</v>
      </c>
      <c r="B266">
        <v>1.3829</v>
      </c>
      <c r="C266">
        <v>1.4058999999999999</v>
      </c>
      <c r="D266">
        <v>1.3534999999999999</v>
      </c>
      <c r="E266">
        <v>1.3829</v>
      </c>
      <c r="F266">
        <v>1778514.2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0.12213740458015616</v>
      </c>
      <c r="Q266">
        <f t="shared" si="965"/>
        <v>217223.10839695277</v>
      </c>
      <c r="R266">
        <f t="shared" si="966"/>
        <v>-45090209.297058389</v>
      </c>
      <c r="S266">
        <f t="shared" si="967"/>
        <v>-450.90209297058391</v>
      </c>
      <c r="T266">
        <f t="shared" si="968"/>
        <v>-0.45090209297058392</v>
      </c>
    </row>
    <row r="267" spans="1:20" x14ac:dyDescent="0.25">
      <c r="A267" s="5">
        <v>44326</v>
      </c>
      <c r="B267">
        <v>1.446</v>
      </c>
      <c r="C267">
        <v>1.4936</v>
      </c>
      <c r="D267">
        <v>1.3742000000000001</v>
      </c>
      <c r="E267">
        <v>1.3805000000000001</v>
      </c>
      <c r="F267">
        <v>3551934.01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-0.89447236180904566</v>
      </c>
      <c r="Q267">
        <f t="shared" si="965"/>
        <v>-3177106.8029145743</v>
      </c>
      <c r="R267">
        <f t="shared" si="966"/>
        <v>-45307432.405455343</v>
      </c>
      <c r="S267">
        <f t="shared" si="967"/>
        <v>-453.07432405455341</v>
      </c>
      <c r="T267">
        <f t="shared" si="968"/>
        <v>-0.45307432405455339</v>
      </c>
    </row>
    <row r="268" spans="1:20" x14ac:dyDescent="0.25">
      <c r="A268" s="5">
        <v>44325</v>
      </c>
      <c r="B268">
        <v>1.5196000000000001</v>
      </c>
      <c r="C268">
        <v>1.5196000000000001</v>
      </c>
      <c r="D268">
        <v>1.4328000000000001</v>
      </c>
      <c r="E268">
        <v>1.4469000000000001</v>
      </c>
      <c r="F268">
        <v>2835436.29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-0.6751152073732718</v>
      </c>
      <c r="Q268">
        <f t="shared" si="965"/>
        <v>-1914246.1589170503</v>
      </c>
      <c r="R268">
        <f t="shared" si="966"/>
        <v>-42130325.602540769</v>
      </c>
      <c r="S268">
        <f t="shared" si="967"/>
        <v>-421.30325602540768</v>
      </c>
      <c r="T268">
        <f t="shared" si="968"/>
        <v>-0.42130325602540769</v>
      </c>
    </row>
    <row r="269" spans="1:20" x14ac:dyDescent="0.25">
      <c r="A269" s="5">
        <v>44324</v>
      </c>
      <c r="B269">
        <v>1.4443999999999999</v>
      </c>
      <c r="C269">
        <v>1.5811999999999999</v>
      </c>
      <c r="D269">
        <v>1.4166000000000001</v>
      </c>
      <c r="E269">
        <v>1.5196000000000001</v>
      </c>
      <c r="F269">
        <v>6061392.8899999997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0.25151883353584531</v>
      </c>
      <c r="Q269">
        <f t="shared" si="965"/>
        <v>1524554.4692952663</v>
      </c>
      <c r="R269">
        <f t="shared" si="966"/>
        <v>-40216079.443623722</v>
      </c>
      <c r="S269">
        <f t="shared" si="967"/>
        <v>-402.16079443623721</v>
      </c>
      <c r="T269">
        <f t="shared" si="968"/>
        <v>-0.4021607944362372</v>
      </c>
    </row>
    <row r="270" spans="1:20" x14ac:dyDescent="0.25">
      <c r="A270" s="5">
        <v>44323</v>
      </c>
      <c r="B270">
        <v>1.4702999999999999</v>
      </c>
      <c r="C270">
        <v>1.5086999999999999</v>
      </c>
      <c r="D270">
        <v>1.41</v>
      </c>
      <c r="E270">
        <v>1.4454</v>
      </c>
      <c r="F270">
        <v>3552289.44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-0.28267477203647223</v>
      </c>
      <c r="Q270">
        <f t="shared" si="965"/>
        <v>-1004142.6076595676</v>
      </c>
      <c r="R270">
        <f t="shared" si="966"/>
        <v>-41740633.912918985</v>
      </c>
      <c r="S270">
        <f t="shared" si="967"/>
        <v>-417.40633912918986</v>
      </c>
      <c r="T270">
        <f t="shared" si="968"/>
        <v>-0.41740633912918984</v>
      </c>
    </row>
    <row r="271" spans="1:20" x14ac:dyDescent="0.25">
      <c r="A271" s="5">
        <v>44322</v>
      </c>
      <c r="B271">
        <v>1.5678000000000001</v>
      </c>
      <c r="C271">
        <v>1.5801000000000001</v>
      </c>
      <c r="D271">
        <v>1.4701</v>
      </c>
      <c r="E271">
        <v>1.4702999999999999</v>
      </c>
      <c r="F271">
        <v>4390973.72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-0.99636363636363678</v>
      </c>
      <c r="Q271">
        <f t="shared" si="965"/>
        <v>-4375006.5428363653</v>
      </c>
      <c r="R271">
        <f t="shared" si="966"/>
        <v>-40736491.305259414</v>
      </c>
      <c r="S271">
        <f t="shared" si="967"/>
        <v>-407.36491305259415</v>
      </c>
      <c r="T271">
        <f t="shared" si="968"/>
        <v>-0.40736491305259415</v>
      </c>
    </row>
    <row r="272" spans="1:20" x14ac:dyDescent="0.25">
      <c r="A272" s="5">
        <v>44321</v>
      </c>
      <c r="B272">
        <v>1.6074999999999999</v>
      </c>
      <c r="C272">
        <v>1.6697</v>
      </c>
      <c r="D272">
        <v>1.5536000000000001</v>
      </c>
      <c r="E272">
        <v>1.5673999999999999</v>
      </c>
      <c r="F272">
        <v>5767110.9299999997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-0.76227390180878851</v>
      </c>
      <c r="Q272">
        <f t="shared" si="965"/>
        <v>-4396118.1507752109</v>
      </c>
      <c r="R272">
        <f t="shared" si="966"/>
        <v>-36361484.762423046</v>
      </c>
      <c r="S272">
        <f t="shared" si="967"/>
        <v>-363.61484762423044</v>
      </c>
      <c r="T272">
        <f t="shared" si="968"/>
        <v>-0.36361484762423041</v>
      </c>
    </row>
    <row r="273" spans="1:20" x14ac:dyDescent="0.25">
      <c r="A273" s="5">
        <v>44320</v>
      </c>
      <c r="B273">
        <v>1.7432000000000001</v>
      </c>
      <c r="C273">
        <v>1.8797999999999999</v>
      </c>
      <c r="D273">
        <v>1.5731999999999999</v>
      </c>
      <c r="E273">
        <v>1.6065</v>
      </c>
      <c r="F273">
        <v>13069826.41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-0.78277886497064508</v>
      </c>
      <c r="Q273">
        <f t="shared" si="965"/>
        <v>-10230783.882583162</v>
      </c>
      <c r="R273">
        <f t="shared" si="966"/>
        <v>-31965366.611647837</v>
      </c>
      <c r="S273">
        <f t="shared" si="967"/>
        <v>-319.65366611647835</v>
      </c>
      <c r="T273">
        <f t="shared" si="968"/>
        <v>-0.31965366611647833</v>
      </c>
    </row>
    <row r="274" spans="1:20" x14ac:dyDescent="0.25">
      <c r="A274" s="5">
        <v>44319</v>
      </c>
      <c r="B274">
        <v>1.5375000000000001</v>
      </c>
      <c r="C274">
        <v>1.96</v>
      </c>
      <c r="D274">
        <v>1.5</v>
      </c>
      <c r="E274">
        <v>1.7442</v>
      </c>
      <c r="F274">
        <v>28927870.920000002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6.1739130434782574E-2</v>
      </c>
      <c r="Q274">
        <f t="shared" si="965"/>
        <v>1785981.5959304338</v>
      </c>
      <c r="R274">
        <f t="shared" si="966"/>
        <v>-21734582.729064677</v>
      </c>
      <c r="S274">
        <f t="shared" si="967"/>
        <v>-217.34582729064678</v>
      </c>
      <c r="T274">
        <f t="shared" si="968"/>
        <v>-0.21734582729064678</v>
      </c>
    </row>
    <row r="275" spans="1:20" x14ac:dyDescent="0.25">
      <c r="A275" s="5">
        <v>44318</v>
      </c>
      <c r="B275">
        <v>1.3765000000000001</v>
      </c>
      <c r="C275">
        <v>1.73</v>
      </c>
      <c r="D275">
        <v>1.321</v>
      </c>
      <c r="E275">
        <v>1.5375000000000001</v>
      </c>
      <c r="F275">
        <v>10632222.619999999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5.8679706601467582E-2</v>
      </c>
      <c r="Q275">
        <f t="shared" si="965"/>
        <v>623895.70386308688</v>
      </c>
      <c r="R275">
        <f t="shared" si="966"/>
        <v>-23520564.324995112</v>
      </c>
      <c r="S275">
        <f t="shared" si="967"/>
        <v>-235.20564324995112</v>
      </c>
      <c r="T275">
        <f t="shared" si="968"/>
        <v>-0.23520564324995114</v>
      </c>
    </row>
    <row r="276" spans="1:20" x14ac:dyDescent="0.25">
      <c r="A276" s="5">
        <v>44317</v>
      </c>
      <c r="B276">
        <v>1.4121999999999999</v>
      </c>
      <c r="C276">
        <v>1.4434</v>
      </c>
      <c r="D276">
        <v>1.3623000000000001</v>
      </c>
      <c r="E276">
        <v>1.3738999999999999</v>
      </c>
      <c r="F276">
        <v>5227002.75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-0.71393341553637879</v>
      </c>
      <c r="Q276">
        <f t="shared" si="965"/>
        <v>-3731731.9263255447</v>
      </c>
      <c r="R276">
        <f t="shared" si="966"/>
        <v>-24144460.0288582</v>
      </c>
      <c r="S276">
        <f t="shared" si="967"/>
        <v>-241.444600288582</v>
      </c>
      <c r="T276">
        <f t="shared" si="968"/>
        <v>-0.241444600288582</v>
      </c>
    </row>
    <row r="277" spans="1:20" x14ac:dyDescent="0.25">
      <c r="A277" s="5">
        <v>44316</v>
      </c>
      <c r="B277">
        <v>1.3903000000000001</v>
      </c>
      <c r="C277">
        <v>1.47</v>
      </c>
      <c r="D277">
        <v>1.3190999999999999</v>
      </c>
      <c r="E277">
        <v>1.4152</v>
      </c>
      <c r="F277">
        <v>6554668.8399999999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0.27369118621603783</v>
      </c>
      <c r="Q277">
        <f t="shared" si="965"/>
        <v>1793955.0900729005</v>
      </c>
      <c r="R277">
        <f t="shared" si="966"/>
        <v>-20412728.102532655</v>
      </c>
      <c r="S277">
        <f t="shared" si="967"/>
        <v>-204.12728102532654</v>
      </c>
      <c r="T277">
        <f t="shared" si="968"/>
        <v>-0.20412728102532654</v>
      </c>
    </row>
    <row r="278" spans="1:20" x14ac:dyDescent="0.25">
      <c r="A278" s="5">
        <v>44315</v>
      </c>
      <c r="B278">
        <v>1.3426</v>
      </c>
      <c r="C278">
        <v>1.4339</v>
      </c>
      <c r="D278">
        <v>1.29</v>
      </c>
      <c r="E278">
        <v>1.3903000000000001</v>
      </c>
      <c r="F278">
        <v>9377106.6600000001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0.39402362751911207</v>
      </c>
      <c r="Q278">
        <f t="shared" si="965"/>
        <v>3694801.581806825</v>
      </c>
      <c r="R278">
        <f t="shared" si="966"/>
        <v>-22206683.192605555</v>
      </c>
      <c r="S278">
        <f t="shared" si="967"/>
        <v>-222.06683192605556</v>
      </c>
      <c r="T278">
        <f t="shared" si="968"/>
        <v>-0.22206683192605556</v>
      </c>
    </row>
    <row r="279" spans="1:20" x14ac:dyDescent="0.25">
      <c r="A279" s="5">
        <v>44314</v>
      </c>
      <c r="B279">
        <v>1.1521999999999999</v>
      </c>
      <c r="C279">
        <v>1.47</v>
      </c>
      <c r="D279">
        <v>1.1318999999999999</v>
      </c>
      <c r="E279">
        <v>1.3448</v>
      </c>
      <c r="F279">
        <v>15659494.77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0.25939071280686216</v>
      </c>
      <c r="Q279">
        <f t="shared" si="965"/>
        <v>4061927.5105856298</v>
      </c>
      <c r="R279">
        <f t="shared" si="966"/>
        <v>-25901484.774412379</v>
      </c>
      <c r="S279">
        <f t="shared" si="967"/>
        <v>-259.01484774412381</v>
      </c>
      <c r="T279">
        <f t="shared" si="968"/>
        <v>-0.25901484774412381</v>
      </c>
    </row>
    <row r="280" spans="1:20" x14ac:dyDescent="0.25">
      <c r="A280" s="5">
        <v>44313</v>
      </c>
      <c r="B280">
        <v>1.0683</v>
      </c>
      <c r="C280">
        <v>1.2</v>
      </c>
      <c r="D280">
        <v>1.0621</v>
      </c>
      <c r="E280">
        <v>1.1521999999999999</v>
      </c>
      <c r="F280">
        <v>3540257.99</v>
      </c>
      <c r="G280">
        <v>0</v>
      </c>
      <c r="L280" t="s">
        <v>8</v>
      </c>
      <c r="M280" t="s">
        <v>7</v>
      </c>
      <c r="N280" t="s">
        <v>7</v>
      </c>
      <c r="P280">
        <f t="shared" si="964"/>
        <v>0.30674401740391449</v>
      </c>
      <c r="Q280">
        <f t="shared" si="965"/>
        <v>1085952.9584989075</v>
      </c>
      <c r="R280">
        <f t="shared" si="966"/>
        <v>-29963412.284998007</v>
      </c>
      <c r="S280">
        <f t="shared" si="967"/>
        <v>-299.63412284998009</v>
      </c>
      <c r="T280">
        <f t="shared" si="968"/>
        <v>-0.29963412284998009</v>
      </c>
    </row>
    <row r="281" spans="1:20" x14ac:dyDescent="0.25">
      <c r="A281" s="5">
        <v>44312</v>
      </c>
      <c r="B281">
        <v>1.0310999999999999</v>
      </c>
      <c r="C281">
        <v>1.1499999999999999</v>
      </c>
      <c r="D281">
        <v>1.0308999999999999</v>
      </c>
      <c r="E281">
        <v>1.0683</v>
      </c>
      <c r="F281">
        <v>1990098.42</v>
      </c>
      <c r="G281">
        <v>0</v>
      </c>
      <c r="L281" t="s">
        <v>8</v>
      </c>
      <c r="M281" t="s">
        <v>7</v>
      </c>
      <c r="N281" t="s">
        <v>7</v>
      </c>
      <c r="P281">
        <f t="shared" si="964"/>
        <v>-0.3719563392107455</v>
      </c>
      <c r="Q281">
        <f t="shared" si="965"/>
        <v>-740229.72297228861</v>
      </c>
      <c r="R281">
        <f t="shared" si="966"/>
        <v>-31049365.243496913</v>
      </c>
      <c r="S281">
        <f t="shared" si="967"/>
        <v>-310.49365243496914</v>
      </c>
      <c r="T281">
        <f t="shared" si="968"/>
        <v>-0.31049365243496913</v>
      </c>
    </row>
    <row r="282" spans="1:20" x14ac:dyDescent="0.25">
      <c r="A282" s="5">
        <v>44311</v>
      </c>
      <c r="B282">
        <v>1.03</v>
      </c>
      <c r="C282">
        <v>1.0749</v>
      </c>
      <c r="D282">
        <v>1.0226999999999999</v>
      </c>
      <c r="E282">
        <v>1.0357000000000001</v>
      </c>
      <c r="F282">
        <v>685215.37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-0.50191570881225611</v>
      </c>
      <c r="Q282">
        <f t="shared" si="965"/>
        <v>-343920.35812260234</v>
      </c>
      <c r="R282">
        <f t="shared" si="966"/>
        <v>-30309135.520524625</v>
      </c>
      <c r="S282">
        <f t="shared" si="967"/>
        <v>-303.09135520524626</v>
      </c>
      <c r="T282">
        <f t="shared" si="968"/>
        <v>-0.30309135520524627</v>
      </c>
    </row>
    <row r="283" spans="1:20" x14ac:dyDescent="0.25">
      <c r="A283" s="5">
        <v>44310</v>
      </c>
      <c r="B283">
        <v>1.0437000000000001</v>
      </c>
      <c r="C283">
        <v>1.0620000000000001</v>
      </c>
      <c r="D283">
        <v>1.0234000000000001</v>
      </c>
      <c r="E283">
        <v>1.0278</v>
      </c>
      <c r="F283">
        <v>506891.39</v>
      </c>
      <c r="G283">
        <v>0</v>
      </c>
      <c r="L283" t="s">
        <v>7</v>
      </c>
      <c r="M283" t="s">
        <v>7</v>
      </c>
      <c r="N283" t="s">
        <v>7</v>
      </c>
      <c r="P283">
        <f t="shared" si="964"/>
        <v>-0.77202072538860289</v>
      </c>
      <c r="Q283">
        <f t="shared" si="965"/>
        <v>-391330.65860103723</v>
      </c>
      <c r="R283">
        <f t="shared" si="966"/>
        <v>-29965215.162402023</v>
      </c>
      <c r="S283">
        <f t="shared" si="967"/>
        <v>-299.65215162402023</v>
      </c>
      <c r="T283">
        <f t="shared" si="968"/>
        <v>-0.29965215162402026</v>
      </c>
    </row>
    <row r="284" spans="1:20" x14ac:dyDescent="0.25">
      <c r="A284" s="5">
        <v>44309</v>
      </c>
      <c r="B284">
        <v>1.0720000000000001</v>
      </c>
      <c r="C284">
        <v>1.0885</v>
      </c>
      <c r="D284">
        <v>1.0289999999999999</v>
      </c>
      <c r="E284">
        <v>1.0437000000000001</v>
      </c>
      <c r="F284">
        <v>1734800.56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-0.50588235294117212</v>
      </c>
      <c r="Q284">
        <f t="shared" si="965"/>
        <v>-877604.9891764631</v>
      </c>
      <c r="R284">
        <f t="shared" si="966"/>
        <v>-29573884.503800984</v>
      </c>
      <c r="S284">
        <f t="shared" si="967"/>
        <v>-295.73884503800986</v>
      </c>
      <c r="T284">
        <f t="shared" si="968"/>
        <v>-0.29573884503800985</v>
      </c>
    </row>
    <row r="285" spans="1:20" x14ac:dyDescent="0.25">
      <c r="A285" s="5">
        <v>44308</v>
      </c>
      <c r="B285">
        <v>1.0839000000000001</v>
      </c>
      <c r="C285">
        <v>1.0926</v>
      </c>
      <c r="D285">
        <v>1.0701000000000001</v>
      </c>
      <c r="E285">
        <v>1.0721000000000001</v>
      </c>
      <c r="F285">
        <v>779803.47</v>
      </c>
      <c r="G285">
        <v>0</v>
      </c>
      <c r="L285" t="s">
        <v>8</v>
      </c>
      <c r="M285" t="s">
        <v>7</v>
      </c>
      <c r="N285" t="s">
        <v>7</v>
      </c>
      <c r="P285">
        <f t="shared" si="964"/>
        <v>-0.82222222222222174</v>
      </c>
      <c r="Q285">
        <f t="shared" si="965"/>
        <v>-641171.74199999962</v>
      </c>
      <c r="R285">
        <f t="shared" si="966"/>
        <v>-28696279.514624521</v>
      </c>
      <c r="S285">
        <f t="shared" si="967"/>
        <v>-286.96279514624518</v>
      </c>
      <c r="T285">
        <f t="shared" si="968"/>
        <v>-0.28696279514624518</v>
      </c>
    </row>
    <row r="286" spans="1:20" x14ac:dyDescent="0.25">
      <c r="A286" s="5">
        <v>44307</v>
      </c>
      <c r="B286">
        <v>1.1218999999999999</v>
      </c>
      <c r="C286">
        <v>1.1279999999999999</v>
      </c>
      <c r="D286">
        <v>1.0755999999999999</v>
      </c>
      <c r="E286">
        <v>1.0839000000000001</v>
      </c>
      <c r="F286">
        <v>686823.51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-0.68320610687022154</v>
      </c>
      <c r="Q286">
        <f t="shared" si="965"/>
        <v>-469242.01637404069</v>
      </c>
      <c r="R286">
        <f t="shared" si="966"/>
        <v>-28055107.772624522</v>
      </c>
      <c r="S286">
        <f t="shared" si="967"/>
        <v>-280.55107772624524</v>
      </c>
      <c r="T286">
        <f t="shared" si="968"/>
        <v>-0.28055107772624521</v>
      </c>
    </row>
    <row r="287" spans="1:20" x14ac:dyDescent="0.25">
      <c r="A287" s="5">
        <v>44306</v>
      </c>
      <c r="B287">
        <v>1.0881000000000001</v>
      </c>
      <c r="C287">
        <v>1.1229</v>
      </c>
      <c r="D287">
        <v>1.0597000000000001</v>
      </c>
      <c r="E287">
        <v>1.1218999999999999</v>
      </c>
      <c r="F287">
        <v>1000004.54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0.96835443037974323</v>
      </c>
      <c r="Q287">
        <f t="shared" si="965"/>
        <v>968358.8267088572</v>
      </c>
      <c r="R287">
        <f t="shared" si="966"/>
        <v>-27585865.756250482</v>
      </c>
      <c r="S287">
        <f t="shared" si="967"/>
        <v>-275.85865756250485</v>
      </c>
      <c r="T287">
        <f t="shared" si="968"/>
        <v>-0.27585865756250483</v>
      </c>
    </row>
    <row r="288" spans="1:20" x14ac:dyDescent="0.25">
      <c r="A288" s="5">
        <v>44305</v>
      </c>
      <c r="B288">
        <v>1.1135999999999999</v>
      </c>
      <c r="C288">
        <v>1.135</v>
      </c>
      <c r="D288">
        <v>1.0549999999999999</v>
      </c>
      <c r="E288">
        <v>1.0947</v>
      </c>
      <c r="F288">
        <v>1444026.58</v>
      </c>
      <c r="G288">
        <v>0</v>
      </c>
      <c r="L288" t="s">
        <v>8</v>
      </c>
      <c r="M288" t="s">
        <v>7</v>
      </c>
      <c r="N288" t="s">
        <v>7</v>
      </c>
      <c r="P288">
        <f t="shared" si="964"/>
        <v>-7.4999999999991671E-3</v>
      </c>
      <c r="Q288">
        <f t="shared" si="965"/>
        <v>-10830.199349998798</v>
      </c>
      <c r="R288">
        <f t="shared" si="966"/>
        <v>-28554224.582959339</v>
      </c>
      <c r="S288">
        <f t="shared" si="967"/>
        <v>-285.54224582959341</v>
      </c>
      <c r="T288">
        <f t="shared" si="968"/>
        <v>-0.28554224582959342</v>
      </c>
    </row>
    <row r="289" spans="1:20" x14ac:dyDescent="0.25">
      <c r="A289" s="5">
        <v>44304</v>
      </c>
      <c r="B289">
        <v>1.1742999999999999</v>
      </c>
      <c r="C289">
        <v>1.1819999999999999</v>
      </c>
      <c r="D289">
        <v>1.0541</v>
      </c>
      <c r="E289">
        <v>1.1100000000000001</v>
      </c>
      <c r="F289">
        <v>2313625.7599999998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-0.12587959343236743</v>
      </c>
      <c r="Q289">
        <f t="shared" si="965"/>
        <v>-291238.27002345206</v>
      </c>
      <c r="R289">
        <f t="shared" si="966"/>
        <v>-28543394.38360934</v>
      </c>
      <c r="S289">
        <f t="shared" si="967"/>
        <v>-285.43394383609342</v>
      </c>
      <c r="T289">
        <f t="shared" si="968"/>
        <v>-0.28543394383609344</v>
      </c>
    </row>
    <row r="290" spans="1:20" x14ac:dyDescent="0.25">
      <c r="A290" s="5">
        <v>44303</v>
      </c>
      <c r="B290">
        <v>1.1720999999999999</v>
      </c>
      <c r="C290">
        <v>1.2175</v>
      </c>
      <c r="D290">
        <v>1.1718999999999999</v>
      </c>
      <c r="E290">
        <v>1.1719999999999999</v>
      </c>
      <c r="F290">
        <v>863263.05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-0.99561403508771984</v>
      </c>
      <c r="Q290">
        <f t="shared" si="965"/>
        <v>-859476.80855263211</v>
      </c>
      <c r="R290">
        <f t="shared" si="966"/>
        <v>-28252156.113585889</v>
      </c>
      <c r="S290">
        <f t="shared" si="967"/>
        <v>-282.52156113585892</v>
      </c>
      <c r="T290">
        <f t="shared" si="968"/>
        <v>-0.28252156113585891</v>
      </c>
    </row>
    <row r="291" spans="1:20" x14ac:dyDescent="0.25">
      <c r="A291" s="5">
        <v>44302</v>
      </c>
      <c r="B291">
        <v>1.2186999999999999</v>
      </c>
      <c r="C291">
        <v>1.2209000000000001</v>
      </c>
      <c r="D291">
        <v>1.1716</v>
      </c>
      <c r="E291">
        <v>1.1720999999999999</v>
      </c>
      <c r="F291">
        <v>1285811.8400000001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-0.9797160243407731</v>
      </c>
      <c r="Q291">
        <f t="shared" si="965"/>
        <v>-1259730.4639350944</v>
      </c>
      <c r="R291">
        <f t="shared" si="966"/>
        <v>-27392679.305033255</v>
      </c>
      <c r="S291">
        <f t="shared" si="967"/>
        <v>-273.92679305033255</v>
      </c>
      <c r="T291">
        <f t="shared" si="968"/>
        <v>-0.27392679305033257</v>
      </c>
    </row>
    <row r="292" spans="1:20" x14ac:dyDescent="0.25">
      <c r="A292" s="5">
        <v>44301</v>
      </c>
      <c r="B292">
        <v>1.1797</v>
      </c>
      <c r="C292">
        <v>1.2878000000000001</v>
      </c>
      <c r="D292">
        <v>1.1775</v>
      </c>
      <c r="E292">
        <v>1.2185999999999999</v>
      </c>
      <c r="F292">
        <v>1680847.67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-0.25475974614687413</v>
      </c>
      <c r="Q292">
        <f t="shared" si="965"/>
        <v>-428212.32572076487</v>
      </c>
      <c r="R292">
        <f t="shared" si="966"/>
        <v>-26132948.84109816</v>
      </c>
      <c r="S292">
        <f t="shared" si="967"/>
        <v>-261.32948841098158</v>
      </c>
      <c r="T292">
        <f t="shared" si="968"/>
        <v>-0.26132948841098158</v>
      </c>
    </row>
    <row r="293" spans="1:20" x14ac:dyDescent="0.25">
      <c r="A293" s="5">
        <v>44300</v>
      </c>
      <c r="B293">
        <v>1.1969000000000001</v>
      </c>
      <c r="C293">
        <v>1.2071000000000001</v>
      </c>
      <c r="D293">
        <v>1.1599999999999999</v>
      </c>
      <c r="E293">
        <v>1.1779999999999999</v>
      </c>
      <c r="F293">
        <v>1558373.7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-0.23566878980891881</v>
      </c>
      <c r="Q293">
        <f t="shared" si="965"/>
        <v>-367260.0439490471</v>
      </c>
      <c r="R293">
        <f t="shared" si="966"/>
        <v>-25704736.515377395</v>
      </c>
      <c r="S293">
        <f t="shared" si="967"/>
        <v>-257.04736515377397</v>
      </c>
      <c r="T293">
        <f t="shared" si="968"/>
        <v>-0.25704736515377397</v>
      </c>
    </row>
    <row r="294" spans="1:20" x14ac:dyDescent="0.25">
      <c r="A294" s="5">
        <v>44299</v>
      </c>
      <c r="B294">
        <v>1.2204999999999999</v>
      </c>
      <c r="C294">
        <v>1.2529999999999999</v>
      </c>
      <c r="D294">
        <v>1.1916</v>
      </c>
      <c r="E294">
        <v>1.1922999999999999</v>
      </c>
      <c r="F294">
        <v>1232742.05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-0.97719869706840634</v>
      </c>
      <c r="Q294">
        <f t="shared" si="965"/>
        <v>-1204633.9250814363</v>
      </c>
      <c r="R294">
        <f t="shared" si="966"/>
        <v>-25337476.47142835</v>
      </c>
      <c r="S294">
        <f t="shared" si="967"/>
        <v>-253.37476471428349</v>
      </c>
      <c r="T294">
        <f t="shared" si="968"/>
        <v>-0.2533747647142835</v>
      </c>
    </row>
    <row r="295" spans="1:20" x14ac:dyDescent="0.25">
      <c r="A295" s="5">
        <v>44298</v>
      </c>
      <c r="B295">
        <v>1.2577</v>
      </c>
      <c r="C295">
        <v>1.2649999999999999</v>
      </c>
      <c r="D295">
        <v>1.1987000000000001</v>
      </c>
      <c r="E295">
        <v>1.2156</v>
      </c>
      <c r="F295">
        <v>1507598.22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-0.49019607843137358</v>
      </c>
      <c r="Q295">
        <f t="shared" si="965"/>
        <v>-739018.73529411922</v>
      </c>
      <c r="R295">
        <f t="shared" si="966"/>
        <v>-24132842.546346914</v>
      </c>
      <c r="S295">
        <f t="shared" si="967"/>
        <v>-241.32842546346913</v>
      </c>
      <c r="T295">
        <f t="shared" si="968"/>
        <v>-0.24132842546346914</v>
      </c>
    </row>
    <row r="296" spans="1:20" x14ac:dyDescent="0.25">
      <c r="A296" s="5">
        <v>44297</v>
      </c>
      <c r="B296">
        <v>1.2071000000000001</v>
      </c>
      <c r="C296">
        <v>1.38</v>
      </c>
      <c r="D296">
        <v>1.2071000000000001</v>
      </c>
      <c r="E296">
        <v>1.2585</v>
      </c>
      <c r="F296">
        <v>1963656.55</v>
      </c>
      <c r="G296">
        <v>0</v>
      </c>
      <c r="L296" t="s">
        <v>8</v>
      </c>
      <c r="M296" t="s">
        <v>7</v>
      </c>
      <c r="N296" t="s">
        <v>7</v>
      </c>
      <c r="P296">
        <f t="shared" si="964"/>
        <v>-0.40543666859456401</v>
      </c>
      <c r="Q296">
        <f t="shared" si="965"/>
        <v>-796138.3698958949</v>
      </c>
      <c r="R296">
        <f t="shared" si="966"/>
        <v>-23393823.811052795</v>
      </c>
      <c r="S296">
        <f t="shared" si="967"/>
        <v>-233.93823811052795</v>
      </c>
      <c r="T296">
        <f t="shared" si="968"/>
        <v>-0.23393823811052794</v>
      </c>
    </row>
    <row r="297" spans="1:20" x14ac:dyDescent="0.25">
      <c r="A297" s="5">
        <v>44296</v>
      </c>
      <c r="B297">
        <v>1.2065999999999999</v>
      </c>
      <c r="C297">
        <v>1.2384999999999999</v>
      </c>
      <c r="D297">
        <v>1.204</v>
      </c>
      <c r="E297">
        <v>1.2051000000000001</v>
      </c>
      <c r="F297">
        <v>998863.24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-0.93623188405796509</v>
      </c>
      <c r="Q297">
        <f t="shared" si="965"/>
        <v>-935167.61310144339</v>
      </c>
      <c r="R297">
        <f t="shared" si="966"/>
        <v>-22597685.441156901</v>
      </c>
      <c r="S297">
        <f t="shared" si="967"/>
        <v>-225.97685441156901</v>
      </c>
      <c r="T297">
        <f t="shared" si="968"/>
        <v>-0.22597685441156901</v>
      </c>
    </row>
    <row r="298" spans="1:20" x14ac:dyDescent="0.25">
      <c r="A298" s="5">
        <v>44295</v>
      </c>
      <c r="B298">
        <v>1.2245999999999999</v>
      </c>
      <c r="C298">
        <v>1.27</v>
      </c>
      <c r="D298">
        <v>1.2029000000000001</v>
      </c>
      <c r="E298">
        <v>1.2108000000000001</v>
      </c>
      <c r="F298">
        <v>1251902.52</v>
      </c>
      <c r="G298">
        <v>0</v>
      </c>
      <c r="L298" t="s">
        <v>7</v>
      </c>
      <c r="M298" t="s">
        <v>7</v>
      </c>
      <c r="N298" t="s">
        <v>7</v>
      </c>
      <c r="P298">
        <f t="shared" si="964"/>
        <v>-0.76453055141579651</v>
      </c>
      <c r="Q298">
        <f t="shared" si="965"/>
        <v>-957117.72393442527</v>
      </c>
      <c r="R298">
        <f t="shared" si="966"/>
        <v>-21662517.828055456</v>
      </c>
      <c r="S298">
        <f t="shared" si="967"/>
        <v>-216.62517828055456</v>
      </c>
      <c r="T298">
        <f t="shared" si="968"/>
        <v>-0.21662517828055455</v>
      </c>
    </row>
    <row r="299" spans="1:20" x14ac:dyDescent="0.25">
      <c r="A299" s="5">
        <v>44294</v>
      </c>
      <c r="B299">
        <v>1.2084999999999999</v>
      </c>
      <c r="C299">
        <v>1.26</v>
      </c>
      <c r="D299">
        <v>1.1970000000000001</v>
      </c>
      <c r="E299">
        <v>1.2230000000000001</v>
      </c>
      <c r="F299">
        <v>972878.9</v>
      </c>
      <c r="G299">
        <v>0</v>
      </c>
      <c r="L299" t="s">
        <v>7</v>
      </c>
      <c r="M299" t="s">
        <v>7</v>
      </c>
      <c r="N299" t="s">
        <v>7</v>
      </c>
      <c r="P299">
        <f t="shared" si="964"/>
        <v>-0.17460317460317315</v>
      </c>
      <c r="Q299">
        <f t="shared" si="965"/>
        <v>-169867.74444444303</v>
      </c>
      <c r="R299">
        <f t="shared" si="966"/>
        <v>-20705400.104121029</v>
      </c>
      <c r="S299">
        <f t="shared" si="967"/>
        <v>-207.05400104121028</v>
      </c>
      <c r="T299">
        <f t="shared" si="968"/>
        <v>-0.20705400104121027</v>
      </c>
    </row>
    <row r="300" spans="1:20" x14ac:dyDescent="0.25">
      <c r="A300" s="5">
        <v>44293</v>
      </c>
      <c r="B300">
        <v>1.2566999999999999</v>
      </c>
      <c r="C300">
        <v>1.2755000000000001</v>
      </c>
      <c r="D300">
        <v>1.1972</v>
      </c>
      <c r="E300">
        <v>1.2098</v>
      </c>
      <c r="F300">
        <v>2018828.83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-0.6781609195402315</v>
      </c>
      <c r="Q300">
        <f t="shared" si="965"/>
        <v>-1369090.8157471297</v>
      </c>
      <c r="R300">
        <f t="shared" si="966"/>
        <v>-20535532.359676585</v>
      </c>
      <c r="S300">
        <f t="shared" si="967"/>
        <v>-205.35532359676586</v>
      </c>
      <c r="T300">
        <f t="shared" si="968"/>
        <v>-0.20535532359676587</v>
      </c>
    </row>
    <row r="301" spans="1:20" x14ac:dyDescent="0.25">
      <c r="A301" s="5">
        <v>44292</v>
      </c>
      <c r="B301">
        <v>1.3085</v>
      </c>
      <c r="C301">
        <v>1.3440000000000001</v>
      </c>
      <c r="D301">
        <v>1.2314000000000001</v>
      </c>
      <c r="E301">
        <v>1.2567999999999999</v>
      </c>
      <c r="F301">
        <v>2049489.12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-0.54884547069272005</v>
      </c>
      <c r="Q301">
        <f t="shared" si="965"/>
        <v>-1124852.8207460088</v>
      </c>
      <c r="R301">
        <f t="shared" si="966"/>
        <v>-19166441.543929454</v>
      </c>
      <c r="S301">
        <f t="shared" si="967"/>
        <v>-191.66441543929454</v>
      </c>
      <c r="T301">
        <f t="shared" si="968"/>
        <v>-0.19166441543929455</v>
      </c>
    </row>
    <row r="302" spans="1:20" x14ac:dyDescent="0.25">
      <c r="A302" s="5">
        <v>44291</v>
      </c>
      <c r="B302">
        <v>1.3472</v>
      </c>
      <c r="C302">
        <v>1.3515999999999999</v>
      </c>
      <c r="D302">
        <v>1.3006</v>
      </c>
      <c r="E302">
        <v>1.3079000000000001</v>
      </c>
      <c r="F302">
        <v>1412751.14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-0.71372549019607479</v>
      </c>
      <c r="Q302">
        <f t="shared" si="965"/>
        <v>-1008316.4999215634</v>
      </c>
      <c r="R302">
        <f t="shared" si="966"/>
        <v>-18041588.723183446</v>
      </c>
      <c r="S302">
        <f t="shared" si="967"/>
        <v>-180.41588723183446</v>
      </c>
      <c r="T302">
        <f t="shared" si="968"/>
        <v>-0.18041588723183447</v>
      </c>
    </row>
    <row r="303" spans="1:20" x14ac:dyDescent="0.25">
      <c r="A303" s="5">
        <v>44290</v>
      </c>
      <c r="B303">
        <v>1.2929999999999999</v>
      </c>
      <c r="C303">
        <v>1.3529</v>
      </c>
      <c r="D303">
        <v>1.292</v>
      </c>
      <c r="E303">
        <v>1.3472</v>
      </c>
      <c r="F303">
        <v>1102866.18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0.81280788177339758</v>
      </c>
      <c r="Q303">
        <f t="shared" si="965"/>
        <v>896418.32364531851</v>
      </c>
      <c r="R303">
        <f t="shared" si="966"/>
        <v>-17033272.223261882</v>
      </c>
      <c r="S303">
        <f t="shared" si="967"/>
        <v>-170.33272223261881</v>
      </c>
      <c r="T303">
        <f t="shared" si="968"/>
        <v>-0.17033272223261881</v>
      </c>
    </row>
    <row r="304" spans="1:20" x14ac:dyDescent="0.25">
      <c r="A304" s="5">
        <v>44289</v>
      </c>
      <c r="B304">
        <v>1.3624000000000001</v>
      </c>
      <c r="C304">
        <v>1.3782000000000001</v>
      </c>
      <c r="D304">
        <v>1.29</v>
      </c>
      <c r="E304">
        <v>1.2949999999999999</v>
      </c>
      <c r="F304">
        <v>1723995.15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-0.88662131519274623</v>
      </c>
      <c r="Q304">
        <f t="shared" si="965"/>
        <v>-1528530.8472789158</v>
      </c>
      <c r="R304">
        <f t="shared" si="966"/>
        <v>-17929690.546907201</v>
      </c>
      <c r="S304">
        <f t="shared" si="967"/>
        <v>-179.29690546907202</v>
      </c>
      <c r="T304">
        <f t="shared" si="968"/>
        <v>-0.17929690546907201</v>
      </c>
    </row>
    <row r="305" spans="1:20" x14ac:dyDescent="0.25">
      <c r="A305" s="5">
        <v>44288</v>
      </c>
      <c r="B305">
        <v>1.3807</v>
      </c>
      <c r="C305">
        <v>1.4069</v>
      </c>
      <c r="D305">
        <v>1.3365</v>
      </c>
      <c r="E305">
        <v>1.3588</v>
      </c>
      <c r="F305">
        <v>1621122.07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-0.36647727272727326</v>
      </c>
      <c r="Q305">
        <f t="shared" si="965"/>
        <v>-594104.39497159177</v>
      </c>
      <c r="R305">
        <f t="shared" si="966"/>
        <v>-16401159.699628284</v>
      </c>
      <c r="S305">
        <f t="shared" si="967"/>
        <v>-164.01159699628283</v>
      </c>
      <c r="T305">
        <f t="shared" si="968"/>
        <v>-0.16401159699628284</v>
      </c>
    </row>
    <row r="306" spans="1:20" x14ac:dyDescent="0.25">
      <c r="A306" s="5">
        <v>44287</v>
      </c>
      <c r="B306">
        <v>1.4094</v>
      </c>
      <c r="C306">
        <v>1.4219999999999999</v>
      </c>
      <c r="D306">
        <v>1.3673</v>
      </c>
      <c r="E306">
        <v>1.3806</v>
      </c>
      <c r="F306">
        <v>1350769.24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-0.51371115173674231</v>
      </c>
      <c r="Q306">
        <f t="shared" si="965"/>
        <v>-693905.22201096406</v>
      </c>
      <c r="R306">
        <f t="shared" si="966"/>
        <v>-15807055.304656692</v>
      </c>
      <c r="S306">
        <f t="shared" si="967"/>
        <v>-158.07055304656691</v>
      </c>
      <c r="T306">
        <f t="shared" si="968"/>
        <v>-0.15807055304656692</v>
      </c>
    </row>
    <row r="307" spans="1:20" x14ac:dyDescent="0.25">
      <c r="A307" s="5">
        <v>44286</v>
      </c>
      <c r="B307">
        <v>1.46</v>
      </c>
      <c r="C307">
        <v>1.4692000000000001</v>
      </c>
      <c r="D307">
        <v>1.3934</v>
      </c>
      <c r="E307">
        <v>1.4056999999999999</v>
      </c>
      <c r="F307">
        <v>1481663.57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-0.67546174142480309</v>
      </c>
      <c r="Q307">
        <f t="shared" si="965"/>
        <v>-1000807.0551978906</v>
      </c>
      <c r="R307">
        <f t="shared" si="966"/>
        <v>-15113150.082645727</v>
      </c>
      <c r="S307">
        <f t="shared" si="967"/>
        <v>-151.13150082645728</v>
      </c>
      <c r="T307">
        <f t="shared" si="968"/>
        <v>-0.15113150082645729</v>
      </c>
    </row>
    <row r="308" spans="1:20" x14ac:dyDescent="0.25">
      <c r="A308" s="5">
        <v>44285</v>
      </c>
      <c r="B308">
        <v>1.4217</v>
      </c>
      <c r="C308">
        <v>1.49</v>
      </c>
      <c r="D308">
        <v>1.415</v>
      </c>
      <c r="E308">
        <v>1.4598</v>
      </c>
      <c r="F308">
        <v>1923232.08</v>
      </c>
      <c r="G308">
        <v>0</v>
      </c>
      <c r="L308" t="s">
        <v>8</v>
      </c>
      <c r="M308" t="s">
        <v>7</v>
      </c>
      <c r="N308" t="s">
        <v>8</v>
      </c>
      <c r="P308">
        <f t="shared" si="964"/>
        <v>0.19466666666666607</v>
      </c>
      <c r="Q308">
        <f t="shared" si="965"/>
        <v>374389.17823999887</v>
      </c>
      <c r="R308">
        <f t="shared" si="966"/>
        <v>-14112343.027447836</v>
      </c>
      <c r="S308">
        <f t="shared" si="967"/>
        <v>-141.12343027447835</v>
      </c>
      <c r="T308">
        <f t="shared" si="968"/>
        <v>-0.14112343027447835</v>
      </c>
    </row>
    <row r="309" spans="1:20" x14ac:dyDescent="0.25">
      <c r="A309" s="5">
        <v>44284</v>
      </c>
      <c r="B309">
        <v>1.4300999999999999</v>
      </c>
      <c r="C309">
        <v>1.4950000000000001</v>
      </c>
      <c r="D309">
        <v>1.4003000000000001</v>
      </c>
      <c r="E309">
        <v>1.4246000000000001</v>
      </c>
      <c r="F309">
        <v>2315568.16</v>
      </c>
      <c r="G309">
        <v>0</v>
      </c>
      <c r="L309" t="s">
        <v>8</v>
      </c>
      <c r="M309" t="s">
        <v>7</v>
      </c>
      <c r="N309" t="s">
        <v>8</v>
      </c>
      <c r="P309">
        <f t="shared" si="964"/>
        <v>-0.48680042238648391</v>
      </c>
      <c r="Q309">
        <f t="shared" si="965"/>
        <v>-1127219.5583526934</v>
      </c>
      <c r="R309">
        <f t="shared" si="966"/>
        <v>-14486732.205687836</v>
      </c>
      <c r="S309">
        <f t="shared" si="967"/>
        <v>-144.86732205687835</v>
      </c>
      <c r="T309">
        <f t="shared" si="968"/>
        <v>-0.14486732205687836</v>
      </c>
    </row>
    <row r="310" spans="1:20" x14ac:dyDescent="0.25">
      <c r="A310" s="5">
        <v>44283</v>
      </c>
      <c r="B310">
        <v>1.3903000000000001</v>
      </c>
      <c r="C310">
        <v>1.5</v>
      </c>
      <c r="D310">
        <v>1.3746</v>
      </c>
      <c r="E310">
        <v>1.43</v>
      </c>
      <c r="F310">
        <v>1892044.21</v>
      </c>
      <c r="G310">
        <v>0</v>
      </c>
      <c r="L310" t="s">
        <v>8</v>
      </c>
      <c r="M310" t="s">
        <v>7</v>
      </c>
      <c r="N310" t="s">
        <v>8</v>
      </c>
      <c r="P310">
        <f t="shared" si="964"/>
        <v>-0.11642743221690728</v>
      </c>
      <c r="Q310">
        <f t="shared" si="965"/>
        <v>-220285.84901116689</v>
      </c>
      <c r="R310">
        <f t="shared" si="966"/>
        <v>-13359512.647335142</v>
      </c>
      <c r="S310">
        <f t="shared" si="967"/>
        <v>-133.59512647335143</v>
      </c>
      <c r="T310">
        <f t="shared" si="968"/>
        <v>-0.13359512647335142</v>
      </c>
    </row>
    <row r="311" spans="1:20" x14ac:dyDescent="0.25">
      <c r="A311" s="5">
        <v>44282</v>
      </c>
      <c r="B311">
        <v>1.3747</v>
      </c>
      <c r="C311">
        <v>1.417</v>
      </c>
      <c r="D311">
        <v>1.3627</v>
      </c>
      <c r="E311">
        <v>1.3902000000000001</v>
      </c>
      <c r="F311">
        <v>1557871.32</v>
      </c>
      <c r="G311">
        <v>0</v>
      </c>
      <c r="L311" t="s">
        <v>7</v>
      </c>
      <c r="M311" t="s">
        <v>7</v>
      </c>
      <c r="N311" t="s">
        <v>8</v>
      </c>
      <c r="P311">
        <f t="shared" si="964"/>
        <v>1.2891344383059757E-2</v>
      </c>
      <c r="Q311">
        <f t="shared" si="965"/>
        <v>20083.055690611891</v>
      </c>
      <c r="R311">
        <f t="shared" si="966"/>
        <v>-13139226.798323976</v>
      </c>
      <c r="S311">
        <f t="shared" si="967"/>
        <v>-131.39226798323975</v>
      </c>
      <c r="T311">
        <f t="shared" si="968"/>
        <v>-0.13139226798323975</v>
      </c>
    </row>
    <row r="312" spans="1:20" x14ac:dyDescent="0.25">
      <c r="A312" s="5">
        <v>44281</v>
      </c>
      <c r="B312">
        <v>1.3658999999999999</v>
      </c>
      <c r="C312">
        <v>1.4166000000000001</v>
      </c>
      <c r="D312">
        <v>1.3627</v>
      </c>
      <c r="E312">
        <v>1.3691</v>
      </c>
      <c r="F312">
        <v>1438441.16</v>
      </c>
      <c r="G312">
        <v>0</v>
      </c>
      <c r="L312" t="s">
        <v>7</v>
      </c>
      <c r="M312" t="s">
        <v>7</v>
      </c>
      <c r="N312" t="s">
        <v>8</v>
      </c>
      <c r="P312">
        <f t="shared" si="964"/>
        <v>-0.76252319109462141</v>
      </c>
      <c r="Q312">
        <f t="shared" si="965"/>
        <v>-1096844.7435250487</v>
      </c>
      <c r="R312">
        <f t="shared" si="966"/>
        <v>-13159309.854014589</v>
      </c>
      <c r="S312">
        <f t="shared" si="967"/>
        <v>-131.59309854014589</v>
      </c>
      <c r="T312">
        <f t="shared" si="968"/>
        <v>-0.13159309854014589</v>
      </c>
    </row>
    <row r="313" spans="1:20" x14ac:dyDescent="0.25">
      <c r="A313" s="5">
        <v>44280</v>
      </c>
      <c r="B313">
        <v>1.4097</v>
      </c>
      <c r="C313">
        <v>1.4165000000000001</v>
      </c>
      <c r="D313">
        <v>1.3444</v>
      </c>
      <c r="E313">
        <v>1.363</v>
      </c>
      <c r="F313">
        <v>1844488.13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-0.48404993065187418</v>
      </c>
      <c r="Q313">
        <f t="shared" si="965"/>
        <v>-892824.35141470504</v>
      </c>
      <c r="R313">
        <f t="shared" si="966"/>
        <v>-12062465.11048954</v>
      </c>
      <c r="S313">
        <f t="shared" si="967"/>
        <v>-120.62465110489539</v>
      </c>
      <c r="T313">
        <f t="shared" si="968"/>
        <v>-0.1206246511048954</v>
      </c>
    </row>
    <row r="314" spans="1:20" x14ac:dyDescent="0.25">
      <c r="A314" s="5">
        <v>44279</v>
      </c>
      <c r="B314">
        <v>1.4080999999999999</v>
      </c>
      <c r="C314">
        <v>1.4642999999999999</v>
      </c>
      <c r="D314">
        <v>1.3611</v>
      </c>
      <c r="E314">
        <v>1.4044000000000001</v>
      </c>
      <c r="F314">
        <v>1794401.02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-0.16085271317829197</v>
      </c>
      <c r="Q314">
        <f t="shared" si="965"/>
        <v>-288634.27259689459</v>
      </c>
      <c r="R314">
        <f t="shared" si="966"/>
        <v>-11169640.759074835</v>
      </c>
      <c r="S314">
        <f t="shared" si="967"/>
        <v>-111.69640759074835</v>
      </c>
      <c r="T314">
        <f t="shared" si="968"/>
        <v>-0.11169640759074835</v>
      </c>
    </row>
    <row r="315" spans="1:20" x14ac:dyDescent="0.25">
      <c r="A315" s="5">
        <v>44278</v>
      </c>
      <c r="B315">
        <v>1.4323999999999999</v>
      </c>
      <c r="C315">
        <v>1.5150999999999999</v>
      </c>
      <c r="D315">
        <v>1.401</v>
      </c>
      <c r="E315">
        <v>1.4080999999999999</v>
      </c>
      <c r="F315">
        <v>2266593.21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-0.87554776511831911</v>
      </c>
      <c r="Q315">
        <f t="shared" si="965"/>
        <v>-1984510.6194478569</v>
      </c>
      <c r="R315">
        <f t="shared" si="966"/>
        <v>-10881006.486477941</v>
      </c>
      <c r="S315">
        <f t="shared" si="967"/>
        <v>-108.81006486477941</v>
      </c>
      <c r="T315">
        <f t="shared" si="968"/>
        <v>-0.10881006486477941</v>
      </c>
    </row>
    <row r="316" spans="1:20" x14ac:dyDescent="0.25">
      <c r="A316" s="5">
        <v>44277</v>
      </c>
      <c r="B316">
        <v>1.4639</v>
      </c>
      <c r="C316">
        <v>1.5144</v>
      </c>
      <c r="D316">
        <v>1.4100999999999999</v>
      </c>
      <c r="E316">
        <v>1.4319999999999999</v>
      </c>
      <c r="F316">
        <v>1826884.51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-0.58005752636625085</v>
      </c>
      <c r="Q316">
        <f t="shared" si="965"/>
        <v>-1059698.1098274202</v>
      </c>
      <c r="R316">
        <f t="shared" si="966"/>
        <v>-8896495.8670300841</v>
      </c>
      <c r="S316">
        <f t="shared" si="967"/>
        <v>-88.964958670300845</v>
      </c>
      <c r="T316">
        <f t="shared" si="968"/>
        <v>-8.8964958670300839E-2</v>
      </c>
    </row>
    <row r="317" spans="1:20" x14ac:dyDescent="0.25">
      <c r="A317" s="5">
        <v>44276</v>
      </c>
      <c r="B317">
        <v>1.5077</v>
      </c>
      <c r="C317">
        <v>1.5549999999999999</v>
      </c>
      <c r="D317">
        <v>1.4540999999999999</v>
      </c>
      <c r="E317">
        <v>1.4639</v>
      </c>
      <c r="F317">
        <v>2155780.36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-0.80574826560951374</v>
      </c>
      <c r="Q317">
        <f t="shared" si="965"/>
        <v>-1737016.286105053</v>
      </c>
      <c r="R317">
        <f t="shared" si="966"/>
        <v>-7836797.7572026644</v>
      </c>
      <c r="S317">
        <f t="shared" si="967"/>
        <v>-78.367977572026646</v>
      </c>
      <c r="T317">
        <f t="shared" si="968"/>
        <v>-7.836797757202664E-2</v>
      </c>
    </row>
    <row r="318" spans="1:20" x14ac:dyDescent="0.25">
      <c r="A318" s="5">
        <v>44275</v>
      </c>
      <c r="B318">
        <v>1.5190999999999999</v>
      </c>
      <c r="C318">
        <v>1.5780000000000001</v>
      </c>
      <c r="D318">
        <v>1.498</v>
      </c>
      <c r="E318">
        <v>1.5076000000000001</v>
      </c>
      <c r="F318">
        <v>2098588.75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-0.7599999999999989</v>
      </c>
      <c r="Q318">
        <f t="shared" si="965"/>
        <v>-1594927.4499999976</v>
      </c>
      <c r="R318">
        <f t="shared" si="966"/>
        <v>-6099781.4710976118</v>
      </c>
      <c r="S318">
        <f t="shared" si="967"/>
        <v>-60.997814710976115</v>
      </c>
      <c r="T318">
        <f t="shared" si="968"/>
        <v>-6.0997814710976116E-2</v>
      </c>
    </row>
    <row r="319" spans="1:20" x14ac:dyDescent="0.25">
      <c r="A319" s="5">
        <v>44274</v>
      </c>
      <c r="B319">
        <v>1.5399</v>
      </c>
      <c r="C319">
        <v>1.569</v>
      </c>
      <c r="D319">
        <v>1.514</v>
      </c>
      <c r="E319">
        <v>1.5224</v>
      </c>
      <c r="F319">
        <v>1793967.4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-0.69454545454545558</v>
      </c>
      <c r="Q319">
        <f t="shared" si="965"/>
        <v>-1245991.9032727291</v>
      </c>
      <c r="R319">
        <f t="shared" si="966"/>
        <v>-4504854.0210976144</v>
      </c>
      <c r="S319">
        <f t="shared" si="967"/>
        <v>-45.048540210976142</v>
      </c>
      <c r="T319">
        <f t="shared" si="968"/>
        <v>-4.5048540210976144E-2</v>
      </c>
    </row>
    <row r="320" spans="1:20" x14ac:dyDescent="0.25">
      <c r="A320" s="5">
        <v>44273</v>
      </c>
      <c r="B320">
        <v>1.5585</v>
      </c>
      <c r="C320">
        <v>1.5793999999999999</v>
      </c>
      <c r="D320">
        <v>1.5303</v>
      </c>
      <c r="E320">
        <v>1.5399</v>
      </c>
      <c r="F320">
        <v>1851296.76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-0.60896130346231903</v>
      </c>
      <c r="Q320">
        <f t="shared" si="965"/>
        <v>-1127368.0880651679</v>
      </c>
      <c r="R320">
        <f t="shared" si="966"/>
        <v>-3258862.1178248851</v>
      </c>
      <c r="S320">
        <f t="shared" si="967"/>
        <v>-32.58862117824885</v>
      </c>
      <c r="T320">
        <f t="shared" si="968"/>
        <v>-3.2588621178248851E-2</v>
      </c>
    </row>
    <row r="321" spans="1:20" x14ac:dyDescent="0.25">
      <c r="A321" s="5">
        <v>44272</v>
      </c>
      <c r="B321">
        <v>1.5940000000000001</v>
      </c>
      <c r="C321">
        <v>1.6076999999999999</v>
      </c>
      <c r="D321">
        <v>1.5301</v>
      </c>
      <c r="E321">
        <v>1.56</v>
      </c>
      <c r="F321">
        <v>2603044.9300000002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-0.22938144329896701</v>
      </c>
      <c r="Q321">
        <f t="shared" si="965"/>
        <v>-597090.20301545854</v>
      </c>
      <c r="R321">
        <f t="shared" si="966"/>
        <v>-2131494.0297597172</v>
      </c>
      <c r="S321">
        <f t="shared" si="967"/>
        <v>-21.314940297597172</v>
      </c>
      <c r="T321">
        <f t="shared" si="968"/>
        <v>-2.131494029759717E-2</v>
      </c>
    </row>
    <row r="322" spans="1:20" x14ac:dyDescent="0.25">
      <c r="A322" s="5">
        <v>44271</v>
      </c>
      <c r="B322">
        <v>1.64</v>
      </c>
      <c r="C322">
        <v>1.64</v>
      </c>
      <c r="D322">
        <v>1.5802</v>
      </c>
      <c r="E322">
        <v>1.5936999999999999</v>
      </c>
      <c r="F322">
        <v>3423329.84</v>
      </c>
      <c r="G322">
        <v>0</v>
      </c>
      <c r="L322" t="s">
        <v>7</v>
      </c>
      <c r="M322" t="s">
        <v>8</v>
      </c>
      <c r="N322" t="s">
        <v>8</v>
      </c>
      <c r="P322">
        <f t="shared" si="964"/>
        <v>-0.54849498327759605</v>
      </c>
      <c r="Q322">
        <f t="shared" si="965"/>
        <v>-1877679.2433444955</v>
      </c>
      <c r="R322">
        <f t="shared" si="966"/>
        <v>-1534403.8267442589</v>
      </c>
      <c r="S322">
        <f t="shared" si="967"/>
        <v>-15.344038267442588</v>
      </c>
      <c r="T322">
        <f t="shared" si="968"/>
        <v>-1.5344038267442588E-2</v>
      </c>
    </row>
    <row r="323" spans="1:20" x14ac:dyDescent="0.25">
      <c r="A323" s="5">
        <v>44270</v>
      </c>
      <c r="B323">
        <v>1.7465999999999999</v>
      </c>
      <c r="C323">
        <v>1.776</v>
      </c>
      <c r="D323">
        <v>1.5980000000000001</v>
      </c>
      <c r="E323">
        <v>1.6398999999999999</v>
      </c>
      <c r="F323">
        <v>8109212.1200000001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-0.5292134831460692</v>
      </c>
      <c r="Q323">
        <f t="shared" si="965"/>
        <v>-4291504.3915955201</v>
      </c>
      <c r="R323">
        <f t="shared" si="966"/>
        <v>343275.41660023667</v>
      </c>
      <c r="S323">
        <f t="shared" si="967"/>
        <v>3.4327541660023666</v>
      </c>
      <c r="T323">
        <f t="shared" si="968"/>
        <v>3.4327541660023665E-3</v>
      </c>
    </row>
    <row r="324" spans="1:20" x14ac:dyDescent="0.25">
      <c r="A324" s="5">
        <v>44269</v>
      </c>
      <c r="B324">
        <v>1.5785</v>
      </c>
      <c r="C324">
        <v>1.8585</v>
      </c>
      <c r="D324">
        <v>1.5512999999999999</v>
      </c>
      <c r="E324">
        <v>1.7411000000000001</v>
      </c>
      <c r="F324">
        <v>13421307.369999999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0.23567708333333401</v>
      </c>
      <c r="Q324">
        <f t="shared" si="965"/>
        <v>3163094.5754817799</v>
      </c>
      <c r="R324">
        <f t="shared" si="966"/>
        <v>4634779.8081957567</v>
      </c>
      <c r="S324">
        <f t="shared" si="967"/>
        <v>46.347798081957571</v>
      </c>
      <c r="T324">
        <f t="shared" si="968"/>
        <v>4.6347798081957568E-2</v>
      </c>
    </row>
    <row r="325" spans="1:20" x14ac:dyDescent="0.25">
      <c r="A325" s="5">
        <v>44268</v>
      </c>
      <c r="B325">
        <v>1.4358</v>
      </c>
      <c r="C325">
        <v>1.71</v>
      </c>
      <c r="D325">
        <v>1.4001999999999999</v>
      </c>
      <c r="E325">
        <v>1.5787</v>
      </c>
      <c r="F325">
        <v>6370770.5999999996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0.1523563589412528</v>
      </c>
      <c r="Q325">
        <f t="shared" si="965"/>
        <v>970627.41226598038</v>
      </c>
      <c r="R325">
        <f t="shared" si="966"/>
        <v>1471685.2327139766</v>
      </c>
      <c r="S325">
        <f t="shared" si="967"/>
        <v>14.716852327139767</v>
      </c>
      <c r="T325">
        <f t="shared" si="968"/>
        <v>1.4716852327139767E-2</v>
      </c>
    </row>
    <row r="326" spans="1:20" x14ac:dyDescent="0.25">
      <c r="A326" s="5">
        <v>44267</v>
      </c>
      <c r="B326">
        <v>1.3702000000000001</v>
      </c>
      <c r="C326">
        <v>1.4794</v>
      </c>
      <c r="D326">
        <v>1.3584000000000001</v>
      </c>
      <c r="E326">
        <v>1.4358</v>
      </c>
      <c r="F326">
        <v>3662399.63</v>
      </c>
      <c r="G326">
        <v>0</v>
      </c>
      <c r="L326" t="s">
        <v>8</v>
      </c>
      <c r="M326" t="s">
        <v>7</v>
      </c>
      <c r="N326" t="s">
        <v>8</v>
      </c>
      <c r="P326">
        <f t="shared" ref="P326:P389" si="969">IF(C326=D326,0,((E326-D326)-(C326-E326))/(C326-D326))</f>
        <v>0.27933884297520523</v>
      </c>
      <c r="Q326">
        <f t="shared" ref="Q326:Q389" si="970">F326*P326</f>
        <v>1023050.4751570197</v>
      </c>
      <c r="R326">
        <f t="shared" ref="R326:R389" si="971">R327+Q326</f>
        <v>501057.82044799626</v>
      </c>
      <c r="S326">
        <f t="shared" ref="S326:S389" si="972">R326/100000</f>
        <v>5.0105782044799625</v>
      </c>
      <c r="T326">
        <f t="shared" ref="T326:T389" si="973">S326/1000</f>
        <v>5.0105782044799624E-3</v>
      </c>
    </row>
    <row r="327" spans="1:20" x14ac:dyDescent="0.25">
      <c r="A327" s="5">
        <v>44266</v>
      </c>
      <c r="B327">
        <v>1.4025000000000001</v>
      </c>
      <c r="C327">
        <v>1.4260999999999999</v>
      </c>
      <c r="D327">
        <v>1.3501000000000001</v>
      </c>
      <c r="E327">
        <v>1.3702000000000001</v>
      </c>
      <c r="F327">
        <v>3105289.78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-0.47105263157894611</v>
      </c>
      <c r="Q327">
        <f t="shared" si="970"/>
        <v>-1462754.9226842066</v>
      </c>
      <c r="R327">
        <f t="shared" si="971"/>
        <v>-521992.65470902342</v>
      </c>
      <c r="S327">
        <f t="shared" si="972"/>
        <v>-5.2199265470902345</v>
      </c>
      <c r="T327">
        <f t="shared" si="973"/>
        <v>-5.2199265470902348E-3</v>
      </c>
    </row>
    <row r="328" spans="1:20" x14ac:dyDescent="0.25">
      <c r="A328" s="5">
        <v>44265</v>
      </c>
      <c r="B328">
        <v>1.4762</v>
      </c>
      <c r="C328">
        <v>1.4873000000000001</v>
      </c>
      <c r="D328">
        <v>1.4025000000000001</v>
      </c>
      <c r="E328">
        <v>1.403</v>
      </c>
      <c r="F328">
        <v>3506606.76</v>
      </c>
      <c r="G328">
        <v>0</v>
      </c>
      <c r="L328" t="s">
        <v>8</v>
      </c>
      <c r="M328" t="s">
        <v>7</v>
      </c>
      <c r="N328" t="s">
        <v>8</v>
      </c>
      <c r="P328">
        <f t="shared" si="969"/>
        <v>-0.98820754716981263</v>
      </c>
      <c r="Q328">
        <f t="shared" si="970"/>
        <v>-3465255.2651886838</v>
      </c>
      <c r="R328">
        <f t="shared" si="971"/>
        <v>940762.2679751832</v>
      </c>
      <c r="S328">
        <f t="shared" si="972"/>
        <v>9.4076226797518316</v>
      </c>
      <c r="T328">
        <f t="shared" si="973"/>
        <v>9.4076226797518321E-3</v>
      </c>
    </row>
    <row r="329" spans="1:20" x14ac:dyDescent="0.25">
      <c r="A329" s="5">
        <v>44264</v>
      </c>
      <c r="B329">
        <v>1.4278</v>
      </c>
      <c r="C329">
        <v>1.5049999999999999</v>
      </c>
      <c r="D329">
        <v>1.4206000000000001</v>
      </c>
      <c r="E329">
        <v>1.4762999999999999</v>
      </c>
      <c r="F329">
        <v>4969448.4000000004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0.31990521327014187</v>
      </c>
      <c r="Q329">
        <f t="shared" si="970"/>
        <v>1589752.4502369654</v>
      </c>
      <c r="R329">
        <f t="shared" si="971"/>
        <v>4406017.533163867</v>
      </c>
      <c r="S329">
        <f t="shared" si="972"/>
        <v>44.060175331638668</v>
      </c>
      <c r="T329">
        <f t="shared" si="973"/>
        <v>4.4060175331638668E-2</v>
      </c>
    </row>
    <row r="330" spans="1:20" x14ac:dyDescent="0.25">
      <c r="A330" s="5">
        <v>44263</v>
      </c>
      <c r="B330">
        <v>1.4332</v>
      </c>
      <c r="C330">
        <v>1.47</v>
      </c>
      <c r="D330">
        <v>1.4005000000000001</v>
      </c>
      <c r="E330">
        <v>1.425</v>
      </c>
      <c r="F330">
        <v>3392298.92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-0.2949640287769783</v>
      </c>
      <c r="Q330">
        <f t="shared" si="970"/>
        <v>-1000606.1562589924</v>
      </c>
      <c r="R330">
        <f t="shared" si="971"/>
        <v>2816265.0829269015</v>
      </c>
      <c r="S330">
        <f t="shared" si="972"/>
        <v>28.162650829269015</v>
      </c>
      <c r="T330">
        <f t="shared" si="973"/>
        <v>2.8162650829269015E-2</v>
      </c>
    </row>
    <row r="331" spans="1:20" x14ac:dyDescent="0.25">
      <c r="A331" s="5">
        <v>44262</v>
      </c>
      <c r="B331">
        <v>1.4577</v>
      </c>
      <c r="C331">
        <v>1.486</v>
      </c>
      <c r="D331">
        <v>1.4</v>
      </c>
      <c r="E331">
        <v>1.43</v>
      </c>
      <c r="F331">
        <v>3327088.97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-0.30232558139534882</v>
      </c>
      <c r="Q331">
        <f t="shared" si="970"/>
        <v>-1005864.1072093024</v>
      </c>
      <c r="R331">
        <f t="shared" si="971"/>
        <v>3816871.2391858939</v>
      </c>
      <c r="S331">
        <f t="shared" si="972"/>
        <v>38.168712391858939</v>
      </c>
      <c r="T331">
        <f t="shared" si="973"/>
        <v>3.8168712391858942E-2</v>
      </c>
    </row>
    <row r="332" spans="1:20" x14ac:dyDescent="0.25">
      <c r="A332" s="5">
        <v>44261</v>
      </c>
      <c r="B332">
        <v>1.5725</v>
      </c>
      <c r="C332">
        <v>1.5727</v>
      </c>
      <c r="D332">
        <v>1.4346000000000001</v>
      </c>
      <c r="E332">
        <v>1.4598</v>
      </c>
      <c r="F332">
        <v>3998537.06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-0.63504706734250671</v>
      </c>
      <c r="Q332">
        <f t="shared" si="970"/>
        <v>-2539259.233613329</v>
      </c>
      <c r="R332">
        <f t="shared" si="971"/>
        <v>4822735.3463951964</v>
      </c>
      <c r="S332">
        <f t="shared" si="972"/>
        <v>48.227353463951964</v>
      </c>
      <c r="T332">
        <f t="shared" si="973"/>
        <v>4.8227353463951961E-2</v>
      </c>
    </row>
    <row r="333" spans="1:20" x14ac:dyDescent="0.25">
      <c r="A333" s="5">
        <v>44260</v>
      </c>
      <c r="B333">
        <v>1.6298999999999999</v>
      </c>
      <c r="C333">
        <v>1.6459999999999999</v>
      </c>
      <c r="D333">
        <v>1.5507</v>
      </c>
      <c r="E333">
        <v>1.5726</v>
      </c>
      <c r="F333">
        <v>3196004.44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-0.54039874081846706</v>
      </c>
      <c r="Q333">
        <f t="shared" si="970"/>
        <v>-1727116.7750262299</v>
      </c>
      <c r="R333">
        <f t="shared" si="971"/>
        <v>7361994.5800085254</v>
      </c>
      <c r="S333">
        <f t="shared" si="972"/>
        <v>73.619945800085247</v>
      </c>
      <c r="T333">
        <f t="shared" si="973"/>
        <v>7.3619945800085254E-2</v>
      </c>
    </row>
    <row r="334" spans="1:20" x14ac:dyDescent="0.25">
      <c r="A334" s="5">
        <v>44259</v>
      </c>
      <c r="B334">
        <v>1.6091</v>
      </c>
      <c r="C334">
        <v>1.6884999999999999</v>
      </c>
      <c r="D334">
        <v>1.5527</v>
      </c>
      <c r="E334">
        <v>1.6298999999999999</v>
      </c>
      <c r="F334">
        <v>6496125.25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0.13696612665684801</v>
      </c>
      <c r="Q334">
        <f t="shared" si="970"/>
        <v>889749.11377024848</v>
      </c>
      <c r="R334">
        <f t="shared" si="971"/>
        <v>9089111.3550347555</v>
      </c>
      <c r="S334">
        <f t="shared" si="972"/>
        <v>90.891113550347555</v>
      </c>
      <c r="T334">
        <f t="shared" si="973"/>
        <v>9.0891113550347555E-2</v>
      </c>
    </row>
    <row r="335" spans="1:20" x14ac:dyDescent="0.25">
      <c r="A335" s="5">
        <v>44258</v>
      </c>
      <c r="B335">
        <v>1.6331</v>
      </c>
      <c r="C335">
        <v>1.7197</v>
      </c>
      <c r="D335">
        <v>1.5495000000000001</v>
      </c>
      <c r="E335">
        <v>1.6093999999999999</v>
      </c>
      <c r="F335">
        <v>6456854.5800000001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-0.29612220916568888</v>
      </c>
      <c r="Q335">
        <f t="shared" si="970"/>
        <v>-1912018.0424911962</v>
      </c>
      <c r="R335">
        <f t="shared" si="971"/>
        <v>8199362.2412645072</v>
      </c>
      <c r="S335">
        <f t="shared" si="972"/>
        <v>81.993622412645067</v>
      </c>
      <c r="T335">
        <f t="shared" si="973"/>
        <v>8.1993622412645073E-2</v>
      </c>
    </row>
    <row r="336" spans="1:20" x14ac:dyDescent="0.25">
      <c r="A336" s="5">
        <v>44257</v>
      </c>
      <c r="B336">
        <v>1.5682</v>
      </c>
      <c r="C336">
        <v>1.77</v>
      </c>
      <c r="D336">
        <v>1.5549999999999999</v>
      </c>
      <c r="E336">
        <v>1.6332</v>
      </c>
      <c r="F336">
        <v>11748712.119999999</v>
      </c>
      <c r="G336">
        <v>0</v>
      </c>
      <c r="L336" t="s">
        <v>7</v>
      </c>
      <c r="M336" t="s">
        <v>8</v>
      </c>
      <c r="N336" t="s">
        <v>8</v>
      </c>
      <c r="P336">
        <f t="shared" si="969"/>
        <v>-0.27255813953488356</v>
      </c>
      <c r="Q336">
        <f t="shared" si="970"/>
        <v>-3202207.1173581374</v>
      </c>
      <c r="R336">
        <f t="shared" si="971"/>
        <v>10111380.283755703</v>
      </c>
      <c r="S336">
        <f t="shared" si="972"/>
        <v>101.11380283755703</v>
      </c>
      <c r="T336">
        <f t="shared" si="973"/>
        <v>0.10111380283755703</v>
      </c>
    </row>
    <row r="337" spans="1:20" x14ac:dyDescent="0.25">
      <c r="A337" s="5">
        <v>44256</v>
      </c>
      <c r="B337">
        <v>1.4281999999999999</v>
      </c>
      <c r="C337">
        <v>1.77</v>
      </c>
      <c r="D337">
        <v>1.4120999999999999</v>
      </c>
      <c r="E337">
        <v>1.5669</v>
      </c>
      <c r="F337">
        <v>5677761.4800000004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-0.13495389773679797</v>
      </c>
      <c r="Q337">
        <f t="shared" si="970"/>
        <v>-766236.04214585072</v>
      </c>
      <c r="R337">
        <f t="shared" si="971"/>
        <v>13313587.40111384</v>
      </c>
      <c r="S337">
        <f t="shared" si="972"/>
        <v>133.13587401113841</v>
      </c>
      <c r="T337">
        <f t="shared" si="973"/>
        <v>0.13313587401113841</v>
      </c>
    </row>
    <row r="338" spans="1:20" x14ac:dyDescent="0.25">
      <c r="A338" s="5">
        <v>44255</v>
      </c>
      <c r="B338">
        <v>1.4380999999999999</v>
      </c>
      <c r="C338">
        <v>1.46</v>
      </c>
      <c r="D338">
        <v>1.365</v>
      </c>
      <c r="E338">
        <v>1.4280999999999999</v>
      </c>
      <c r="F338">
        <v>3434425.51</v>
      </c>
      <c r="G338">
        <v>0</v>
      </c>
      <c r="L338" t="s">
        <v>7</v>
      </c>
      <c r="M338" t="s">
        <v>8</v>
      </c>
      <c r="N338" t="s">
        <v>8</v>
      </c>
      <c r="P338">
        <f t="shared" si="969"/>
        <v>0.32842105263157795</v>
      </c>
      <c r="Q338">
        <f t="shared" si="970"/>
        <v>1127937.6411789439</v>
      </c>
      <c r="R338">
        <f t="shared" si="971"/>
        <v>14079823.44325969</v>
      </c>
      <c r="S338">
        <f t="shared" si="972"/>
        <v>140.7982344325969</v>
      </c>
      <c r="T338">
        <f t="shared" si="973"/>
        <v>0.1407982344325969</v>
      </c>
    </row>
    <row r="339" spans="1:20" x14ac:dyDescent="0.25">
      <c r="A339" s="5">
        <v>44254</v>
      </c>
      <c r="B339">
        <v>1.4419999999999999</v>
      </c>
      <c r="C339">
        <v>1.4772000000000001</v>
      </c>
      <c r="D339">
        <v>1.383</v>
      </c>
      <c r="E339">
        <v>1.4401999999999999</v>
      </c>
      <c r="F339">
        <v>3332528.96</v>
      </c>
      <c r="G339">
        <v>0</v>
      </c>
      <c r="L339" t="s">
        <v>7</v>
      </c>
      <c r="M339" t="s">
        <v>8</v>
      </c>
      <c r="N339" t="s">
        <v>8</v>
      </c>
      <c r="P339">
        <f t="shared" si="969"/>
        <v>0.2144373673036068</v>
      </c>
      <c r="Q339">
        <f t="shared" si="970"/>
        <v>714618.73664542672</v>
      </c>
      <c r="R339">
        <f t="shared" si="971"/>
        <v>12951885.802080747</v>
      </c>
      <c r="S339">
        <f t="shared" si="972"/>
        <v>129.51885802080747</v>
      </c>
      <c r="T339">
        <f t="shared" si="973"/>
        <v>0.12951885802080748</v>
      </c>
    </row>
    <row r="340" spans="1:20" x14ac:dyDescent="0.25">
      <c r="A340" s="5">
        <v>44253</v>
      </c>
      <c r="B340">
        <v>1.4105000000000001</v>
      </c>
      <c r="C340">
        <v>1.5751999999999999</v>
      </c>
      <c r="D340">
        <v>1.3472999999999999</v>
      </c>
      <c r="E340">
        <v>1.4449000000000001</v>
      </c>
      <c r="F340">
        <v>5279633.2699999996</v>
      </c>
      <c r="G340">
        <v>0</v>
      </c>
      <c r="L340" t="s">
        <v>8</v>
      </c>
      <c r="M340" t="s">
        <v>8</v>
      </c>
      <c r="N340" t="s">
        <v>8</v>
      </c>
      <c r="P340">
        <f t="shared" si="969"/>
        <v>-0.1434839842035969</v>
      </c>
      <c r="Q340">
        <f t="shared" si="970"/>
        <v>-757542.81671346456</v>
      </c>
      <c r="R340">
        <f t="shared" si="971"/>
        <v>12237267.06543532</v>
      </c>
      <c r="S340">
        <f t="shared" si="972"/>
        <v>122.3726706543532</v>
      </c>
      <c r="T340">
        <f t="shared" si="973"/>
        <v>0.1223726706543532</v>
      </c>
    </row>
    <row r="341" spans="1:20" x14ac:dyDescent="0.25">
      <c r="A341" s="5">
        <v>44252</v>
      </c>
      <c r="B341">
        <v>1.3734</v>
      </c>
      <c r="C341">
        <v>1.4764999999999999</v>
      </c>
      <c r="D341">
        <v>1.3310999999999999</v>
      </c>
      <c r="E341">
        <v>1.4106000000000001</v>
      </c>
      <c r="F341">
        <v>6578585.8799999999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9.3535075653371949E-2</v>
      </c>
      <c r="Q341">
        <f t="shared" si="970"/>
        <v>615328.52797800442</v>
      </c>
      <c r="R341">
        <f t="shared" si="971"/>
        <v>12994809.882148786</v>
      </c>
      <c r="S341">
        <f t="shared" si="972"/>
        <v>129.94809882148786</v>
      </c>
      <c r="T341">
        <f t="shared" si="973"/>
        <v>0.12994809882148786</v>
      </c>
    </row>
    <row r="342" spans="1:20" x14ac:dyDescent="0.25">
      <c r="A342" s="5">
        <v>44251</v>
      </c>
      <c r="B342">
        <v>1.2044999999999999</v>
      </c>
      <c r="C342">
        <v>1.512</v>
      </c>
      <c r="D342">
        <v>1.18</v>
      </c>
      <c r="E342">
        <v>1.3701000000000001</v>
      </c>
      <c r="F342">
        <v>6385128.1799999997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0.14518072289156697</v>
      </c>
      <c r="Q342">
        <f t="shared" si="970"/>
        <v>926997.52492771531</v>
      </c>
      <c r="R342">
        <f t="shared" si="971"/>
        <v>12379481.354170781</v>
      </c>
      <c r="S342">
        <f t="shared" si="972"/>
        <v>123.79481354170781</v>
      </c>
      <c r="T342">
        <f t="shared" si="973"/>
        <v>0.12379481354170781</v>
      </c>
    </row>
    <row r="343" spans="1:20" x14ac:dyDescent="0.25">
      <c r="A343" s="5">
        <v>44250</v>
      </c>
      <c r="B343">
        <v>1.2636000000000001</v>
      </c>
      <c r="C343">
        <v>1.367</v>
      </c>
      <c r="D343">
        <v>1.0323</v>
      </c>
      <c r="E343">
        <v>1.2044999999999999</v>
      </c>
      <c r="F343">
        <v>6163374.3499999996</v>
      </c>
      <c r="G343">
        <v>0</v>
      </c>
      <c r="L343" t="s">
        <v>8</v>
      </c>
      <c r="M343" t="s">
        <v>8</v>
      </c>
      <c r="N343" t="s">
        <v>8</v>
      </c>
      <c r="P343">
        <f t="shared" si="969"/>
        <v>2.8981177173587749E-2</v>
      </c>
      <c r="Q343">
        <f t="shared" si="970"/>
        <v>178621.84402449621</v>
      </c>
      <c r="R343">
        <f t="shared" si="971"/>
        <v>11452483.829243066</v>
      </c>
      <c r="S343">
        <f t="shared" si="972"/>
        <v>114.52483829243066</v>
      </c>
      <c r="T343">
        <f t="shared" si="973"/>
        <v>0.11452483829243065</v>
      </c>
    </row>
    <row r="344" spans="1:20" x14ac:dyDescent="0.25">
      <c r="A344" s="5">
        <v>44249</v>
      </c>
      <c r="B344">
        <v>1.3019000000000001</v>
      </c>
      <c r="C344">
        <v>1.3389</v>
      </c>
      <c r="D344">
        <v>0.95</v>
      </c>
      <c r="E344">
        <v>1.2636000000000001</v>
      </c>
      <c r="F344">
        <v>5124859.24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0.61275392131653428</v>
      </c>
      <c r="Q344">
        <f t="shared" si="970"/>
        <v>3140277.5955052739</v>
      </c>
      <c r="R344">
        <f t="shared" si="971"/>
        <v>11273861.98521857</v>
      </c>
      <c r="S344">
        <f t="shared" si="972"/>
        <v>112.73861985218569</v>
      </c>
      <c r="T344">
        <f t="shared" si="973"/>
        <v>0.1127386198521857</v>
      </c>
    </row>
    <row r="345" spans="1:20" x14ac:dyDescent="0.25">
      <c r="A345" s="5">
        <v>44248</v>
      </c>
      <c r="B345">
        <v>1.2776000000000001</v>
      </c>
      <c r="C345">
        <v>1.3574999999999999</v>
      </c>
      <c r="D345">
        <v>1.2605</v>
      </c>
      <c r="E345">
        <v>1.302</v>
      </c>
      <c r="F345">
        <v>2427243.2000000002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-0.14432989690721437</v>
      </c>
      <c r="Q345">
        <f t="shared" si="970"/>
        <v>-350323.76082473714</v>
      </c>
      <c r="R345">
        <f t="shared" si="971"/>
        <v>8133584.3897132957</v>
      </c>
      <c r="S345">
        <f t="shared" si="972"/>
        <v>81.33584389713296</v>
      </c>
      <c r="T345">
        <f t="shared" si="973"/>
        <v>8.1335843897132956E-2</v>
      </c>
    </row>
    <row r="346" spans="1:20" x14ac:dyDescent="0.25">
      <c r="A346" s="5">
        <v>44247</v>
      </c>
      <c r="B346">
        <v>1.2144999999999999</v>
      </c>
      <c r="C346">
        <v>1.45</v>
      </c>
      <c r="D346">
        <v>1.1989000000000001</v>
      </c>
      <c r="E346">
        <v>1.278</v>
      </c>
      <c r="F346">
        <v>5327206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-0.36997212266029483</v>
      </c>
      <c r="Q346">
        <f t="shared" si="970"/>
        <v>-1970917.7116686585</v>
      </c>
      <c r="R346">
        <f t="shared" si="971"/>
        <v>8483908.1505380329</v>
      </c>
      <c r="S346">
        <f t="shared" si="972"/>
        <v>84.839081505380335</v>
      </c>
      <c r="T346">
        <f t="shared" si="973"/>
        <v>8.4839081505380332E-2</v>
      </c>
    </row>
    <row r="347" spans="1:20" x14ac:dyDescent="0.25">
      <c r="A347" s="5">
        <v>44246</v>
      </c>
      <c r="B347">
        <v>1.2472000000000001</v>
      </c>
      <c r="C347">
        <v>1.2797000000000001</v>
      </c>
      <c r="D347">
        <v>1.1669</v>
      </c>
      <c r="E347">
        <v>1.2192000000000001</v>
      </c>
      <c r="F347">
        <v>2937263.65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-7.2695035460992763E-2</v>
      </c>
      <c r="Q347">
        <f t="shared" si="970"/>
        <v>-213524.48519503503</v>
      </c>
      <c r="R347">
        <f t="shared" si="971"/>
        <v>10454825.862206692</v>
      </c>
      <c r="S347">
        <f t="shared" si="972"/>
        <v>104.54825862206692</v>
      </c>
      <c r="T347">
        <f t="shared" si="973"/>
        <v>0.10454825862206693</v>
      </c>
    </row>
    <row r="348" spans="1:20" x14ac:dyDescent="0.25">
      <c r="A348" s="5">
        <v>44245</v>
      </c>
      <c r="B348">
        <v>1.1908000000000001</v>
      </c>
      <c r="C348">
        <v>1.29</v>
      </c>
      <c r="D348">
        <v>1.1609</v>
      </c>
      <c r="E348">
        <v>1.2472000000000001</v>
      </c>
      <c r="F348">
        <v>3737858.86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0.33694810224632143</v>
      </c>
      <c r="Q348">
        <f t="shared" si="970"/>
        <v>1259464.4493415984</v>
      </c>
      <c r="R348">
        <f t="shared" si="971"/>
        <v>10668350.347401727</v>
      </c>
      <c r="S348">
        <f t="shared" si="972"/>
        <v>106.68350347401727</v>
      </c>
      <c r="T348">
        <f t="shared" si="973"/>
        <v>0.10668350347401727</v>
      </c>
    </row>
    <row r="349" spans="1:20" x14ac:dyDescent="0.25">
      <c r="A349" s="5">
        <v>44244</v>
      </c>
      <c r="B349">
        <v>1.1972</v>
      </c>
      <c r="C349">
        <v>1.248</v>
      </c>
      <c r="D349">
        <v>1.1445000000000001</v>
      </c>
      <c r="E349">
        <v>1.1866000000000001</v>
      </c>
      <c r="F349">
        <v>3087818.14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-0.18647342995168972</v>
      </c>
      <c r="Q349">
        <f t="shared" si="970"/>
        <v>-575796.03963284683</v>
      </c>
      <c r="R349">
        <f t="shared" si="971"/>
        <v>9408885.8980601281</v>
      </c>
      <c r="S349">
        <f t="shared" si="972"/>
        <v>94.088858980601287</v>
      </c>
      <c r="T349">
        <f t="shared" si="973"/>
        <v>9.4088858980601292E-2</v>
      </c>
    </row>
    <row r="350" spans="1:20" x14ac:dyDescent="0.25">
      <c r="A350" s="5">
        <v>44243</v>
      </c>
      <c r="B350">
        <v>1.1698999999999999</v>
      </c>
      <c r="C350">
        <v>1.25</v>
      </c>
      <c r="D350">
        <v>1.1299999999999999</v>
      </c>
      <c r="E350">
        <v>1.2</v>
      </c>
      <c r="F350">
        <v>3796041.63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0.16666666666666666</v>
      </c>
      <c r="Q350">
        <f t="shared" si="970"/>
        <v>632673.60499999998</v>
      </c>
      <c r="R350">
        <f t="shared" si="971"/>
        <v>9984681.9376929756</v>
      </c>
      <c r="S350">
        <f t="shared" si="972"/>
        <v>99.846819376929759</v>
      </c>
      <c r="T350">
        <f t="shared" si="973"/>
        <v>9.9846819376929755E-2</v>
      </c>
    </row>
    <row r="351" spans="1:20" x14ac:dyDescent="0.25">
      <c r="A351" s="5">
        <v>44242</v>
      </c>
      <c r="B351">
        <v>1.2468999999999999</v>
      </c>
      <c r="C351">
        <v>1.2594000000000001</v>
      </c>
      <c r="D351">
        <v>0.99</v>
      </c>
      <c r="E351">
        <v>1.1698999999999999</v>
      </c>
      <c r="F351">
        <v>5433432.8099999996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0.33556050482553745</v>
      </c>
      <c r="Q351">
        <f t="shared" si="970"/>
        <v>1823245.4566592383</v>
      </c>
      <c r="R351">
        <f t="shared" si="971"/>
        <v>9352008.3326929752</v>
      </c>
      <c r="S351">
        <f t="shared" si="972"/>
        <v>93.52008332692975</v>
      </c>
      <c r="T351">
        <f t="shared" si="973"/>
        <v>9.3520083326929751E-2</v>
      </c>
    </row>
    <row r="352" spans="1:20" x14ac:dyDescent="0.25">
      <c r="A352" s="5">
        <v>44241</v>
      </c>
      <c r="B352">
        <v>1.0648</v>
      </c>
      <c r="C352">
        <v>1.3</v>
      </c>
      <c r="D352">
        <v>1.0509999999999999</v>
      </c>
      <c r="E352">
        <v>1.2470000000000001</v>
      </c>
      <c r="F352">
        <v>10196873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0.57429718875502078</v>
      </c>
      <c r="Q352">
        <f t="shared" si="970"/>
        <v>5856035.4979919754</v>
      </c>
      <c r="R352">
        <f t="shared" si="971"/>
        <v>7528762.8760337373</v>
      </c>
      <c r="S352">
        <f t="shared" si="972"/>
        <v>75.28762876033737</v>
      </c>
      <c r="T352">
        <f t="shared" si="973"/>
        <v>7.5287628760337372E-2</v>
      </c>
    </row>
    <row r="353" spans="1:20" x14ac:dyDescent="0.25">
      <c r="A353" s="5">
        <v>44240</v>
      </c>
      <c r="B353">
        <v>0.94310000000000005</v>
      </c>
      <c r="C353">
        <v>1.1000000000000001</v>
      </c>
      <c r="D353">
        <v>0.91359999999999997</v>
      </c>
      <c r="E353">
        <v>1.0648</v>
      </c>
      <c r="F353">
        <v>5625104.9100000001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0.62231759656652252</v>
      </c>
      <c r="Q353">
        <f t="shared" si="970"/>
        <v>3500601.7680257452</v>
      </c>
      <c r="R353">
        <f t="shared" si="971"/>
        <v>1672727.3780417622</v>
      </c>
      <c r="S353">
        <f t="shared" si="972"/>
        <v>16.727273780417622</v>
      </c>
      <c r="T353">
        <f t="shared" si="973"/>
        <v>1.6727273780417624E-2</v>
      </c>
    </row>
    <row r="354" spans="1:20" x14ac:dyDescent="0.25">
      <c r="A354" s="5">
        <v>44239</v>
      </c>
      <c r="B354">
        <v>0.9</v>
      </c>
      <c r="C354">
        <v>0.98</v>
      </c>
      <c r="D354">
        <v>0.85299999999999998</v>
      </c>
      <c r="E354">
        <v>0.94269999999999998</v>
      </c>
      <c r="F354">
        <v>2847980.95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0.41259842519685042</v>
      </c>
      <c r="Q354">
        <f t="shared" si="970"/>
        <v>1175072.45496063</v>
      </c>
      <c r="R354">
        <f t="shared" si="971"/>
        <v>-1827874.389983983</v>
      </c>
      <c r="S354">
        <f t="shared" si="972"/>
        <v>-18.278743899839831</v>
      </c>
      <c r="T354">
        <f t="shared" si="973"/>
        <v>-1.8278743899839831E-2</v>
      </c>
    </row>
    <row r="355" spans="1:20" x14ac:dyDescent="0.25">
      <c r="A355" s="5">
        <v>44238</v>
      </c>
      <c r="B355">
        <v>0.83509999999999995</v>
      </c>
      <c r="C355">
        <v>0.98440000000000005</v>
      </c>
      <c r="D355">
        <v>0.80089999999999995</v>
      </c>
      <c r="E355">
        <v>0.90310000000000001</v>
      </c>
      <c r="F355">
        <v>2528439.2400000002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0.11389645776566767</v>
      </c>
      <c r="Q355">
        <f t="shared" si="970"/>
        <v>287980.2731117169</v>
      </c>
      <c r="R355">
        <f t="shared" si="971"/>
        <v>-3002946.8449446131</v>
      </c>
      <c r="S355">
        <f t="shared" si="972"/>
        <v>-30.029468449446131</v>
      </c>
      <c r="T355">
        <f t="shared" si="973"/>
        <v>-3.002946844944613E-2</v>
      </c>
    </row>
    <row r="356" spans="1:20" x14ac:dyDescent="0.25">
      <c r="A356" s="5">
        <v>44237</v>
      </c>
      <c r="B356">
        <v>0.82430000000000003</v>
      </c>
      <c r="C356">
        <v>0.87980000000000003</v>
      </c>
      <c r="D356">
        <v>0.74</v>
      </c>
      <c r="E356">
        <v>0.8367</v>
      </c>
      <c r="F356">
        <v>2671404.27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0.38340486409155916</v>
      </c>
      <c r="Q356">
        <f t="shared" si="970"/>
        <v>1024229.3910729608</v>
      </c>
      <c r="R356">
        <f t="shared" si="971"/>
        <v>-3290927.1180563299</v>
      </c>
      <c r="S356">
        <f t="shared" si="972"/>
        <v>-32.909271180563302</v>
      </c>
      <c r="T356">
        <f t="shared" si="973"/>
        <v>-3.2909271180563304E-2</v>
      </c>
    </row>
    <row r="357" spans="1:20" x14ac:dyDescent="0.25">
      <c r="A357" s="5">
        <v>44236</v>
      </c>
      <c r="B357">
        <v>0.81599999999999995</v>
      </c>
      <c r="C357">
        <v>0.8347</v>
      </c>
      <c r="D357">
        <v>0.77</v>
      </c>
      <c r="E357">
        <v>0.82489999999999997</v>
      </c>
      <c r="F357">
        <v>1812882.44</v>
      </c>
      <c r="G357">
        <v>0</v>
      </c>
      <c r="L357" t="s">
        <v>7</v>
      </c>
      <c r="M357" t="s">
        <v>7</v>
      </c>
      <c r="N357" t="s">
        <v>8</v>
      </c>
      <c r="P357">
        <f t="shared" si="969"/>
        <v>0.69706336939721691</v>
      </c>
      <c r="Q357">
        <f t="shared" si="970"/>
        <v>1263693.9419474478</v>
      </c>
      <c r="R357">
        <f t="shared" si="971"/>
        <v>-4315156.5091292905</v>
      </c>
      <c r="S357">
        <f t="shared" si="972"/>
        <v>-43.151565091292902</v>
      </c>
      <c r="T357">
        <f t="shared" si="973"/>
        <v>-4.31515650912929E-2</v>
      </c>
    </row>
    <row r="358" spans="1:20" x14ac:dyDescent="0.25">
      <c r="A358" s="5">
        <v>44235</v>
      </c>
      <c r="B358">
        <v>0.8175</v>
      </c>
      <c r="C358">
        <v>0.85</v>
      </c>
      <c r="D358">
        <v>0.78</v>
      </c>
      <c r="E358">
        <v>0.80800000000000005</v>
      </c>
      <c r="F358">
        <v>1630908.66</v>
      </c>
      <c r="G358">
        <v>0</v>
      </c>
      <c r="L358" t="s">
        <v>7</v>
      </c>
      <c r="M358" t="s">
        <v>7</v>
      </c>
      <c r="N358" t="s">
        <v>8</v>
      </c>
      <c r="P358">
        <f t="shared" si="969"/>
        <v>-0.19999999999999873</v>
      </c>
      <c r="Q358">
        <f t="shared" si="970"/>
        <v>-326181.73199999792</v>
      </c>
      <c r="R358">
        <f t="shared" si="971"/>
        <v>-5578850.4510767385</v>
      </c>
      <c r="S358">
        <f t="shared" si="972"/>
        <v>-55.788504510767382</v>
      </c>
      <c r="T358">
        <f t="shared" si="973"/>
        <v>-5.5788504510767382E-2</v>
      </c>
    </row>
    <row r="359" spans="1:20" x14ac:dyDescent="0.25">
      <c r="A359" s="5">
        <v>44234</v>
      </c>
      <c r="B359">
        <v>0.75519999999999998</v>
      </c>
      <c r="C359">
        <v>0.92220000000000002</v>
      </c>
      <c r="D359">
        <v>0.70750000000000002</v>
      </c>
      <c r="E359">
        <v>0.81679999999999997</v>
      </c>
      <c r="F359">
        <v>2750265.8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1.816488122962228E-2</v>
      </c>
      <c r="Q359">
        <f t="shared" si="970"/>
        <v>49958.251606892103</v>
      </c>
      <c r="R359">
        <f t="shared" si="971"/>
        <v>-5252668.7190767406</v>
      </c>
      <c r="S359">
        <f t="shared" si="972"/>
        <v>-52.526687190767404</v>
      </c>
      <c r="T359">
        <f t="shared" si="973"/>
        <v>-5.2526687190767404E-2</v>
      </c>
    </row>
    <row r="360" spans="1:20" x14ac:dyDescent="0.25">
      <c r="A360" s="5">
        <v>44233</v>
      </c>
      <c r="B360">
        <v>0.73819999999999997</v>
      </c>
      <c r="C360">
        <v>0.76039999999999996</v>
      </c>
      <c r="D360">
        <v>0.67889999999999995</v>
      </c>
      <c r="E360">
        <v>0.75180000000000002</v>
      </c>
      <c r="F360">
        <v>1424281.5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0.78895705521472537</v>
      </c>
      <c r="Q360">
        <f t="shared" si="970"/>
        <v>1123696.9380368118</v>
      </c>
      <c r="R360">
        <f t="shared" si="971"/>
        <v>-5302626.9706836324</v>
      </c>
      <c r="S360">
        <f t="shared" si="972"/>
        <v>-53.026269706836324</v>
      </c>
      <c r="T360">
        <f t="shared" si="973"/>
        <v>-5.3026269706836326E-2</v>
      </c>
    </row>
    <row r="361" spans="1:20" x14ac:dyDescent="0.25">
      <c r="A361" s="5">
        <v>44232</v>
      </c>
      <c r="B361">
        <v>0.7006</v>
      </c>
      <c r="C361">
        <v>0.80989999999999995</v>
      </c>
      <c r="D361">
        <v>0.69330000000000003</v>
      </c>
      <c r="E361">
        <v>0.74760000000000004</v>
      </c>
      <c r="F361">
        <v>2558714.1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-6.8610634648369653E-2</v>
      </c>
      <c r="Q361">
        <f t="shared" si="970"/>
        <v>-175554.99828473199</v>
      </c>
      <c r="R361">
        <f t="shared" si="971"/>
        <v>-6426323.908720444</v>
      </c>
      <c r="S361">
        <f t="shared" si="972"/>
        <v>-64.26323908720444</v>
      </c>
      <c r="T361">
        <f t="shared" si="973"/>
        <v>-6.4263239087204438E-2</v>
      </c>
    </row>
    <row r="362" spans="1:20" x14ac:dyDescent="0.25">
      <c r="A362" s="5">
        <v>44231</v>
      </c>
      <c r="B362">
        <v>0.6784</v>
      </c>
      <c r="C362">
        <v>0.74</v>
      </c>
      <c r="D362">
        <v>0.66100000000000003</v>
      </c>
      <c r="E362">
        <v>0.70069999999999999</v>
      </c>
      <c r="F362">
        <v>1080246.6599999999</v>
      </c>
      <c r="G362">
        <v>0</v>
      </c>
      <c r="L362" t="s">
        <v>8</v>
      </c>
      <c r="M362" t="s">
        <v>7</v>
      </c>
      <c r="N362" t="s">
        <v>8</v>
      </c>
      <c r="P362">
        <f t="shared" si="969"/>
        <v>5.0632911392399513E-3</v>
      </c>
      <c r="Q362">
        <f t="shared" si="970"/>
        <v>5469.6033417715516</v>
      </c>
      <c r="R362">
        <f t="shared" si="971"/>
        <v>-6250768.910435712</v>
      </c>
      <c r="S362">
        <f t="shared" si="972"/>
        <v>-62.507689104357119</v>
      </c>
      <c r="T362">
        <f t="shared" si="973"/>
        <v>-6.2507689104357125E-2</v>
      </c>
    </row>
    <row r="363" spans="1:20" x14ac:dyDescent="0.25">
      <c r="A363" s="5">
        <v>44230</v>
      </c>
      <c r="B363">
        <v>0.65559999999999996</v>
      </c>
      <c r="C363">
        <v>0.72550000000000003</v>
      </c>
      <c r="D363">
        <v>0.65400000000000003</v>
      </c>
      <c r="E363">
        <v>0.67059999999999997</v>
      </c>
      <c r="F363">
        <v>833842.04</v>
      </c>
      <c r="G363">
        <v>0</v>
      </c>
      <c r="L363" t="s">
        <v>8</v>
      </c>
      <c r="M363" t="s">
        <v>7</v>
      </c>
      <c r="N363" t="s">
        <v>8</v>
      </c>
      <c r="P363">
        <f t="shared" si="969"/>
        <v>-0.53566433566433713</v>
      </c>
      <c r="Q363">
        <f t="shared" si="970"/>
        <v>-446659.44240559568</v>
      </c>
      <c r="R363">
        <f t="shared" si="971"/>
        <v>-6256238.5137774833</v>
      </c>
      <c r="S363">
        <f t="shared" si="972"/>
        <v>-62.562385137774832</v>
      </c>
      <c r="T363">
        <f t="shared" si="973"/>
        <v>-6.2562385137774831E-2</v>
      </c>
    </row>
    <row r="364" spans="1:20" x14ac:dyDescent="0.25">
      <c r="A364" s="5">
        <v>44229</v>
      </c>
      <c r="B364">
        <v>0.66539999999999999</v>
      </c>
      <c r="C364">
        <v>0.69889999999999997</v>
      </c>
      <c r="D364">
        <v>0.65</v>
      </c>
      <c r="E364">
        <v>0.66149999999999998</v>
      </c>
      <c r="F364">
        <v>947355.37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-0.52965235173824265</v>
      </c>
      <c r="Q364">
        <f t="shared" si="970"/>
        <v>-501768.999652353</v>
      </c>
      <c r="R364">
        <f t="shared" si="971"/>
        <v>-5809579.0713718878</v>
      </c>
      <c r="S364">
        <f t="shared" si="972"/>
        <v>-58.095790713718877</v>
      </c>
      <c r="T364">
        <f t="shared" si="973"/>
        <v>-5.8095790713718877E-2</v>
      </c>
    </row>
    <row r="365" spans="1:20" x14ac:dyDescent="0.25">
      <c r="A365" s="5">
        <v>44228</v>
      </c>
      <c r="B365">
        <v>0.66949999999999998</v>
      </c>
      <c r="C365">
        <v>0.68879999999999997</v>
      </c>
      <c r="D365">
        <v>0.63600000000000001</v>
      </c>
      <c r="E365">
        <v>0.67520000000000002</v>
      </c>
      <c r="F365">
        <v>638198.98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0.48484848484848653</v>
      </c>
      <c r="Q365">
        <f t="shared" si="970"/>
        <v>309429.80848484952</v>
      </c>
      <c r="R365">
        <f t="shared" si="971"/>
        <v>-5307810.0717195347</v>
      </c>
      <c r="S365">
        <f t="shared" si="972"/>
        <v>-53.078100717195348</v>
      </c>
      <c r="T365">
        <f t="shared" si="973"/>
        <v>-5.3078100717195348E-2</v>
      </c>
    </row>
    <row r="366" spans="1:20" x14ac:dyDescent="0.25">
      <c r="A366" s="5">
        <v>44227</v>
      </c>
      <c r="B366">
        <v>0.68130000000000002</v>
      </c>
      <c r="C366">
        <v>0.69979999999999998</v>
      </c>
      <c r="D366">
        <v>0.64500000000000002</v>
      </c>
      <c r="E366">
        <v>0.67249999999999999</v>
      </c>
      <c r="F366">
        <v>868818.65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3.6496350364959513E-3</v>
      </c>
      <c r="Q366">
        <f t="shared" si="970"/>
        <v>3170.8709854011131</v>
      </c>
      <c r="R366">
        <f t="shared" si="971"/>
        <v>-5617239.8802043842</v>
      </c>
      <c r="S366">
        <f t="shared" si="972"/>
        <v>-56.172398802043844</v>
      </c>
      <c r="T366">
        <f t="shared" si="973"/>
        <v>-5.6172398802043846E-2</v>
      </c>
    </row>
    <row r="367" spans="1:20" x14ac:dyDescent="0.25">
      <c r="A367" s="5">
        <v>44226</v>
      </c>
      <c r="B367">
        <v>0.68920000000000003</v>
      </c>
      <c r="C367">
        <v>0.69330000000000003</v>
      </c>
      <c r="D367">
        <v>0.65010000000000001</v>
      </c>
      <c r="E367">
        <v>0.68379999999999996</v>
      </c>
      <c r="F367">
        <v>991851.19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0.56018518518518234</v>
      </c>
      <c r="Q367">
        <f t="shared" si="970"/>
        <v>555620.3425462934</v>
      </c>
      <c r="R367">
        <f t="shared" si="971"/>
        <v>-5620410.7511897851</v>
      </c>
      <c r="S367">
        <f t="shared" si="972"/>
        <v>-56.204107511897853</v>
      </c>
      <c r="T367">
        <f t="shared" si="973"/>
        <v>-5.6204107511897854E-2</v>
      </c>
    </row>
    <row r="368" spans="1:20" x14ac:dyDescent="0.25">
      <c r="A368" s="5">
        <v>44225</v>
      </c>
      <c r="B368">
        <v>0.69220000000000004</v>
      </c>
      <c r="C368">
        <v>0.72409999999999997</v>
      </c>
      <c r="D368">
        <v>0.66</v>
      </c>
      <c r="E368">
        <v>0.69</v>
      </c>
      <c r="F368">
        <v>2008557.75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-6.3962558502341768E-2</v>
      </c>
      <c r="Q368">
        <f t="shared" si="970"/>
        <v>-128472.49258970695</v>
      </c>
      <c r="R368">
        <f t="shared" si="971"/>
        <v>-6176031.0937360786</v>
      </c>
      <c r="S368">
        <f t="shared" si="972"/>
        <v>-61.760310937360785</v>
      </c>
      <c r="T368">
        <f t="shared" si="973"/>
        <v>-6.1760310937360785E-2</v>
      </c>
    </row>
    <row r="369" spans="1:20" x14ac:dyDescent="0.25">
      <c r="A369" s="5">
        <v>44224</v>
      </c>
      <c r="B369">
        <v>0.62809999999999999</v>
      </c>
      <c r="C369">
        <v>0.88759999999999994</v>
      </c>
      <c r="D369">
        <v>0.62290000000000001</v>
      </c>
      <c r="E369">
        <v>0.69099999999999995</v>
      </c>
      <c r="F369">
        <v>6066251.6600000001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-0.48545523233849674</v>
      </c>
      <c r="Q369">
        <f t="shared" si="970"/>
        <v>-2944893.6090290914</v>
      </c>
      <c r="R369">
        <f t="shared" si="971"/>
        <v>-6047558.601146372</v>
      </c>
      <c r="S369">
        <f t="shared" si="972"/>
        <v>-60.475586011463719</v>
      </c>
      <c r="T369">
        <f t="shared" si="973"/>
        <v>-6.0475586011463717E-2</v>
      </c>
    </row>
    <row r="370" spans="1:20" x14ac:dyDescent="0.25">
      <c r="A370" s="5">
        <v>44223</v>
      </c>
      <c r="B370">
        <v>0.6179</v>
      </c>
      <c r="C370">
        <v>0.65990000000000004</v>
      </c>
      <c r="D370">
        <v>0.59499999999999997</v>
      </c>
      <c r="E370">
        <v>0.62339999999999995</v>
      </c>
      <c r="F370">
        <v>1327404.53</v>
      </c>
      <c r="G370">
        <v>0</v>
      </c>
      <c r="L370" t="s">
        <v>7</v>
      </c>
      <c r="M370" t="s">
        <v>8</v>
      </c>
      <c r="N370" t="s">
        <v>8</v>
      </c>
      <c r="P370">
        <f t="shared" si="969"/>
        <v>-0.12480739599383819</v>
      </c>
      <c r="Q370">
        <f t="shared" si="970"/>
        <v>-165669.90281972467</v>
      </c>
      <c r="R370">
        <f t="shared" si="971"/>
        <v>-3102664.9921172811</v>
      </c>
      <c r="S370">
        <f t="shared" si="972"/>
        <v>-31.026649921172812</v>
      </c>
      <c r="T370">
        <f t="shared" si="973"/>
        <v>-3.1026649921172812E-2</v>
      </c>
    </row>
    <row r="371" spans="1:20" x14ac:dyDescent="0.25">
      <c r="A371" s="5">
        <v>44222</v>
      </c>
      <c r="B371">
        <v>0.58530000000000004</v>
      </c>
      <c r="C371">
        <v>0.68</v>
      </c>
      <c r="D371">
        <v>0.58530000000000004</v>
      </c>
      <c r="E371">
        <v>0.6159</v>
      </c>
      <c r="F371">
        <v>2010069.9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-0.35374868004223953</v>
      </c>
      <c r="Q371">
        <f t="shared" si="970"/>
        <v>-711059.57391763641</v>
      </c>
      <c r="R371">
        <f t="shared" si="971"/>
        <v>-2936995.0892975563</v>
      </c>
      <c r="S371">
        <f t="shared" si="972"/>
        <v>-29.369950892975563</v>
      </c>
      <c r="T371">
        <f t="shared" si="973"/>
        <v>-2.9369950892975564E-2</v>
      </c>
    </row>
    <row r="372" spans="1:20" x14ac:dyDescent="0.25">
      <c r="A372" s="5">
        <v>44221</v>
      </c>
      <c r="B372">
        <v>0.58509999999999995</v>
      </c>
      <c r="C372">
        <v>0.61839999999999995</v>
      </c>
      <c r="D372">
        <v>0.57410000000000005</v>
      </c>
      <c r="E372">
        <v>0.58509999999999995</v>
      </c>
      <c r="F372">
        <v>712936.73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-0.50338600451467608</v>
      </c>
      <c r="Q372">
        <f t="shared" si="970"/>
        <v>-358882.37198645837</v>
      </c>
      <c r="R372">
        <f t="shared" si="971"/>
        <v>-2225935.5153799197</v>
      </c>
      <c r="S372">
        <f t="shared" si="972"/>
        <v>-22.259355153799195</v>
      </c>
      <c r="T372">
        <f t="shared" si="973"/>
        <v>-2.2259355153799194E-2</v>
      </c>
    </row>
    <row r="373" spans="1:20" x14ac:dyDescent="0.25">
      <c r="A373" s="5">
        <v>44220</v>
      </c>
      <c r="B373">
        <v>0.5907</v>
      </c>
      <c r="C373">
        <v>0.65449999999999997</v>
      </c>
      <c r="D373">
        <v>0.56110000000000004</v>
      </c>
      <c r="E373">
        <v>0.58440000000000003</v>
      </c>
      <c r="F373">
        <v>891791.21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-0.50107066381156307</v>
      </c>
      <c r="Q373">
        <f t="shared" si="970"/>
        <v>-446850.41357601702</v>
      </c>
      <c r="R373">
        <f t="shared" si="971"/>
        <v>-1867053.1433934611</v>
      </c>
      <c r="S373">
        <f t="shared" si="972"/>
        <v>-18.67053143393461</v>
      </c>
      <c r="T373">
        <f t="shared" si="973"/>
        <v>-1.8670531433934611E-2</v>
      </c>
    </row>
    <row r="374" spans="1:20" x14ac:dyDescent="0.25">
      <c r="A374" s="5">
        <v>44219</v>
      </c>
      <c r="B374">
        <v>0.57079999999999997</v>
      </c>
      <c r="C374">
        <v>0.60609999999999997</v>
      </c>
      <c r="D374">
        <v>0.55810000000000004</v>
      </c>
      <c r="E374">
        <v>0.58989999999999998</v>
      </c>
      <c r="F374">
        <v>740700.55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0.32499999999999934</v>
      </c>
      <c r="Q374">
        <f t="shared" si="970"/>
        <v>240727.67874999953</v>
      </c>
      <c r="R374">
        <f t="shared" si="971"/>
        <v>-1420202.729817444</v>
      </c>
      <c r="S374">
        <f t="shared" si="972"/>
        <v>-14.202027298174439</v>
      </c>
      <c r="T374">
        <f t="shared" si="973"/>
        <v>-1.4202027298174439E-2</v>
      </c>
    </row>
    <row r="375" spans="1:20" x14ac:dyDescent="0.25">
      <c r="A375" s="5">
        <v>44218</v>
      </c>
      <c r="B375">
        <v>0.54659999999999997</v>
      </c>
      <c r="C375">
        <v>0.58260000000000001</v>
      </c>
      <c r="D375">
        <v>0.53620000000000001</v>
      </c>
      <c r="E375">
        <v>0.56859999999999999</v>
      </c>
      <c r="F375">
        <v>749826.03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0.39655172413793044</v>
      </c>
      <c r="Q375">
        <f t="shared" si="970"/>
        <v>297344.80499999959</v>
      </c>
      <c r="R375">
        <f t="shared" si="971"/>
        <v>-1660930.4085674435</v>
      </c>
      <c r="S375">
        <f t="shared" si="972"/>
        <v>-16.609304085674435</v>
      </c>
      <c r="T375">
        <f t="shared" si="973"/>
        <v>-1.6609304085674435E-2</v>
      </c>
    </row>
    <row r="376" spans="1:20" x14ac:dyDescent="0.25">
      <c r="A376" s="5">
        <v>44217</v>
      </c>
      <c r="B376">
        <v>0.55930000000000002</v>
      </c>
      <c r="C376">
        <v>0.68430000000000002</v>
      </c>
      <c r="D376">
        <v>0.52249999999999996</v>
      </c>
      <c r="E376">
        <v>0.54959999999999998</v>
      </c>
      <c r="F376">
        <v>2321579.5499999998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-0.66501854140914707</v>
      </c>
      <c r="Q376">
        <f t="shared" si="970"/>
        <v>-1543893.4461063039</v>
      </c>
      <c r="R376">
        <f t="shared" si="971"/>
        <v>-1958275.213567443</v>
      </c>
      <c r="S376">
        <f t="shared" si="972"/>
        <v>-19.582752135674429</v>
      </c>
      <c r="T376">
        <f t="shared" si="973"/>
        <v>-1.9582752135674428E-2</v>
      </c>
    </row>
    <row r="377" spans="1:20" x14ac:dyDescent="0.25">
      <c r="A377" s="5">
        <v>44216</v>
      </c>
      <c r="B377">
        <v>0.53159999999999996</v>
      </c>
      <c r="C377">
        <v>0.57509999999999994</v>
      </c>
      <c r="D377">
        <v>0.52700000000000002</v>
      </c>
      <c r="E377">
        <v>0.55979999999999996</v>
      </c>
      <c r="F377">
        <v>384687.79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0.36382536382536357</v>
      </c>
      <c r="Q377">
        <f t="shared" si="970"/>
        <v>139959.17515592504</v>
      </c>
      <c r="R377">
        <f t="shared" si="971"/>
        <v>-414381.76746113907</v>
      </c>
      <c r="S377">
        <f t="shared" si="972"/>
        <v>-4.1438176746113911</v>
      </c>
      <c r="T377">
        <f t="shared" si="973"/>
        <v>-4.1438176746113912E-3</v>
      </c>
    </row>
    <row r="378" spans="1:20" x14ac:dyDescent="0.25">
      <c r="A378" s="5">
        <v>44215</v>
      </c>
      <c r="B378">
        <v>0.54139999999999999</v>
      </c>
      <c r="C378">
        <v>0.57989999999999997</v>
      </c>
      <c r="D378">
        <v>0.52559999999999996</v>
      </c>
      <c r="E378">
        <v>0.53169999999999995</v>
      </c>
      <c r="F378">
        <v>447892.51</v>
      </c>
      <c r="G378">
        <v>0</v>
      </c>
      <c r="L378" t="s">
        <v>8</v>
      </c>
      <c r="M378" t="s">
        <v>7</v>
      </c>
      <c r="N378" t="s">
        <v>8</v>
      </c>
      <c r="P378">
        <f t="shared" si="969"/>
        <v>-0.77532228360957667</v>
      </c>
      <c r="Q378">
        <f t="shared" si="970"/>
        <v>-347261.04366482515</v>
      </c>
      <c r="R378">
        <f t="shared" si="971"/>
        <v>-554340.94261706411</v>
      </c>
      <c r="S378">
        <f t="shared" si="972"/>
        <v>-5.5434094261706415</v>
      </c>
      <c r="T378">
        <f t="shared" si="973"/>
        <v>-5.5434094261706413E-3</v>
      </c>
    </row>
    <row r="379" spans="1:20" x14ac:dyDescent="0.25">
      <c r="A379" s="5">
        <v>44214</v>
      </c>
      <c r="B379">
        <v>0.53010000000000002</v>
      </c>
      <c r="C379">
        <v>0.56140000000000001</v>
      </c>
      <c r="D379">
        <v>0.50409999999999999</v>
      </c>
      <c r="E379">
        <v>0.54139999999999999</v>
      </c>
      <c r="F379">
        <v>658369.68999999994</v>
      </c>
      <c r="G379">
        <v>0</v>
      </c>
      <c r="L379" t="s">
        <v>8</v>
      </c>
      <c r="M379" t="s">
        <v>7</v>
      </c>
      <c r="N379" t="s">
        <v>8</v>
      </c>
      <c r="P379">
        <f t="shared" si="969"/>
        <v>0.30191972076788792</v>
      </c>
      <c r="Q379">
        <f t="shared" si="970"/>
        <v>198774.79296684091</v>
      </c>
      <c r="R379">
        <f t="shared" si="971"/>
        <v>-207079.89895223896</v>
      </c>
      <c r="S379">
        <f t="shared" si="972"/>
        <v>-2.0707989895223897</v>
      </c>
      <c r="T379">
        <f t="shared" si="973"/>
        <v>-2.0707989895223898E-3</v>
      </c>
    </row>
    <row r="380" spans="1:20" x14ac:dyDescent="0.25">
      <c r="A380" s="5">
        <v>44213</v>
      </c>
      <c r="B380">
        <v>0.54630000000000001</v>
      </c>
      <c r="C380">
        <v>0.54649999999999999</v>
      </c>
      <c r="D380">
        <v>0.50149999999999995</v>
      </c>
      <c r="E380">
        <v>0.53010000000000002</v>
      </c>
      <c r="F380">
        <v>534249.80000000005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0.27111111111111308</v>
      </c>
      <c r="Q380">
        <f t="shared" si="970"/>
        <v>144841.05688888996</v>
      </c>
      <c r="R380">
        <f t="shared" si="971"/>
        <v>-405854.69191907987</v>
      </c>
      <c r="S380">
        <f t="shared" si="972"/>
        <v>-4.0585469191907988</v>
      </c>
      <c r="T380">
        <f t="shared" si="973"/>
        <v>-4.0585469191907987E-3</v>
      </c>
    </row>
    <row r="381" spans="1:20" x14ac:dyDescent="0.25">
      <c r="A381" s="5">
        <v>44212</v>
      </c>
      <c r="B381">
        <v>0.5222</v>
      </c>
      <c r="C381">
        <v>0.56740000000000002</v>
      </c>
      <c r="D381">
        <v>0.51939999999999997</v>
      </c>
      <c r="E381">
        <v>0.5464</v>
      </c>
      <c r="F381">
        <v>305758.38</v>
      </c>
      <c r="G381">
        <v>0</v>
      </c>
      <c r="L381" t="s">
        <v>8</v>
      </c>
      <c r="M381" t="s">
        <v>7</v>
      </c>
      <c r="N381" t="s">
        <v>8</v>
      </c>
      <c r="P381">
        <f t="shared" si="969"/>
        <v>0.125</v>
      </c>
      <c r="Q381">
        <f t="shared" si="970"/>
        <v>38219.797500000001</v>
      </c>
      <c r="R381">
        <f t="shared" si="971"/>
        <v>-550695.74880796985</v>
      </c>
      <c r="S381">
        <f t="shared" si="972"/>
        <v>-5.5069574880796983</v>
      </c>
      <c r="T381">
        <f t="shared" si="973"/>
        <v>-5.506957488079698E-3</v>
      </c>
    </row>
    <row r="382" spans="1:20" x14ac:dyDescent="0.25">
      <c r="A382" s="5">
        <v>44211</v>
      </c>
      <c r="B382">
        <v>0.52980000000000005</v>
      </c>
      <c r="C382">
        <v>0.56000000000000005</v>
      </c>
      <c r="D382">
        <v>0.50790000000000002</v>
      </c>
      <c r="E382">
        <v>0.52270000000000005</v>
      </c>
      <c r="F382">
        <v>295538.2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-0.4318618042226478</v>
      </c>
      <c r="Q382">
        <f t="shared" si="970"/>
        <v>-127631.66026871373</v>
      </c>
      <c r="R382">
        <f t="shared" si="971"/>
        <v>-588915.54630796984</v>
      </c>
      <c r="S382">
        <f t="shared" si="972"/>
        <v>-5.8891554630796987</v>
      </c>
      <c r="T382">
        <f t="shared" si="973"/>
        <v>-5.8891554630796988E-3</v>
      </c>
    </row>
    <row r="383" spans="1:20" x14ac:dyDescent="0.25">
      <c r="A383" s="5">
        <v>44210</v>
      </c>
      <c r="B383">
        <v>0.53059999999999996</v>
      </c>
      <c r="C383">
        <v>0.63990000000000002</v>
      </c>
      <c r="D383">
        <v>0.49769999999999998</v>
      </c>
      <c r="E383">
        <v>0.52980000000000005</v>
      </c>
      <c r="F383">
        <v>434653.3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-0.54852320675105393</v>
      </c>
      <c r="Q383">
        <f t="shared" si="970"/>
        <v>-238417.42194092786</v>
      </c>
      <c r="R383">
        <f t="shared" si="971"/>
        <v>-461283.88603925612</v>
      </c>
      <c r="S383">
        <f t="shared" si="972"/>
        <v>-4.6128388603925607</v>
      </c>
      <c r="T383">
        <f t="shared" si="973"/>
        <v>-4.6128388603925603E-3</v>
      </c>
    </row>
    <row r="384" spans="1:20" x14ac:dyDescent="0.25">
      <c r="A384" s="5">
        <v>44209</v>
      </c>
      <c r="B384">
        <v>0.51739999999999997</v>
      </c>
      <c r="C384">
        <v>0.53110000000000002</v>
      </c>
      <c r="D384">
        <v>0.49170000000000003</v>
      </c>
      <c r="E384">
        <v>0.52849999999999997</v>
      </c>
      <c r="F384">
        <v>231577.89</v>
      </c>
      <c r="G384">
        <v>0</v>
      </c>
      <c r="L384" t="s">
        <v>7</v>
      </c>
      <c r="M384" t="s">
        <v>8</v>
      </c>
      <c r="N384" t="s">
        <v>8</v>
      </c>
      <c r="P384">
        <f t="shared" si="969"/>
        <v>0.86802030456852552</v>
      </c>
      <c r="Q384">
        <f t="shared" si="970"/>
        <v>201014.3106091365</v>
      </c>
      <c r="R384">
        <f t="shared" si="971"/>
        <v>-222866.46409832823</v>
      </c>
      <c r="S384">
        <f t="shared" si="972"/>
        <v>-2.2286646409832822</v>
      </c>
      <c r="T384">
        <f t="shared" si="973"/>
        <v>-2.2286646409832821E-3</v>
      </c>
    </row>
    <row r="385" spans="1:20" x14ac:dyDescent="0.25">
      <c r="A385" s="5">
        <v>44208</v>
      </c>
      <c r="B385">
        <v>0.52370000000000005</v>
      </c>
      <c r="C385">
        <v>0.53080000000000005</v>
      </c>
      <c r="D385">
        <v>0.49180000000000001</v>
      </c>
      <c r="E385">
        <v>0.51729999999999998</v>
      </c>
      <c r="F385">
        <v>141162.74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0.30769230769230482</v>
      </c>
      <c r="Q385">
        <f t="shared" si="970"/>
        <v>43434.689230768825</v>
      </c>
      <c r="R385">
        <f t="shared" si="971"/>
        <v>-423880.77470746473</v>
      </c>
      <c r="S385">
        <f t="shared" si="972"/>
        <v>-4.238807747074647</v>
      </c>
      <c r="T385">
        <f t="shared" si="973"/>
        <v>-4.2388077470746468E-3</v>
      </c>
    </row>
    <row r="386" spans="1:20" x14ac:dyDescent="0.25">
      <c r="A386" s="5">
        <v>44207</v>
      </c>
      <c r="B386">
        <v>0.53249999999999997</v>
      </c>
      <c r="C386">
        <v>0.54820000000000002</v>
      </c>
      <c r="D386">
        <v>0.107</v>
      </c>
      <c r="E386">
        <v>0.52529999999999999</v>
      </c>
      <c r="F386">
        <v>812940.33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0.89619220308250214</v>
      </c>
      <c r="Q386">
        <f t="shared" si="970"/>
        <v>728550.7853173163</v>
      </c>
      <c r="R386">
        <f t="shared" si="971"/>
        <v>-467315.46393823356</v>
      </c>
      <c r="S386">
        <f t="shared" si="972"/>
        <v>-4.6731546393823358</v>
      </c>
      <c r="T386">
        <f t="shared" si="973"/>
        <v>-4.6731546393823358E-3</v>
      </c>
    </row>
    <row r="387" spans="1:20" x14ac:dyDescent="0.25">
      <c r="A387" s="5">
        <v>44206</v>
      </c>
      <c r="B387">
        <v>0.55300000000000005</v>
      </c>
      <c r="C387">
        <v>0.55969999999999998</v>
      </c>
      <c r="D387">
        <v>0.51739999999999997</v>
      </c>
      <c r="E387">
        <v>0.53459999999999996</v>
      </c>
      <c r="F387">
        <v>375448.5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-0.18676122931442121</v>
      </c>
      <c r="Q387">
        <f t="shared" si="970"/>
        <v>-70119.223404255477</v>
      </c>
      <c r="R387">
        <f t="shared" si="971"/>
        <v>-1195866.2492555499</v>
      </c>
      <c r="S387">
        <f t="shared" si="972"/>
        <v>-11.958662492555499</v>
      </c>
      <c r="T387">
        <f t="shared" si="973"/>
        <v>-1.1958662492555498E-2</v>
      </c>
    </row>
    <row r="388" spans="1:20" x14ac:dyDescent="0.25">
      <c r="A388" s="5">
        <v>44205</v>
      </c>
      <c r="B388">
        <v>0.54120000000000001</v>
      </c>
      <c r="C388">
        <v>0.56630000000000003</v>
      </c>
      <c r="D388">
        <v>0.53129999999999999</v>
      </c>
      <c r="E388">
        <v>0.55359999999999998</v>
      </c>
      <c r="F388">
        <v>335231.48</v>
      </c>
      <c r="G388">
        <v>0</v>
      </c>
      <c r="L388" t="s">
        <v>8</v>
      </c>
      <c r="M388" t="s">
        <v>7</v>
      </c>
      <c r="N388" t="s">
        <v>7</v>
      </c>
      <c r="P388">
        <f t="shared" si="969"/>
        <v>0.27428571428571236</v>
      </c>
      <c r="Q388">
        <f t="shared" si="970"/>
        <v>91949.205942856497</v>
      </c>
      <c r="R388">
        <f t="shared" si="971"/>
        <v>-1125747.0258512944</v>
      </c>
      <c r="S388">
        <f t="shared" si="972"/>
        <v>-11.257470258512944</v>
      </c>
      <c r="T388">
        <f t="shared" si="973"/>
        <v>-1.1257470258512944E-2</v>
      </c>
    </row>
    <row r="389" spans="1:20" x14ac:dyDescent="0.25">
      <c r="A389" s="5">
        <v>44204</v>
      </c>
      <c r="B389">
        <v>0.53</v>
      </c>
      <c r="C389">
        <v>0.55000000000000004</v>
      </c>
      <c r="D389">
        <v>0.51180000000000003</v>
      </c>
      <c r="E389">
        <v>0.53059999999999996</v>
      </c>
      <c r="F389">
        <v>301901.37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-1.5706806282726592E-2</v>
      </c>
      <c r="Q389">
        <f t="shared" si="970"/>
        <v>-4741.9063350797651</v>
      </c>
      <c r="R389">
        <f t="shared" si="971"/>
        <v>-1217696.2317941508</v>
      </c>
      <c r="S389">
        <f t="shared" si="972"/>
        <v>-12.176962317941507</v>
      </c>
      <c r="T389">
        <f t="shared" si="973"/>
        <v>-1.2176962317941508E-2</v>
      </c>
    </row>
    <row r="390" spans="1:20" x14ac:dyDescent="0.25">
      <c r="A390" s="5">
        <v>44203</v>
      </c>
      <c r="B390">
        <v>0.54200000000000004</v>
      </c>
      <c r="C390">
        <v>0.54969999999999997</v>
      </c>
      <c r="D390">
        <v>0.5151</v>
      </c>
      <c r="E390">
        <v>0.53</v>
      </c>
      <c r="F390">
        <v>532079.9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-0.13872832369941968</v>
      </c>
      <c r="Q390">
        <f t="shared" ref="Q390:Q453" si="975">F390*P390</f>
        <v>-73814.55260115485</v>
      </c>
      <c r="R390">
        <f t="shared" ref="R390:R453" si="976">R391+Q390</f>
        <v>-1212954.325459071</v>
      </c>
      <c r="S390">
        <f t="shared" ref="S390:S453" si="977">R390/100000</f>
        <v>-12.129543254590709</v>
      </c>
      <c r="T390">
        <f t="shared" ref="T390:T453" si="978">S390/1000</f>
        <v>-1.2129543254590709E-2</v>
      </c>
    </row>
    <row r="391" spans="1:20" x14ac:dyDescent="0.25">
      <c r="A391" s="5">
        <v>44202</v>
      </c>
      <c r="B391">
        <v>0.56630000000000003</v>
      </c>
      <c r="C391">
        <v>0.57609999999999995</v>
      </c>
      <c r="D391">
        <v>0.53049999999999997</v>
      </c>
      <c r="E391">
        <v>0.54590000000000005</v>
      </c>
      <c r="F391">
        <v>549363.34</v>
      </c>
      <c r="G391">
        <v>0</v>
      </c>
      <c r="L391" t="s">
        <v>7</v>
      </c>
      <c r="M391" t="s">
        <v>7</v>
      </c>
      <c r="N391" t="s">
        <v>7</v>
      </c>
      <c r="P391">
        <f t="shared" si="974"/>
        <v>-0.324561403508768</v>
      </c>
      <c r="Q391">
        <f t="shared" si="975"/>
        <v>-178302.1366666645</v>
      </c>
      <c r="R391">
        <f t="shared" si="976"/>
        <v>-1139139.7728579161</v>
      </c>
      <c r="S391">
        <f t="shared" si="977"/>
        <v>-11.391397728579161</v>
      </c>
      <c r="T391">
        <f t="shared" si="978"/>
        <v>-1.1391397728579162E-2</v>
      </c>
    </row>
    <row r="392" spans="1:20" x14ac:dyDescent="0.25">
      <c r="A392" s="5">
        <v>44201</v>
      </c>
      <c r="B392">
        <v>0.5706</v>
      </c>
      <c r="C392">
        <v>0.6</v>
      </c>
      <c r="D392">
        <v>0.55010000000000003</v>
      </c>
      <c r="E392">
        <v>0.55889999999999995</v>
      </c>
      <c r="F392">
        <v>406152.67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-0.64729458917835958</v>
      </c>
      <c r="Q392">
        <f t="shared" si="975"/>
        <v>-262900.42567134387</v>
      </c>
      <c r="R392">
        <f t="shared" si="976"/>
        <v>-960837.63619125145</v>
      </c>
      <c r="S392">
        <f t="shared" si="977"/>
        <v>-9.608376361912514</v>
      </c>
      <c r="T392">
        <f t="shared" si="978"/>
        <v>-9.6083763619125139E-3</v>
      </c>
    </row>
    <row r="393" spans="1:20" x14ac:dyDescent="0.25">
      <c r="A393" s="5">
        <v>44200</v>
      </c>
      <c r="B393">
        <v>0.58709999999999996</v>
      </c>
      <c r="C393">
        <v>0.61250000000000004</v>
      </c>
      <c r="D393">
        <v>0.55649999999999999</v>
      </c>
      <c r="E393">
        <v>0.57250000000000001</v>
      </c>
      <c r="F393">
        <v>708559.35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-0.42857142857142855</v>
      </c>
      <c r="Q393">
        <f t="shared" si="975"/>
        <v>-303668.29285714281</v>
      </c>
      <c r="R393">
        <f t="shared" si="976"/>
        <v>-697937.21051990753</v>
      </c>
      <c r="S393">
        <f t="shared" si="977"/>
        <v>-6.9793721051990749</v>
      </c>
      <c r="T393">
        <f t="shared" si="978"/>
        <v>-6.9793721051990753E-3</v>
      </c>
    </row>
    <row r="394" spans="1:20" x14ac:dyDescent="0.25">
      <c r="A394" s="5">
        <v>44199</v>
      </c>
      <c r="B394">
        <v>0.6089</v>
      </c>
      <c r="C394">
        <v>0.61499999999999999</v>
      </c>
      <c r="D394">
        <v>0.5736</v>
      </c>
      <c r="E394">
        <v>0.5806</v>
      </c>
      <c r="F394">
        <v>677861.8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-0.66183574879227014</v>
      </c>
      <c r="Q394">
        <f t="shared" si="975"/>
        <v>-448633.17198067607</v>
      </c>
      <c r="R394">
        <f t="shared" si="976"/>
        <v>-394268.91766276472</v>
      </c>
      <c r="S394">
        <f t="shared" si="977"/>
        <v>-3.9426891766276473</v>
      </c>
      <c r="T394">
        <f t="shared" si="978"/>
        <v>-3.9426891766276475E-3</v>
      </c>
    </row>
    <row r="395" spans="1:20" x14ac:dyDescent="0.25">
      <c r="A395" s="5">
        <v>44198</v>
      </c>
      <c r="B395">
        <v>0.5857</v>
      </c>
      <c r="C395">
        <v>0.61850000000000005</v>
      </c>
      <c r="D395">
        <v>0.56100000000000005</v>
      </c>
      <c r="E395">
        <v>0.61160000000000003</v>
      </c>
      <c r="F395">
        <v>813784.54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0.75999999999999934</v>
      </c>
      <c r="Q395">
        <f t="shared" si="975"/>
        <v>618476.25039999944</v>
      </c>
      <c r="R395">
        <f t="shared" si="976"/>
        <v>54364.254317911342</v>
      </c>
      <c r="S395">
        <f t="shared" si="977"/>
        <v>0.54364254317911342</v>
      </c>
      <c r="T395">
        <f t="shared" si="978"/>
        <v>5.4364254317911345E-4</v>
      </c>
    </row>
    <row r="396" spans="1:20" x14ac:dyDescent="0.25">
      <c r="A396" s="5">
        <v>44197</v>
      </c>
      <c r="B396">
        <v>0.57199999999999995</v>
      </c>
      <c r="C396">
        <v>0.6099</v>
      </c>
      <c r="D396">
        <v>0.56040000000000001</v>
      </c>
      <c r="E396">
        <v>0.57750000000000001</v>
      </c>
      <c r="F396">
        <v>151529.43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-0.30909090909090875</v>
      </c>
      <c r="Q396">
        <f t="shared" si="975"/>
        <v>-46836.369272727221</v>
      </c>
      <c r="R396">
        <f t="shared" si="976"/>
        <v>-564111.9960820881</v>
      </c>
      <c r="S396">
        <f t="shared" si="977"/>
        <v>-5.6411199608208813</v>
      </c>
      <c r="T396">
        <f t="shared" si="978"/>
        <v>-5.6411199608208812E-3</v>
      </c>
    </row>
    <row r="397" spans="1:20" x14ac:dyDescent="0.25">
      <c r="A397" s="5">
        <v>44196</v>
      </c>
      <c r="B397">
        <v>0.57350000000000001</v>
      </c>
      <c r="C397">
        <v>0.58550000000000002</v>
      </c>
      <c r="D397">
        <v>0.56030000000000002</v>
      </c>
      <c r="E397">
        <v>0.57399999999999995</v>
      </c>
      <c r="F397">
        <v>135745.72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8.7301587301582093E-2</v>
      </c>
      <c r="Q397">
        <f t="shared" si="975"/>
        <v>11850.816825396118</v>
      </c>
      <c r="R397">
        <f t="shared" si="976"/>
        <v>-517275.62680936087</v>
      </c>
      <c r="S397">
        <f t="shared" si="977"/>
        <v>-5.1727562680936083</v>
      </c>
      <c r="T397">
        <f t="shared" si="978"/>
        <v>-5.1727562680936087E-3</v>
      </c>
    </row>
    <row r="398" spans="1:20" x14ac:dyDescent="0.25">
      <c r="A398" s="5">
        <v>44195</v>
      </c>
      <c r="B398">
        <v>0.59060000000000001</v>
      </c>
      <c r="C398">
        <v>0.59099999999999997</v>
      </c>
      <c r="D398">
        <v>0.56120000000000003</v>
      </c>
      <c r="E398">
        <v>0.57750000000000001</v>
      </c>
      <c r="F398">
        <v>212684.39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9.3959731543625191E-2</v>
      </c>
      <c r="Q398">
        <f t="shared" si="975"/>
        <v>19983.768187919683</v>
      </c>
      <c r="R398">
        <f t="shared" si="976"/>
        <v>-529126.44363475696</v>
      </c>
      <c r="S398">
        <f t="shared" si="977"/>
        <v>-5.2912644363475696</v>
      </c>
      <c r="T398">
        <f t="shared" si="978"/>
        <v>-5.2912644363475696E-3</v>
      </c>
    </row>
    <row r="399" spans="1:20" x14ac:dyDescent="0.25">
      <c r="A399" s="5">
        <v>44194</v>
      </c>
      <c r="B399">
        <v>0.58989999999999998</v>
      </c>
      <c r="C399">
        <v>0.59950000000000003</v>
      </c>
      <c r="D399">
        <v>0.55589999999999995</v>
      </c>
      <c r="E399">
        <v>0.59060000000000001</v>
      </c>
      <c r="F399">
        <v>393416.43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0.59174311926605494</v>
      </c>
      <c r="Q399">
        <f t="shared" si="975"/>
        <v>232801.46545871554</v>
      </c>
      <c r="R399">
        <f t="shared" si="976"/>
        <v>-549110.21182267659</v>
      </c>
      <c r="S399">
        <f t="shared" si="977"/>
        <v>-5.4911021182267659</v>
      </c>
      <c r="T399">
        <f t="shared" si="978"/>
        <v>-5.4911021182267655E-3</v>
      </c>
    </row>
    <row r="400" spans="1:20" x14ac:dyDescent="0.25">
      <c r="A400" s="5">
        <v>44193</v>
      </c>
      <c r="B400">
        <v>0.59519999999999995</v>
      </c>
      <c r="C400">
        <v>0.61839999999999995</v>
      </c>
      <c r="D400">
        <v>0.56879999999999997</v>
      </c>
      <c r="E400">
        <v>0.59</v>
      </c>
      <c r="F400">
        <v>623541.71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-0.14516129032258041</v>
      </c>
      <c r="Q400">
        <f t="shared" si="975"/>
        <v>-90514.119193548235</v>
      </c>
      <c r="R400">
        <f t="shared" si="976"/>
        <v>-781911.67728139216</v>
      </c>
      <c r="S400">
        <f t="shared" si="977"/>
        <v>-7.8191167728139215</v>
      </c>
      <c r="T400">
        <f t="shared" si="978"/>
        <v>-7.8191167728139215E-3</v>
      </c>
    </row>
    <row r="401" spans="1:20" x14ac:dyDescent="0.25">
      <c r="A401" s="5">
        <v>44192</v>
      </c>
      <c r="B401">
        <v>0.59279999999999999</v>
      </c>
      <c r="C401">
        <v>0.61970000000000003</v>
      </c>
      <c r="D401">
        <v>0.5726</v>
      </c>
      <c r="E401">
        <v>0.59519999999999995</v>
      </c>
      <c r="F401">
        <v>235619.52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-4.0339702760087526E-2</v>
      </c>
      <c r="Q401">
        <f t="shared" si="975"/>
        <v>-9504.8214012744975</v>
      </c>
      <c r="R401">
        <f t="shared" si="976"/>
        <v>-691397.55808784394</v>
      </c>
      <c r="S401">
        <f t="shared" si="977"/>
        <v>-6.9139755808784393</v>
      </c>
      <c r="T401">
        <f t="shared" si="978"/>
        <v>-6.9139755808784393E-3</v>
      </c>
    </row>
    <row r="402" spans="1:20" x14ac:dyDescent="0.25">
      <c r="A402" s="5">
        <v>44191</v>
      </c>
      <c r="B402">
        <v>0.61860000000000004</v>
      </c>
      <c r="C402">
        <v>0.64500000000000002</v>
      </c>
      <c r="D402">
        <v>0.57379999999999998</v>
      </c>
      <c r="E402">
        <v>0.59299999999999997</v>
      </c>
      <c r="F402">
        <v>364352.06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-0.46067415730337125</v>
      </c>
      <c r="Q402">
        <f t="shared" si="975"/>
        <v>-167847.57820224736</v>
      </c>
      <c r="R402">
        <f t="shared" si="976"/>
        <v>-681892.73668656941</v>
      </c>
      <c r="S402">
        <f t="shared" si="977"/>
        <v>-6.8189273668656938</v>
      </c>
      <c r="T402">
        <f t="shared" si="978"/>
        <v>-6.8189273668656939E-3</v>
      </c>
    </row>
    <row r="403" spans="1:20" x14ac:dyDescent="0.25">
      <c r="A403" s="5">
        <v>44190</v>
      </c>
      <c r="B403">
        <v>0.629</v>
      </c>
      <c r="C403">
        <v>0.6452</v>
      </c>
      <c r="D403">
        <v>0.6048</v>
      </c>
      <c r="E403">
        <v>0.62719999999999998</v>
      </c>
      <c r="F403">
        <v>190436.45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0.10891089108910793</v>
      </c>
      <c r="Q403">
        <f t="shared" si="975"/>
        <v>20740.603465346347</v>
      </c>
      <c r="R403">
        <f t="shared" si="976"/>
        <v>-514045.15848432208</v>
      </c>
      <c r="S403">
        <f t="shared" si="977"/>
        <v>-5.1404515848432206</v>
      </c>
      <c r="T403">
        <f t="shared" si="978"/>
        <v>-5.1404515848432206E-3</v>
      </c>
    </row>
    <row r="404" spans="1:20" x14ac:dyDescent="0.25">
      <c r="A404" s="5">
        <v>44189</v>
      </c>
      <c r="B404">
        <v>0.59470000000000001</v>
      </c>
      <c r="C404">
        <v>0.64470000000000005</v>
      </c>
      <c r="D404">
        <v>0.56869999999999998</v>
      </c>
      <c r="E404">
        <v>0.63419999999999999</v>
      </c>
      <c r="F404">
        <v>462296.88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0.72368421052631438</v>
      </c>
      <c r="Q404">
        <f t="shared" si="975"/>
        <v>334556.95263157832</v>
      </c>
      <c r="R404">
        <f t="shared" si="976"/>
        <v>-534785.76194966841</v>
      </c>
      <c r="S404">
        <f t="shared" si="977"/>
        <v>-5.3478576194966845</v>
      </c>
      <c r="T404">
        <f t="shared" si="978"/>
        <v>-5.3478576194966841E-3</v>
      </c>
    </row>
    <row r="405" spans="1:20" x14ac:dyDescent="0.25">
      <c r="A405" s="5">
        <v>44188</v>
      </c>
      <c r="B405">
        <v>0.62180000000000002</v>
      </c>
      <c r="C405">
        <v>0.6552</v>
      </c>
      <c r="D405">
        <v>0.55489999999999995</v>
      </c>
      <c r="E405">
        <v>0.58830000000000005</v>
      </c>
      <c r="F405">
        <v>881553.1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-0.33399800598205232</v>
      </c>
      <c r="Q405">
        <f t="shared" si="975"/>
        <v>-294436.97756729677</v>
      </c>
      <c r="R405">
        <f t="shared" si="976"/>
        <v>-869342.71458124672</v>
      </c>
      <c r="S405">
        <f t="shared" si="977"/>
        <v>-8.6934271458124677</v>
      </c>
      <c r="T405">
        <f t="shared" si="978"/>
        <v>-8.6934271458124681E-3</v>
      </c>
    </row>
    <row r="406" spans="1:20" x14ac:dyDescent="0.25">
      <c r="A406" s="5">
        <v>44187</v>
      </c>
      <c r="B406">
        <v>0.6048</v>
      </c>
      <c r="C406">
        <v>0.62970000000000004</v>
      </c>
      <c r="D406">
        <v>0.59350000000000003</v>
      </c>
      <c r="E406">
        <v>0.622</v>
      </c>
      <c r="F406">
        <v>694796.52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0.57458563535911389</v>
      </c>
      <c r="Q406">
        <f t="shared" si="975"/>
        <v>399220.09988950129</v>
      </c>
      <c r="R406">
        <f t="shared" si="976"/>
        <v>-574905.73701395001</v>
      </c>
      <c r="S406">
        <f t="shared" si="977"/>
        <v>-5.7490573701395</v>
      </c>
      <c r="T406">
        <f t="shared" si="978"/>
        <v>-5.7490573701394999E-3</v>
      </c>
    </row>
    <row r="407" spans="1:20" x14ac:dyDescent="0.25">
      <c r="A407" s="5">
        <v>44186</v>
      </c>
      <c r="B407">
        <v>0.62</v>
      </c>
      <c r="C407">
        <v>0.63</v>
      </c>
      <c r="D407">
        <v>0.60450000000000004</v>
      </c>
      <c r="E407">
        <v>0.60450000000000004</v>
      </c>
      <c r="F407">
        <v>906116.24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-1</v>
      </c>
      <c r="Q407">
        <f t="shared" si="975"/>
        <v>-906116.24</v>
      </c>
      <c r="R407">
        <f t="shared" si="976"/>
        <v>-974125.83690345136</v>
      </c>
      <c r="S407">
        <f t="shared" si="977"/>
        <v>-9.7412583690345134</v>
      </c>
      <c r="T407">
        <f t="shared" si="978"/>
        <v>-9.7412583690345139E-3</v>
      </c>
    </row>
    <row r="408" spans="1:20" x14ac:dyDescent="0.25">
      <c r="A408" s="5">
        <v>44185</v>
      </c>
      <c r="B408">
        <v>0.6381</v>
      </c>
      <c r="C408">
        <v>0.64490000000000003</v>
      </c>
      <c r="D408">
        <v>0.61550000000000005</v>
      </c>
      <c r="E408">
        <v>0.62</v>
      </c>
      <c r="F408">
        <v>929629.33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-0.69387755102041149</v>
      </c>
      <c r="Q408">
        <f t="shared" si="975"/>
        <v>-645048.9228571459</v>
      </c>
      <c r="R408">
        <f t="shared" si="976"/>
        <v>-68009.596903451369</v>
      </c>
      <c r="S408">
        <f t="shared" si="977"/>
        <v>-0.68009596903451364</v>
      </c>
      <c r="T408">
        <f t="shared" si="978"/>
        <v>-6.8009596903451368E-4</v>
      </c>
    </row>
    <row r="409" spans="1:20" x14ac:dyDescent="0.25">
      <c r="A409" s="5">
        <v>44184</v>
      </c>
      <c r="B409">
        <v>0.63249999999999995</v>
      </c>
      <c r="C409">
        <v>0.64900000000000002</v>
      </c>
      <c r="D409">
        <v>0.61199999999999999</v>
      </c>
      <c r="E409">
        <v>0.6381</v>
      </c>
      <c r="F409">
        <v>1026691.12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0.41081081081081022</v>
      </c>
      <c r="Q409">
        <f t="shared" si="975"/>
        <v>421775.81145945884</v>
      </c>
      <c r="R409">
        <f t="shared" si="976"/>
        <v>577039.32595369453</v>
      </c>
      <c r="S409">
        <f t="shared" si="977"/>
        <v>5.7703932595369452</v>
      </c>
      <c r="T409">
        <f t="shared" si="978"/>
        <v>5.7703932595369453E-3</v>
      </c>
    </row>
    <row r="410" spans="1:20" x14ac:dyDescent="0.25">
      <c r="A410" s="5">
        <v>44183</v>
      </c>
      <c r="B410">
        <v>0.64539999999999997</v>
      </c>
      <c r="C410">
        <v>0.65500000000000003</v>
      </c>
      <c r="D410">
        <v>0.6099</v>
      </c>
      <c r="E410">
        <v>0.63</v>
      </c>
      <c r="F410">
        <v>885320.27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-0.10864745011086502</v>
      </c>
      <c r="Q410">
        <f t="shared" si="975"/>
        <v>-96187.789866962543</v>
      </c>
      <c r="R410">
        <f t="shared" si="976"/>
        <v>155263.51449423569</v>
      </c>
      <c r="S410">
        <f t="shared" si="977"/>
        <v>1.5526351449423568</v>
      </c>
      <c r="T410">
        <f t="shared" si="978"/>
        <v>1.5526351449423569E-3</v>
      </c>
    </row>
    <row r="411" spans="1:20" x14ac:dyDescent="0.25">
      <c r="A411" s="5">
        <v>44182</v>
      </c>
      <c r="B411">
        <v>0.66710000000000003</v>
      </c>
      <c r="C411">
        <v>0.70009999999999994</v>
      </c>
      <c r="D411">
        <v>0.625</v>
      </c>
      <c r="E411">
        <v>0.64780000000000004</v>
      </c>
      <c r="F411">
        <v>1383192.08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-0.39280958721704234</v>
      </c>
      <c r="Q411">
        <f t="shared" si="975"/>
        <v>-543331.10998668219</v>
      </c>
      <c r="R411">
        <f t="shared" si="976"/>
        <v>251451.30436119821</v>
      </c>
      <c r="S411">
        <f t="shared" si="977"/>
        <v>2.514513043611982</v>
      </c>
      <c r="T411">
        <f t="shared" si="978"/>
        <v>2.514513043611982E-3</v>
      </c>
    </row>
    <row r="412" spans="1:20" x14ac:dyDescent="0.25">
      <c r="A412" s="5">
        <v>44181</v>
      </c>
      <c r="B412">
        <v>0.67190000000000005</v>
      </c>
      <c r="C412">
        <v>0.68879999999999997</v>
      </c>
      <c r="D412">
        <v>0.64500000000000002</v>
      </c>
      <c r="E412">
        <v>0.66010000000000002</v>
      </c>
      <c r="F412">
        <v>1469678.01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-0.31050228310502193</v>
      </c>
      <c r="Q412">
        <f t="shared" si="975"/>
        <v>-456338.37753424526</v>
      </c>
      <c r="R412">
        <f t="shared" si="976"/>
        <v>794782.4143478804</v>
      </c>
      <c r="S412">
        <f t="shared" si="977"/>
        <v>7.9478241434788037</v>
      </c>
      <c r="T412">
        <f t="shared" si="978"/>
        <v>7.9478241434788044E-3</v>
      </c>
    </row>
    <row r="413" spans="1:20" x14ac:dyDescent="0.25">
      <c r="A413" s="5">
        <v>44180</v>
      </c>
      <c r="B413">
        <v>0.69889999999999997</v>
      </c>
      <c r="C413">
        <v>0.70299999999999996</v>
      </c>
      <c r="D413">
        <v>0.65549999999999997</v>
      </c>
      <c r="E413">
        <v>0.67490000000000006</v>
      </c>
      <c r="F413">
        <v>1859129.14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-0.18315789473683836</v>
      </c>
      <c r="Q413">
        <f t="shared" si="975"/>
        <v>-340514.17932630877</v>
      </c>
      <c r="R413">
        <f t="shared" si="976"/>
        <v>1251120.7918821257</v>
      </c>
      <c r="S413">
        <f t="shared" si="977"/>
        <v>12.511207918821256</v>
      </c>
      <c r="T413">
        <f t="shared" si="978"/>
        <v>1.2511207918821257E-2</v>
      </c>
    </row>
    <row r="414" spans="1:20" x14ac:dyDescent="0.25">
      <c r="A414" s="5">
        <v>44179</v>
      </c>
      <c r="B414">
        <v>0.71589999999999998</v>
      </c>
      <c r="C414">
        <v>0.73209999999999997</v>
      </c>
      <c r="D414">
        <v>0.68220000000000003</v>
      </c>
      <c r="E414">
        <v>0.69889999999999997</v>
      </c>
      <c r="F414">
        <v>2656653.06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-0.33066132264529235</v>
      </c>
      <c r="Q414">
        <f t="shared" si="975"/>
        <v>-878452.41462926322</v>
      </c>
      <c r="R414">
        <f t="shared" si="976"/>
        <v>1591634.9712084346</v>
      </c>
      <c r="S414">
        <f t="shared" si="977"/>
        <v>15.916349712084346</v>
      </c>
      <c r="T414">
        <f t="shared" si="978"/>
        <v>1.5916349712084346E-2</v>
      </c>
    </row>
    <row r="415" spans="1:20" x14ac:dyDescent="0.25">
      <c r="A415" s="5">
        <v>44178</v>
      </c>
      <c r="B415">
        <v>0.66779999999999995</v>
      </c>
      <c r="C415">
        <v>0.74680000000000002</v>
      </c>
      <c r="D415">
        <v>0.6633</v>
      </c>
      <c r="E415">
        <v>0.71589999999999998</v>
      </c>
      <c r="F415">
        <v>5125905.75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0.25988023952095735</v>
      </c>
      <c r="Q415">
        <f t="shared" si="975"/>
        <v>1332121.6140718525</v>
      </c>
      <c r="R415">
        <f t="shared" si="976"/>
        <v>2470087.3858376979</v>
      </c>
      <c r="S415">
        <f t="shared" si="977"/>
        <v>24.70087385837698</v>
      </c>
      <c r="T415">
        <f t="shared" si="978"/>
        <v>2.4700873858376979E-2</v>
      </c>
    </row>
    <row r="416" spans="1:20" x14ac:dyDescent="0.25">
      <c r="A416" s="5">
        <v>44177</v>
      </c>
      <c r="B416">
        <v>0.61939999999999995</v>
      </c>
      <c r="C416">
        <v>0.67449999999999999</v>
      </c>
      <c r="D416">
        <v>0.61860000000000004</v>
      </c>
      <c r="E416">
        <v>0.66749999999999998</v>
      </c>
      <c r="F416">
        <v>3291264.81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0.74955277280858634</v>
      </c>
      <c r="Q416">
        <f t="shared" si="975"/>
        <v>2466976.6643828251</v>
      </c>
      <c r="R416">
        <f t="shared" si="976"/>
        <v>1137965.7717658454</v>
      </c>
      <c r="S416">
        <f t="shared" si="977"/>
        <v>11.379657717658453</v>
      </c>
      <c r="T416">
        <f t="shared" si="978"/>
        <v>1.1379657717658453E-2</v>
      </c>
    </row>
    <row r="417" spans="1:20" x14ac:dyDescent="0.25">
      <c r="A417" s="5">
        <v>44176</v>
      </c>
      <c r="B417">
        <v>0.629</v>
      </c>
      <c r="C417">
        <v>0.65010000000000001</v>
      </c>
      <c r="D417">
        <v>0.61</v>
      </c>
      <c r="E417">
        <v>0.61899999999999999</v>
      </c>
      <c r="F417">
        <v>2254738.5099999998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-0.55112219451371558</v>
      </c>
      <c r="Q417">
        <f t="shared" si="975"/>
        <v>-1242636.435685785</v>
      </c>
      <c r="R417">
        <f t="shared" si="976"/>
        <v>-1329010.8926169798</v>
      </c>
      <c r="S417">
        <f t="shared" si="977"/>
        <v>-13.290108926169799</v>
      </c>
      <c r="T417">
        <f t="shared" si="978"/>
        <v>-1.3290108926169799E-2</v>
      </c>
    </row>
    <row r="418" spans="1:20" x14ac:dyDescent="0.25">
      <c r="A418" s="5">
        <v>44175</v>
      </c>
      <c r="B418">
        <v>0.62990000000000002</v>
      </c>
      <c r="C418">
        <v>0.68100000000000005</v>
      </c>
      <c r="D418">
        <v>0.60099999999999998</v>
      </c>
      <c r="E418">
        <v>0.62990000000000002</v>
      </c>
      <c r="F418">
        <v>2122279.7999999998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-0.27749999999999975</v>
      </c>
      <c r="Q418">
        <f t="shared" si="975"/>
        <v>-588932.64449999935</v>
      </c>
      <c r="R418">
        <f t="shared" si="976"/>
        <v>-86374.456931194698</v>
      </c>
      <c r="S418">
        <f t="shared" si="977"/>
        <v>-0.86374456931194699</v>
      </c>
      <c r="T418">
        <f t="shared" si="978"/>
        <v>-8.6374456931194703E-4</v>
      </c>
    </row>
    <row r="419" spans="1:20" x14ac:dyDescent="0.25">
      <c r="A419" s="5">
        <v>44174</v>
      </c>
      <c r="B419">
        <v>0.623</v>
      </c>
      <c r="C419">
        <v>0.64980000000000004</v>
      </c>
      <c r="D419">
        <v>0.59009999999999996</v>
      </c>
      <c r="E419">
        <v>0.62990000000000002</v>
      </c>
      <c r="F419">
        <v>2724935.24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0.33333333333333331</v>
      </c>
      <c r="Q419">
        <f t="shared" si="975"/>
        <v>908311.7466666667</v>
      </c>
      <c r="R419">
        <f t="shared" si="976"/>
        <v>502558.18756880466</v>
      </c>
      <c r="S419">
        <f t="shared" si="977"/>
        <v>5.0255818756880464</v>
      </c>
      <c r="T419">
        <f t="shared" si="978"/>
        <v>5.0255818756880467E-3</v>
      </c>
    </row>
    <row r="420" spans="1:20" x14ac:dyDescent="0.25">
      <c r="A420" s="5">
        <v>44173</v>
      </c>
      <c r="B420">
        <v>0.55920000000000003</v>
      </c>
      <c r="C420">
        <v>0.69</v>
      </c>
      <c r="D420">
        <v>0.55920000000000003</v>
      </c>
      <c r="E420">
        <v>0.62029999999999996</v>
      </c>
      <c r="F420">
        <v>6171228.5499999998</v>
      </c>
      <c r="G420">
        <v>0</v>
      </c>
      <c r="P420">
        <f t="shared" si="974"/>
        <v>-6.5749235474006559E-2</v>
      </c>
      <c r="Q420">
        <f t="shared" si="975"/>
        <v>-405753.55909786205</v>
      </c>
      <c r="R420">
        <f t="shared" si="976"/>
        <v>-405753.55909786205</v>
      </c>
      <c r="S420">
        <f t="shared" si="977"/>
        <v>-4.0575355909786204</v>
      </c>
      <c r="T420">
        <f t="shared" si="978"/>
        <v>-4.0575355909786203E-3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EF552" sqref="EF55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$A$551</v>
      </c>
      <c r="D111" s="1" t="str">
        <f>ADDRESS(C121-1,D121,1,1)</f>
        <v>$EF$551</v>
      </c>
      <c r="E111"/>
    </row>
    <row r="112" spans="1:5" x14ac:dyDescent="0.25">
      <c r="A112" s="7">
        <v>12164.144957890772</v>
      </c>
      <c r="C112" s="1" t="str">
        <f>ADDRESS(C121,1,1,1)</f>
        <v>$A$552</v>
      </c>
      <c r="D112" s="1" t="str">
        <f>ADDRESS(C121,D121-1,1,1)</f>
        <v>$EE$552</v>
      </c>
      <c r="E112"/>
    </row>
    <row r="113" spans="1:5" x14ac:dyDescent="0.25">
      <c r="A113" s="7">
        <v>11925.63231165762</v>
      </c>
      <c r="C113" s="1" t="str">
        <f>ADDRESS(C121+1,1,1,1)</f>
        <v>$A$553</v>
      </c>
      <c r="D113" s="1" t="str">
        <f>ADDRESS(C121-1,D121+1,1,1)</f>
        <v>$EG$551</v>
      </c>
    </row>
    <row r="114" spans="1:5" x14ac:dyDescent="0.25">
      <c r="A114" s="7">
        <v>11691.796383978059</v>
      </c>
      <c r="C114" s="1" t="str">
        <f>ADDRESS(C121,D121,1,1)</f>
        <v>$EF$552</v>
      </c>
      <c r="D114" s="1" t="str">
        <f>ADDRESS(C121+1,D121+1,1,1)</f>
        <v>$EG$553</v>
      </c>
    </row>
    <row r="115" spans="1:5" x14ac:dyDescent="0.25">
      <c r="A115" s="7">
        <v>11462.545474488292</v>
      </c>
      <c r="C115" s="1" t="str">
        <f>ADDRESS(C121+1,D121,1,1)</f>
        <v>$EF$553</v>
      </c>
    </row>
    <row r="116" spans="1:5" x14ac:dyDescent="0.25">
      <c r="A116" s="7">
        <v>11237.789680870874</v>
      </c>
      <c r="C116" s="1">
        <f>C117-1</f>
        <v>551</v>
      </c>
    </row>
    <row r="117" spans="1:5" x14ac:dyDescent="0.25">
      <c r="A117" s="7">
        <v>11017.440863598895</v>
      </c>
      <c r="C117" s="1">
        <f>C121</f>
        <v>552</v>
      </c>
      <c r="D117" s="1">
        <f>D121</f>
        <v>136</v>
      </c>
    </row>
    <row r="118" spans="1:5" x14ac:dyDescent="0.25">
      <c r="A118" s="7">
        <v>10801.412611371465</v>
      </c>
      <c r="C118" s="1">
        <f>C117+1</f>
        <v>553</v>
      </c>
      <c r="D118" s="1">
        <f>D117+1</f>
        <v>137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552</v>
      </c>
      <c r="D121" s="19">
        <v>136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R552</v>
      </c>
      <c r="D123" s="1" t="str">
        <f>"C"&amp;D121</f>
        <v>C136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1.9998895526624565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132" x14ac:dyDescent="0.25">
      <c r="A513" s="7">
        <v>4.3292504462035977</v>
      </c>
      <c r="B513"/>
      <c r="C513"/>
      <c r="D513"/>
      <c r="E513"/>
    </row>
    <row r="514" spans="1:132" x14ac:dyDescent="0.25">
      <c r="A514" s="7">
        <v>4.2443631825525463</v>
      </c>
      <c r="B514"/>
      <c r="C514"/>
      <c r="D514"/>
      <c r="E514"/>
    </row>
    <row r="515" spans="1:132" x14ac:dyDescent="0.25">
      <c r="A515" s="7">
        <v>4.1611403750515157</v>
      </c>
      <c r="B515"/>
      <c r="C515"/>
      <c r="D515"/>
      <c r="E515"/>
    </row>
    <row r="516" spans="1:132" x14ac:dyDescent="0.25">
      <c r="A516" s="7">
        <v>4.0795493873054074</v>
      </c>
      <c r="B516"/>
      <c r="C516"/>
      <c r="D516"/>
      <c r="E516"/>
    </row>
    <row r="517" spans="1:132" x14ac:dyDescent="0.25">
      <c r="A517" s="7">
        <v>3.9995582228484383</v>
      </c>
      <c r="B517"/>
      <c r="C517"/>
      <c r="D517"/>
      <c r="E517"/>
    </row>
    <row r="518" spans="1:132" x14ac:dyDescent="0.25">
      <c r="A518" s="7">
        <v>3.9211355125965079</v>
      </c>
      <c r="B518"/>
      <c r="C518"/>
      <c r="D518"/>
      <c r="E518"/>
    </row>
    <row r="519" spans="1:132" x14ac:dyDescent="0.25">
      <c r="A519" s="7">
        <v>3.844250502545596</v>
      </c>
      <c r="B519"/>
      <c r="C519"/>
      <c r="D519"/>
      <c r="E519"/>
    </row>
    <row r="520" spans="1:132" x14ac:dyDescent="0.25">
      <c r="A520" s="7">
        <v>3.7688730417113687</v>
      </c>
      <c r="B520"/>
      <c r="C520"/>
      <c r="D520"/>
      <c r="E520"/>
    </row>
    <row r="521" spans="1:132" x14ac:dyDescent="0.25">
      <c r="A521" s="7">
        <v>3.6949735703052635</v>
      </c>
      <c r="B521"/>
      <c r="C521"/>
      <c r="D521"/>
      <c r="E521"/>
    </row>
    <row r="522" spans="1:132" x14ac:dyDescent="0.25">
      <c r="A522" s="7">
        <v>3.6225231081424152</v>
      </c>
      <c r="B522"/>
      <c r="C522"/>
      <c r="D522"/>
      <c r="E522"/>
    </row>
    <row r="523" spans="1:132" x14ac:dyDescent="0.25">
      <c r="A523" s="7">
        <v>3.5514932432768775</v>
      </c>
      <c r="B523"/>
      <c r="C523"/>
      <c r="D523"/>
      <c r="E523"/>
    </row>
    <row r="524" spans="1:132" x14ac:dyDescent="0.25">
      <c r="A524" s="7">
        <v>3.4818561208596837</v>
      </c>
      <c r="B524"/>
      <c r="C524"/>
      <c r="D524"/>
      <c r="E524"/>
    </row>
    <row r="525" spans="1:132" x14ac:dyDescent="0.25">
      <c r="A525" s="7">
        <v>3.4135844322153761</v>
      </c>
      <c r="B525"/>
      <c r="C525"/>
      <c r="D525"/>
      <c r="E525"/>
    </row>
    <row r="526" spans="1:132" x14ac:dyDescent="0.25">
      <c r="A526" s="7">
        <v>3.3466514041327216</v>
      </c>
      <c r="B526"/>
      <c r="C526"/>
      <c r="D526"/>
      <c r="E526"/>
      <c r="EA526" s="27" t="s">
        <v>8</v>
      </c>
    </row>
    <row r="527" spans="1:132" x14ac:dyDescent="0.25">
      <c r="A527" s="7">
        <v>3.2810307883654133</v>
      </c>
      <c r="B527"/>
      <c r="C527"/>
      <c r="D527"/>
      <c r="E527"/>
      <c r="EA527" s="27" t="s">
        <v>8</v>
      </c>
      <c r="EB527" s="27" t="s">
        <v>7</v>
      </c>
    </row>
    <row r="528" spans="1:132" x14ac:dyDescent="0.25">
      <c r="A528" s="7">
        <v>3.2166968513386403</v>
      </c>
      <c r="B528"/>
      <c r="C528"/>
      <c r="D528"/>
      <c r="E528"/>
      <c r="EA528" s="27" t="s">
        <v>8</v>
      </c>
      <c r="EB528" s="27" t="s">
        <v>7</v>
      </c>
    </row>
    <row r="529" spans="1:136" x14ac:dyDescent="0.25">
      <c r="A529" s="7">
        <v>3.1536243640574906</v>
      </c>
      <c r="B529"/>
      <c r="C529"/>
      <c r="D529"/>
      <c r="E529"/>
      <c r="EA529" s="27" t="s">
        <v>8</v>
      </c>
      <c r="EB529" s="27" t="s">
        <v>7</v>
      </c>
    </row>
    <row r="530" spans="1:136" x14ac:dyDescent="0.25">
      <c r="A530" s="7">
        <v>3.0917885922132262</v>
      </c>
      <c r="B530"/>
      <c r="C530"/>
      <c r="D530"/>
      <c r="E530"/>
      <c r="EA530" s="27" t="s">
        <v>8</v>
      </c>
      <c r="EB530" s="27" t="s">
        <v>7</v>
      </c>
    </row>
    <row r="531" spans="1:136" x14ac:dyDescent="0.25">
      <c r="A531" s="7">
        <v>3.0311652864835552</v>
      </c>
      <c r="B531"/>
      <c r="C531"/>
      <c r="D531"/>
      <c r="E531"/>
      <c r="EA531" s="27" t="s">
        <v>8</v>
      </c>
      <c r="EB531" s="27" t="s">
        <v>7</v>
      </c>
    </row>
    <row r="532" spans="1:136" x14ac:dyDescent="0.25">
      <c r="A532" s="7">
        <v>2.9717306730230932</v>
      </c>
      <c r="B532"/>
      <c r="C532"/>
      <c r="D532"/>
      <c r="E532"/>
      <c r="EA532" s="27" t="s">
        <v>8</v>
      </c>
      <c r="EB532" s="27" t="s">
        <v>7</v>
      </c>
      <c r="EE532" s="27" t="s">
        <v>8</v>
      </c>
    </row>
    <row r="533" spans="1:136" x14ac:dyDescent="0.25">
      <c r="A533" s="7">
        <v>2.9134614441402875</v>
      </c>
      <c r="B533"/>
      <c r="C533"/>
      <c r="D533"/>
      <c r="E533"/>
      <c r="EA533" s="27" t="s">
        <v>8</v>
      </c>
      <c r="EB533" s="27" t="s">
        <v>7</v>
      </c>
      <c r="EC533" s="27" t="s">
        <v>8</v>
      </c>
      <c r="EE533" s="27" t="s">
        <v>8</v>
      </c>
      <c r="EF533" s="27" t="s">
        <v>7</v>
      </c>
    </row>
    <row r="534" spans="1:136" x14ac:dyDescent="0.25">
      <c r="A534" s="7">
        <v>2.8563347491571447</v>
      </c>
      <c r="B534"/>
      <c r="C534"/>
      <c r="D534"/>
      <c r="E534"/>
      <c r="DW534" s="27" t="s">
        <v>8</v>
      </c>
      <c r="EA534" s="27" t="s">
        <v>8</v>
      </c>
      <c r="EB534" s="27" t="s">
        <v>7</v>
      </c>
      <c r="EC534" s="27" t="s">
        <v>8</v>
      </c>
      <c r="ED534" s="27" t="s">
        <v>7</v>
      </c>
      <c r="EE534" s="27" t="s">
        <v>8</v>
      </c>
      <c r="EF534" s="27" t="s">
        <v>7</v>
      </c>
    </row>
    <row r="535" spans="1:136" x14ac:dyDescent="0.25">
      <c r="A535" s="7">
        <v>2.8003281854481812</v>
      </c>
      <c r="B535"/>
      <c r="C535"/>
      <c r="D535"/>
      <c r="E535"/>
      <c r="DW535" s="27" t="s">
        <v>8</v>
      </c>
      <c r="DX535" s="27" t="s">
        <v>7</v>
      </c>
      <c r="EA535" s="27" t="s">
        <v>8</v>
      </c>
      <c r="EB535" s="27" t="s">
        <v>7</v>
      </c>
      <c r="EC535" s="27" t="s">
        <v>8</v>
      </c>
      <c r="ED535" s="27" t="s">
        <v>7</v>
      </c>
      <c r="EE535" s="27" t="s">
        <v>8</v>
      </c>
      <c r="EF535" s="27" t="s">
        <v>7</v>
      </c>
    </row>
    <row r="536" spans="1:136" x14ac:dyDescent="0.25">
      <c r="A536" s="7">
        <v>2.7454197896550796</v>
      </c>
      <c r="B536"/>
      <c r="C536"/>
      <c r="D536"/>
      <c r="E536"/>
      <c r="CW536" s="27" t="s">
        <v>8</v>
      </c>
      <c r="DW536" s="27" t="s">
        <v>8</v>
      </c>
      <c r="DX536" s="27" t="s">
        <v>7</v>
      </c>
      <c r="DY536" s="27" t="s">
        <v>8</v>
      </c>
      <c r="EA536" s="27" t="s">
        <v>8</v>
      </c>
      <c r="EB536" s="27" t="s">
        <v>7</v>
      </c>
      <c r="ED536" s="27" t="s">
        <v>7</v>
      </c>
      <c r="EF536" s="27" t="s">
        <v>7</v>
      </c>
    </row>
    <row r="537" spans="1:136" x14ac:dyDescent="0.25">
      <c r="A537" s="7">
        <v>2.6915880290736074</v>
      </c>
      <c r="B537"/>
      <c r="C537"/>
      <c r="D537"/>
      <c r="E537"/>
      <c r="CW537" s="27" t="s">
        <v>8</v>
      </c>
      <c r="CX537" s="27" t="s">
        <v>7</v>
      </c>
      <c r="DU537" s="27" t="s">
        <v>8</v>
      </c>
      <c r="DW537" s="27" t="s">
        <v>8</v>
      </c>
      <c r="DX537" s="27" t="s">
        <v>7</v>
      </c>
      <c r="DY537" s="27" t="s">
        <v>8</v>
      </c>
      <c r="DZ537" s="27" t="s">
        <v>7</v>
      </c>
      <c r="EA537" s="27" t="s">
        <v>8</v>
      </c>
      <c r="EF537" s="27" t="s">
        <v>7</v>
      </c>
    </row>
    <row r="538" spans="1:136" x14ac:dyDescent="0.25">
      <c r="A538" s="7">
        <v>2.6388117932094191</v>
      </c>
      <c r="B538"/>
      <c r="C538"/>
      <c r="D538"/>
      <c r="E538"/>
      <c r="CW538" s="27" t="s">
        <v>8</v>
      </c>
      <c r="CX538" s="27" t="s">
        <v>7</v>
      </c>
      <c r="DM538" s="27" t="s">
        <v>8</v>
      </c>
      <c r="DQ538" s="27" t="s">
        <v>8</v>
      </c>
      <c r="DU538" s="27" t="s">
        <v>8</v>
      </c>
      <c r="DV538" s="27" t="s">
        <v>7</v>
      </c>
      <c r="DW538" s="27" t="s">
        <v>8</v>
      </c>
      <c r="DX538" s="27" t="s">
        <v>7</v>
      </c>
      <c r="DY538" s="27" t="s">
        <v>8</v>
      </c>
      <c r="DZ538" s="27" t="s">
        <v>7</v>
      </c>
      <c r="EA538" s="27" t="s">
        <v>8</v>
      </c>
      <c r="EF538" s="27" t="s">
        <v>7</v>
      </c>
    </row>
    <row r="539" spans="1:136" x14ac:dyDescent="0.25">
      <c r="A539" s="7">
        <v>2.5870703854994304</v>
      </c>
      <c r="B539"/>
      <c r="C539"/>
      <c r="D539"/>
      <c r="E539"/>
      <c r="CW539" s="27" t="s">
        <v>8</v>
      </c>
      <c r="CX539" s="27" t="s">
        <v>7</v>
      </c>
      <c r="DM539" s="27" t="s">
        <v>8</v>
      </c>
      <c r="DN539" s="27" t="s">
        <v>7</v>
      </c>
      <c r="DQ539" s="27" t="s">
        <v>8</v>
      </c>
      <c r="DR539" s="27" t="s">
        <v>7</v>
      </c>
      <c r="DU539" s="27" t="s">
        <v>8</v>
      </c>
      <c r="DV539" s="27" t="s">
        <v>7</v>
      </c>
      <c r="DW539" s="27" t="s">
        <v>8</v>
      </c>
      <c r="DX539" s="27" t="s">
        <v>7</v>
      </c>
      <c r="DY539" s="27" t="s">
        <v>8</v>
      </c>
      <c r="DZ539" s="27" t="s">
        <v>7</v>
      </c>
      <c r="EF539" s="27" t="s">
        <v>7</v>
      </c>
    </row>
    <row r="540" spans="1:136" x14ac:dyDescent="0.25">
      <c r="A540" s="7">
        <v>2.53634351519552</v>
      </c>
      <c r="B540"/>
      <c r="C540"/>
      <c r="D540"/>
      <c r="E540"/>
      <c r="CW540" s="27" t="s">
        <v>8</v>
      </c>
      <c r="CX540" s="27" t="s">
        <v>7</v>
      </c>
      <c r="DM540" s="27" t="s">
        <v>8</v>
      </c>
      <c r="DN540" s="27" t="s">
        <v>7</v>
      </c>
      <c r="DQ540" s="27" t="s">
        <v>8</v>
      </c>
      <c r="DR540" s="27" t="s">
        <v>7</v>
      </c>
      <c r="DU540" s="27" t="s">
        <v>8</v>
      </c>
      <c r="DV540" s="27" t="s">
        <v>7</v>
      </c>
      <c r="DW540" s="27" t="s">
        <v>8</v>
      </c>
      <c r="DX540" s="27" t="s">
        <v>7</v>
      </c>
      <c r="EF540" s="27" t="s">
        <v>7</v>
      </c>
    </row>
    <row r="541" spans="1:136" x14ac:dyDescent="0.25">
      <c r="A541" s="7">
        <v>2.4866112894073726</v>
      </c>
      <c r="B541"/>
      <c r="C541"/>
      <c r="D541"/>
      <c r="E541"/>
      <c r="CW541" s="27" t="s">
        <v>8</v>
      </c>
      <c r="CX541" s="27" t="s">
        <v>7</v>
      </c>
      <c r="DM541" s="27" t="s">
        <v>8</v>
      </c>
      <c r="DN541" s="27" t="s">
        <v>7</v>
      </c>
      <c r="DQ541" s="27" t="s">
        <v>8</v>
      </c>
      <c r="DR541" s="27" t="s">
        <v>7</v>
      </c>
      <c r="DU541" s="27" t="s">
        <v>8</v>
      </c>
      <c r="DV541" s="27" t="s">
        <v>7</v>
      </c>
      <c r="DW541" s="27" t="s">
        <v>8</v>
      </c>
      <c r="EF541" s="27" t="s">
        <v>7</v>
      </c>
    </row>
    <row r="542" spans="1:136" x14ac:dyDescent="0.25">
      <c r="A542" s="7">
        <v>2.4378542053013459</v>
      </c>
      <c r="B542"/>
      <c r="C542"/>
      <c r="D542"/>
      <c r="E542"/>
      <c r="CW542" s="27" t="s">
        <v>8</v>
      </c>
      <c r="CX542" s="27" t="s">
        <v>7</v>
      </c>
      <c r="DM542" s="27" t="s">
        <v>8</v>
      </c>
      <c r="DN542" s="27" t="s">
        <v>7</v>
      </c>
      <c r="DQ542" s="27" t="s">
        <v>8</v>
      </c>
      <c r="DR542" s="27" t="s">
        <v>7</v>
      </c>
      <c r="DS542" s="27" t="s">
        <v>8</v>
      </c>
      <c r="DU542" s="27" t="s">
        <v>8</v>
      </c>
      <c r="DV542" s="27" t="s">
        <v>7</v>
      </c>
      <c r="DW542" s="27" t="s">
        <v>8</v>
      </c>
      <c r="EF542" s="27" t="s">
        <v>7</v>
      </c>
    </row>
    <row r="543" spans="1:136" x14ac:dyDescent="0.25">
      <c r="A543" s="7">
        <v>2.3900531424522997</v>
      </c>
      <c r="B543"/>
      <c r="C543"/>
      <c r="D543"/>
      <c r="E543"/>
      <c r="CW543" s="27" t="s">
        <v>8</v>
      </c>
      <c r="CX543" s="27" t="s">
        <v>7</v>
      </c>
      <c r="CY543" s="27" t="s">
        <v>8</v>
      </c>
      <c r="DM543" s="27" t="s">
        <v>8</v>
      </c>
      <c r="DN543" s="27" t="s">
        <v>7</v>
      </c>
      <c r="DQ543" s="27" t="s">
        <v>8</v>
      </c>
      <c r="DR543" s="27" t="s">
        <v>7</v>
      </c>
      <c r="DS543" s="27" t="s">
        <v>8</v>
      </c>
      <c r="DT543" s="27" t="s">
        <v>7</v>
      </c>
      <c r="DU543" s="27" t="s">
        <v>8</v>
      </c>
      <c r="DV543" s="27" t="s">
        <v>7</v>
      </c>
      <c r="DW543" s="27" t="s">
        <v>8</v>
      </c>
      <c r="EF543" s="27" t="s">
        <v>7</v>
      </c>
    </row>
    <row r="544" spans="1:136" x14ac:dyDescent="0.25">
      <c r="A544" s="7">
        <v>2.343189355345392</v>
      </c>
      <c r="B544"/>
      <c r="C544"/>
      <c r="D544"/>
      <c r="E544"/>
      <c r="CW544" s="27" t="s">
        <v>8</v>
      </c>
      <c r="CX544" s="27" t="s">
        <v>7</v>
      </c>
      <c r="CY544" s="27" t="s">
        <v>8</v>
      </c>
      <c r="CZ544" s="27" t="s">
        <v>7</v>
      </c>
      <c r="DM544" s="27" t="s">
        <v>8</v>
      </c>
      <c r="DN544" s="27" t="s">
        <v>7</v>
      </c>
      <c r="DQ544" s="27" t="s">
        <v>8</v>
      </c>
      <c r="DR544" s="27" t="s">
        <v>7</v>
      </c>
      <c r="DS544" s="27" t="s">
        <v>8</v>
      </c>
      <c r="DT544" s="27" t="s">
        <v>7</v>
      </c>
      <c r="DU544" s="27" t="s">
        <v>8</v>
      </c>
      <c r="DV544" s="27" t="s">
        <v>7</v>
      </c>
      <c r="DW544" s="27" t="s">
        <v>8</v>
      </c>
      <c r="EF544" s="27" t="s">
        <v>7</v>
      </c>
    </row>
    <row r="545" spans="1:136" x14ac:dyDescent="0.25">
      <c r="A545" s="7">
        <v>2.2972444660248938</v>
      </c>
      <c r="B545"/>
      <c r="C545"/>
      <c r="D545"/>
      <c r="E545"/>
      <c r="CW545" s="27" t="s">
        <v>8</v>
      </c>
      <c r="CX545" s="27" t="s">
        <v>7</v>
      </c>
      <c r="CY545" s="27" t="s">
        <v>8</v>
      </c>
      <c r="CZ545" s="27" t="s">
        <v>7</v>
      </c>
      <c r="DC545" s="27" t="s">
        <v>8</v>
      </c>
      <c r="DM545" s="27" t="s">
        <v>8</v>
      </c>
      <c r="DN545" s="27" t="s">
        <v>7</v>
      </c>
      <c r="DQ545" s="27" t="s">
        <v>8</v>
      </c>
      <c r="DR545" s="27" t="s">
        <v>7</v>
      </c>
      <c r="DS545" s="27" t="s">
        <v>8</v>
      </c>
      <c r="DT545" s="27" t="s">
        <v>7</v>
      </c>
      <c r="DU545" s="27" t="s">
        <v>8</v>
      </c>
      <c r="DV545" s="27" t="s">
        <v>7</v>
      </c>
      <c r="DW545" s="27" t="s">
        <v>8</v>
      </c>
      <c r="EF545" s="27" t="s">
        <v>7</v>
      </c>
    </row>
    <row r="546" spans="1:136" x14ac:dyDescent="0.25">
      <c r="A546" s="7">
        <v>2.252200456887151</v>
      </c>
      <c r="B546"/>
      <c r="C546"/>
      <c r="D546"/>
      <c r="E546"/>
      <c r="CW546" s="27" t="s">
        <v>8</v>
      </c>
      <c r="CX546" s="27" t="s">
        <v>7</v>
      </c>
      <c r="CY546" s="27" t="s">
        <v>8</v>
      </c>
      <c r="CZ546" s="27" t="s">
        <v>7</v>
      </c>
      <c r="DC546" s="27" t="s">
        <v>8</v>
      </c>
      <c r="DD546" s="27" t="s">
        <v>7</v>
      </c>
      <c r="DI546" s="27" t="s">
        <v>8</v>
      </c>
      <c r="DM546" s="27" t="s">
        <v>8</v>
      </c>
      <c r="DN546" s="27" t="s">
        <v>7</v>
      </c>
      <c r="DO546" s="27" t="s">
        <v>8</v>
      </c>
      <c r="DQ546" s="27" t="s">
        <v>8</v>
      </c>
      <c r="DR546" s="27" t="s">
        <v>7</v>
      </c>
      <c r="DS546" s="27" t="s">
        <v>8</v>
      </c>
      <c r="DT546" s="27" t="s">
        <v>7</v>
      </c>
      <c r="DU546" s="27" t="s">
        <v>8</v>
      </c>
      <c r="DV546" s="27" t="s">
        <v>7</v>
      </c>
      <c r="DW546" s="27" t="s">
        <v>8</v>
      </c>
      <c r="EF546" s="27" t="s">
        <v>7</v>
      </c>
    </row>
    <row r="547" spans="1:136" x14ac:dyDescent="0.25">
      <c r="A547" s="7">
        <v>2.208039663614854</v>
      </c>
      <c r="B547"/>
      <c r="C547"/>
      <c r="D547"/>
      <c r="E547"/>
      <c r="CW547" s="27" t="s">
        <v>8</v>
      </c>
      <c r="CX547" s="27" t="s">
        <v>7</v>
      </c>
      <c r="CY547" s="27" t="s">
        <v>8</v>
      </c>
      <c r="CZ547" s="27" t="s">
        <v>7</v>
      </c>
      <c r="DC547" s="27" t="s">
        <v>8</v>
      </c>
      <c r="DD547" s="27" t="s">
        <v>7</v>
      </c>
      <c r="DI547" s="27" t="s">
        <v>8</v>
      </c>
      <c r="DJ547" s="27" t="s">
        <v>7</v>
      </c>
      <c r="DM547" s="27" t="s">
        <v>8</v>
      </c>
      <c r="DN547" s="27" t="s">
        <v>7</v>
      </c>
      <c r="DO547" s="27" t="s">
        <v>8</v>
      </c>
      <c r="DP547" s="27" t="s">
        <v>7</v>
      </c>
      <c r="DQ547" s="27" t="s">
        <v>8</v>
      </c>
      <c r="DR547" s="27" t="s">
        <v>7</v>
      </c>
      <c r="DT547" s="27" t="s">
        <v>7</v>
      </c>
      <c r="DU547" s="27" t="s">
        <v>8</v>
      </c>
      <c r="DV547" s="27" t="s">
        <v>7</v>
      </c>
      <c r="EF547" s="27" t="s">
        <v>7</v>
      </c>
    </row>
    <row r="548" spans="1:136" x14ac:dyDescent="0.25">
      <c r="A548" s="7">
        <v>2.1647447682498568</v>
      </c>
      <c r="B548"/>
      <c r="C548"/>
      <c r="D548"/>
      <c r="E548"/>
      <c r="CW548" s="27" t="s">
        <v>8</v>
      </c>
      <c r="CX548" s="27" t="s">
        <v>7</v>
      </c>
      <c r="CY548" s="27" t="s">
        <v>8</v>
      </c>
      <c r="CZ548" s="27" t="s">
        <v>7</v>
      </c>
      <c r="DA548" s="27" t="s">
        <v>8</v>
      </c>
      <c r="DC548" s="27" t="s">
        <v>8</v>
      </c>
      <c r="DD548" s="27" t="s">
        <v>7</v>
      </c>
      <c r="DI548" s="27" t="s">
        <v>8</v>
      </c>
      <c r="DJ548" s="27" t="s">
        <v>7</v>
      </c>
      <c r="DM548" s="27" t="s">
        <v>8</v>
      </c>
      <c r="DN548" s="27" t="s">
        <v>7</v>
      </c>
      <c r="DO548" s="27" t="s">
        <v>8</v>
      </c>
      <c r="DP548" s="27" t="s">
        <v>7</v>
      </c>
      <c r="DQ548" s="27" t="s">
        <v>8</v>
      </c>
      <c r="DT548" s="27" t="s">
        <v>7</v>
      </c>
      <c r="EF548" s="27" t="s">
        <v>7</v>
      </c>
    </row>
    <row r="549" spans="1:136" x14ac:dyDescent="0.25">
      <c r="A549" s="7">
        <v>2.1222987924018204</v>
      </c>
      <c r="B549"/>
      <c r="C549"/>
      <c r="D549"/>
      <c r="E549"/>
      <c r="CW549" s="27" t="s">
        <v>8</v>
      </c>
      <c r="CX549" s="27" t="s">
        <v>7</v>
      </c>
      <c r="CY549" s="27" t="s">
        <v>8</v>
      </c>
      <c r="CZ549" s="27" t="s">
        <v>7</v>
      </c>
      <c r="DA549" s="27" t="s">
        <v>8</v>
      </c>
      <c r="DB549" s="27" t="s">
        <v>7</v>
      </c>
      <c r="DC549" s="27" t="s">
        <v>8</v>
      </c>
      <c r="DD549" s="27" t="s">
        <v>7</v>
      </c>
      <c r="DI549" s="27" t="s">
        <v>8</v>
      </c>
      <c r="DJ549" s="27" t="s">
        <v>7</v>
      </c>
      <c r="DM549" s="27" t="s">
        <v>8</v>
      </c>
      <c r="DN549" s="27" t="s">
        <v>7</v>
      </c>
      <c r="DO549" s="27" t="s">
        <v>8</v>
      </c>
      <c r="DP549" s="27" t="s">
        <v>7</v>
      </c>
      <c r="DQ549" s="27" t="s">
        <v>8</v>
      </c>
      <c r="EF549" s="27" t="s">
        <v>7</v>
      </c>
    </row>
    <row r="550" spans="1:136" x14ac:dyDescent="0.25">
      <c r="A550" s="7">
        <v>2.0806850905900198</v>
      </c>
      <c r="B550"/>
      <c r="C550"/>
      <c r="D550"/>
      <c r="E550"/>
      <c r="CW550" s="27" t="s">
        <v>8</v>
      </c>
      <c r="CX550" s="27" t="s">
        <v>7</v>
      </c>
      <c r="CY550" s="27" t="s">
        <v>8</v>
      </c>
      <c r="CZ550" s="27" t="s">
        <v>7</v>
      </c>
      <c r="DA550" s="27" t="s">
        <v>8</v>
      </c>
      <c r="DB550" s="27" t="s">
        <v>7</v>
      </c>
      <c r="DC550" s="27" t="s">
        <v>8</v>
      </c>
      <c r="DD550" s="27" t="s">
        <v>7</v>
      </c>
      <c r="DI550" s="27" t="s">
        <v>8</v>
      </c>
      <c r="DJ550" s="27" t="s">
        <v>7</v>
      </c>
      <c r="DM550" s="27" t="s">
        <v>8</v>
      </c>
      <c r="DN550" s="27" t="s">
        <v>7</v>
      </c>
      <c r="DO550" s="27" t="s">
        <v>8</v>
      </c>
      <c r="DP550" s="27" t="s">
        <v>7</v>
      </c>
      <c r="DQ550" s="27" t="s">
        <v>8</v>
      </c>
      <c r="EF550" s="27" t="s">
        <v>7</v>
      </c>
    </row>
    <row r="551" spans="1:136" x14ac:dyDescent="0.25">
      <c r="A551" s="7">
        <v>2.0398873437157055</v>
      </c>
      <c r="B551"/>
      <c r="C551"/>
      <c r="D551"/>
      <c r="E551"/>
      <c r="CQ551" s="27" t="s">
        <v>8</v>
      </c>
      <c r="CW551" s="27" t="s">
        <v>8</v>
      </c>
      <c r="CX551" s="27" t="s">
        <v>7</v>
      </c>
      <c r="CY551" s="27" t="s">
        <v>8</v>
      </c>
      <c r="CZ551" s="27" t="s">
        <v>7</v>
      </c>
      <c r="DA551" s="27" t="s">
        <v>8</v>
      </c>
      <c r="DB551" s="27" t="s">
        <v>7</v>
      </c>
      <c r="DC551" s="27" t="s">
        <v>8</v>
      </c>
      <c r="DD551" s="27" t="s">
        <v>7</v>
      </c>
      <c r="DI551" s="27" t="s">
        <v>8</v>
      </c>
      <c r="DJ551" s="27" t="s">
        <v>7</v>
      </c>
      <c r="DM551" s="27" t="s">
        <v>8</v>
      </c>
      <c r="DN551" s="27" t="s">
        <v>7</v>
      </c>
      <c r="DO551" s="27" t="s">
        <v>8</v>
      </c>
      <c r="DP551" s="27" t="s">
        <v>7</v>
      </c>
      <c r="EF551" s="27" t="s">
        <v>7</v>
      </c>
    </row>
    <row r="552" spans="1:136" x14ac:dyDescent="0.25">
      <c r="A552" s="7">
        <v>1.9998895526624565</v>
      </c>
      <c r="B552"/>
      <c r="C552"/>
      <c r="D552"/>
      <c r="E552"/>
      <c r="CQ552" s="27" t="s">
        <v>8</v>
      </c>
      <c r="CR552" s="27" t="s">
        <v>7</v>
      </c>
      <c r="CS552" s="27" t="s">
        <v>8</v>
      </c>
      <c r="CW552" s="27" t="s">
        <v>8</v>
      </c>
      <c r="CX552" s="27" t="s">
        <v>7</v>
      </c>
      <c r="CZ552" s="27" t="s">
        <v>7</v>
      </c>
      <c r="DB552" s="27" t="s">
        <v>7</v>
      </c>
      <c r="DC552" s="27" t="s">
        <v>8</v>
      </c>
      <c r="DD552" s="27" t="s">
        <v>7</v>
      </c>
      <c r="DI552" s="27" t="s">
        <v>8</v>
      </c>
      <c r="DJ552" s="27" t="s">
        <v>7</v>
      </c>
      <c r="DM552" s="27" t="s">
        <v>8</v>
      </c>
      <c r="DN552" s="27" t="s">
        <v>7</v>
      </c>
      <c r="DO552" s="27" t="s">
        <v>8</v>
      </c>
      <c r="EF552" s="27" t="s">
        <v>7</v>
      </c>
    </row>
    <row r="553" spans="1:136" x14ac:dyDescent="0.25">
      <c r="A553" s="7">
        <v>1.9606760320220162</v>
      </c>
      <c r="B553"/>
      <c r="C553"/>
      <c r="D553"/>
      <c r="E553"/>
      <c r="CQ553" s="27" t="s">
        <v>8</v>
      </c>
      <c r="CR553" s="27" t="s">
        <v>7</v>
      </c>
      <c r="CS553" s="27" t="s">
        <v>8</v>
      </c>
      <c r="CT553" s="27" t="s">
        <v>7</v>
      </c>
      <c r="CW553" s="27" t="s">
        <v>8</v>
      </c>
      <c r="DB553" s="27" t="s">
        <v>7</v>
      </c>
      <c r="DD553" s="27" t="s">
        <v>7</v>
      </c>
      <c r="DI553" s="27" t="s">
        <v>8</v>
      </c>
      <c r="DJ553" s="27" t="s">
        <v>7</v>
      </c>
      <c r="DM553" s="27" t="s">
        <v>8</v>
      </c>
      <c r="DN553" s="27" t="s">
        <v>7</v>
      </c>
      <c r="DO553" s="27" t="s">
        <v>8</v>
      </c>
    </row>
    <row r="554" spans="1:136" x14ac:dyDescent="0.25">
      <c r="A554" s="7">
        <v>1.9222314039431532</v>
      </c>
      <c r="B554"/>
      <c r="C554"/>
      <c r="D554"/>
      <c r="E554"/>
      <c r="BY554" s="27" t="s">
        <v>8</v>
      </c>
      <c r="CO554" s="27" t="s">
        <v>8</v>
      </c>
      <c r="CQ554" s="27" t="s">
        <v>8</v>
      </c>
      <c r="CR554" s="27" t="s">
        <v>7</v>
      </c>
      <c r="CS554" s="27" t="s">
        <v>8</v>
      </c>
      <c r="CT554" s="27" t="s">
        <v>7</v>
      </c>
      <c r="CW554" s="27" t="s">
        <v>8</v>
      </c>
      <c r="DD554" s="27" t="s">
        <v>7</v>
      </c>
      <c r="DI554" s="27" t="s">
        <v>8</v>
      </c>
      <c r="DJ554" s="27" t="s">
        <v>7</v>
      </c>
      <c r="DM554" s="27" t="s">
        <v>8</v>
      </c>
      <c r="DN554" s="27" t="s">
        <v>7</v>
      </c>
      <c r="DO554" s="27" t="s">
        <v>8</v>
      </c>
    </row>
    <row r="555" spans="1:136" x14ac:dyDescent="0.25">
      <c r="A555" s="7">
        <v>1.8845405921011305</v>
      </c>
      <c r="B555"/>
      <c r="C555"/>
      <c r="D555"/>
      <c r="E555"/>
      <c r="BY555" s="27" t="s">
        <v>8</v>
      </c>
      <c r="BZ555" s="27" t="s">
        <v>7</v>
      </c>
      <c r="CO555" s="27" t="s">
        <v>8</v>
      </c>
      <c r="CP555" s="27" t="s">
        <v>7</v>
      </c>
      <c r="CQ555" s="27" t="s">
        <v>8</v>
      </c>
      <c r="CR555" s="27" t="s">
        <v>7</v>
      </c>
      <c r="CS555" s="27" t="s">
        <v>8</v>
      </c>
      <c r="CT555" s="27" t="s">
        <v>7</v>
      </c>
      <c r="CU555" s="27" t="s">
        <v>8</v>
      </c>
      <c r="CW555" s="27" t="s">
        <v>8</v>
      </c>
      <c r="DD555" s="27" t="s">
        <v>7</v>
      </c>
      <c r="DI555" s="27" t="s">
        <v>8</v>
      </c>
      <c r="DJ555" s="27" t="s">
        <v>7</v>
      </c>
      <c r="DK555" s="27" t="s">
        <v>8</v>
      </c>
      <c r="DM555" s="27" t="s">
        <v>8</v>
      </c>
      <c r="DN555" s="27" t="s">
        <v>7</v>
      </c>
      <c r="DO555" s="27" t="s">
        <v>8</v>
      </c>
    </row>
    <row r="556" spans="1:136" x14ac:dyDescent="0.25">
      <c r="A556" s="7">
        <v>1.8475888157854219</v>
      </c>
      <c r="B556"/>
      <c r="C556"/>
      <c r="D556"/>
      <c r="E556"/>
      <c r="BI556" s="27" t="s">
        <v>8</v>
      </c>
      <c r="BY556" s="27" t="s">
        <v>8</v>
      </c>
      <c r="BZ556" s="27" t="s">
        <v>7</v>
      </c>
      <c r="CO556" s="27" t="s">
        <v>8</v>
      </c>
      <c r="CP556" s="27" t="s">
        <v>7</v>
      </c>
      <c r="CQ556" s="27" t="s">
        <v>8</v>
      </c>
      <c r="CR556" s="27" t="s">
        <v>7</v>
      </c>
      <c r="CT556" s="27" t="s">
        <v>7</v>
      </c>
      <c r="CU556" s="27" t="s">
        <v>8</v>
      </c>
      <c r="CV556" s="27" t="s">
        <v>7</v>
      </c>
      <c r="CW556" s="27" t="s">
        <v>8</v>
      </c>
      <c r="DD556" s="27" t="s">
        <v>7</v>
      </c>
      <c r="DI556" s="27" t="s">
        <v>8</v>
      </c>
      <c r="DJ556" s="27" t="s">
        <v>7</v>
      </c>
      <c r="DK556" s="27" t="s">
        <v>8</v>
      </c>
      <c r="DL556" s="27" t="s">
        <v>7</v>
      </c>
      <c r="DM556" s="27" t="s">
        <v>8</v>
      </c>
      <c r="DN556" s="27" t="s">
        <v>7</v>
      </c>
      <c r="DO556" s="27" t="s">
        <v>8</v>
      </c>
    </row>
    <row r="557" spans="1:136" x14ac:dyDescent="0.25">
      <c r="A557" s="7">
        <v>1.8113615841033548</v>
      </c>
      <c r="B557"/>
      <c r="C557"/>
      <c r="D557"/>
      <c r="E557"/>
      <c r="BI557" s="27" t="s">
        <v>8</v>
      </c>
      <c r="BJ557" s="27" t="s">
        <v>7</v>
      </c>
      <c r="BY557" s="27" t="s">
        <v>8</v>
      </c>
      <c r="BZ557" s="27" t="s">
        <v>7</v>
      </c>
      <c r="CO557" s="27" t="s">
        <v>8</v>
      </c>
      <c r="CP557" s="27" t="s">
        <v>7</v>
      </c>
      <c r="CQ557" s="27" t="s">
        <v>8</v>
      </c>
      <c r="CT557" s="27" t="s">
        <v>7</v>
      </c>
      <c r="CU557" s="27" t="s">
        <v>8</v>
      </c>
      <c r="CV557" s="27" t="s">
        <v>7</v>
      </c>
      <c r="CW557" s="27" t="s">
        <v>8</v>
      </c>
      <c r="DD557" s="27" t="s">
        <v>7</v>
      </c>
      <c r="DE557" s="27" t="s">
        <v>8</v>
      </c>
      <c r="DG557" s="27" t="s">
        <v>8</v>
      </c>
      <c r="DI557" s="27" t="s">
        <v>8</v>
      </c>
      <c r="DJ557" s="27" t="s">
        <v>7</v>
      </c>
      <c r="DK557" s="27" t="s">
        <v>8</v>
      </c>
      <c r="DL557" s="27" t="s">
        <v>7</v>
      </c>
      <c r="DM557" s="27" t="s">
        <v>8</v>
      </c>
      <c r="DN557" s="27" t="s">
        <v>7</v>
      </c>
      <c r="DO557" s="27" t="s">
        <v>8</v>
      </c>
    </row>
    <row r="558" spans="1:136" x14ac:dyDescent="0.25">
      <c r="A558" s="7">
        <v>1.7758446902974065</v>
      </c>
      <c r="B558"/>
      <c r="C558"/>
      <c r="D558"/>
      <c r="E558"/>
      <c r="BI558" s="27" t="s">
        <v>8</v>
      </c>
      <c r="BJ558" s="27" t="s">
        <v>7</v>
      </c>
      <c r="BY558" s="27" t="s">
        <v>8</v>
      </c>
      <c r="BZ558" s="27" t="s">
        <v>7</v>
      </c>
      <c r="CO558" s="27" t="s">
        <v>8</v>
      </c>
      <c r="CP558" s="27" t="s">
        <v>7</v>
      </c>
      <c r="CQ558" s="27" t="s">
        <v>8</v>
      </c>
      <c r="CT558" s="27" t="s">
        <v>7</v>
      </c>
      <c r="CV558" s="27" t="s">
        <v>7</v>
      </c>
      <c r="CW558" s="27" t="s">
        <v>8</v>
      </c>
      <c r="DD558" s="27" t="s">
        <v>7</v>
      </c>
      <c r="DE558" s="27" t="s">
        <v>8</v>
      </c>
      <c r="DF558" s="27" t="s">
        <v>7</v>
      </c>
      <c r="DG558" s="27" t="s">
        <v>8</v>
      </c>
      <c r="DH558" s="27" t="s">
        <v>7</v>
      </c>
      <c r="DI558" s="27" t="s">
        <v>8</v>
      </c>
      <c r="DJ558" s="27" t="s">
        <v>7</v>
      </c>
      <c r="DK558" s="27" t="s">
        <v>8</v>
      </c>
      <c r="DL558" s="27" t="s">
        <v>7</v>
      </c>
      <c r="DM558" s="27" t="s">
        <v>8</v>
      </c>
      <c r="DN558" s="27" t="s">
        <v>7</v>
      </c>
      <c r="DO558" s="27" t="s">
        <v>8</v>
      </c>
    </row>
    <row r="559" spans="1:136" x14ac:dyDescent="0.25">
      <c r="A559" s="7">
        <v>1.7410242061739281</v>
      </c>
      <c r="B559"/>
      <c r="C559"/>
      <c r="D559"/>
      <c r="E559"/>
      <c r="BC559" s="27" t="s">
        <v>8</v>
      </c>
      <c r="BI559" s="27" t="s">
        <v>8</v>
      </c>
      <c r="BJ559" s="27" t="s">
        <v>7</v>
      </c>
      <c r="BY559" s="27" t="s">
        <v>8</v>
      </c>
      <c r="BZ559" s="27" t="s">
        <v>7</v>
      </c>
      <c r="CO559" s="27" t="s">
        <v>8</v>
      </c>
      <c r="CP559" s="27" t="s">
        <v>7</v>
      </c>
      <c r="CQ559" s="27" t="s">
        <v>8</v>
      </c>
      <c r="CV559" s="27" t="s">
        <v>7</v>
      </c>
      <c r="DD559" s="27" t="s">
        <v>7</v>
      </c>
      <c r="DE559" s="27" t="s">
        <v>8</v>
      </c>
      <c r="DF559" s="27" t="s">
        <v>7</v>
      </c>
      <c r="DG559" s="27" t="s">
        <v>8</v>
      </c>
      <c r="DH559" s="27" t="s">
        <v>7</v>
      </c>
      <c r="DI559" s="27" t="s">
        <v>8</v>
      </c>
      <c r="DJ559" s="27" t="s">
        <v>7</v>
      </c>
      <c r="DK559" s="27" t="s">
        <v>8</v>
      </c>
      <c r="DL559" s="27" t="s">
        <v>7</v>
      </c>
      <c r="DM559" s="27" t="s">
        <v>8</v>
      </c>
      <c r="DN559" s="27" t="s">
        <v>7</v>
      </c>
      <c r="DO559" s="27" t="s">
        <v>8</v>
      </c>
    </row>
    <row r="560" spans="1:136" x14ac:dyDescent="0.25">
      <c r="A560" s="7">
        <v>1.7068864766411058</v>
      </c>
      <c r="B560"/>
      <c r="C560"/>
      <c r="D560"/>
      <c r="E560"/>
      <c r="BC560" s="27" t="s">
        <v>8</v>
      </c>
      <c r="BD560" s="27" t="s">
        <v>7</v>
      </c>
      <c r="BE560" s="27" t="s">
        <v>8</v>
      </c>
      <c r="BI560" s="27" t="s">
        <v>8</v>
      </c>
      <c r="BJ560" s="27" t="s">
        <v>7</v>
      </c>
      <c r="BY560" s="27" t="s">
        <v>8</v>
      </c>
      <c r="BZ560" s="27" t="s">
        <v>7</v>
      </c>
      <c r="CO560" s="27" t="s">
        <v>8</v>
      </c>
      <c r="CP560" s="27" t="s">
        <v>7</v>
      </c>
      <c r="CQ560" s="27" t="s">
        <v>8</v>
      </c>
      <c r="DD560" s="27" t="s">
        <v>7</v>
      </c>
      <c r="DE560" s="27" t="s">
        <v>8</v>
      </c>
      <c r="DF560" s="27" t="s">
        <v>7</v>
      </c>
      <c r="DH560" s="27" t="s">
        <v>7</v>
      </c>
      <c r="DI560" s="27" t="s">
        <v>8</v>
      </c>
      <c r="DJ560" s="27" t="s">
        <v>7</v>
      </c>
      <c r="DK560" s="27" t="s">
        <v>8</v>
      </c>
      <c r="DL560" s="27" t="s">
        <v>7</v>
      </c>
      <c r="DM560" s="27" t="s">
        <v>8</v>
      </c>
      <c r="DN560" s="27" t="s">
        <v>7</v>
      </c>
    </row>
    <row r="561" spans="1:117" x14ac:dyDescent="0.25">
      <c r="A561" s="7">
        <v>1.6734181143540252</v>
      </c>
      <c r="B561"/>
      <c r="C561"/>
      <c r="D561"/>
      <c r="E561"/>
      <c r="BC561" s="27" t="s">
        <v>8</v>
      </c>
      <c r="BD561" s="27" t="s">
        <v>7</v>
      </c>
      <c r="BE561" s="27" t="s">
        <v>8</v>
      </c>
      <c r="BF561" s="27" t="s">
        <v>7</v>
      </c>
      <c r="BI561" s="27" t="s">
        <v>8</v>
      </c>
      <c r="BJ561" s="27" t="s">
        <v>7</v>
      </c>
      <c r="BY561" s="27" t="s">
        <v>8</v>
      </c>
      <c r="BZ561" s="27" t="s">
        <v>7</v>
      </c>
      <c r="CO561" s="27" t="s">
        <v>8</v>
      </c>
      <c r="CP561" s="27" t="s">
        <v>7</v>
      </c>
      <c r="CQ561" s="27" t="s">
        <v>8</v>
      </c>
      <c r="DD561" s="27" t="s">
        <v>7</v>
      </c>
      <c r="DE561" s="27" t="s">
        <v>8</v>
      </c>
      <c r="DH561" s="27" t="s">
        <v>7</v>
      </c>
      <c r="DJ561" s="27" t="s">
        <v>7</v>
      </c>
      <c r="DK561" s="27" t="s">
        <v>8</v>
      </c>
      <c r="DL561" s="27" t="s">
        <v>7</v>
      </c>
      <c r="DM561" s="27" t="s">
        <v>8</v>
      </c>
    </row>
    <row r="562" spans="1:117" x14ac:dyDescent="0.25">
      <c r="A562" s="7">
        <v>1.6406059944647307</v>
      </c>
      <c r="B562"/>
      <c r="C562"/>
      <c r="D562"/>
      <c r="E562"/>
      <c r="BC562" s="27" t="s">
        <v>8</v>
      </c>
      <c r="BD562" s="27" t="s">
        <v>7</v>
      </c>
      <c r="BE562" s="27" t="s">
        <v>8</v>
      </c>
      <c r="BF562" s="27" t="s">
        <v>7</v>
      </c>
      <c r="BI562" s="27" t="s">
        <v>8</v>
      </c>
      <c r="BJ562" s="27" t="s">
        <v>7</v>
      </c>
      <c r="BY562" s="27" t="s">
        <v>8</v>
      </c>
      <c r="BZ562" s="27" t="s">
        <v>7</v>
      </c>
      <c r="CO562" s="27" t="s">
        <v>8</v>
      </c>
      <c r="CP562" s="27" t="s">
        <v>7</v>
      </c>
      <c r="CQ562" s="27" t="s">
        <v>8</v>
      </c>
      <c r="DD562" s="27" t="s">
        <v>7</v>
      </c>
      <c r="DJ562" s="27" t="s">
        <v>7</v>
      </c>
      <c r="DK562" s="27" t="s">
        <v>8</v>
      </c>
      <c r="DL562" s="27" t="s">
        <v>7</v>
      </c>
      <c r="DM562" s="27" t="s">
        <v>8</v>
      </c>
    </row>
    <row r="563" spans="1:117" x14ac:dyDescent="0.25">
      <c r="A563" s="7">
        <v>1.6084372494752261</v>
      </c>
      <c r="B563"/>
      <c r="C563"/>
      <c r="D563"/>
      <c r="E563"/>
      <c r="BC563" s="27" t="s">
        <v>8</v>
      </c>
      <c r="BD563" s="27" t="s">
        <v>7</v>
      </c>
      <c r="BE563" s="27" t="s">
        <v>8</v>
      </c>
      <c r="BF563" s="27" t="s">
        <v>7</v>
      </c>
      <c r="BI563" s="27" t="s">
        <v>8</v>
      </c>
      <c r="BJ563" s="27" t="s">
        <v>7</v>
      </c>
      <c r="BY563" s="27" t="s">
        <v>8</v>
      </c>
      <c r="BZ563" s="27" t="s">
        <v>7</v>
      </c>
      <c r="CO563" s="27" t="s">
        <v>8</v>
      </c>
      <c r="CP563" s="27" t="s">
        <v>7</v>
      </c>
      <c r="CQ563" s="27" t="s">
        <v>8</v>
      </c>
      <c r="DJ563" s="27" t="s">
        <v>7</v>
      </c>
      <c r="DK563" s="27" t="s">
        <v>8</v>
      </c>
      <c r="DL563" s="27" t="s">
        <v>7</v>
      </c>
      <c r="DM563" s="27" t="s">
        <v>8</v>
      </c>
    </row>
    <row r="564" spans="1:117" x14ac:dyDescent="0.25">
      <c r="A564" s="7">
        <v>1.5768992641913981</v>
      </c>
      <c r="B564"/>
      <c r="C564"/>
      <c r="D564"/>
      <c r="E564"/>
      <c r="BC564" s="27" t="s">
        <v>8</v>
      </c>
      <c r="BD564" s="27" t="s">
        <v>7</v>
      </c>
      <c r="BF564" s="27" t="s">
        <v>7</v>
      </c>
      <c r="BI564" s="27" t="s">
        <v>8</v>
      </c>
      <c r="BJ564" s="27" t="s">
        <v>7</v>
      </c>
      <c r="BY564" s="27" t="s">
        <v>8</v>
      </c>
      <c r="BZ564" s="27" t="s">
        <v>7</v>
      </c>
      <c r="CA564" s="27" t="s">
        <v>8</v>
      </c>
      <c r="CO564" s="27" t="s">
        <v>8</v>
      </c>
      <c r="CP564" s="27" t="s">
        <v>7</v>
      </c>
      <c r="CQ564" s="27" t="s">
        <v>8</v>
      </c>
      <c r="DJ564" s="27" t="s">
        <v>7</v>
      </c>
      <c r="DK564" s="27" t="s">
        <v>8</v>
      </c>
      <c r="DL564" s="27" t="s">
        <v>7</v>
      </c>
    </row>
    <row r="565" spans="1:117" x14ac:dyDescent="0.25">
      <c r="A565" s="7">
        <v>1.5459796707758806</v>
      </c>
      <c r="B565"/>
      <c r="C565"/>
      <c r="D565"/>
      <c r="E565"/>
      <c r="BA565" s="27" t="s">
        <v>8</v>
      </c>
      <c r="BC565" s="27" t="s">
        <v>8</v>
      </c>
      <c r="BF565" s="27" t="s">
        <v>7</v>
      </c>
      <c r="BI565" s="27" t="s">
        <v>8</v>
      </c>
      <c r="BJ565" s="27" t="s">
        <v>7</v>
      </c>
      <c r="BY565" s="27" t="s">
        <v>8</v>
      </c>
      <c r="BZ565" s="27" t="s">
        <v>7</v>
      </c>
      <c r="CA565" s="27" t="s">
        <v>8</v>
      </c>
      <c r="CB565" s="27" t="s">
        <v>7</v>
      </c>
      <c r="CO565" s="27" t="s">
        <v>8</v>
      </c>
      <c r="CP565" s="27" t="s">
        <v>7</v>
      </c>
      <c r="DJ565" s="27" t="s">
        <v>7</v>
      </c>
      <c r="DK565" s="27" t="s">
        <v>8</v>
      </c>
    </row>
    <row r="566" spans="1:117" x14ac:dyDescent="0.25">
      <c r="A566" s="7">
        <v>1.5156663438979221</v>
      </c>
      <c r="B566"/>
      <c r="C566"/>
      <c r="D566"/>
      <c r="E566"/>
      <c r="BA566" s="27" t="s">
        <v>8</v>
      </c>
      <c r="BB566" s="27" t="s">
        <v>7</v>
      </c>
      <c r="BC566" s="27" t="s">
        <v>8</v>
      </c>
      <c r="BF566" s="27" t="s">
        <v>7</v>
      </c>
      <c r="BI566" s="27" t="s">
        <v>8</v>
      </c>
      <c r="BJ566" s="27" t="s">
        <v>7</v>
      </c>
      <c r="BY566" s="27" t="s">
        <v>8</v>
      </c>
      <c r="BZ566" s="27" t="s">
        <v>7</v>
      </c>
      <c r="CA566" s="27" t="s">
        <v>8</v>
      </c>
      <c r="CB566" s="27" t="s">
        <v>7</v>
      </c>
      <c r="CO566" s="27" t="s">
        <v>8</v>
      </c>
      <c r="DJ566" s="27" t="s">
        <v>7</v>
      </c>
    </row>
    <row r="567" spans="1:117" x14ac:dyDescent="0.25">
      <c r="A567" s="7">
        <v>1.4859473959783549</v>
      </c>
      <c r="B567"/>
      <c r="C567"/>
      <c r="D567"/>
      <c r="E567"/>
      <c r="AY567" s="27" t="s">
        <v>8</v>
      </c>
      <c r="BA567" s="27" t="s">
        <v>8</v>
      </c>
      <c r="BB567" s="27" t="s">
        <v>7</v>
      </c>
      <c r="BC567" s="27" t="s">
        <v>8</v>
      </c>
      <c r="BF567" s="27" t="s">
        <v>7</v>
      </c>
      <c r="BG567" s="27" t="s">
        <v>8</v>
      </c>
      <c r="BI567" s="27" t="s">
        <v>8</v>
      </c>
      <c r="BJ567" s="27" t="s">
        <v>7</v>
      </c>
      <c r="BK567" s="27" t="s">
        <v>8</v>
      </c>
      <c r="BY567" s="27" t="s">
        <v>8</v>
      </c>
      <c r="BZ567" s="27" t="s">
        <v>7</v>
      </c>
      <c r="CA567" s="27" t="s">
        <v>8</v>
      </c>
      <c r="CB567" s="27" t="s">
        <v>7</v>
      </c>
      <c r="CO567" s="27" t="s">
        <v>8</v>
      </c>
    </row>
    <row r="568" spans="1:117" x14ac:dyDescent="0.25">
      <c r="A568" s="7">
        <v>1.4568111725277988</v>
      </c>
      <c r="B568"/>
      <c r="C568"/>
      <c r="D568"/>
      <c r="E568"/>
      <c r="AY568" s="27" t="s">
        <v>8</v>
      </c>
      <c r="AZ568" s="27" t="s">
        <v>7</v>
      </c>
      <c r="BA568" s="27" t="s">
        <v>8</v>
      </c>
      <c r="BB568" s="27" t="s">
        <v>7</v>
      </c>
      <c r="BC568" s="27" t="s">
        <v>8</v>
      </c>
      <c r="BF568" s="27" t="s">
        <v>7</v>
      </c>
      <c r="BG568" s="27" t="s">
        <v>8</v>
      </c>
      <c r="BH568" s="27" t="s">
        <v>7</v>
      </c>
      <c r="BI568" s="27" t="s">
        <v>8</v>
      </c>
      <c r="BJ568" s="27" t="s">
        <v>7</v>
      </c>
      <c r="BK568" s="27" t="s">
        <v>8</v>
      </c>
      <c r="BL568" s="27" t="s">
        <v>7</v>
      </c>
      <c r="BU568" s="27" t="s">
        <v>8</v>
      </c>
      <c r="BW568" s="27" t="s">
        <v>8</v>
      </c>
      <c r="BY568" s="27" t="s">
        <v>8</v>
      </c>
      <c r="BZ568" s="27" t="s">
        <v>7</v>
      </c>
      <c r="CA568" s="27" t="s">
        <v>8</v>
      </c>
      <c r="CB568" s="27" t="s">
        <v>7</v>
      </c>
      <c r="CO568" s="27" t="s">
        <v>8</v>
      </c>
    </row>
    <row r="569" spans="1:117" x14ac:dyDescent="0.25">
      <c r="A569" s="7">
        <v>1.4282462475762734</v>
      </c>
      <c r="B569"/>
      <c r="C569"/>
      <c r="D569"/>
      <c r="E569"/>
      <c r="AW569" s="27" t="s">
        <v>8</v>
      </c>
      <c r="AY569" s="27" t="s">
        <v>8</v>
      </c>
      <c r="AZ569" s="27" t="s">
        <v>7</v>
      </c>
      <c r="BA569" s="27" t="s">
        <v>8</v>
      </c>
      <c r="BB569" s="27" t="s">
        <v>7</v>
      </c>
      <c r="BC569" s="27" t="s">
        <v>8</v>
      </c>
      <c r="BF569" s="27" t="s">
        <v>7</v>
      </c>
      <c r="BG569" s="27" t="s">
        <v>8</v>
      </c>
      <c r="BH569" s="27" t="s">
        <v>7</v>
      </c>
      <c r="BI569" s="27" t="s">
        <v>8</v>
      </c>
      <c r="BJ569" s="27" t="s">
        <v>7</v>
      </c>
      <c r="BK569" s="27" t="s">
        <v>8</v>
      </c>
      <c r="BL569" s="27" t="s">
        <v>7</v>
      </c>
      <c r="BU569" s="27" t="s">
        <v>8</v>
      </c>
      <c r="BV569" s="27" t="s">
        <v>7</v>
      </c>
      <c r="BW569" s="27" t="s">
        <v>8</v>
      </c>
      <c r="BX569" s="27" t="s">
        <v>7</v>
      </c>
      <c r="BY569" s="27" t="s">
        <v>8</v>
      </c>
      <c r="BZ569" s="27" t="s">
        <v>7</v>
      </c>
      <c r="CB569" s="27" t="s">
        <v>7</v>
      </c>
      <c r="CC569" s="27" t="s">
        <v>8</v>
      </c>
      <c r="CO569" s="27" t="s">
        <v>8</v>
      </c>
    </row>
    <row r="570" spans="1:117" x14ac:dyDescent="0.25">
      <c r="A570" s="7">
        <v>1.4002414191924248</v>
      </c>
      <c r="B570"/>
      <c r="C570"/>
      <c r="D570"/>
      <c r="E570"/>
      <c r="AW570" s="27" t="s">
        <v>8</v>
      </c>
      <c r="AX570" s="27" t="s">
        <v>7</v>
      </c>
      <c r="AY570" s="27" t="s">
        <v>8</v>
      </c>
      <c r="AZ570" s="27" t="s">
        <v>7</v>
      </c>
      <c r="BA570" s="27" t="s">
        <v>8</v>
      </c>
      <c r="BB570" s="27" t="s">
        <v>7</v>
      </c>
      <c r="BC570" s="27" t="s">
        <v>8</v>
      </c>
      <c r="BF570" s="27" t="s">
        <v>7</v>
      </c>
      <c r="BH570" s="27" t="s">
        <v>7</v>
      </c>
      <c r="BI570" s="27" t="s">
        <v>8</v>
      </c>
      <c r="BJ570" s="27" t="s">
        <v>7</v>
      </c>
      <c r="BK570" s="27" t="s">
        <v>8</v>
      </c>
      <c r="BL570" s="27" t="s">
        <v>7</v>
      </c>
      <c r="BU570" s="27" t="s">
        <v>8</v>
      </c>
      <c r="BV570" s="27" t="s">
        <v>7</v>
      </c>
      <c r="BW570" s="27" t="s">
        <v>8</v>
      </c>
      <c r="BX570" s="27" t="s">
        <v>7</v>
      </c>
      <c r="BY570" s="27" t="s">
        <v>8</v>
      </c>
      <c r="CB570" s="27" t="s">
        <v>7</v>
      </c>
      <c r="CC570" s="27" t="s">
        <v>8</v>
      </c>
      <c r="CD570" s="27" t="s">
        <v>7</v>
      </c>
      <c r="CO570" s="27" t="s">
        <v>8</v>
      </c>
    </row>
    <row r="571" spans="1:117" x14ac:dyDescent="0.25">
      <c r="A571" s="7">
        <v>1.3727857050906125</v>
      </c>
      <c r="B571"/>
      <c r="C571"/>
      <c r="D571"/>
      <c r="E571"/>
      <c r="AW571" s="27" t="s">
        <v>8</v>
      </c>
      <c r="AX571" s="27" t="s">
        <v>7</v>
      </c>
      <c r="AY571" s="27" t="s">
        <v>8</v>
      </c>
      <c r="AZ571" s="27" t="s">
        <v>7</v>
      </c>
      <c r="BA571" s="27" t="s">
        <v>8</v>
      </c>
      <c r="BB571" s="27" t="s">
        <v>7</v>
      </c>
      <c r="BH571" s="27" t="s">
        <v>7</v>
      </c>
      <c r="BJ571" s="27" t="s">
        <v>7</v>
      </c>
      <c r="BK571" s="27" t="s">
        <v>8</v>
      </c>
      <c r="BL571" s="27" t="s">
        <v>7</v>
      </c>
      <c r="BM571" s="27" t="s">
        <v>8</v>
      </c>
      <c r="BU571" s="27" t="s">
        <v>8</v>
      </c>
      <c r="BV571" s="27" t="s">
        <v>7</v>
      </c>
      <c r="BW571" s="27" t="s">
        <v>8</v>
      </c>
      <c r="BX571" s="27" t="s">
        <v>7</v>
      </c>
      <c r="BY571" s="27" t="s">
        <v>8</v>
      </c>
      <c r="CB571" s="27" t="s">
        <v>7</v>
      </c>
      <c r="CC571" s="27" t="s">
        <v>8</v>
      </c>
      <c r="CD571" s="27" t="s">
        <v>7</v>
      </c>
      <c r="CO571" s="27" t="s">
        <v>8</v>
      </c>
    </row>
    <row r="572" spans="1:117" x14ac:dyDescent="0.25">
      <c r="A572" s="7">
        <v>1.3458683383241299</v>
      </c>
      <c r="B572"/>
      <c r="C572"/>
      <c r="D572"/>
      <c r="E572"/>
      <c r="AW572" s="27" t="s">
        <v>8</v>
      </c>
      <c r="AX572" s="27" t="s">
        <v>7</v>
      </c>
      <c r="AY572" s="27" t="s">
        <v>8</v>
      </c>
      <c r="AZ572" s="27" t="s">
        <v>7</v>
      </c>
      <c r="BJ572" s="27" t="s">
        <v>7</v>
      </c>
      <c r="BL572" s="27" t="s">
        <v>7</v>
      </c>
      <c r="BM572" s="27" t="s">
        <v>8</v>
      </c>
      <c r="BN572" s="27" t="s">
        <v>7</v>
      </c>
      <c r="BU572" s="27" t="s">
        <v>8</v>
      </c>
      <c r="BV572" s="27" t="s">
        <v>7</v>
      </c>
      <c r="BW572" s="27" t="s">
        <v>8</v>
      </c>
      <c r="BX572" s="27" t="s">
        <v>7</v>
      </c>
      <c r="CB572" s="27" t="s">
        <v>7</v>
      </c>
      <c r="CC572" s="27" t="s">
        <v>8</v>
      </c>
      <c r="CD572" s="27" t="s">
        <v>7</v>
      </c>
      <c r="CO572" s="27" t="s">
        <v>8</v>
      </c>
    </row>
    <row r="573" spans="1:117" x14ac:dyDescent="0.25">
      <c r="A573" s="7">
        <v>1.3194787630628724</v>
      </c>
      <c r="B573"/>
      <c r="C573"/>
      <c r="D573"/>
      <c r="E573"/>
      <c r="AW573" s="27" t="s">
        <v>8</v>
      </c>
      <c r="AX573" s="27" t="s">
        <v>7</v>
      </c>
      <c r="AY573" s="27" t="s">
        <v>8</v>
      </c>
      <c r="BL573" s="27" t="s">
        <v>7</v>
      </c>
      <c r="BM573" s="27" t="s">
        <v>8</v>
      </c>
      <c r="BN573" s="27" t="s">
        <v>7</v>
      </c>
      <c r="BU573" s="27" t="s">
        <v>8</v>
      </c>
      <c r="BV573" s="27" t="s">
        <v>7</v>
      </c>
      <c r="BW573" s="27" t="s">
        <v>8</v>
      </c>
      <c r="CB573" s="27" t="s">
        <v>7</v>
      </c>
      <c r="CC573" s="27" t="s">
        <v>8</v>
      </c>
      <c r="CD573" s="27" t="s">
        <v>7</v>
      </c>
      <c r="CO573" s="27" t="s">
        <v>8</v>
      </c>
    </row>
    <row r="574" spans="1:117" x14ac:dyDescent="0.25">
      <c r="A574" s="7">
        <v>1.2936066304537963</v>
      </c>
      <c r="B574"/>
      <c r="C574"/>
      <c r="D574"/>
      <c r="E574"/>
      <c r="AQ574" s="27" t="s">
        <v>8</v>
      </c>
      <c r="AW574" s="27" t="s">
        <v>8</v>
      </c>
      <c r="AX574" s="27" t="s">
        <v>7</v>
      </c>
      <c r="AY574" s="27" t="s">
        <v>8</v>
      </c>
      <c r="BL574" s="27" t="s">
        <v>7</v>
      </c>
      <c r="BM574" s="27" t="s">
        <v>8</v>
      </c>
      <c r="BN574" s="27" t="s">
        <v>7</v>
      </c>
      <c r="BU574" s="27" t="s">
        <v>8</v>
      </c>
      <c r="BV574" s="27" t="s">
        <v>7</v>
      </c>
      <c r="CB574" s="27" t="s">
        <v>7</v>
      </c>
      <c r="CD574" s="27" t="s">
        <v>7</v>
      </c>
      <c r="CO574" s="27" t="s">
        <v>8</v>
      </c>
    </row>
    <row r="575" spans="1:117" x14ac:dyDescent="0.25">
      <c r="A575" s="7">
        <v>1.2682417945625455</v>
      </c>
      <c r="B575"/>
      <c r="C575"/>
      <c r="D575"/>
      <c r="E575"/>
      <c r="AQ575" s="27" t="s">
        <v>8</v>
      </c>
      <c r="AR575" s="27" t="s">
        <v>7</v>
      </c>
      <c r="AU575" s="27" t="s">
        <v>8</v>
      </c>
      <c r="AW575" s="27" t="s">
        <v>8</v>
      </c>
      <c r="AX575" s="27" t="s">
        <v>7</v>
      </c>
      <c r="AY575" s="27" t="s">
        <v>8</v>
      </c>
      <c r="BL575" s="27" t="s">
        <v>7</v>
      </c>
      <c r="BM575" s="27" t="s">
        <v>8</v>
      </c>
      <c r="BN575" s="27" t="s">
        <v>7</v>
      </c>
      <c r="BO575" s="27" t="s">
        <v>8</v>
      </c>
      <c r="BU575" s="27" t="s">
        <v>8</v>
      </c>
      <c r="CD575" s="27" t="s">
        <v>7</v>
      </c>
      <c r="CO575" s="27" t="s">
        <v>8</v>
      </c>
    </row>
    <row r="576" spans="1:117" x14ac:dyDescent="0.25">
      <c r="A576" s="7">
        <v>1.2433743083946525</v>
      </c>
      <c r="B576"/>
      <c r="C576"/>
      <c r="D576"/>
      <c r="E576"/>
      <c r="AQ576" s="27" t="s">
        <v>8</v>
      </c>
      <c r="AR576" s="27" t="s">
        <v>7</v>
      </c>
      <c r="AS576" s="27" t="s">
        <v>8</v>
      </c>
      <c r="AU576" s="27" t="s">
        <v>8</v>
      </c>
      <c r="AV576" s="27" t="s">
        <v>7</v>
      </c>
      <c r="AW576" s="27" t="s">
        <v>8</v>
      </c>
      <c r="AX576" s="27" t="s">
        <v>7</v>
      </c>
      <c r="AY576" s="27" t="s">
        <v>8</v>
      </c>
      <c r="BL576" s="27" t="s">
        <v>7</v>
      </c>
      <c r="BM576" s="27" t="s">
        <v>8</v>
      </c>
      <c r="BN576" s="27" t="s">
        <v>7</v>
      </c>
      <c r="BO576" s="27" t="s">
        <v>8</v>
      </c>
      <c r="BP576" s="27" t="s">
        <v>7</v>
      </c>
      <c r="BU576" s="27" t="s">
        <v>8</v>
      </c>
      <c r="CD576" s="27" t="s">
        <v>7</v>
      </c>
      <c r="CG576" s="27" t="s">
        <v>8</v>
      </c>
      <c r="CO576" s="27" t="s">
        <v>8</v>
      </c>
    </row>
    <row r="577" spans="1:93" x14ac:dyDescent="0.25">
      <c r="A577" s="7">
        <v>1.2189944199947573</v>
      </c>
      <c r="B577"/>
      <c r="C577"/>
      <c r="D577"/>
      <c r="E577"/>
      <c r="AQ577" s="27" t="s">
        <v>8</v>
      </c>
      <c r="AR577" s="27" t="s">
        <v>7</v>
      </c>
      <c r="AS577" s="27" t="s">
        <v>8</v>
      </c>
      <c r="AT577" s="27" t="s">
        <v>7</v>
      </c>
      <c r="AU577" s="27" t="s">
        <v>8</v>
      </c>
      <c r="AV577" s="27" t="s">
        <v>7</v>
      </c>
      <c r="AW577" s="27" t="s">
        <v>8</v>
      </c>
      <c r="AX577" s="27" t="s">
        <v>7</v>
      </c>
      <c r="AY577" s="27" t="s">
        <v>8</v>
      </c>
      <c r="BL577" s="27" t="s">
        <v>7</v>
      </c>
      <c r="BN577" s="27" t="s">
        <v>7</v>
      </c>
      <c r="BO577" s="27" t="s">
        <v>8</v>
      </c>
      <c r="BP577" s="27" t="s">
        <v>7</v>
      </c>
      <c r="BU577" s="27" t="s">
        <v>8</v>
      </c>
      <c r="CD577" s="27" t="s">
        <v>7</v>
      </c>
      <c r="CE577" s="27" t="s">
        <v>8</v>
      </c>
      <c r="CG577" s="27" t="s">
        <v>8</v>
      </c>
      <c r="CH577" s="27" t="s">
        <v>7</v>
      </c>
      <c r="CO577" s="27" t="s">
        <v>8</v>
      </c>
    </row>
    <row r="578" spans="1:93" x14ac:dyDescent="0.25">
      <c r="A578" s="7">
        <v>1.1950925686223111</v>
      </c>
      <c r="B578"/>
      <c r="C578"/>
      <c r="D578"/>
      <c r="E578"/>
      <c r="AQ578" s="27" t="s">
        <v>8</v>
      </c>
      <c r="AR578" s="27" t="s">
        <v>7</v>
      </c>
      <c r="AS578" s="27" t="s">
        <v>8</v>
      </c>
      <c r="AT578" s="27" t="s">
        <v>7</v>
      </c>
      <c r="AU578" s="27" t="s">
        <v>8</v>
      </c>
      <c r="AV578" s="27" t="s">
        <v>7</v>
      </c>
      <c r="AW578" s="27" t="s">
        <v>8</v>
      </c>
      <c r="AX578" s="27" t="s">
        <v>7</v>
      </c>
      <c r="AY578" s="27" t="s">
        <v>8</v>
      </c>
      <c r="BN578" s="27" t="s">
        <v>7</v>
      </c>
      <c r="BO578" s="27" t="s">
        <v>8</v>
      </c>
      <c r="BP578" s="27" t="s">
        <v>7</v>
      </c>
      <c r="BU578" s="27" t="s">
        <v>8</v>
      </c>
      <c r="CD578" s="27" t="s">
        <v>7</v>
      </c>
      <c r="CE578" s="27" t="s">
        <v>8</v>
      </c>
      <c r="CF578" s="27" t="s">
        <v>7</v>
      </c>
      <c r="CG578" s="27" t="s">
        <v>8</v>
      </c>
      <c r="CH578" s="27" t="s">
        <v>7</v>
      </c>
      <c r="CM578" s="27" t="s">
        <v>8</v>
      </c>
      <c r="CO578" s="27" t="s">
        <v>8</v>
      </c>
    </row>
    <row r="579" spans="1:93" x14ac:dyDescent="0.25">
      <c r="A579" s="7">
        <v>1.1716593810022657</v>
      </c>
      <c r="B579"/>
      <c r="C579"/>
      <c r="D579"/>
      <c r="E579"/>
      <c r="AQ579" s="27" t="s">
        <v>8</v>
      </c>
      <c r="AR579" s="27" t="s">
        <v>7</v>
      </c>
      <c r="AS579" s="27" t="s">
        <v>8</v>
      </c>
      <c r="AT579" s="27" t="s">
        <v>7</v>
      </c>
      <c r="AU579" s="27" t="s">
        <v>8</v>
      </c>
      <c r="AV579" s="27" t="s">
        <v>7</v>
      </c>
      <c r="AX579" s="27" t="s">
        <v>7</v>
      </c>
      <c r="AY579" s="27" t="s">
        <v>8</v>
      </c>
      <c r="BN579" s="27" t="s">
        <v>7</v>
      </c>
      <c r="BP579" s="27" t="s">
        <v>7</v>
      </c>
      <c r="BU579" s="27" t="s">
        <v>8</v>
      </c>
      <c r="CD579" s="27" t="s">
        <v>7</v>
      </c>
      <c r="CE579" s="27" t="s">
        <v>8</v>
      </c>
      <c r="CF579" s="27" t="s">
        <v>7</v>
      </c>
      <c r="CG579" s="27" t="s">
        <v>8</v>
      </c>
      <c r="CH579" s="27" t="s">
        <v>7</v>
      </c>
      <c r="CM579" s="27" t="s">
        <v>8</v>
      </c>
      <c r="CN579" s="27" t="s">
        <v>7</v>
      </c>
      <c r="CO579" s="27" t="s">
        <v>8</v>
      </c>
    </row>
    <row r="580" spans="1:93" x14ac:dyDescent="0.25">
      <c r="A580" s="7">
        <v>1.14868566764928</v>
      </c>
      <c r="B580"/>
      <c r="C580"/>
      <c r="D580"/>
      <c r="E580"/>
      <c r="AQ580" s="27" t="s">
        <v>8</v>
      </c>
      <c r="AR580" s="27" t="s">
        <v>7</v>
      </c>
      <c r="AS580" s="27" t="s">
        <v>8</v>
      </c>
      <c r="AT580" s="27" t="s">
        <v>7</v>
      </c>
      <c r="AX580" s="27" t="s">
        <v>7</v>
      </c>
      <c r="AY580" s="27" t="s">
        <v>8</v>
      </c>
      <c r="BP580" s="27" t="s">
        <v>7</v>
      </c>
      <c r="BU580" s="27" t="s">
        <v>8</v>
      </c>
      <c r="CD580" s="27" t="s">
        <v>7</v>
      </c>
      <c r="CE580" s="27" t="s">
        <v>8</v>
      </c>
      <c r="CF580" s="27" t="s">
        <v>7</v>
      </c>
      <c r="CG580" s="27" t="s">
        <v>8</v>
      </c>
      <c r="CH580" s="27" t="s">
        <v>7</v>
      </c>
      <c r="CI580" s="27" t="s">
        <v>8</v>
      </c>
      <c r="CM580" s="27" t="s">
        <v>8</v>
      </c>
      <c r="CN580" s="27" t="s">
        <v>7</v>
      </c>
      <c r="CO580" s="27" t="s">
        <v>8</v>
      </c>
    </row>
    <row r="581" spans="1:93" x14ac:dyDescent="0.25">
      <c r="A581" s="7">
        <v>1.1261624192640001</v>
      </c>
      <c r="B581"/>
      <c r="C581"/>
      <c r="D581"/>
      <c r="E581"/>
      <c r="AQ581" s="27" t="s">
        <v>8</v>
      </c>
      <c r="AR581" s="27" t="s">
        <v>7</v>
      </c>
      <c r="AS581" s="27" t="s">
        <v>8</v>
      </c>
      <c r="AX581" s="27" t="s">
        <v>7</v>
      </c>
      <c r="AY581" s="27" t="s">
        <v>8</v>
      </c>
      <c r="BP581" s="27" t="s">
        <v>7</v>
      </c>
      <c r="BQ581" s="27" t="s">
        <v>8</v>
      </c>
      <c r="BS581" s="27" t="s">
        <v>8</v>
      </c>
      <c r="BU581" s="27" t="s">
        <v>8</v>
      </c>
      <c r="CD581" s="27" t="s">
        <v>7</v>
      </c>
      <c r="CE581" s="27" t="s">
        <v>8</v>
      </c>
      <c r="CF581" s="27" t="s">
        <v>7</v>
      </c>
      <c r="CG581" s="27" t="s">
        <v>8</v>
      </c>
      <c r="CH581" s="27" t="s">
        <v>7</v>
      </c>
      <c r="CI581" s="27" t="s">
        <v>8</v>
      </c>
      <c r="CJ581" s="27" t="s">
        <v>7</v>
      </c>
      <c r="CM581" s="27" t="s">
        <v>8</v>
      </c>
      <c r="CN581" s="27" t="s">
        <v>7</v>
      </c>
      <c r="CO581" s="27" t="s">
        <v>8</v>
      </c>
    </row>
    <row r="582" spans="1:93" x14ac:dyDescent="0.25">
      <c r="A582" s="7">
        <v>1.1040808032</v>
      </c>
      <c r="B582"/>
      <c r="C582"/>
      <c r="D582"/>
      <c r="E582"/>
      <c r="AQ582" s="27" t="s">
        <v>8</v>
      </c>
      <c r="AR582" s="27" t="s">
        <v>7</v>
      </c>
      <c r="AS582" s="27" t="s">
        <v>8</v>
      </c>
      <c r="AX582" s="27" t="s">
        <v>7</v>
      </c>
      <c r="AY582" s="27" t="s">
        <v>8</v>
      </c>
      <c r="BP582" s="27" t="s">
        <v>7</v>
      </c>
      <c r="BQ582" s="27" t="s">
        <v>8</v>
      </c>
      <c r="BR582" s="27" t="s">
        <v>7</v>
      </c>
      <c r="BS582" s="27" t="s">
        <v>8</v>
      </c>
      <c r="BT582" s="27" t="s">
        <v>7</v>
      </c>
      <c r="BU582" s="27" t="s">
        <v>8</v>
      </c>
      <c r="CD582" s="27" t="s">
        <v>7</v>
      </c>
      <c r="CF582" s="27" t="s">
        <v>7</v>
      </c>
      <c r="CG582" s="27" t="s">
        <v>8</v>
      </c>
      <c r="CH582" s="27" t="s">
        <v>7</v>
      </c>
      <c r="CI582" s="27" t="s">
        <v>8</v>
      </c>
      <c r="CJ582" s="27" t="s">
        <v>7</v>
      </c>
      <c r="CM582" s="27" t="s">
        <v>8</v>
      </c>
      <c r="CN582" s="18" t="s">
        <v>7</v>
      </c>
      <c r="CO582" s="27" t="s">
        <v>8</v>
      </c>
    </row>
    <row r="583" spans="1:93" x14ac:dyDescent="0.25">
      <c r="A583" s="7">
        <v>1.08243216</v>
      </c>
      <c r="B583"/>
      <c r="C583"/>
      <c r="D583"/>
      <c r="E583"/>
      <c r="AQ583" s="27" t="s">
        <v>8</v>
      </c>
      <c r="AR583" s="27" t="s">
        <v>7</v>
      </c>
      <c r="AS583" s="27" t="s">
        <v>8</v>
      </c>
      <c r="AX583" s="27" t="s">
        <v>7</v>
      </c>
      <c r="AY583" s="27" t="s">
        <v>8</v>
      </c>
      <c r="BP583" s="27" t="s">
        <v>7</v>
      </c>
      <c r="BQ583" s="27" t="s">
        <v>8</v>
      </c>
      <c r="BR583" s="27" t="s">
        <v>7</v>
      </c>
      <c r="BS583" s="27" t="s">
        <v>8</v>
      </c>
      <c r="BT583" s="27" t="s">
        <v>7</v>
      </c>
      <c r="BU583" s="27" t="s">
        <v>8</v>
      </c>
      <c r="CF583" s="27" t="s">
        <v>7</v>
      </c>
      <c r="CG583" s="27" t="s">
        <v>8</v>
      </c>
      <c r="CH583" s="27" t="s">
        <v>7</v>
      </c>
      <c r="CI583" s="27" t="s">
        <v>8</v>
      </c>
      <c r="CJ583" s="27" t="s">
        <v>7</v>
      </c>
      <c r="CM583" s="27" t="s">
        <v>8</v>
      </c>
      <c r="CN583" s="27" t="s">
        <v>7</v>
      </c>
      <c r="CO583" s="27" t="s">
        <v>8</v>
      </c>
    </row>
    <row r="584" spans="1:93" x14ac:dyDescent="0.25">
      <c r="A584" s="7">
        <v>1.0612079999999999</v>
      </c>
      <c r="B584"/>
      <c r="C584"/>
      <c r="D584"/>
      <c r="E584"/>
      <c r="AQ584" s="27" t="s">
        <v>8</v>
      </c>
      <c r="AR584" s="27" t="s">
        <v>7</v>
      </c>
      <c r="AS584" s="27" t="s">
        <v>8</v>
      </c>
      <c r="AX584" s="27" t="s">
        <v>7</v>
      </c>
      <c r="AY584" s="27" t="s">
        <v>8</v>
      </c>
      <c r="BP584" s="27" t="s">
        <v>7</v>
      </c>
      <c r="BR584" s="27" t="s">
        <v>7</v>
      </c>
      <c r="BT584" s="27" t="s">
        <v>7</v>
      </c>
      <c r="BU584" s="27" t="s">
        <v>8</v>
      </c>
      <c r="CF584" s="27" t="s">
        <v>7</v>
      </c>
      <c r="CG584" s="27" t="s">
        <v>8</v>
      </c>
      <c r="CH584" s="27" t="s">
        <v>7</v>
      </c>
      <c r="CI584" s="27" t="s">
        <v>8</v>
      </c>
      <c r="CJ584" s="27" t="s">
        <v>7</v>
      </c>
      <c r="CK584" s="27" t="s">
        <v>8</v>
      </c>
      <c r="CM584" s="27" t="s">
        <v>8</v>
      </c>
      <c r="CN584" s="27" t="s">
        <v>7</v>
      </c>
    </row>
    <row r="585" spans="1:93" x14ac:dyDescent="0.25">
      <c r="A585" s="7">
        <v>1.0404</v>
      </c>
      <c r="B585"/>
      <c r="C585"/>
      <c r="D585"/>
      <c r="E585"/>
      <c r="AQ585" s="27" t="s">
        <v>8</v>
      </c>
      <c r="AR585" s="27" t="s">
        <v>7</v>
      </c>
      <c r="AS585" s="27" t="s">
        <v>8</v>
      </c>
      <c r="AX585" s="27" t="s">
        <v>7</v>
      </c>
      <c r="AY585" s="27" t="s">
        <v>8</v>
      </c>
      <c r="BT585" s="27" t="s">
        <v>7</v>
      </c>
      <c r="CF585" s="27" t="s">
        <v>7</v>
      </c>
      <c r="CG585" s="27" t="s">
        <v>8</v>
      </c>
      <c r="CH585" s="27" t="s">
        <v>7</v>
      </c>
      <c r="CI585" s="27" t="s">
        <v>8</v>
      </c>
      <c r="CJ585" s="27" t="s">
        <v>7</v>
      </c>
      <c r="CK585" s="27" t="s">
        <v>8</v>
      </c>
      <c r="CL585" s="27" t="s">
        <v>7</v>
      </c>
      <c r="CM585" s="27" t="s">
        <v>8</v>
      </c>
    </row>
    <row r="586" spans="1:93" x14ac:dyDescent="0.25">
      <c r="A586" s="7">
        <v>1.02</v>
      </c>
      <c r="B586"/>
      <c r="C586"/>
      <c r="D586"/>
      <c r="E586"/>
      <c r="AQ586" s="27" t="s">
        <v>8</v>
      </c>
      <c r="AR586" s="27" t="s">
        <v>7</v>
      </c>
      <c r="AS586" s="27" t="s">
        <v>8</v>
      </c>
      <c r="AX586" s="27" t="s">
        <v>7</v>
      </c>
      <c r="AY586" s="27" t="s">
        <v>8</v>
      </c>
      <c r="CF586" s="27" t="s">
        <v>7</v>
      </c>
      <c r="CG586" s="27" t="s">
        <v>8</v>
      </c>
      <c r="CH586" s="27" t="s">
        <v>7</v>
      </c>
      <c r="CJ586" s="27" t="s">
        <v>7</v>
      </c>
      <c r="CK586" s="27" t="s">
        <v>8</v>
      </c>
      <c r="CL586" s="27" t="s">
        <v>7</v>
      </c>
      <c r="CM586" s="27" t="s">
        <v>8</v>
      </c>
    </row>
    <row r="587" spans="1:93" x14ac:dyDescent="0.25">
      <c r="A587" s="7">
        <v>1</v>
      </c>
      <c r="B587"/>
      <c r="C587"/>
      <c r="D587"/>
      <c r="E587" s="29" t="s">
        <v>8</v>
      </c>
      <c r="AQ587" s="27" t="s">
        <v>8</v>
      </c>
      <c r="AR587" s="27" t="s">
        <v>7</v>
      </c>
      <c r="AX587" s="27" t="s">
        <v>7</v>
      </c>
      <c r="AY587" s="27" t="s">
        <v>8</v>
      </c>
      <c r="CF587" s="27" t="s">
        <v>7</v>
      </c>
      <c r="CJ587" s="27" t="s">
        <v>7</v>
      </c>
      <c r="CK587" s="27" t="s">
        <v>8</v>
      </c>
      <c r="CL587" s="27" t="s">
        <v>7</v>
      </c>
    </row>
    <row r="588" spans="1:93" x14ac:dyDescent="0.25">
      <c r="A588" s="7">
        <v>0.98039215686274506</v>
      </c>
      <c r="B588"/>
      <c r="C588"/>
      <c r="D588"/>
      <c r="E588"/>
      <c r="F588" s="27" t="s">
        <v>7</v>
      </c>
      <c r="AO588" s="27" t="s">
        <v>8</v>
      </c>
      <c r="AQ588" s="27" t="s">
        <v>8</v>
      </c>
      <c r="AX588" s="27" t="s">
        <v>7</v>
      </c>
      <c r="AY588" s="27" t="s">
        <v>8</v>
      </c>
      <c r="CJ588" s="27" t="s">
        <v>7</v>
      </c>
      <c r="CK588" s="27" t="s">
        <v>8</v>
      </c>
    </row>
    <row r="589" spans="1:93" x14ac:dyDescent="0.25">
      <c r="A589" s="7">
        <v>0.96116878123798544</v>
      </c>
      <c r="B589"/>
      <c r="C589"/>
      <c r="D589"/>
      <c r="E589"/>
      <c r="F589" s="27" t="s">
        <v>7</v>
      </c>
      <c r="AO589" s="27" t="s">
        <v>8</v>
      </c>
      <c r="AP589" s="27" t="s">
        <v>7</v>
      </c>
      <c r="AQ589" s="27" t="s">
        <v>8</v>
      </c>
      <c r="AX589" s="27" t="s">
        <v>7</v>
      </c>
      <c r="CJ589" s="27" t="s">
        <v>7</v>
      </c>
      <c r="CK589" s="27" t="s">
        <v>8</v>
      </c>
    </row>
    <row r="590" spans="1:93" x14ac:dyDescent="0.25">
      <c r="A590" s="7">
        <v>0.94232233454704462</v>
      </c>
      <c r="B590"/>
      <c r="C590"/>
      <c r="D590"/>
      <c r="E590"/>
      <c r="F590" s="27" t="s">
        <v>7</v>
      </c>
      <c r="AO590" s="27" t="s">
        <v>8</v>
      </c>
      <c r="AP590" s="27" t="s">
        <v>7</v>
      </c>
      <c r="AQ590" s="27" t="s">
        <v>8</v>
      </c>
      <c r="CJ590" s="27" t="s">
        <v>7</v>
      </c>
      <c r="CK590" s="27" t="s">
        <v>8</v>
      </c>
    </row>
    <row r="591" spans="1:93" x14ac:dyDescent="0.25">
      <c r="A591" s="7">
        <v>0.92384542602651432</v>
      </c>
      <c r="B591"/>
      <c r="C591"/>
      <c r="D591"/>
      <c r="E591"/>
      <c r="F591" s="27" t="s">
        <v>7</v>
      </c>
      <c r="AO591" s="27" t="s">
        <v>8</v>
      </c>
      <c r="AP591" s="27" t="s">
        <v>7</v>
      </c>
      <c r="AQ591" s="27" t="s">
        <v>8</v>
      </c>
      <c r="CJ591" s="27" t="s">
        <v>7</v>
      </c>
    </row>
    <row r="592" spans="1:93" x14ac:dyDescent="0.25">
      <c r="A592" s="7">
        <v>0.90573080982991594</v>
      </c>
      <c r="B592"/>
      <c r="C592"/>
      <c r="D592"/>
      <c r="E592"/>
      <c r="F592" s="27" t="s">
        <v>7</v>
      </c>
      <c r="AM592" s="27" t="s">
        <v>8</v>
      </c>
      <c r="AO592" s="27" t="s">
        <v>8</v>
      </c>
      <c r="AP592" s="27" t="s">
        <v>7</v>
      </c>
      <c r="AQ592" s="27" t="s">
        <v>8</v>
      </c>
    </row>
    <row r="593" spans="1:43" x14ac:dyDescent="0.25">
      <c r="A593" s="7">
        <v>0.8879713821861922</v>
      </c>
      <c r="B593"/>
      <c r="C593"/>
      <c r="D593"/>
      <c r="E593"/>
      <c r="F593" s="27" t="s">
        <v>7</v>
      </c>
      <c r="AM593" s="27" t="s">
        <v>8</v>
      </c>
      <c r="AN593" s="27" t="s">
        <v>7</v>
      </c>
      <c r="AO593" s="27" t="s">
        <v>8</v>
      </c>
      <c r="AP593" s="27" t="s">
        <v>7</v>
      </c>
      <c r="AQ593" s="27" t="s">
        <v>8</v>
      </c>
    </row>
    <row r="594" spans="1:43" x14ac:dyDescent="0.25">
      <c r="A594" s="7">
        <v>0.87056017861391399</v>
      </c>
      <c r="B594"/>
      <c r="C594"/>
      <c r="D594"/>
      <c r="E594"/>
      <c r="F594" s="27" t="s">
        <v>7</v>
      </c>
      <c r="AI594" s="27" t="s">
        <v>8</v>
      </c>
      <c r="AM594" s="27" t="s">
        <v>8</v>
      </c>
      <c r="AN594" s="27" t="s">
        <v>7</v>
      </c>
      <c r="AO594" s="27" t="s">
        <v>8</v>
      </c>
      <c r="AP594" s="27" t="s">
        <v>7</v>
      </c>
      <c r="AQ594" s="27" t="s">
        <v>8</v>
      </c>
    </row>
    <row r="595" spans="1:43" x14ac:dyDescent="0.25">
      <c r="A595" s="7">
        <v>0.85349037119011173</v>
      </c>
      <c r="B595"/>
      <c r="C595"/>
      <c r="D595"/>
      <c r="E595"/>
      <c r="F595" s="27" t="s">
        <v>7</v>
      </c>
      <c r="AI595" s="27" t="s">
        <v>8</v>
      </c>
      <c r="AJ595" s="27" t="s">
        <v>7</v>
      </c>
      <c r="AM595" s="27" t="s">
        <v>8</v>
      </c>
      <c r="AN595" s="27" t="s">
        <v>7</v>
      </c>
      <c r="AO595" s="27" t="s">
        <v>8</v>
      </c>
      <c r="AP595" s="27" t="s">
        <v>7</v>
      </c>
    </row>
    <row r="596" spans="1:43" x14ac:dyDescent="0.25">
      <c r="A596" s="7">
        <v>0.83675526587265858</v>
      </c>
      <c r="B596"/>
      <c r="C596"/>
      <c r="D596"/>
      <c r="E596"/>
      <c r="F596" s="27" t="s">
        <v>7</v>
      </c>
      <c r="AI596" s="27" t="s">
        <v>8</v>
      </c>
      <c r="AJ596" s="27" t="s">
        <v>7</v>
      </c>
      <c r="AM596" s="27" t="s">
        <v>8</v>
      </c>
      <c r="AN596" s="27" t="s">
        <v>7</v>
      </c>
      <c r="AO596" s="27" t="s">
        <v>8</v>
      </c>
    </row>
    <row r="597" spans="1:43" x14ac:dyDescent="0.25">
      <c r="A597" s="7">
        <v>0.82034829987515545</v>
      </c>
      <c r="B597"/>
      <c r="C597"/>
      <c r="D597"/>
      <c r="E597"/>
      <c r="F597" s="27" t="s">
        <v>7</v>
      </c>
      <c r="AI597" s="27" t="s">
        <v>8</v>
      </c>
      <c r="AJ597" s="27" t="s">
        <v>7</v>
      </c>
      <c r="AM597" s="27" t="s">
        <v>8</v>
      </c>
      <c r="AN597" s="27" t="s">
        <v>7</v>
      </c>
      <c r="AO597" s="27" t="s">
        <v>8</v>
      </c>
    </row>
    <row r="598" spans="1:43" x14ac:dyDescent="0.25">
      <c r="A598" s="7">
        <v>0.80426303909328967</v>
      </c>
      <c r="B598"/>
      <c r="C598"/>
      <c r="D598"/>
      <c r="E598"/>
      <c r="F598" s="27" t="s">
        <v>7</v>
      </c>
      <c r="AI598" s="27" t="s">
        <v>8</v>
      </c>
      <c r="AJ598" s="27" t="s">
        <v>7</v>
      </c>
      <c r="AK598" s="27" t="s">
        <v>8</v>
      </c>
      <c r="AM598" s="27" t="s">
        <v>8</v>
      </c>
      <c r="AN598" s="27" t="s">
        <v>7</v>
      </c>
      <c r="AO598" s="27" t="s">
        <v>8</v>
      </c>
    </row>
    <row r="599" spans="1:43" x14ac:dyDescent="0.25">
      <c r="A599" s="7">
        <v>0.78849317558165644</v>
      </c>
      <c r="B599"/>
      <c r="C599"/>
      <c r="D599"/>
      <c r="E599"/>
      <c r="F599" s="27" t="s">
        <v>7</v>
      </c>
      <c r="AI599" s="27" t="s">
        <v>8</v>
      </c>
      <c r="AJ599" s="27" t="s">
        <v>7</v>
      </c>
      <c r="AK599" s="27" t="s">
        <v>8</v>
      </c>
      <c r="AL599" s="27" t="s">
        <v>7</v>
      </c>
      <c r="AM599" s="27" t="s">
        <v>8</v>
      </c>
      <c r="AN599" s="27" t="s">
        <v>7</v>
      </c>
      <c r="AO599" s="27" t="s">
        <v>8</v>
      </c>
    </row>
    <row r="600" spans="1:43" x14ac:dyDescent="0.25">
      <c r="A600" s="7">
        <v>0.77303252508005538</v>
      </c>
      <c r="B600"/>
      <c r="C600"/>
      <c r="D600"/>
      <c r="E600"/>
      <c r="F600" s="27" t="s">
        <v>7</v>
      </c>
      <c r="AI600" s="27" t="s">
        <v>8</v>
      </c>
      <c r="AJ600" s="27" t="s">
        <v>7</v>
      </c>
      <c r="AK600" s="27" t="s">
        <v>8</v>
      </c>
      <c r="AL600" s="27" t="s">
        <v>7</v>
      </c>
      <c r="AM600" s="27" t="s">
        <v>8</v>
      </c>
      <c r="AN600" s="27" t="s">
        <v>7</v>
      </c>
      <c r="AO600" s="27" t="s">
        <v>8</v>
      </c>
    </row>
    <row r="601" spans="1:43" x14ac:dyDescent="0.25">
      <c r="A601" s="7">
        <v>0.75787502458828959</v>
      </c>
      <c r="B601"/>
      <c r="C601"/>
      <c r="D601"/>
      <c r="E601"/>
      <c r="F601" s="27" t="s">
        <v>7</v>
      </c>
      <c r="AI601" s="27" t="s">
        <v>8</v>
      </c>
      <c r="AJ601" s="27" t="s">
        <v>7</v>
      </c>
      <c r="AK601" s="27" t="s">
        <v>8</v>
      </c>
      <c r="AL601" s="27" t="s">
        <v>7</v>
      </c>
      <c r="AM601" s="27" t="s">
        <v>8</v>
      </c>
      <c r="AN601" s="27" t="s">
        <v>7</v>
      </c>
      <c r="AO601" s="27" t="s">
        <v>8</v>
      </c>
    </row>
    <row r="602" spans="1:43" x14ac:dyDescent="0.25">
      <c r="A602" s="7">
        <v>0.74301472998851925</v>
      </c>
      <c r="B602"/>
      <c r="C602"/>
      <c r="D602"/>
      <c r="E602"/>
      <c r="F602" s="27" t="s">
        <v>7</v>
      </c>
      <c r="I602" s="27" t="s">
        <v>8</v>
      </c>
      <c r="AI602" s="27" t="s">
        <v>8</v>
      </c>
      <c r="AJ602" s="27" t="s">
        <v>7</v>
      </c>
      <c r="AK602" s="27" t="s">
        <v>8</v>
      </c>
      <c r="AL602" s="27" t="s">
        <v>7</v>
      </c>
      <c r="AM602" s="27" t="s">
        <v>8</v>
      </c>
      <c r="AN602" s="27" t="s">
        <v>7</v>
      </c>
    </row>
    <row r="603" spans="1:43" x14ac:dyDescent="0.25">
      <c r="A603" s="7">
        <v>0.72844581371423456</v>
      </c>
      <c r="B603"/>
      <c r="C603"/>
      <c r="D603"/>
      <c r="E603"/>
      <c r="F603" s="27" t="s">
        <v>7</v>
      </c>
      <c r="I603" s="27" t="s">
        <v>8</v>
      </c>
      <c r="J603" s="27" t="s">
        <v>7</v>
      </c>
      <c r="AI603" s="27" t="s">
        <v>8</v>
      </c>
      <c r="AJ603" s="27" t="s">
        <v>7</v>
      </c>
      <c r="AK603" s="27" t="s">
        <v>8</v>
      </c>
      <c r="AL603" s="27" t="s">
        <v>7</v>
      </c>
      <c r="AM603" s="27" t="s">
        <v>8</v>
      </c>
    </row>
    <row r="604" spans="1:43" x14ac:dyDescent="0.25">
      <c r="A604" s="7">
        <v>0.71416256246493581</v>
      </c>
      <c r="B604"/>
      <c r="C604"/>
      <c r="D604"/>
      <c r="E604"/>
      <c r="F604" s="27" t="s">
        <v>7</v>
      </c>
      <c r="I604" s="27" t="s">
        <v>8</v>
      </c>
      <c r="J604" s="27" t="s">
        <v>7</v>
      </c>
      <c r="AI604" s="27" t="s">
        <v>8</v>
      </c>
      <c r="AJ604" s="27" t="s">
        <v>7</v>
      </c>
      <c r="AK604" s="27" t="s">
        <v>8</v>
      </c>
      <c r="AL604" s="27" t="s">
        <v>7</v>
      </c>
      <c r="AM604" s="27" t="s">
        <v>8</v>
      </c>
    </row>
    <row r="605" spans="1:43" x14ac:dyDescent="0.25">
      <c r="A605" s="7">
        <v>0.7001593749656233</v>
      </c>
      <c r="B605"/>
      <c r="C605"/>
      <c r="D605"/>
      <c r="E605"/>
      <c r="F605" s="27" t="s">
        <v>7</v>
      </c>
      <c r="I605" s="27" t="s">
        <v>8</v>
      </c>
      <c r="J605" s="27" t="s">
        <v>7</v>
      </c>
      <c r="AI605" s="27" t="s">
        <v>8</v>
      </c>
      <c r="AJ605" s="27" t="s">
        <v>7</v>
      </c>
      <c r="AK605" s="27" t="s">
        <v>8</v>
      </c>
      <c r="AL605" s="27" t="s">
        <v>7</v>
      </c>
      <c r="AM605" s="27" t="s">
        <v>8</v>
      </c>
    </row>
    <row r="606" spans="1:43" x14ac:dyDescent="0.25">
      <c r="A606" s="7">
        <v>0.68643075977021883</v>
      </c>
      <c r="B606"/>
      <c r="C606"/>
      <c r="D606"/>
      <c r="E606"/>
      <c r="F606" s="27" t="s">
        <v>7</v>
      </c>
      <c r="I606" s="27" t="s">
        <v>8</v>
      </c>
      <c r="J606" s="27" t="s">
        <v>7</v>
      </c>
      <c r="AI606" s="27" t="s">
        <v>8</v>
      </c>
      <c r="AJ606" s="27" t="s">
        <v>7</v>
      </c>
      <c r="AK606" s="27" t="s">
        <v>8</v>
      </c>
      <c r="AL606" s="27" t="s">
        <v>7</v>
      </c>
    </row>
    <row r="607" spans="1:43" x14ac:dyDescent="0.25">
      <c r="A607" s="7">
        <v>0.67297133310805768</v>
      </c>
      <c r="B607"/>
      <c r="C607"/>
      <c r="D607"/>
      <c r="E607"/>
      <c r="F607" s="27" t="s">
        <v>7</v>
      </c>
      <c r="G607" s="27" t="s">
        <v>8</v>
      </c>
      <c r="I607" s="27" t="s">
        <v>8</v>
      </c>
      <c r="J607" s="27" t="s">
        <v>7</v>
      </c>
      <c r="AC607" s="27" t="s">
        <v>8</v>
      </c>
      <c r="AG607" s="27" t="s">
        <v>8</v>
      </c>
      <c r="AI607" s="27" t="s">
        <v>8</v>
      </c>
      <c r="AJ607" s="27" t="s">
        <v>7</v>
      </c>
      <c r="AK607" s="27" t="s">
        <v>8</v>
      </c>
    </row>
    <row r="608" spans="1:43" x14ac:dyDescent="0.25">
      <c r="A608" s="7">
        <v>0.65977581677260566</v>
      </c>
      <c r="B608"/>
      <c r="C608"/>
      <c r="D608"/>
      <c r="E608"/>
      <c r="F608" s="27" t="s">
        <v>7</v>
      </c>
      <c r="G608" s="27" t="s">
        <v>8</v>
      </c>
      <c r="H608" s="27" t="s">
        <v>7</v>
      </c>
      <c r="I608" s="27" t="s">
        <v>8</v>
      </c>
      <c r="J608" s="27" t="s">
        <v>7</v>
      </c>
      <c r="AC608" s="27" t="s">
        <v>8</v>
      </c>
      <c r="AD608" s="27" t="s">
        <v>7</v>
      </c>
      <c r="AG608" s="27" t="s">
        <v>8</v>
      </c>
      <c r="AH608" s="27" t="s">
        <v>7</v>
      </c>
      <c r="AI608" s="27" t="s">
        <v>8</v>
      </c>
      <c r="AJ608" s="27" t="s">
        <v>7</v>
      </c>
      <c r="AK608" s="27" t="s">
        <v>8</v>
      </c>
    </row>
    <row r="609" spans="1:36" x14ac:dyDescent="0.25">
      <c r="A609" s="7">
        <v>0.64683903605157422</v>
      </c>
      <c r="B609"/>
      <c r="C609"/>
      <c r="D609"/>
      <c r="E609"/>
      <c r="F609" s="27" t="s">
        <v>7</v>
      </c>
      <c r="G609" s="27" t="s">
        <v>8</v>
      </c>
      <c r="H609" s="27" t="s">
        <v>7</v>
      </c>
      <c r="I609" s="27" t="s">
        <v>8</v>
      </c>
      <c r="J609" s="27" t="s">
        <v>7</v>
      </c>
      <c r="AC609" s="27" t="s">
        <v>8</v>
      </c>
      <c r="AD609" s="27" t="s">
        <v>7</v>
      </c>
      <c r="AE609" s="27" t="s">
        <v>8</v>
      </c>
      <c r="AG609" s="27" t="s">
        <v>8</v>
      </c>
      <c r="AH609" s="27" t="s">
        <v>7</v>
      </c>
      <c r="AI609" s="27" t="s">
        <v>8</v>
      </c>
      <c r="AJ609" s="27" t="s">
        <v>7</v>
      </c>
    </row>
    <row r="610" spans="1:36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H610" s="27" t="s">
        <v>7</v>
      </c>
      <c r="I610" s="27" t="s">
        <v>8</v>
      </c>
      <c r="J610" s="27" t="s">
        <v>7</v>
      </c>
      <c r="K610" s="27" t="s">
        <v>8</v>
      </c>
      <c r="W610" s="27" t="s">
        <v>8</v>
      </c>
      <c r="AC610" s="27" t="s">
        <v>8</v>
      </c>
      <c r="AD610" s="27" t="s">
        <v>7</v>
      </c>
      <c r="AE610" s="27" t="s">
        <v>8</v>
      </c>
      <c r="AF610" s="27" t="s">
        <v>7</v>
      </c>
      <c r="AG610" s="27" t="s">
        <v>8</v>
      </c>
      <c r="AH610" s="27" t="s">
        <v>7</v>
      </c>
      <c r="AI610" s="27" t="s">
        <v>8</v>
      </c>
    </row>
    <row r="611" spans="1:36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H611" s="27" t="s">
        <v>7</v>
      </c>
      <c r="J611" s="27" t="s">
        <v>7</v>
      </c>
      <c r="K611" s="27" t="s">
        <v>8</v>
      </c>
      <c r="L611" s="27" t="s">
        <v>7</v>
      </c>
      <c r="W611" s="27" t="s">
        <v>8</v>
      </c>
      <c r="X611" s="27" t="s">
        <v>7</v>
      </c>
      <c r="AC611" s="27" t="s">
        <v>8</v>
      </c>
      <c r="AD611" s="27" t="s">
        <v>7</v>
      </c>
      <c r="AE611" s="27" t="s">
        <v>8</v>
      </c>
      <c r="AF611" s="27" t="s">
        <v>7</v>
      </c>
      <c r="AG611" s="27" t="s">
        <v>8</v>
      </c>
      <c r="AH611" s="27" t="s">
        <v>7</v>
      </c>
      <c r="AI611" s="27" t="s">
        <v>8</v>
      </c>
    </row>
    <row r="612" spans="1:36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J612" s="27" t="s">
        <v>7</v>
      </c>
      <c r="K612" s="27" t="s">
        <v>8</v>
      </c>
      <c r="L612" s="27" t="s">
        <v>7</v>
      </c>
      <c r="M612" s="27" t="s">
        <v>8</v>
      </c>
      <c r="O612" s="27" t="s">
        <v>8</v>
      </c>
      <c r="Q612" s="27" t="s">
        <v>8</v>
      </c>
      <c r="W612" s="27" t="s">
        <v>8</v>
      </c>
      <c r="X612" s="27" t="s">
        <v>7</v>
      </c>
      <c r="AC612" s="27" t="s">
        <v>8</v>
      </c>
      <c r="AD612" s="27" t="s">
        <v>7</v>
      </c>
      <c r="AE612" s="27" t="s">
        <v>8</v>
      </c>
      <c r="AF612" s="27" t="s">
        <v>7</v>
      </c>
      <c r="AG612" s="27" t="s">
        <v>8</v>
      </c>
      <c r="AH612" s="27" t="s">
        <v>7</v>
      </c>
      <c r="AI612" s="27" t="s">
        <v>8</v>
      </c>
    </row>
    <row r="613" spans="1:36" x14ac:dyDescent="0.25">
      <c r="A613" s="7">
        <v>0.59757928483164646</v>
      </c>
      <c r="B613"/>
      <c r="C613"/>
      <c r="D613"/>
      <c r="E613"/>
      <c r="F613" s="27" t="s">
        <v>7</v>
      </c>
      <c r="J613" s="27" t="s">
        <v>7</v>
      </c>
      <c r="K613" s="27" t="s">
        <v>8</v>
      </c>
      <c r="L613" s="27" t="s">
        <v>7</v>
      </c>
      <c r="M613" s="27" t="s">
        <v>8</v>
      </c>
      <c r="N613" s="27" t="s">
        <v>7</v>
      </c>
      <c r="O613" s="27" t="s">
        <v>8</v>
      </c>
      <c r="P613" s="27" t="s">
        <v>7</v>
      </c>
      <c r="Q613" s="27" t="s">
        <v>8</v>
      </c>
      <c r="R613" s="27" t="s">
        <v>7</v>
      </c>
      <c r="W613" s="27" t="s">
        <v>8</v>
      </c>
      <c r="X613" s="27" t="s">
        <v>7</v>
      </c>
      <c r="AC613" s="27" t="s">
        <v>8</v>
      </c>
      <c r="AD613" s="27" t="s">
        <v>7</v>
      </c>
      <c r="AE613" s="27" t="s">
        <v>8</v>
      </c>
      <c r="AF613" s="27" t="s">
        <v>7</v>
      </c>
      <c r="AG613" s="27" t="s">
        <v>8</v>
      </c>
      <c r="AH613" s="27" t="s">
        <v>7</v>
      </c>
    </row>
    <row r="614" spans="1:36" x14ac:dyDescent="0.25">
      <c r="A614" s="7">
        <v>0.58586204395259456</v>
      </c>
      <c r="B614"/>
      <c r="C614"/>
      <c r="D614"/>
      <c r="E614"/>
      <c r="J614" s="27" t="s">
        <v>7</v>
      </c>
      <c r="K614" s="27" t="s">
        <v>8</v>
      </c>
      <c r="L614" s="27" t="s">
        <v>7</v>
      </c>
      <c r="M614" s="27" t="s">
        <v>8</v>
      </c>
      <c r="N614" s="27" t="s">
        <v>7</v>
      </c>
      <c r="O614" s="27" t="s">
        <v>8</v>
      </c>
      <c r="P614" s="27" t="s">
        <v>7</v>
      </c>
      <c r="Q614" s="27" t="s">
        <v>8</v>
      </c>
      <c r="R614" s="27" t="s">
        <v>7</v>
      </c>
      <c r="W614" s="27" t="s">
        <v>8</v>
      </c>
      <c r="X614" s="27" t="s">
        <v>7</v>
      </c>
      <c r="AC614" s="27" t="s">
        <v>8</v>
      </c>
      <c r="AD614" s="27" t="s">
        <v>7</v>
      </c>
      <c r="AE614" s="27" t="s">
        <v>8</v>
      </c>
      <c r="AF614" s="27" t="s">
        <v>7</v>
      </c>
      <c r="AG614" s="27" t="s">
        <v>8</v>
      </c>
    </row>
    <row r="615" spans="1:36" x14ac:dyDescent="0.25">
      <c r="A615" s="7">
        <v>0.57437455289470052</v>
      </c>
      <c r="B615"/>
      <c r="C615"/>
      <c r="D615"/>
      <c r="E615"/>
      <c r="J615" s="27" t="s">
        <v>7</v>
      </c>
      <c r="K615" s="27" t="s">
        <v>8</v>
      </c>
      <c r="L615" s="27" t="s">
        <v>7</v>
      </c>
      <c r="N615" s="27" t="s">
        <v>7</v>
      </c>
      <c r="O615" s="27" t="s">
        <v>8</v>
      </c>
      <c r="P615" s="27" t="s">
        <v>7</v>
      </c>
      <c r="Q615" s="27" t="s">
        <v>8</v>
      </c>
      <c r="R615" s="27" t="s">
        <v>7</v>
      </c>
      <c r="W615" s="27" t="s">
        <v>8</v>
      </c>
      <c r="X615" s="27" t="s">
        <v>7</v>
      </c>
      <c r="AA615" s="27" t="s">
        <v>8</v>
      </c>
      <c r="AC615" s="27" t="s">
        <v>8</v>
      </c>
      <c r="AD615" s="27" t="s">
        <v>7</v>
      </c>
      <c r="AE615" s="27" t="s">
        <v>8</v>
      </c>
      <c r="AF615" s="27" t="s">
        <v>7</v>
      </c>
    </row>
    <row r="616" spans="1:36" x14ac:dyDescent="0.25">
      <c r="A616" s="7">
        <v>0.56311230675951029</v>
      </c>
      <c r="B616"/>
      <c r="C616"/>
      <c r="D616"/>
      <c r="E616"/>
      <c r="J616" s="27" t="s">
        <v>7</v>
      </c>
      <c r="N616" s="27" t="s">
        <v>7</v>
      </c>
      <c r="P616" s="27" t="s">
        <v>7</v>
      </c>
      <c r="R616" s="27" t="s">
        <v>7</v>
      </c>
      <c r="S616" s="27" t="s">
        <v>8</v>
      </c>
      <c r="W616" s="27" t="s">
        <v>8</v>
      </c>
      <c r="X616" s="27" t="s">
        <v>7</v>
      </c>
      <c r="Y616" s="27" t="s">
        <v>8</v>
      </c>
      <c r="AA616" s="27" t="s">
        <v>8</v>
      </c>
      <c r="AB616" s="27" t="s">
        <v>7</v>
      </c>
      <c r="AC616" s="27" t="s">
        <v>8</v>
      </c>
      <c r="AD616" s="27" t="s">
        <v>7</v>
      </c>
      <c r="AE616" s="27" t="s">
        <v>8</v>
      </c>
    </row>
    <row r="617" spans="1:36" x14ac:dyDescent="0.25">
      <c r="A617" s="7">
        <v>0.55207088897991208</v>
      </c>
      <c r="B617"/>
      <c r="C617"/>
      <c r="D617"/>
      <c r="E617"/>
      <c r="R617" s="27" t="s">
        <v>7</v>
      </c>
      <c r="S617" s="27" t="s">
        <v>8</v>
      </c>
      <c r="T617" s="27" t="s">
        <v>7</v>
      </c>
      <c r="W617" s="27" t="s">
        <v>8</v>
      </c>
      <c r="X617" s="27" t="s">
        <v>7</v>
      </c>
      <c r="Y617" s="27" t="s">
        <v>8</v>
      </c>
      <c r="Z617" s="27" t="s">
        <v>7</v>
      </c>
      <c r="AA617" s="27" t="s">
        <v>8</v>
      </c>
      <c r="AB617" s="27" t="s">
        <v>7</v>
      </c>
      <c r="AC617" s="27" t="s">
        <v>8</v>
      </c>
      <c r="AD617" s="27" t="s">
        <v>7</v>
      </c>
      <c r="AE617" s="27" t="s">
        <v>8</v>
      </c>
    </row>
    <row r="618" spans="1:36" x14ac:dyDescent="0.25">
      <c r="A618" s="7">
        <v>0.54124596958814908</v>
      </c>
      <c r="B618"/>
      <c r="C618"/>
      <c r="D618"/>
      <c r="E618"/>
      <c r="R618" s="27" t="s">
        <v>7</v>
      </c>
      <c r="S618" s="27" t="s">
        <v>8</v>
      </c>
      <c r="T618" s="27" t="s">
        <v>7</v>
      </c>
      <c r="W618" s="27" t="s">
        <v>8</v>
      </c>
      <c r="X618" s="27" t="s">
        <v>7</v>
      </c>
      <c r="Y618" s="27" t="s">
        <v>8</v>
      </c>
      <c r="Z618" s="27" t="s">
        <v>7</v>
      </c>
      <c r="AA618" s="27" t="s">
        <v>8</v>
      </c>
      <c r="AB618" s="27" t="s">
        <v>7</v>
      </c>
      <c r="AC618" s="27" t="s">
        <v>8</v>
      </c>
      <c r="AD618" s="27" t="s">
        <v>7</v>
      </c>
    </row>
    <row r="619" spans="1:36" x14ac:dyDescent="0.25">
      <c r="A619" s="7">
        <v>0.53063330351779314</v>
      </c>
      <c r="B619"/>
      <c r="C619"/>
      <c r="D619"/>
      <c r="E619"/>
      <c r="R619" s="27" t="s">
        <v>7</v>
      </c>
      <c r="S619" s="27" t="s">
        <v>8</v>
      </c>
      <c r="T619" s="27" t="s">
        <v>7</v>
      </c>
      <c r="U619" s="27" t="s">
        <v>8</v>
      </c>
      <c r="W619" s="27" t="s">
        <v>8</v>
      </c>
      <c r="X619" s="27" t="s">
        <v>7</v>
      </c>
      <c r="Y619" s="27" t="s">
        <v>8</v>
      </c>
      <c r="Z619" s="27" t="s">
        <v>7</v>
      </c>
      <c r="AA619" s="27" t="s">
        <v>8</v>
      </c>
      <c r="AB619" s="27" t="s">
        <v>7</v>
      </c>
    </row>
    <row r="620" spans="1:36" x14ac:dyDescent="0.25">
      <c r="A620" s="7">
        <v>0.52022872893901284</v>
      </c>
      <c r="B620"/>
      <c r="C620"/>
      <c r="D620"/>
      <c r="E620"/>
      <c r="R620" s="27" t="s">
        <v>7</v>
      </c>
      <c r="T620" s="27" t="s">
        <v>7</v>
      </c>
      <c r="U620" s="27" t="s">
        <v>8</v>
      </c>
      <c r="V620" s="27" t="s">
        <v>7</v>
      </c>
      <c r="W620" s="27" t="s">
        <v>8</v>
      </c>
      <c r="X620" s="27" t="s">
        <v>7</v>
      </c>
      <c r="Y620" s="27" t="s">
        <v>8</v>
      </c>
      <c r="Z620" s="27" t="s">
        <v>7</v>
      </c>
      <c r="AA620" s="27" t="s">
        <v>8</v>
      </c>
    </row>
    <row r="621" spans="1:36" x14ac:dyDescent="0.25">
      <c r="A621" s="7">
        <v>0.51002816562648323</v>
      </c>
      <c r="B621"/>
      <c r="C621"/>
      <c r="D621"/>
      <c r="E621"/>
      <c r="T621" s="27" t="s">
        <v>7</v>
      </c>
      <c r="U621" s="27" t="s">
        <v>8</v>
      </c>
      <c r="V621" s="27" t="s">
        <v>7</v>
      </c>
      <c r="W621" s="27" t="s">
        <v>8</v>
      </c>
      <c r="X621" s="27" t="s">
        <v>7</v>
      </c>
      <c r="Z621" s="27" t="s">
        <v>7</v>
      </c>
    </row>
    <row r="622" spans="1:36" x14ac:dyDescent="0.25">
      <c r="A622" s="7">
        <v>0.50002761335929735</v>
      </c>
      <c r="B622"/>
      <c r="C622"/>
      <c r="D622"/>
      <c r="E622"/>
      <c r="T622" s="27" t="s">
        <v>7</v>
      </c>
      <c r="U622" s="27" t="s">
        <v>8</v>
      </c>
      <c r="V622" s="27" t="s">
        <v>7</v>
      </c>
    </row>
    <row r="623" spans="1:36" x14ac:dyDescent="0.25">
      <c r="A623" s="7">
        <v>0.49022315035225228</v>
      </c>
      <c r="B623"/>
      <c r="C623"/>
      <c r="D623"/>
      <c r="E623"/>
      <c r="T623" s="27" t="s">
        <v>7</v>
      </c>
      <c r="U623" s="27" t="s">
        <v>8</v>
      </c>
    </row>
    <row r="624" spans="1:36" x14ac:dyDescent="0.25">
      <c r="A624" s="7">
        <v>0.48061093171789437</v>
      </c>
      <c r="B624"/>
      <c r="C624"/>
      <c r="D624"/>
      <c r="E624"/>
      <c r="T624" s="27" t="s">
        <v>7</v>
      </c>
      <c r="U624" s="27" t="s">
        <v>8</v>
      </c>
    </row>
    <row r="625" spans="1:21" x14ac:dyDescent="0.25">
      <c r="A625" s="7">
        <v>0.47118718795871994</v>
      </c>
      <c r="B625"/>
      <c r="C625"/>
      <c r="D625"/>
      <c r="E625"/>
      <c r="T625" s="27" t="s">
        <v>7</v>
      </c>
      <c r="U625" s="27" t="s">
        <v>8</v>
      </c>
    </row>
    <row r="626" spans="1:21" x14ac:dyDescent="0.25">
      <c r="A626" s="7">
        <v>0.46194822348894116</v>
      </c>
      <c r="B626"/>
      <c r="C626"/>
      <c r="D626"/>
      <c r="E626"/>
      <c r="T626" s="27" t="s">
        <v>7</v>
      </c>
      <c r="U626" s="27" t="s">
        <v>8</v>
      </c>
    </row>
    <row r="627" spans="1:21" x14ac:dyDescent="0.25">
      <c r="A627" s="7">
        <v>0.45289041518523643</v>
      </c>
      <c r="B627"/>
      <c r="C627"/>
      <c r="D627"/>
      <c r="E627"/>
      <c r="T627" s="27" t="s">
        <v>7</v>
      </c>
      <c r="U627" s="27" t="s">
        <v>8</v>
      </c>
    </row>
    <row r="628" spans="1:21" x14ac:dyDescent="0.25">
      <c r="A628" s="7">
        <v>0.44401021096591808</v>
      </c>
      <c r="B628"/>
      <c r="C628"/>
      <c r="D628"/>
      <c r="E628"/>
      <c r="T628" s="27" t="s">
        <v>7</v>
      </c>
      <c r="U628" s="27" t="s">
        <v>8</v>
      </c>
    </row>
    <row r="629" spans="1:21" x14ac:dyDescent="0.25">
      <c r="A629" s="7">
        <v>0.4353041283979589</v>
      </c>
      <c r="B629"/>
      <c r="C629"/>
      <c r="D629"/>
      <c r="E629"/>
      <c r="T629" s="27" t="s">
        <v>7</v>
      </c>
      <c r="U629" s="27" t="s">
        <v>8</v>
      </c>
    </row>
    <row r="630" spans="1:21" x14ac:dyDescent="0.25">
      <c r="A630" s="7">
        <v>0.4267687533313323</v>
      </c>
      <c r="B630"/>
      <c r="C630"/>
      <c r="D630"/>
      <c r="E630"/>
      <c r="T630" s="27" t="s">
        <v>7</v>
      </c>
      <c r="U630" s="27" t="s">
        <v>8</v>
      </c>
    </row>
    <row r="631" spans="1:21" x14ac:dyDescent="0.25">
      <c r="A631" s="7">
        <v>0.41840073856012971</v>
      </c>
      <c r="B631"/>
      <c r="C631"/>
      <c r="D631"/>
      <c r="E631"/>
      <c r="T631" s="27" t="s">
        <v>7</v>
      </c>
      <c r="U631" s="27" t="s">
        <v>8</v>
      </c>
    </row>
    <row r="632" spans="1:21" x14ac:dyDescent="0.25">
      <c r="A632" s="7">
        <v>0.41019680250993112</v>
      </c>
      <c r="B632"/>
      <c r="C632"/>
      <c r="D632"/>
      <c r="E632"/>
      <c r="T632" s="27" t="s">
        <v>7</v>
      </c>
      <c r="U632" s="27" t="s">
        <v>8</v>
      </c>
    </row>
    <row r="633" spans="1:21" x14ac:dyDescent="0.25">
      <c r="A633" s="7">
        <v>0.40215372795091286</v>
      </c>
      <c r="B633"/>
      <c r="C633"/>
      <c r="D633"/>
      <c r="E633"/>
      <c r="T633" s="27" t="s">
        <v>7</v>
      </c>
      <c r="U633" s="27" t="s">
        <v>8</v>
      </c>
    </row>
    <row r="634" spans="1:21" x14ac:dyDescent="0.25">
      <c r="A634" s="7">
        <v>0.39426836073618904</v>
      </c>
      <c r="B634"/>
      <c r="C634"/>
      <c r="D634"/>
      <c r="E634"/>
      <c r="T634" s="27" t="s">
        <v>7</v>
      </c>
      <c r="U634" s="27" t="s">
        <v>8</v>
      </c>
    </row>
    <row r="635" spans="1:21" x14ac:dyDescent="0.25">
      <c r="A635" s="7">
        <v>0.38653760856489122</v>
      </c>
      <c r="B635"/>
      <c r="C635"/>
      <c r="D635"/>
      <c r="E635"/>
      <c r="T635" s="27" t="s">
        <v>7</v>
      </c>
      <c r="U635" s="27" t="s">
        <v>8</v>
      </c>
    </row>
    <row r="636" spans="1:21" x14ac:dyDescent="0.25">
      <c r="A636" s="7">
        <v>0.37895843976950117</v>
      </c>
      <c r="B636"/>
      <c r="C636"/>
      <c r="D636"/>
      <c r="E636"/>
      <c r="T636" s="27" t="s">
        <v>7</v>
      </c>
      <c r="U636" s="27" t="s">
        <v>8</v>
      </c>
    </row>
    <row r="637" spans="1:21" x14ac:dyDescent="0.25">
      <c r="A637" s="7">
        <v>0.37152788212696197</v>
      </c>
      <c r="B637"/>
      <c r="C637"/>
      <c r="D637"/>
      <c r="E637"/>
      <c r="T637" s="27" t="s">
        <v>7</v>
      </c>
      <c r="U637" s="27" t="s">
        <v>8</v>
      </c>
    </row>
    <row r="638" spans="1:21" x14ac:dyDescent="0.25">
      <c r="A638" s="7">
        <v>0.36424302169310002</v>
      </c>
      <c r="B638"/>
      <c r="C638"/>
      <c r="D638"/>
      <c r="E638"/>
      <c r="T638" s="27" t="s">
        <v>7</v>
      </c>
      <c r="U638" s="27" t="s">
        <v>8</v>
      </c>
    </row>
    <row r="639" spans="1:21" x14ac:dyDescent="0.25">
      <c r="A639" s="7">
        <v>0.35710100165990194</v>
      </c>
      <c r="B639"/>
      <c r="C639"/>
      <c r="D639"/>
      <c r="E639"/>
      <c r="T639" s="27" t="s">
        <v>7</v>
      </c>
      <c r="U639" s="27" t="s">
        <v>8</v>
      </c>
    </row>
    <row r="640" spans="1:21" x14ac:dyDescent="0.25">
      <c r="A640" s="7">
        <v>0.35009902123519804</v>
      </c>
      <c r="B640"/>
      <c r="C640"/>
      <c r="D640"/>
      <c r="E640"/>
      <c r="T640" s="27" t="s">
        <v>7</v>
      </c>
      <c r="U640" s="27" t="s">
        <v>8</v>
      </c>
    </row>
    <row r="641" spans="1:21" x14ac:dyDescent="0.25">
      <c r="A641" s="7">
        <v>0.34323433454431179</v>
      </c>
      <c r="B641"/>
      <c r="C641"/>
      <c r="D641"/>
      <c r="E641"/>
      <c r="T641" s="27" t="s">
        <v>7</v>
      </c>
      <c r="U641" s="27" t="s">
        <v>8</v>
      </c>
    </row>
    <row r="642" spans="1:21" x14ac:dyDescent="0.25">
      <c r="A642" s="7">
        <v>0.33650424955324681</v>
      </c>
      <c r="B642"/>
      <c r="C642"/>
      <c r="D642"/>
      <c r="E642"/>
      <c r="T642" s="27" t="s">
        <v>7</v>
      </c>
      <c r="U642" s="27" t="s">
        <v>8</v>
      </c>
    </row>
    <row r="643" spans="1:21" x14ac:dyDescent="0.25">
      <c r="A643" s="7">
        <v>0.3299061270129871</v>
      </c>
      <c r="B643"/>
      <c r="C643"/>
      <c r="D643"/>
      <c r="E643"/>
      <c r="T643" s="27" t="s">
        <v>7</v>
      </c>
      <c r="U643" s="27" t="s">
        <v>8</v>
      </c>
    </row>
    <row r="644" spans="1:21" x14ac:dyDescent="0.25">
      <c r="A644" s="7">
        <v>0.32343737942449713</v>
      </c>
      <c r="B644"/>
      <c r="C644"/>
      <c r="D644"/>
      <c r="E644"/>
      <c r="T644" s="27" t="s">
        <v>7</v>
      </c>
      <c r="U644" s="27" t="s">
        <v>8</v>
      </c>
    </row>
    <row r="645" spans="1:21" x14ac:dyDescent="0.25">
      <c r="A645" s="7">
        <v>0.31709547002401678</v>
      </c>
      <c r="B645"/>
      <c r="C645"/>
      <c r="D645"/>
      <c r="E645"/>
      <c r="T645" s="27" t="s">
        <v>7</v>
      </c>
      <c r="U645" s="27" t="s">
        <v>8</v>
      </c>
    </row>
    <row r="646" spans="1:21" x14ac:dyDescent="0.25">
      <c r="A646" s="7">
        <v>0.31087791178825175</v>
      </c>
      <c r="B646"/>
      <c r="C646"/>
      <c r="D646"/>
      <c r="E646"/>
      <c r="T646" s="27" t="s">
        <v>7</v>
      </c>
      <c r="U646" s="27" t="s">
        <v>8</v>
      </c>
    </row>
    <row r="647" spans="1:21" x14ac:dyDescent="0.25">
      <c r="A647" s="7">
        <v>0.30478226645907036</v>
      </c>
      <c r="B647"/>
      <c r="C647"/>
      <c r="D647"/>
      <c r="E647"/>
      <c r="T647" s="27" t="s">
        <v>7</v>
      </c>
      <c r="U647" s="27" t="s">
        <v>8</v>
      </c>
    </row>
    <row r="648" spans="1:21" x14ac:dyDescent="0.25">
      <c r="A648" s="7">
        <v>0.29880614358732388</v>
      </c>
      <c r="B648"/>
      <c r="C648"/>
      <c r="D648"/>
      <c r="E648"/>
      <c r="T648" s="27" t="s">
        <v>7</v>
      </c>
      <c r="U648" s="27" t="s">
        <v>8</v>
      </c>
    </row>
    <row r="649" spans="1:21" x14ac:dyDescent="0.25">
      <c r="A649" s="7">
        <v>0.2929471995954156</v>
      </c>
      <c r="B649"/>
      <c r="C649"/>
      <c r="D649"/>
      <c r="E649"/>
      <c r="T649" s="27" t="s">
        <v>7</v>
      </c>
      <c r="U649" s="27" t="s">
        <v>8</v>
      </c>
    </row>
    <row r="650" spans="1:21" x14ac:dyDescent="0.25">
      <c r="A650" s="7">
        <v>0.28720313685825055</v>
      </c>
      <c r="B650"/>
      <c r="C650"/>
      <c r="D650"/>
      <c r="E650"/>
      <c r="T650" s="27" t="s">
        <v>7</v>
      </c>
      <c r="U650" s="27" t="s">
        <v>8</v>
      </c>
    </row>
    <row r="651" spans="1:21" x14ac:dyDescent="0.25">
      <c r="A651" s="7">
        <v>0.28157170280220645</v>
      </c>
      <c r="B651"/>
      <c r="C651"/>
      <c r="D651"/>
      <c r="E651"/>
      <c r="T651" s="27" t="s">
        <v>7</v>
      </c>
      <c r="U651" s="27" t="s">
        <v>8</v>
      </c>
    </row>
    <row r="652" spans="1:21" x14ac:dyDescent="0.25">
      <c r="A652" s="7">
        <v>0.27605068902177105</v>
      </c>
      <c r="B652"/>
      <c r="C652"/>
      <c r="D652"/>
      <c r="E652"/>
      <c r="T652" s="27" t="s">
        <v>7</v>
      </c>
      <c r="U652" s="27" t="s">
        <v>8</v>
      </c>
    </row>
    <row r="653" spans="1:21" x14ac:dyDescent="0.25">
      <c r="A653" s="7">
        <v>0.27063793041350104</v>
      </c>
      <c r="B653"/>
      <c r="C653"/>
      <c r="D653"/>
      <c r="E653"/>
      <c r="T653" s="27" t="s">
        <v>7</v>
      </c>
      <c r="U653" s="27" t="s">
        <v>8</v>
      </c>
    </row>
    <row r="654" spans="1:21" x14ac:dyDescent="0.25">
      <c r="A654" s="7">
        <v>0.26533130432696184</v>
      </c>
      <c r="B654"/>
      <c r="C654"/>
      <c r="D654"/>
      <c r="E654"/>
      <c r="T654" s="27" t="s">
        <v>7</v>
      </c>
      <c r="U654" s="27" t="s">
        <v>8</v>
      </c>
    </row>
    <row r="655" spans="1:21" x14ac:dyDescent="0.25">
      <c r="A655" s="7">
        <v>0.26012872973231554</v>
      </c>
      <c r="B655"/>
      <c r="C655"/>
      <c r="D655"/>
      <c r="E655"/>
      <c r="T655" s="27" t="s">
        <v>7</v>
      </c>
      <c r="U655" s="27" t="s">
        <v>8</v>
      </c>
    </row>
    <row r="656" spans="1:21" x14ac:dyDescent="0.25">
      <c r="A656" s="7">
        <v>0.25502816640423093</v>
      </c>
      <c r="B656"/>
      <c r="C656"/>
      <c r="D656"/>
      <c r="E656"/>
      <c r="T656" s="27" t="s">
        <v>7</v>
      </c>
      <c r="U656" s="27" t="s">
        <v>8</v>
      </c>
    </row>
    <row r="657" spans="1:21" x14ac:dyDescent="0.25">
      <c r="A657" s="7">
        <v>0.25002761412179503</v>
      </c>
      <c r="B657"/>
      <c r="C657"/>
      <c r="D657"/>
      <c r="E657"/>
      <c r="T657" s="27" t="s">
        <v>7</v>
      </c>
      <c r="U657" s="27" t="s">
        <v>8</v>
      </c>
    </row>
    <row r="658" spans="1:21" x14ac:dyDescent="0.25">
      <c r="A658" s="7">
        <v>0.24512511188411276</v>
      </c>
      <c r="B658"/>
      <c r="C658"/>
      <c r="D658"/>
      <c r="E658"/>
      <c r="T658" s="27" t="s">
        <v>7</v>
      </c>
      <c r="U658" s="27" t="s">
        <v>8</v>
      </c>
    </row>
    <row r="659" spans="1:21" x14ac:dyDescent="0.25">
      <c r="A659" s="7">
        <v>0.24031873714128701</v>
      </c>
      <c r="B659"/>
      <c r="C659"/>
      <c r="D659"/>
      <c r="E659"/>
      <c r="T659" s="27" t="s">
        <v>7</v>
      </c>
      <c r="U659" s="27" t="s">
        <v>8</v>
      </c>
    </row>
    <row r="660" spans="1:21" x14ac:dyDescent="0.25">
      <c r="A660" s="7">
        <v>0.23560660504047748</v>
      </c>
      <c r="B660"/>
      <c r="C660"/>
      <c r="D660"/>
      <c r="E660"/>
      <c r="T660" s="27" t="s">
        <v>7</v>
      </c>
      <c r="U660" s="27" t="s">
        <v>8</v>
      </c>
    </row>
    <row r="661" spans="1:21" x14ac:dyDescent="0.25">
      <c r="A661" s="7">
        <v>0.23098686768674265</v>
      </c>
      <c r="B661"/>
      <c r="C661"/>
      <c r="D661"/>
      <c r="E661"/>
      <c r="T661" s="27" t="s">
        <v>7</v>
      </c>
      <c r="U661" s="27" t="s">
        <v>8</v>
      </c>
    </row>
    <row r="662" spans="1:21" x14ac:dyDescent="0.25">
      <c r="A662" s="7">
        <v>0.22645771341837515</v>
      </c>
      <c r="B662"/>
      <c r="C662"/>
      <c r="D662"/>
      <c r="E662"/>
      <c r="T662" s="27" t="s">
        <v>7</v>
      </c>
      <c r="U662" s="27" t="s">
        <v>8</v>
      </c>
    </row>
    <row r="663" spans="1:21" x14ac:dyDescent="0.25">
      <c r="A663" s="7">
        <v>0.22201736609644623</v>
      </c>
      <c r="B663"/>
      <c r="C663"/>
      <c r="D663"/>
      <c r="E663"/>
      <c r="T663" s="27" t="s">
        <v>7</v>
      </c>
      <c r="U663" s="27" t="s">
        <v>8</v>
      </c>
    </row>
    <row r="664" spans="1:21" x14ac:dyDescent="0.25">
      <c r="A664" s="7">
        <v>0.21766408440828061</v>
      </c>
      <c r="B664"/>
      <c r="C664"/>
      <c r="D664"/>
      <c r="E664"/>
      <c r="T664" s="27" t="s">
        <v>7</v>
      </c>
      <c r="U664" s="27" t="s">
        <v>8</v>
      </c>
    </row>
    <row r="665" spans="1:21" x14ac:dyDescent="0.25">
      <c r="A665" s="7">
        <v>0.21339616118458882</v>
      </c>
      <c r="B665"/>
      <c r="C665"/>
      <c r="D665"/>
      <c r="E665"/>
      <c r="T665" s="27" t="s">
        <v>7</v>
      </c>
      <c r="U665" s="27" t="s">
        <v>8</v>
      </c>
    </row>
    <row r="666" spans="1:21" x14ac:dyDescent="0.25">
      <c r="A666" s="7">
        <v>0.20921192272998904</v>
      </c>
      <c r="B666"/>
      <c r="C666"/>
      <c r="D666"/>
      <c r="E666"/>
      <c r="T666" s="27" t="s">
        <v>7</v>
      </c>
      <c r="U666" s="27" t="s">
        <v>8</v>
      </c>
    </row>
    <row r="667" spans="1:21" x14ac:dyDescent="0.25">
      <c r="A667" s="7">
        <v>0.20510972816665593</v>
      </c>
      <c r="B667"/>
      <c r="C667"/>
      <c r="D667"/>
      <c r="E667"/>
      <c r="T667" s="27" t="s">
        <v>7</v>
      </c>
      <c r="U667" s="27" t="s">
        <v>8</v>
      </c>
    </row>
    <row r="668" spans="1:21" x14ac:dyDescent="0.25">
      <c r="A668" s="7">
        <v>0.20108796879083912</v>
      </c>
      <c r="B668"/>
      <c r="C668"/>
      <c r="D668"/>
      <c r="E668"/>
      <c r="T668" s="27" t="s">
        <v>7</v>
      </c>
      <c r="U668" s="27" t="s">
        <v>8</v>
      </c>
    </row>
    <row r="669" spans="1:21" x14ac:dyDescent="0.25">
      <c r="A669" s="7">
        <v>0.19714506744199917</v>
      </c>
      <c r="B669"/>
      <c r="C669"/>
      <c r="D669"/>
      <c r="E669"/>
      <c r="T669" s="27" t="s">
        <v>7</v>
      </c>
      <c r="U669" s="27" t="s">
        <v>8</v>
      </c>
    </row>
    <row r="670" spans="1:21" x14ac:dyDescent="0.25">
      <c r="A670" s="7">
        <v>0.19327947788431293</v>
      </c>
      <c r="B670"/>
      <c r="C670"/>
      <c r="D670"/>
      <c r="E670"/>
      <c r="T670" s="27" t="s">
        <v>7</v>
      </c>
      <c r="U670" s="27" t="s">
        <v>8</v>
      </c>
    </row>
    <row r="671" spans="1:21" x14ac:dyDescent="0.25">
      <c r="A671" s="7">
        <v>0.18948968420030682</v>
      </c>
      <c r="B671"/>
      <c r="C671"/>
      <c r="D671"/>
      <c r="E671"/>
      <c r="T671" s="27" t="s">
        <v>7</v>
      </c>
      <c r="U671" s="27" t="s">
        <v>8</v>
      </c>
    </row>
    <row r="672" spans="1:21" x14ac:dyDescent="0.25">
      <c r="A672" s="7">
        <v>0.18577420019637925</v>
      </c>
      <c r="B672"/>
      <c r="C672"/>
      <c r="D672"/>
      <c r="E672"/>
      <c r="T672" s="27" t="s">
        <v>7</v>
      </c>
      <c r="U672" s="27" t="s">
        <v>8</v>
      </c>
    </row>
    <row r="673" spans="1:21" x14ac:dyDescent="0.25">
      <c r="A673" s="7">
        <v>0.18213156881997963</v>
      </c>
      <c r="B673"/>
      <c r="C673"/>
      <c r="D673"/>
      <c r="E673"/>
      <c r="T673" s="27" t="s">
        <v>7</v>
      </c>
      <c r="U673" s="27" t="s">
        <v>8</v>
      </c>
    </row>
    <row r="674" spans="1:21" x14ac:dyDescent="0.25">
      <c r="A674" s="7">
        <v>0.17856036158821534</v>
      </c>
      <c r="B674"/>
      <c r="C674"/>
      <c r="D674"/>
      <c r="E674"/>
      <c r="T674" s="27" t="s">
        <v>7</v>
      </c>
      <c r="U674" s="27" t="s">
        <v>8</v>
      </c>
    </row>
    <row r="675" spans="1:21" x14ac:dyDescent="0.25">
      <c r="A675" s="7">
        <v>0.17505917802766208</v>
      </c>
      <c r="B675"/>
      <c r="C675"/>
      <c r="D675"/>
      <c r="E675"/>
      <c r="T675" s="27" t="s">
        <v>7</v>
      </c>
      <c r="U675" s="27" t="s">
        <v>8</v>
      </c>
    </row>
    <row r="676" spans="1:21" x14ac:dyDescent="0.25">
      <c r="A676" s="7">
        <v>0.17162664512515888</v>
      </c>
      <c r="B676"/>
      <c r="C676"/>
      <c r="D676"/>
      <c r="E676"/>
      <c r="T676" s="27" t="s">
        <v>7</v>
      </c>
      <c r="U676" s="27" t="s">
        <v>8</v>
      </c>
    </row>
    <row r="677" spans="1:21" x14ac:dyDescent="0.25">
      <c r="A677" s="7">
        <v>0.16826141678937145</v>
      </c>
      <c r="B677"/>
      <c r="C677"/>
      <c r="D677"/>
      <c r="E677"/>
      <c r="T677" s="27" t="s">
        <v>7</v>
      </c>
      <c r="U677" s="27" t="s">
        <v>8</v>
      </c>
    </row>
    <row r="678" spans="1:21" x14ac:dyDescent="0.25">
      <c r="A678" s="7">
        <v>0.16496217332291319</v>
      </c>
      <c r="B678"/>
      <c r="C678"/>
      <c r="D678"/>
      <c r="E678"/>
      <c r="T678" s="27" t="s">
        <v>7</v>
      </c>
      <c r="U678" s="27" t="s">
        <v>8</v>
      </c>
    </row>
    <row r="679" spans="1:21" x14ac:dyDescent="0.25">
      <c r="A679" s="7">
        <v>0.16172762090481685</v>
      </c>
      <c r="B679"/>
      <c r="C679"/>
      <c r="D679"/>
      <c r="E679"/>
      <c r="T679" s="27" t="s">
        <v>7</v>
      </c>
      <c r="U679" s="27" t="s">
        <v>8</v>
      </c>
    </row>
    <row r="680" spans="1:21" x14ac:dyDescent="0.25">
      <c r="A680" s="7">
        <v>0.15855649108315376</v>
      </c>
      <c r="B680"/>
      <c r="C680"/>
      <c r="D680"/>
      <c r="E680"/>
      <c r="T680" s="27" t="s">
        <v>7</v>
      </c>
      <c r="U680" s="27" t="s">
        <v>8</v>
      </c>
    </row>
    <row r="681" spans="1:21" x14ac:dyDescent="0.25">
      <c r="A681" s="7">
        <v>0.15544754027760171</v>
      </c>
      <c r="B681"/>
      <c r="C681"/>
      <c r="D681"/>
      <c r="E681"/>
      <c r="T681" s="27" t="s">
        <v>7</v>
      </c>
      <c r="U681" s="27" t="s">
        <v>8</v>
      </c>
    </row>
    <row r="682" spans="1:21" x14ac:dyDescent="0.25">
      <c r="A682" s="7">
        <v>0.15239954929176638</v>
      </c>
      <c r="B682"/>
      <c r="C682"/>
      <c r="D682"/>
      <c r="E682"/>
      <c r="T682" s="27" t="s">
        <v>7</v>
      </c>
      <c r="U682" s="27" t="s">
        <v>8</v>
      </c>
    </row>
    <row r="683" spans="1:21" x14ac:dyDescent="0.25">
      <c r="A683" s="7">
        <v>0.14941132283506509</v>
      </c>
      <c r="B683"/>
      <c r="C683"/>
      <c r="D683"/>
      <c r="E683"/>
      <c r="T683" s="27" t="s">
        <v>7</v>
      </c>
      <c r="U683" s="27" t="s">
        <v>8</v>
      </c>
    </row>
    <row r="684" spans="1:21" x14ac:dyDescent="0.25">
      <c r="A684" s="7">
        <v>0.14648168905398537</v>
      </c>
      <c r="B684"/>
      <c r="C684"/>
      <c r="D684"/>
      <c r="E684"/>
      <c r="T684" s="27" t="s">
        <v>7</v>
      </c>
      <c r="U684" s="27" t="s">
        <v>8</v>
      </c>
    </row>
    <row r="685" spans="1:21" x14ac:dyDescent="0.25">
      <c r="A685" s="7">
        <v>0.14360949907253467</v>
      </c>
      <c r="B685"/>
      <c r="C685"/>
      <c r="D685"/>
      <c r="E685"/>
      <c r="T685" s="27" t="s">
        <v>7</v>
      </c>
      <c r="U685" s="27" t="s">
        <v>8</v>
      </c>
    </row>
    <row r="686" spans="1:21" x14ac:dyDescent="0.25">
      <c r="A686" s="7">
        <v>0.14079362654170066</v>
      </c>
      <c r="B686"/>
      <c r="C686"/>
      <c r="D686"/>
      <c r="E686"/>
      <c r="T686" s="27" t="s">
        <v>7</v>
      </c>
      <c r="U686" s="27" t="s">
        <v>8</v>
      </c>
    </row>
    <row r="687" spans="1:21" x14ac:dyDescent="0.25">
      <c r="A687" s="7">
        <v>0.13803296719774574</v>
      </c>
      <c r="B687"/>
      <c r="C687"/>
      <c r="D687"/>
      <c r="E687"/>
      <c r="T687" s="27" t="s">
        <v>7</v>
      </c>
      <c r="U687" s="27" t="s">
        <v>8</v>
      </c>
    </row>
    <row r="688" spans="1:21" x14ac:dyDescent="0.25">
      <c r="A688" s="7">
        <v>0.1353264384291625</v>
      </c>
      <c r="B688"/>
      <c r="C688"/>
      <c r="D688"/>
      <c r="E688"/>
      <c r="T688" s="27" t="s">
        <v>7</v>
      </c>
      <c r="U688" s="27" t="s">
        <v>8</v>
      </c>
    </row>
    <row r="689" spans="1:21" x14ac:dyDescent="0.25">
      <c r="A689" s="7">
        <v>0.13267297885212009</v>
      </c>
      <c r="B689"/>
      <c r="C689"/>
      <c r="D689"/>
      <c r="E689"/>
      <c r="T689" s="27" t="s">
        <v>7</v>
      </c>
      <c r="U689" s="27" t="s">
        <v>8</v>
      </c>
    </row>
    <row r="690" spans="1:21" x14ac:dyDescent="0.25">
      <c r="A690" s="7">
        <v>0.13007154789423539</v>
      </c>
      <c r="B690"/>
      <c r="C690"/>
      <c r="D690"/>
      <c r="E690"/>
      <c r="T690" s="27" t="s">
        <v>7</v>
      </c>
      <c r="U690" s="27" t="s">
        <v>8</v>
      </c>
    </row>
    <row r="691" spans="1:21" x14ac:dyDescent="0.25">
      <c r="A691" s="7">
        <v>0.12752112538650529</v>
      </c>
      <c r="B691"/>
      <c r="C691"/>
      <c r="D691"/>
      <c r="E691"/>
      <c r="T691" s="27" t="s">
        <v>7</v>
      </c>
      <c r="U691" s="27" t="s">
        <v>8</v>
      </c>
    </row>
    <row r="692" spans="1:21" x14ac:dyDescent="0.25">
      <c r="A692" s="7">
        <v>0.12502071116324048</v>
      </c>
      <c r="B692"/>
      <c r="C692"/>
      <c r="D692"/>
      <c r="E692"/>
      <c r="T692" s="27" t="s">
        <v>7</v>
      </c>
      <c r="U692" s="27" t="s">
        <v>8</v>
      </c>
    </row>
    <row r="693" spans="1:21" x14ac:dyDescent="0.25">
      <c r="A693" s="7">
        <v>0.1225693246698436</v>
      </c>
      <c r="B693"/>
      <c r="C693"/>
      <c r="D693"/>
      <c r="E693"/>
      <c r="T693" s="27" t="s">
        <v>7</v>
      </c>
      <c r="U693" s="27" t="s">
        <v>8</v>
      </c>
    </row>
    <row r="694" spans="1:21" x14ac:dyDescent="0.25">
      <c r="A694" s="7">
        <v>0.12016600457827803</v>
      </c>
      <c r="B694"/>
      <c r="C694"/>
      <c r="D694"/>
      <c r="E694"/>
      <c r="T694" s="27" t="s">
        <v>7</v>
      </c>
      <c r="U694" s="27" t="s">
        <v>8</v>
      </c>
    </row>
    <row r="695" spans="1:21" x14ac:dyDescent="0.25">
      <c r="A695" s="7">
        <v>0.1178098084100765</v>
      </c>
      <c r="B695"/>
      <c r="C695"/>
      <c r="D695"/>
      <c r="E695"/>
      <c r="T695" s="27" t="s">
        <v>7</v>
      </c>
      <c r="U695" s="27" t="s">
        <v>8</v>
      </c>
    </row>
    <row r="696" spans="1:21" x14ac:dyDescent="0.25">
      <c r="A696" s="7">
        <v>0.11549981216674166</v>
      </c>
      <c r="B696"/>
      <c r="C696"/>
      <c r="D696"/>
      <c r="E696"/>
      <c r="T696" s="27" t="s">
        <v>7</v>
      </c>
      <c r="U696" s="27" t="s">
        <v>8</v>
      </c>
    </row>
    <row r="697" spans="1:21" x14ac:dyDescent="0.25">
      <c r="A697" s="7">
        <v>0.11323510996739378</v>
      </c>
      <c r="B697"/>
      <c r="C697"/>
      <c r="D697"/>
      <c r="E697"/>
      <c r="T697" s="27" t="s">
        <v>7</v>
      </c>
      <c r="U697" s="27" t="s">
        <v>8</v>
      </c>
    </row>
    <row r="698" spans="1:21" x14ac:dyDescent="0.25">
      <c r="A698" s="7">
        <v>0.11101481369352331</v>
      </c>
      <c r="B698"/>
      <c r="C698"/>
      <c r="D698"/>
      <c r="E698"/>
      <c r="T698" s="27" t="s">
        <v>7</v>
      </c>
      <c r="U698" s="27" t="s">
        <v>8</v>
      </c>
    </row>
    <row r="699" spans="1:21" x14ac:dyDescent="0.25">
      <c r="A699" s="7">
        <v>0.10883805264070913</v>
      </c>
      <c r="B699"/>
      <c r="C699"/>
      <c r="D699"/>
      <c r="E699"/>
      <c r="T699" s="27" t="s">
        <v>7</v>
      </c>
    </row>
    <row r="700" spans="1:21" x14ac:dyDescent="0.25">
      <c r="A700" s="7">
        <v>0.10670397317716582</v>
      </c>
      <c r="B700"/>
      <c r="C700"/>
      <c r="D700"/>
      <c r="E700"/>
    </row>
    <row r="701" spans="1:21" x14ac:dyDescent="0.25">
      <c r="A701" s="7">
        <v>0.1046117384089861</v>
      </c>
      <c r="B701"/>
      <c r="C701"/>
      <c r="D701"/>
      <c r="E701"/>
    </row>
    <row r="702" spans="1:21" x14ac:dyDescent="0.25">
      <c r="A702" s="7">
        <v>0.10256052785194716</v>
      </c>
      <c r="B702"/>
      <c r="C702"/>
      <c r="D702"/>
      <c r="E702"/>
    </row>
    <row r="703" spans="1:21" x14ac:dyDescent="0.25">
      <c r="A703" s="7">
        <v>0.10054953710975212</v>
      </c>
      <c r="B703"/>
      <c r="C703"/>
      <c r="D703"/>
      <c r="E703"/>
    </row>
    <row r="704" spans="1:21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21" operator="equal">
      <formula>$U$1</formula>
    </cfRule>
    <cfRule type="cellIs" dxfId="89" priority="822" operator="equal">
      <formula>$S$1</formula>
    </cfRule>
  </conditionalFormatting>
  <conditionalFormatting sqref="D27">
    <cfRule type="cellIs" dxfId="88" priority="819" operator="equal">
      <formula>$S$1</formula>
    </cfRule>
    <cfRule type="cellIs" dxfId="87" priority="820" operator="equal">
      <formula>$U$1</formula>
    </cfRule>
  </conditionalFormatting>
  <conditionalFormatting sqref="C164">
    <cfRule type="cellIs" dxfId="86" priority="817" operator="equal">
      <formula>$U$1</formula>
    </cfRule>
    <cfRule type="cellIs" dxfId="85" priority="818" operator="equal">
      <formula>$S$1</formula>
    </cfRule>
  </conditionalFormatting>
  <conditionalFormatting sqref="D164">
    <cfRule type="cellIs" dxfId="84" priority="815" operator="equal">
      <formula>$S$1</formula>
    </cfRule>
    <cfRule type="cellIs" dxfId="83" priority="816" operator="equal">
      <formula>$U$1</formula>
    </cfRule>
  </conditionalFormatting>
  <conditionalFormatting sqref="C55">
    <cfRule type="cellIs" dxfId="82" priority="813" operator="equal">
      <formula>$U$1</formula>
    </cfRule>
    <cfRule type="cellIs" dxfId="81" priority="814" operator="equal">
      <formula>$S$1</formula>
    </cfRule>
  </conditionalFormatting>
  <conditionalFormatting sqref="D55">
    <cfRule type="cellIs" dxfId="80" priority="811" operator="equal">
      <formula>$S$1</formula>
    </cfRule>
    <cfRule type="cellIs" dxfId="79" priority="812" operator="equal">
      <formula>$U$1</formula>
    </cfRule>
  </conditionalFormatting>
  <conditionalFormatting sqref="C89">
    <cfRule type="cellIs" dxfId="78" priority="809" operator="equal">
      <formula>$U$1</formula>
    </cfRule>
    <cfRule type="cellIs" dxfId="77" priority="810" operator="equal">
      <formula>$S$1</formula>
    </cfRule>
  </conditionalFormatting>
  <conditionalFormatting sqref="D89">
    <cfRule type="cellIs" dxfId="76" priority="807" operator="equal">
      <formula>$S$1</formula>
    </cfRule>
    <cfRule type="cellIs" dxfId="75" priority="808" operator="equal">
      <formula>$U$1</formula>
    </cfRule>
  </conditionalFormatting>
  <conditionalFormatting sqref="C136">
    <cfRule type="cellIs" dxfId="74" priority="805" operator="equal">
      <formula>$U$1</formula>
    </cfRule>
    <cfRule type="cellIs" dxfId="73" priority="806" operator="equal">
      <formula>$S$1</formula>
    </cfRule>
  </conditionalFormatting>
  <conditionalFormatting sqref="D136">
    <cfRule type="cellIs" dxfId="72" priority="803" operator="equal">
      <formula>$S$1</formula>
    </cfRule>
    <cfRule type="cellIs" dxfId="71" priority="804" operator="equal">
      <formula>$U$1</formula>
    </cfRule>
  </conditionalFormatting>
  <conditionalFormatting sqref="C1">
    <cfRule type="cellIs" dxfId="70" priority="80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AZ225" sqref="AZ22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$A$224</v>
      </c>
      <c r="D111" s="1" t="str">
        <f>ADDRESS(C121-1,D121,1,1)</f>
        <v>$AZ$224</v>
      </c>
      <c r="E111"/>
    </row>
    <row r="112" spans="1:5" x14ac:dyDescent="0.25">
      <c r="A112" s="30">
        <v>515.50191262726139</v>
      </c>
      <c r="C112" s="1" t="str">
        <f>ADDRESS(C121,1,1,1)</f>
        <v>$A$225</v>
      </c>
      <c r="D112" s="1" t="str">
        <f>ADDRESS(C121,D121-1,1,1)</f>
        <v>$AY$225</v>
      </c>
      <c r="E112"/>
    </row>
    <row r="113" spans="1:5" x14ac:dyDescent="0.25">
      <c r="A113" s="30">
        <v>490.95420250215363</v>
      </c>
      <c r="C113" s="1" t="str">
        <f>ADDRESS(C121+1,1,1,1)</f>
        <v>$A$226</v>
      </c>
      <c r="D113" s="1" t="str">
        <f>ADDRESS(C121-1,D121+1,1,1)</f>
        <v>$BA$224</v>
      </c>
    </row>
    <row r="114" spans="1:5" x14ac:dyDescent="0.25">
      <c r="A114" s="30">
        <v>467.57543095443202</v>
      </c>
      <c r="C114" s="1" t="str">
        <f>ADDRESS(C121,D121,1,1)</f>
        <v>$AZ$225</v>
      </c>
      <c r="D114" s="1" t="str">
        <f>ADDRESS(C121+1,D121+1,1,1)</f>
        <v>$BA$226</v>
      </c>
    </row>
    <row r="115" spans="1:5" x14ac:dyDescent="0.25">
      <c r="A115" s="30">
        <v>445.30993424231622</v>
      </c>
      <c r="C115" s="1" t="str">
        <f>ADDRESS(C121+1,D121,1,1)</f>
        <v>$AZ$226</v>
      </c>
    </row>
    <row r="116" spans="1:5" x14ac:dyDescent="0.25">
      <c r="A116" s="30">
        <v>424.10469927839637</v>
      </c>
      <c r="C116" s="1">
        <f>C117-1</f>
        <v>224</v>
      </c>
    </row>
    <row r="117" spans="1:5" x14ac:dyDescent="0.25">
      <c r="A117" s="30">
        <v>403.9092374079965</v>
      </c>
      <c r="C117" s="1">
        <f>C121</f>
        <v>225</v>
      </c>
      <c r="D117" s="1">
        <f>D121</f>
        <v>52</v>
      </c>
    </row>
    <row r="118" spans="1:5" x14ac:dyDescent="0.25">
      <c r="A118" s="30">
        <v>384.6754641980919</v>
      </c>
      <c r="C118" s="1">
        <f>C117+1</f>
        <v>226</v>
      </c>
      <c r="D118" s="1">
        <f>D117+1</f>
        <v>53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225</v>
      </c>
      <c r="D121" s="19">
        <v>52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R225</v>
      </c>
      <c r="D123" s="1" t="str">
        <f>"C"&amp;D121</f>
        <v>C52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2.0789281794113688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2" x14ac:dyDescent="0.25">
      <c r="A209" s="30">
        <v>4.5380394939082018</v>
      </c>
      <c r="E209"/>
    </row>
    <row r="210" spans="1:52" x14ac:dyDescent="0.25">
      <c r="A210" s="30">
        <v>4.3219423751506678</v>
      </c>
      <c r="C210"/>
      <c r="E210"/>
    </row>
    <row r="211" spans="1:52" x14ac:dyDescent="0.25">
      <c r="A211" s="30">
        <v>4.1161355953815884</v>
      </c>
      <c r="E211"/>
    </row>
    <row r="212" spans="1:52" x14ac:dyDescent="0.25">
      <c r="A212" s="30">
        <v>3.9201291384586554</v>
      </c>
      <c r="E212"/>
    </row>
    <row r="213" spans="1:52" x14ac:dyDescent="0.25">
      <c r="A213" s="30">
        <v>3.7334563223415764</v>
      </c>
      <c r="E213"/>
    </row>
    <row r="214" spans="1:52" x14ac:dyDescent="0.25">
      <c r="A214" s="30">
        <v>3.5556726879443583</v>
      </c>
      <c r="E214"/>
    </row>
    <row r="215" spans="1:52" x14ac:dyDescent="0.25">
      <c r="A215" s="30">
        <v>3.3863549408993889</v>
      </c>
      <c r="E215"/>
      <c r="AW215" s="27" t="s">
        <v>8</v>
      </c>
    </row>
    <row r="216" spans="1:52" x14ac:dyDescent="0.25">
      <c r="A216" s="30">
        <v>3.2250999437137038</v>
      </c>
      <c r="E216"/>
      <c r="AW216" s="27" t="s">
        <v>8</v>
      </c>
      <c r="AX216" s="27" t="s">
        <v>7</v>
      </c>
    </row>
    <row r="217" spans="1:52" x14ac:dyDescent="0.25">
      <c r="A217" s="30">
        <v>3.0715237559178128</v>
      </c>
      <c r="E217"/>
      <c r="AW217" s="27" t="s">
        <v>8</v>
      </c>
      <c r="AX217" s="27" t="s">
        <v>7</v>
      </c>
    </row>
    <row r="218" spans="1:52" x14ac:dyDescent="0.25">
      <c r="A218" s="30">
        <v>2.9252607199217264</v>
      </c>
      <c r="E218"/>
      <c r="AW218" s="27" t="s">
        <v>8</v>
      </c>
      <c r="AX218" s="27" t="s">
        <v>7</v>
      </c>
    </row>
    <row r="219" spans="1:52" x14ac:dyDescent="0.25">
      <c r="A219" s="30">
        <v>2.7859625904016441</v>
      </c>
      <c r="E219"/>
      <c r="AW219" s="27" t="s">
        <v>8</v>
      </c>
      <c r="AX219" s="27" t="s">
        <v>7</v>
      </c>
    </row>
    <row r="220" spans="1:52" x14ac:dyDescent="0.25">
      <c r="A220" s="30">
        <v>2.6532977051444226</v>
      </c>
      <c r="E220"/>
      <c r="AG220" s="27" t="s">
        <v>8</v>
      </c>
      <c r="AQ220" s="27" t="s">
        <v>8</v>
      </c>
      <c r="AS220" s="27" t="s">
        <v>8</v>
      </c>
      <c r="AU220" s="27" t="s">
        <v>8</v>
      </c>
      <c r="AW220" s="27" t="s">
        <v>8</v>
      </c>
      <c r="AX220" s="27" t="s">
        <v>7</v>
      </c>
    </row>
    <row r="221" spans="1:52" x14ac:dyDescent="0.25">
      <c r="A221" s="30">
        <v>2.5269501953756404</v>
      </c>
      <c r="E221"/>
      <c r="AG221" s="27" t="s">
        <v>8</v>
      </c>
      <c r="AH221" s="27" t="s">
        <v>7</v>
      </c>
      <c r="AQ221" s="27" t="s">
        <v>8</v>
      </c>
      <c r="AR221" s="27" t="s">
        <v>7</v>
      </c>
      <c r="AS221" s="27" t="s">
        <v>8</v>
      </c>
      <c r="AT221" s="27" t="s">
        <v>7</v>
      </c>
      <c r="AU221" s="27" t="s">
        <v>8</v>
      </c>
      <c r="AV221" s="27" t="s">
        <v>7</v>
      </c>
      <c r="AW221" s="27" t="s">
        <v>8</v>
      </c>
      <c r="AX221" s="27" t="s">
        <v>7</v>
      </c>
      <c r="AY221" s="27" t="s">
        <v>8</v>
      </c>
    </row>
    <row r="222" spans="1:52" x14ac:dyDescent="0.25">
      <c r="A222" s="30">
        <v>2.4066192336910861</v>
      </c>
      <c r="E222"/>
      <c r="AG222" s="27" t="s">
        <v>8</v>
      </c>
      <c r="AH222" s="27" t="s">
        <v>7</v>
      </c>
      <c r="AQ222" s="27" t="s">
        <v>8</v>
      </c>
      <c r="AR222" s="27" t="s">
        <v>7</v>
      </c>
      <c r="AS222" s="27" t="s">
        <v>8</v>
      </c>
      <c r="AT222" s="27" t="s">
        <v>7</v>
      </c>
      <c r="AU222" s="27" t="s">
        <v>8</v>
      </c>
      <c r="AV222" s="27" t="s">
        <v>7</v>
      </c>
      <c r="AW222" s="27" t="s">
        <v>8</v>
      </c>
      <c r="AX222" s="27" t="s">
        <v>7</v>
      </c>
      <c r="AY222" s="27" t="s">
        <v>8</v>
      </c>
      <c r="AZ222" s="27" t="s">
        <v>7</v>
      </c>
    </row>
    <row r="223" spans="1:52" x14ac:dyDescent="0.25">
      <c r="A223" s="30">
        <v>2.2920183178010345</v>
      </c>
      <c r="E223"/>
      <c r="AG223" s="27" t="s">
        <v>8</v>
      </c>
      <c r="AH223" s="27" t="s">
        <v>7</v>
      </c>
      <c r="AI223" s="27" t="s">
        <v>8</v>
      </c>
      <c r="AK223" s="27" t="s">
        <v>8</v>
      </c>
      <c r="AQ223" s="27" t="s">
        <v>8</v>
      </c>
      <c r="AR223" s="27" t="s">
        <v>7</v>
      </c>
      <c r="AS223" s="27" t="s">
        <v>8</v>
      </c>
      <c r="AT223" s="27" t="s">
        <v>7</v>
      </c>
      <c r="AU223" s="27" t="s">
        <v>8</v>
      </c>
      <c r="AV223" s="27" t="s">
        <v>7</v>
      </c>
      <c r="AX223" s="27" t="s">
        <v>7</v>
      </c>
      <c r="AY223" s="27" t="s">
        <v>8</v>
      </c>
      <c r="AZ223" s="27" t="s">
        <v>7</v>
      </c>
    </row>
    <row r="224" spans="1:52" x14ac:dyDescent="0.25">
      <c r="A224" s="30">
        <v>2.1828745883819374</v>
      </c>
      <c r="E224"/>
      <c r="AG224" s="27" t="s">
        <v>8</v>
      </c>
      <c r="AH224" s="27" t="s">
        <v>7</v>
      </c>
      <c r="AI224" s="27" t="s">
        <v>8</v>
      </c>
      <c r="AJ224" s="27" t="s">
        <v>7</v>
      </c>
      <c r="AK224" s="27" t="s">
        <v>8</v>
      </c>
      <c r="AL224" s="27" t="s">
        <v>7</v>
      </c>
      <c r="AM224" s="27" t="s">
        <v>8</v>
      </c>
      <c r="AQ224" s="27" t="s">
        <v>8</v>
      </c>
      <c r="AR224" s="27" t="s">
        <v>7</v>
      </c>
      <c r="AS224" s="27" t="s">
        <v>8</v>
      </c>
      <c r="AT224" s="27" t="s">
        <v>7</v>
      </c>
      <c r="AX224" s="27" t="s">
        <v>7</v>
      </c>
      <c r="AY224" s="27" t="s">
        <v>8</v>
      </c>
      <c r="AZ224" s="27" t="s">
        <v>7</v>
      </c>
    </row>
    <row r="225" spans="1:52" x14ac:dyDescent="0.25">
      <c r="A225" s="30">
        <v>2.0789281794113688</v>
      </c>
      <c r="E225"/>
      <c r="AG225" s="27" t="s">
        <v>8</v>
      </c>
      <c r="AH225" s="27" t="s">
        <v>7</v>
      </c>
      <c r="AI225" s="27" t="s">
        <v>8</v>
      </c>
      <c r="AJ225" s="27" t="s">
        <v>7</v>
      </c>
      <c r="AK225" s="27" t="s">
        <v>8</v>
      </c>
      <c r="AL225" s="27" t="s">
        <v>7</v>
      </c>
      <c r="AM225" s="27" t="s">
        <v>8</v>
      </c>
      <c r="AN225" s="27" t="s">
        <v>7</v>
      </c>
      <c r="AQ225" s="27" t="s">
        <v>8</v>
      </c>
      <c r="AR225" s="27" t="s">
        <v>7</v>
      </c>
      <c r="AS225" s="27" t="s">
        <v>8</v>
      </c>
      <c r="AX225" s="27" t="s">
        <v>7</v>
      </c>
      <c r="AZ225" s="27" t="s">
        <v>7</v>
      </c>
    </row>
    <row r="226" spans="1:52" x14ac:dyDescent="0.25">
      <c r="A226" s="30">
        <v>1.9799315994393987</v>
      </c>
      <c r="E226"/>
      <c r="AG226" s="27" t="s">
        <v>8</v>
      </c>
      <c r="AH226" s="27" t="s">
        <v>7</v>
      </c>
      <c r="AJ226" s="27" t="s">
        <v>7</v>
      </c>
      <c r="AL226" s="27" t="s">
        <v>7</v>
      </c>
      <c r="AM226" s="27" t="s">
        <v>8</v>
      </c>
      <c r="AN226" s="27" t="s">
        <v>7</v>
      </c>
      <c r="AQ226" s="27" t="s">
        <v>8</v>
      </c>
      <c r="AR226" s="27" t="s">
        <v>7</v>
      </c>
      <c r="AS226" s="27" t="s">
        <v>8</v>
      </c>
    </row>
    <row r="227" spans="1:52" x14ac:dyDescent="0.25">
      <c r="A227" s="30">
        <v>1.8856491423232367</v>
      </c>
      <c r="E227"/>
      <c r="AA227" s="27" t="s">
        <v>8</v>
      </c>
      <c r="AE227" s="27" t="s">
        <v>8</v>
      </c>
      <c r="AG227" s="27" t="s">
        <v>8</v>
      </c>
      <c r="AL227" s="27" t="s">
        <v>7</v>
      </c>
      <c r="AM227" s="27" t="s">
        <v>8</v>
      </c>
      <c r="AN227" s="27" t="s">
        <v>7</v>
      </c>
      <c r="AO227" s="27" t="s">
        <v>8</v>
      </c>
      <c r="AQ227" s="27" t="s">
        <v>8</v>
      </c>
      <c r="AR227" s="27" t="s">
        <v>7</v>
      </c>
      <c r="AS227" s="27" t="s">
        <v>8</v>
      </c>
    </row>
    <row r="228" spans="1:52" x14ac:dyDescent="0.25">
      <c r="A228" s="30">
        <v>1.7958563260221301</v>
      </c>
      <c r="C228" s="7"/>
      <c r="D228"/>
      <c r="E228"/>
      <c r="Y228" s="27" t="s">
        <v>8</v>
      </c>
      <c r="AA228" s="27" t="s">
        <v>8</v>
      </c>
      <c r="AB228" s="27" t="s">
        <v>7</v>
      </c>
      <c r="AE228" s="27" t="s">
        <v>8</v>
      </c>
      <c r="AF228" s="27" t="s">
        <v>7</v>
      </c>
      <c r="AG228" s="27" t="s">
        <v>8</v>
      </c>
      <c r="AL228" s="27" t="s">
        <v>7</v>
      </c>
      <c r="AM228" s="27" t="s">
        <v>8</v>
      </c>
      <c r="AN228" s="27" t="s">
        <v>7</v>
      </c>
      <c r="AO228" s="27" t="s">
        <v>8</v>
      </c>
      <c r="AP228" s="27" t="s">
        <v>7</v>
      </c>
      <c r="AQ228" s="27" t="s">
        <v>8</v>
      </c>
      <c r="AR228" s="27" t="s">
        <v>7</v>
      </c>
      <c r="AS228" s="27" t="s">
        <v>8</v>
      </c>
    </row>
    <row r="229" spans="1:52" x14ac:dyDescent="0.25">
      <c r="A229" s="30">
        <v>1.7103393581163142</v>
      </c>
      <c r="E229"/>
      <c r="W229" s="27" t="s">
        <v>8</v>
      </c>
      <c r="Y229" s="27" t="s">
        <v>8</v>
      </c>
      <c r="Z229" s="27" t="s">
        <v>7</v>
      </c>
      <c r="AA229" s="27" t="s">
        <v>8</v>
      </c>
      <c r="AB229" s="27" t="s">
        <v>7</v>
      </c>
      <c r="AE229" s="27" t="s">
        <v>8</v>
      </c>
      <c r="AF229" s="27" t="s">
        <v>7</v>
      </c>
      <c r="AG229" s="27" t="s">
        <v>8</v>
      </c>
      <c r="AL229" s="27" t="s">
        <v>7</v>
      </c>
      <c r="AM229" s="27" t="s">
        <v>8</v>
      </c>
      <c r="AN229" s="27" t="s">
        <v>7</v>
      </c>
      <c r="AO229" s="27" t="s">
        <v>8</v>
      </c>
      <c r="AP229" s="27" t="s">
        <v>7</v>
      </c>
      <c r="AQ229" s="27" t="s">
        <v>8</v>
      </c>
      <c r="AR229" s="27" t="s">
        <v>7</v>
      </c>
    </row>
    <row r="230" spans="1:52" x14ac:dyDescent="0.25">
      <c r="A230" s="30">
        <v>1.628894626777442</v>
      </c>
      <c r="E230"/>
      <c r="W230" s="27" t="s">
        <v>8</v>
      </c>
      <c r="X230" s="27" t="s">
        <v>7</v>
      </c>
      <c r="Y230" s="27" t="s">
        <v>8</v>
      </c>
      <c r="Z230" s="27" t="s">
        <v>7</v>
      </c>
      <c r="AA230" s="27" t="s">
        <v>8</v>
      </c>
      <c r="AB230" s="27" t="s">
        <v>7</v>
      </c>
      <c r="AE230" s="27" t="s">
        <v>8</v>
      </c>
      <c r="AF230" s="27" t="s">
        <v>7</v>
      </c>
      <c r="AG230" s="27" t="s">
        <v>8</v>
      </c>
      <c r="AL230" s="27" t="s">
        <v>7</v>
      </c>
      <c r="AN230" s="27" t="s">
        <v>7</v>
      </c>
      <c r="AO230" s="27" t="s">
        <v>8</v>
      </c>
      <c r="AP230" s="27" t="s">
        <v>7</v>
      </c>
    </row>
    <row r="231" spans="1:52" x14ac:dyDescent="0.25">
      <c r="A231" s="30">
        <v>1.5513282159785162</v>
      </c>
      <c r="C231"/>
      <c r="D231"/>
      <c r="E231"/>
      <c r="W231" s="27" t="s">
        <v>8</v>
      </c>
      <c r="X231" s="27" t="s">
        <v>7</v>
      </c>
      <c r="Y231" s="27" t="s">
        <v>8</v>
      </c>
      <c r="Z231" s="27" t="s">
        <v>7</v>
      </c>
      <c r="AA231" s="27" t="s">
        <v>8</v>
      </c>
      <c r="AB231" s="27" t="s">
        <v>7</v>
      </c>
      <c r="AE231" s="27" t="s">
        <v>8</v>
      </c>
      <c r="AF231" s="27" t="s">
        <v>7</v>
      </c>
      <c r="AN231" s="27" t="s">
        <v>7</v>
      </c>
    </row>
    <row r="232" spans="1:52" x14ac:dyDescent="0.25">
      <c r="A232" s="30">
        <v>1.477455443789063</v>
      </c>
      <c r="E232"/>
      <c r="W232" s="27" t="s">
        <v>8</v>
      </c>
      <c r="X232" s="27" t="s">
        <v>7</v>
      </c>
      <c r="Y232" s="27" t="s">
        <v>8</v>
      </c>
      <c r="Z232" s="27" t="s">
        <v>7</v>
      </c>
      <c r="AA232" s="27" t="s">
        <v>8</v>
      </c>
      <c r="AB232" s="27" t="s">
        <v>7</v>
      </c>
      <c r="AE232" s="27" t="s">
        <v>8</v>
      </c>
    </row>
    <row r="233" spans="1:52" x14ac:dyDescent="0.25">
      <c r="A233" s="30">
        <v>1.4071004226562505</v>
      </c>
      <c r="E233"/>
      <c r="U233" s="27" t="s">
        <v>8</v>
      </c>
      <c r="W233" s="27" t="s">
        <v>8</v>
      </c>
      <c r="X233" s="27" t="s">
        <v>7</v>
      </c>
      <c r="Z233" s="27" t="s">
        <v>7</v>
      </c>
      <c r="AA233" s="27" t="s">
        <v>8</v>
      </c>
      <c r="AB233" s="27" t="s">
        <v>7</v>
      </c>
      <c r="AE233" s="27" t="s">
        <v>8</v>
      </c>
    </row>
    <row r="234" spans="1:52" x14ac:dyDescent="0.25">
      <c r="A234" s="30">
        <v>1.3400956406250004</v>
      </c>
      <c r="E234"/>
      <c r="U234" s="27" t="s">
        <v>8</v>
      </c>
      <c r="V234" s="27" t="s">
        <v>7</v>
      </c>
      <c r="W234" s="27" t="s">
        <v>8</v>
      </c>
      <c r="Z234" s="27" t="s">
        <v>7</v>
      </c>
      <c r="AA234" s="27" t="s">
        <v>8</v>
      </c>
      <c r="AB234" s="27" t="s">
        <v>7</v>
      </c>
      <c r="AE234" s="27" t="s">
        <v>8</v>
      </c>
    </row>
    <row r="235" spans="1:52" x14ac:dyDescent="0.25">
      <c r="A235" s="30">
        <v>1.2762815625000004</v>
      </c>
      <c r="C235"/>
      <c r="E235"/>
      <c r="S235" s="27" t="s">
        <v>8</v>
      </c>
      <c r="U235" s="27" t="s">
        <v>8</v>
      </c>
      <c r="V235" s="27" t="s">
        <v>7</v>
      </c>
      <c r="W235" s="27" t="s">
        <v>8</v>
      </c>
      <c r="Z235" s="27" t="s">
        <v>7</v>
      </c>
      <c r="AA235" s="27" t="s">
        <v>8</v>
      </c>
      <c r="AB235" s="27" t="s">
        <v>7</v>
      </c>
      <c r="AE235" s="27" t="s">
        <v>8</v>
      </c>
    </row>
    <row r="236" spans="1:52" x14ac:dyDescent="0.25">
      <c r="A236" s="30">
        <v>1.2155062500000002</v>
      </c>
      <c r="E236"/>
      <c r="S236" s="27" t="s">
        <v>8</v>
      </c>
      <c r="T236" s="27" t="s">
        <v>7</v>
      </c>
      <c r="U236" s="27" t="s">
        <v>8</v>
      </c>
      <c r="V236" s="27" t="s">
        <v>7</v>
      </c>
      <c r="W236" s="27" t="s">
        <v>8</v>
      </c>
      <c r="Z236" s="27" t="s">
        <v>7</v>
      </c>
      <c r="AA236" s="27" t="s">
        <v>8</v>
      </c>
      <c r="AB236" s="27" t="s">
        <v>7</v>
      </c>
      <c r="AC236" s="27" t="s">
        <v>8</v>
      </c>
      <c r="AE236" s="27" t="s">
        <v>8</v>
      </c>
    </row>
    <row r="237" spans="1:5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S237" s="27" t="s">
        <v>8</v>
      </c>
      <c r="T237" s="27" t="s">
        <v>7</v>
      </c>
      <c r="U237" s="27" t="s">
        <v>8</v>
      </c>
      <c r="V237" s="27" t="s">
        <v>7</v>
      </c>
      <c r="W237" s="27" t="s">
        <v>8</v>
      </c>
      <c r="Z237" s="27" t="s">
        <v>7</v>
      </c>
      <c r="AA237" s="27" t="s">
        <v>8</v>
      </c>
      <c r="AB237" s="27" t="s">
        <v>7</v>
      </c>
      <c r="AC237" s="27" t="s">
        <v>8</v>
      </c>
      <c r="AD237" s="27" t="s">
        <v>7</v>
      </c>
      <c r="AE237" s="18" t="s">
        <v>8</v>
      </c>
    </row>
    <row r="238" spans="1:52" x14ac:dyDescent="0.25">
      <c r="A238" s="30">
        <v>1.1025</v>
      </c>
      <c r="E238"/>
      <c r="S238" s="27" t="s">
        <v>8</v>
      </c>
      <c r="T238" s="27" t="s">
        <v>7</v>
      </c>
      <c r="U238" s="27" t="s">
        <v>8</v>
      </c>
      <c r="V238" s="27" t="s">
        <v>7</v>
      </c>
      <c r="W238" s="27" t="s">
        <v>8</v>
      </c>
      <c r="Z238" s="27" t="s">
        <v>7</v>
      </c>
      <c r="AA238" s="27" t="s">
        <v>8</v>
      </c>
      <c r="AB238" s="27" t="s">
        <v>7</v>
      </c>
      <c r="AC238" s="27" t="s">
        <v>8</v>
      </c>
      <c r="AD238" s="27" t="s">
        <v>7</v>
      </c>
      <c r="AE238" s="27" t="s">
        <v>8</v>
      </c>
    </row>
    <row r="239" spans="1:52" x14ac:dyDescent="0.25">
      <c r="A239" s="30">
        <v>1.05</v>
      </c>
      <c r="E239"/>
      <c r="S239" s="27" t="s">
        <v>8</v>
      </c>
      <c r="T239" s="27" t="s">
        <v>7</v>
      </c>
      <c r="U239" s="27" t="s">
        <v>8</v>
      </c>
      <c r="V239" s="27" t="s">
        <v>7</v>
      </c>
      <c r="W239" s="27" t="s">
        <v>8</v>
      </c>
      <c r="Z239" s="27" t="s">
        <v>7</v>
      </c>
      <c r="AB239" s="27" t="s">
        <v>7</v>
      </c>
      <c r="AC239" s="27" t="s">
        <v>8</v>
      </c>
      <c r="AD239" s="27" t="s">
        <v>7</v>
      </c>
      <c r="AE239" s="27" t="s">
        <v>8</v>
      </c>
    </row>
    <row r="240" spans="1:52" x14ac:dyDescent="0.25">
      <c r="A240" s="30">
        <v>1</v>
      </c>
      <c r="E240" s="29" t="s">
        <v>8</v>
      </c>
      <c r="S240" s="27" t="s">
        <v>8</v>
      </c>
      <c r="T240" s="27" t="s">
        <v>7</v>
      </c>
      <c r="V240" s="27" t="s">
        <v>7</v>
      </c>
      <c r="W240" s="27" t="s">
        <v>8</v>
      </c>
      <c r="AB240" s="27" t="s">
        <v>7</v>
      </c>
      <c r="AD240" s="27" t="s">
        <v>7</v>
      </c>
      <c r="AE240" s="27" t="s">
        <v>8</v>
      </c>
    </row>
    <row r="241" spans="1:30" x14ac:dyDescent="0.25">
      <c r="A241" s="30">
        <v>0.952380952380952</v>
      </c>
      <c r="B241"/>
      <c r="C241"/>
      <c r="D241"/>
      <c r="E241"/>
      <c r="F241" s="27" t="s">
        <v>7</v>
      </c>
      <c r="S241" s="27" t="s">
        <v>8</v>
      </c>
      <c r="V241" s="27" t="s">
        <v>7</v>
      </c>
      <c r="AD241" s="27" t="s">
        <v>7</v>
      </c>
    </row>
    <row r="242" spans="1:30" x14ac:dyDescent="0.25">
      <c r="A242" s="30">
        <v>0.90702947845804915</v>
      </c>
      <c r="B242"/>
      <c r="C242"/>
      <c r="D242"/>
      <c r="E242"/>
      <c r="F242" s="27" t="s">
        <v>7</v>
      </c>
      <c r="Q242" s="27" t="s">
        <v>8</v>
      </c>
      <c r="S242" s="27" t="s">
        <v>8</v>
      </c>
    </row>
    <row r="243" spans="1:30" x14ac:dyDescent="0.25">
      <c r="A243" s="30">
        <v>0.86383759853147501</v>
      </c>
      <c r="B243"/>
      <c r="C243"/>
      <c r="D243"/>
      <c r="E243"/>
      <c r="F243" s="27" t="s">
        <v>7</v>
      </c>
      <c r="O243" s="27" t="s">
        <v>8</v>
      </c>
      <c r="Q243" s="27" t="s">
        <v>8</v>
      </c>
      <c r="R243" s="27" t="s">
        <v>7</v>
      </c>
      <c r="S243" s="27" t="s">
        <v>8</v>
      </c>
    </row>
    <row r="244" spans="1:30" x14ac:dyDescent="0.25">
      <c r="A244" s="30">
        <v>0.82270247479188063</v>
      </c>
      <c r="B244"/>
      <c r="C244"/>
      <c r="D244"/>
      <c r="E244"/>
      <c r="F244" s="27" t="s">
        <v>7</v>
      </c>
      <c r="O244" s="27" t="s">
        <v>8</v>
      </c>
      <c r="P244" s="27" t="s">
        <v>7</v>
      </c>
      <c r="Q244" s="27" t="s">
        <v>8</v>
      </c>
      <c r="R244" s="27" t="s">
        <v>7</v>
      </c>
      <c r="S244" s="27" t="s">
        <v>8</v>
      </c>
    </row>
    <row r="245" spans="1:30" x14ac:dyDescent="0.25">
      <c r="A245" s="30">
        <v>0.78352616646845741</v>
      </c>
      <c r="B245"/>
      <c r="C245"/>
      <c r="D245"/>
      <c r="E245"/>
      <c r="F245" s="27" t="s">
        <v>7</v>
      </c>
      <c r="O245" s="27" t="s">
        <v>8</v>
      </c>
      <c r="P245" s="27" t="s">
        <v>7</v>
      </c>
      <c r="Q245" s="27" t="s">
        <v>8</v>
      </c>
      <c r="R245" s="27" t="s">
        <v>7</v>
      </c>
      <c r="S245" s="27" t="s">
        <v>8</v>
      </c>
    </row>
    <row r="246" spans="1:30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O246" s="27" t="s">
        <v>8</v>
      </c>
      <c r="P246" s="27" t="s">
        <v>7</v>
      </c>
      <c r="Q246" s="27" t="s">
        <v>8</v>
      </c>
      <c r="R246" s="27" t="s">
        <v>7</v>
      </c>
    </row>
    <row r="247" spans="1:30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  <c r="H247" s="27" t="s">
        <v>7</v>
      </c>
      <c r="O247" s="27" t="s">
        <v>8</v>
      </c>
      <c r="P247" s="27" t="s">
        <v>7</v>
      </c>
      <c r="Q247" s="27" t="s">
        <v>8</v>
      </c>
    </row>
    <row r="248" spans="1:30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H248" s="27" t="s">
        <v>7</v>
      </c>
      <c r="M248" s="27" t="s">
        <v>8</v>
      </c>
      <c r="O248" s="27" t="s">
        <v>8</v>
      </c>
      <c r="P248" s="27" t="s">
        <v>7</v>
      </c>
      <c r="Q248" s="27" t="s">
        <v>8</v>
      </c>
    </row>
    <row r="249" spans="1:30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H249" s="27" t="s">
        <v>7</v>
      </c>
      <c r="I249" s="27" t="s">
        <v>8</v>
      </c>
      <c r="M249" s="27" t="s">
        <v>8</v>
      </c>
      <c r="N249" s="27" t="s">
        <v>7</v>
      </c>
      <c r="O249" s="27" t="s">
        <v>8</v>
      </c>
      <c r="P249" s="27" t="s">
        <v>7</v>
      </c>
    </row>
    <row r="250" spans="1:30" x14ac:dyDescent="0.25">
      <c r="A250" s="30">
        <v>0.61391325354075688</v>
      </c>
      <c r="B250"/>
      <c r="C250"/>
      <c r="D250"/>
      <c r="E250"/>
      <c r="F250" s="27" t="s">
        <v>7</v>
      </c>
      <c r="H250" s="27" t="s">
        <v>7</v>
      </c>
      <c r="I250" s="27" t="s">
        <v>8</v>
      </c>
      <c r="J250" s="27" t="s">
        <v>7</v>
      </c>
      <c r="K250" s="27" t="s">
        <v>8</v>
      </c>
      <c r="M250" s="27" t="s">
        <v>8</v>
      </c>
      <c r="N250" s="27" t="s">
        <v>7</v>
      </c>
      <c r="O250" s="27" t="s">
        <v>8</v>
      </c>
    </row>
    <row r="251" spans="1:30" x14ac:dyDescent="0.25">
      <c r="A251" s="30">
        <v>0.58467928908643485</v>
      </c>
      <c r="B251"/>
      <c r="C251"/>
      <c r="D251"/>
      <c r="E251"/>
      <c r="H251" s="27" t="s">
        <v>7</v>
      </c>
      <c r="I251" s="27" t="s">
        <v>8</v>
      </c>
      <c r="J251" s="27" t="s">
        <v>7</v>
      </c>
      <c r="K251" s="27" t="s">
        <v>8</v>
      </c>
      <c r="L251" s="27" t="s">
        <v>7</v>
      </c>
      <c r="M251" s="27" t="s">
        <v>8</v>
      </c>
      <c r="N251" s="27" t="s">
        <v>7</v>
      </c>
      <c r="O251" s="27" t="s">
        <v>8</v>
      </c>
    </row>
    <row r="252" spans="1:30" x14ac:dyDescent="0.25">
      <c r="A252" s="30">
        <v>0.55683741817755672</v>
      </c>
      <c r="B252"/>
      <c r="C252"/>
      <c r="D252"/>
      <c r="E252"/>
      <c r="H252" s="27" t="s">
        <v>7</v>
      </c>
      <c r="J252" s="27" t="s">
        <v>7</v>
      </c>
      <c r="K252" s="27" t="s">
        <v>8</v>
      </c>
      <c r="L252" s="27" t="s">
        <v>7</v>
      </c>
      <c r="M252" s="27" t="s">
        <v>8</v>
      </c>
      <c r="N252" s="27" t="s">
        <v>7</v>
      </c>
    </row>
    <row r="253" spans="1:30" x14ac:dyDescent="0.25">
      <c r="A253" s="30">
        <v>0.53032135064529184</v>
      </c>
      <c r="B253"/>
      <c r="C253"/>
      <c r="D253"/>
      <c r="E253"/>
      <c r="J253" s="27" t="s">
        <v>7</v>
      </c>
      <c r="K253" s="27" t="s">
        <v>8</v>
      </c>
      <c r="L253" s="27" t="s">
        <v>7</v>
      </c>
      <c r="M253" s="27" t="s">
        <v>8</v>
      </c>
    </row>
    <row r="254" spans="1:30" x14ac:dyDescent="0.25">
      <c r="A254" s="30">
        <v>0.50506795299551588</v>
      </c>
      <c r="B254"/>
      <c r="C254"/>
      <c r="D254"/>
      <c r="E254"/>
      <c r="J254" s="27" t="s">
        <v>7</v>
      </c>
      <c r="K254" s="27" t="s">
        <v>8</v>
      </c>
      <c r="L254" s="27" t="s">
        <v>7</v>
      </c>
    </row>
    <row r="255" spans="1:30" x14ac:dyDescent="0.25">
      <c r="A255" s="30">
        <v>0.48101709809096732</v>
      </c>
      <c r="E255"/>
      <c r="J255" s="27" t="s">
        <v>7</v>
      </c>
      <c r="K255" s="27" t="s">
        <v>8</v>
      </c>
    </row>
    <row r="256" spans="1:30" x14ac:dyDescent="0.25">
      <c r="A256" s="30">
        <v>0.45811152199139726</v>
      </c>
      <c r="E256"/>
      <c r="J256" s="27" t="s">
        <v>7</v>
      </c>
      <c r="K256" s="27" t="s">
        <v>8</v>
      </c>
    </row>
    <row r="257" spans="1:11" x14ac:dyDescent="0.25">
      <c r="A257" s="30">
        <v>0.43629668761085438</v>
      </c>
      <c r="B257"/>
      <c r="C257"/>
      <c r="D257"/>
      <c r="E257"/>
      <c r="J257" s="27" t="s">
        <v>7</v>
      </c>
      <c r="K257" s="27" t="s">
        <v>8</v>
      </c>
    </row>
    <row r="258" spans="1:11" x14ac:dyDescent="0.25">
      <c r="A258" s="30">
        <v>0.41552065486748019</v>
      </c>
      <c r="B258"/>
      <c r="C258"/>
      <c r="D258"/>
      <c r="E258"/>
      <c r="J258" s="27" t="s">
        <v>7</v>
      </c>
      <c r="K258" s="27" t="s">
        <v>8</v>
      </c>
    </row>
    <row r="259" spans="1:11" x14ac:dyDescent="0.25">
      <c r="A259" s="30">
        <v>0.39573395701664765</v>
      </c>
      <c r="B259"/>
      <c r="C259"/>
      <c r="D259"/>
      <c r="E259"/>
      <c r="J259" s="27" t="s">
        <v>7</v>
      </c>
      <c r="K259" s="27" t="s">
        <v>8</v>
      </c>
    </row>
    <row r="260" spans="1:11" x14ac:dyDescent="0.25">
      <c r="A260" s="30">
        <v>0.37688948287299762</v>
      </c>
      <c r="B260"/>
      <c r="C260"/>
      <c r="D260"/>
      <c r="E260"/>
      <c r="J260" s="27" t="s">
        <v>7</v>
      </c>
      <c r="K260" s="27" t="s">
        <v>8</v>
      </c>
    </row>
    <row r="261" spans="1:11" x14ac:dyDescent="0.25">
      <c r="A261" s="30">
        <v>0.35894236464094997</v>
      </c>
      <c r="B261"/>
      <c r="C261"/>
      <c r="D261"/>
      <c r="E261"/>
      <c r="J261" s="27" t="s">
        <v>7</v>
      </c>
      <c r="K261" s="27" t="s">
        <v>8</v>
      </c>
    </row>
    <row r="262" spans="1:11" x14ac:dyDescent="0.25">
      <c r="A262" s="30">
        <v>0.34184987108661891</v>
      </c>
      <c r="B262"/>
      <c r="C262"/>
      <c r="D262"/>
      <c r="E262"/>
      <c r="J262" s="27" t="s">
        <v>7</v>
      </c>
      <c r="K262" s="27" t="s">
        <v>8</v>
      </c>
    </row>
    <row r="263" spans="1:11" x14ac:dyDescent="0.25">
      <c r="A263" s="30">
        <v>0.32557130579677979</v>
      </c>
      <c r="B263"/>
      <c r="C263"/>
      <c r="D263"/>
      <c r="E263"/>
      <c r="J263" s="27" t="s">
        <v>7</v>
      </c>
      <c r="K263" s="27" t="s">
        <v>8</v>
      </c>
    </row>
    <row r="264" spans="1:11" x14ac:dyDescent="0.25">
      <c r="A264" s="30">
        <v>0.3100679102826473</v>
      </c>
      <c r="B264"/>
      <c r="C264"/>
      <c r="D264"/>
      <c r="E264"/>
      <c r="J264" s="27" t="s">
        <v>7</v>
      </c>
      <c r="K264" s="27" t="s">
        <v>8</v>
      </c>
    </row>
    <row r="265" spans="1:11" x14ac:dyDescent="0.25">
      <c r="A265" s="30">
        <v>0.2953027716977592</v>
      </c>
      <c r="B265"/>
      <c r="C265"/>
      <c r="D265"/>
      <c r="E265"/>
      <c r="J265" s="27" t="s">
        <v>7</v>
      </c>
      <c r="K265" s="27" t="s">
        <v>8</v>
      </c>
    </row>
    <row r="266" spans="1:11" x14ac:dyDescent="0.25">
      <c r="A266" s="30">
        <v>0.28124073495024676</v>
      </c>
      <c r="B266"/>
      <c r="C266"/>
      <c r="D266"/>
      <c r="E266"/>
      <c r="J266" s="27" t="s">
        <v>7</v>
      </c>
      <c r="K266" s="27" t="s">
        <v>8</v>
      </c>
    </row>
    <row r="267" spans="1:11" x14ac:dyDescent="0.25">
      <c r="A267" s="30">
        <v>0.26784831900023492</v>
      </c>
      <c r="B267"/>
      <c r="C267"/>
      <c r="D267"/>
      <c r="E267"/>
      <c r="J267" s="27" t="s">
        <v>7</v>
      </c>
      <c r="K267" s="27" t="s">
        <v>8</v>
      </c>
    </row>
    <row r="268" spans="1:11" x14ac:dyDescent="0.25">
      <c r="A268" s="30">
        <v>0.25509363714308075</v>
      </c>
      <c r="B268"/>
      <c r="C268"/>
      <c r="D268"/>
      <c r="E268"/>
      <c r="J268" s="27" t="s">
        <v>7</v>
      </c>
      <c r="K268" s="27" t="s">
        <v>8</v>
      </c>
    </row>
    <row r="269" spans="1:11" x14ac:dyDescent="0.25">
      <c r="A269" s="30">
        <v>0.24294632108864825</v>
      </c>
      <c r="B269"/>
      <c r="C269"/>
      <c r="D269"/>
      <c r="E269"/>
      <c r="J269" s="27" t="s">
        <v>7</v>
      </c>
      <c r="K269" s="27" t="s">
        <v>8</v>
      </c>
    </row>
    <row r="270" spans="1:11" x14ac:dyDescent="0.25">
      <c r="A270" s="30">
        <v>0.23137744865585538</v>
      </c>
      <c r="B270"/>
      <c r="C270"/>
      <c r="D270"/>
      <c r="E270"/>
      <c r="J270" s="27" t="s">
        <v>7</v>
      </c>
      <c r="K270" s="27" t="s">
        <v>8</v>
      </c>
    </row>
    <row r="271" spans="1:11" x14ac:dyDescent="0.25">
      <c r="A271" s="30">
        <v>0.22035947491033836</v>
      </c>
      <c r="B271"/>
      <c r="C271"/>
      <c r="D271"/>
      <c r="E271"/>
      <c r="J271" s="27" t="s">
        <v>7</v>
      </c>
      <c r="K271" s="27" t="s">
        <v>8</v>
      </c>
    </row>
    <row r="272" spans="1:11" x14ac:dyDescent="0.25">
      <c r="A272" s="30">
        <v>0.20986616658127455</v>
      </c>
      <c r="B272"/>
      <c r="C272"/>
      <c r="D272"/>
      <c r="E272"/>
      <c r="J272" s="27" t="s">
        <v>7</v>
      </c>
      <c r="K272" s="27" t="s">
        <v>8</v>
      </c>
    </row>
    <row r="273" spans="1:11" x14ac:dyDescent="0.25">
      <c r="A273" s="30">
        <v>0.19987253960121379</v>
      </c>
      <c r="B273"/>
      <c r="C273"/>
      <c r="D273"/>
      <c r="E273"/>
      <c r="J273" s="27" t="s">
        <v>7</v>
      </c>
      <c r="K273" s="27" t="s">
        <v>8</v>
      </c>
    </row>
    <row r="274" spans="1:11" x14ac:dyDescent="0.25">
      <c r="A274" s="30">
        <v>0.19035479962020352</v>
      </c>
      <c r="B274"/>
      <c r="C274"/>
      <c r="D274"/>
      <c r="E274"/>
      <c r="J274" s="27" t="s">
        <v>7</v>
      </c>
      <c r="K274" s="27" t="s">
        <v>8</v>
      </c>
    </row>
    <row r="275" spans="1:11" x14ac:dyDescent="0.25">
      <c r="A275" s="30">
        <v>0.18129028535257471</v>
      </c>
      <c r="B275"/>
      <c r="C275"/>
      <c r="D275"/>
      <c r="E275"/>
      <c r="J275" s="27" t="s">
        <v>7</v>
      </c>
      <c r="K275" s="27" t="s">
        <v>8</v>
      </c>
    </row>
    <row r="276" spans="1:11" x14ac:dyDescent="0.25">
      <c r="A276" s="30">
        <v>0.17265741462149967</v>
      </c>
      <c r="B276"/>
      <c r="C276"/>
      <c r="D276"/>
      <c r="E276"/>
      <c r="J276" s="27" t="s">
        <v>7</v>
      </c>
      <c r="K276" s="27" t="s">
        <v>8</v>
      </c>
    </row>
    <row r="277" spans="1:11" x14ac:dyDescent="0.25">
      <c r="A277" s="30">
        <v>0.16443563297285677</v>
      </c>
      <c r="B277"/>
      <c r="C277"/>
      <c r="D277"/>
      <c r="E277"/>
      <c r="J277" s="27" t="s">
        <v>7</v>
      </c>
      <c r="K277" s="27" t="s">
        <v>8</v>
      </c>
    </row>
    <row r="278" spans="1:11" x14ac:dyDescent="0.25">
      <c r="A278" s="30">
        <v>0.15660536473605399</v>
      </c>
      <c r="B278"/>
      <c r="C278"/>
      <c r="D278"/>
      <c r="E278"/>
      <c r="J278" s="27" t="s">
        <v>7</v>
      </c>
      <c r="K278" s="27" t="s">
        <v>8</v>
      </c>
    </row>
    <row r="279" spans="1:11" x14ac:dyDescent="0.25">
      <c r="A279" s="30">
        <v>0.14914796641528946</v>
      </c>
      <c r="B279"/>
      <c r="C279"/>
      <c r="D279"/>
      <c r="E279"/>
      <c r="J279" s="27" t="s">
        <v>7</v>
      </c>
      <c r="K279" s="27" t="s">
        <v>8</v>
      </c>
    </row>
    <row r="280" spans="1:11" x14ac:dyDescent="0.25">
      <c r="A280" s="30">
        <v>0.14204568230027562</v>
      </c>
      <c r="B280"/>
      <c r="C280"/>
      <c r="D280"/>
      <c r="E280"/>
      <c r="J280" s="27" t="s">
        <v>7</v>
      </c>
      <c r="K280" s="27" t="s">
        <v>8</v>
      </c>
    </row>
    <row r="281" spans="1:11" x14ac:dyDescent="0.25">
      <c r="A281" s="30">
        <v>0.13528160219073862</v>
      </c>
      <c r="B281"/>
      <c r="C281"/>
      <c r="D281"/>
      <c r="E281"/>
      <c r="J281" s="27" t="s">
        <v>7</v>
      </c>
      <c r="K281" s="27" t="s">
        <v>8</v>
      </c>
    </row>
    <row r="282" spans="1:11" x14ac:dyDescent="0.25">
      <c r="A282" s="30">
        <v>0.12883962113403674</v>
      </c>
      <c r="B282"/>
      <c r="C282"/>
      <c r="D282"/>
      <c r="E282"/>
      <c r="J282" s="27" t="s">
        <v>7</v>
      </c>
      <c r="K282" s="27" t="s">
        <v>8</v>
      </c>
    </row>
    <row r="283" spans="1:11" x14ac:dyDescent="0.25">
      <c r="A283" s="30">
        <v>0.12270440108003494</v>
      </c>
      <c r="B283"/>
      <c r="C283"/>
      <c r="D283"/>
      <c r="E283"/>
      <c r="J283" s="27" t="s">
        <v>7</v>
      </c>
      <c r="K283" s="27" t="s">
        <v>8</v>
      </c>
    </row>
    <row r="284" spans="1:11" x14ac:dyDescent="0.25">
      <c r="A284" s="30">
        <v>0.11686133436193799</v>
      </c>
      <c r="B284"/>
      <c r="C284"/>
      <c r="D284"/>
      <c r="E284"/>
      <c r="J284" s="27" t="s">
        <v>7</v>
      </c>
      <c r="K284" s="27" t="s">
        <v>8</v>
      </c>
    </row>
    <row r="285" spans="1:11" x14ac:dyDescent="0.25">
      <c r="A285" s="30">
        <v>0.11129650891613138</v>
      </c>
      <c r="B285"/>
      <c r="C285"/>
      <c r="D285"/>
      <c r="E285"/>
      <c r="J285" s="27" t="s">
        <v>7</v>
      </c>
    </row>
    <row r="286" spans="1:11" x14ac:dyDescent="0.25">
      <c r="A286" s="30">
        <v>0.10599667515822032</v>
      </c>
      <c r="B286"/>
      <c r="C286"/>
      <c r="D286"/>
      <c r="E286"/>
    </row>
    <row r="287" spans="1:11" x14ac:dyDescent="0.25">
      <c r="A287" s="30">
        <v>0.10094921443640027</v>
      </c>
      <c r="B287"/>
      <c r="C287"/>
      <c r="D287"/>
      <c r="E287"/>
    </row>
    <row r="288" spans="1:11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36" operator="equal">
      <formula>$U$1</formula>
    </cfRule>
    <cfRule type="cellIs" dxfId="67" priority="837" operator="equal">
      <formula>$S$1</formula>
    </cfRule>
  </conditionalFormatting>
  <conditionalFormatting sqref="D136">
    <cfRule type="cellIs" dxfId="66" priority="834" operator="equal">
      <formula>$S$1</formula>
    </cfRule>
    <cfRule type="cellIs" dxfId="65" priority="835" operator="equal">
      <formula>$U$1</formula>
    </cfRule>
  </conditionalFormatting>
  <conditionalFormatting sqref="C162">
    <cfRule type="cellIs" dxfId="64" priority="832" operator="equal">
      <formula>$U$1</formula>
    </cfRule>
    <cfRule type="cellIs" dxfId="63" priority="833" operator="equal">
      <formula>$S$1</formula>
    </cfRule>
  </conditionalFormatting>
  <conditionalFormatting sqref="D162">
    <cfRule type="cellIs" dxfId="62" priority="830" operator="equal">
      <formula>$S$1</formula>
    </cfRule>
    <cfRule type="cellIs" dxfId="61" priority="831" operator="equal">
      <formula>$U$1</formula>
    </cfRule>
  </conditionalFormatting>
  <conditionalFormatting sqref="C187">
    <cfRule type="cellIs" dxfId="60" priority="828" operator="equal">
      <formula>$U$1</formula>
    </cfRule>
    <cfRule type="cellIs" dxfId="59" priority="829" operator="equal">
      <formula>$S$1</formula>
    </cfRule>
  </conditionalFormatting>
  <conditionalFormatting sqref="D187">
    <cfRule type="cellIs" dxfId="58" priority="826" operator="equal">
      <formula>$S$1</formula>
    </cfRule>
    <cfRule type="cellIs" dxfId="57" priority="827" operator="equal">
      <formula>$U$1</formula>
    </cfRule>
  </conditionalFormatting>
  <conditionalFormatting sqref="C212">
    <cfRule type="cellIs" dxfId="56" priority="824" operator="equal">
      <formula>$U$1</formula>
    </cfRule>
    <cfRule type="cellIs" dxfId="55" priority="825" operator="equal">
      <formula>$S$1</formula>
    </cfRule>
  </conditionalFormatting>
  <conditionalFormatting sqref="D212">
    <cfRule type="cellIs" dxfId="54" priority="822" operator="equal">
      <formula>$S$1</formula>
    </cfRule>
    <cfRule type="cellIs" dxfId="53" priority="823" operator="equal">
      <formula>$U$1</formula>
    </cfRule>
  </conditionalFormatting>
  <conditionalFormatting sqref="C237">
    <cfRule type="cellIs" dxfId="52" priority="820" operator="equal">
      <formula>$U$1</formula>
    </cfRule>
    <cfRule type="cellIs" dxfId="51" priority="821" operator="equal">
      <formula>$S$1</formula>
    </cfRule>
  </conditionalFormatting>
  <conditionalFormatting sqref="D237">
    <cfRule type="cellIs" dxfId="50" priority="818" operator="equal">
      <formula>$S$1</formula>
    </cfRule>
    <cfRule type="cellIs" dxfId="49" priority="819" operator="equal">
      <formula>$U$1</formula>
    </cfRule>
  </conditionalFormatting>
  <conditionalFormatting sqref="C106">
    <cfRule type="cellIs" dxfId="48" priority="816" operator="equal">
      <formula>$U$1</formula>
    </cfRule>
    <cfRule type="cellIs" dxfId="47" priority="817" operator="equal">
      <formula>$S$1</formula>
    </cfRule>
  </conditionalFormatting>
  <conditionalFormatting sqref="D106">
    <cfRule type="cellIs" dxfId="46" priority="814" operator="equal">
      <formula>$S$1</formula>
    </cfRule>
    <cfRule type="cellIs" dxfId="45" priority="815" operator="equal">
      <formula>$U$1</formula>
    </cfRule>
  </conditionalFormatting>
  <conditionalFormatting sqref="C81">
    <cfRule type="cellIs" dxfId="44" priority="812" operator="equal">
      <formula>$U$1</formula>
    </cfRule>
    <cfRule type="cellIs" dxfId="43" priority="813" operator="equal">
      <formula>$S$1</formula>
    </cfRule>
  </conditionalFormatting>
  <conditionalFormatting sqref="D81">
    <cfRule type="cellIs" dxfId="42" priority="810" operator="equal">
      <formula>$S$1</formula>
    </cfRule>
    <cfRule type="cellIs" dxfId="41" priority="811" operator="equal">
      <formula>$U$1</formula>
    </cfRule>
  </conditionalFormatting>
  <conditionalFormatting sqref="C56">
    <cfRule type="cellIs" dxfId="40" priority="808" operator="equal">
      <formula>$U$1</formula>
    </cfRule>
    <cfRule type="cellIs" dxfId="39" priority="809" operator="equal">
      <formula>$S$1</formula>
    </cfRule>
  </conditionalFormatting>
  <conditionalFormatting sqref="D56">
    <cfRule type="cellIs" dxfId="38" priority="806" operator="equal">
      <formula>$S$1</formula>
    </cfRule>
    <cfRule type="cellIs" dxfId="37" priority="807" operator="equal">
      <formula>$U$1</formula>
    </cfRule>
  </conditionalFormatting>
  <conditionalFormatting sqref="C31">
    <cfRule type="cellIs" dxfId="36" priority="804" operator="equal">
      <formula>$U$1</formula>
    </cfRule>
    <cfRule type="cellIs" dxfId="35" priority="805" operator="equal">
      <formula>$S$1</formula>
    </cfRule>
  </conditionalFormatting>
  <conditionalFormatting sqref="D31">
    <cfRule type="cellIs" dxfId="34" priority="802" operator="equal">
      <formula>$S$1</formula>
    </cfRule>
    <cfRule type="cellIs" dxfId="33" priority="80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R113" sqref="R11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18" x14ac:dyDescent="0.25">
      <c r="A97" s="30">
        <v>9.849732675807628</v>
      </c>
      <c r="E97"/>
    </row>
    <row r="98" spans="1:18" x14ac:dyDescent="0.25">
      <c r="A98" s="30">
        <v>8.9543024325523888</v>
      </c>
      <c r="C98" s="1" t="s">
        <v>13</v>
      </c>
      <c r="E98"/>
    </row>
    <row r="99" spans="1:18" x14ac:dyDescent="0.25">
      <c r="A99" s="30">
        <v>8.140274938683989</v>
      </c>
      <c r="C99" s="1">
        <f>C88</f>
        <v>0</v>
      </c>
      <c r="E99"/>
    </row>
    <row r="100" spans="1:18" x14ac:dyDescent="0.25">
      <c r="A100" s="30">
        <v>7.4002499442581717</v>
      </c>
      <c r="C100"/>
      <c r="D100"/>
      <c r="E100"/>
    </row>
    <row r="101" spans="1:18" x14ac:dyDescent="0.25">
      <c r="A101" s="30">
        <v>6.72749994932561</v>
      </c>
      <c r="C101" s="1" t="s">
        <v>14</v>
      </c>
      <c r="E101"/>
    </row>
    <row r="102" spans="1:1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18" x14ac:dyDescent="0.25">
      <c r="A103" s="30">
        <v>5.5599173134922388</v>
      </c>
      <c r="E103"/>
    </row>
    <row r="104" spans="1:18" x14ac:dyDescent="0.25">
      <c r="A104" s="30">
        <v>5.0544702849929442</v>
      </c>
      <c r="E104"/>
    </row>
    <row r="105" spans="1:18" x14ac:dyDescent="0.25">
      <c r="A105" s="30">
        <v>4.594972986357222</v>
      </c>
      <c r="E105"/>
    </row>
    <row r="106" spans="1:18" x14ac:dyDescent="0.25">
      <c r="A106" s="30">
        <v>4.1772481694156562</v>
      </c>
      <c r="E106"/>
    </row>
    <row r="107" spans="1:18" x14ac:dyDescent="0.25">
      <c r="A107" s="30">
        <v>3.7974983358324148</v>
      </c>
      <c r="E107"/>
    </row>
    <row r="108" spans="1:18" x14ac:dyDescent="0.25">
      <c r="A108" s="30">
        <v>3.4522712143931042</v>
      </c>
      <c r="E108"/>
    </row>
    <row r="109" spans="1:18" x14ac:dyDescent="0.25">
      <c r="A109" s="30">
        <v>3.1384283767210035</v>
      </c>
      <c r="E109"/>
      <c r="Q109" s="27" t="s">
        <v>8</v>
      </c>
    </row>
    <row r="110" spans="1:18" x14ac:dyDescent="0.25">
      <c r="A110" s="30">
        <v>2.8531167061100029</v>
      </c>
      <c r="E110"/>
      <c r="Q110" s="27" t="s">
        <v>8</v>
      </c>
      <c r="R110" s="27" t="s">
        <v>7</v>
      </c>
    </row>
    <row r="111" spans="1:18" x14ac:dyDescent="0.25">
      <c r="A111" s="30">
        <v>2.5937424601000023</v>
      </c>
      <c r="C111" s="1" t="str">
        <f>ADDRESS(C121-1,1,1,1)</f>
        <v>$A$112</v>
      </c>
      <c r="D111" s="1" t="str">
        <f>ADDRESS(C121-1,D121,1,1)</f>
        <v>$R$112</v>
      </c>
      <c r="E111"/>
      <c r="M111" s="27" t="s">
        <v>8</v>
      </c>
      <c r="O111" s="27" t="s">
        <v>8</v>
      </c>
      <c r="Q111" s="27" t="s">
        <v>8</v>
      </c>
      <c r="R111" s="27" t="s">
        <v>7</v>
      </c>
    </row>
    <row r="112" spans="1:18" x14ac:dyDescent="0.25">
      <c r="A112" s="30">
        <v>2.3579476910000019</v>
      </c>
      <c r="C112" s="1" t="str">
        <f>ADDRESS(C121,1,1,1)</f>
        <v>$A$113</v>
      </c>
      <c r="D112" s="1" t="str">
        <f>ADDRESS(C121,D121-1,1,1)</f>
        <v>$Q$113</v>
      </c>
      <c r="E112"/>
      <c r="M112" s="27" t="s">
        <v>8</v>
      </c>
      <c r="N112" s="27" t="s">
        <v>7</v>
      </c>
      <c r="O112" s="27" t="s">
        <v>8</v>
      </c>
      <c r="P112" s="27" t="s">
        <v>7</v>
      </c>
      <c r="Q112" s="27" t="s">
        <v>8</v>
      </c>
      <c r="R112" s="27" t="s">
        <v>7</v>
      </c>
    </row>
    <row r="113" spans="1:18" x14ac:dyDescent="0.25">
      <c r="A113" s="30">
        <v>2.1435888100000016</v>
      </c>
      <c r="C113" s="1" t="str">
        <f>ADDRESS(C121+1,1,1,1)</f>
        <v>$A$114</v>
      </c>
      <c r="D113" s="1" t="str">
        <f>ADDRESS(C121-1,D121+1,1,1)</f>
        <v>$S$112</v>
      </c>
      <c r="M113" s="27" t="s">
        <v>8</v>
      </c>
      <c r="N113" s="27" t="s">
        <v>7</v>
      </c>
      <c r="O113" s="27" t="s">
        <v>8</v>
      </c>
      <c r="P113" s="27" t="s">
        <v>7</v>
      </c>
      <c r="Q113" s="27" t="s">
        <v>8</v>
      </c>
      <c r="R113" s="27" t="s">
        <v>7</v>
      </c>
    </row>
    <row r="114" spans="1:18" x14ac:dyDescent="0.25">
      <c r="A114" s="30">
        <v>1.9487171000000014</v>
      </c>
      <c r="C114" s="1" t="str">
        <f>ADDRESS(C121,D121,1,1)</f>
        <v>$R$113</v>
      </c>
      <c r="D114" s="1" t="str">
        <f>ADDRESS(C121+1,D121+1,1,1)</f>
        <v>$S$114</v>
      </c>
      <c r="K114" s="27" t="s">
        <v>8</v>
      </c>
      <c r="M114" s="27" t="s">
        <v>8</v>
      </c>
      <c r="N114" s="27" t="s">
        <v>7</v>
      </c>
      <c r="O114" s="27" t="s">
        <v>8</v>
      </c>
      <c r="P114" s="27" t="s">
        <v>7</v>
      </c>
      <c r="Q114" s="27" t="s">
        <v>8</v>
      </c>
    </row>
    <row r="115" spans="1:18" x14ac:dyDescent="0.25">
      <c r="A115" s="30">
        <v>1.7715610000000011</v>
      </c>
      <c r="C115" s="1" t="str">
        <f>ADDRESS(C121+1,D121,1,1)</f>
        <v>$R$114</v>
      </c>
      <c r="I115" s="27" t="s">
        <v>8</v>
      </c>
      <c r="K115" s="27" t="s">
        <v>8</v>
      </c>
      <c r="L115" s="27" t="s">
        <v>7</v>
      </c>
      <c r="M115" s="27" t="s">
        <v>8</v>
      </c>
      <c r="N115" s="27" t="s">
        <v>7</v>
      </c>
      <c r="O115" s="27" t="s">
        <v>8</v>
      </c>
      <c r="P115" s="27" t="s">
        <v>7</v>
      </c>
    </row>
    <row r="116" spans="1:18" x14ac:dyDescent="0.25">
      <c r="A116" s="30">
        <v>1.6105100000000008</v>
      </c>
      <c r="C116" s="1">
        <f>C117-1</f>
        <v>112</v>
      </c>
      <c r="I116" s="27" t="s">
        <v>8</v>
      </c>
      <c r="J116" s="27" t="s">
        <v>7</v>
      </c>
      <c r="K116" s="27" t="s">
        <v>8</v>
      </c>
      <c r="L116" s="27" t="s">
        <v>7</v>
      </c>
      <c r="M116" s="27" t="s">
        <v>8</v>
      </c>
      <c r="N116" s="27" t="s">
        <v>7</v>
      </c>
    </row>
    <row r="117" spans="1:18" x14ac:dyDescent="0.25">
      <c r="A117" s="30">
        <v>1.4641000000000006</v>
      </c>
      <c r="C117" s="1">
        <f>C121</f>
        <v>113</v>
      </c>
      <c r="D117" s="1">
        <f>D121</f>
        <v>18</v>
      </c>
      <c r="I117" s="27" t="s">
        <v>8</v>
      </c>
      <c r="J117" s="27" t="s">
        <v>7</v>
      </c>
      <c r="K117" s="27" t="s">
        <v>8</v>
      </c>
      <c r="L117" s="27" t="s">
        <v>7</v>
      </c>
      <c r="M117" s="27" t="s">
        <v>8</v>
      </c>
    </row>
    <row r="118" spans="1:18" x14ac:dyDescent="0.25">
      <c r="A118" s="30">
        <v>1.3310000000000004</v>
      </c>
      <c r="C118" s="1">
        <f>C117+1</f>
        <v>114</v>
      </c>
      <c r="D118" s="1">
        <f>D117+1</f>
        <v>19</v>
      </c>
      <c r="G118" s="27" t="s">
        <v>8</v>
      </c>
      <c r="I118" s="27" t="s">
        <v>8</v>
      </c>
      <c r="J118" s="27" t="s">
        <v>7</v>
      </c>
      <c r="K118" s="27" t="s">
        <v>8</v>
      </c>
      <c r="L118" s="27" t="s">
        <v>7</v>
      </c>
      <c r="M118" s="27" t="s">
        <v>8</v>
      </c>
    </row>
    <row r="119" spans="1:18" x14ac:dyDescent="0.25">
      <c r="A119" s="30">
        <v>1.2100000000000002</v>
      </c>
      <c r="G119" s="27" t="s">
        <v>8</v>
      </c>
      <c r="H119" s="27" t="s">
        <v>7</v>
      </c>
      <c r="I119" s="27" t="s">
        <v>8</v>
      </c>
      <c r="J119" s="27" t="s">
        <v>7</v>
      </c>
      <c r="K119" s="27" t="s">
        <v>8</v>
      </c>
      <c r="L119" s="27" t="s">
        <v>7</v>
      </c>
      <c r="M119" s="27" t="s">
        <v>8</v>
      </c>
    </row>
    <row r="120" spans="1:18" x14ac:dyDescent="0.25">
      <c r="A120" s="30">
        <v>1.1000000000000001</v>
      </c>
      <c r="C120" s="1" t="s">
        <v>9</v>
      </c>
      <c r="G120" s="27" t="s">
        <v>8</v>
      </c>
      <c r="H120" s="27" t="s">
        <v>7</v>
      </c>
      <c r="I120" s="27" t="s">
        <v>8</v>
      </c>
      <c r="J120" s="27" t="s">
        <v>7</v>
      </c>
      <c r="L120" s="27" t="s">
        <v>7</v>
      </c>
      <c r="M120" s="27" t="s">
        <v>8</v>
      </c>
    </row>
    <row r="121" spans="1:18" x14ac:dyDescent="0.25">
      <c r="A121" s="30">
        <v>1</v>
      </c>
      <c r="C121" s="18">
        <v>113</v>
      </c>
      <c r="D121" s="19">
        <v>18</v>
      </c>
      <c r="E121" s="18" t="s">
        <v>8</v>
      </c>
      <c r="G121" s="27" t="s">
        <v>8</v>
      </c>
      <c r="H121" s="27" t="s">
        <v>7</v>
      </c>
      <c r="L121" s="18" t="s">
        <v>7</v>
      </c>
    </row>
    <row r="122" spans="1:18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</row>
    <row r="123" spans="1:18" x14ac:dyDescent="0.25">
      <c r="A123" s="30">
        <v>0.82644628099173523</v>
      </c>
      <c r="C123" s="1" t="str">
        <f>"R"&amp;C121</f>
        <v>R113</v>
      </c>
      <c r="D123" s="1" t="str">
        <f>"C"&amp;D121</f>
        <v>C18</v>
      </c>
      <c r="F123" s="27" t="s">
        <v>7</v>
      </c>
      <c r="G123" s="27" t="s">
        <v>8</v>
      </c>
    </row>
    <row r="124" spans="1:1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</row>
    <row r="125" spans="1:18" x14ac:dyDescent="0.25">
      <c r="A125" s="30">
        <v>0.68301345536507019</v>
      </c>
      <c r="F125" s="27" t="s">
        <v>7</v>
      </c>
      <c r="G125" s="27" t="s">
        <v>8</v>
      </c>
    </row>
    <row r="126" spans="1:18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</row>
    <row r="127" spans="1:18" x14ac:dyDescent="0.25">
      <c r="A127" s="30">
        <v>0.56447393005377677</v>
      </c>
      <c r="C127" s="30">
        <v>2.1435888100000016</v>
      </c>
      <c r="D127"/>
      <c r="F127" s="27" t="s">
        <v>7</v>
      </c>
      <c r="G127" s="27" t="s">
        <v>8</v>
      </c>
    </row>
    <row r="128" spans="1:18" x14ac:dyDescent="0.25">
      <c r="A128" s="30">
        <v>0.51315811823070612</v>
      </c>
      <c r="F128" s="27" t="s">
        <v>7</v>
      </c>
      <c r="G128" s="27" t="s">
        <v>8</v>
      </c>
    </row>
    <row r="129" spans="1:7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</row>
    <row r="130" spans="1:7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</row>
    <row r="131" spans="1:7" x14ac:dyDescent="0.25">
      <c r="A131" s="30">
        <v>0.38554328942953109</v>
      </c>
      <c r="E131"/>
      <c r="F131" s="27" t="s">
        <v>7</v>
      </c>
      <c r="G131" s="27" t="s">
        <v>8</v>
      </c>
    </row>
    <row r="132" spans="1:7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</row>
    <row r="133" spans="1:7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</row>
    <row r="134" spans="1:7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</row>
    <row r="135" spans="1:7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</row>
    <row r="136" spans="1:7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</row>
    <row r="137" spans="1:7" x14ac:dyDescent="0.25">
      <c r="A137" s="30">
        <v>0.2176291357901482</v>
      </c>
      <c r="E137"/>
      <c r="F137" s="27" t="s">
        <v>7</v>
      </c>
      <c r="G137" s="27" t="s">
        <v>8</v>
      </c>
    </row>
    <row r="138" spans="1:7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G138" s="27" t="s">
        <v>8</v>
      </c>
    </row>
    <row r="139" spans="1:7" x14ac:dyDescent="0.25">
      <c r="A139" s="30">
        <v>0.17985878990921333</v>
      </c>
      <c r="E139"/>
      <c r="F139" s="27" t="s">
        <v>7</v>
      </c>
      <c r="G139" s="27" t="s">
        <v>8</v>
      </c>
    </row>
    <row r="140" spans="1:7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</row>
    <row r="141" spans="1:7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</row>
    <row r="142" spans="1:7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</row>
    <row r="143" spans="1:7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</row>
    <row r="144" spans="1:7" x14ac:dyDescent="0.25">
      <c r="A144" s="30">
        <v>0.11167815779424731</v>
      </c>
      <c r="C144" s="1">
        <v>4</v>
      </c>
      <c r="E144"/>
      <c r="F144" s="27" t="s">
        <v>7</v>
      </c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20" operator="equal">
      <formula>$U$1</formula>
    </cfRule>
    <cfRule type="cellIs" dxfId="30" priority="821" operator="equal">
      <formula>$S$1</formula>
    </cfRule>
  </conditionalFormatting>
  <conditionalFormatting sqref="D136">
    <cfRule type="cellIs" dxfId="29" priority="818" operator="equal">
      <formula>$S$1</formula>
    </cfRule>
    <cfRule type="cellIs" dxfId="28" priority="819" operator="equal">
      <formula>$U$1</formula>
    </cfRule>
  </conditionalFormatting>
  <conditionalFormatting sqref="C102">
    <cfRule type="cellIs" dxfId="27" priority="816" operator="equal">
      <formula>$U$1</formula>
    </cfRule>
    <cfRule type="cellIs" dxfId="26" priority="817" operator="equal">
      <formula>$S$1</formula>
    </cfRule>
  </conditionalFormatting>
  <conditionalFormatting sqref="D102">
    <cfRule type="cellIs" dxfId="25" priority="814" operator="equal">
      <formula>$S$1</formula>
    </cfRule>
    <cfRule type="cellIs" dxfId="24" priority="815" operator="equal">
      <formula>$U$1</formula>
    </cfRule>
  </conditionalFormatting>
  <conditionalFormatting sqref="C77">
    <cfRule type="cellIs" dxfId="23" priority="812" operator="equal">
      <formula>$U$1</formula>
    </cfRule>
    <cfRule type="cellIs" dxfId="22" priority="813" operator="equal">
      <formula>$S$1</formula>
    </cfRule>
  </conditionalFormatting>
  <conditionalFormatting sqref="D77">
    <cfRule type="cellIs" dxfId="21" priority="810" operator="equal">
      <formula>$S$1</formula>
    </cfRule>
    <cfRule type="cellIs" dxfId="20" priority="811" operator="equal">
      <formula>$U$1</formula>
    </cfRule>
  </conditionalFormatting>
  <conditionalFormatting sqref="C52">
    <cfRule type="cellIs" dxfId="19" priority="808" operator="equal">
      <formula>$U$1</formula>
    </cfRule>
    <cfRule type="cellIs" dxfId="18" priority="809" operator="equal">
      <formula>$S$1</formula>
    </cfRule>
  </conditionalFormatting>
  <conditionalFormatting sqref="D52">
    <cfRule type="cellIs" dxfId="17" priority="806" operator="equal">
      <formula>$S$1</formula>
    </cfRule>
    <cfRule type="cellIs" dxfId="16" priority="807" operator="equal">
      <formula>$U$1</formula>
    </cfRule>
  </conditionalFormatting>
  <conditionalFormatting sqref="C26">
    <cfRule type="cellIs" dxfId="15" priority="804" operator="equal">
      <formula>$U$1</formula>
    </cfRule>
    <cfRule type="cellIs" dxfId="14" priority="805" operator="equal">
      <formula>$S$1</formula>
    </cfRule>
  </conditionalFormatting>
  <conditionalFormatting sqref="D26">
    <cfRule type="cellIs" dxfId="13" priority="802" operator="equal">
      <formula>$S$1</formula>
    </cfRule>
    <cfRule type="cellIs" dxfId="12" priority="80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2022-01-28T01:17:04Z</dcterms:modified>
</cp:coreProperties>
</file>