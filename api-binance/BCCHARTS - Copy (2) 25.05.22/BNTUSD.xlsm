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8CB0BEF-6B91-4A0D-B6CF-EEE0F1610D7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D136" i="5" s="1"/>
  <c r="C56" i="4"/>
  <c r="D136" i="2"/>
  <c r="C136" i="2"/>
  <c r="C138" i="2"/>
  <c r="C2" i="1" l="1"/>
  <c r="D2" i="1"/>
  <c r="C118" i="4"/>
  <c r="C116" i="4"/>
  <c r="C136" i="5"/>
  <c r="C138" i="5" s="1"/>
  <c r="D136" i="4"/>
  <c r="C136" i="4"/>
  <c r="C122" i="3"/>
  <c r="C133" i="3" s="1"/>
  <c r="D136" i="3" s="1"/>
  <c r="C116" i="3"/>
  <c r="R765" i="1"/>
  <c r="C138" i="4" l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<sst xmlns="http://schemas.openxmlformats.org/spreadsheetml/2006/main" count="6403" uniqueCount="34">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</sst>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2.2799999999999998</c:v>
                </c:pt>
                <c:pt idx="1">
                  <c:v>2.3199999999999998</c:v>
                </c:pt>
                <c:pt idx="2">
                  <c:v>2.3220000000000001</c:v>
                </c:pt>
                <c:pt idx="3">
                  <c:v>2.327</c:v>
                </c:pt>
                <c:pt idx="4">
                  <c:v>2.4089999999999998</c:v>
                </c:pt>
                <c:pt idx="5">
                  <c:v>2.3359999999999999</c:v>
                </c:pt>
                <c:pt idx="6">
                  <c:v>2.4609999999999999</c:v>
                </c:pt>
                <c:pt idx="7">
                  <c:v>2.798</c:v>
                </c:pt>
                <c:pt idx="8">
                  <c:v>2.91</c:v>
                </c:pt>
                <c:pt idx="9">
                  <c:v>3.0089999999999999</c:v>
                </c:pt>
                <c:pt idx="10">
                  <c:v>3.0649999999999999</c:v>
                </c:pt>
                <c:pt idx="11">
                  <c:v>3.194</c:v>
                </c:pt>
                <c:pt idx="12">
                  <c:v>3.1890000000000001</c:v>
                </c:pt>
                <c:pt idx="13">
                  <c:v>3.1920000000000002</c:v>
                </c:pt>
                <c:pt idx="14">
                  <c:v>3.1280000000000001</c:v>
                </c:pt>
                <c:pt idx="15">
                  <c:v>3.2770000000000001</c:v>
                </c:pt>
                <c:pt idx="16">
                  <c:v>3.198</c:v>
                </c:pt>
                <c:pt idx="17">
                  <c:v>3.133</c:v>
                </c:pt>
                <c:pt idx="18">
                  <c:v>3.157</c:v>
                </c:pt>
                <c:pt idx="19">
                  <c:v>3.0670000000000002</c:v>
                </c:pt>
                <c:pt idx="20">
                  <c:v>3.117</c:v>
                </c:pt>
                <c:pt idx="21">
                  <c:v>3.238</c:v>
                </c:pt>
                <c:pt idx="22">
                  <c:v>3.2970000000000002</c:v>
                </c:pt>
                <c:pt idx="23">
                  <c:v>3.4009999999999998</c:v>
                </c:pt>
                <c:pt idx="24">
                  <c:v>3.4279999999999999</c:v>
                </c:pt>
                <c:pt idx="25">
                  <c:v>3.3959999999999999</c:v>
                </c:pt>
                <c:pt idx="26">
                  <c:v>3.3450000000000002</c:v>
                </c:pt>
                <c:pt idx="27">
                  <c:v>3.2130000000000001</c:v>
                </c:pt>
                <c:pt idx="28">
                  <c:v>3.27</c:v>
                </c:pt>
                <c:pt idx="29">
                  <c:v>3.2240000000000002</c:v>
                </c:pt>
                <c:pt idx="30">
                  <c:v>3.3410000000000002</c:v>
                </c:pt>
                <c:pt idx="31">
                  <c:v>3.5979999999999999</c:v>
                </c:pt>
                <c:pt idx="32">
                  <c:v>3.6139999999999999</c:v>
                </c:pt>
                <c:pt idx="33">
                  <c:v>3.5550000000000002</c:v>
                </c:pt>
                <c:pt idx="34">
                  <c:v>3.524</c:v>
                </c:pt>
                <c:pt idx="35">
                  <c:v>3.57</c:v>
                </c:pt>
                <c:pt idx="36">
                  <c:v>3.39</c:v>
                </c:pt>
                <c:pt idx="37">
                  <c:v>3.3279999999999998</c:v>
                </c:pt>
                <c:pt idx="38">
                  <c:v>3.2290000000000001</c:v>
                </c:pt>
                <c:pt idx="39">
                  <c:v>3.2290000000000001</c:v>
                </c:pt>
                <c:pt idx="40">
                  <c:v>3.2650000000000001</c:v>
                </c:pt>
                <c:pt idx="41">
                  <c:v>3.2080000000000002</c:v>
                </c:pt>
                <c:pt idx="42">
                  <c:v>3.2589999999999999</c:v>
                </c:pt>
                <c:pt idx="43">
                  <c:v>3.327</c:v>
                </c:pt>
                <c:pt idx="44">
                  <c:v>3.23</c:v>
                </c:pt>
                <c:pt idx="45">
                  <c:v>3.14</c:v>
                </c:pt>
                <c:pt idx="46">
                  <c:v>3.4449999999999998</c:v>
                </c:pt>
                <c:pt idx="47">
                  <c:v>3.278</c:v>
                </c:pt>
                <c:pt idx="48">
                  <c:v>3.2320000000000002</c:v>
                </c:pt>
                <c:pt idx="49">
                  <c:v>3.379</c:v>
                </c:pt>
                <c:pt idx="50">
                  <c:v>3.649</c:v>
                </c:pt>
                <c:pt idx="51">
                  <c:v>3.5489999999999999</c:v>
                </c:pt>
                <c:pt idx="52">
                  <c:v>3.524</c:v>
                </c:pt>
                <c:pt idx="53">
                  <c:v>3.488</c:v>
                </c:pt>
                <c:pt idx="54">
                  <c:v>3.5249999999999999</c:v>
                </c:pt>
                <c:pt idx="55">
                  <c:v>3.7669999999999999</c:v>
                </c:pt>
                <c:pt idx="56">
                  <c:v>3.9929999999999999</c:v>
                </c:pt>
                <c:pt idx="57">
                  <c:v>4.08</c:v>
                </c:pt>
                <c:pt idx="58">
                  <c:v>4.0970000000000004</c:v>
                </c:pt>
                <c:pt idx="59">
                  <c:v>4.0519999999999996</c:v>
                </c:pt>
                <c:pt idx="60">
                  <c:v>3.9710000000000001</c:v>
                </c:pt>
                <c:pt idx="61">
                  <c:v>3.8650000000000002</c:v>
                </c:pt>
                <c:pt idx="62">
                  <c:v>3.8029999999999999</c:v>
                </c:pt>
                <c:pt idx="63">
                  <c:v>4.2130000000000001</c:v>
                </c:pt>
                <c:pt idx="64">
                  <c:v>4.0279999999999996</c:v>
                </c:pt>
                <c:pt idx="65">
                  <c:v>4.0789999999999997</c:v>
                </c:pt>
                <c:pt idx="66">
                  <c:v>3.9220000000000002</c:v>
                </c:pt>
                <c:pt idx="67">
                  <c:v>4.0910000000000002</c:v>
                </c:pt>
                <c:pt idx="68">
                  <c:v>4.1740000000000004</c:v>
                </c:pt>
                <c:pt idx="69">
                  <c:v>4.0540000000000003</c:v>
                </c:pt>
                <c:pt idx="70">
                  <c:v>3.8479999999999999</c:v>
                </c:pt>
                <c:pt idx="71">
                  <c:v>4.1189999999999998</c:v>
                </c:pt>
                <c:pt idx="72">
                  <c:v>4.0830000000000002</c:v>
                </c:pt>
                <c:pt idx="73">
                  <c:v>4.4130000000000003</c:v>
                </c:pt>
                <c:pt idx="74">
                  <c:v>4.5149999999999997</c:v>
                </c:pt>
                <c:pt idx="75">
                  <c:v>4.6020000000000003</c:v>
                </c:pt>
                <c:pt idx="76">
                  <c:v>4.6130000000000004</c:v>
                </c:pt>
                <c:pt idx="77">
                  <c:v>4.67</c:v>
                </c:pt>
                <c:pt idx="78">
                  <c:v>4.617</c:v>
                </c:pt>
                <c:pt idx="79">
                  <c:v>4.68</c:v>
                </c:pt>
                <c:pt idx="80">
                  <c:v>4.6310000000000002</c:v>
                </c:pt>
                <c:pt idx="81">
                  <c:v>4.4749999999999996</c:v>
                </c:pt>
                <c:pt idx="82">
                  <c:v>4.3559999999999999</c:v>
                </c:pt>
                <c:pt idx="83">
                  <c:v>4.3620000000000001</c:v>
                </c:pt>
                <c:pt idx="84">
                  <c:v>4.3470000000000004</c:v>
                </c:pt>
                <c:pt idx="85">
                  <c:v>4.4160000000000004</c:v>
                </c:pt>
                <c:pt idx="86">
                  <c:v>4.4790000000000001</c:v>
                </c:pt>
                <c:pt idx="87">
                  <c:v>4.2779999999999996</c:v>
                </c:pt>
                <c:pt idx="88">
                  <c:v>4.2450000000000001</c:v>
                </c:pt>
                <c:pt idx="89">
                  <c:v>4.2539999999999996</c:v>
                </c:pt>
                <c:pt idx="90">
                  <c:v>4.2699999999999996</c:v>
                </c:pt>
                <c:pt idx="91">
                  <c:v>4.1829999999999998</c:v>
                </c:pt>
                <c:pt idx="92">
                  <c:v>3.97</c:v>
                </c:pt>
                <c:pt idx="93">
                  <c:v>4.2249999999999996</c:v>
                </c:pt>
                <c:pt idx="94">
                  <c:v>4.274</c:v>
                </c:pt>
                <c:pt idx="95">
                  <c:v>4.1180000000000003</c:v>
                </c:pt>
                <c:pt idx="96">
                  <c:v>4.2249999999999996</c:v>
                </c:pt>
                <c:pt idx="97">
                  <c:v>4.1340000000000003</c:v>
                </c:pt>
                <c:pt idx="98">
                  <c:v>4.1749999999999998</c:v>
                </c:pt>
                <c:pt idx="99">
                  <c:v>4.2770000000000001</c:v>
                </c:pt>
                <c:pt idx="100">
                  <c:v>4.0880000000000001</c:v>
                </c:pt>
                <c:pt idx="101">
                  <c:v>3.99</c:v>
                </c:pt>
                <c:pt idx="102">
                  <c:v>4.0869999999999997</c:v>
                </c:pt>
                <c:pt idx="103">
                  <c:v>4.1020000000000003</c:v>
                </c:pt>
                <c:pt idx="104">
                  <c:v>4.1379999999999999</c:v>
                </c:pt>
                <c:pt idx="105">
                  <c:v>3.9889999999999999</c:v>
                </c:pt>
                <c:pt idx="106">
                  <c:v>3.895</c:v>
                </c:pt>
                <c:pt idx="107">
                  <c:v>3.8</c:v>
                </c:pt>
                <c:pt idx="108">
                  <c:v>3.9020000000000001</c:v>
                </c:pt>
                <c:pt idx="109">
                  <c:v>3.8370000000000002</c:v>
                </c:pt>
                <c:pt idx="110">
                  <c:v>3.9910000000000001</c:v>
                </c:pt>
                <c:pt idx="111">
                  <c:v>3.9140000000000001</c:v>
                </c:pt>
                <c:pt idx="112">
                  <c:v>3.9390000000000001</c:v>
                </c:pt>
                <c:pt idx="113">
                  <c:v>3.9820000000000002</c:v>
                </c:pt>
                <c:pt idx="114">
                  <c:v>3.9340000000000002</c:v>
                </c:pt>
                <c:pt idx="115">
                  <c:v>3.8260000000000001</c:v>
                </c:pt>
                <c:pt idx="116">
                  <c:v>3.8559999999999999</c:v>
                </c:pt>
                <c:pt idx="117">
                  <c:v>3.8079999999999998</c:v>
                </c:pt>
                <c:pt idx="118">
                  <c:v>3.778</c:v>
                </c:pt>
                <c:pt idx="119">
                  <c:v>3.4660000000000002</c:v>
                </c:pt>
                <c:pt idx="120">
                  <c:v>3.319</c:v>
                </c:pt>
                <c:pt idx="121">
                  <c:v>3.2749999999999999</c:v>
                </c:pt>
                <c:pt idx="122">
                  <c:v>3.3929999999999998</c:v>
                </c:pt>
                <c:pt idx="123">
                  <c:v>3.5419999999999998</c:v>
                </c:pt>
                <c:pt idx="124">
                  <c:v>3.468</c:v>
                </c:pt>
                <c:pt idx="125">
                  <c:v>3.4510000000000001</c:v>
                </c:pt>
                <c:pt idx="126">
                  <c:v>3.698</c:v>
                </c:pt>
                <c:pt idx="127">
                  <c:v>3.609</c:v>
                </c:pt>
                <c:pt idx="128">
                  <c:v>3.282</c:v>
                </c:pt>
                <c:pt idx="129">
                  <c:v>3.7090000000000001</c:v>
                </c:pt>
                <c:pt idx="130">
                  <c:v>3.9670000000000001</c:v>
                </c:pt>
                <c:pt idx="131">
                  <c:v>4.0730000000000004</c:v>
                </c:pt>
                <c:pt idx="132">
                  <c:v>4.0250000000000004</c:v>
                </c:pt>
                <c:pt idx="133">
                  <c:v>4.2080000000000002</c:v>
                </c:pt>
                <c:pt idx="134">
                  <c:v>4.2789999999999999</c:v>
                </c:pt>
                <c:pt idx="135">
                  <c:v>4.141</c:v>
                </c:pt>
                <c:pt idx="136">
                  <c:v>3.8969999999999998</c:v>
                </c:pt>
                <c:pt idx="137">
                  <c:v>4.09</c:v>
                </c:pt>
                <c:pt idx="138">
                  <c:v>3.915</c:v>
                </c:pt>
                <c:pt idx="139">
                  <c:v>3.8809999999999998</c:v>
                </c:pt>
                <c:pt idx="140">
                  <c:v>4.0869999999999997</c:v>
                </c:pt>
                <c:pt idx="141">
                  <c:v>4.1020000000000003</c:v>
                </c:pt>
                <c:pt idx="142">
                  <c:v>4.1210000000000004</c:v>
                </c:pt>
                <c:pt idx="143">
                  <c:v>4.7809999999999997</c:v>
                </c:pt>
                <c:pt idx="144">
                  <c:v>4.7649999999999997</c:v>
                </c:pt>
                <c:pt idx="145">
                  <c:v>4.5830000000000002</c:v>
                </c:pt>
                <c:pt idx="146">
                  <c:v>4.6269999999999998</c:v>
                </c:pt>
                <c:pt idx="147">
                  <c:v>4.5570000000000004</c:v>
                </c:pt>
                <c:pt idx="148">
                  <c:v>4.6029999999999998</c:v>
                </c:pt>
                <c:pt idx="149">
                  <c:v>4.306</c:v>
                </c:pt>
                <c:pt idx="150">
                  <c:v>4.2060000000000004</c:v>
                </c:pt>
                <c:pt idx="151">
                  <c:v>4.2220000000000004</c:v>
                </c:pt>
                <c:pt idx="152">
                  <c:v>4.2279999999999998</c:v>
                </c:pt>
                <c:pt idx="153">
                  <c:v>4.3449999999999998</c:v>
                </c:pt>
                <c:pt idx="154">
                  <c:v>4.1749999999999998</c:v>
                </c:pt>
                <c:pt idx="155">
                  <c:v>4.3742000000000001</c:v>
                </c:pt>
                <c:pt idx="156">
                  <c:v>4.1482999999999999</c:v>
                </c:pt>
                <c:pt idx="157">
                  <c:v>4.3197999999999999</c:v>
                </c:pt>
                <c:pt idx="158">
                  <c:v>4.2851999999999997</c:v>
                </c:pt>
                <c:pt idx="159">
                  <c:v>4.2606000000000002</c:v>
                </c:pt>
                <c:pt idx="160">
                  <c:v>4.2998000000000003</c:v>
                </c:pt>
                <c:pt idx="161">
                  <c:v>4.1822999999999997</c:v>
                </c:pt>
                <c:pt idx="162">
                  <c:v>4.0119999999999996</c:v>
                </c:pt>
                <c:pt idx="163">
                  <c:v>4.0000999999999998</c:v>
                </c:pt>
                <c:pt idx="164">
                  <c:v>4.1565000000000003</c:v>
                </c:pt>
                <c:pt idx="165">
                  <c:v>4.2614000000000001</c:v>
                </c:pt>
                <c:pt idx="166">
                  <c:v>4.2497999999999996</c:v>
                </c:pt>
                <c:pt idx="167">
                  <c:v>4.2572000000000001</c:v>
                </c:pt>
                <c:pt idx="168">
                  <c:v>3.93</c:v>
                </c:pt>
                <c:pt idx="169">
                  <c:v>4.0900999999999996</c:v>
                </c:pt>
                <c:pt idx="170">
                  <c:v>3.9977999999999998</c:v>
                </c:pt>
                <c:pt idx="171">
                  <c:v>3.9975999999999998</c:v>
                </c:pt>
                <c:pt idx="172">
                  <c:v>3.8262999999999998</c:v>
                </c:pt>
                <c:pt idx="173">
                  <c:v>3.9779</c:v>
                </c:pt>
                <c:pt idx="174">
                  <c:v>3.7791999999999999</c:v>
                </c:pt>
                <c:pt idx="175">
                  <c:v>3.7191000000000001</c:v>
                </c:pt>
                <c:pt idx="176">
                  <c:v>3.6394000000000002</c:v>
                </c:pt>
                <c:pt idx="177">
                  <c:v>3.4434</c:v>
                </c:pt>
                <c:pt idx="178">
                  <c:v>3.5402999999999998</c:v>
                </c:pt>
                <c:pt idx="179">
                  <c:v>3.4813000000000001</c:v>
                </c:pt>
                <c:pt idx="180">
                  <c:v>3.5383</c:v>
                </c:pt>
                <c:pt idx="181">
                  <c:v>3.5081000000000002</c:v>
                </c:pt>
                <c:pt idx="182">
                  <c:v>3.3092999999999999</c:v>
                </c:pt>
                <c:pt idx="183">
                  <c:v>3.2334000000000001</c:v>
                </c:pt>
                <c:pt idx="184">
                  <c:v>3.2570999999999999</c:v>
                </c:pt>
                <c:pt idx="185">
                  <c:v>3.1503999999999999</c:v>
                </c:pt>
                <c:pt idx="186">
                  <c:v>3.0703999999999998</c:v>
                </c:pt>
                <c:pt idx="187">
                  <c:v>3.0415000000000001</c:v>
                </c:pt>
                <c:pt idx="188">
                  <c:v>2.9908000000000001</c:v>
                </c:pt>
                <c:pt idx="189">
                  <c:v>2.8782999999999999</c:v>
                </c:pt>
                <c:pt idx="190">
                  <c:v>2.8319000000000001</c:v>
                </c:pt>
                <c:pt idx="191">
                  <c:v>2.5836999999999999</c:v>
                </c:pt>
                <c:pt idx="192">
                  <c:v>2.6775000000000002</c:v>
                </c:pt>
                <c:pt idx="193">
                  <c:v>2.7978999999999998</c:v>
                </c:pt>
                <c:pt idx="194">
                  <c:v>2.8018999999999998</c:v>
                </c:pt>
                <c:pt idx="195">
                  <c:v>2.7875999999999999</c:v>
                </c:pt>
                <c:pt idx="196">
                  <c:v>2.8959999999999999</c:v>
                </c:pt>
                <c:pt idx="197">
                  <c:v>3.0326</c:v>
                </c:pt>
                <c:pt idx="198">
                  <c:v>2.9948999999999999</c:v>
                </c:pt>
                <c:pt idx="199">
                  <c:v>3.093</c:v>
                </c:pt>
                <c:pt idx="200">
                  <c:v>3.2315999999999998</c:v>
                </c:pt>
                <c:pt idx="201">
                  <c:v>3.1897000000000002</c:v>
                </c:pt>
                <c:pt idx="202">
                  <c:v>3.2397999999999998</c:v>
                </c:pt>
                <c:pt idx="203">
                  <c:v>3.1791</c:v>
                </c:pt>
                <c:pt idx="204">
                  <c:v>3.4222999999999999</c:v>
                </c:pt>
                <c:pt idx="205">
                  <c:v>3.4207999999999998</c:v>
                </c:pt>
                <c:pt idx="206">
                  <c:v>3.2494999999999998</c:v>
                </c:pt>
                <c:pt idx="207">
                  <c:v>3.3795999999999999</c:v>
                </c:pt>
                <c:pt idx="208">
                  <c:v>3.2679999999999998</c:v>
                </c:pt>
                <c:pt idx="209">
                  <c:v>3.1962000000000002</c:v>
                </c:pt>
                <c:pt idx="210">
                  <c:v>3.1678999999999999</c:v>
                </c:pt>
                <c:pt idx="211">
                  <c:v>3.3595999999999999</c:v>
                </c:pt>
                <c:pt idx="212">
                  <c:v>3.2835999999999999</c:v>
                </c:pt>
                <c:pt idx="213">
                  <c:v>3.1272000000000002</c:v>
                </c:pt>
                <c:pt idx="214">
                  <c:v>3.0632000000000001</c:v>
                </c:pt>
                <c:pt idx="215">
                  <c:v>2.8719000000000001</c:v>
                </c:pt>
                <c:pt idx="216">
                  <c:v>2.8582000000000001</c:v>
                </c:pt>
                <c:pt idx="217">
                  <c:v>3.1364000000000001</c:v>
                </c:pt>
                <c:pt idx="218">
                  <c:v>3.0908000000000002</c:v>
                </c:pt>
                <c:pt idx="219">
                  <c:v>2.9258999999999999</c:v>
                </c:pt>
                <c:pt idx="220">
                  <c:v>2.9645000000000001</c:v>
                </c:pt>
                <c:pt idx="221">
                  <c:v>3.5347</c:v>
                </c:pt>
                <c:pt idx="222">
                  <c:v>3.4573999999999998</c:v>
                </c:pt>
                <c:pt idx="223">
                  <c:v>3.5371000000000001</c:v>
                </c:pt>
                <c:pt idx="224">
                  <c:v>3.7875999999999999</c:v>
                </c:pt>
                <c:pt idx="225">
                  <c:v>3.7919999999999998</c:v>
                </c:pt>
                <c:pt idx="226">
                  <c:v>4.0102000000000002</c:v>
                </c:pt>
                <c:pt idx="227">
                  <c:v>4.0629</c:v>
                </c:pt>
                <c:pt idx="228">
                  <c:v>3.9550999999999998</c:v>
                </c:pt>
                <c:pt idx="229">
                  <c:v>3.7395</c:v>
                </c:pt>
                <c:pt idx="230">
                  <c:v>3.7944</c:v>
                </c:pt>
                <c:pt idx="231">
                  <c:v>4.0301</c:v>
                </c:pt>
                <c:pt idx="232">
                  <c:v>4.2591000000000001</c:v>
                </c:pt>
                <c:pt idx="233">
                  <c:v>4.1032000000000002</c:v>
                </c:pt>
                <c:pt idx="234">
                  <c:v>4.1810999999999998</c:v>
                </c:pt>
                <c:pt idx="235">
                  <c:v>4.4775999999999998</c:v>
                </c:pt>
                <c:pt idx="236">
                  <c:v>4.4269999999999996</c:v>
                </c:pt>
                <c:pt idx="237">
                  <c:v>4.5574000000000003</c:v>
                </c:pt>
                <c:pt idx="238">
                  <c:v>4.9016000000000002</c:v>
                </c:pt>
                <c:pt idx="239">
                  <c:v>4.6951999999999998</c:v>
                </c:pt>
                <c:pt idx="240">
                  <c:v>4.6372</c:v>
                </c:pt>
                <c:pt idx="241">
                  <c:v>4.7584999999999997</c:v>
                </c:pt>
                <c:pt idx="242">
                  <c:v>4.2972999999999999</c:v>
                </c:pt>
                <c:pt idx="243">
                  <c:v>4.1108000000000002</c:v>
                </c:pt>
                <c:pt idx="244">
                  <c:v>4.4062000000000001</c:v>
                </c:pt>
                <c:pt idx="245">
                  <c:v>4.9287000000000001</c:v>
                </c:pt>
                <c:pt idx="246">
                  <c:v>5.2176</c:v>
                </c:pt>
                <c:pt idx="247">
                  <c:v>4.6775000000000002</c:v>
                </c:pt>
                <c:pt idx="248">
                  <c:v>4.6375000000000002</c:v>
                </c:pt>
                <c:pt idx="249">
                  <c:v>3.7246000000000001</c:v>
                </c:pt>
                <c:pt idx="250">
                  <c:v>4.2686000000000002</c:v>
                </c:pt>
                <c:pt idx="251">
                  <c:v>4.5747999999999998</c:v>
                </c:pt>
                <c:pt idx="252">
                  <c:v>5.3333000000000004</c:v>
                </c:pt>
                <c:pt idx="253">
                  <c:v>4.7840999999999996</c:v>
                </c:pt>
                <c:pt idx="254">
                  <c:v>6.6525999999999996</c:v>
                </c:pt>
                <c:pt idx="255">
                  <c:v>6.2420999999999998</c:v>
                </c:pt>
                <c:pt idx="256">
                  <c:v>6.7272999999999996</c:v>
                </c:pt>
                <c:pt idx="257">
                  <c:v>6.8144999999999998</c:v>
                </c:pt>
                <c:pt idx="258">
                  <c:v>7.5467000000000004</c:v>
                </c:pt>
                <c:pt idx="259">
                  <c:v>7.0628000000000002</c:v>
                </c:pt>
                <c:pt idx="260">
                  <c:v>7.2153999999999998</c:v>
                </c:pt>
                <c:pt idx="261">
                  <c:v>7.9821</c:v>
                </c:pt>
                <c:pt idx="262">
                  <c:v>7.5629999999999997</c:v>
                </c:pt>
                <c:pt idx="263">
                  <c:v>8.1390999999999991</c:v>
                </c:pt>
                <c:pt idx="264">
                  <c:v>7.9546999999999999</c:v>
                </c:pt>
                <c:pt idx="265">
                  <c:v>7.6487999999999996</c:v>
                </c:pt>
                <c:pt idx="266">
                  <c:v>7.5506000000000002</c:v>
                </c:pt>
                <c:pt idx="267">
                  <c:v>7.7225999999999999</c:v>
                </c:pt>
                <c:pt idx="268">
                  <c:v>7.0357000000000003</c:v>
                </c:pt>
                <c:pt idx="269">
                  <c:v>7.4291999999999998</c:v>
                </c:pt>
                <c:pt idx="270">
                  <c:v>6.9558999999999997</c:v>
                </c:pt>
                <c:pt idx="271">
                  <c:v>7.1050000000000004</c:v>
                </c:pt>
                <c:pt idx="272">
                  <c:v>6.9061000000000003</c:v>
                </c:pt>
                <c:pt idx="273">
                  <c:v>6.7</c:v>
                </c:pt>
                <c:pt idx="274">
                  <c:v>6.6662999999999997</c:v>
                </c:pt>
                <c:pt idx="275">
                  <c:v>6.6997999999999998</c:v>
                </c:pt>
                <c:pt idx="276">
                  <c:v>6.4227999999999996</c:v>
                </c:pt>
                <c:pt idx="277">
                  <c:v>5.7766000000000002</c:v>
                </c:pt>
                <c:pt idx="278">
                  <c:v>5.8747999999999996</c:v>
                </c:pt>
                <c:pt idx="279">
                  <c:v>6.3102</c:v>
                </c:pt>
                <c:pt idx="280">
                  <c:v>6.3860000000000001</c:v>
                </c:pt>
                <c:pt idx="281">
                  <c:v>6.5987999999999998</c:v>
                </c:pt>
                <c:pt idx="282">
                  <c:v>6.7877000000000001</c:v>
                </c:pt>
                <c:pt idx="283">
                  <c:v>6.5686999999999998</c:v>
                </c:pt>
                <c:pt idx="284">
                  <c:v>6.9889999999999999</c:v>
                </c:pt>
                <c:pt idx="285">
                  <c:v>7.4324000000000003</c:v>
                </c:pt>
                <c:pt idx="286">
                  <c:v>7.7732000000000001</c:v>
                </c:pt>
                <c:pt idx="287">
                  <c:v>8.0777999999999999</c:v>
                </c:pt>
                <c:pt idx="288">
                  <c:v>7.5787000000000004</c:v>
                </c:pt>
                <c:pt idx="289">
                  <c:v>7.1773999999999996</c:v>
                </c:pt>
                <c:pt idx="290">
                  <c:v>6.9397000000000002</c:v>
                </c:pt>
                <c:pt idx="291">
                  <c:v>7.0895999999999999</c:v>
                </c:pt>
                <c:pt idx="292">
                  <c:v>7.1306000000000003</c:v>
                </c:pt>
                <c:pt idx="293">
                  <c:v>7.2222999999999997</c:v>
                </c:pt>
                <c:pt idx="294">
                  <c:v>7.391</c:v>
                </c:pt>
                <c:pt idx="295">
                  <c:v>7.0598999999999998</c:v>
                </c:pt>
                <c:pt idx="296">
                  <c:v>7.6917</c:v>
                </c:pt>
                <c:pt idx="297">
                  <c:v>7.6757</c:v>
                </c:pt>
                <c:pt idx="298">
                  <c:v>7.59</c:v>
                </c:pt>
                <c:pt idx="299">
                  <c:v>7.3578000000000001</c:v>
                </c:pt>
                <c:pt idx="300">
                  <c:v>7.9005999999999998</c:v>
                </c:pt>
                <c:pt idx="301">
                  <c:v>7.5548999999999999</c:v>
                </c:pt>
                <c:pt idx="302">
                  <c:v>7.4349999999999996</c:v>
                </c:pt>
                <c:pt idx="303">
                  <c:v>7.3838999999999997</c:v>
                </c:pt>
                <c:pt idx="304">
                  <c:v>7.4381000000000004</c:v>
                </c:pt>
                <c:pt idx="305">
                  <c:v>7.1421999999999999</c:v>
                </c:pt>
                <c:pt idx="306">
                  <c:v>7.1955</c:v>
                </c:pt>
                <c:pt idx="307">
                  <c:v>7.2805999999999997</c:v>
                </c:pt>
                <c:pt idx="308">
                  <c:v>6.7721999999999998</c:v>
                </c:pt>
                <c:pt idx="309">
                  <c:v>6.8125</c:v>
                </c:pt>
                <c:pt idx="310">
                  <c:v>7.3311000000000002</c:v>
                </c:pt>
                <c:pt idx="311">
                  <c:v>7.4405999999999999</c:v>
                </c:pt>
                <c:pt idx="312">
                  <c:v>8.0263000000000009</c:v>
                </c:pt>
                <c:pt idx="313">
                  <c:v>8.1773000000000007</c:v>
                </c:pt>
                <c:pt idx="314">
                  <c:v>8.1458999999999993</c:v>
                </c:pt>
                <c:pt idx="315">
                  <c:v>7.7035999999999998</c:v>
                </c:pt>
                <c:pt idx="316">
                  <c:v>7.85</c:v>
                </c:pt>
                <c:pt idx="317">
                  <c:v>7.5416999999999996</c:v>
                </c:pt>
                <c:pt idx="318">
                  <c:v>7.6421999999999999</c:v>
                </c:pt>
                <c:pt idx="319">
                  <c:v>7.8860999999999999</c:v>
                </c:pt>
                <c:pt idx="320">
                  <c:v>8.2194000000000003</c:v>
                </c:pt>
                <c:pt idx="321">
                  <c:v>7.8208000000000002</c:v>
                </c:pt>
                <c:pt idx="322">
                  <c:v>8.3501999999999992</c:v>
                </c:pt>
                <c:pt idx="323">
                  <c:v>8.5821000000000005</c:v>
                </c:pt>
                <c:pt idx="324">
                  <c:v>9.0939999999999994</c:v>
                </c:pt>
                <c:pt idx="325">
                  <c:v>9.1717999999999993</c:v>
                </c:pt>
                <c:pt idx="326">
                  <c:v>8.4582999999999995</c:v>
                </c:pt>
                <c:pt idx="327">
                  <c:v>8.4967000000000006</c:v>
                </c:pt>
                <c:pt idx="328">
                  <c:v>7.2693000000000003</c:v>
                </c:pt>
                <c:pt idx="329">
                  <c:v>6.8140999999999998</c:v>
                </c:pt>
                <c:pt idx="330">
                  <c:v>6.5332999999999997</c:v>
                </c:pt>
                <c:pt idx="331">
                  <c:v>5.5575999999999999</c:v>
                </c:pt>
                <c:pt idx="332">
                  <c:v>5.4451000000000001</c:v>
                </c:pt>
                <c:pt idx="333">
                  <c:v>4.8209999999999997</c:v>
                </c:pt>
                <c:pt idx="334">
                  <c:v>4.9880000000000004</c:v>
                </c:pt>
                <c:pt idx="335">
                  <c:v>4.9153000000000002</c:v>
                </c:pt>
                <c:pt idx="336">
                  <c:v>4.9493999999999998</c:v>
                </c:pt>
                <c:pt idx="337">
                  <c:v>5.6525999999999996</c:v>
                </c:pt>
                <c:pt idx="338">
                  <c:v>5.4229000000000003</c:v>
                </c:pt>
                <c:pt idx="339">
                  <c:v>6.3315999999999999</c:v>
                </c:pt>
                <c:pt idx="340">
                  <c:v>6.5728999999999997</c:v>
                </c:pt>
                <c:pt idx="341">
                  <c:v>5.5144000000000002</c:v>
                </c:pt>
                <c:pt idx="342">
                  <c:v>5.46</c:v>
                </c:pt>
                <c:pt idx="343">
                  <c:v>5.9699</c:v>
                </c:pt>
                <c:pt idx="344">
                  <c:v>4.4488000000000003</c:v>
                </c:pt>
                <c:pt idx="345">
                  <c:v>3.6598999999999999</c:v>
                </c:pt>
                <c:pt idx="346">
                  <c:v>3.3986999999999998</c:v>
                </c:pt>
                <c:pt idx="347">
                  <c:v>3.5129000000000001</c:v>
                </c:pt>
                <c:pt idx="348">
                  <c:v>3.6488999999999998</c:v>
                </c:pt>
                <c:pt idx="349">
                  <c:v>3.4767999999999999</c:v>
                </c:pt>
                <c:pt idx="350">
                  <c:v>3.1829999999999998</c:v>
                </c:pt>
                <c:pt idx="351">
                  <c:v>2.7601</c:v>
                </c:pt>
                <c:pt idx="352">
                  <c:v>2.8065000000000002</c:v>
                </c:pt>
                <c:pt idx="353">
                  <c:v>2.59</c:v>
                </c:pt>
                <c:pt idx="354">
                  <c:v>2.4108000000000001</c:v>
                </c:pt>
                <c:pt idx="355">
                  <c:v>2.4613999999999998</c:v>
                </c:pt>
                <c:pt idx="356">
                  <c:v>2.5687000000000002</c:v>
                </c:pt>
                <c:pt idx="357">
                  <c:v>2.2201</c:v>
                </c:pt>
                <c:pt idx="358">
                  <c:v>2.2111999999999998</c:v>
                </c:pt>
                <c:pt idx="359">
                  <c:v>2.0569999999999999</c:v>
                </c:pt>
                <c:pt idx="360">
                  <c:v>1.9610000000000001</c:v>
                </c:pt>
                <c:pt idx="361">
                  <c:v>1.8757999999999999</c:v>
                </c:pt>
                <c:pt idx="362">
                  <c:v>1.9331</c:v>
                </c:pt>
                <c:pt idx="363">
                  <c:v>1.8884000000000001</c:v>
                </c:pt>
                <c:pt idx="364">
                  <c:v>1.9392</c:v>
                </c:pt>
                <c:pt idx="365">
                  <c:v>1.7198</c:v>
                </c:pt>
                <c:pt idx="366">
                  <c:v>1.9016</c:v>
                </c:pt>
                <c:pt idx="367">
                  <c:v>1.9167000000000001</c:v>
                </c:pt>
                <c:pt idx="368">
                  <c:v>1.8479000000000001</c:v>
                </c:pt>
                <c:pt idx="369">
                  <c:v>1.764</c:v>
                </c:pt>
                <c:pt idx="370">
                  <c:v>1.6879999999999999</c:v>
                </c:pt>
                <c:pt idx="371">
                  <c:v>1.4997</c:v>
                </c:pt>
                <c:pt idx="372">
                  <c:v>1.7675000000000001</c:v>
                </c:pt>
                <c:pt idx="373">
                  <c:v>1.7574000000000001</c:v>
                </c:pt>
                <c:pt idx="374">
                  <c:v>1.7849999999999999</c:v>
                </c:pt>
                <c:pt idx="375">
                  <c:v>1.8058000000000001</c:v>
                </c:pt>
                <c:pt idx="376">
                  <c:v>1.7342</c:v>
                </c:pt>
                <c:pt idx="377">
                  <c:v>1.6954</c:v>
                </c:pt>
                <c:pt idx="378">
                  <c:v>1.6811</c:v>
                </c:pt>
                <c:pt idx="379">
                  <c:v>1.51</c:v>
                </c:pt>
                <c:pt idx="380">
                  <c:v>1.3782000000000001</c:v>
                </c:pt>
                <c:pt idx="381">
                  <c:v>1.391</c:v>
                </c:pt>
                <c:pt idx="382">
                  <c:v>1.5710999999999999</c:v>
                </c:pt>
                <c:pt idx="383">
                  <c:v>1.6235999999999999</c:v>
                </c:pt>
                <c:pt idx="384">
                  <c:v>1.5617000000000001</c:v>
                </c:pt>
                <c:pt idx="385">
                  <c:v>1.5986</c:v>
                </c:pt>
                <c:pt idx="386">
                  <c:v>1.5778000000000001</c:v>
                </c:pt>
                <c:pt idx="387">
                  <c:v>1.5791999999999999</c:v>
                </c:pt>
                <c:pt idx="388">
                  <c:v>1.4033</c:v>
                </c:pt>
                <c:pt idx="389">
                  <c:v>1.3987000000000001</c:v>
                </c:pt>
                <c:pt idx="390">
                  <c:v>1.2783</c:v>
                </c:pt>
                <c:pt idx="391">
                  <c:v>1.2907</c:v>
                </c:pt>
                <c:pt idx="392">
                  <c:v>1.2627999999999999</c:v>
                </c:pt>
                <c:pt idx="393">
                  <c:v>1.3225</c:v>
                </c:pt>
                <c:pt idx="394">
                  <c:v>1.3348</c:v>
                </c:pt>
                <c:pt idx="395">
                  <c:v>1.3541000000000001</c:v>
                </c:pt>
                <c:pt idx="396">
                  <c:v>1.2822</c:v>
                </c:pt>
                <c:pt idx="397">
                  <c:v>1.2766</c:v>
                </c:pt>
                <c:pt idx="398">
                  <c:v>1.2182999999999999</c:v>
                </c:pt>
                <c:pt idx="399">
                  <c:v>1.2293000000000001</c:v>
                </c:pt>
                <c:pt idx="400">
                  <c:v>1.1809000000000001</c:v>
                </c:pt>
                <c:pt idx="401">
                  <c:v>1.3520000000000001</c:v>
                </c:pt>
                <c:pt idx="402">
                  <c:v>1.2302</c:v>
                </c:pt>
                <c:pt idx="403">
                  <c:v>1.3057000000000001</c:v>
                </c:pt>
                <c:pt idx="404">
                  <c:v>1.3714</c:v>
                </c:pt>
                <c:pt idx="405">
                  <c:v>1.3979999999999999</c:v>
                </c:pt>
                <c:pt idx="406">
                  <c:v>1.4236</c:v>
                </c:pt>
                <c:pt idx="407">
                  <c:v>1.5418000000000001</c:v>
                </c:pt>
                <c:pt idx="408">
                  <c:v>1.7817000000000001</c:v>
                </c:pt>
                <c:pt idx="409">
                  <c:v>1.2646999999999999</c:v>
                </c:pt>
                <c:pt idx="410">
                  <c:v>1.0468</c:v>
                </c:pt>
                <c:pt idx="411">
                  <c:v>1.006</c:v>
                </c:pt>
                <c:pt idx="412">
                  <c:v>0.95</c:v>
                </c:pt>
                <c:pt idx="413">
                  <c:v>0.97870000000000001</c:v>
                </c:pt>
                <c:pt idx="414">
                  <c:v>0.98650000000000004</c:v>
                </c:pt>
                <c:pt idx="415">
                  <c:v>0.95799999999999996</c:v>
                </c:pt>
                <c:pt idx="416">
                  <c:v>1.0250999999999999</c:v>
                </c:pt>
                <c:pt idx="417">
                  <c:v>1.03</c:v>
                </c:pt>
                <c:pt idx="418">
                  <c:v>1.0306</c:v>
                </c:pt>
                <c:pt idx="419">
                  <c:v>0.9758</c:v>
                </c:pt>
                <c:pt idx="420">
                  <c:v>1.0483</c:v>
                </c:pt>
                <c:pt idx="421">
                  <c:v>0.99990000000000001</c:v>
                </c:pt>
                <c:pt idx="422">
                  <c:v>0.96709999999999996</c:v>
                </c:pt>
                <c:pt idx="423">
                  <c:v>1.0166999999999999</c:v>
                </c:pt>
                <c:pt idx="424">
                  <c:v>0.98080000000000001</c:v>
                </c:pt>
                <c:pt idx="425">
                  <c:v>0.98799999999999999</c:v>
                </c:pt>
                <c:pt idx="426">
                  <c:v>0.96</c:v>
                </c:pt>
                <c:pt idx="427">
                  <c:v>0.95109999999999995</c:v>
                </c:pt>
                <c:pt idx="428">
                  <c:v>1.0761000000000001</c:v>
                </c:pt>
                <c:pt idx="429">
                  <c:v>1.0982000000000001</c:v>
                </c:pt>
                <c:pt idx="430">
                  <c:v>1.123</c:v>
                </c:pt>
                <c:pt idx="431">
                  <c:v>1.1013999999999999</c:v>
                </c:pt>
                <c:pt idx="432">
                  <c:v>1.1762999999999999</c:v>
                </c:pt>
                <c:pt idx="433">
                  <c:v>1.0109999999999999</c:v>
                </c:pt>
                <c:pt idx="434">
                  <c:v>1.006</c:v>
                </c:pt>
                <c:pt idx="435">
                  <c:v>0.95509999999999995</c:v>
                </c:pt>
                <c:pt idx="436">
                  <c:v>0.95</c:v>
                </c:pt>
                <c:pt idx="437">
                  <c:v>0.75449999999999995</c:v>
                </c:pt>
                <c:pt idx="438">
                  <c:v>0.73850000000000005</c:v>
                </c:pt>
                <c:pt idx="439">
                  <c:v>0.6764</c:v>
                </c:pt>
                <c:pt idx="440">
                  <c:v>0.70750000000000002</c:v>
                </c:pt>
                <c:pt idx="441">
                  <c:v>0.66800000000000004</c:v>
                </c:pt>
                <c:pt idx="442">
                  <c:v>0.71440000000000003</c:v>
                </c:pt>
                <c:pt idx="443">
                  <c:v>0.749</c:v>
                </c:pt>
                <c:pt idx="444">
                  <c:v>0.67</c:v>
                </c:pt>
                <c:pt idx="445">
                  <c:v>0.66400000000000003</c:v>
                </c:pt>
                <c:pt idx="446">
                  <c:v>0.63859999999999995</c:v>
                </c:pt>
                <c:pt idx="447">
                  <c:v>0.68869999999999998</c:v>
                </c:pt>
                <c:pt idx="448">
                  <c:v>0.56000000000000005</c:v>
                </c:pt>
                <c:pt idx="449">
                  <c:v>0.53610000000000002</c:v>
                </c:pt>
                <c:pt idx="450">
                  <c:v>0.55800000000000005</c:v>
                </c:pt>
                <c:pt idx="451">
                  <c:v>0.5998</c:v>
                </c:pt>
                <c:pt idx="452">
                  <c:v>0.61180000000000001</c:v>
                </c:pt>
                <c:pt idx="453">
                  <c:v>0.58630000000000004</c:v>
                </c:pt>
                <c:pt idx="454">
                  <c:v>0.59389999999999998</c:v>
                </c:pt>
                <c:pt idx="455">
                  <c:v>0.62639999999999996</c:v>
                </c:pt>
                <c:pt idx="456">
                  <c:v>0.70299999999999996</c:v>
                </c:pt>
                <c:pt idx="457">
                  <c:v>0.84719999999999995</c:v>
                </c:pt>
                <c:pt idx="458">
                  <c:v>0.86470000000000002</c:v>
                </c:pt>
                <c:pt idx="459">
                  <c:v>0.90310000000000001</c:v>
                </c:pt>
                <c:pt idx="460">
                  <c:v>0.93489999999999995</c:v>
                </c:pt>
                <c:pt idx="461">
                  <c:v>0.93799999999999994</c:v>
                </c:pt>
                <c:pt idx="462">
                  <c:v>0.96650000000000003</c:v>
                </c:pt>
                <c:pt idx="463">
                  <c:v>0.96319999999999995</c:v>
                </c:pt>
                <c:pt idx="464">
                  <c:v>0.89749999999999996</c:v>
                </c:pt>
                <c:pt idx="465">
                  <c:v>1.0647</c:v>
                </c:pt>
                <c:pt idx="466">
                  <c:v>1.1281000000000001</c:v>
                </c:pt>
                <c:pt idx="467">
                  <c:v>1.1161000000000001</c:v>
                </c:pt>
                <c:pt idx="468">
                  <c:v>1.1192</c:v>
                </c:pt>
                <c:pt idx="469">
                  <c:v>1.2323</c:v>
                </c:pt>
                <c:pt idx="470">
                  <c:v>1.2805</c:v>
                </c:pt>
                <c:pt idx="471">
                  <c:v>1.3163</c:v>
                </c:pt>
                <c:pt idx="472">
                  <c:v>1.3935</c:v>
                </c:pt>
                <c:pt idx="473">
                  <c:v>1.1099000000000001</c:v>
                </c:pt>
                <c:pt idx="474">
                  <c:v>1.1052999999999999</c:v>
                </c:pt>
                <c:pt idx="475">
                  <c:v>1.1665000000000001</c:v>
                </c:pt>
                <c:pt idx="476">
                  <c:v>1.0948</c:v>
                </c:pt>
                <c:pt idx="477">
                  <c:v>1.1299999999999999</c:v>
                </c:pt>
                <c:pt idx="478">
                  <c:v>0.93100000000000005</c:v>
                </c:pt>
                <c:pt idx="479">
                  <c:v>1.1648000000000001</c:v>
                </c:pt>
                <c:pt idx="480">
                  <c:v>1.1808000000000001</c:v>
                </c:pt>
                <c:pt idx="481">
                  <c:v>1.0159</c:v>
                </c:pt>
                <c:pt idx="482">
                  <c:v>0.98399999999999999</c:v>
                </c:pt>
                <c:pt idx="483">
                  <c:v>1.05</c:v>
                </c:pt>
                <c:pt idx="484">
                  <c:v>1.1586000000000001</c:v>
                </c:pt>
                <c:pt idx="485">
                  <c:v>1.0035000000000001</c:v>
                </c:pt>
                <c:pt idx="486">
                  <c:v>1.0063</c:v>
                </c:pt>
                <c:pt idx="487">
                  <c:v>0.94589999999999996</c:v>
                </c:pt>
                <c:pt idx="488">
                  <c:v>0.89510000000000001</c:v>
                </c:pt>
                <c:pt idx="489">
                  <c:v>0.89590000000000003</c:v>
                </c:pt>
                <c:pt idx="490">
                  <c:v>0.82569999999999999</c:v>
                </c:pt>
                <c:pt idx="491">
                  <c:v>0.71930000000000005</c:v>
                </c:pt>
                <c:pt idx="492">
                  <c:v>0.79300000000000004</c:v>
                </c:pt>
                <c:pt idx="493">
                  <c:v>0.77270000000000005</c:v>
                </c:pt>
                <c:pt idx="494">
                  <c:v>0.85760000000000003</c:v>
                </c:pt>
                <c:pt idx="495">
                  <c:v>0.90490000000000004</c:v>
                </c:pt>
                <c:pt idx="496">
                  <c:v>0.98709999999999998</c:v>
                </c:pt>
                <c:pt idx="497">
                  <c:v>1.0112000000000001</c:v>
                </c:pt>
                <c:pt idx="498">
                  <c:v>1.0208999999999999</c:v>
                </c:pt>
                <c:pt idx="499">
                  <c:v>1.0548</c:v>
                </c:pt>
                <c:pt idx="500">
                  <c:v>1.1715</c:v>
                </c:pt>
                <c:pt idx="501">
                  <c:v>1.1127</c:v>
                </c:pt>
                <c:pt idx="502">
                  <c:v>1.1941999999999999</c:v>
                </c:pt>
                <c:pt idx="503">
                  <c:v>1.1657999999999999</c:v>
                </c:pt>
                <c:pt idx="504">
                  <c:v>1.1561999999999999</c:v>
                </c:pt>
                <c:pt idx="505">
                  <c:v>1.1848000000000001</c:v>
                </c:pt>
                <c:pt idx="506">
                  <c:v>1.0410999999999999</c:v>
                </c:pt>
                <c:pt idx="507">
                  <c:v>1.1200000000000001</c:v>
                </c:pt>
                <c:pt idx="508">
                  <c:v>1.1768000000000001</c:v>
                </c:pt>
                <c:pt idx="509">
                  <c:v>1.0006999999999999</c:v>
                </c:pt>
                <c:pt idx="510">
                  <c:v>1.3131999999999999</c:v>
                </c:pt>
                <c:pt idx="511">
                  <c:v>1.4131</c:v>
                </c:pt>
                <c:pt idx="512">
                  <c:v>1.5803</c:v>
                </c:pt>
                <c:pt idx="513">
                  <c:v>1.7278</c:v>
                </c:pt>
                <c:pt idx="514">
                  <c:v>1.7707999999999999</c:v>
                </c:pt>
                <c:pt idx="515">
                  <c:v>1.8769</c:v>
                </c:pt>
                <c:pt idx="516">
                  <c:v>1.8160000000000001</c:v>
                </c:pt>
                <c:pt idx="517">
                  <c:v>1.9902</c:v>
                </c:pt>
                <c:pt idx="518">
                  <c:v>1.7758</c:v>
                </c:pt>
                <c:pt idx="519">
                  <c:v>1.7862</c:v>
                </c:pt>
                <c:pt idx="520">
                  <c:v>1.8187</c:v>
                </c:pt>
                <c:pt idx="521">
                  <c:v>1.9008</c:v>
                </c:pt>
                <c:pt idx="522">
                  <c:v>1.9201999999999999</c:v>
                </c:pt>
                <c:pt idx="523">
                  <c:v>2.0383</c:v>
                </c:pt>
                <c:pt idx="524">
                  <c:v>1.9544999999999999</c:v>
                </c:pt>
                <c:pt idx="525">
                  <c:v>2.3172000000000001</c:v>
                </c:pt>
                <c:pt idx="526">
                  <c:v>1.7704</c:v>
                </c:pt>
                <c:pt idx="527">
                  <c:v>1.9827999999999999</c:v>
                </c:pt>
                <c:pt idx="528">
                  <c:v>2.0344000000000002</c:v>
                </c:pt>
                <c:pt idx="529">
                  <c:v>2.2214999999999998</c:v>
                </c:pt>
                <c:pt idx="530">
                  <c:v>2.0573000000000001</c:v>
                </c:pt>
                <c:pt idx="531">
                  <c:v>2.2048000000000001</c:v>
                </c:pt>
                <c:pt idx="532">
                  <c:v>2.25</c:v>
                </c:pt>
                <c:pt idx="533">
                  <c:v>2.3029999999999999</c:v>
                </c:pt>
                <c:pt idx="534">
                  <c:v>2.1395</c:v>
                </c:pt>
                <c:pt idx="535">
                  <c:v>2.3862000000000001</c:v>
                </c:pt>
                <c:pt idx="536">
                  <c:v>2.4710999999999999</c:v>
                </c:pt>
                <c:pt idx="537">
                  <c:v>2.6427</c:v>
                </c:pt>
                <c:pt idx="538">
                  <c:v>2.4024000000000001</c:v>
                </c:pt>
                <c:pt idx="539">
                  <c:v>2.5299999999999998</c:v>
                </c:pt>
                <c:pt idx="540">
                  <c:v>2.4498000000000002</c:v>
                </c:pt>
                <c:pt idx="541">
                  <c:v>1.9744999999999999</c:v>
                </c:pt>
                <c:pt idx="542">
                  <c:v>1.9359999999999999</c:v>
                </c:pt>
                <c:pt idx="543">
                  <c:v>1.8398000000000001</c:v>
                </c:pt>
                <c:pt idx="544">
                  <c:v>1.8614999999999999</c:v>
                </c:pt>
                <c:pt idx="545">
                  <c:v>1.6585000000000001</c:v>
                </c:pt>
                <c:pt idx="546">
                  <c:v>1.6997</c:v>
                </c:pt>
                <c:pt idx="547">
                  <c:v>1.4723999999999999</c:v>
                </c:pt>
                <c:pt idx="548">
                  <c:v>1.4838</c:v>
                </c:pt>
                <c:pt idx="549">
                  <c:v>1.3569</c:v>
                </c:pt>
                <c:pt idx="550">
                  <c:v>1.4288000000000001</c:v>
                </c:pt>
                <c:pt idx="551">
                  <c:v>1.3920999999999999</c:v>
                </c:pt>
                <c:pt idx="552">
                  <c:v>1.2951999999999999</c:v>
                </c:pt>
                <c:pt idx="553">
                  <c:v>1.5092000000000001</c:v>
                </c:pt>
                <c:pt idx="554">
                  <c:v>1.5891999999999999</c:v>
                </c:pt>
                <c:pt idx="555">
                  <c:v>1.5640000000000001</c:v>
                </c:pt>
                <c:pt idx="556">
                  <c:v>1.6</c:v>
                </c:pt>
                <c:pt idx="557">
                  <c:v>1.6584000000000001</c:v>
                </c:pt>
                <c:pt idx="558">
                  <c:v>1.6785000000000001</c:v>
                </c:pt>
                <c:pt idx="559">
                  <c:v>1.496</c:v>
                </c:pt>
                <c:pt idx="560">
                  <c:v>1.52</c:v>
                </c:pt>
                <c:pt idx="561">
                  <c:v>1.5202</c:v>
                </c:pt>
                <c:pt idx="562">
                  <c:v>1.5606</c:v>
                </c:pt>
                <c:pt idx="563">
                  <c:v>1.5773999999999999</c:v>
                </c:pt>
                <c:pt idx="564">
                  <c:v>1.5174000000000001</c:v>
                </c:pt>
                <c:pt idx="565">
                  <c:v>1.5277000000000001</c:v>
                </c:pt>
                <c:pt idx="566">
                  <c:v>1.4984999999999999</c:v>
                </c:pt>
                <c:pt idx="567">
                  <c:v>1.5301</c:v>
                </c:pt>
                <c:pt idx="568">
                  <c:v>1.5999000000000001</c:v>
                </c:pt>
                <c:pt idx="569">
                  <c:v>1.5876999999999999</c:v>
                </c:pt>
                <c:pt idx="570">
                  <c:v>1.5610999999999999</c:v>
                </c:pt>
                <c:pt idx="571">
                  <c:v>1.3551</c:v>
                </c:pt>
                <c:pt idx="572">
                  <c:v>1.4547000000000001</c:v>
                </c:pt>
                <c:pt idx="573">
                  <c:v>1.4758</c:v>
                </c:pt>
                <c:pt idx="574">
                  <c:v>1.2938000000000001</c:v>
                </c:pt>
                <c:pt idx="575">
                  <c:v>1.2155</c:v>
                </c:pt>
                <c:pt idx="576">
                  <c:v>1.0542</c:v>
                </c:pt>
                <c:pt idx="577">
                  <c:v>1.103</c:v>
                </c:pt>
                <c:pt idx="578">
                  <c:v>0.99690000000000001</c:v>
                </c:pt>
                <c:pt idx="579">
                  <c:v>0.95440000000000003</c:v>
                </c:pt>
                <c:pt idx="580">
                  <c:v>1.0297000000000001</c:v>
                </c:pt>
                <c:pt idx="581">
                  <c:v>1.1540999999999999</c:v>
                </c:pt>
                <c:pt idx="582">
                  <c:v>1.2506999999999999</c:v>
                </c:pt>
                <c:pt idx="583">
                  <c:v>1.1667000000000001</c:v>
                </c:pt>
                <c:pt idx="584">
                  <c:v>0.94330000000000003</c:v>
                </c:pt>
                <c:pt idx="585">
                  <c:v>0.84440000000000004</c:v>
                </c:pt>
                <c:pt idx="586">
                  <c:v>0.87450000000000006</c:v>
                </c:pt>
                <c:pt idx="587">
                  <c:v>0.82320000000000004</c:v>
                </c:pt>
                <c:pt idx="588">
                  <c:v>0.77029999999999998</c:v>
                </c:pt>
                <c:pt idx="589">
                  <c:v>0.82899999999999996</c:v>
                </c:pt>
                <c:pt idx="590">
                  <c:v>0.8861</c:v>
                </c:pt>
                <c:pt idx="591">
                  <c:v>0.81869999999999998</c:v>
                </c:pt>
                <c:pt idx="592">
                  <c:v>0.83440000000000003</c:v>
                </c:pt>
                <c:pt idx="593">
                  <c:v>0.82620000000000005</c:v>
                </c:pt>
                <c:pt idx="594">
                  <c:v>0.84160000000000001</c:v>
                </c:pt>
                <c:pt idx="595">
                  <c:v>0.75380000000000003</c:v>
                </c:pt>
                <c:pt idx="596">
                  <c:v>0.84260000000000002</c:v>
                </c:pt>
                <c:pt idx="597">
                  <c:v>0.72589999999999999</c:v>
                </c:pt>
                <c:pt idx="598">
                  <c:v>0.72350000000000003</c:v>
                </c:pt>
                <c:pt idx="599">
                  <c:v>0.74819999999999998</c:v>
                </c:pt>
                <c:pt idx="600">
                  <c:v>0.60009999999999997</c:v>
                </c:pt>
                <c:pt idx="601">
                  <c:v>0.57889999999999997</c:v>
                </c:pt>
                <c:pt idx="602">
                  <c:v>0.59519999999999995</c:v>
                </c:pt>
                <c:pt idx="603">
                  <c:v>0.62</c:v>
                </c:pt>
                <c:pt idx="604">
                  <c:v>0.59189999999999998</c:v>
                </c:pt>
                <c:pt idx="605">
                  <c:v>0.62439999999999996</c:v>
                </c:pt>
                <c:pt idx="606">
                  <c:v>0.61360000000000003</c:v>
                </c:pt>
                <c:pt idx="607">
                  <c:v>0.59179999999999999</c:v>
                </c:pt>
                <c:pt idx="608">
                  <c:v>0.6</c:v>
                </c:pt>
                <c:pt idx="609">
                  <c:v>0.65459999999999996</c:v>
                </c:pt>
                <c:pt idx="610">
                  <c:v>0.52849999999999997</c:v>
                </c:pt>
                <c:pt idx="611">
                  <c:v>0.42520000000000002</c:v>
                </c:pt>
                <c:pt idx="612">
                  <c:v>0.4476</c:v>
                </c:pt>
                <c:pt idx="613">
                  <c:v>0.39150000000000001</c:v>
                </c:pt>
                <c:pt idx="614">
                  <c:v>0.37209999999999999</c:v>
                </c:pt>
                <c:pt idx="615">
                  <c:v>0.29149999999999998</c:v>
                </c:pt>
                <c:pt idx="616">
                  <c:v>0.26040000000000002</c:v>
                </c:pt>
                <c:pt idx="617">
                  <c:v>0.27279999999999999</c:v>
                </c:pt>
                <c:pt idx="618">
                  <c:v>0.28999999999999998</c:v>
                </c:pt>
                <c:pt idx="619">
                  <c:v>0.30980000000000002</c:v>
                </c:pt>
                <c:pt idx="620">
                  <c:v>0.28149999999999997</c:v>
                </c:pt>
                <c:pt idx="621">
                  <c:v>0.20760000000000001</c:v>
                </c:pt>
                <c:pt idx="622">
                  <c:v>0.1961</c:v>
                </c:pt>
                <c:pt idx="623">
                  <c:v>0.2024</c:v>
                </c:pt>
                <c:pt idx="624">
                  <c:v>0.19600000000000001</c:v>
                </c:pt>
                <c:pt idx="625">
                  <c:v>0.1895</c:v>
                </c:pt>
                <c:pt idx="626">
                  <c:v>0.18640000000000001</c:v>
                </c:pt>
                <c:pt idx="627">
                  <c:v>0.18820000000000001</c:v>
                </c:pt>
                <c:pt idx="628">
                  <c:v>0.20480000000000001</c:v>
                </c:pt>
                <c:pt idx="629">
                  <c:v>0.20780000000000001</c:v>
                </c:pt>
                <c:pt idx="630">
                  <c:v>0.20499999999999999</c:v>
                </c:pt>
                <c:pt idx="631">
                  <c:v>0.19500000000000001</c:v>
                </c:pt>
                <c:pt idx="632">
                  <c:v>0.1993</c:v>
                </c:pt>
                <c:pt idx="633">
                  <c:v>0.1988</c:v>
                </c:pt>
                <c:pt idx="634">
                  <c:v>0.20319999999999999</c:v>
                </c:pt>
                <c:pt idx="635">
                  <c:v>0.21429999999999999</c:v>
                </c:pt>
                <c:pt idx="636">
                  <c:v>0.2099</c:v>
                </c:pt>
                <c:pt idx="637">
                  <c:v>0.20469999999999999</c:v>
                </c:pt>
                <c:pt idx="638">
                  <c:v>0.214</c:v>
                </c:pt>
                <c:pt idx="639">
                  <c:v>0.20599999999999999</c:v>
                </c:pt>
                <c:pt idx="640">
                  <c:v>0.20080000000000001</c:v>
                </c:pt>
                <c:pt idx="641">
                  <c:v>0.2036</c:v>
                </c:pt>
                <c:pt idx="642">
                  <c:v>0.21870000000000001</c:v>
                </c:pt>
                <c:pt idx="643">
                  <c:v>0.21210000000000001</c:v>
                </c:pt>
                <c:pt idx="644">
                  <c:v>0.2074</c:v>
                </c:pt>
                <c:pt idx="645">
                  <c:v>0.1976</c:v>
                </c:pt>
                <c:pt idx="646">
                  <c:v>0.18509999999999999</c:v>
                </c:pt>
                <c:pt idx="647">
                  <c:v>0.18329999999999999</c:v>
                </c:pt>
                <c:pt idx="648">
                  <c:v>0.19209999999999999</c:v>
                </c:pt>
                <c:pt idx="649">
                  <c:v>0.19600000000000001</c:v>
                </c:pt>
                <c:pt idx="650">
                  <c:v>0.183</c:v>
                </c:pt>
                <c:pt idx="651">
                  <c:v>0.185</c:v>
                </c:pt>
                <c:pt idx="652">
                  <c:v>0.1744</c:v>
                </c:pt>
                <c:pt idx="653">
                  <c:v>0.18110000000000001</c:v>
                </c:pt>
                <c:pt idx="654">
                  <c:v>0.1797</c:v>
                </c:pt>
                <c:pt idx="655">
                  <c:v>0.17979999999999999</c:v>
                </c:pt>
                <c:pt idx="656">
                  <c:v>0.17960000000000001</c:v>
                </c:pt>
                <c:pt idx="657">
                  <c:v>0.1825</c:v>
                </c:pt>
                <c:pt idx="658">
                  <c:v>0.1958</c:v>
                </c:pt>
                <c:pt idx="659">
                  <c:v>0.19850000000000001</c:v>
                </c:pt>
                <c:pt idx="660">
                  <c:v>0.1928</c:v>
                </c:pt>
                <c:pt idx="661">
                  <c:v>0.19839999999999999</c:v>
                </c:pt>
                <c:pt idx="662">
                  <c:v>0.18329999999999999</c:v>
                </c:pt>
                <c:pt idx="663">
                  <c:v>0.1852</c:v>
                </c:pt>
                <c:pt idx="664">
                  <c:v>0.18279999999999999</c:v>
                </c:pt>
                <c:pt idx="665">
                  <c:v>0.1822</c:v>
                </c:pt>
                <c:pt idx="666">
                  <c:v>0.17810000000000001</c:v>
                </c:pt>
                <c:pt idx="667">
                  <c:v>0.17249999999999999</c:v>
                </c:pt>
                <c:pt idx="668">
                  <c:v>0.17249999999999999</c:v>
                </c:pt>
                <c:pt idx="669">
                  <c:v>0.1608</c:v>
                </c:pt>
                <c:pt idx="670">
                  <c:v>0.16950000000000001</c:v>
                </c:pt>
                <c:pt idx="671">
                  <c:v>0.1731</c:v>
                </c:pt>
                <c:pt idx="672">
                  <c:v>0.17929999999999999</c:v>
                </c:pt>
                <c:pt idx="673">
                  <c:v>0.17399999999999999</c:v>
                </c:pt>
                <c:pt idx="674">
                  <c:v>0.17749999999999999</c:v>
                </c:pt>
                <c:pt idx="675">
                  <c:v>0.1721</c:v>
                </c:pt>
                <c:pt idx="676">
                  <c:v>0.15670000000000001</c:v>
                </c:pt>
                <c:pt idx="677">
                  <c:v>0.1701</c:v>
                </c:pt>
                <c:pt idx="678">
                  <c:v>0.1686</c:v>
                </c:pt>
                <c:pt idx="679">
                  <c:v>0.17560000000000001</c:v>
                </c:pt>
                <c:pt idx="680">
                  <c:v>0.15129999999999999</c:v>
                </c:pt>
                <c:pt idx="681">
                  <c:v>0.1479</c:v>
                </c:pt>
                <c:pt idx="682">
                  <c:v>0.1389</c:v>
                </c:pt>
                <c:pt idx="683">
                  <c:v>0.15440000000000001</c:v>
                </c:pt>
                <c:pt idx="684">
                  <c:v>0.152</c:v>
                </c:pt>
                <c:pt idx="685">
                  <c:v>0.15809999999999999</c:v>
                </c:pt>
                <c:pt idx="686">
                  <c:v>0.13289999999999999</c:v>
                </c:pt>
                <c:pt idx="687">
                  <c:v>0.2419</c:v>
                </c:pt>
                <c:pt idx="688">
                  <c:v>0.2465</c:v>
                </c:pt>
                <c:pt idx="689">
                  <c:v>0.2414</c:v>
                </c:pt>
                <c:pt idx="690">
                  <c:v>0.24779999999999999</c:v>
                </c:pt>
                <c:pt idx="691">
                  <c:v>0.28699999999999998</c:v>
                </c:pt>
                <c:pt idx="692">
                  <c:v>0.29880000000000001</c:v>
                </c:pt>
                <c:pt idx="693">
                  <c:v>0.2928</c:v>
                </c:pt>
                <c:pt idx="694">
                  <c:v>0.27750000000000002</c:v>
                </c:pt>
                <c:pt idx="695">
                  <c:v>0.27689999999999998</c:v>
                </c:pt>
                <c:pt idx="696">
                  <c:v>0.28520000000000001</c:v>
                </c:pt>
                <c:pt idx="697">
                  <c:v>0.26910000000000001</c:v>
                </c:pt>
                <c:pt idx="698">
                  <c:v>0.26500000000000001</c:v>
                </c:pt>
                <c:pt idx="699">
                  <c:v>0.27579999999999999</c:v>
                </c:pt>
                <c:pt idx="700">
                  <c:v>0.27950000000000003</c:v>
                </c:pt>
                <c:pt idx="701">
                  <c:v>0.27460000000000001</c:v>
                </c:pt>
                <c:pt idx="702">
                  <c:v>0.30209999999999998</c:v>
                </c:pt>
                <c:pt idx="703">
                  <c:v>0.33119999999999999</c:v>
                </c:pt>
                <c:pt idx="704">
                  <c:v>0.34489999999999998</c:v>
                </c:pt>
                <c:pt idx="705">
                  <c:v>0.32919999999999999</c:v>
                </c:pt>
                <c:pt idx="706">
                  <c:v>0.33500000000000002</c:v>
                </c:pt>
                <c:pt idx="707">
                  <c:v>0.33129999999999998</c:v>
                </c:pt>
                <c:pt idx="708">
                  <c:v>0.32</c:v>
                </c:pt>
                <c:pt idx="709">
                  <c:v>0.34150000000000003</c:v>
                </c:pt>
                <c:pt idx="710">
                  <c:v>0.31929999999999997</c:v>
                </c:pt>
                <c:pt idx="711">
                  <c:v>0.31619999999999998</c:v>
                </c:pt>
                <c:pt idx="712">
                  <c:v>0.32219999999999999</c:v>
                </c:pt>
                <c:pt idx="713">
                  <c:v>0.35420000000000001</c:v>
                </c:pt>
                <c:pt idx="714">
                  <c:v>0.34870000000000001</c:v>
                </c:pt>
                <c:pt idx="715">
                  <c:v>0.3538</c:v>
                </c:pt>
                <c:pt idx="716">
                  <c:v>0.3256</c:v>
                </c:pt>
                <c:pt idx="717">
                  <c:v>0.31719999999999998</c:v>
                </c:pt>
                <c:pt idx="718">
                  <c:v>0.316</c:v>
                </c:pt>
                <c:pt idx="719">
                  <c:v>0.30819999999999997</c:v>
                </c:pt>
                <c:pt idx="720">
                  <c:v>0.31440000000000001</c:v>
                </c:pt>
                <c:pt idx="721">
                  <c:v>0.2954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0-42DB-A503-80864D388C9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0.52668252362330392</c:v>
                </c:pt>
                <c:pt idx="1">
                  <c:v>0.52671659251882641</c:v>
                </c:pt>
                <c:pt idx="2">
                  <c:v>0.52739922151882634</c:v>
                </c:pt>
                <c:pt idx="3">
                  <c:v>0.52665681954823806</c:v>
                </c:pt>
                <c:pt idx="4">
                  <c:v>0.52443935849216328</c:v>
                </c:pt>
                <c:pt idx="5">
                  <c:v>0.52292297485579953</c:v>
                </c:pt>
                <c:pt idx="6">
                  <c:v>0.52342239694168913</c:v>
                </c:pt>
                <c:pt idx="7">
                  <c:v>0.53031095677314988</c:v>
                </c:pt>
                <c:pt idx="8">
                  <c:v>0.53157661819780744</c:v>
                </c:pt>
                <c:pt idx="9">
                  <c:v>0.53221695431039018</c:v>
                </c:pt>
                <c:pt idx="10">
                  <c:v>0.53237257965978779</c:v>
                </c:pt>
                <c:pt idx="11">
                  <c:v>0.53275523985978779</c:v>
                </c:pt>
                <c:pt idx="12">
                  <c:v>0.53286897483731588</c:v>
                </c:pt>
                <c:pt idx="13">
                  <c:v>0.53353248466231595</c:v>
                </c:pt>
                <c:pt idx="14">
                  <c:v>0.5326245340740805</c:v>
                </c:pt>
                <c:pt idx="15">
                  <c:v>0.5339157356320916</c:v>
                </c:pt>
                <c:pt idx="16">
                  <c:v>0.53277951788366396</c:v>
                </c:pt>
                <c:pt idx="17">
                  <c:v>0.53170865524366384</c:v>
                </c:pt>
                <c:pt idx="18">
                  <c:v>0.53020743659903591</c:v>
                </c:pt>
                <c:pt idx="19">
                  <c:v>0.52973598785484988</c:v>
                </c:pt>
                <c:pt idx="20">
                  <c:v>0.52958569939527533</c:v>
                </c:pt>
                <c:pt idx="21">
                  <c:v>0.52940404057152057</c:v>
                </c:pt>
                <c:pt idx="22">
                  <c:v>0.52816645038284127</c:v>
                </c:pt>
                <c:pt idx="23">
                  <c:v>0.52987632950132479</c:v>
                </c:pt>
                <c:pt idx="24">
                  <c:v>0.53255423865778728</c:v>
                </c:pt>
                <c:pt idx="25">
                  <c:v>0.53158450901072851</c:v>
                </c:pt>
                <c:pt idx="26">
                  <c:v>0.5308314134883404</c:v>
                </c:pt>
                <c:pt idx="27">
                  <c:v>0.52964373967812151</c:v>
                </c:pt>
                <c:pt idx="28">
                  <c:v>0.53047113083548181</c:v>
                </c:pt>
                <c:pt idx="29">
                  <c:v>0.53006706446813501</c:v>
                </c:pt>
                <c:pt idx="30">
                  <c:v>0.53190390945787847</c:v>
                </c:pt>
                <c:pt idx="31">
                  <c:v>0.53497386050316154</c:v>
                </c:pt>
                <c:pt idx="32">
                  <c:v>0.53773951312385126</c:v>
                </c:pt>
                <c:pt idx="33">
                  <c:v>0.53746778226854564</c:v>
                </c:pt>
                <c:pt idx="34">
                  <c:v>0.53788146331732611</c:v>
                </c:pt>
                <c:pt idx="35">
                  <c:v>0.53997395492258926</c:v>
                </c:pt>
                <c:pt idx="36">
                  <c:v>0.5374270489225893</c:v>
                </c:pt>
                <c:pt idx="37">
                  <c:v>0.5371885972175533</c:v>
                </c:pt>
                <c:pt idx="38">
                  <c:v>0.5357913202567689</c:v>
                </c:pt>
                <c:pt idx="39">
                  <c:v>0.5350730010616469</c:v>
                </c:pt>
                <c:pt idx="40">
                  <c:v>0.53567942856164685</c:v>
                </c:pt>
                <c:pt idx="41">
                  <c:v>0.53519773251769087</c:v>
                </c:pt>
                <c:pt idx="42">
                  <c:v>0.53474466737483373</c:v>
                </c:pt>
                <c:pt idx="43">
                  <c:v>0.53582430208071619</c:v>
                </c:pt>
                <c:pt idx="44">
                  <c:v>0.534000431101055</c:v>
                </c:pt>
                <c:pt idx="45">
                  <c:v>0.53273253136132903</c:v>
                </c:pt>
                <c:pt idx="46">
                  <c:v>0.53454455253410393</c:v>
                </c:pt>
                <c:pt idx="47">
                  <c:v>0.53367368018275252</c:v>
                </c:pt>
                <c:pt idx="48">
                  <c:v>0.53357626718275253</c:v>
                </c:pt>
                <c:pt idx="49">
                  <c:v>0.53655279271193546</c:v>
                </c:pt>
                <c:pt idx="50">
                  <c:v>0.53953953119817399</c:v>
                </c:pt>
                <c:pt idx="51">
                  <c:v>0.53754992685933101</c:v>
                </c:pt>
                <c:pt idx="52">
                  <c:v>0.53804476097909149</c:v>
                </c:pt>
                <c:pt idx="53">
                  <c:v>0.53515950038126536</c:v>
                </c:pt>
                <c:pt idx="54">
                  <c:v>0.53315887406967111</c:v>
                </c:pt>
                <c:pt idx="55">
                  <c:v>0.52938240337488496</c:v>
                </c:pt>
                <c:pt idx="56">
                  <c:v>0.53526402023247011</c:v>
                </c:pt>
                <c:pt idx="57">
                  <c:v>0.53749393248778932</c:v>
                </c:pt>
                <c:pt idx="58">
                  <c:v>0.54357230050177519</c:v>
                </c:pt>
                <c:pt idx="59">
                  <c:v>0.54396664819802099</c:v>
                </c:pt>
                <c:pt idx="60">
                  <c:v>0.54315851175533314</c:v>
                </c:pt>
                <c:pt idx="61">
                  <c:v>0.53420652481288722</c:v>
                </c:pt>
                <c:pt idx="62">
                  <c:v>0.53507938650413145</c:v>
                </c:pt>
                <c:pt idx="63">
                  <c:v>0.5417222692924526</c:v>
                </c:pt>
                <c:pt idx="64">
                  <c:v>0.53702815944170634</c:v>
                </c:pt>
                <c:pt idx="65">
                  <c:v>0.53729549612217964</c:v>
                </c:pt>
                <c:pt idx="66">
                  <c:v>0.53563660831545701</c:v>
                </c:pt>
                <c:pt idx="67">
                  <c:v>0.53788327671051872</c:v>
                </c:pt>
                <c:pt idx="68">
                  <c:v>0.53926381659601497</c:v>
                </c:pt>
                <c:pt idx="69">
                  <c:v>0.53705332548490381</c:v>
                </c:pt>
                <c:pt idx="70">
                  <c:v>0.53490190359016698</c:v>
                </c:pt>
                <c:pt idx="71">
                  <c:v>0.53728666873562159</c:v>
                </c:pt>
                <c:pt idx="72">
                  <c:v>0.53517399030922563</c:v>
                </c:pt>
                <c:pt idx="73">
                  <c:v>0.53821401908541611</c:v>
                </c:pt>
                <c:pt idx="74">
                  <c:v>0.54194354456418059</c:v>
                </c:pt>
                <c:pt idx="75">
                  <c:v>0.54236972036128217</c:v>
                </c:pt>
                <c:pt idx="76">
                  <c:v>0.54186924805271064</c:v>
                </c:pt>
                <c:pt idx="77">
                  <c:v>0.54160066390985351</c:v>
                </c:pt>
                <c:pt idx="78">
                  <c:v>0.54706152941220099</c:v>
                </c:pt>
                <c:pt idx="79">
                  <c:v>0.55135396004608084</c:v>
                </c:pt>
                <c:pt idx="80">
                  <c:v>0.5529870442199939</c:v>
                </c:pt>
                <c:pt idx="81">
                  <c:v>0.55158999002136377</c:v>
                </c:pt>
                <c:pt idx="82">
                  <c:v>0.54881562372439396</c:v>
                </c:pt>
                <c:pt idx="83">
                  <c:v>0.54787185084747092</c:v>
                </c:pt>
                <c:pt idx="84">
                  <c:v>0.5472706025031</c:v>
                </c:pt>
                <c:pt idx="85">
                  <c:v>0.54899096647957057</c:v>
                </c:pt>
                <c:pt idx="86">
                  <c:v>0.55083947999239113</c:v>
                </c:pt>
                <c:pt idx="87">
                  <c:v>0.54586664794393291</c:v>
                </c:pt>
                <c:pt idx="88">
                  <c:v>0.54410077748786601</c:v>
                </c:pt>
                <c:pt idx="89">
                  <c:v>0.5428190277550724</c:v>
                </c:pt>
                <c:pt idx="90">
                  <c:v>0.54262945349581326</c:v>
                </c:pt>
                <c:pt idx="91">
                  <c:v>0.54194277214965925</c:v>
                </c:pt>
                <c:pt idx="92">
                  <c:v>0.54037715807439057</c:v>
                </c:pt>
                <c:pt idx="93">
                  <c:v>0.54427033768759803</c:v>
                </c:pt>
                <c:pt idx="94">
                  <c:v>0.54573344416102809</c:v>
                </c:pt>
                <c:pt idx="95">
                  <c:v>0.54452236297959344</c:v>
                </c:pt>
                <c:pt idx="96">
                  <c:v>0.54499546839511859</c:v>
                </c:pt>
                <c:pt idx="97">
                  <c:v>0.54313765064799213</c:v>
                </c:pt>
                <c:pt idx="98">
                  <c:v>0.54434356957503072</c:v>
                </c:pt>
                <c:pt idx="99">
                  <c:v>0.54882334550095668</c:v>
                </c:pt>
                <c:pt idx="100">
                  <c:v>0.54571047043823884</c:v>
                </c:pt>
                <c:pt idx="101">
                  <c:v>0.54303648099737856</c:v>
                </c:pt>
                <c:pt idx="102">
                  <c:v>0.54407780243152493</c:v>
                </c:pt>
                <c:pt idx="103">
                  <c:v>0.5429190219230503</c:v>
                </c:pt>
                <c:pt idx="104">
                  <c:v>0.54502902385638363</c:v>
                </c:pt>
                <c:pt idx="105">
                  <c:v>0.54235115463231742</c:v>
                </c:pt>
                <c:pt idx="106">
                  <c:v>0.54211976372322646</c:v>
                </c:pt>
                <c:pt idx="107">
                  <c:v>0.539637982372007</c:v>
                </c:pt>
                <c:pt idx="108">
                  <c:v>0.53982693567635476</c:v>
                </c:pt>
                <c:pt idx="109">
                  <c:v>0.53991628091402288</c:v>
                </c:pt>
                <c:pt idx="110">
                  <c:v>0.54197538746269547</c:v>
                </c:pt>
                <c:pt idx="111">
                  <c:v>0.54154784610555262</c:v>
                </c:pt>
                <c:pt idx="112">
                  <c:v>0.54297401162447156</c:v>
                </c:pt>
                <c:pt idx="113">
                  <c:v>0.54327888054339046</c:v>
                </c:pt>
                <c:pt idx="114">
                  <c:v>0.54147604608624755</c:v>
                </c:pt>
                <c:pt idx="115">
                  <c:v>0.54018989106165738</c:v>
                </c:pt>
                <c:pt idx="116">
                  <c:v>0.5393073199385805</c:v>
                </c:pt>
                <c:pt idx="117">
                  <c:v>0.53884388445470954</c:v>
                </c:pt>
                <c:pt idx="118">
                  <c:v>0.53875394570223434</c:v>
                </c:pt>
                <c:pt idx="119">
                  <c:v>0.53662748161954699</c:v>
                </c:pt>
                <c:pt idx="120">
                  <c:v>0.53497420975152654</c:v>
                </c:pt>
                <c:pt idx="121">
                  <c:v>0.53549044758485986</c:v>
                </c:pt>
                <c:pt idx="122">
                  <c:v>0.53672479243512738</c:v>
                </c:pt>
                <c:pt idx="123">
                  <c:v>0.54089135150712742</c:v>
                </c:pt>
                <c:pt idx="124">
                  <c:v>0.53865326307196881</c:v>
                </c:pt>
                <c:pt idx="125">
                  <c:v>0.53614003284389866</c:v>
                </c:pt>
                <c:pt idx="126">
                  <c:v>0.53654829369005252</c:v>
                </c:pt>
                <c:pt idx="127">
                  <c:v>0.53237414999957644</c:v>
                </c:pt>
                <c:pt idx="128">
                  <c:v>0.52679810278435335</c:v>
                </c:pt>
                <c:pt idx="129">
                  <c:v>0.53023500690216141</c:v>
                </c:pt>
                <c:pt idx="130">
                  <c:v>0.53185405168447442</c:v>
                </c:pt>
                <c:pt idx="131">
                  <c:v>0.53261387629985901</c:v>
                </c:pt>
                <c:pt idx="132">
                  <c:v>0.53265655394800715</c:v>
                </c:pt>
                <c:pt idx="133">
                  <c:v>0.53588939326050722</c:v>
                </c:pt>
                <c:pt idx="134">
                  <c:v>0.53689071210692352</c:v>
                </c:pt>
                <c:pt idx="135">
                  <c:v>0.53308871222457055</c:v>
                </c:pt>
                <c:pt idx="136">
                  <c:v>0.52899630578012613</c:v>
                </c:pt>
                <c:pt idx="137">
                  <c:v>0.52950969959154048</c:v>
                </c:pt>
                <c:pt idx="138">
                  <c:v>0.52894098891586483</c:v>
                </c:pt>
                <c:pt idx="139">
                  <c:v>0.53094547556434979</c:v>
                </c:pt>
                <c:pt idx="140">
                  <c:v>0.53505641196954457</c:v>
                </c:pt>
                <c:pt idx="141">
                  <c:v>0.53804414455033067</c:v>
                </c:pt>
                <c:pt idx="142">
                  <c:v>0.53470205671497961</c:v>
                </c:pt>
                <c:pt idx="143">
                  <c:v>0.53828070701532826</c:v>
                </c:pt>
                <c:pt idx="144">
                  <c:v>0.53605215450253207</c:v>
                </c:pt>
                <c:pt idx="145">
                  <c:v>0.52918884972925262</c:v>
                </c:pt>
                <c:pt idx="146">
                  <c:v>0.53055416329529048</c:v>
                </c:pt>
                <c:pt idx="147">
                  <c:v>0.52686740340887539</c:v>
                </c:pt>
                <c:pt idx="148">
                  <c:v>0.5300028563634207</c:v>
                </c:pt>
                <c:pt idx="149">
                  <c:v>0.51961569001240027</c:v>
                </c:pt>
                <c:pt idx="150">
                  <c:v>0.51716958365608967</c:v>
                </c:pt>
                <c:pt idx="151">
                  <c:v>0.51834649231988272</c:v>
                </c:pt>
                <c:pt idx="152">
                  <c:v>0.5245273588913113</c:v>
                </c:pt>
                <c:pt idx="153">
                  <c:v>0.52553870923440749</c:v>
                </c:pt>
                <c:pt idx="154">
                  <c:v>0.51747402696684008</c:v>
                </c:pt>
                <c:pt idx="155">
                  <c:v>0.54812831278531837</c:v>
                </c:pt>
                <c:pt idx="156">
                  <c:v>0.55182821077745114</c:v>
                </c:pt>
                <c:pt idx="157">
                  <c:v>0.58459864317923615</c:v>
                </c:pt>
                <c:pt idx="158">
                  <c:v>0.5862543468874033</c:v>
                </c:pt>
                <c:pt idx="159">
                  <c:v>0.58611894895728822</c:v>
                </c:pt>
                <c:pt idx="160">
                  <c:v>0.59015894153708448</c:v>
                </c:pt>
                <c:pt idx="161">
                  <c:v>0.58279935033128594</c:v>
                </c:pt>
                <c:pt idx="162">
                  <c:v>0.5659597624811481</c:v>
                </c:pt>
                <c:pt idx="163">
                  <c:v>0.59322688433532567</c:v>
                </c:pt>
                <c:pt idx="164">
                  <c:v>0.59985777404537122</c:v>
                </c:pt>
                <c:pt idx="165">
                  <c:v>0.60675242978035071</c:v>
                </c:pt>
                <c:pt idx="166">
                  <c:v>0.60491220820301983</c:v>
                </c:pt>
                <c:pt idx="167">
                  <c:v>0.60372841045974535</c:v>
                </c:pt>
                <c:pt idx="168">
                  <c:v>0.59900214615974523</c:v>
                </c:pt>
                <c:pt idx="169">
                  <c:v>0.60197538093855651</c:v>
                </c:pt>
                <c:pt idx="170">
                  <c:v>0.60239090119214689</c:v>
                </c:pt>
                <c:pt idx="171">
                  <c:v>0.60335238591436902</c:v>
                </c:pt>
                <c:pt idx="172">
                  <c:v>0.60028942737606394</c:v>
                </c:pt>
                <c:pt idx="173">
                  <c:v>0.60225697168946679</c:v>
                </c:pt>
                <c:pt idx="174">
                  <c:v>0.60344418878399775</c:v>
                </c:pt>
                <c:pt idx="175">
                  <c:v>0.60087260828110589</c:v>
                </c:pt>
                <c:pt idx="176">
                  <c:v>0.5956224138743591</c:v>
                </c:pt>
                <c:pt idx="177">
                  <c:v>0.59330856644100227</c:v>
                </c:pt>
                <c:pt idx="178">
                  <c:v>0.59447598854579375</c:v>
                </c:pt>
                <c:pt idx="179">
                  <c:v>0.59349164626494144</c:v>
                </c:pt>
                <c:pt idx="180">
                  <c:v>0.5967213805456637</c:v>
                </c:pt>
                <c:pt idx="181">
                  <c:v>0.59628974261166379</c:v>
                </c:pt>
                <c:pt idx="182">
                  <c:v>0.59219883453276212</c:v>
                </c:pt>
                <c:pt idx="183">
                  <c:v>0.59100370166376992</c:v>
                </c:pt>
                <c:pt idx="184">
                  <c:v>0.5913706279766191</c:v>
                </c:pt>
                <c:pt idx="185">
                  <c:v>0.58799750598500466</c:v>
                </c:pt>
                <c:pt idx="186">
                  <c:v>0.59118130911518674</c:v>
                </c:pt>
                <c:pt idx="187">
                  <c:v>0.58912047239088461</c:v>
                </c:pt>
                <c:pt idx="188">
                  <c:v>0.58809339652919357</c:v>
                </c:pt>
                <c:pt idx="189">
                  <c:v>0.58594518344594182</c:v>
                </c:pt>
                <c:pt idx="190">
                  <c:v>0.58470114620863611</c:v>
                </c:pt>
                <c:pt idx="191">
                  <c:v>0.58246405358232922</c:v>
                </c:pt>
                <c:pt idx="192">
                  <c:v>0.58286901818743131</c:v>
                </c:pt>
                <c:pt idx="193">
                  <c:v>0.58412839871964339</c:v>
                </c:pt>
                <c:pt idx="194">
                  <c:v>0.58462985738823736</c:v>
                </c:pt>
                <c:pt idx="195">
                  <c:v>0.5845786820841723</c:v>
                </c:pt>
                <c:pt idx="196">
                  <c:v>0.58615585189907615</c:v>
                </c:pt>
                <c:pt idx="197">
                  <c:v>0.58722133787018382</c:v>
                </c:pt>
                <c:pt idx="198">
                  <c:v>0.58611645655177147</c:v>
                </c:pt>
                <c:pt idx="199">
                  <c:v>0.58729619057973104</c:v>
                </c:pt>
                <c:pt idx="200">
                  <c:v>0.58888957181476176</c:v>
                </c:pt>
                <c:pt idx="201">
                  <c:v>0.58870825123111192</c:v>
                </c:pt>
                <c:pt idx="202">
                  <c:v>0.58942088303845253</c:v>
                </c:pt>
                <c:pt idx="203">
                  <c:v>0.58820029932086781</c:v>
                </c:pt>
                <c:pt idx="204">
                  <c:v>0.59051887108161072</c:v>
                </c:pt>
                <c:pt idx="205">
                  <c:v>0.59174706597138538</c:v>
                </c:pt>
                <c:pt idx="206">
                  <c:v>0.58948488297336954</c:v>
                </c:pt>
                <c:pt idx="207">
                  <c:v>0.59116236570771752</c:v>
                </c:pt>
                <c:pt idx="208">
                  <c:v>0.59008257334740988</c:v>
                </c:pt>
                <c:pt idx="209">
                  <c:v>0.58765790849249033</c:v>
                </c:pt>
                <c:pt idx="210">
                  <c:v>0.58263251864951315</c:v>
                </c:pt>
                <c:pt idx="211">
                  <c:v>0.58650776170051677</c:v>
                </c:pt>
                <c:pt idx="212">
                  <c:v>0.57734103394507974</c:v>
                </c:pt>
                <c:pt idx="213">
                  <c:v>0.58453068766589866</c:v>
                </c:pt>
                <c:pt idx="214">
                  <c:v>0.58266462150169285</c:v>
                </c:pt>
                <c:pt idx="215">
                  <c:v>0.57725236328983576</c:v>
                </c:pt>
                <c:pt idx="216">
                  <c:v>0.57049006916292822</c:v>
                </c:pt>
                <c:pt idx="217">
                  <c:v>0.58012649304233432</c:v>
                </c:pt>
                <c:pt idx="218">
                  <c:v>0.5768467898086066</c:v>
                </c:pt>
                <c:pt idx="219">
                  <c:v>0.5746825249733124</c:v>
                </c:pt>
                <c:pt idx="220">
                  <c:v>0.57348669056197521</c:v>
                </c:pt>
                <c:pt idx="221">
                  <c:v>0.58465673974987697</c:v>
                </c:pt>
                <c:pt idx="222">
                  <c:v>0.57802789289353429</c:v>
                </c:pt>
                <c:pt idx="223">
                  <c:v>0.58308042075721001</c:v>
                </c:pt>
                <c:pt idx="224">
                  <c:v>0.58619748465502031</c:v>
                </c:pt>
                <c:pt idx="225">
                  <c:v>0.58890911688406256</c:v>
                </c:pt>
                <c:pt idx="226">
                  <c:v>0.59625248860820057</c:v>
                </c:pt>
                <c:pt idx="227">
                  <c:v>0.59935490146158199</c:v>
                </c:pt>
                <c:pt idx="228">
                  <c:v>0.59546337904050439</c:v>
                </c:pt>
                <c:pt idx="229">
                  <c:v>0.59118592144740401</c:v>
                </c:pt>
                <c:pt idx="230">
                  <c:v>0.59029714191708549</c:v>
                </c:pt>
                <c:pt idx="231">
                  <c:v>0.59398101328010611</c:v>
                </c:pt>
                <c:pt idx="232">
                  <c:v>0.59851699699478034</c:v>
                </c:pt>
                <c:pt idx="233">
                  <c:v>0.59019460582684136</c:v>
                </c:pt>
                <c:pt idx="234">
                  <c:v>0.58598240842720262</c:v>
                </c:pt>
                <c:pt idx="235">
                  <c:v>0.59031472634744087</c:v>
                </c:pt>
                <c:pt idx="236">
                  <c:v>0.59140245109453993</c:v>
                </c:pt>
                <c:pt idx="237">
                  <c:v>0.59373207729198685</c:v>
                </c:pt>
                <c:pt idx="238">
                  <c:v>0.59522489738443896</c:v>
                </c:pt>
                <c:pt idx="239">
                  <c:v>0.59164234180989295</c:v>
                </c:pt>
                <c:pt idx="240">
                  <c:v>0.59115986865249359</c:v>
                </c:pt>
                <c:pt idx="241">
                  <c:v>0.59101542791436501</c:v>
                </c:pt>
                <c:pt idx="242">
                  <c:v>0.5842805542426478</c:v>
                </c:pt>
                <c:pt idx="243">
                  <c:v>0.57865004142913345</c:v>
                </c:pt>
                <c:pt idx="244">
                  <c:v>0.58379356784534964</c:v>
                </c:pt>
                <c:pt idx="245">
                  <c:v>0.58770908139779321</c:v>
                </c:pt>
                <c:pt idx="246">
                  <c:v>0.58969942627107697</c:v>
                </c:pt>
                <c:pt idx="247">
                  <c:v>0.58389902889060563</c:v>
                </c:pt>
                <c:pt idx="248">
                  <c:v>0.5778406205522667</c:v>
                </c:pt>
                <c:pt idx="249">
                  <c:v>0.5654388655384428</c:v>
                </c:pt>
                <c:pt idx="250">
                  <c:v>0.56578159681499152</c:v>
                </c:pt>
                <c:pt idx="251">
                  <c:v>0.56889459372969886</c:v>
                </c:pt>
                <c:pt idx="252">
                  <c:v>0.57301550012529123</c:v>
                </c:pt>
                <c:pt idx="253">
                  <c:v>0.56199478020279947</c:v>
                </c:pt>
                <c:pt idx="254">
                  <c:v>0.56818812911107264</c:v>
                </c:pt>
                <c:pt idx="255">
                  <c:v>0.56482690821257109</c:v>
                </c:pt>
                <c:pt idx="256">
                  <c:v>0.56891145330559223</c:v>
                </c:pt>
                <c:pt idx="257">
                  <c:v>0.56953708720580531</c:v>
                </c:pt>
                <c:pt idx="258">
                  <c:v>0.57482365000398428</c:v>
                </c:pt>
                <c:pt idx="259">
                  <c:v>0.57234862187173408</c:v>
                </c:pt>
                <c:pt idx="260">
                  <c:v>0.57853120492431487</c:v>
                </c:pt>
                <c:pt idx="261">
                  <c:v>0.58797936931028005</c:v>
                </c:pt>
                <c:pt idx="262">
                  <c:v>0.58052613887765203</c:v>
                </c:pt>
                <c:pt idx="263">
                  <c:v>0.58268408466315069</c:v>
                </c:pt>
                <c:pt idx="264">
                  <c:v>0.57834596267710214</c:v>
                </c:pt>
                <c:pt idx="265">
                  <c:v>0.57378209833875882</c:v>
                </c:pt>
                <c:pt idx="266">
                  <c:v>0.57346919343782088</c:v>
                </c:pt>
                <c:pt idx="267">
                  <c:v>0.57407955018189727</c:v>
                </c:pt>
                <c:pt idx="268">
                  <c:v>0.56588994599005116</c:v>
                </c:pt>
                <c:pt idx="269">
                  <c:v>0.57447669590646788</c:v>
                </c:pt>
                <c:pt idx="270">
                  <c:v>0.56781398185595211</c:v>
                </c:pt>
                <c:pt idx="271">
                  <c:v>0.56861617018363642</c:v>
                </c:pt>
                <c:pt idx="272">
                  <c:v>0.56355235659224012</c:v>
                </c:pt>
                <c:pt idx="273">
                  <c:v>0.552923691037711</c:v>
                </c:pt>
                <c:pt idx="274">
                  <c:v>0.55046102253236506</c:v>
                </c:pt>
                <c:pt idx="275">
                  <c:v>0.5496883128126101</c:v>
                </c:pt>
                <c:pt idx="276">
                  <c:v>0.54539691507576948</c:v>
                </c:pt>
                <c:pt idx="277">
                  <c:v>0.54048467214501461</c:v>
                </c:pt>
                <c:pt idx="278">
                  <c:v>0.54018653920629978</c:v>
                </c:pt>
                <c:pt idx="279">
                  <c:v>0.54418175224761378</c:v>
                </c:pt>
                <c:pt idx="280">
                  <c:v>0.53923933463807139</c:v>
                </c:pt>
                <c:pt idx="281">
                  <c:v>0.54714494349067988</c:v>
                </c:pt>
                <c:pt idx="282">
                  <c:v>0.54925571468600343</c:v>
                </c:pt>
                <c:pt idx="283">
                  <c:v>0.54322199116199199</c:v>
                </c:pt>
                <c:pt idx="284">
                  <c:v>0.55034142635059002</c:v>
                </c:pt>
                <c:pt idx="285">
                  <c:v>0.54705834674734677</c:v>
                </c:pt>
                <c:pt idx="286">
                  <c:v>0.55473946743110047</c:v>
                </c:pt>
                <c:pt idx="287">
                  <c:v>0.55507064795957606</c:v>
                </c:pt>
                <c:pt idx="288">
                  <c:v>0.53454806778663611</c:v>
                </c:pt>
                <c:pt idx="289">
                  <c:v>0.52606735855602094</c:v>
                </c:pt>
                <c:pt idx="290">
                  <c:v>0.5220556597961119</c:v>
                </c:pt>
                <c:pt idx="291">
                  <c:v>0.52322567778044837</c:v>
                </c:pt>
                <c:pt idx="292">
                  <c:v>0.52583744666084942</c:v>
                </c:pt>
                <c:pt idx="293">
                  <c:v>0.52803753345757987</c:v>
                </c:pt>
                <c:pt idx="294">
                  <c:v>0.5313983803821446</c:v>
                </c:pt>
                <c:pt idx="295">
                  <c:v>0.52753061437955395</c:v>
                </c:pt>
                <c:pt idx="296">
                  <c:v>0.53275644345912065</c:v>
                </c:pt>
                <c:pt idx="297">
                  <c:v>0.53203111118622626</c:v>
                </c:pt>
                <c:pt idx="298">
                  <c:v>0.52679051023564383</c:v>
                </c:pt>
                <c:pt idx="299">
                  <c:v>0.52199853845947908</c:v>
                </c:pt>
                <c:pt idx="300">
                  <c:v>0.52678326485233096</c:v>
                </c:pt>
                <c:pt idx="301">
                  <c:v>0.51680900720299572</c:v>
                </c:pt>
                <c:pt idx="302">
                  <c:v>0.51438832416635105</c:v>
                </c:pt>
                <c:pt idx="303">
                  <c:v>0.50807549134697128</c:v>
                </c:pt>
                <c:pt idx="304">
                  <c:v>0.50949416996076924</c:v>
                </c:pt>
                <c:pt idx="305">
                  <c:v>0.50543828934338164</c:v>
                </c:pt>
                <c:pt idx="306">
                  <c:v>0.50548022041184404</c:v>
                </c:pt>
                <c:pt idx="307">
                  <c:v>0.50512933673376181</c:v>
                </c:pt>
                <c:pt idx="308">
                  <c:v>0.50142324000473315</c:v>
                </c:pt>
                <c:pt idx="309">
                  <c:v>0.50228356136919272</c:v>
                </c:pt>
                <c:pt idx="310">
                  <c:v>0.5093890919714632</c:v>
                </c:pt>
                <c:pt idx="311">
                  <c:v>0.51261212669089962</c:v>
                </c:pt>
                <c:pt idx="312">
                  <c:v>0.52203011657464726</c:v>
                </c:pt>
                <c:pt idx="313">
                  <c:v>0.52299302993618746</c:v>
                </c:pt>
                <c:pt idx="314">
                  <c:v>0.53505421029120515</c:v>
                </c:pt>
                <c:pt idx="315">
                  <c:v>0.52390086019890714</c:v>
                </c:pt>
                <c:pt idx="316">
                  <c:v>0.53596212248784425</c:v>
                </c:pt>
                <c:pt idx="317">
                  <c:v>0.52810754632395851</c:v>
                </c:pt>
                <c:pt idx="318">
                  <c:v>0.53108061838602427</c:v>
                </c:pt>
                <c:pt idx="319">
                  <c:v>0.53947604073722188</c:v>
                </c:pt>
                <c:pt idx="320">
                  <c:v>0.54546036388421937</c:v>
                </c:pt>
                <c:pt idx="321">
                  <c:v>0.53583470079326145</c:v>
                </c:pt>
                <c:pt idx="322">
                  <c:v>0.54943164084813068</c:v>
                </c:pt>
                <c:pt idx="323">
                  <c:v>0.55156190582736908</c:v>
                </c:pt>
                <c:pt idx="324">
                  <c:v>0.56153307732376312</c:v>
                </c:pt>
                <c:pt idx="325">
                  <c:v>0.5666378418102257</c:v>
                </c:pt>
                <c:pt idx="326">
                  <c:v>0.52598435968742951</c:v>
                </c:pt>
                <c:pt idx="327">
                  <c:v>0.52659136926023709</c:v>
                </c:pt>
                <c:pt idx="328">
                  <c:v>0.44973317017821923</c:v>
                </c:pt>
                <c:pt idx="329">
                  <c:v>0.40835515417028762</c:v>
                </c:pt>
                <c:pt idx="330">
                  <c:v>0.41086065633278257</c:v>
                </c:pt>
                <c:pt idx="331">
                  <c:v>0.38027544746943787</c:v>
                </c:pt>
                <c:pt idx="332">
                  <c:v>0.37959601941528109</c:v>
                </c:pt>
                <c:pt idx="333">
                  <c:v>0.36431436581770688</c:v>
                </c:pt>
                <c:pt idx="334">
                  <c:v>0.36025405648294034</c:v>
                </c:pt>
                <c:pt idx="335">
                  <c:v>0.36437787118536502</c:v>
                </c:pt>
                <c:pt idx="336">
                  <c:v>0.36703308989642686</c:v>
                </c:pt>
                <c:pt idx="337">
                  <c:v>0.38867932134485139</c:v>
                </c:pt>
                <c:pt idx="338">
                  <c:v>0.38631682689571906</c:v>
                </c:pt>
                <c:pt idx="339">
                  <c:v>0.39848983723733689</c:v>
                </c:pt>
                <c:pt idx="340">
                  <c:v>0.34728843352138294</c:v>
                </c:pt>
                <c:pt idx="341">
                  <c:v>0.29931500483206869</c:v>
                </c:pt>
                <c:pt idx="342">
                  <c:v>0.27250530064790424</c:v>
                </c:pt>
                <c:pt idx="343">
                  <c:v>0.31026331463343593</c:v>
                </c:pt>
                <c:pt idx="344">
                  <c:v>0.18162758531331122</c:v>
                </c:pt>
                <c:pt idx="345">
                  <c:v>0.12324037438155049</c:v>
                </c:pt>
                <c:pt idx="346">
                  <c:v>0.10151316563507327</c:v>
                </c:pt>
                <c:pt idx="347">
                  <c:v>9.3635292663644717E-2</c:v>
                </c:pt>
                <c:pt idx="348">
                  <c:v>0.10098548512864471</c:v>
                </c:pt>
                <c:pt idx="349">
                  <c:v>6.1906132337835248E-2</c:v>
                </c:pt>
                <c:pt idx="350">
                  <c:v>3.3542156317597549E-2</c:v>
                </c:pt>
                <c:pt idx="351">
                  <c:v>-4.9818269771483752E-3</c:v>
                </c:pt>
                <c:pt idx="352">
                  <c:v>-5.3170644219179474E-3</c:v>
                </c:pt>
                <c:pt idx="353">
                  <c:v>-2.5195377027656236E-2</c:v>
                </c:pt>
                <c:pt idx="354">
                  <c:v>-3.067644839223136E-2</c:v>
                </c:pt>
                <c:pt idx="355">
                  <c:v>-3.555808742229561E-2</c:v>
                </c:pt>
                <c:pt idx="356">
                  <c:v>-3.2262301667187201E-2</c:v>
                </c:pt>
                <c:pt idx="357">
                  <c:v>-4.8258692200697777E-2</c:v>
                </c:pt>
                <c:pt idx="358">
                  <c:v>-5.4026298942491544E-2</c:v>
                </c:pt>
                <c:pt idx="359">
                  <c:v>-6.1825333373741534E-2</c:v>
                </c:pt>
                <c:pt idx="360">
                  <c:v>-7.023312272643896E-2</c:v>
                </c:pt>
                <c:pt idx="361">
                  <c:v>-7.5615867474490908E-2</c:v>
                </c:pt>
                <c:pt idx="362">
                  <c:v>-7.2356139274321121E-2</c:v>
                </c:pt>
                <c:pt idx="363">
                  <c:v>-7.8751071207545362E-2</c:v>
                </c:pt>
                <c:pt idx="364">
                  <c:v>-7.3705090766224238E-2</c:v>
                </c:pt>
                <c:pt idx="365">
                  <c:v>-8.3565829751536716E-2</c:v>
                </c:pt>
                <c:pt idx="366">
                  <c:v>-7.2523125068088432E-2</c:v>
                </c:pt>
                <c:pt idx="367">
                  <c:v>-7.5685591809906611E-2</c:v>
                </c:pt>
                <c:pt idx="368">
                  <c:v>-5.2549000850836872E-2</c:v>
                </c:pt>
                <c:pt idx="369">
                  <c:v>-5.8632089600836879E-2</c:v>
                </c:pt>
                <c:pt idx="370">
                  <c:v>-6.2129999175953514E-2</c:v>
                </c:pt>
                <c:pt idx="371">
                  <c:v>-6.969478052730485E-2</c:v>
                </c:pt>
                <c:pt idx="372">
                  <c:v>-6.4741353745091157E-2</c:v>
                </c:pt>
                <c:pt idx="373">
                  <c:v>-6.8961566178613029E-2</c:v>
                </c:pt>
                <c:pt idx="374">
                  <c:v>-5.7324819009243105E-2</c:v>
                </c:pt>
                <c:pt idx="375">
                  <c:v>-5.6952506109150411E-2</c:v>
                </c:pt>
                <c:pt idx="376">
                  <c:v>-6.2296675534514505E-2</c:v>
                </c:pt>
                <c:pt idx="377">
                  <c:v>-5.7078447631396995E-2</c:v>
                </c:pt>
                <c:pt idx="378">
                  <c:v>-6.4768592599979635E-2</c:v>
                </c:pt>
                <c:pt idx="379">
                  <c:v>-7.4123540353797687E-2</c:v>
                </c:pt>
                <c:pt idx="380">
                  <c:v>-8.148541877075377E-2</c:v>
                </c:pt>
                <c:pt idx="381">
                  <c:v>-7.94449563037367E-2</c:v>
                </c:pt>
                <c:pt idx="382">
                  <c:v>-7.8661708751700504E-2</c:v>
                </c:pt>
                <c:pt idx="383">
                  <c:v>-7.685466787257321E-2</c:v>
                </c:pt>
                <c:pt idx="384">
                  <c:v>-8.217308998187231E-2</c:v>
                </c:pt>
                <c:pt idx="385">
                  <c:v>-8.6227905285778561E-2</c:v>
                </c:pt>
                <c:pt idx="386">
                  <c:v>-8.8506907709674662E-2</c:v>
                </c:pt>
                <c:pt idx="387">
                  <c:v>-9.4460173772473843E-2</c:v>
                </c:pt>
                <c:pt idx="388">
                  <c:v>-0.10885987050662767</c:v>
                </c:pt>
                <c:pt idx="389">
                  <c:v>-0.10745982499396543</c:v>
                </c:pt>
                <c:pt idx="390">
                  <c:v>-0.11582099731059073</c:v>
                </c:pt>
                <c:pt idx="391">
                  <c:v>-0.11420245093748628</c:v>
                </c:pt>
                <c:pt idx="392">
                  <c:v>-0.11519576348248628</c:v>
                </c:pt>
                <c:pt idx="393">
                  <c:v>-0.1083007631309444</c:v>
                </c:pt>
                <c:pt idx="394">
                  <c:v>-0.10890056292422053</c:v>
                </c:pt>
                <c:pt idx="395">
                  <c:v>-0.10562963287970439</c:v>
                </c:pt>
                <c:pt idx="396">
                  <c:v>-0.10483023467809707</c:v>
                </c:pt>
                <c:pt idx="397">
                  <c:v>-0.10465925085343744</c:v>
                </c:pt>
                <c:pt idx="398">
                  <c:v>-0.11547174866226098</c:v>
                </c:pt>
                <c:pt idx="399">
                  <c:v>-0.11478153514485684</c:v>
                </c:pt>
                <c:pt idx="400">
                  <c:v>-0.1318439593448569</c:v>
                </c:pt>
                <c:pt idx="401">
                  <c:v>-0.11627837044364361</c:v>
                </c:pt>
                <c:pt idx="402">
                  <c:v>-0.12408754424553524</c:v>
                </c:pt>
                <c:pt idx="403">
                  <c:v>-0.10521017595403297</c:v>
                </c:pt>
                <c:pt idx="404">
                  <c:v>-9.0864168628834341E-2</c:v>
                </c:pt>
                <c:pt idx="405">
                  <c:v>-5.9114716413180966E-2</c:v>
                </c:pt>
                <c:pt idx="406">
                  <c:v>-4.4429649646194301E-2</c:v>
                </c:pt>
                <c:pt idx="407">
                  <c:v>1.9541730856044125E-2</c:v>
                </c:pt>
                <c:pt idx="408">
                  <c:v>0.15723216118234823</c:v>
                </c:pt>
                <c:pt idx="409">
                  <c:v>-2.1339330143466836E-2</c:v>
                </c:pt>
                <c:pt idx="410">
                  <c:v>-7.7125081409869664E-2</c:v>
                </c:pt>
                <c:pt idx="411">
                  <c:v>-8.2981234340010493E-2</c:v>
                </c:pt>
                <c:pt idx="412">
                  <c:v>-8.6099222662612329E-2</c:v>
                </c:pt>
                <c:pt idx="413">
                  <c:v>-8.5018829863570788E-2</c:v>
                </c:pt>
                <c:pt idx="414">
                  <c:v>-8.01031235618858E-2</c:v>
                </c:pt>
                <c:pt idx="415">
                  <c:v>-8.4073532200811971E-2</c:v>
                </c:pt>
                <c:pt idx="416">
                  <c:v>-7.944438513422572E-2</c:v>
                </c:pt>
                <c:pt idx="417">
                  <c:v>-8.0827774874225697E-2</c:v>
                </c:pt>
                <c:pt idx="418">
                  <c:v>-7.709767108828465E-2</c:v>
                </c:pt>
                <c:pt idx="419">
                  <c:v>-8.3352684688284648E-2</c:v>
                </c:pt>
                <c:pt idx="420">
                  <c:v>-6.9346896644074132E-2</c:v>
                </c:pt>
                <c:pt idx="421">
                  <c:v>-7.6528104800245397E-2</c:v>
                </c:pt>
                <c:pt idx="422">
                  <c:v>-8.0593396848688298E-2</c:v>
                </c:pt>
                <c:pt idx="423">
                  <c:v>-7.5061212624037144E-2</c:v>
                </c:pt>
                <c:pt idx="424">
                  <c:v>-7.621245471481522E-2</c:v>
                </c:pt>
                <c:pt idx="425">
                  <c:v>-7.6716916239405367E-2</c:v>
                </c:pt>
                <c:pt idx="426">
                  <c:v>-7.8579413767312353E-2</c:v>
                </c:pt>
                <c:pt idx="427">
                  <c:v>-7.66061859527742E-2</c:v>
                </c:pt>
                <c:pt idx="428">
                  <c:v>-6.6321497398170684E-2</c:v>
                </c:pt>
                <c:pt idx="429">
                  <c:v>-6.1398512304915567E-2</c:v>
                </c:pt>
                <c:pt idx="430">
                  <c:v>-5.4923020457587395E-2</c:v>
                </c:pt>
                <c:pt idx="431">
                  <c:v>-5.3551620503741203E-2</c:v>
                </c:pt>
                <c:pt idx="432">
                  <c:v>-5.225823797295101E-2</c:v>
                </c:pt>
                <c:pt idx="433">
                  <c:v>-8.0521225249141404E-2</c:v>
                </c:pt>
                <c:pt idx="434">
                  <c:v>-8.0056687299141338E-2</c:v>
                </c:pt>
                <c:pt idx="435">
                  <c:v>-8.6604600036827017E-2</c:v>
                </c:pt>
                <c:pt idx="436">
                  <c:v>-8.9575958500319047E-2</c:v>
                </c:pt>
                <c:pt idx="437">
                  <c:v>-0.12220212874423854</c:v>
                </c:pt>
                <c:pt idx="438">
                  <c:v>-0.12712116724233738</c:v>
                </c:pt>
                <c:pt idx="439">
                  <c:v>-0.12536769675153278</c:v>
                </c:pt>
                <c:pt idx="440">
                  <c:v>-0.1228456576520212</c:v>
                </c:pt>
                <c:pt idx="441">
                  <c:v>-0.12409201849215498</c:v>
                </c:pt>
                <c:pt idx="442">
                  <c:v>-0.12064890969215498</c:v>
                </c:pt>
                <c:pt idx="443">
                  <c:v>-0.11432020169919724</c:v>
                </c:pt>
                <c:pt idx="444">
                  <c:v>-0.12242287829919724</c:v>
                </c:pt>
                <c:pt idx="445">
                  <c:v>-0.12319364588988138</c:v>
                </c:pt>
                <c:pt idx="446">
                  <c:v>-0.12455854920238138</c:v>
                </c:pt>
                <c:pt idx="447">
                  <c:v>-0.11466930529808375</c:v>
                </c:pt>
                <c:pt idx="448">
                  <c:v>-0.1229275527189445</c:v>
                </c:pt>
                <c:pt idx="449">
                  <c:v>-0.12376893124887324</c:v>
                </c:pt>
                <c:pt idx="450">
                  <c:v>-0.12249529655480211</c:v>
                </c:pt>
                <c:pt idx="451">
                  <c:v>-0.11997577581990279</c:v>
                </c:pt>
                <c:pt idx="452">
                  <c:v>-0.11767705246731019</c:v>
                </c:pt>
                <c:pt idx="453">
                  <c:v>-0.12046793175575464</c:v>
                </c:pt>
                <c:pt idx="454">
                  <c:v>-0.11705534411861179</c:v>
                </c:pt>
                <c:pt idx="455">
                  <c:v>-0.11910961070707751</c:v>
                </c:pt>
                <c:pt idx="456">
                  <c:v>-0.10853801443064247</c:v>
                </c:pt>
                <c:pt idx="457">
                  <c:v>-8.6674061877896516E-2</c:v>
                </c:pt>
                <c:pt idx="458">
                  <c:v>-8.4323904357329144E-2</c:v>
                </c:pt>
                <c:pt idx="459">
                  <c:v>-8.1682318158419059E-2</c:v>
                </c:pt>
                <c:pt idx="460">
                  <c:v>-7.9483890276651106E-2</c:v>
                </c:pt>
                <c:pt idx="461">
                  <c:v>-7.878905816935626E-2</c:v>
                </c:pt>
                <c:pt idx="462">
                  <c:v>-7.4970159049955409E-2</c:v>
                </c:pt>
                <c:pt idx="463">
                  <c:v>-7.1163636309558062E-2</c:v>
                </c:pt>
                <c:pt idx="464">
                  <c:v>-7.4187130638596693E-2</c:v>
                </c:pt>
                <c:pt idx="465">
                  <c:v>-6.2845669659292155E-2</c:v>
                </c:pt>
                <c:pt idx="466">
                  <c:v>-5.8419464157735732E-2</c:v>
                </c:pt>
                <c:pt idx="467">
                  <c:v>-5.6885059760494371E-2</c:v>
                </c:pt>
                <c:pt idx="468">
                  <c:v>-5.9369728594272177E-2</c:v>
                </c:pt>
                <c:pt idx="469">
                  <c:v>-5.2756859008323116E-2</c:v>
                </c:pt>
                <c:pt idx="470">
                  <c:v>-4.8814074169861561E-2</c:v>
                </c:pt>
                <c:pt idx="471">
                  <c:v>-4.4507652099982045E-2</c:v>
                </c:pt>
                <c:pt idx="472">
                  <c:v>-3.9170961988226949E-2</c:v>
                </c:pt>
                <c:pt idx="473">
                  <c:v>-5.6061488518118895E-2</c:v>
                </c:pt>
                <c:pt idx="474">
                  <c:v>-5.7088157095007801E-2</c:v>
                </c:pt>
                <c:pt idx="475">
                  <c:v>-5.1531057308415604E-2</c:v>
                </c:pt>
                <c:pt idx="476">
                  <c:v>-5.324569024088651E-2</c:v>
                </c:pt>
                <c:pt idx="477">
                  <c:v>-5.6085208039610313E-2</c:v>
                </c:pt>
                <c:pt idx="478">
                  <c:v>-6.7620714419765943E-2</c:v>
                </c:pt>
                <c:pt idx="479">
                  <c:v>-5.4077780725244322E-2</c:v>
                </c:pt>
                <c:pt idx="480">
                  <c:v>-5.1603033016206688E-2</c:v>
                </c:pt>
                <c:pt idx="481">
                  <c:v>-6.2905744469814937E-2</c:v>
                </c:pt>
                <c:pt idx="482">
                  <c:v>-6.3688012185098772E-2</c:v>
                </c:pt>
                <c:pt idx="483">
                  <c:v>-6.3630041550436736E-2</c:v>
                </c:pt>
                <c:pt idx="484">
                  <c:v>-6.125058089791257E-2</c:v>
                </c:pt>
                <c:pt idx="485">
                  <c:v>-6.9443917738423344E-2</c:v>
                </c:pt>
                <c:pt idx="486">
                  <c:v>-7.0917192941025581E-2</c:v>
                </c:pt>
                <c:pt idx="487">
                  <c:v>-7.2699454738889641E-2</c:v>
                </c:pt>
                <c:pt idx="488">
                  <c:v>-7.9041409754218112E-2</c:v>
                </c:pt>
                <c:pt idx="489">
                  <c:v>-7.6958643898979995E-2</c:v>
                </c:pt>
                <c:pt idx="490">
                  <c:v>-7.8815249350072045E-2</c:v>
                </c:pt>
                <c:pt idx="491">
                  <c:v>-8.413113580112945E-2</c:v>
                </c:pt>
                <c:pt idx="492">
                  <c:v>-8.085730334608357E-2</c:v>
                </c:pt>
                <c:pt idx="493">
                  <c:v>-8.2392885618868386E-2</c:v>
                </c:pt>
                <c:pt idx="494">
                  <c:v>-7.8826174450148015E-2</c:v>
                </c:pt>
                <c:pt idx="495">
                  <c:v>-7.2242179693135275E-2</c:v>
                </c:pt>
                <c:pt idx="496">
                  <c:v>-6.4370268119442062E-2</c:v>
                </c:pt>
                <c:pt idx="497">
                  <c:v>-6.1365759783958175E-2</c:v>
                </c:pt>
                <c:pt idx="498">
                  <c:v>-6.0533459822543406E-2</c:v>
                </c:pt>
                <c:pt idx="499">
                  <c:v>-6.0787069097320845E-2</c:v>
                </c:pt>
                <c:pt idx="500">
                  <c:v>-5.4106546976749416E-2</c:v>
                </c:pt>
                <c:pt idx="501">
                  <c:v>-5.6787351161776731E-2</c:v>
                </c:pt>
                <c:pt idx="502">
                  <c:v>-5.1106149161500865E-2</c:v>
                </c:pt>
                <c:pt idx="503">
                  <c:v>-5.427283590623154E-2</c:v>
                </c:pt>
                <c:pt idx="504">
                  <c:v>-5.7068597141808459E-2</c:v>
                </c:pt>
                <c:pt idx="505">
                  <c:v>-5.0140949996602971E-2</c:v>
                </c:pt>
                <c:pt idx="506">
                  <c:v>-5.5394650662181966E-2</c:v>
                </c:pt>
                <c:pt idx="507">
                  <c:v>-5.2346238719405754E-2</c:v>
                </c:pt>
                <c:pt idx="508">
                  <c:v>-5.2804972333552462E-2</c:v>
                </c:pt>
                <c:pt idx="509">
                  <c:v>-6.2106696692393534E-2</c:v>
                </c:pt>
                <c:pt idx="510">
                  <c:v>-4.7579627501036122E-2</c:v>
                </c:pt>
                <c:pt idx="511">
                  <c:v>-4.5393437527970051E-2</c:v>
                </c:pt>
                <c:pt idx="512">
                  <c:v>-3.9453454909129465E-2</c:v>
                </c:pt>
                <c:pt idx="513">
                  <c:v>-3.5914329323617884E-2</c:v>
                </c:pt>
                <c:pt idx="514">
                  <c:v>-2.6372948901739642E-2</c:v>
                </c:pt>
                <c:pt idx="515">
                  <c:v>-1.8181790482600872E-2</c:v>
                </c:pt>
                <c:pt idx="516">
                  <c:v>-1.5651742200813151E-2</c:v>
                </c:pt>
                <c:pt idx="517">
                  <c:v>-4.6050209115677228E-3</c:v>
                </c:pt>
                <c:pt idx="518">
                  <c:v>-2.2918209664265353E-2</c:v>
                </c:pt>
                <c:pt idx="519">
                  <c:v>-1.4271032543445455E-2</c:v>
                </c:pt>
                <c:pt idx="520">
                  <c:v>-2.0145537076470547E-2</c:v>
                </c:pt>
                <c:pt idx="521">
                  <c:v>-1.5480132165549044E-2</c:v>
                </c:pt>
                <c:pt idx="522">
                  <c:v>-1.1235155253135948E-2</c:v>
                </c:pt>
                <c:pt idx="523">
                  <c:v>-6.93045875519477E-3</c:v>
                </c:pt>
                <c:pt idx="524">
                  <c:v>-9.5998889051456988E-3</c:v>
                </c:pt>
                <c:pt idx="525">
                  <c:v>8.4724905239847489E-3</c:v>
                </c:pt>
                <c:pt idx="526">
                  <c:v>-1.5418819894017163E-2</c:v>
                </c:pt>
                <c:pt idx="527">
                  <c:v>-6.3179571226909962E-3</c:v>
                </c:pt>
                <c:pt idx="528">
                  <c:v>-5.8614622034102778E-3</c:v>
                </c:pt>
                <c:pt idx="529">
                  <c:v>2.0433154961343424E-3</c:v>
                </c:pt>
                <c:pt idx="530">
                  <c:v>-7.1434487214701563E-3</c:v>
                </c:pt>
                <c:pt idx="531">
                  <c:v>4.287626923757103E-3</c:v>
                </c:pt>
                <c:pt idx="532">
                  <c:v>8.0160658541368369E-3</c:v>
                </c:pt>
                <c:pt idx="533">
                  <c:v>2.8623121244474109E-2</c:v>
                </c:pt>
                <c:pt idx="534">
                  <c:v>1.7828430044474104E-2</c:v>
                </c:pt>
                <c:pt idx="535">
                  <c:v>2.5217029185278402E-2</c:v>
                </c:pt>
                <c:pt idx="536">
                  <c:v>3.4218189084478406E-2</c:v>
                </c:pt>
                <c:pt idx="537">
                  <c:v>3.8888612108852916E-2</c:v>
                </c:pt>
                <c:pt idx="538">
                  <c:v>3.5558179565609666E-2</c:v>
                </c:pt>
                <c:pt idx="539">
                  <c:v>3.4786977718429472E-2</c:v>
                </c:pt>
                <c:pt idx="540">
                  <c:v>4.6152084711595265E-2</c:v>
                </c:pt>
                <c:pt idx="541">
                  <c:v>2.5483309903402692E-2</c:v>
                </c:pt>
                <c:pt idx="542">
                  <c:v>2.3217040709562122E-2</c:v>
                </c:pt>
                <c:pt idx="543">
                  <c:v>2.7426147277643493E-2</c:v>
                </c:pt>
                <c:pt idx="544">
                  <c:v>2.8186794955289866E-2</c:v>
                </c:pt>
                <c:pt idx="545">
                  <c:v>1.2917612091232942E-2</c:v>
                </c:pt>
                <c:pt idx="546">
                  <c:v>3.3691159883869067E-2</c:v>
                </c:pt>
                <c:pt idx="547">
                  <c:v>2.2839729525722358E-2</c:v>
                </c:pt>
                <c:pt idx="548">
                  <c:v>3.0129839018573842E-2</c:v>
                </c:pt>
                <c:pt idx="549">
                  <c:v>2.6036290439843689E-2</c:v>
                </c:pt>
                <c:pt idx="550">
                  <c:v>3.0602950223336978E-2</c:v>
                </c:pt>
                <c:pt idx="551">
                  <c:v>3.3905644530196628E-2</c:v>
                </c:pt>
                <c:pt idx="552">
                  <c:v>3.039617953563141E-2</c:v>
                </c:pt>
                <c:pt idx="553">
                  <c:v>4.7136674749917125E-2</c:v>
                </c:pt>
                <c:pt idx="554">
                  <c:v>5.124951364991711E-2</c:v>
                </c:pt>
                <c:pt idx="555">
                  <c:v>5.0206861024421748E-2</c:v>
                </c:pt>
                <c:pt idx="556">
                  <c:v>5.4537058299530913E-2</c:v>
                </c:pt>
                <c:pt idx="557">
                  <c:v>6.3651474690982715E-2</c:v>
                </c:pt>
                <c:pt idx="558">
                  <c:v>6.6160583886259713E-2</c:v>
                </c:pt>
                <c:pt idx="559">
                  <c:v>5.5918125940368678E-2</c:v>
                </c:pt>
                <c:pt idx="560">
                  <c:v>6.3142531390005474E-2</c:v>
                </c:pt>
                <c:pt idx="561">
                  <c:v>5.9438865695148745E-2</c:v>
                </c:pt>
                <c:pt idx="562">
                  <c:v>6.4968149517635951E-2</c:v>
                </c:pt>
                <c:pt idx="563">
                  <c:v>6.0363034109572708E-2</c:v>
                </c:pt>
                <c:pt idx="564">
                  <c:v>6.7140533865913302E-2</c:v>
                </c:pt>
                <c:pt idx="565">
                  <c:v>6.5373342220630279E-2</c:v>
                </c:pt>
                <c:pt idx="566">
                  <c:v>6.7466552117495471E-2</c:v>
                </c:pt>
                <c:pt idx="567">
                  <c:v>6.4771487102241246E-2</c:v>
                </c:pt>
                <c:pt idx="568">
                  <c:v>6.1885443784835105E-2</c:v>
                </c:pt>
                <c:pt idx="569">
                  <c:v>6.1509740103169688E-2</c:v>
                </c:pt>
                <c:pt idx="570">
                  <c:v>4.903703877013163E-2</c:v>
                </c:pt>
                <c:pt idx="571">
                  <c:v>3.7324853569797208E-2</c:v>
                </c:pt>
                <c:pt idx="572">
                  <c:v>4.2410322597353056E-2</c:v>
                </c:pt>
                <c:pt idx="573">
                  <c:v>2.760912569585006E-2</c:v>
                </c:pt>
                <c:pt idx="574">
                  <c:v>8.9450679201068528E-3</c:v>
                </c:pt>
                <c:pt idx="575">
                  <c:v>5.2523901541183093E-3</c:v>
                </c:pt>
                <c:pt idx="576">
                  <c:v>-1.2252179295148892E-2</c:v>
                </c:pt>
                <c:pt idx="577">
                  <c:v>-1.0325159098212352E-2</c:v>
                </c:pt>
                <c:pt idx="578">
                  <c:v>-2.4105881847799136E-2</c:v>
                </c:pt>
                <c:pt idx="579">
                  <c:v>-3.1892738374857947E-2</c:v>
                </c:pt>
                <c:pt idx="580">
                  <c:v>-2.3121511858115458E-2</c:v>
                </c:pt>
                <c:pt idx="581">
                  <c:v>-1.0557735171271738E-2</c:v>
                </c:pt>
                <c:pt idx="582">
                  <c:v>-1.5572644101906335E-3</c:v>
                </c:pt>
                <c:pt idx="583">
                  <c:v>-1.6588020758692566E-2</c:v>
                </c:pt>
                <c:pt idx="584">
                  <c:v>-3.9735610565208183E-2</c:v>
                </c:pt>
                <c:pt idx="585">
                  <c:v>-4.75477911867941E-2</c:v>
                </c:pt>
                <c:pt idx="586">
                  <c:v>-4.1084063690482647E-2</c:v>
                </c:pt>
                <c:pt idx="587">
                  <c:v>-4.9933352565482654E-2</c:v>
                </c:pt>
                <c:pt idx="588">
                  <c:v>-5.3832018279671857E-2</c:v>
                </c:pt>
                <c:pt idx="589">
                  <c:v>-4.2877044509974885E-2</c:v>
                </c:pt>
                <c:pt idx="590">
                  <c:v>-3.8645375272948222E-2</c:v>
                </c:pt>
                <c:pt idx="591">
                  <c:v>-4.7501748318699841E-2</c:v>
                </c:pt>
                <c:pt idx="592">
                  <c:v>-5.818435596053366E-2</c:v>
                </c:pt>
                <c:pt idx="593">
                  <c:v>-4.1677429159028279E-2</c:v>
                </c:pt>
                <c:pt idx="594">
                  <c:v>-4.1722451886470169E-2</c:v>
                </c:pt>
                <c:pt idx="595">
                  <c:v>-6.0709645349044265E-2</c:v>
                </c:pt>
                <c:pt idx="596">
                  <c:v>-4.7929617844317346E-2</c:v>
                </c:pt>
                <c:pt idx="597">
                  <c:v>-6.5225248166670288E-2</c:v>
                </c:pt>
                <c:pt idx="598">
                  <c:v>-6.7471387284227566E-2</c:v>
                </c:pt>
                <c:pt idx="599">
                  <c:v>-4.8283207531225884E-2</c:v>
                </c:pt>
                <c:pt idx="600">
                  <c:v>-6.8642793900928312E-2</c:v>
                </c:pt>
                <c:pt idx="601">
                  <c:v>-7.0361499869718097E-2</c:v>
                </c:pt>
                <c:pt idx="602">
                  <c:v>-6.830386907231549E-2</c:v>
                </c:pt>
                <c:pt idx="603">
                  <c:v>-6.4036502701073639E-2</c:v>
                </c:pt>
                <c:pt idx="604">
                  <c:v>-6.7791119179100551E-2</c:v>
                </c:pt>
                <c:pt idx="605">
                  <c:v>-7.8197256549370806E-2</c:v>
                </c:pt>
                <c:pt idx="606">
                  <c:v>-6.774383784758238E-2</c:v>
                </c:pt>
                <c:pt idx="607">
                  <c:v>-7.3779499268635015E-2</c:v>
                </c:pt>
                <c:pt idx="608">
                  <c:v>-5.6605391780446032E-2</c:v>
                </c:pt>
                <c:pt idx="609">
                  <c:v>-6.4518795193233653E-3</c:v>
                </c:pt>
                <c:pt idx="610">
                  <c:v>8.5284206390661386E-3</c:v>
                </c:pt>
                <c:pt idx="611">
                  <c:v>-6.0001115409826162E-4</c:v>
                </c:pt>
                <c:pt idx="612">
                  <c:v>6.4010387752040437E-3</c:v>
                </c:pt>
                <c:pt idx="613">
                  <c:v>-2.2311897564886323E-3</c:v>
                </c:pt>
                <c:pt idx="614">
                  <c:v>2.5025093675927857E-2</c:v>
                </c:pt>
                <c:pt idx="615">
                  <c:v>5.3472967529030494E-3</c:v>
                </c:pt>
                <c:pt idx="616">
                  <c:v>1.2689210280854068E-4</c:v>
                </c:pt>
                <c:pt idx="617">
                  <c:v>1.2689210280853209E-4</c:v>
                </c:pt>
                <c:pt idx="618">
                  <c:v>6.6679820849362128E-3</c:v>
                </c:pt>
                <c:pt idx="619">
                  <c:v>1.5392867560545961E-2</c:v>
                </c:pt>
                <c:pt idx="620">
                  <c:v>1.8320987192763521E-2</c:v>
                </c:pt>
                <c:pt idx="621">
                  <c:v>-4.5736736910834373E-3</c:v>
                </c:pt>
                <c:pt idx="622">
                  <c:v>-6.0856180410834354E-3</c:v>
                </c:pt>
                <c:pt idx="623">
                  <c:v>-4.6378291434456421E-3</c:v>
                </c:pt>
                <c:pt idx="624">
                  <c:v>-6.082080515994656E-3</c:v>
                </c:pt>
                <c:pt idx="625">
                  <c:v>-6.6540936944756712E-3</c:v>
                </c:pt>
                <c:pt idx="626">
                  <c:v>-6.6932457306458863E-3</c:v>
                </c:pt>
                <c:pt idx="627">
                  <c:v>-7.2769953283859995E-3</c:v>
                </c:pt>
                <c:pt idx="628">
                  <c:v>-6.9195716928647667E-3</c:v>
                </c:pt>
                <c:pt idx="629">
                  <c:v>-6.5588352493353552E-3</c:v>
                </c:pt>
                <c:pt idx="630">
                  <c:v>-7.2537249307512847E-3</c:v>
                </c:pt>
                <c:pt idx="631">
                  <c:v>-8.427969041562091E-3</c:v>
                </c:pt>
                <c:pt idx="632">
                  <c:v>-7.4776449415620916E-3</c:v>
                </c:pt>
                <c:pt idx="633">
                  <c:v>-7.7057960392091524E-3</c:v>
                </c:pt>
                <c:pt idx="634">
                  <c:v>-8.1509450745032731E-3</c:v>
                </c:pt>
                <c:pt idx="635">
                  <c:v>-6.0753079070476517E-3</c:v>
                </c:pt>
                <c:pt idx="636">
                  <c:v>-6.3600691129299895E-3</c:v>
                </c:pt>
                <c:pt idx="637">
                  <c:v>-6.5651901790014181E-3</c:v>
                </c:pt>
                <c:pt idx="638">
                  <c:v>-4.6689564449663278E-3</c:v>
                </c:pt>
                <c:pt idx="639">
                  <c:v>-6.2450402567310334E-3</c:v>
                </c:pt>
                <c:pt idx="640">
                  <c:v>-7.9936130514212892E-3</c:v>
                </c:pt>
                <c:pt idx="641">
                  <c:v>-6.9812259918468336E-3</c:v>
                </c:pt>
                <c:pt idx="642">
                  <c:v>-3.2312824846468312E-3</c:v>
                </c:pt>
                <c:pt idx="643">
                  <c:v>-4.0806853156813141E-3</c:v>
                </c:pt>
                <c:pt idx="644">
                  <c:v>2.9939442478916899E-5</c:v>
                </c:pt>
                <c:pt idx="645">
                  <c:v>-6.7620800675185133E-4</c:v>
                </c:pt>
                <c:pt idx="646">
                  <c:v>-1.2284695067518515E-3</c:v>
                </c:pt>
                <c:pt idx="647">
                  <c:v>-1.4126379158427588E-3</c:v>
                </c:pt>
                <c:pt idx="648">
                  <c:v>-1.0270992074090232E-3</c:v>
                </c:pt>
                <c:pt idx="649">
                  <c:v>-8.7072197439931273E-4</c:v>
                </c:pt>
                <c:pt idx="650">
                  <c:v>-2.1721919743993125E-3</c:v>
                </c:pt>
                <c:pt idx="651">
                  <c:v>-1.8258372657036556E-3</c:v>
                </c:pt>
                <c:pt idx="652">
                  <c:v>-2.0519030413134113E-3</c:v>
                </c:pt>
                <c:pt idx="653">
                  <c:v>-1.382755217102883E-3</c:v>
                </c:pt>
                <c:pt idx="654">
                  <c:v>-1.469392735051602E-3</c:v>
                </c:pt>
                <c:pt idx="655">
                  <c:v>-1.958711801438156E-3</c:v>
                </c:pt>
                <c:pt idx="656">
                  <c:v>-1.5971334386474562E-3</c:v>
                </c:pt>
                <c:pt idx="657">
                  <c:v>-1.452155848403555E-3</c:v>
                </c:pt>
                <c:pt idx="658">
                  <c:v>-1.3057391270920793E-3</c:v>
                </c:pt>
                <c:pt idx="659">
                  <c:v>-1.5299923543648072E-3</c:v>
                </c:pt>
                <c:pt idx="660">
                  <c:v>-1.9498220301889828E-3</c:v>
                </c:pt>
                <c:pt idx="661">
                  <c:v>-1.7232650676889821E-3</c:v>
                </c:pt>
                <c:pt idx="662">
                  <c:v>-1.2100466171939283E-3</c:v>
                </c:pt>
                <c:pt idx="663">
                  <c:v>-1.1782322492693985E-3</c:v>
                </c:pt>
                <c:pt idx="664">
                  <c:v>-1.4549993808483461E-3</c:v>
                </c:pt>
                <c:pt idx="665">
                  <c:v>2.1746744943512206E-5</c:v>
                </c:pt>
                <c:pt idx="666">
                  <c:v>2.3711975988604083E-4</c:v>
                </c:pt>
                <c:pt idx="667">
                  <c:v>-6.3373414589908291E-4</c:v>
                </c:pt>
                <c:pt idx="668">
                  <c:v>-6.9405816732765336E-4</c:v>
                </c:pt>
                <c:pt idx="669">
                  <c:v>-1.0748612232100057E-3</c:v>
                </c:pt>
                <c:pt idx="670">
                  <c:v>-6.0446839921000461E-4</c:v>
                </c:pt>
                <c:pt idx="671">
                  <c:v>-1.3476153621729704E-3</c:v>
                </c:pt>
                <c:pt idx="672">
                  <c:v>-1.6055105417297133E-4</c:v>
                </c:pt>
                <c:pt idx="673">
                  <c:v>-1.2943363818325448E-3</c:v>
                </c:pt>
                <c:pt idx="674">
                  <c:v>-1.1804548580563207E-3</c:v>
                </c:pt>
                <c:pt idx="675">
                  <c:v>-1.6979756151032999E-3</c:v>
                </c:pt>
                <c:pt idx="676">
                  <c:v>-2.6702663065318729E-3</c:v>
                </c:pt>
                <c:pt idx="677">
                  <c:v>-1.159104806531873E-3</c:v>
                </c:pt>
                <c:pt idx="678">
                  <c:v>-1.6737743047567242E-3</c:v>
                </c:pt>
                <c:pt idx="679">
                  <c:v>-8.2502020823162713E-4</c:v>
                </c:pt>
                <c:pt idx="680">
                  <c:v>-2.1758809294154286E-3</c:v>
                </c:pt>
                <c:pt idx="681">
                  <c:v>-3.1668619783205365E-3</c:v>
                </c:pt>
                <c:pt idx="682">
                  <c:v>-2.4177454586125089E-3</c:v>
                </c:pt>
                <c:pt idx="683">
                  <c:v>-2.2579465586125089E-3</c:v>
                </c:pt>
                <c:pt idx="684">
                  <c:v>-1.8902946344745799E-3</c:v>
                </c:pt>
                <c:pt idx="685">
                  <c:v>-1.653214849399953E-3</c:v>
                </c:pt>
                <c:pt idx="686">
                  <c:v>-4.135684749741248E-3</c:v>
                </c:pt>
                <c:pt idx="687">
                  <c:v>-1.6770969857482214E-3</c:v>
                </c:pt>
                <c:pt idx="688">
                  <c:v>-1.9594167079704443E-3</c:v>
                </c:pt>
                <c:pt idx="689">
                  <c:v>-2.0312548626579439E-3</c:v>
                </c:pt>
                <c:pt idx="690">
                  <c:v>-2.0007724797750613E-3</c:v>
                </c:pt>
                <c:pt idx="691">
                  <c:v>-6.7724189692428189E-4</c:v>
                </c:pt>
                <c:pt idx="692">
                  <c:v>1.2890214566110821E-3</c:v>
                </c:pt>
                <c:pt idx="693">
                  <c:v>3.4598669139369073E-4</c:v>
                </c:pt>
                <c:pt idx="694">
                  <c:v>-7.0288143322169618E-4</c:v>
                </c:pt>
                <c:pt idx="695">
                  <c:v>-5.8647241386685842E-4</c:v>
                </c:pt>
                <c:pt idx="696">
                  <c:v>-5.4031806866137923E-4</c:v>
                </c:pt>
                <c:pt idx="697">
                  <c:v>-8.71444033276765E-4</c:v>
                </c:pt>
                <c:pt idx="698">
                  <c:v>-8.1373477327676433E-4</c:v>
                </c:pt>
                <c:pt idx="699">
                  <c:v>-2.4821373276764362E-5</c:v>
                </c:pt>
                <c:pt idx="700">
                  <c:v>-1.4289505328044652E-5</c:v>
                </c:pt>
                <c:pt idx="701">
                  <c:v>-2.5579648945502992E-4</c:v>
                </c:pt>
                <c:pt idx="702">
                  <c:v>1.3876860898551503E-4</c:v>
                </c:pt>
                <c:pt idx="703">
                  <c:v>3.7708617808850526E-4</c:v>
                </c:pt>
                <c:pt idx="704">
                  <c:v>4.2603784873696904E-4</c:v>
                </c:pt>
                <c:pt idx="705">
                  <c:v>1.6271031373696964E-4</c:v>
                </c:pt>
                <c:pt idx="706">
                  <c:v>2.1326875427750893E-4</c:v>
                </c:pt>
                <c:pt idx="707">
                  <c:v>5.6621131729120595E-4</c:v>
                </c:pt>
                <c:pt idx="708">
                  <c:v>1.9010042879563101E-4</c:v>
                </c:pt>
                <c:pt idx="709">
                  <c:v>1.2324356619360069E-3</c:v>
                </c:pt>
                <c:pt idx="710">
                  <c:v>1.0031993001896433E-3</c:v>
                </c:pt>
                <c:pt idx="711">
                  <c:v>2.8525592108516603E-4</c:v>
                </c:pt>
                <c:pt idx="712">
                  <c:v>-2.7746513010467171E-5</c:v>
                </c:pt>
                <c:pt idx="713">
                  <c:v>1.9242200023741475E-3</c:v>
                </c:pt>
                <c:pt idx="714">
                  <c:v>1.6260908959102663E-3</c:v>
                </c:pt>
                <c:pt idx="715">
                  <c:v>8.2900617071942262E-4</c:v>
                </c:pt>
                <c:pt idx="716">
                  <c:v>3.221466501776611E-4</c:v>
                </c:pt>
                <c:pt idx="717">
                  <c:v>3.175076835947795E-5</c:v>
                </c:pt>
                <c:pt idx="718">
                  <c:v>-8.8339677278884631E-4</c:v>
                </c:pt>
                <c:pt idx="719">
                  <c:v>-9.7469179631825794E-4</c:v>
                </c:pt>
                <c:pt idx="720">
                  <c:v>-4.2182233925092733E-5</c:v>
                </c:pt>
                <c:pt idx="721">
                  <c:v>-2.1731266677833616E-3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10-42DB-A503-80864D388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0927743"/>
        <c:axId val="1970927327"/>
      </c:lineChart>
      <c:dateAx>
        <c:axId val="19709277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27327"/>
        <c:crosses val="autoZero"/>
        <c:auto val="1"/>
        <c:lblOffset val="100"/>
        <c:baseTimeUnit val="days"/>
      </c:dateAx>
      <c:valAx>
        <c:axId val="197092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2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5E0BB1D-AFF3-4A4D-BD96-26228D1492A8}">
  <sheetPr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8523" cy="609383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50D2BD-4410-4FEF-9B87-40326D492A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9.3689</v>
      </c>
      <c r="D2" s="4">
        <f>MIN(D3:D1912)</f>
        <v>0.113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2.3199999999999998</v>
      </c>
      <c r="C5">
        <v>2.3450000000000002</v>
      </c>
      <c r="D5">
        <v>2.278</v>
      </c>
      <c r="E5">
        <v>2.2799999999999998</v>
      </c>
      <c r="F5">
        <v>3623.2</v>
      </c>
      <c r="G5">
        <v>2.2799999999999998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-0.94029850746269328</v>
      </c>
      <c r="Q5">
        <f t="shared" ref="Q5" si="1">F5*P5</f>
        <v>-3406.8895522388302</v>
      </c>
      <c r="R5">
        <f t="shared" ref="R5" si="2">R6+Q5</f>
        <v>52668252.362330399</v>
      </c>
      <c r="S5">
        <f t="shared" ref="S5" si="3">R5/100000</f>
        <v>526.68252362330395</v>
      </c>
      <c r="T5">
        <f t="shared" ref="T5" si="4">S5/1000</f>
        <v>0.52668252362330392</v>
      </c>
    </row>
    <row r="6" spans="1:20" x14ac:dyDescent="0.25">
      <c r="A6" s="5">
        <v>44587</v>
      </c>
      <c r="B6">
        <v>2.323</v>
      </c>
      <c r="C6">
        <v>2.52</v>
      </c>
      <c r="D6">
        <v>2.27</v>
      </c>
      <c r="E6">
        <v>2.3199999999999998</v>
      </c>
      <c r="F6">
        <v>113771.5</v>
      </c>
      <c r="G6">
        <v>2.3199999999999998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-0.60000000000000142</v>
      </c>
      <c r="Q6">
        <f t="shared" ref="Q6" si="6">F6*P6</f>
        <v>-68262.900000000169</v>
      </c>
      <c r="R6">
        <f t="shared" ref="R6" si="7">R7+Q6</f>
        <v>52671659.251882635</v>
      </c>
      <c r="S6">
        <f t="shared" ref="S6" si="8">R6/100000</f>
        <v>526.71659251882636</v>
      </c>
      <c r="T6">
        <f t="shared" ref="T6" si="9">S6/1000</f>
        <v>0.52671659251882641</v>
      </c>
    </row>
    <row r="7" spans="1:20" x14ac:dyDescent="0.25">
      <c r="A7" s="5">
        <v>44586</v>
      </c>
      <c r="B7">
        <v>2.3340000000000001</v>
      </c>
      <c r="C7">
        <v>2.3679999999999999</v>
      </c>
      <c r="D7">
        <v>2.2320000000000002</v>
      </c>
      <c r="E7">
        <v>2.3220000000000001</v>
      </c>
      <c r="F7">
        <v>229469.7</v>
      </c>
      <c r="G7">
        <v>2.3220000000000001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0.32352941176470695</v>
      </c>
      <c r="Q7">
        <f t="shared" ref="Q7" si="11">F7*P7</f>
        <v>74240.197058823775</v>
      </c>
      <c r="R7">
        <f t="shared" ref="R7" si="12">R8+Q7</f>
        <v>52739922.151882634</v>
      </c>
      <c r="S7">
        <f t="shared" ref="S7" si="13">R7/100000</f>
        <v>527.39922151882638</v>
      </c>
      <c r="T7">
        <f t="shared" ref="T7" si="14">S7/1000</f>
        <v>0.52739922151882634</v>
      </c>
    </row>
    <row r="8" spans="1:20" x14ac:dyDescent="0.25">
      <c r="A8" s="5">
        <v>44585</v>
      </c>
      <c r="B8">
        <v>2.4079999999999999</v>
      </c>
      <c r="C8">
        <v>2.4079999999999999</v>
      </c>
      <c r="D8">
        <v>2.0870000000000002</v>
      </c>
      <c r="E8">
        <v>2.327</v>
      </c>
      <c r="F8">
        <v>447676.1</v>
      </c>
      <c r="G8">
        <v>2.327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0.49532710280373815</v>
      </c>
      <c r="Q8">
        <f t="shared" ref="Q8" si="16">F8*P8</f>
        <v>221746.10560747655</v>
      </c>
      <c r="R8">
        <f t="shared" ref="R8" si="17">R9+Q8</f>
        <v>52665681.954823807</v>
      </c>
      <c r="S8">
        <f t="shared" ref="S8" si="18">R8/100000</f>
        <v>526.6568195482381</v>
      </c>
      <c r="T8">
        <f t="shared" ref="T8" si="19">S8/1000</f>
        <v>0.52665681954823806</v>
      </c>
    </row>
    <row r="9" spans="1:20" x14ac:dyDescent="0.25">
      <c r="A9" s="5">
        <v>44584</v>
      </c>
      <c r="B9">
        <v>2.3220000000000001</v>
      </c>
      <c r="C9">
        <v>2.4279999999999999</v>
      </c>
      <c r="D9">
        <v>2.274</v>
      </c>
      <c r="E9">
        <v>2.4089999999999998</v>
      </c>
      <c r="F9">
        <v>201313</v>
      </c>
      <c r="G9">
        <v>2.4089999999999998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0.7532467532467515</v>
      </c>
      <c r="Q9">
        <f t="shared" ref="Q9" si="21">F9*P9</f>
        <v>151638.3636363633</v>
      </c>
      <c r="R9">
        <f t="shared" ref="R9" si="22">R10+Q9</f>
        <v>52443935.849216327</v>
      </c>
      <c r="S9">
        <f t="shared" ref="S9" si="23">R9/100000</f>
        <v>524.43935849216325</v>
      </c>
      <c r="T9">
        <f t="shared" ref="T9" si="24">S9/1000</f>
        <v>0.52443935849216328</v>
      </c>
    </row>
    <row r="10" spans="1:20" x14ac:dyDescent="0.25">
      <c r="A10" s="5">
        <v>44583</v>
      </c>
      <c r="B10">
        <v>2.4689999999999999</v>
      </c>
      <c r="C10">
        <v>2.5070000000000001</v>
      </c>
      <c r="D10">
        <v>2.181</v>
      </c>
      <c r="E10">
        <v>2.3359999999999999</v>
      </c>
      <c r="F10">
        <v>1017572.5</v>
      </c>
      <c r="G10">
        <v>2.3359999999999999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-4.907975460122839E-2</v>
      </c>
      <c r="Q10">
        <f t="shared" ref="Q10" si="26">F10*P10</f>
        <v>-49942.208588958478</v>
      </c>
      <c r="R10">
        <f t="shared" ref="R10" si="27">R11+Q10</f>
        <v>52292297.48557996</v>
      </c>
      <c r="S10">
        <f t="shared" ref="S10" si="28">R10/100000</f>
        <v>522.92297485579957</v>
      </c>
      <c r="T10">
        <f t="shared" ref="T10" si="29">S10/1000</f>
        <v>0.52292297485579953</v>
      </c>
    </row>
    <row r="11" spans="1:20" x14ac:dyDescent="0.25">
      <c r="A11" s="5">
        <v>44582</v>
      </c>
      <c r="B11">
        <v>2.7970000000000002</v>
      </c>
      <c r="C11">
        <v>2.851</v>
      </c>
      <c r="D11">
        <v>2.4060000000000001</v>
      </c>
      <c r="E11">
        <v>2.4609999999999999</v>
      </c>
      <c r="F11">
        <v>915047.5</v>
      </c>
      <c r="G11">
        <v>2.4609999999999999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-0.75280898876404612</v>
      </c>
      <c r="Q11">
        <f t="shared" ref="Q11" si="31">F11*P11</f>
        <v>-688855.98314606852</v>
      </c>
      <c r="R11">
        <f t="shared" ref="R11" si="32">R12+Q11</f>
        <v>52342239.694168918</v>
      </c>
      <c r="S11">
        <f t="shared" ref="S11" si="33">R11/100000</f>
        <v>523.42239694168916</v>
      </c>
      <c r="T11">
        <f t="shared" ref="T11" si="34">S11/1000</f>
        <v>0.52342239694168913</v>
      </c>
    </row>
    <row r="12" spans="1:20" x14ac:dyDescent="0.25">
      <c r="A12" s="5">
        <v>44581</v>
      </c>
      <c r="B12">
        <v>2.9129999999999998</v>
      </c>
      <c r="C12">
        <v>3.0659999999999998</v>
      </c>
      <c r="D12">
        <v>2.774</v>
      </c>
      <c r="E12">
        <v>2.798</v>
      </c>
      <c r="F12">
        <v>151464.4</v>
      </c>
      <c r="G12">
        <v>2.798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-0.83561643835616417</v>
      </c>
      <c r="Q12">
        <f t="shared" ref="Q12" si="36">F12*P12</f>
        <v>-126566.14246575339</v>
      </c>
      <c r="R12">
        <f t="shared" ref="R12" si="37">R13+Q12</f>
        <v>53031095.677314989</v>
      </c>
      <c r="S12">
        <f t="shared" ref="S12" si="38">R12/100000</f>
        <v>530.31095677314988</v>
      </c>
      <c r="T12">
        <f t="shared" ref="T12" si="39">S12/1000</f>
        <v>0.53031095677314988</v>
      </c>
    </row>
    <row r="13" spans="1:20" x14ac:dyDescent="0.25">
      <c r="A13" s="5">
        <v>44580</v>
      </c>
      <c r="B13">
        <v>3.0110000000000001</v>
      </c>
      <c r="C13">
        <v>3.0259999999999998</v>
      </c>
      <c r="D13">
        <v>2.875</v>
      </c>
      <c r="E13">
        <v>2.91</v>
      </c>
      <c r="F13">
        <v>119371.3</v>
      </c>
      <c r="G13">
        <v>2.91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-0.53642384105960017</v>
      </c>
      <c r="Q13">
        <f t="shared" ref="Q13" si="41">F13*P13</f>
        <v>-64033.611258277851</v>
      </c>
      <c r="R13">
        <f t="shared" ref="R13" si="42">R14+Q13</f>
        <v>53157661.819780745</v>
      </c>
      <c r="S13">
        <f t="shared" ref="S13" si="43">R13/100000</f>
        <v>531.57661819780742</v>
      </c>
      <c r="T13">
        <f t="shared" ref="T13" si="44">S13/1000</f>
        <v>0.53157661819780744</v>
      </c>
    </row>
    <row r="14" spans="1:20" x14ac:dyDescent="0.25">
      <c r="A14" s="5">
        <v>44579</v>
      </c>
      <c r="B14">
        <v>3.0659999999999998</v>
      </c>
      <c r="C14">
        <v>3.1</v>
      </c>
      <c r="D14">
        <v>2.9340000000000002</v>
      </c>
      <c r="E14">
        <v>3.0089999999999999</v>
      </c>
      <c r="F14">
        <v>161461.29999999999</v>
      </c>
      <c r="G14">
        <v>3.0089999999999999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-9.6385542168677507E-2</v>
      </c>
      <c r="Q14">
        <f t="shared" ref="Q14" si="46">F14*P14</f>
        <v>-15562.534939759489</v>
      </c>
      <c r="R14">
        <f t="shared" ref="R14" si="47">R15+Q14</f>
        <v>53221695.43103902</v>
      </c>
      <c r="S14">
        <f t="shared" ref="S14" si="48">R14/100000</f>
        <v>532.21695431039018</v>
      </c>
      <c r="T14">
        <f t="shared" ref="T14" si="49">S14/1000</f>
        <v>0.53221695431039018</v>
      </c>
    </row>
    <row r="15" spans="1:20" x14ac:dyDescent="0.25">
      <c r="A15" s="5">
        <v>44578</v>
      </c>
      <c r="B15">
        <v>3.194</v>
      </c>
      <c r="C15">
        <v>3.198</v>
      </c>
      <c r="D15">
        <v>3.0129999999999999</v>
      </c>
      <c r="E15">
        <v>3.0649999999999999</v>
      </c>
      <c r="F15">
        <v>87397.7</v>
      </c>
      <c r="G15">
        <v>3.0649999999999999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-0.43783783783783747</v>
      </c>
      <c r="Q15">
        <f t="shared" ref="Q15" si="51">F15*P15</f>
        <v>-38266.019999999968</v>
      </c>
      <c r="R15">
        <f t="shared" ref="R15" si="52">R16+Q15</f>
        <v>53237257.965978779</v>
      </c>
      <c r="S15">
        <f t="shared" ref="S15" si="53">R15/100000</f>
        <v>532.37257965978779</v>
      </c>
      <c r="T15">
        <f t="shared" ref="T15" si="54">S15/1000</f>
        <v>0.53237257965978779</v>
      </c>
    </row>
    <row r="16" spans="1:20" x14ac:dyDescent="0.25">
      <c r="A16" s="5">
        <v>44577</v>
      </c>
      <c r="B16">
        <v>3.1890000000000001</v>
      </c>
      <c r="C16">
        <v>3.242</v>
      </c>
      <c r="D16">
        <v>3.153</v>
      </c>
      <c r="E16">
        <v>3.194</v>
      </c>
      <c r="F16">
        <v>144605.9</v>
      </c>
      <c r="G16">
        <v>3.194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-7.8651685393259771E-2</v>
      </c>
      <c r="Q16">
        <f t="shared" ref="Q16" si="56">F16*P16</f>
        <v>-11373.497752809182</v>
      </c>
      <c r="R16">
        <f t="shared" ref="R16" si="57">R17+Q16</f>
        <v>53275523.985978782</v>
      </c>
      <c r="S16">
        <f t="shared" ref="S16" si="58">R16/100000</f>
        <v>532.75523985978782</v>
      </c>
      <c r="T16">
        <f t="shared" ref="T16" si="59">S16/1000</f>
        <v>0.53275523985978779</v>
      </c>
    </row>
    <row r="17" spans="1:20" x14ac:dyDescent="0.25">
      <c r="A17" s="5">
        <v>44576</v>
      </c>
      <c r="B17">
        <v>3.19</v>
      </c>
      <c r="C17">
        <v>3.24</v>
      </c>
      <c r="D17">
        <v>3.16</v>
      </c>
      <c r="E17">
        <v>3.1890000000000001</v>
      </c>
      <c r="F17">
        <v>241276.3</v>
      </c>
      <c r="G17">
        <v>3.1890000000000001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-0.2750000000000028</v>
      </c>
      <c r="Q17">
        <f t="shared" ref="Q17" si="61">F17*P17</f>
        <v>-66350.982500000668</v>
      </c>
      <c r="R17">
        <f t="shared" ref="R17" si="62">R18+Q17</f>
        <v>53286897.48373159</v>
      </c>
      <c r="S17">
        <f t="shared" ref="S17" si="63">R17/100000</f>
        <v>532.86897483731593</v>
      </c>
      <c r="T17">
        <f t="shared" ref="T17" si="64">S17/1000</f>
        <v>0.53286897483731588</v>
      </c>
    </row>
    <row r="18" spans="1:20" x14ac:dyDescent="0.25">
      <c r="A18" s="5">
        <v>44575</v>
      </c>
      <c r="B18">
        <v>3.1339999999999999</v>
      </c>
      <c r="C18">
        <v>3.1949999999999998</v>
      </c>
      <c r="D18">
        <v>3.0590000000000002</v>
      </c>
      <c r="E18">
        <v>3.1920000000000002</v>
      </c>
      <c r="F18">
        <v>94985.600000000006</v>
      </c>
      <c r="G18">
        <v>3.1920000000000002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0.95588235294118118</v>
      </c>
      <c r="Q18">
        <f t="shared" ref="Q18" si="66">F18*P18</f>
        <v>90795.058823529864</v>
      </c>
      <c r="R18">
        <f t="shared" ref="R18" si="67">R19+Q18</f>
        <v>53353248.466231592</v>
      </c>
      <c r="S18">
        <f t="shared" ref="S18" si="68">R18/100000</f>
        <v>533.53248466231594</v>
      </c>
      <c r="T18">
        <f t="shared" ref="T18" si="69">S18/1000</f>
        <v>0.53353248466231595</v>
      </c>
    </row>
    <row r="19" spans="1:20" x14ac:dyDescent="0.25">
      <c r="A19" s="5">
        <v>44574</v>
      </c>
      <c r="B19">
        <v>3.2789999999999999</v>
      </c>
      <c r="C19">
        <v>3.302</v>
      </c>
      <c r="D19">
        <v>3.121</v>
      </c>
      <c r="E19">
        <v>3.1280000000000001</v>
      </c>
      <c r="F19">
        <v>139944.6</v>
      </c>
      <c r="G19">
        <v>3.1280000000000001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-0.92265193370165621</v>
      </c>
      <c r="Q19">
        <f t="shared" ref="Q19" si="71">F19*P19</f>
        <v>-129120.1558011048</v>
      </c>
      <c r="R19">
        <f t="shared" ref="R19" si="72">R20+Q19</f>
        <v>53262453.407408059</v>
      </c>
      <c r="S19">
        <f t="shared" ref="S19" si="73">R19/100000</f>
        <v>532.62453407408054</v>
      </c>
      <c r="T19">
        <f t="shared" ref="T19" si="74">S19/1000</f>
        <v>0.5326245340740805</v>
      </c>
    </row>
    <row r="20" spans="1:20" x14ac:dyDescent="0.25">
      <c r="A20" s="5">
        <v>44573</v>
      </c>
      <c r="B20">
        <v>3.1989999999999998</v>
      </c>
      <c r="C20">
        <v>3.3170000000000002</v>
      </c>
      <c r="D20">
        <v>3.1579999999999999</v>
      </c>
      <c r="E20">
        <v>3.2770000000000001</v>
      </c>
      <c r="F20">
        <v>228681.8</v>
      </c>
      <c r="G20">
        <v>3.2770000000000001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0.49685534591195002</v>
      </c>
      <c r="Q20">
        <f t="shared" ref="Q20" si="76">F20*P20</f>
        <v>113621.77484276737</v>
      </c>
      <c r="R20">
        <f t="shared" ref="R20" si="77">R21+Q20</f>
        <v>53391573.563209161</v>
      </c>
      <c r="S20">
        <f t="shared" ref="S20" si="78">R20/100000</f>
        <v>533.91573563209158</v>
      </c>
      <c r="T20">
        <f t="shared" ref="T20" si="79">S20/1000</f>
        <v>0.5339157356320916</v>
      </c>
    </row>
    <row r="21" spans="1:20" x14ac:dyDescent="0.25">
      <c r="A21" s="5">
        <v>44572</v>
      </c>
      <c r="B21">
        <v>3.13</v>
      </c>
      <c r="C21">
        <v>3.222</v>
      </c>
      <c r="D21">
        <v>3.0720000000000001</v>
      </c>
      <c r="E21">
        <v>3.198</v>
      </c>
      <c r="F21">
        <v>157479.79999999999</v>
      </c>
      <c r="G21">
        <v>3.198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0.67999999999999949</v>
      </c>
      <c r="Q21">
        <f t="shared" ref="Q21" si="81">F21*P21</f>
        <v>107086.26399999991</v>
      </c>
      <c r="R21">
        <f t="shared" ref="R21" si="82">R22+Q21</f>
        <v>53277951.788366392</v>
      </c>
      <c r="S21">
        <f t="shared" ref="S21" si="83">R21/100000</f>
        <v>532.77951788366397</v>
      </c>
      <c r="T21">
        <f t="shared" ref="T21" si="84">S21/1000</f>
        <v>0.53277951788366396</v>
      </c>
    </row>
    <row r="22" spans="1:20" x14ac:dyDescent="0.25">
      <c r="A22" s="5">
        <v>44571</v>
      </c>
      <c r="B22">
        <v>3.153</v>
      </c>
      <c r="C22">
        <v>3.206</v>
      </c>
      <c r="D22">
        <v>2.964</v>
      </c>
      <c r="E22">
        <v>3.133</v>
      </c>
      <c r="F22">
        <v>378432.2</v>
      </c>
      <c r="G22">
        <v>3.133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0.3966942148760334</v>
      </c>
      <c r="Q22">
        <f t="shared" ref="Q22" si="86">F22*P22</f>
        <v>150121.86446281004</v>
      </c>
      <c r="R22">
        <f t="shared" ref="R22" si="87">R23+Q22</f>
        <v>53170865.524366394</v>
      </c>
      <c r="S22">
        <f t="shared" ref="S22" si="88">R22/100000</f>
        <v>531.70865524366388</v>
      </c>
      <c r="T22">
        <f t="shared" ref="T22" si="89">S22/1000</f>
        <v>0.53170865524366384</v>
      </c>
    </row>
    <row r="23" spans="1:20" x14ac:dyDescent="0.25">
      <c r="A23" s="5">
        <v>44570</v>
      </c>
      <c r="B23">
        <v>3.0670000000000002</v>
      </c>
      <c r="C23">
        <v>3.2210000000000001</v>
      </c>
      <c r="D23">
        <v>3.0489999999999999</v>
      </c>
      <c r="E23">
        <v>3.157</v>
      </c>
      <c r="F23">
        <v>184293.6</v>
      </c>
      <c r="G23">
        <v>3.157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0.2558139534883721</v>
      </c>
      <c r="Q23">
        <f t="shared" ref="Q23" si="91">F23*P23</f>
        <v>47144.874418604653</v>
      </c>
      <c r="R23">
        <f t="shared" ref="R23" si="92">R24+Q23</f>
        <v>53020743.659903586</v>
      </c>
      <c r="S23">
        <f t="shared" ref="S23" si="93">R23/100000</f>
        <v>530.20743659903587</v>
      </c>
      <c r="T23">
        <f t="shared" ref="T23" si="94">S23/1000</f>
        <v>0.53020743659903591</v>
      </c>
    </row>
    <row r="24" spans="1:20" x14ac:dyDescent="0.25">
      <c r="A24" s="5">
        <v>44569</v>
      </c>
      <c r="B24">
        <v>3.117</v>
      </c>
      <c r="C24">
        <v>3.1789999999999998</v>
      </c>
      <c r="D24">
        <v>2.944</v>
      </c>
      <c r="E24">
        <v>3.0670000000000002</v>
      </c>
      <c r="F24">
        <v>321070.8</v>
      </c>
      <c r="G24">
        <v>3.0670000000000002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4.6808510638300299E-2</v>
      </c>
      <c r="Q24">
        <f t="shared" ref="Q24" si="96">F24*P24</f>
        <v>15028.845957447587</v>
      </c>
      <c r="R24">
        <f t="shared" ref="R24" si="97">R25+Q24</f>
        <v>52973598.785484985</v>
      </c>
      <c r="S24">
        <f t="shared" ref="S24" si="98">R24/100000</f>
        <v>529.7359878548499</v>
      </c>
      <c r="T24">
        <f t="shared" ref="T24" si="99">S24/1000</f>
        <v>0.52973598785484988</v>
      </c>
    </row>
    <row r="25" spans="1:20" x14ac:dyDescent="0.25">
      <c r="A25" s="5">
        <v>44568</v>
      </c>
      <c r="B25">
        <v>3.2330000000000001</v>
      </c>
      <c r="C25">
        <v>3.2440000000000002</v>
      </c>
      <c r="D25">
        <v>2.9830000000000001</v>
      </c>
      <c r="E25">
        <v>3.117</v>
      </c>
      <c r="F25">
        <v>677327.9</v>
      </c>
      <c r="G25">
        <v>3.117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2.6819923371646244E-2</v>
      </c>
      <c r="Q25">
        <f t="shared" ref="Q25" si="101">F25*P25</f>
        <v>18165.882375478071</v>
      </c>
      <c r="R25">
        <f t="shared" ref="R25" si="102">R26+Q25</f>
        <v>52958569.939527534</v>
      </c>
      <c r="S25">
        <f t="shared" ref="S25" si="103">R25/100000</f>
        <v>529.58569939527536</v>
      </c>
      <c r="T25">
        <f t="shared" ref="T25" si="104">S25/1000</f>
        <v>0.52958569939527533</v>
      </c>
    </row>
    <row r="26" spans="1:20" x14ac:dyDescent="0.25">
      <c r="A26" s="5">
        <v>44567</v>
      </c>
      <c r="B26">
        <v>3.2959999999999998</v>
      </c>
      <c r="C26">
        <v>3.3239999999999998</v>
      </c>
      <c r="D26">
        <v>3.1120000000000001</v>
      </c>
      <c r="E26">
        <v>3.238</v>
      </c>
      <c r="F26">
        <v>655922.80000000005</v>
      </c>
      <c r="G26">
        <v>3.238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0.18867924528301927</v>
      </c>
      <c r="Q26">
        <f t="shared" ref="Q26" si="106">F26*P26</f>
        <v>123759.01886792479</v>
      </c>
      <c r="R26">
        <f t="shared" ref="R26" si="107">R27+Q26</f>
        <v>52940404.057152055</v>
      </c>
      <c r="S26">
        <f t="shared" ref="S26" si="108">R26/100000</f>
        <v>529.40404057152057</v>
      </c>
      <c r="T26">
        <f t="shared" ref="T26" si="109">S26/1000</f>
        <v>0.52940404057152057</v>
      </c>
    </row>
    <row r="27" spans="1:20" x14ac:dyDescent="0.25">
      <c r="A27" s="5">
        <v>44566</v>
      </c>
      <c r="B27">
        <v>3.4</v>
      </c>
      <c r="C27">
        <v>3.5710000000000002</v>
      </c>
      <c r="D27">
        <v>3.149</v>
      </c>
      <c r="E27">
        <v>3.2970000000000002</v>
      </c>
      <c r="F27">
        <v>572673.80000000005</v>
      </c>
      <c r="G27">
        <v>3.2970000000000002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-0.29857819905213234</v>
      </c>
      <c r="Q27">
        <f t="shared" ref="Q27" si="111">F27*P27</f>
        <v>-170987.91184834103</v>
      </c>
      <c r="R27">
        <f t="shared" ref="R27" si="112">R28+Q27</f>
        <v>52816645.03828413</v>
      </c>
      <c r="S27">
        <f t="shared" ref="S27" si="113">R27/100000</f>
        <v>528.16645038284128</v>
      </c>
      <c r="T27">
        <f t="shared" ref="T27" si="114">S27/1000</f>
        <v>0.52816645038284127</v>
      </c>
    </row>
    <row r="28" spans="1:20" x14ac:dyDescent="0.25">
      <c r="A28" s="5">
        <v>44565</v>
      </c>
      <c r="B28">
        <v>3.4319999999999999</v>
      </c>
      <c r="C28">
        <v>3.5110000000000001</v>
      </c>
      <c r="D28">
        <v>3.3639999999999999</v>
      </c>
      <c r="E28">
        <v>3.4009999999999998</v>
      </c>
      <c r="F28">
        <v>539250.19999999995</v>
      </c>
      <c r="G28">
        <v>3.4009999999999998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-0.4965986394557842</v>
      </c>
      <c r="Q28">
        <f t="shared" ref="Q28" si="116">F28*P28</f>
        <v>-267790.9156462595</v>
      </c>
      <c r="R28">
        <f t="shared" ref="R28" si="117">R29+Q28</f>
        <v>52987632.950132474</v>
      </c>
      <c r="S28">
        <f t="shared" ref="S28" si="118">R28/100000</f>
        <v>529.87632950132479</v>
      </c>
      <c r="T28">
        <f t="shared" ref="T28" si="119">S28/1000</f>
        <v>0.52987632950132479</v>
      </c>
    </row>
    <row r="29" spans="1:20" x14ac:dyDescent="0.25">
      <c r="A29" s="5">
        <v>44564</v>
      </c>
      <c r="B29">
        <v>3.3940000000000001</v>
      </c>
      <c r="C29">
        <v>3.47</v>
      </c>
      <c r="D29">
        <v>3.3340000000000001</v>
      </c>
      <c r="E29">
        <v>3.4279999999999999</v>
      </c>
      <c r="F29">
        <v>253621.6</v>
      </c>
      <c r="G29">
        <v>3.4279999999999999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0.38235294117646734</v>
      </c>
      <c r="Q29">
        <f t="shared" ref="Q29" si="121">F29*P29</f>
        <v>96972.964705881532</v>
      </c>
      <c r="R29">
        <f t="shared" ref="R29" si="122">R30+Q29</f>
        <v>53255423.865778737</v>
      </c>
      <c r="S29">
        <f t="shared" ref="S29" si="123">R29/100000</f>
        <v>532.55423865778732</v>
      </c>
      <c r="T29">
        <f t="shared" ref="T29" si="124">S29/1000</f>
        <v>0.53255423865778728</v>
      </c>
    </row>
    <row r="30" spans="1:20" x14ac:dyDescent="0.25">
      <c r="A30" s="5">
        <v>44563</v>
      </c>
      <c r="B30">
        <v>3.3450000000000002</v>
      </c>
      <c r="C30">
        <v>3.4380000000000002</v>
      </c>
      <c r="D30">
        <v>3.3039999999999998</v>
      </c>
      <c r="E30">
        <v>3.3959999999999999</v>
      </c>
      <c r="F30">
        <v>201829.6</v>
      </c>
      <c r="G30">
        <v>3.3959999999999999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0.3731343283582067</v>
      </c>
      <c r="Q30">
        <f t="shared" ref="Q30" si="126">F30*P30</f>
        <v>75309.552238805511</v>
      </c>
      <c r="R30">
        <f t="shared" ref="R30" si="127">R31+Q30</f>
        <v>53158450.901072852</v>
      </c>
      <c r="S30">
        <f t="shared" ref="S30" si="128">R30/100000</f>
        <v>531.58450901072854</v>
      </c>
      <c r="T30">
        <f t="shared" ref="T30" si="129">S30/1000</f>
        <v>0.53158450901072851</v>
      </c>
    </row>
    <row r="31" spans="1:20" x14ac:dyDescent="0.25">
      <c r="A31" s="5">
        <v>44562</v>
      </c>
      <c r="B31">
        <v>3.2120000000000002</v>
      </c>
      <c r="C31">
        <v>3.3490000000000002</v>
      </c>
      <c r="D31">
        <v>3.2120000000000002</v>
      </c>
      <c r="E31">
        <v>3.3450000000000002</v>
      </c>
      <c r="F31">
        <v>126132.8</v>
      </c>
      <c r="G31">
        <v>3.3450000000000002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0.94160583941605835</v>
      </c>
      <c r="Q31">
        <f t="shared" ref="Q31" si="131">F31*P31</f>
        <v>118767.3810218978</v>
      </c>
      <c r="R31">
        <f t="shared" ref="R31" si="132">R32+Q31</f>
        <v>53083141.348834045</v>
      </c>
      <c r="S31">
        <f t="shared" ref="S31" si="133">R31/100000</f>
        <v>530.83141348834044</v>
      </c>
      <c r="T31">
        <f t="shared" ref="T31" si="134">S31/1000</f>
        <v>0.5308314134883404</v>
      </c>
    </row>
    <row r="32" spans="1:20" x14ac:dyDescent="0.25">
      <c r="A32" s="5">
        <v>44561</v>
      </c>
      <c r="B32">
        <v>3.2690000000000001</v>
      </c>
      <c r="C32">
        <v>3.363</v>
      </c>
      <c r="D32">
        <v>3.1659999999999999</v>
      </c>
      <c r="E32">
        <v>3.2130000000000001</v>
      </c>
      <c r="F32">
        <v>158248.6</v>
      </c>
      <c r="G32">
        <v>3.2130000000000001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-0.5228426395939072</v>
      </c>
      <c r="Q32">
        <f t="shared" ref="Q32" si="136">F32*P32</f>
        <v>-82739.115736040389</v>
      </c>
      <c r="R32">
        <f t="shared" ref="R32" si="137">R33+Q32</f>
        <v>52964373.967812151</v>
      </c>
      <c r="S32">
        <f t="shared" ref="S32" si="138">R32/100000</f>
        <v>529.64373967812151</v>
      </c>
      <c r="T32">
        <f t="shared" ref="T32" si="139">S32/1000</f>
        <v>0.52964373967812151</v>
      </c>
    </row>
    <row r="33" spans="1:20" x14ac:dyDescent="0.25">
      <c r="A33" s="5">
        <v>44560</v>
      </c>
      <c r="B33">
        <v>3.2280000000000002</v>
      </c>
      <c r="C33">
        <v>3.327</v>
      </c>
      <c r="D33">
        <v>3.18</v>
      </c>
      <c r="E33">
        <v>3.27</v>
      </c>
      <c r="F33">
        <v>179993.2</v>
      </c>
      <c r="G33">
        <v>3.27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0.2244897959183671</v>
      </c>
      <c r="Q33">
        <f t="shared" ref="Q33" si="141">F33*P33</f>
        <v>40406.636734693835</v>
      </c>
      <c r="R33">
        <f t="shared" ref="R33" si="142">R34+Q33</f>
        <v>53047113.083548188</v>
      </c>
      <c r="S33">
        <f t="shared" ref="S33" si="143">R33/100000</f>
        <v>530.47113083548186</v>
      </c>
      <c r="T33">
        <f t="shared" ref="T33" si="144">S33/1000</f>
        <v>0.53047113083548181</v>
      </c>
    </row>
    <row r="34" spans="1:20" x14ac:dyDescent="0.25">
      <c r="A34" s="5">
        <v>44559</v>
      </c>
      <c r="B34">
        <v>3.3410000000000002</v>
      </c>
      <c r="C34">
        <v>3.4049999999999998</v>
      </c>
      <c r="D34">
        <v>3.21</v>
      </c>
      <c r="E34">
        <v>3.2240000000000002</v>
      </c>
      <c r="F34">
        <v>214481.9</v>
      </c>
      <c r="G34">
        <v>3.2240000000000002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-0.85641025641025392</v>
      </c>
      <c r="Q34">
        <f t="shared" ref="Q34" si="146">F34*P34</f>
        <v>-183684.49897435843</v>
      </c>
      <c r="R34">
        <f t="shared" ref="R34" si="147">R35+Q34</f>
        <v>53006706.446813494</v>
      </c>
      <c r="S34">
        <f t="shared" ref="S34" si="148">R34/100000</f>
        <v>530.06706446813496</v>
      </c>
      <c r="T34">
        <f t="shared" ref="T34" si="149">S34/1000</f>
        <v>0.53006706446813501</v>
      </c>
    </row>
    <row r="35" spans="1:20" x14ac:dyDescent="0.25">
      <c r="A35" s="5">
        <v>44558</v>
      </c>
      <c r="B35">
        <v>3.5910000000000002</v>
      </c>
      <c r="C35">
        <v>3.5950000000000002</v>
      </c>
      <c r="D35">
        <v>3.33</v>
      </c>
      <c r="E35">
        <v>3.3410000000000002</v>
      </c>
      <c r="F35">
        <v>334788.90000000002</v>
      </c>
      <c r="G35">
        <v>3.3410000000000002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-0.91698113207547083</v>
      </c>
      <c r="Q35">
        <f t="shared" ref="Q35" si="151">F35*P35</f>
        <v>-306995.10452830163</v>
      </c>
      <c r="R35">
        <f t="shared" ref="R35" si="152">R36+Q35</f>
        <v>53190390.945787854</v>
      </c>
      <c r="S35">
        <f t="shared" ref="S35" si="153">R35/100000</f>
        <v>531.90390945787851</v>
      </c>
      <c r="T35">
        <f t="shared" ref="T35" si="154">S35/1000</f>
        <v>0.53190390945787847</v>
      </c>
    </row>
    <row r="36" spans="1:20" x14ac:dyDescent="0.25">
      <c r="A36" s="5">
        <v>44557</v>
      </c>
      <c r="B36">
        <v>3.6150000000000002</v>
      </c>
      <c r="C36">
        <v>3.7509999999999999</v>
      </c>
      <c r="D36">
        <v>3.577</v>
      </c>
      <c r="E36">
        <v>3.5979999999999999</v>
      </c>
      <c r="F36">
        <v>364563.3</v>
      </c>
      <c r="G36">
        <v>3.5979999999999999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-0.75862068965517337</v>
      </c>
      <c r="Q36">
        <f t="shared" ref="Q36" si="156">F36*P36</f>
        <v>-276565.26206896588</v>
      </c>
      <c r="R36">
        <f t="shared" ref="R36" si="157">R37+Q36</f>
        <v>53497386.050316155</v>
      </c>
      <c r="S36">
        <f t="shared" ref="S36" si="158">R36/100000</f>
        <v>534.97386050316152</v>
      </c>
      <c r="T36">
        <f t="shared" ref="T36" si="159">S36/1000</f>
        <v>0.53497386050316154</v>
      </c>
    </row>
    <row r="37" spans="1:20" x14ac:dyDescent="0.25">
      <c r="A37" s="5">
        <v>44556</v>
      </c>
      <c r="B37">
        <v>3.552</v>
      </c>
      <c r="C37">
        <v>3.7509999999999999</v>
      </c>
      <c r="D37">
        <v>3.44</v>
      </c>
      <c r="E37">
        <v>3.6139999999999999</v>
      </c>
      <c r="F37">
        <v>228400.8</v>
      </c>
      <c r="G37">
        <v>3.6139999999999999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0.11897106109324736</v>
      </c>
      <c r="Q37">
        <f t="shared" ref="Q37" si="161">F37*P37</f>
        <v>27173.08553054657</v>
      </c>
      <c r="R37">
        <f t="shared" ref="R37" si="162">R38+Q37</f>
        <v>53773951.312385119</v>
      </c>
      <c r="S37">
        <f t="shared" ref="S37" si="163">R37/100000</f>
        <v>537.73951312385122</v>
      </c>
      <c r="T37">
        <f t="shared" ref="T37" si="164">S37/1000</f>
        <v>0.53773951312385126</v>
      </c>
    </row>
    <row r="38" spans="1:20" x14ac:dyDescent="0.25">
      <c r="A38" s="5">
        <v>44555</v>
      </c>
      <c r="B38">
        <v>3.528</v>
      </c>
      <c r="C38">
        <v>3.6509999999999998</v>
      </c>
      <c r="D38">
        <v>3.4870000000000001</v>
      </c>
      <c r="E38">
        <v>3.5550000000000002</v>
      </c>
      <c r="F38">
        <v>242298.9</v>
      </c>
      <c r="G38">
        <v>3.5550000000000002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-0.17073170731707094</v>
      </c>
      <c r="Q38">
        <f t="shared" ref="Q38" si="166">F38*P38</f>
        <v>-41368.104878048238</v>
      </c>
      <c r="R38">
        <f t="shared" ref="R38" si="167">R39+Q38</f>
        <v>53746778.22685457</v>
      </c>
      <c r="S38">
        <f t="shared" ref="S38" si="168">R38/100000</f>
        <v>537.46778226854565</v>
      </c>
      <c r="T38">
        <f t="shared" ref="T38" si="169">S38/1000</f>
        <v>0.53746778226854564</v>
      </c>
    </row>
    <row r="39" spans="1:20" x14ac:dyDescent="0.25">
      <c r="A39" s="5">
        <v>44554</v>
      </c>
      <c r="B39">
        <v>3.5710000000000002</v>
      </c>
      <c r="C39">
        <v>3.653</v>
      </c>
      <c r="D39">
        <v>3.5009999999999999</v>
      </c>
      <c r="E39">
        <v>3.524</v>
      </c>
      <c r="F39">
        <v>300055.40000000002</v>
      </c>
      <c r="G39">
        <v>3.524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-0.69736842105263008</v>
      </c>
      <c r="Q39">
        <f t="shared" ref="Q39" si="171">F39*P39</f>
        <v>-209249.16052631536</v>
      </c>
      <c r="R39">
        <f t="shared" ref="R39" si="172">R40+Q39</f>
        <v>53788146.331732616</v>
      </c>
      <c r="S39">
        <f t="shared" ref="S39" si="173">R39/100000</f>
        <v>537.88146331732617</v>
      </c>
      <c r="T39">
        <f t="shared" ref="T39" si="174">S39/1000</f>
        <v>0.53788146331732611</v>
      </c>
    </row>
    <row r="40" spans="1:20" x14ac:dyDescent="0.25">
      <c r="A40" s="5">
        <v>44553</v>
      </c>
      <c r="B40">
        <v>3.3980000000000001</v>
      </c>
      <c r="C40">
        <v>3.6</v>
      </c>
      <c r="D40">
        <v>3.3359999999999999</v>
      </c>
      <c r="E40">
        <v>3.57</v>
      </c>
      <c r="F40">
        <v>329599.59999999998</v>
      </c>
      <c r="G40">
        <v>3.57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0.77272727272727104</v>
      </c>
      <c r="Q40">
        <f t="shared" ref="Q40" si="176">F40*P40</f>
        <v>254690.59999999942</v>
      </c>
      <c r="R40">
        <f t="shared" ref="R40" si="177">R41+Q40</f>
        <v>53997395.492258929</v>
      </c>
      <c r="S40">
        <f t="shared" ref="S40" si="178">R40/100000</f>
        <v>539.97395492258931</v>
      </c>
      <c r="T40">
        <f t="shared" ref="T40" si="179">S40/1000</f>
        <v>0.53997395492258926</v>
      </c>
    </row>
    <row r="41" spans="1:20" x14ac:dyDescent="0.25">
      <c r="A41" s="5">
        <v>44552</v>
      </c>
      <c r="B41">
        <v>3.33</v>
      </c>
      <c r="C41">
        <v>3.4529999999999998</v>
      </c>
      <c r="D41">
        <v>3.3140000000000001</v>
      </c>
      <c r="E41">
        <v>3.39</v>
      </c>
      <c r="F41">
        <v>254959.9</v>
      </c>
      <c r="G41">
        <v>3.39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9.3525179856117732E-2</v>
      </c>
      <c r="Q41">
        <f t="shared" ref="Q41" si="181">F41*P41</f>
        <v>23845.17050359779</v>
      </c>
      <c r="R41">
        <f t="shared" ref="R41" si="182">R42+Q41</f>
        <v>53742704.892258927</v>
      </c>
      <c r="S41">
        <f t="shared" ref="S41" si="183">R41/100000</f>
        <v>537.42704892258928</v>
      </c>
      <c r="T41">
        <f t="shared" ref="T41" si="184">S41/1000</f>
        <v>0.5374270489225893</v>
      </c>
    </row>
    <row r="42" spans="1:20" x14ac:dyDescent="0.25">
      <c r="A42" s="5">
        <v>44551</v>
      </c>
      <c r="B42">
        <v>3.2290000000000001</v>
      </c>
      <c r="C42">
        <v>3.3420000000000001</v>
      </c>
      <c r="D42">
        <v>3.1890000000000001</v>
      </c>
      <c r="E42">
        <v>3.3279999999999998</v>
      </c>
      <c r="F42">
        <v>171026.7</v>
      </c>
      <c r="G42">
        <v>3.3279999999999998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0.81699346405228457</v>
      </c>
      <c r="Q42">
        <f t="shared" ref="Q42" si="186">F42*P42</f>
        <v>139727.69607843086</v>
      </c>
      <c r="R42">
        <f t="shared" ref="R42" si="187">R43+Q42</f>
        <v>53718859.721755326</v>
      </c>
      <c r="S42">
        <f t="shared" ref="S42" si="188">R42/100000</f>
        <v>537.18859721755325</v>
      </c>
      <c r="T42">
        <f t="shared" ref="T42" si="189">S42/1000</f>
        <v>0.5371885972175533</v>
      </c>
    </row>
    <row r="43" spans="1:20" x14ac:dyDescent="0.25">
      <c r="A43" s="5">
        <v>44550</v>
      </c>
      <c r="B43">
        <v>3.2189999999999999</v>
      </c>
      <c r="C43">
        <v>3.2679999999999998</v>
      </c>
      <c r="D43">
        <v>3.1040000000000001</v>
      </c>
      <c r="E43">
        <v>3.2290000000000001</v>
      </c>
      <c r="F43">
        <v>136981.79999999999</v>
      </c>
      <c r="G43">
        <v>3.2290000000000001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0.52439024390244182</v>
      </c>
      <c r="Q43">
        <f t="shared" ref="Q43" si="191">F43*P43</f>
        <v>71831.919512195498</v>
      </c>
      <c r="R43">
        <f t="shared" ref="R43" si="192">R44+Q43</f>
        <v>53579132.025676891</v>
      </c>
      <c r="S43">
        <f t="shared" ref="S43" si="193">R43/100000</f>
        <v>535.79132025676893</v>
      </c>
      <c r="T43">
        <f t="shared" ref="T43" si="194">S43/1000</f>
        <v>0.5357913202567689</v>
      </c>
    </row>
    <row r="44" spans="1:20" x14ac:dyDescent="0.25">
      <c r="A44" s="5">
        <v>44549</v>
      </c>
      <c r="B44">
        <v>3.262</v>
      </c>
      <c r="C44">
        <v>3.339</v>
      </c>
      <c r="D44">
        <v>3.2189999999999999</v>
      </c>
      <c r="E44">
        <v>3.2290000000000001</v>
      </c>
      <c r="F44">
        <v>72771.3</v>
      </c>
      <c r="G44">
        <v>3.2290000000000001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-0.8333333333333296</v>
      </c>
      <c r="Q44">
        <f t="shared" ref="Q44" si="196">F44*P44</f>
        <v>-60642.749999999731</v>
      </c>
      <c r="R44">
        <f t="shared" ref="R44" si="197">R45+Q44</f>
        <v>53507300.106164694</v>
      </c>
      <c r="S44">
        <f t="shared" ref="S44" si="198">R44/100000</f>
        <v>535.07300106164689</v>
      </c>
      <c r="T44">
        <f t="shared" ref="T44" si="199">S44/1000</f>
        <v>0.5350730010616469</v>
      </c>
    </row>
    <row r="45" spans="1:20" x14ac:dyDescent="0.25">
      <c r="A45" s="5">
        <v>44548</v>
      </c>
      <c r="B45">
        <v>3.202</v>
      </c>
      <c r="C45">
        <v>3.3119999999999998</v>
      </c>
      <c r="D45">
        <v>3.13</v>
      </c>
      <c r="E45">
        <v>3.2650000000000001</v>
      </c>
      <c r="F45">
        <v>99623.5</v>
      </c>
      <c r="G45">
        <v>3.2650000000000001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0.48351648351648657</v>
      </c>
      <c r="Q45">
        <f t="shared" ref="Q45" si="201">F45*P45</f>
        <v>48169.6043956047</v>
      </c>
      <c r="R45">
        <f t="shared" ref="R45" si="202">R46+Q45</f>
        <v>53567942.856164694</v>
      </c>
      <c r="S45">
        <f t="shared" ref="S45" si="203">R45/100000</f>
        <v>535.67942856164689</v>
      </c>
      <c r="T45">
        <f t="shared" ref="T45" si="204">S45/1000</f>
        <v>0.53567942856164685</v>
      </c>
    </row>
    <row r="46" spans="1:20" x14ac:dyDescent="0.25">
      <c r="A46" s="5">
        <v>44547</v>
      </c>
      <c r="B46">
        <v>3.2429999999999999</v>
      </c>
      <c r="C46">
        <v>3.2879999999999998</v>
      </c>
      <c r="D46">
        <v>3.0640000000000001</v>
      </c>
      <c r="E46">
        <v>3.2080000000000002</v>
      </c>
      <c r="F46">
        <v>158572.79999999999</v>
      </c>
      <c r="G46">
        <v>3.2080000000000002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0.28571428571428825</v>
      </c>
      <c r="Q46">
        <f t="shared" ref="Q46" si="206">F46*P46</f>
        <v>45306.514285714686</v>
      </c>
      <c r="R46">
        <f t="shared" ref="R46" si="207">R47+Q46</f>
        <v>53519773.251769088</v>
      </c>
      <c r="S46">
        <f t="shared" ref="S46" si="208">R46/100000</f>
        <v>535.19773251769084</v>
      </c>
      <c r="T46">
        <f t="shared" ref="T46" si="209">S46/1000</f>
        <v>0.53519773251769087</v>
      </c>
    </row>
    <row r="47" spans="1:20" x14ac:dyDescent="0.25">
      <c r="A47" s="5">
        <v>44546</v>
      </c>
      <c r="B47">
        <v>3.3260000000000001</v>
      </c>
      <c r="C47">
        <v>3.3940000000000001</v>
      </c>
      <c r="D47">
        <v>3.2410000000000001</v>
      </c>
      <c r="E47">
        <v>3.2589999999999999</v>
      </c>
      <c r="F47">
        <v>141183</v>
      </c>
      <c r="G47">
        <v>3.2589999999999999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-0.7647058823529439</v>
      </c>
      <c r="Q47">
        <f t="shared" ref="Q47" si="211">F47*P47</f>
        <v>-107963.47058823568</v>
      </c>
      <c r="R47">
        <f t="shared" ref="R47" si="212">R48+Q47</f>
        <v>53474466.737483375</v>
      </c>
      <c r="S47">
        <f t="shared" ref="S47" si="213">R47/100000</f>
        <v>534.74466737483374</v>
      </c>
      <c r="T47">
        <f t="shared" ref="T47" si="214">S47/1000</f>
        <v>0.53474466737483373</v>
      </c>
    </row>
    <row r="48" spans="1:20" x14ac:dyDescent="0.25">
      <c r="A48" s="5">
        <v>44545</v>
      </c>
      <c r="B48">
        <v>3.222</v>
      </c>
      <c r="C48">
        <v>3.35</v>
      </c>
      <c r="D48">
        <v>3.0550000000000002</v>
      </c>
      <c r="E48">
        <v>3.327</v>
      </c>
      <c r="F48">
        <v>216081.1</v>
      </c>
      <c r="G48">
        <v>3.327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0.84406779661016851</v>
      </c>
      <c r="Q48">
        <f t="shared" ref="Q48" si="216">F48*P48</f>
        <v>182387.09796610149</v>
      </c>
      <c r="R48">
        <f t="shared" ref="R48" si="217">R49+Q48</f>
        <v>53582430.208071612</v>
      </c>
      <c r="S48">
        <f t="shared" ref="S48" si="218">R48/100000</f>
        <v>535.82430208071617</v>
      </c>
      <c r="T48">
        <f t="shared" ref="T48" si="219">S48/1000</f>
        <v>0.53582430208071619</v>
      </c>
    </row>
    <row r="49" spans="1:20" x14ac:dyDescent="0.25">
      <c r="A49" s="5">
        <v>44544</v>
      </c>
      <c r="B49">
        <v>3.1459999999999999</v>
      </c>
      <c r="C49">
        <v>3.2360000000000002</v>
      </c>
      <c r="D49">
        <v>3.09</v>
      </c>
      <c r="E49">
        <v>3.23</v>
      </c>
      <c r="F49">
        <v>138144.29999999999</v>
      </c>
      <c r="G49">
        <v>3.23</v>
      </c>
      <c r="L49" t="s">
        <v>7</v>
      </c>
      <c r="M49" t="s">
        <v>8</v>
      </c>
      <c r="N49" t="s">
        <v>7</v>
      </c>
      <c r="P49">
        <f t="shared" ref="P49" si="220">IF(C49=D49,0,((E49-D49)-(C49-E49))/(C49-D49))</f>
        <v>0.91780821917807931</v>
      </c>
      <c r="Q49">
        <f t="shared" ref="Q49" si="221">F49*P49</f>
        <v>126789.97397260233</v>
      </c>
      <c r="R49">
        <f t="shared" ref="R49" si="222">R50+Q49</f>
        <v>53400043.110105507</v>
      </c>
      <c r="S49">
        <f t="shared" ref="S49" si="223">R49/100000</f>
        <v>534.00043110105503</v>
      </c>
      <c r="T49">
        <f t="shared" ref="T49" si="224">S49/1000</f>
        <v>0.534000431101055</v>
      </c>
    </row>
    <row r="50" spans="1:20" x14ac:dyDescent="0.25">
      <c r="A50" s="5">
        <v>44543</v>
      </c>
      <c r="B50">
        <v>3.4489999999999998</v>
      </c>
      <c r="C50">
        <v>3.4569999999999999</v>
      </c>
      <c r="D50">
        <v>3.0750000000000002</v>
      </c>
      <c r="E50">
        <v>3.14</v>
      </c>
      <c r="F50">
        <v>274679.40000000002</v>
      </c>
      <c r="G50">
        <v>3.14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-0.65968586387434558</v>
      </c>
      <c r="Q50">
        <f t="shared" ref="Q50" si="226">F50*P50</f>
        <v>-181202.11727748695</v>
      </c>
      <c r="R50">
        <f t="shared" ref="R50" si="227">R51+Q50</f>
        <v>53273253.136132903</v>
      </c>
      <c r="S50">
        <f t="shared" ref="S50" si="228">R50/100000</f>
        <v>532.73253136132905</v>
      </c>
      <c r="T50">
        <f t="shared" ref="T50" si="229">S50/1000</f>
        <v>0.53273253136132903</v>
      </c>
    </row>
    <row r="51" spans="1:20" x14ac:dyDescent="0.25">
      <c r="A51" s="5">
        <v>44542</v>
      </c>
      <c r="B51">
        <v>3.41</v>
      </c>
      <c r="C51">
        <v>3.4609999999999999</v>
      </c>
      <c r="D51">
        <v>3.3130000000000002</v>
      </c>
      <c r="E51">
        <v>3.4449999999999998</v>
      </c>
      <c r="F51">
        <v>111111.3</v>
      </c>
      <c r="G51">
        <v>3.4449999999999998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0.78378378378378311</v>
      </c>
      <c r="Q51">
        <f t="shared" ref="Q51" si="231">F51*P51</f>
        <v>87087.235135135066</v>
      </c>
      <c r="R51">
        <f t="shared" ref="R51" si="232">R52+Q51</f>
        <v>53454455.253410392</v>
      </c>
      <c r="S51">
        <f t="shared" ref="S51" si="233">R51/100000</f>
        <v>534.5445525341039</v>
      </c>
      <c r="T51">
        <f t="shared" ref="T51" si="234">S51/1000</f>
        <v>0.53454455253410393</v>
      </c>
    </row>
    <row r="52" spans="1:20" x14ac:dyDescent="0.25">
      <c r="A52" s="5">
        <v>44541</v>
      </c>
      <c r="B52">
        <v>3.2320000000000002</v>
      </c>
      <c r="C52">
        <v>3.278</v>
      </c>
      <c r="D52">
        <v>3.1859999999999999</v>
      </c>
      <c r="E52">
        <v>3.278</v>
      </c>
      <c r="F52">
        <v>9741.2999999999993</v>
      </c>
      <c r="G52">
        <v>3.278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1</v>
      </c>
      <c r="Q52">
        <f t="shared" ref="Q52" si="236">F52*P52</f>
        <v>9741.2999999999993</v>
      </c>
      <c r="R52">
        <f t="shared" ref="R52" si="237">R53+Q52</f>
        <v>53367368.018275253</v>
      </c>
      <c r="S52">
        <f t="shared" ref="S52" si="238">R52/100000</f>
        <v>533.67368018275249</v>
      </c>
      <c r="T52">
        <f t="shared" ref="T52" si="239">S52/1000</f>
        <v>0.53367368018275252</v>
      </c>
    </row>
    <row r="53" spans="1:20" x14ac:dyDescent="0.25">
      <c r="A53" s="5">
        <v>44540</v>
      </c>
      <c r="B53">
        <v>3.39</v>
      </c>
      <c r="C53">
        <v>3.48</v>
      </c>
      <c r="D53">
        <v>3.2229999999999999</v>
      </c>
      <c r="E53">
        <v>3.2320000000000002</v>
      </c>
      <c r="F53">
        <v>320069.90000000002</v>
      </c>
      <c r="G53">
        <v>3.2320000000000002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-0.92996108949416079</v>
      </c>
      <c r="Q53">
        <f t="shared" ref="Q53" si="241">F53*P53</f>
        <v>-297652.55291828711</v>
      </c>
      <c r="R53">
        <f t="shared" ref="R53" si="242">R54+Q53</f>
        <v>53357626.718275256</v>
      </c>
      <c r="S53">
        <f t="shared" ref="S53" si="243">R53/100000</f>
        <v>533.57626718275253</v>
      </c>
      <c r="T53">
        <f t="shared" ref="T53" si="244">S53/1000</f>
        <v>0.53357626718275253</v>
      </c>
    </row>
    <row r="54" spans="1:20" x14ac:dyDescent="0.25">
      <c r="A54" s="5">
        <v>44539</v>
      </c>
      <c r="B54">
        <v>3.6509999999999998</v>
      </c>
      <c r="C54">
        <v>3.7</v>
      </c>
      <c r="D54">
        <v>3.3730000000000002</v>
      </c>
      <c r="E54">
        <v>3.379</v>
      </c>
      <c r="F54">
        <v>310051.90000000002</v>
      </c>
      <c r="G54">
        <v>3.379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-0.96330275229357931</v>
      </c>
      <c r="Q54">
        <f t="shared" ref="Q54" si="246">F54*P54</f>
        <v>-298673.84862385364</v>
      </c>
      <c r="R54">
        <f t="shared" ref="R54" si="247">R55+Q54</f>
        <v>53655279.271193542</v>
      </c>
      <c r="S54">
        <f t="shared" ref="S54" si="248">R54/100000</f>
        <v>536.55279271193547</v>
      </c>
      <c r="T54">
        <f t="shared" ref="T54" si="249">S54/1000</f>
        <v>0.53655279271193546</v>
      </c>
    </row>
    <row r="55" spans="1:20" x14ac:dyDescent="0.25">
      <c r="A55" s="5">
        <v>44538</v>
      </c>
      <c r="B55">
        <v>3.5529999999999999</v>
      </c>
      <c r="C55">
        <v>3.6949999999999998</v>
      </c>
      <c r="D55">
        <v>3.4529999999999998</v>
      </c>
      <c r="E55">
        <v>3.649</v>
      </c>
      <c r="F55">
        <v>320989.5</v>
      </c>
      <c r="G55">
        <v>3.649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0.61983471074380314</v>
      </c>
      <c r="Q55">
        <f t="shared" ref="Q55" si="251">F55*P55</f>
        <v>198960.43388429799</v>
      </c>
      <c r="R55">
        <f t="shared" ref="R55" si="252">R56+Q55</f>
        <v>53953953.119817398</v>
      </c>
      <c r="S55">
        <f t="shared" ref="S55" si="253">R55/100000</f>
        <v>539.53953119817402</v>
      </c>
      <c r="T55">
        <f t="shared" ref="T55" si="254">S55/1000</f>
        <v>0.53953953119817399</v>
      </c>
    </row>
    <row r="56" spans="1:20" x14ac:dyDescent="0.25">
      <c r="A56" s="5">
        <v>44537</v>
      </c>
      <c r="B56">
        <v>3.52</v>
      </c>
      <c r="C56">
        <v>3.6469999999999998</v>
      </c>
      <c r="D56">
        <v>3.48</v>
      </c>
      <c r="E56">
        <v>3.5489999999999999</v>
      </c>
      <c r="F56">
        <v>284956.2</v>
      </c>
      <c r="G56">
        <v>3.5489999999999999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-0.17365269461077812</v>
      </c>
      <c r="Q56">
        <f t="shared" ref="Q56" si="256">F56*P56</f>
        <v>-49483.411976047813</v>
      </c>
      <c r="R56">
        <f t="shared" ref="R56" si="257">R57+Q56</f>
        <v>53754992.685933098</v>
      </c>
      <c r="S56">
        <f t="shared" ref="S56" si="258">R56/100000</f>
        <v>537.54992685933098</v>
      </c>
      <c r="T56">
        <f t="shared" ref="T56" si="259">S56/1000</f>
        <v>0.53754992685933101</v>
      </c>
    </row>
    <row r="57" spans="1:20" x14ac:dyDescent="0.25">
      <c r="A57" s="5">
        <v>44536</v>
      </c>
      <c r="B57">
        <v>3.4849999999999999</v>
      </c>
      <c r="C57">
        <v>3.5579999999999998</v>
      </c>
      <c r="D57">
        <v>3.19</v>
      </c>
      <c r="E57">
        <v>3.524</v>
      </c>
      <c r="F57">
        <v>353925.3</v>
      </c>
      <c r="G57">
        <v>3.524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0.81521739130434878</v>
      </c>
      <c r="Q57">
        <f t="shared" ref="Q57" si="261">F57*P57</f>
        <v>288526.05978260905</v>
      </c>
      <c r="R57">
        <f t="shared" ref="R57" si="262">R58+Q57</f>
        <v>53804476.097909145</v>
      </c>
      <c r="S57">
        <f t="shared" ref="S57" si="263">R57/100000</f>
        <v>538.04476097909151</v>
      </c>
      <c r="T57">
        <f t="shared" ref="T57" si="264">S57/1000</f>
        <v>0.53804476097909149</v>
      </c>
    </row>
    <row r="58" spans="1:20" x14ac:dyDescent="0.25">
      <c r="A58" s="5">
        <v>44535</v>
      </c>
      <c r="B58">
        <v>3.5339999999999998</v>
      </c>
      <c r="C58">
        <v>3.5590000000000002</v>
      </c>
      <c r="D58">
        <v>3.2829999999999999</v>
      </c>
      <c r="E58">
        <v>3.488</v>
      </c>
      <c r="F58">
        <v>412069.3</v>
      </c>
      <c r="G58">
        <v>3.488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0.48550724637681081</v>
      </c>
      <c r="Q58">
        <f t="shared" ref="Q58" si="266">F58*P58</f>
        <v>200062.63115941995</v>
      </c>
      <c r="R58">
        <f t="shared" ref="R58" si="267">R59+Q58</f>
        <v>53515950.038126536</v>
      </c>
      <c r="S58">
        <f t="shared" ref="S58" si="268">R58/100000</f>
        <v>535.15950038126539</v>
      </c>
      <c r="T58">
        <f t="shared" ref="T58" si="269">S58/1000</f>
        <v>0.53515950038126536</v>
      </c>
    </row>
    <row r="59" spans="1:20" x14ac:dyDescent="0.25">
      <c r="A59" s="5">
        <v>44534</v>
      </c>
      <c r="B59">
        <v>3.7679999999999998</v>
      </c>
      <c r="C59">
        <v>3.81</v>
      </c>
      <c r="D59">
        <v>2.851</v>
      </c>
      <c r="E59">
        <v>3.5249999999999999</v>
      </c>
      <c r="F59">
        <v>931011.67</v>
      </c>
      <c r="G59">
        <v>3.5249999999999999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0.40563086548487981</v>
      </c>
      <c r="Q59">
        <f t="shared" ref="Q59" si="271">F59*P59</f>
        <v>377647.06947862334</v>
      </c>
      <c r="R59">
        <f t="shared" ref="R59" si="272">R60+Q59</f>
        <v>53315887.406967118</v>
      </c>
      <c r="S59">
        <f t="shared" ref="S59" si="273">R59/100000</f>
        <v>533.15887406967113</v>
      </c>
      <c r="T59">
        <f t="shared" ref="T59" si="274">S59/1000</f>
        <v>0.53315887406967111</v>
      </c>
    </row>
    <row r="60" spans="1:20" x14ac:dyDescent="0.25">
      <c r="A60" s="5">
        <v>44533</v>
      </c>
      <c r="B60">
        <v>3.99</v>
      </c>
      <c r="C60">
        <v>4.319</v>
      </c>
      <c r="D60">
        <v>3.673</v>
      </c>
      <c r="E60">
        <v>3.7669999999999999</v>
      </c>
      <c r="F60">
        <v>829590.5</v>
      </c>
      <c r="G60">
        <v>3.7669999999999999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-0.70897832817337503</v>
      </c>
      <c r="Q60">
        <f t="shared" ref="Q60" si="276">F60*P60</f>
        <v>-588161.68575851433</v>
      </c>
      <c r="R60">
        <f t="shared" ref="R60" si="277">R61+Q60</f>
        <v>52938240.337488495</v>
      </c>
      <c r="S60">
        <f t="shared" ref="S60" si="278">R60/100000</f>
        <v>529.38240337488492</v>
      </c>
      <c r="T60">
        <f t="shared" ref="T60" si="279">S60/1000</f>
        <v>0.52938240337488496</v>
      </c>
    </row>
    <row r="61" spans="1:20" x14ac:dyDescent="0.25">
      <c r="A61" s="5">
        <v>44532</v>
      </c>
      <c r="B61">
        <v>4.0880000000000001</v>
      </c>
      <c r="C61">
        <v>4.1150000000000002</v>
      </c>
      <c r="D61">
        <v>3.927</v>
      </c>
      <c r="E61">
        <v>3.9929999999999999</v>
      </c>
      <c r="F61">
        <v>748613.4</v>
      </c>
      <c r="G61">
        <v>3.9929999999999999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-0.29787234042553429</v>
      </c>
      <c r="Q61">
        <f t="shared" ref="Q61" si="281">F61*P61</f>
        <v>-222991.22553191669</v>
      </c>
      <c r="R61">
        <f t="shared" ref="R61" si="282">R62+Q61</f>
        <v>53526402.023247011</v>
      </c>
      <c r="S61">
        <f t="shared" ref="S61" si="283">R61/100000</f>
        <v>535.2640202324701</v>
      </c>
      <c r="T61">
        <f t="shared" ref="T61" si="284">S61/1000</f>
        <v>0.53526402023247011</v>
      </c>
    </row>
    <row r="62" spans="1:20" x14ac:dyDescent="0.25">
      <c r="A62" s="5">
        <v>44531</v>
      </c>
      <c r="B62">
        <v>4.1040000000000001</v>
      </c>
      <c r="C62">
        <v>4.3040000000000003</v>
      </c>
      <c r="D62">
        <v>4.0179999999999998</v>
      </c>
      <c r="E62">
        <v>4.08</v>
      </c>
      <c r="F62">
        <v>1073094.6000000001</v>
      </c>
      <c r="G62">
        <v>4.08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-0.56643356643356524</v>
      </c>
      <c r="Q62">
        <f t="shared" ref="Q62" si="286">F62*P62</f>
        <v>-607836.80139860022</v>
      </c>
      <c r="R62">
        <f t="shared" ref="R62" si="287">R63+Q62</f>
        <v>53749393.248778924</v>
      </c>
      <c r="S62">
        <f t="shared" ref="S62" si="288">R62/100000</f>
        <v>537.49393248778927</v>
      </c>
      <c r="T62">
        <f t="shared" ref="T62" si="289">S62/1000</f>
        <v>0.53749393248778932</v>
      </c>
    </row>
    <row r="63" spans="1:20" x14ac:dyDescent="0.25">
      <c r="A63" s="5">
        <v>44530</v>
      </c>
      <c r="B63">
        <v>4.0519999999999996</v>
      </c>
      <c r="C63">
        <v>4.2460000000000004</v>
      </c>
      <c r="D63">
        <v>3.9529999999999998</v>
      </c>
      <c r="E63">
        <v>4.0970000000000004</v>
      </c>
      <c r="F63">
        <v>2310877.5</v>
      </c>
      <c r="G63">
        <v>4.0970000000000004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-1.7064846416380338E-2</v>
      </c>
      <c r="Q63">
        <f t="shared" ref="Q63" si="291">F63*P63</f>
        <v>-39434.769624568951</v>
      </c>
      <c r="R63">
        <f t="shared" ref="R63" si="292">R64+Q63</f>
        <v>54357230.050177522</v>
      </c>
      <c r="S63">
        <f t="shared" ref="S63" si="293">R63/100000</f>
        <v>543.5723005017752</v>
      </c>
      <c r="T63">
        <f t="shared" ref="T63" si="294">S63/1000</f>
        <v>0.54357230050177519</v>
      </c>
    </row>
    <row r="64" spans="1:20" x14ac:dyDescent="0.25">
      <c r="A64" s="5">
        <v>44529</v>
      </c>
      <c r="B64">
        <v>3.9729999999999999</v>
      </c>
      <c r="C64">
        <v>4.1680000000000001</v>
      </c>
      <c r="D64">
        <v>3.915</v>
      </c>
      <c r="E64">
        <v>4.0519999999999996</v>
      </c>
      <c r="F64">
        <v>973612</v>
      </c>
      <c r="G64">
        <v>4.0519999999999996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8.3003952569166053E-2</v>
      </c>
      <c r="Q64">
        <f t="shared" ref="Q64" si="296">F64*P64</f>
        <v>80813.644268770906</v>
      </c>
      <c r="R64">
        <f t="shared" ref="R64" si="297">R65+Q64</f>
        <v>54396664.819802091</v>
      </c>
      <c r="S64">
        <f t="shared" ref="S64" si="298">R64/100000</f>
        <v>543.96664819802095</v>
      </c>
      <c r="T64">
        <f t="shared" ref="T64" si="299">S64/1000</f>
        <v>0.54396664819802099</v>
      </c>
    </row>
    <row r="65" spans="1:20" x14ac:dyDescent="0.25">
      <c r="A65" s="5">
        <v>44528</v>
      </c>
      <c r="B65">
        <v>3.8660000000000001</v>
      </c>
      <c r="C65">
        <v>3.9750000000000001</v>
      </c>
      <c r="D65">
        <v>3.6970000000000001</v>
      </c>
      <c r="E65">
        <v>3.9710000000000001</v>
      </c>
      <c r="F65">
        <v>921723.1</v>
      </c>
      <c r="G65">
        <v>3.9710000000000001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0.97122302158273377</v>
      </c>
      <c r="Q65">
        <f t="shared" ref="Q65" si="301">F65*P65</f>
        <v>895198.69424460421</v>
      </c>
      <c r="R65">
        <f t="shared" ref="R65" si="302">R66+Q65</f>
        <v>54315851.175533317</v>
      </c>
      <c r="S65">
        <f t="shared" ref="S65" si="303">R65/100000</f>
        <v>543.15851175533317</v>
      </c>
      <c r="T65">
        <f t="shared" ref="T65" si="304">S65/1000</f>
        <v>0.54315851175533314</v>
      </c>
    </row>
    <row r="66" spans="1:20" x14ac:dyDescent="0.25">
      <c r="A66" s="5">
        <v>44527</v>
      </c>
      <c r="B66">
        <v>3.8050000000000002</v>
      </c>
      <c r="C66">
        <v>3.9969999999999999</v>
      </c>
      <c r="D66">
        <v>3.78</v>
      </c>
      <c r="E66">
        <v>3.8650000000000002</v>
      </c>
      <c r="F66">
        <v>403002.1</v>
      </c>
      <c r="G66">
        <v>3.8650000000000002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-0.21658986175114861</v>
      </c>
      <c r="Q66">
        <f t="shared" ref="Q66" si="306">F66*P66</f>
        <v>-87286.169124422566</v>
      </c>
      <c r="R66">
        <f t="shared" ref="R66" si="307">R67+Q66</f>
        <v>53420652.481288716</v>
      </c>
      <c r="S66">
        <f t="shared" ref="S66" si="308">R66/100000</f>
        <v>534.20652481288721</v>
      </c>
      <c r="T66">
        <f t="shared" ref="T66" si="309">S66/1000</f>
        <v>0.53420652481288722</v>
      </c>
    </row>
    <row r="67" spans="1:20" x14ac:dyDescent="0.25">
      <c r="A67" s="5">
        <v>44526</v>
      </c>
      <c r="B67">
        <v>4.2119999999999997</v>
      </c>
      <c r="C67">
        <v>4.2729999999999997</v>
      </c>
      <c r="D67">
        <v>3.7250000000000001</v>
      </c>
      <c r="E67">
        <v>3.8029999999999999</v>
      </c>
      <c r="F67">
        <v>928647.9</v>
      </c>
      <c r="G67">
        <v>3.8029999999999999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-0.71532846715328502</v>
      </c>
      <c r="Q67">
        <f t="shared" ref="Q67" si="311">F67*P67</f>
        <v>-664288.2788321171</v>
      </c>
      <c r="R67">
        <f t="shared" ref="R67" si="312">R68+Q67</f>
        <v>53507938.650413141</v>
      </c>
      <c r="S67">
        <f t="shared" ref="S67" si="313">R67/100000</f>
        <v>535.07938650413143</v>
      </c>
      <c r="T67">
        <f t="shared" ref="T67" si="314">S67/1000</f>
        <v>0.53507938650413145</v>
      </c>
    </row>
    <row r="68" spans="1:20" x14ac:dyDescent="0.25">
      <c r="A68" s="5">
        <v>44525</v>
      </c>
      <c r="B68">
        <v>3.9849999999999999</v>
      </c>
      <c r="C68">
        <v>4.2830000000000004</v>
      </c>
      <c r="D68">
        <v>3.948</v>
      </c>
      <c r="E68">
        <v>4.2130000000000001</v>
      </c>
      <c r="F68">
        <v>806424</v>
      </c>
      <c r="G68">
        <v>4.2130000000000001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0.58208955223880476</v>
      </c>
      <c r="Q68">
        <f t="shared" ref="Q68" si="316">F68*P68</f>
        <v>469410.98507462587</v>
      </c>
      <c r="R68">
        <f t="shared" ref="R68" si="317">R69+Q68</f>
        <v>54172226.929245256</v>
      </c>
      <c r="S68">
        <f t="shared" ref="S68" si="318">R68/100000</f>
        <v>541.72226929245255</v>
      </c>
      <c r="T68">
        <f t="shared" ref="T68" si="319">S68/1000</f>
        <v>0.5417222692924526</v>
      </c>
    </row>
    <row r="69" spans="1:20" x14ac:dyDescent="0.25">
      <c r="A69" s="5">
        <v>44524</v>
      </c>
      <c r="B69">
        <v>4.077</v>
      </c>
      <c r="C69">
        <v>4.1420000000000003</v>
      </c>
      <c r="D69">
        <v>3.9729999999999999</v>
      </c>
      <c r="E69">
        <v>4.0279999999999996</v>
      </c>
      <c r="F69">
        <v>76576.100000000006</v>
      </c>
      <c r="G69">
        <v>4.0279999999999996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-0.34911242603550818</v>
      </c>
      <c r="Q69">
        <f t="shared" ref="Q69" si="321">F69*P69</f>
        <v>-26733.66804733768</v>
      </c>
      <c r="R69">
        <f t="shared" ref="R69" si="322">R70+Q69</f>
        <v>53702815.944170631</v>
      </c>
      <c r="S69">
        <f t="shared" ref="S69" si="323">R69/100000</f>
        <v>537.02815944170629</v>
      </c>
      <c r="T69">
        <f t="shared" ref="T69" si="324">S69/1000</f>
        <v>0.53702815944170634</v>
      </c>
    </row>
    <row r="70" spans="1:20" x14ac:dyDescent="0.25">
      <c r="A70" s="5">
        <v>44523</v>
      </c>
      <c r="B70">
        <v>3.9239999999999999</v>
      </c>
      <c r="C70">
        <v>4.1189999999999998</v>
      </c>
      <c r="D70">
        <v>3.8809999999999998</v>
      </c>
      <c r="E70">
        <v>4.0789999999999997</v>
      </c>
      <c r="F70">
        <v>249883.1</v>
      </c>
      <c r="G70">
        <v>4.0789999999999997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0.66386554621848703</v>
      </c>
      <c r="Q70">
        <f t="shared" ref="Q70" si="326">F70*P70</f>
        <v>165888.78067226883</v>
      </c>
      <c r="R70">
        <f t="shared" ref="R70" si="327">R71+Q70</f>
        <v>53729549.61221797</v>
      </c>
      <c r="S70">
        <f t="shared" ref="S70" si="328">R70/100000</f>
        <v>537.29549612217966</v>
      </c>
      <c r="T70">
        <f t="shared" ref="T70" si="329">S70/1000</f>
        <v>0.53729549612217964</v>
      </c>
    </row>
    <row r="71" spans="1:20" x14ac:dyDescent="0.25">
      <c r="A71" s="5">
        <v>44522</v>
      </c>
      <c r="B71">
        <v>4.0960000000000001</v>
      </c>
      <c r="C71">
        <v>4.101</v>
      </c>
      <c r="D71">
        <v>3.8580000000000001</v>
      </c>
      <c r="E71">
        <v>3.9220000000000002</v>
      </c>
      <c r="F71">
        <v>474730.8</v>
      </c>
      <c r="G71">
        <v>3.9220000000000002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-0.47325102880658365</v>
      </c>
      <c r="Q71">
        <f t="shared" ref="Q71" si="331">F71*P71</f>
        <v>-224666.83950617249</v>
      </c>
      <c r="R71">
        <f t="shared" ref="R71" si="332">R72+Q71</f>
        <v>53563660.831545703</v>
      </c>
      <c r="S71">
        <f t="shared" ref="S71" si="333">R71/100000</f>
        <v>535.63660831545701</v>
      </c>
      <c r="T71">
        <f t="shared" ref="T71" si="334">S71/1000</f>
        <v>0.53563660831545701</v>
      </c>
    </row>
    <row r="72" spans="1:20" x14ac:dyDescent="0.25">
      <c r="A72" s="5">
        <v>44521</v>
      </c>
      <c r="B72">
        <v>4.1760000000000002</v>
      </c>
      <c r="C72">
        <v>4.1790000000000003</v>
      </c>
      <c r="D72">
        <v>4.048</v>
      </c>
      <c r="E72">
        <v>4.0910000000000002</v>
      </c>
      <c r="F72">
        <v>401890.5</v>
      </c>
      <c r="G72">
        <v>4.0910000000000002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-0.34351145038167824</v>
      </c>
      <c r="Q72">
        <f t="shared" ref="Q72" si="336">F72*P72</f>
        <v>-138053.98854961785</v>
      </c>
      <c r="R72">
        <f t="shared" ref="R72" si="337">R73+Q72</f>
        <v>53788327.671051875</v>
      </c>
      <c r="S72">
        <f t="shared" ref="S72" si="338">R72/100000</f>
        <v>537.88327671051877</v>
      </c>
      <c r="T72">
        <f t="shared" ref="T72" si="339">S72/1000</f>
        <v>0.53788327671051872</v>
      </c>
    </row>
    <row r="73" spans="1:20" x14ac:dyDescent="0.25">
      <c r="A73" s="5">
        <v>44520</v>
      </c>
      <c r="B73">
        <v>4.0549999999999997</v>
      </c>
      <c r="C73">
        <v>4.1970000000000001</v>
      </c>
      <c r="D73">
        <v>3.9809999999999999</v>
      </c>
      <c r="E73">
        <v>4.1740000000000004</v>
      </c>
      <c r="F73">
        <v>280862.40000000002</v>
      </c>
      <c r="G73">
        <v>4.1740000000000004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0.78703703703704009</v>
      </c>
      <c r="Q73">
        <f t="shared" ref="Q73" si="341">F73*P73</f>
        <v>221049.111111112</v>
      </c>
      <c r="R73">
        <f t="shared" ref="R73" si="342">R74+Q73</f>
        <v>53926381.659601495</v>
      </c>
      <c r="S73">
        <f t="shared" ref="S73" si="343">R73/100000</f>
        <v>539.26381659601498</v>
      </c>
      <c r="T73">
        <f t="shared" ref="T73" si="344">S73/1000</f>
        <v>0.53926381659601497</v>
      </c>
    </row>
    <row r="74" spans="1:20" x14ac:dyDescent="0.25">
      <c r="A74" s="5">
        <v>44519</v>
      </c>
      <c r="B74">
        <v>3.8410000000000002</v>
      </c>
      <c r="C74">
        <v>4.1100000000000003</v>
      </c>
      <c r="D74">
        <v>3.806</v>
      </c>
      <c r="E74">
        <v>4.0540000000000003</v>
      </c>
      <c r="F74">
        <v>340641.8</v>
      </c>
      <c r="G74">
        <v>4.0540000000000003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0.63157894736842102</v>
      </c>
      <c r="Q74">
        <f t="shared" ref="Q74" si="346">F74*P74</f>
        <v>215142.18947368418</v>
      </c>
      <c r="R74">
        <f t="shared" ref="R74" si="347">R75+Q74</f>
        <v>53705332.548490383</v>
      </c>
      <c r="S74">
        <f t="shared" ref="S74" si="348">R74/100000</f>
        <v>537.05332548490378</v>
      </c>
      <c r="T74">
        <f t="shared" ref="T74" si="349">S74/1000</f>
        <v>0.53705332548490381</v>
      </c>
    </row>
    <row r="75" spans="1:20" x14ac:dyDescent="0.25">
      <c r="A75" s="5">
        <v>44518</v>
      </c>
      <c r="B75">
        <v>4.1230000000000002</v>
      </c>
      <c r="C75">
        <v>4.1909999999999998</v>
      </c>
      <c r="D75">
        <v>3.806</v>
      </c>
      <c r="E75">
        <v>3.8479999999999999</v>
      </c>
      <c r="F75">
        <v>305028.09999999998</v>
      </c>
      <c r="G75">
        <v>3.8479999999999999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-0.78181818181818263</v>
      </c>
      <c r="Q75">
        <f t="shared" ref="Q75" si="351">F75*P75</f>
        <v>-238476.51454545479</v>
      </c>
      <c r="R75">
        <f t="shared" ref="R75" si="352">R76+Q75</f>
        <v>53490190.359016702</v>
      </c>
      <c r="S75">
        <f t="shared" ref="S75" si="353">R75/100000</f>
        <v>534.90190359016697</v>
      </c>
      <c r="T75">
        <f t="shared" ref="T75" si="354">S75/1000</f>
        <v>0.53490190359016698</v>
      </c>
    </row>
    <row r="76" spans="1:20" x14ac:dyDescent="0.25">
      <c r="A76" s="5">
        <v>44517</v>
      </c>
      <c r="B76">
        <v>4.0810000000000004</v>
      </c>
      <c r="C76">
        <v>4.16</v>
      </c>
      <c r="D76">
        <v>3.9630000000000001</v>
      </c>
      <c r="E76">
        <v>4.1189999999999998</v>
      </c>
      <c r="F76">
        <v>361911</v>
      </c>
      <c r="G76">
        <v>4.1189999999999998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0.5837563451776614</v>
      </c>
      <c r="Q76">
        <f t="shared" ref="Q76" si="356">F76*P76</f>
        <v>211267.84263959262</v>
      </c>
      <c r="R76">
        <f t="shared" ref="R76" si="357">R77+Q76</f>
        <v>53728666.873562157</v>
      </c>
      <c r="S76">
        <f t="shared" ref="S76" si="358">R76/100000</f>
        <v>537.28666873562156</v>
      </c>
      <c r="T76">
        <f t="shared" ref="T76" si="359">S76/1000</f>
        <v>0.53728666873562159</v>
      </c>
    </row>
    <row r="77" spans="1:20" x14ac:dyDescent="0.25">
      <c r="A77" s="5">
        <v>44516</v>
      </c>
      <c r="B77">
        <v>4.4130000000000003</v>
      </c>
      <c r="C77">
        <v>4.4139999999999997</v>
      </c>
      <c r="D77">
        <v>3.9940000000000002</v>
      </c>
      <c r="E77">
        <v>4.0830000000000002</v>
      </c>
      <c r="F77">
        <v>527608.30000000005</v>
      </c>
      <c r="G77">
        <v>4.0830000000000002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-0.57619047619047581</v>
      </c>
      <c r="Q77">
        <f t="shared" ref="Q77" si="361">F77*P77</f>
        <v>-304002.87761904742</v>
      </c>
      <c r="R77">
        <f t="shared" ref="R77" si="362">R78+Q77</f>
        <v>53517399.030922562</v>
      </c>
      <c r="S77">
        <f t="shared" ref="S77" si="363">R77/100000</f>
        <v>535.17399030922559</v>
      </c>
      <c r="T77">
        <f t="shared" ref="T77" si="364">S77/1000</f>
        <v>0.53517399030922563</v>
      </c>
    </row>
    <row r="78" spans="1:20" x14ac:dyDescent="0.25">
      <c r="A78" s="5">
        <v>44515</v>
      </c>
      <c r="B78">
        <v>4.5129999999999999</v>
      </c>
      <c r="C78">
        <v>4.6660000000000004</v>
      </c>
      <c r="D78">
        <v>4.407</v>
      </c>
      <c r="E78">
        <v>4.4130000000000003</v>
      </c>
      <c r="F78">
        <v>391071.7</v>
      </c>
      <c r="G78">
        <v>4.4130000000000003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-0.95366795366795198</v>
      </c>
      <c r="Q78">
        <f t="shared" ref="Q78" si="366">F78*P78</f>
        <v>-372952.54787644721</v>
      </c>
      <c r="R78">
        <f t="shared" ref="R78" si="367">R79+Q78</f>
        <v>53821401.908541612</v>
      </c>
      <c r="S78">
        <f t="shared" ref="S78" si="368">R78/100000</f>
        <v>538.21401908541611</v>
      </c>
      <c r="T78">
        <f t="shared" ref="T78" si="369">S78/1000</f>
        <v>0.53821401908541611</v>
      </c>
    </row>
    <row r="79" spans="1:20" x14ac:dyDescent="0.25">
      <c r="A79" s="5">
        <v>44514</v>
      </c>
      <c r="B79">
        <v>4.5979999999999999</v>
      </c>
      <c r="C79">
        <v>4.6379999999999999</v>
      </c>
      <c r="D79">
        <v>4.431</v>
      </c>
      <c r="E79">
        <v>4.5149999999999997</v>
      </c>
      <c r="F79">
        <v>226201</v>
      </c>
      <c r="G79">
        <v>4.5149999999999997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-0.18840579710145225</v>
      </c>
      <c r="Q79">
        <f t="shared" ref="Q79" si="371">F79*P79</f>
        <v>-42617.579710145597</v>
      </c>
      <c r="R79">
        <f t="shared" ref="R79" si="372">R80+Q79</f>
        <v>54194354.45641806</v>
      </c>
      <c r="S79">
        <f t="shared" ref="S79" si="373">R79/100000</f>
        <v>541.94354456418057</v>
      </c>
      <c r="T79">
        <f t="shared" ref="T79" si="374">S79/1000</f>
        <v>0.54194354456418059</v>
      </c>
    </row>
    <row r="80" spans="1:20" x14ac:dyDescent="0.25">
      <c r="A80" s="5">
        <v>44513</v>
      </c>
      <c r="B80">
        <v>4.6180000000000003</v>
      </c>
      <c r="C80">
        <v>4.6760000000000002</v>
      </c>
      <c r="D80">
        <v>4.5010000000000003</v>
      </c>
      <c r="E80">
        <v>4.6020000000000003</v>
      </c>
      <c r="F80">
        <v>324380.2</v>
      </c>
      <c r="G80">
        <v>4.6020000000000003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0.15428571428571522</v>
      </c>
      <c r="Q80">
        <f t="shared" ref="Q80" si="376">F80*P80</f>
        <v>50047.230857143164</v>
      </c>
      <c r="R80">
        <f t="shared" ref="R80" si="377">R81+Q80</f>
        <v>54236972.036128208</v>
      </c>
      <c r="S80">
        <f t="shared" ref="S80" si="378">R80/100000</f>
        <v>542.36972036128213</v>
      </c>
      <c r="T80">
        <f t="shared" ref="T80" si="379">S80/1000</f>
        <v>0.54236972036128217</v>
      </c>
    </row>
    <row r="81" spans="1:20" x14ac:dyDescent="0.25">
      <c r="A81" s="5">
        <v>44512</v>
      </c>
      <c r="B81">
        <v>4.6710000000000003</v>
      </c>
      <c r="C81">
        <v>4.8170000000000002</v>
      </c>
      <c r="D81">
        <v>4.3970000000000002</v>
      </c>
      <c r="E81">
        <v>4.6130000000000004</v>
      </c>
      <c r="F81">
        <v>940044.5</v>
      </c>
      <c r="G81">
        <v>4.6130000000000004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2.857142857142966E-2</v>
      </c>
      <c r="Q81">
        <f t="shared" ref="Q81" si="381">F81*P81</f>
        <v>26858.414285715309</v>
      </c>
      <c r="R81">
        <f t="shared" ref="R81" si="382">R82+Q81</f>
        <v>54186924.805271067</v>
      </c>
      <c r="S81">
        <f t="shared" ref="S81" si="383">R81/100000</f>
        <v>541.86924805271065</v>
      </c>
      <c r="T81">
        <f t="shared" ref="T81" si="384">S81/1000</f>
        <v>0.54186924805271064</v>
      </c>
    </row>
    <row r="82" spans="1:20" x14ac:dyDescent="0.25">
      <c r="A82" s="5">
        <v>44511</v>
      </c>
      <c r="B82">
        <v>4.6100000000000003</v>
      </c>
      <c r="C82">
        <v>4.9470000000000001</v>
      </c>
      <c r="D82">
        <v>4.5209999999999999</v>
      </c>
      <c r="E82">
        <v>4.67</v>
      </c>
      <c r="F82">
        <v>1817444.3</v>
      </c>
      <c r="G82">
        <v>4.67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-0.30046948356807529</v>
      </c>
      <c r="Q82">
        <f t="shared" ref="Q82" si="386">F82*P82</f>
        <v>-546086.55023474211</v>
      </c>
      <c r="R82">
        <f t="shared" ref="R82" si="387">R83+Q82</f>
        <v>54160066.390985355</v>
      </c>
      <c r="S82">
        <f t="shared" ref="S82" si="388">R82/100000</f>
        <v>541.60066390985355</v>
      </c>
      <c r="T82">
        <f t="shared" ref="T82" si="389">S82/1000</f>
        <v>0.54160066390985351</v>
      </c>
    </row>
    <row r="83" spans="1:20" x14ac:dyDescent="0.25">
      <c r="A83" s="5">
        <v>44510</v>
      </c>
      <c r="B83">
        <v>4.6790000000000003</v>
      </c>
      <c r="C83">
        <v>5.0221999999999998</v>
      </c>
      <c r="D83">
        <v>4.4000000000000004</v>
      </c>
      <c r="E83">
        <v>4.617</v>
      </c>
      <c r="F83">
        <v>1419102.2</v>
      </c>
      <c r="G83">
        <v>4.617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-0.30247508839601467</v>
      </c>
      <c r="Q83">
        <f t="shared" ref="Q83" si="391">F83*P83</f>
        <v>-429243.06338797888</v>
      </c>
      <c r="R83">
        <f t="shared" ref="R83" si="392">R84+Q83</f>
        <v>54706152.941220097</v>
      </c>
      <c r="S83">
        <f t="shared" ref="S83" si="393">R83/100000</f>
        <v>547.06152941220103</v>
      </c>
      <c r="T83">
        <f t="shared" ref="T83" si="394">S83/1000</f>
        <v>0.54706152941220099</v>
      </c>
    </row>
    <row r="84" spans="1:20" x14ac:dyDescent="0.25">
      <c r="A84" s="5">
        <v>44509</v>
      </c>
      <c r="B84">
        <v>4.6360000000000001</v>
      </c>
      <c r="C84">
        <v>4.7839999999999998</v>
      </c>
      <c r="D84">
        <v>4.5999999999999996</v>
      </c>
      <c r="E84">
        <v>4.68</v>
      </c>
      <c r="F84">
        <v>1252031.2</v>
      </c>
      <c r="G84">
        <v>4.68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-0.13043478260869565</v>
      </c>
      <c r="Q84">
        <f t="shared" ref="Q84" si="396">F84*P84</f>
        <v>-163308.41739130433</v>
      </c>
      <c r="R84">
        <f t="shared" ref="R84" si="397">R85+Q84</f>
        <v>55135396.00460808</v>
      </c>
      <c r="S84">
        <f t="shared" ref="S84" si="398">R84/100000</f>
        <v>551.35396004608083</v>
      </c>
      <c r="T84">
        <f t="shared" ref="T84" si="399">S84/1000</f>
        <v>0.55135396004608084</v>
      </c>
    </row>
    <row r="85" spans="1:20" x14ac:dyDescent="0.25">
      <c r="A85" s="5">
        <v>44508</v>
      </c>
      <c r="B85">
        <v>4.4749999999999996</v>
      </c>
      <c r="C85">
        <v>4.7560000000000002</v>
      </c>
      <c r="D85">
        <v>4.4640000000000004</v>
      </c>
      <c r="E85">
        <v>4.6310000000000002</v>
      </c>
      <c r="F85">
        <v>971285.3</v>
      </c>
      <c r="G85">
        <v>4.6310000000000002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0.14383561643835563</v>
      </c>
      <c r="Q85">
        <f t="shared" ref="Q85" si="401">F85*P85</f>
        <v>139705.41986301317</v>
      </c>
      <c r="R85">
        <f t="shared" ref="R85" si="402">R86+Q85</f>
        <v>55298704.421999387</v>
      </c>
      <c r="S85">
        <f t="shared" ref="S85" si="403">R85/100000</f>
        <v>552.98704421999389</v>
      </c>
      <c r="T85">
        <f t="shared" ref="T85" si="404">S85/1000</f>
        <v>0.5529870442199939</v>
      </c>
    </row>
    <row r="86" spans="1:20" x14ac:dyDescent="0.25">
      <c r="A86" s="5">
        <v>44507</v>
      </c>
      <c r="B86">
        <v>4.3609999999999998</v>
      </c>
      <c r="C86">
        <v>4.4909999999999997</v>
      </c>
      <c r="D86">
        <v>4.3259999999999996</v>
      </c>
      <c r="E86">
        <v>4.4749999999999996</v>
      </c>
      <c r="F86">
        <v>344188.3</v>
      </c>
      <c r="G86">
        <v>4.4749999999999996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0.80606060606060592</v>
      </c>
      <c r="Q86">
        <f t="shared" ref="Q86" si="406">F86*P86</f>
        <v>277436.62969696964</v>
      </c>
      <c r="R86">
        <f t="shared" ref="R86" si="407">R87+Q86</f>
        <v>55158999.002136372</v>
      </c>
      <c r="S86">
        <f t="shared" ref="S86" si="408">R86/100000</f>
        <v>551.58999002136375</v>
      </c>
      <c r="T86">
        <f t="shared" ref="T86" si="409">S86/1000</f>
        <v>0.55158999002136377</v>
      </c>
    </row>
    <row r="87" spans="1:20" x14ac:dyDescent="0.25">
      <c r="A87" s="5">
        <v>44506</v>
      </c>
      <c r="B87">
        <v>4.3620000000000001</v>
      </c>
      <c r="C87">
        <v>4.41</v>
      </c>
      <c r="D87">
        <v>4.2149999999999999</v>
      </c>
      <c r="E87">
        <v>4.3559999999999999</v>
      </c>
      <c r="F87">
        <v>211535.3</v>
      </c>
      <c r="G87">
        <v>4.3559999999999999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0.44615384615384418</v>
      </c>
      <c r="Q87">
        <f t="shared" ref="Q87" si="411">F87*P87</f>
        <v>94377.287692307276</v>
      </c>
      <c r="R87">
        <f t="shared" ref="R87" si="412">R88+Q87</f>
        <v>54881562.372439399</v>
      </c>
      <c r="S87">
        <f t="shared" ref="S87" si="413">R87/100000</f>
        <v>548.81562372439396</v>
      </c>
      <c r="T87">
        <f t="shared" ref="T87" si="414">S87/1000</f>
        <v>0.54881562372439396</v>
      </c>
    </row>
    <row r="88" spans="1:20" x14ac:dyDescent="0.25">
      <c r="A88" s="5">
        <v>44505</v>
      </c>
      <c r="B88">
        <v>4.3479999999999999</v>
      </c>
      <c r="C88">
        <v>4.4249999999999998</v>
      </c>
      <c r="D88">
        <v>4.274</v>
      </c>
      <c r="E88">
        <v>4.3620000000000001</v>
      </c>
      <c r="F88">
        <v>363154</v>
      </c>
      <c r="G88">
        <v>4.3620000000000001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0.16556291390728733</v>
      </c>
      <c r="Q88">
        <f t="shared" ref="Q88" si="416">F88*P88</f>
        <v>60124.834437087025</v>
      </c>
      <c r="R88">
        <f t="shared" ref="R88" si="417">R89+Q88</f>
        <v>54787185.084747091</v>
      </c>
      <c r="S88">
        <f t="shared" ref="S88" si="418">R88/100000</f>
        <v>547.87185084747091</v>
      </c>
      <c r="T88">
        <f t="shared" ref="T88" si="419">S88/1000</f>
        <v>0.54787185084747092</v>
      </c>
    </row>
    <row r="89" spans="1:20" x14ac:dyDescent="0.25">
      <c r="A89" s="5">
        <v>44504</v>
      </c>
      <c r="B89">
        <v>4.4160000000000004</v>
      </c>
      <c r="C89">
        <v>4.58</v>
      </c>
      <c r="D89">
        <v>4.24</v>
      </c>
      <c r="E89">
        <v>4.3470000000000004</v>
      </c>
      <c r="F89">
        <v>464225.2</v>
      </c>
      <c r="G89">
        <v>4.3470000000000004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-0.37058823529411616</v>
      </c>
      <c r="Q89">
        <f t="shared" ref="Q89" si="421">F89*P89</f>
        <v>-172036.39764705813</v>
      </c>
      <c r="R89">
        <f t="shared" ref="R89" si="422">R90+Q89</f>
        <v>54727060.250310004</v>
      </c>
      <c r="S89">
        <f t="shared" ref="S89" si="423">R89/100000</f>
        <v>547.27060250310001</v>
      </c>
      <c r="T89">
        <f t="shared" ref="T89" si="424">S89/1000</f>
        <v>0.5472706025031</v>
      </c>
    </row>
    <row r="90" spans="1:20" x14ac:dyDescent="0.25">
      <c r="A90" s="5">
        <v>44503</v>
      </c>
      <c r="B90">
        <v>4.4790000000000001</v>
      </c>
      <c r="C90">
        <v>4.5999999999999996</v>
      </c>
      <c r="D90">
        <v>4.2880000000000003</v>
      </c>
      <c r="E90">
        <v>4.4160000000000004</v>
      </c>
      <c r="F90">
        <v>1029886.1</v>
      </c>
      <c r="G90">
        <v>4.4160000000000004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-0.17948717948717716</v>
      </c>
      <c r="Q90">
        <f t="shared" ref="Q90" si="426">F90*P90</f>
        <v>-184851.35128204888</v>
      </c>
      <c r="R90">
        <f t="shared" ref="R90" si="427">R91+Q90</f>
        <v>54899096.647957064</v>
      </c>
      <c r="S90">
        <f t="shared" ref="S90" si="428">R90/100000</f>
        <v>548.9909664795706</v>
      </c>
      <c r="T90">
        <f t="shared" ref="T90" si="429">S90/1000</f>
        <v>0.54899096647957057</v>
      </c>
    </row>
    <row r="91" spans="1:20" x14ac:dyDescent="0.25">
      <c r="A91" s="5">
        <v>44502</v>
      </c>
      <c r="B91">
        <v>4.2779999999999996</v>
      </c>
      <c r="C91">
        <v>4.4800000000000004</v>
      </c>
      <c r="D91">
        <v>4.2530000000000001</v>
      </c>
      <c r="E91">
        <v>4.4790000000000001</v>
      </c>
      <c r="F91">
        <v>501703.5</v>
      </c>
      <c r="G91">
        <v>4.4790000000000001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0.99118942731277238</v>
      </c>
      <c r="Q91">
        <f t="shared" ref="Q91" si="431">F91*P91</f>
        <v>497283.20484581351</v>
      </c>
      <c r="R91">
        <f t="shared" ref="R91" si="432">R92+Q91</f>
        <v>55083947.999239109</v>
      </c>
      <c r="S91">
        <f t="shared" ref="S91" si="433">R91/100000</f>
        <v>550.83947999239115</v>
      </c>
      <c r="T91">
        <f t="shared" ref="T91" si="434">S91/1000</f>
        <v>0.55083947999239113</v>
      </c>
    </row>
    <row r="92" spans="1:20" x14ac:dyDescent="0.25">
      <c r="A92" s="5">
        <v>44501</v>
      </c>
      <c r="B92">
        <v>4.2439999999999998</v>
      </c>
      <c r="C92">
        <v>4.3479999999999999</v>
      </c>
      <c r="D92">
        <v>4.109</v>
      </c>
      <c r="E92">
        <v>4.2779999999999996</v>
      </c>
      <c r="F92">
        <v>426306.1</v>
      </c>
      <c r="G92">
        <v>4.2779999999999996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0.41422594142259145</v>
      </c>
      <c r="Q92">
        <f t="shared" ref="Q92" si="436">F92*P92</f>
        <v>176587.0456066934</v>
      </c>
      <c r="R92">
        <f t="shared" ref="R92" si="437">R93+Q92</f>
        <v>54586664.794393294</v>
      </c>
      <c r="S92">
        <f t="shared" ref="S92" si="438">R92/100000</f>
        <v>545.86664794393289</v>
      </c>
      <c r="T92">
        <f t="shared" ref="T92" si="439">S92/1000</f>
        <v>0.54586664794393291</v>
      </c>
    </row>
    <row r="93" spans="1:20" x14ac:dyDescent="0.25">
      <c r="A93" s="5">
        <v>44500</v>
      </c>
      <c r="B93">
        <v>4.258</v>
      </c>
      <c r="C93">
        <v>4.3289999999999997</v>
      </c>
      <c r="D93">
        <v>4.0819999999999999</v>
      </c>
      <c r="E93">
        <v>4.2450000000000001</v>
      </c>
      <c r="F93">
        <v>400749.6</v>
      </c>
      <c r="G93">
        <v>4.2450000000000001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0.31983805668016463</v>
      </c>
      <c r="Q93">
        <f t="shared" ref="Q93" si="441">F93*P93</f>
        <v>128174.97327935329</v>
      </c>
      <c r="R93">
        <f t="shared" ref="R93" si="442">R94+Q93</f>
        <v>54410077.748786598</v>
      </c>
      <c r="S93">
        <f t="shared" ref="S93" si="443">R93/100000</f>
        <v>544.10077748786603</v>
      </c>
      <c r="T93">
        <f t="shared" ref="T93" si="444">S93/1000</f>
        <v>0.54410077748786601</v>
      </c>
    </row>
    <row r="94" spans="1:20" x14ac:dyDescent="0.25">
      <c r="A94" s="5">
        <v>44499</v>
      </c>
      <c r="B94">
        <v>4.2709999999999999</v>
      </c>
      <c r="C94">
        <v>4.33</v>
      </c>
      <c r="D94">
        <v>4.1680000000000001</v>
      </c>
      <c r="E94">
        <v>4.2539999999999996</v>
      </c>
      <c r="F94">
        <v>307110.3</v>
      </c>
      <c r="G94">
        <v>4.2539999999999996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6.1728395061721626E-2</v>
      </c>
      <c r="Q94">
        <f t="shared" ref="Q94" si="446">F94*P94</f>
        <v>18957.425925923846</v>
      </c>
      <c r="R94">
        <f t="shared" ref="R94" si="447">R95+Q94</f>
        <v>54281902.775507241</v>
      </c>
      <c r="S94">
        <f t="shared" ref="S94" si="448">R94/100000</f>
        <v>542.8190277550724</v>
      </c>
      <c r="T94">
        <f t="shared" ref="T94" si="449">S94/1000</f>
        <v>0.5428190277550724</v>
      </c>
    </row>
    <row r="95" spans="1:20" x14ac:dyDescent="0.25">
      <c r="A95" s="5">
        <v>44498</v>
      </c>
      <c r="B95">
        <v>4.1829999999999998</v>
      </c>
      <c r="C95">
        <v>4.3540000000000001</v>
      </c>
      <c r="D95">
        <v>4.1459999999999999</v>
      </c>
      <c r="E95">
        <v>4.2699999999999996</v>
      </c>
      <c r="F95">
        <v>357074.3</v>
      </c>
      <c r="G95">
        <v>4.2699999999999996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0.19230769230768804</v>
      </c>
      <c r="Q95">
        <f t="shared" ref="Q95" si="451">F95*P95</f>
        <v>68668.134615383096</v>
      </c>
      <c r="R95">
        <f t="shared" ref="R95" si="452">R96+Q95</f>
        <v>54262945.349581316</v>
      </c>
      <c r="S95">
        <f t="shared" ref="S95" si="453">R95/100000</f>
        <v>542.62945349581321</v>
      </c>
      <c r="T95">
        <f t="shared" ref="T95" si="454">S95/1000</f>
        <v>0.54262945349581326</v>
      </c>
    </row>
    <row r="96" spans="1:20" x14ac:dyDescent="0.25">
      <c r="A96" s="5">
        <v>44497</v>
      </c>
      <c r="B96">
        <v>3.9630000000000001</v>
      </c>
      <c r="C96">
        <v>4.2240000000000002</v>
      </c>
      <c r="D96">
        <v>3.9449999999999998</v>
      </c>
      <c r="E96">
        <v>4.1829999999999998</v>
      </c>
      <c r="F96">
        <v>221729.1</v>
      </c>
      <c r="G96">
        <v>4.1829999999999998</v>
      </c>
      <c r="L96" t="s">
        <v>7</v>
      </c>
      <c r="M96" t="s">
        <v>8</v>
      </c>
      <c r="N96" t="s">
        <v>7</v>
      </c>
      <c r="P96">
        <f t="shared" ref="P96" si="455">IF(C96=D96,0,((E96-D96)-(C96-E96))/(C96-D96))</f>
        <v>0.70609318996415549</v>
      </c>
      <c r="Q96">
        <f t="shared" ref="Q96" si="456">F96*P96</f>
        <v>156561.40752688123</v>
      </c>
      <c r="R96">
        <f t="shared" ref="R96" si="457">R97+Q96</f>
        <v>54194277.214965932</v>
      </c>
      <c r="S96">
        <f t="shared" ref="S96" si="458">R96/100000</f>
        <v>541.94277214965928</v>
      </c>
      <c r="T96">
        <f t="shared" ref="T96" si="459">S96/1000</f>
        <v>0.54194277214965925</v>
      </c>
    </row>
    <row r="97" spans="1:20" x14ac:dyDescent="0.25">
      <c r="A97" s="5">
        <v>44496</v>
      </c>
      <c r="B97">
        <v>4.2249999999999996</v>
      </c>
      <c r="C97">
        <v>4.375</v>
      </c>
      <c r="D97">
        <v>3.9510000000000001</v>
      </c>
      <c r="E97">
        <v>3.97</v>
      </c>
      <c r="F97">
        <v>427644.6</v>
      </c>
      <c r="G97">
        <v>3.97</v>
      </c>
      <c r="L97" t="s">
        <v>7</v>
      </c>
      <c r="M97" t="s">
        <v>8</v>
      </c>
      <c r="N97" t="s">
        <v>7</v>
      </c>
      <c r="P97">
        <f t="shared" ref="P97" si="460">IF(C97=D97,0,((E97-D97)-(C97-E97))/(C97-D97))</f>
        <v>-0.91037735849056545</v>
      </c>
      <c r="Q97">
        <f t="shared" ref="Q97" si="461">F97*P97</f>
        <v>-389317.96132075443</v>
      </c>
      <c r="R97">
        <f t="shared" ref="R97" si="462">R98+Q97</f>
        <v>54037715.807439052</v>
      </c>
      <c r="S97">
        <f t="shared" ref="S97" si="463">R97/100000</f>
        <v>540.37715807439054</v>
      </c>
      <c r="T97">
        <f t="shared" ref="T97" si="464">S97/1000</f>
        <v>0.54037715807439057</v>
      </c>
    </row>
    <row r="98" spans="1:20" x14ac:dyDescent="0.25">
      <c r="A98" s="5">
        <v>44495</v>
      </c>
      <c r="B98">
        <v>4.2729999999999997</v>
      </c>
      <c r="C98">
        <v>4.3760000000000003</v>
      </c>
      <c r="D98">
        <v>4.1689999999999996</v>
      </c>
      <c r="E98">
        <v>4.2249999999999996</v>
      </c>
      <c r="F98">
        <v>318803.20000000001</v>
      </c>
      <c r="G98">
        <v>4.2249999999999996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-0.45893719806763428</v>
      </c>
      <c r="Q98">
        <f t="shared" ref="Q98" si="466">F98*P98</f>
        <v>-146310.64734299562</v>
      </c>
      <c r="R98">
        <f t="shared" ref="R98" si="467">R99+Q98</f>
        <v>54427033.768759809</v>
      </c>
      <c r="S98">
        <f t="shared" ref="S98" si="468">R98/100000</f>
        <v>544.27033768759804</v>
      </c>
      <c r="T98">
        <f t="shared" ref="T98" si="469">S98/1000</f>
        <v>0.54427033768759803</v>
      </c>
    </row>
    <row r="99" spans="1:20" x14ac:dyDescent="0.25">
      <c r="A99" s="5">
        <v>44494</v>
      </c>
      <c r="B99">
        <v>4.1239999999999997</v>
      </c>
      <c r="C99">
        <v>4.327</v>
      </c>
      <c r="D99">
        <v>4.09</v>
      </c>
      <c r="E99">
        <v>4.274</v>
      </c>
      <c r="F99">
        <v>219104</v>
      </c>
      <c r="G99">
        <v>4.274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0.55274261603375596</v>
      </c>
      <c r="Q99">
        <f t="shared" ref="Q99" si="471">F99*P99</f>
        <v>121108.11814346007</v>
      </c>
      <c r="R99">
        <f t="shared" ref="R99" si="472">R100+Q99</f>
        <v>54573344.416102804</v>
      </c>
      <c r="S99">
        <f t="shared" ref="S99" si="473">R99/100000</f>
        <v>545.73344416102805</v>
      </c>
      <c r="T99">
        <f t="shared" ref="T99" si="474">S99/1000</f>
        <v>0.54573344416102809</v>
      </c>
    </row>
    <row r="100" spans="1:20" x14ac:dyDescent="0.25">
      <c r="A100" s="5">
        <v>44493</v>
      </c>
      <c r="B100">
        <v>4.2220000000000004</v>
      </c>
      <c r="C100">
        <v>4.258</v>
      </c>
      <c r="D100">
        <v>4.0389999999999997</v>
      </c>
      <c r="E100">
        <v>4.1180000000000003</v>
      </c>
      <c r="F100">
        <v>169852.6</v>
      </c>
      <c r="G100">
        <v>4.1180000000000003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-0.27853881278538345</v>
      </c>
      <c r="Q100">
        <f t="shared" ref="Q100" si="476">F100*P100</f>
        <v>-47310.541552510622</v>
      </c>
      <c r="R100">
        <f t="shared" ref="R100" si="477">R101+Q100</f>
        <v>54452236.297959343</v>
      </c>
      <c r="S100">
        <f t="shared" ref="S100" si="478">R100/100000</f>
        <v>544.52236297959348</v>
      </c>
      <c r="T100">
        <f t="shared" ref="T100" si="479">S100/1000</f>
        <v>0.54452236297959344</v>
      </c>
    </row>
    <row r="101" spans="1:20" x14ac:dyDescent="0.25">
      <c r="A101" s="5">
        <v>44492</v>
      </c>
      <c r="B101">
        <v>4.1360000000000001</v>
      </c>
      <c r="C101">
        <v>4.2480000000000002</v>
      </c>
      <c r="D101">
        <v>4.0739999999999998</v>
      </c>
      <c r="E101">
        <v>4.2249999999999996</v>
      </c>
      <c r="F101">
        <v>252547.1</v>
      </c>
      <c r="G101">
        <v>4.2249999999999996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0.73563218390803997</v>
      </c>
      <c r="Q101">
        <f t="shared" ref="Q101" si="481">F101*P101</f>
        <v>185781.77471264216</v>
      </c>
      <c r="R101">
        <f t="shared" ref="R101" si="482">R102+Q101</f>
        <v>54499546.839511856</v>
      </c>
      <c r="S101">
        <f t="shared" ref="S101" si="483">R101/100000</f>
        <v>544.99546839511856</v>
      </c>
      <c r="T101">
        <f t="shared" ref="T101" si="484">S101/1000</f>
        <v>0.54499546839511859</v>
      </c>
    </row>
    <row r="102" spans="1:20" x14ac:dyDescent="0.25">
      <c r="A102" s="5">
        <v>44491</v>
      </c>
      <c r="B102">
        <v>4.1740000000000004</v>
      </c>
      <c r="C102">
        <v>4.3049999999999997</v>
      </c>
      <c r="D102">
        <v>4.0720000000000001</v>
      </c>
      <c r="E102">
        <v>4.1340000000000003</v>
      </c>
      <c r="F102">
        <v>257779</v>
      </c>
      <c r="G102">
        <v>4.1340000000000003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-0.46781115879828011</v>
      </c>
      <c r="Q102">
        <f t="shared" ref="Q102" si="486">F102*P102</f>
        <v>-120591.89270386184</v>
      </c>
      <c r="R102">
        <f t="shared" ref="R102" si="487">R103+Q102</f>
        <v>54313765.064799212</v>
      </c>
      <c r="S102">
        <f t="shared" ref="S102" si="488">R102/100000</f>
        <v>543.13765064799213</v>
      </c>
      <c r="T102">
        <f t="shared" ref="T102" si="489">S102/1000</f>
        <v>0.54313765064799213</v>
      </c>
    </row>
    <row r="103" spans="1:20" x14ac:dyDescent="0.25">
      <c r="A103" s="5">
        <v>44490</v>
      </c>
      <c r="B103">
        <v>4.2830000000000004</v>
      </c>
      <c r="C103">
        <v>4.3940000000000001</v>
      </c>
      <c r="D103">
        <v>4.1509999999999998</v>
      </c>
      <c r="E103">
        <v>4.1749999999999998</v>
      </c>
      <c r="F103">
        <v>558249</v>
      </c>
      <c r="G103">
        <v>4.1749999999999998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-0.80246913580246926</v>
      </c>
      <c r="Q103">
        <f t="shared" ref="Q103" si="491">F103*P103</f>
        <v>-447977.59259259264</v>
      </c>
      <c r="R103">
        <f t="shared" ref="R103" si="492">R104+Q103</f>
        <v>54434356.957503073</v>
      </c>
      <c r="S103">
        <f t="shared" ref="S103" si="493">R103/100000</f>
        <v>544.34356957503076</v>
      </c>
      <c r="T103">
        <f t="shared" ref="T103" si="494">S103/1000</f>
        <v>0.54434356957503072</v>
      </c>
    </row>
    <row r="104" spans="1:20" x14ac:dyDescent="0.25">
      <c r="A104" s="5">
        <v>44489</v>
      </c>
      <c r="B104">
        <v>4.09</v>
      </c>
      <c r="C104">
        <v>4.335</v>
      </c>
      <c r="D104">
        <v>4.048</v>
      </c>
      <c r="E104">
        <v>4.2770000000000001</v>
      </c>
      <c r="F104">
        <v>522453.3</v>
      </c>
      <c r="G104">
        <v>4.2770000000000001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0.59581881533101155</v>
      </c>
      <c r="Q104">
        <f t="shared" ref="Q104" si="496">F104*P104</f>
        <v>311287.50627177756</v>
      </c>
      <c r="R104">
        <f t="shared" ref="R104" si="497">R105+Q104</f>
        <v>54882334.550095662</v>
      </c>
      <c r="S104">
        <f t="shared" ref="S104" si="498">R104/100000</f>
        <v>548.82334550095663</v>
      </c>
      <c r="T104">
        <f t="shared" ref="T104" si="499">S104/1000</f>
        <v>0.54882334550095668</v>
      </c>
    </row>
    <row r="105" spans="1:20" x14ac:dyDescent="0.25">
      <c r="A105" s="5">
        <v>44488</v>
      </c>
      <c r="B105">
        <v>3.99</v>
      </c>
      <c r="C105">
        <v>4.12</v>
      </c>
      <c r="D105">
        <v>3.9340000000000002</v>
      </c>
      <c r="E105">
        <v>4.0880000000000001</v>
      </c>
      <c r="F105">
        <v>407673.8</v>
      </c>
      <c r="G105">
        <v>4.0880000000000001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0.6559139784946233</v>
      </c>
      <c r="Q105">
        <f t="shared" ref="Q105" si="501">F105*P105</f>
        <v>267398.94408602134</v>
      </c>
      <c r="R105">
        <f t="shared" ref="R105" si="502">R106+Q105</f>
        <v>54571047.043823883</v>
      </c>
      <c r="S105">
        <f t="shared" ref="S105" si="503">R105/100000</f>
        <v>545.71047043823887</v>
      </c>
      <c r="T105">
        <f t="shared" ref="T105" si="504">S105/1000</f>
        <v>0.54571047043823884</v>
      </c>
    </row>
    <row r="106" spans="1:20" x14ac:dyDescent="0.25">
      <c r="A106" s="5">
        <v>44487</v>
      </c>
      <c r="B106">
        <v>4.0869999999999997</v>
      </c>
      <c r="C106">
        <v>4.1379999999999999</v>
      </c>
      <c r="D106">
        <v>3.9329999999999998</v>
      </c>
      <c r="E106">
        <v>3.99</v>
      </c>
      <c r="F106">
        <v>234583.4</v>
      </c>
      <c r="G106">
        <v>3.99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-0.4439024390243867</v>
      </c>
      <c r="Q106">
        <f t="shared" ref="Q106" si="506">F106*P106</f>
        <v>-104132.1434146333</v>
      </c>
      <c r="R106">
        <f t="shared" ref="R106" si="507">R107+Q106</f>
        <v>54303648.09973786</v>
      </c>
      <c r="S106">
        <f t="shared" ref="S106" si="508">R106/100000</f>
        <v>543.03648099737859</v>
      </c>
      <c r="T106">
        <f t="shared" ref="T106" si="509">S106/1000</f>
        <v>0.54303648099737856</v>
      </c>
    </row>
    <row r="107" spans="1:20" x14ac:dyDescent="0.25">
      <c r="A107" s="5">
        <v>44486</v>
      </c>
      <c r="B107">
        <v>4.1020000000000003</v>
      </c>
      <c r="C107">
        <v>4.16</v>
      </c>
      <c r="D107">
        <v>3.9239999999999999</v>
      </c>
      <c r="E107">
        <v>4.0869999999999997</v>
      </c>
      <c r="F107">
        <v>303858</v>
      </c>
      <c r="G107">
        <v>4.0869999999999997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0.38135593220338698</v>
      </c>
      <c r="Q107">
        <f t="shared" ref="Q107" si="511">F107*P107</f>
        <v>115878.05084745676</v>
      </c>
      <c r="R107">
        <f t="shared" ref="R107" si="512">R108+Q107</f>
        <v>54407780.243152492</v>
      </c>
      <c r="S107">
        <f t="shared" ref="S107" si="513">R107/100000</f>
        <v>544.0778024315249</v>
      </c>
      <c r="T107">
        <f t="shared" ref="T107" si="514">S107/1000</f>
        <v>0.54407780243152493</v>
      </c>
    </row>
    <row r="108" spans="1:20" x14ac:dyDescent="0.25">
      <c r="A108" s="5">
        <v>44485</v>
      </c>
      <c r="B108">
        <v>4.1379999999999999</v>
      </c>
      <c r="C108">
        <v>4.2</v>
      </c>
      <c r="D108">
        <v>4.08</v>
      </c>
      <c r="E108">
        <v>4.1020000000000003</v>
      </c>
      <c r="F108">
        <v>333158.2</v>
      </c>
      <c r="G108">
        <v>4.1020000000000003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-0.63333333333332964</v>
      </c>
      <c r="Q108">
        <f t="shared" ref="Q108" si="516">F108*P108</f>
        <v>-211000.19333333211</v>
      </c>
      <c r="R108">
        <f t="shared" ref="R108" si="517">R109+Q108</f>
        <v>54291902.192305036</v>
      </c>
      <c r="S108">
        <f t="shared" ref="S108" si="518">R108/100000</f>
        <v>542.91902192305031</v>
      </c>
      <c r="T108">
        <f t="shared" ref="T108" si="519">S108/1000</f>
        <v>0.5429190219230503</v>
      </c>
    </row>
    <row r="109" spans="1:20" x14ac:dyDescent="0.25">
      <c r="A109" s="5">
        <v>44484</v>
      </c>
      <c r="B109">
        <v>3.9849999999999999</v>
      </c>
      <c r="C109">
        <v>4.173</v>
      </c>
      <c r="D109">
        <v>3.9319999999999999</v>
      </c>
      <c r="E109">
        <v>4.1379999999999999</v>
      </c>
      <c r="F109">
        <v>377407.3</v>
      </c>
      <c r="G109">
        <v>4.1379999999999999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0.70954356846472921</v>
      </c>
      <c r="Q109">
        <f t="shared" ref="Q109" si="521">F109*P109</f>
        <v>267786.92240663857</v>
      </c>
      <c r="R109">
        <f t="shared" ref="R109" si="522">R110+Q109</f>
        <v>54502902.385638371</v>
      </c>
      <c r="S109">
        <f t="shared" ref="S109" si="523">R109/100000</f>
        <v>545.02902385638367</v>
      </c>
      <c r="T109">
        <f t="shared" ref="T109" si="524">S109/1000</f>
        <v>0.54502902385638363</v>
      </c>
    </row>
    <row r="110" spans="1:20" x14ac:dyDescent="0.25">
      <c r="A110" s="5">
        <v>44483</v>
      </c>
      <c r="B110">
        <v>3.8980000000000001</v>
      </c>
      <c r="C110">
        <v>4.0739999999999998</v>
      </c>
      <c r="D110">
        <v>3.887</v>
      </c>
      <c r="E110">
        <v>3.9889999999999999</v>
      </c>
      <c r="F110">
        <v>254530</v>
      </c>
      <c r="G110">
        <v>3.9889999999999999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9.0909090909090481E-2</v>
      </c>
      <c r="Q110">
        <f t="shared" ref="Q110" si="526">F110*P110</f>
        <v>23139.090909090799</v>
      </c>
      <c r="R110">
        <f t="shared" ref="R110" si="527">R111+Q110</f>
        <v>54235115.463231735</v>
      </c>
      <c r="S110">
        <f t="shared" ref="S110" si="528">R110/100000</f>
        <v>542.35115463231739</v>
      </c>
      <c r="T110">
        <f t="shared" ref="T110" si="529">S110/1000</f>
        <v>0.54235115463231742</v>
      </c>
    </row>
    <row r="111" spans="1:20" x14ac:dyDescent="0.25">
      <c r="A111" s="5">
        <v>44482</v>
      </c>
      <c r="B111">
        <v>3.7959999999999998</v>
      </c>
      <c r="C111">
        <v>3.9009999999999998</v>
      </c>
      <c r="D111">
        <v>3.6960000000000002</v>
      </c>
      <c r="E111">
        <v>3.895</v>
      </c>
      <c r="F111">
        <v>263608.90000000002</v>
      </c>
      <c r="G111">
        <v>3.895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0.9414634146341484</v>
      </c>
      <c r="Q111">
        <f t="shared" ref="Q111" si="531">F111*P111</f>
        <v>248178.13512195178</v>
      </c>
      <c r="R111">
        <f t="shared" ref="R111" si="532">R112+Q111</f>
        <v>54211976.372322641</v>
      </c>
      <c r="S111">
        <f t="shared" ref="S111" si="533">R111/100000</f>
        <v>542.11976372322647</v>
      </c>
      <c r="T111">
        <f t="shared" ref="T111" si="534">S111/1000</f>
        <v>0.54211976372322646</v>
      </c>
    </row>
    <row r="112" spans="1:20" x14ac:dyDescent="0.25">
      <c r="A112" s="5">
        <v>44481</v>
      </c>
      <c r="B112">
        <v>3.899</v>
      </c>
      <c r="C112">
        <v>3.9</v>
      </c>
      <c r="D112">
        <v>3.7160000000000002</v>
      </c>
      <c r="E112">
        <v>3.8</v>
      </c>
      <c r="F112">
        <v>217296.3</v>
      </c>
      <c r="G112">
        <v>3.8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-8.6956521739133055E-2</v>
      </c>
      <c r="Q112">
        <f t="shared" ref="Q112" si="536">F112*P112</f>
        <v>-18895.330434783176</v>
      </c>
      <c r="R112">
        <f t="shared" ref="R112" si="537">R113+Q112</f>
        <v>53963798.237200692</v>
      </c>
      <c r="S112">
        <f t="shared" ref="S112" si="538">R112/100000</f>
        <v>539.63798237200695</v>
      </c>
      <c r="T112">
        <f t="shared" ref="T112" si="539">S112/1000</f>
        <v>0.539637982372007</v>
      </c>
    </row>
    <row r="113" spans="1:20" x14ac:dyDescent="0.25">
      <c r="A113" s="5">
        <v>44480</v>
      </c>
      <c r="B113">
        <v>3.8260000000000001</v>
      </c>
      <c r="C113">
        <v>4.0170000000000003</v>
      </c>
      <c r="D113">
        <v>3.794</v>
      </c>
      <c r="E113">
        <v>3.9020000000000001</v>
      </c>
      <c r="F113">
        <v>284628.40000000002</v>
      </c>
      <c r="G113">
        <v>3.9020000000000001</v>
      </c>
      <c r="L113" t="s">
        <v>8</v>
      </c>
      <c r="M113" t="s">
        <v>8</v>
      </c>
      <c r="N113" t="s">
        <v>7</v>
      </c>
      <c r="P113">
        <f t="shared" ref="P113" si="540">IF(C113=D113,0,((E113-D113)-(C113-E113))/(C113-D113))</f>
        <v>-3.1390134529148461E-2</v>
      </c>
      <c r="Q113">
        <f t="shared" ref="Q113" si="541">F113*P113</f>
        <v>-8934.5237668162808</v>
      </c>
      <c r="R113">
        <f t="shared" ref="R113" si="542">R114+Q113</f>
        <v>53982693.567635477</v>
      </c>
      <c r="S113">
        <f t="shared" ref="S113" si="543">R113/100000</f>
        <v>539.82693567635476</v>
      </c>
      <c r="T113">
        <f t="shared" ref="T113" si="544">S113/1000</f>
        <v>0.53982693567635476</v>
      </c>
    </row>
    <row r="114" spans="1:20" x14ac:dyDescent="0.25">
      <c r="A114" s="5">
        <v>44479</v>
      </c>
      <c r="B114">
        <v>3.9940000000000002</v>
      </c>
      <c r="C114">
        <v>4.03</v>
      </c>
      <c r="D114">
        <v>3.8039999999999998</v>
      </c>
      <c r="E114">
        <v>3.8370000000000002</v>
      </c>
      <c r="F114">
        <v>290848.8</v>
      </c>
      <c r="G114">
        <v>3.8370000000000002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-0.70796460176990883</v>
      </c>
      <c r="Q114">
        <f t="shared" ref="Q114" si="546">F114*P114</f>
        <v>-205910.65486725586</v>
      </c>
      <c r="R114">
        <f t="shared" ref="R114" si="547">R115+Q114</f>
        <v>53991628.091402292</v>
      </c>
      <c r="S114">
        <f t="shared" ref="S114" si="548">R114/100000</f>
        <v>539.91628091402288</v>
      </c>
      <c r="T114">
        <f t="shared" ref="T114" si="549">S114/1000</f>
        <v>0.53991628091402288</v>
      </c>
    </row>
    <row r="115" spans="1:20" x14ac:dyDescent="0.25">
      <c r="A115" s="5">
        <v>44478</v>
      </c>
      <c r="B115">
        <v>3.9239999999999999</v>
      </c>
      <c r="C115">
        <v>4.0570000000000004</v>
      </c>
      <c r="D115">
        <v>3.8889999999999998</v>
      </c>
      <c r="E115">
        <v>3.9910000000000001</v>
      </c>
      <c r="F115">
        <v>199519.3</v>
      </c>
      <c r="G115">
        <v>3.9910000000000001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0.21428571428571372</v>
      </c>
      <c r="Q115">
        <f t="shared" ref="Q115" si="551">F115*P115</f>
        <v>42754.1357142856</v>
      </c>
      <c r="R115">
        <f t="shared" ref="R115" si="552">R116+Q115</f>
        <v>54197538.746269546</v>
      </c>
      <c r="S115">
        <f t="shared" ref="S115" si="553">R115/100000</f>
        <v>541.97538746269549</v>
      </c>
      <c r="T115">
        <f t="shared" ref="T115" si="554">S115/1000</f>
        <v>0.54197538746269547</v>
      </c>
    </row>
    <row r="116" spans="1:20" x14ac:dyDescent="0.25">
      <c r="A116" s="5">
        <v>44477</v>
      </c>
      <c r="B116">
        <v>3.9449999999999998</v>
      </c>
      <c r="C116">
        <v>4.0670000000000002</v>
      </c>
      <c r="D116">
        <v>3.8820000000000001</v>
      </c>
      <c r="E116">
        <v>3.9140000000000001</v>
      </c>
      <c r="F116">
        <v>218050.1</v>
      </c>
      <c r="G116">
        <v>3.9140000000000001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-0.65405405405405381</v>
      </c>
      <c r="Q116">
        <f t="shared" ref="Q116" si="556">F116*P116</f>
        <v>-142616.55189189184</v>
      </c>
      <c r="R116">
        <f t="shared" ref="R116" si="557">R117+Q116</f>
        <v>54154784.610555261</v>
      </c>
      <c r="S116">
        <f t="shared" ref="S116" si="558">R116/100000</f>
        <v>541.54784610555259</v>
      </c>
      <c r="T116">
        <f t="shared" ref="T116" si="559">S116/1000</f>
        <v>0.54154784610555262</v>
      </c>
    </row>
    <row r="117" spans="1:20" x14ac:dyDescent="0.25">
      <c r="A117" s="5">
        <v>44476</v>
      </c>
      <c r="B117">
        <v>3.9849999999999999</v>
      </c>
      <c r="C117">
        <v>4.0229999999999997</v>
      </c>
      <c r="D117">
        <v>3.875</v>
      </c>
      <c r="E117">
        <v>3.9390000000000001</v>
      </c>
      <c r="F117">
        <v>225603</v>
      </c>
      <c r="G117">
        <v>3.9390000000000001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-0.13513513513513253</v>
      </c>
      <c r="Q117">
        <f t="shared" ref="Q117" si="561">F117*P117</f>
        <v>-30486.891891891304</v>
      </c>
      <c r="R117">
        <f t="shared" ref="R117" si="562">R118+Q117</f>
        <v>54297401.162447155</v>
      </c>
      <c r="S117">
        <f t="shared" ref="S117" si="563">R117/100000</f>
        <v>542.97401162447159</v>
      </c>
      <c r="T117">
        <f t="shared" ref="T117" si="564">S117/1000</f>
        <v>0.54297401162447156</v>
      </c>
    </row>
    <row r="118" spans="1:20" x14ac:dyDescent="0.25">
      <c r="A118" s="5">
        <v>44475</v>
      </c>
      <c r="B118">
        <v>3.9359999999999999</v>
      </c>
      <c r="C118">
        <v>4.0720000000000001</v>
      </c>
      <c r="D118">
        <v>3.722</v>
      </c>
      <c r="E118">
        <v>3.9820000000000002</v>
      </c>
      <c r="F118">
        <v>371171.8</v>
      </c>
      <c r="G118">
        <v>3.9820000000000002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0.48571428571428665</v>
      </c>
      <c r="Q118">
        <f t="shared" ref="Q118" si="566">F118*P118</f>
        <v>180283.44571428606</v>
      </c>
      <c r="R118">
        <f t="shared" ref="R118" si="567">R119+Q118</f>
        <v>54327888.054339044</v>
      </c>
      <c r="S118">
        <f t="shared" ref="S118" si="568">R118/100000</f>
        <v>543.27888054339041</v>
      </c>
      <c r="T118">
        <f t="shared" ref="T118" si="569">S118/1000</f>
        <v>0.54327888054339046</v>
      </c>
    </row>
    <row r="119" spans="1:20" x14ac:dyDescent="0.25">
      <c r="A119" s="5">
        <v>44474</v>
      </c>
      <c r="B119">
        <v>3.8</v>
      </c>
      <c r="C119">
        <v>4.0129999999999999</v>
      </c>
      <c r="D119">
        <v>3.7690000000000001</v>
      </c>
      <c r="E119">
        <v>3.9340000000000002</v>
      </c>
      <c r="F119">
        <v>364909.1</v>
      </c>
      <c r="G119">
        <v>3.9340000000000002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0.35245901639344418</v>
      </c>
      <c r="Q119">
        <f t="shared" ref="Q119" si="571">F119*P119</f>
        <v>128615.50245901695</v>
      </c>
      <c r="R119">
        <f t="shared" ref="R119" si="572">R120+Q119</f>
        <v>54147604.608624756</v>
      </c>
      <c r="S119">
        <f t="shared" ref="S119" si="573">R119/100000</f>
        <v>541.47604608624761</v>
      </c>
      <c r="T119">
        <f t="shared" ref="T119" si="574">S119/1000</f>
        <v>0.54147604608624755</v>
      </c>
    </row>
    <row r="120" spans="1:20" x14ac:dyDescent="0.25">
      <c r="A120" s="5">
        <v>44473</v>
      </c>
      <c r="B120">
        <v>3.8690000000000002</v>
      </c>
      <c r="C120">
        <v>3.887</v>
      </c>
      <c r="D120">
        <v>3.6920000000000002</v>
      </c>
      <c r="E120">
        <v>3.8260000000000001</v>
      </c>
      <c r="F120">
        <v>235755.3</v>
      </c>
      <c r="G120">
        <v>3.8260000000000001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0.37435897435897442</v>
      </c>
      <c r="Q120">
        <f t="shared" ref="Q120" si="576">F120*P120</f>
        <v>88257.11230769231</v>
      </c>
      <c r="R120">
        <f t="shared" ref="R120" si="577">R121+Q120</f>
        <v>54018989.106165737</v>
      </c>
      <c r="S120">
        <f t="shared" ref="S120" si="578">R120/100000</f>
        <v>540.18989106165736</v>
      </c>
      <c r="T120">
        <f t="shared" ref="T120" si="579">S120/1000</f>
        <v>0.54018989106165738</v>
      </c>
    </row>
    <row r="121" spans="1:20" x14ac:dyDescent="0.25">
      <c r="A121" s="5">
        <v>44472</v>
      </c>
      <c r="B121">
        <v>3.8069999999999999</v>
      </c>
      <c r="C121">
        <v>3.9209999999999998</v>
      </c>
      <c r="D121">
        <v>3.766</v>
      </c>
      <c r="E121">
        <v>3.8559999999999999</v>
      </c>
      <c r="F121">
        <v>287330</v>
      </c>
      <c r="G121">
        <v>3.8559999999999999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0.1612903225806448</v>
      </c>
      <c r="Q121">
        <f t="shared" ref="Q121" si="581">F121*P121</f>
        <v>46343.548387096671</v>
      </c>
      <c r="R121">
        <f t="shared" ref="R121" si="582">R122+Q121</f>
        <v>53930731.993858047</v>
      </c>
      <c r="S121">
        <f t="shared" ref="S121" si="583">R121/100000</f>
        <v>539.30731993858046</v>
      </c>
      <c r="T121">
        <f t="shared" ref="T121" si="584">S121/1000</f>
        <v>0.5393073199385805</v>
      </c>
    </row>
    <row r="122" spans="1:20" x14ac:dyDescent="0.25">
      <c r="A122" s="5">
        <v>44471</v>
      </c>
      <c r="B122">
        <v>3.7770000000000001</v>
      </c>
      <c r="C122">
        <v>3.907</v>
      </c>
      <c r="D122">
        <v>3.7050000000000001</v>
      </c>
      <c r="E122">
        <v>3.8079999999999998</v>
      </c>
      <c r="F122">
        <v>454190.7</v>
      </c>
      <c r="G122">
        <v>3.8079999999999998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1.9801980198017627E-2</v>
      </c>
      <c r="Q122">
        <f t="shared" ref="Q122" si="586">F122*P122</f>
        <v>8993.8752475237652</v>
      </c>
      <c r="R122">
        <f t="shared" ref="R122" si="587">R123+Q122</f>
        <v>53884388.445470951</v>
      </c>
      <c r="S122">
        <f t="shared" ref="S122" si="588">R122/100000</f>
        <v>538.8438844547095</v>
      </c>
      <c r="T122">
        <f t="shared" ref="T122" si="589">S122/1000</f>
        <v>0.53884388445470954</v>
      </c>
    </row>
    <row r="123" spans="1:20" x14ac:dyDescent="0.25">
      <c r="A123" s="5">
        <v>44470</v>
      </c>
      <c r="B123">
        <v>3.4649999999999999</v>
      </c>
      <c r="C123">
        <v>3.8090000000000002</v>
      </c>
      <c r="D123">
        <v>3.4220000000000002</v>
      </c>
      <c r="E123">
        <v>3.778</v>
      </c>
      <c r="F123">
        <v>253212.79999999999</v>
      </c>
      <c r="G123">
        <v>3.778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0.839793281653746</v>
      </c>
      <c r="Q123">
        <f t="shared" ref="Q123" si="591">F123*P123</f>
        <v>212646.40826873365</v>
      </c>
      <c r="R123">
        <f t="shared" ref="R123" si="592">R124+Q123</f>
        <v>53875394.570223428</v>
      </c>
      <c r="S123">
        <f t="shared" ref="S123" si="593">R123/100000</f>
        <v>538.75394570223432</v>
      </c>
      <c r="T123">
        <f t="shared" ref="T123" si="594">S123/1000</f>
        <v>0.53875394570223434</v>
      </c>
    </row>
    <row r="124" spans="1:20" x14ac:dyDescent="0.25">
      <c r="A124" s="5">
        <v>44469</v>
      </c>
      <c r="B124">
        <v>3.319</v>
      </c>
      <c r="C124">
        <v>3.4990000000000001</v>
      </c>
      <c r="D124">
        <v>3.302</v>
      </c>
      <c r="E124">
        <v>3.4660000000000002</v>
      </c>
      <c r="F124">
        <v>248621.8</v>
      </c>
      <c r="G124">
        <v>3.4660000000000002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0.66497461928934098</v>
      </c>
      <c r="Q124">
        <f t="shared" ref="Q124" si="596">F124*P124</f>
        <v>165327.18680203066</v>
      </c>
      <c r="R124">
        <f t="shared" ref="R124" si="597">R125+Q124</f>
        <v>53662748.161954693</v>
      </c>
      <c r="S124">
        <f t="shared" ref="S124" si="598">R124/100000</f>
        <v>536.62748161954698</v>
      </c>
      <c r="T124">
        <f t="shared" ref="T124" si="599">S124/1000</f>
        <v>0.53662748161954699</v>
      </c>
    </row>
    <row r="125" spans="1:20" x14ac:dyDescent="0.25">
      <c r="A125" s="5">
        <v>44468</v>
      </c>
      <c r="B125">
        <v>3.2749999999999999</v>
      </c>
      <c r="C125">
        <v>3.4460000000000002</v>
      </c>
      <c r="D125">
        <v>3.254</v>
      </c>
      <c r="E125">
        <v>3.319</v>
      </c>
      <c r="F125">
        <v>159867.20000000001</v>
      </c>
      <c r="G125">
        <v>3.319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-0.32291666666666785</v>
      </c>
      <c r="Q125">
        <f t="shared" ref="Q125" si="601">F125*P125</f>
        <v>-51623.783333333529</v>
      </c>
      <c r="R125">
        <f t="shared" ref="R125" si="602">R126+Q125</f>
        <v>53497420.975152664</v>
      </c>
      <c r="S125">
        <f t="shared" ref="S125" si="603">R125/100000</f>
        <v>534.97420975152659</v>
      </c>
      <c r="T125">
        <f t="shared" ref="T125" si="604">S125/1000</f>
        <v>0.53497420975152654</v>
      </c>
    </row>
    <row r="126" spans="1:20" x14ac:dyDescent="0.25">
      <c r="A126" s="5">
        <v>44467</v>
      </c>
      <c r="B126">
        <v>3.3889999999999998</v>
      </c>
      <c r="C126">
        <v>3.4420000000000002</v>
      </c>
      <c r="D126">
        <v>3.2549999999999999</v>
      </c>
      <c r="E126">
        <v>3.2749999999999999</v>
      </c>
      <c r="F126">
        <v>157022.1</v>
      </c>
      <c r="G126">
        <v>3.2749999999999999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-0.78609625668449212</v>
      </c>
      <c r="Q126">
        <f t="shared" ref="Q126" si="606">F126*P126</f>
        <v>-123434.485026738</v>
      </c>
      <c r="R126">
        <f t="shared" ref="R126" si="607">R127+Q126</f>
        <v>53549044.758485995</v>
      </c>
      <c r="S126">
        <f t="shared" ref="S126" si="608">R126/100000</f>
        <v>535.49044758485991</v>
      </c>
      <c r="T126">
        <f t="shared" ref="T126" si="609">S126/1000</f>
        <v>0.53549044758485986</v>
      </c>
    </row>
    <row r="127" spans="1:20" x14ac:dyDescent="0.25">
      <c r="A127" s="5">
        <v>44466</v>
      </c>
      <c r="B127">
        <v>3.5369999999999999</v>
      </c>
      <c r="C127">
        <v>3.641</v>
      </c>
      <c r="D127">
        <v>3.391</v>
      </c>
      <c r="E127">
        <v>3.3929999999999998</v>
      </c>
      <c r="F127">
        <v>423430.8</v>
      </c>
      <c r="G127">
        <v>3.3929999999999998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-0.98400000000000176</v>
      </c>
      <c r="Q127">
        <f t="shared" ref="Q127" si="611">F127*P127</f>
        <v>-416655.90720000071</v>
      </c>
      <c r="R127">
        <f t="shared" ref="R127" si="612">R128+Q127</f>
        <v>53672479.243512735</v>
      </c>
      <c r="S127">
        <f t="shared" ref="S127" si="613">R127/100000</f>
        <v>536.72479243512737</v>
      </c>
      <c r="T127">
        <f t="shared" ref="T127" si="614">S127/1000</f>
        <v>0.53672479243512738</v>
      </c>
    </row>
    <row r="128" spans="1:20" x14ac:dyDescent="0.25">
      <c r="A128" s="5">
        <v>44465</v>
      </c>
      <c r="B128">
        <v>3.4660000000000002</v>
      </c>
      <c r="C128">
        <v>3.6</v>
      </c>
      <c r="D128">
        <v>3.2530000000000001</v>
      </c>
      <c r="E128">
        <v>3.5419999999999998</v>
      </c>
      <c r="F128">
        <v>336197.7</v>
      </c>
      <c r="G128">
        <v>3.5419999999999998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0.6657060518731972</v>
      </c>
      <c r="Q128">
        <f t="shared" ref="Q128" si="616">F128*P128</f>
        <v>223808.84351584958</v>
      </c>
      <c r="R128">
        <f t="shared" ref="R128" si="617">R129+Q128</f>
        <v>54089135.150712736</v>
      </c>
      <c r="S128">
        <f t="shared" ref="S128" si="618">R128/100000</f>
        <v>540.89135150712741</v>
      </c>
      <c r="T128">
        <f t="shared" ref="T128" si="619">S128/1000</f>
        <v>0.54089135150712742</v>
      </c>
    </row>
    <row r="129" spans="1:20" x14ac:dyDescent="0.25">
      <c r="A129" s="5">
        <v>44464</v>
      </c>
      <c r="B129">
        <v>3.45</v>
      </c>
      <c r="C129">
        <v>3.492</v>
      </c>
      <c r="D129">
        <v>3.3210000000000002</v>
      </c>
      <c r="E129">
        <v>3.468</v>
      </c>
      <c r="F129">
        <v>349400.3</v>
      </c>
      <c r="G129">
        <v>3.468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0.71929824561403455</v>
      </c>
      <c r="Q129">
        <f t="shared" ref="Q129" si="621">F129*P129</f>
        <v>251323.02280701735</v>
      </c>
      <c r="R129">
        <f t="shared" ref="R129" si="622">R130+Q129</f>
        <v>53865326.307196885</v>
      </c>
      <c r="S129">
        <f t="shared" ref="S129" si="623">R129/100000</f>
        <v>538.65326307196881</v>
      </c>
      <c r="T129">
        <f t="shared" ref="T129" si="624">S129/1000</f>
        <v>0.53865326307196881</v>
      </c>
    </row>
    <row r="130" spans="1:20" x14ac:dyDescent="0.25">
      <c r="A130" s="5">
        <v>44463</v>
      </c>
      <c r="B130">
        <v>3.7010000000000001</v>
      </c>
      <c r="C130">
        <v>3.7090000000000001</v>
      </c>
      <c r="D130">
        <v>3.2669999999999999</v>
      </c>
      <c r="E130">
        <v>3.4510000000000001</v>
      </c>
      <c r="F130">
        <v>243853.1</v>
      </c>
      <c r="G130">
        <v>3.4510000000000001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-0.16742081447963758</v>
      </c>
      <c r="Q130">
        <f t="shared" ref="Q130" si="626">F130*P130</f>
        <v>-40826.084615384512</v>
      </c>
      <c r="R130">
        <f t="shared" ref="R130" si="627">R131+Q130</f>
        <v>53614003.284389868</v>
      </c>
      <c r="S130">
        <f t="shared" ref="S130" si="628">R130/100000</f>
        <v>536.14003284389867</v>
      </c>
      <c r="T130">
        <f t="shared" ref="T130" si="629">S130/1000</f>
        <v>0.53614003284389866</v>
      </c>
    </row>
    <row r="131" spans="1:20" x14ac:dyDescent="0.25">
      <c r="A131" s="5">
        <v>44462</v>
      </c>
      <c r="B131">
        <v>3.6080000000000001</v>
      </c>
      <c r="C131">
        <v>3.7029999999999998</v>
      </c>
      <c r="D131">
        <v>3.5350000000000001</v>
      </c>
      <c r="E131">
        <v>3.698</v>
      </c>
      <c r="F131">
        <v>443833</v>
      </c>
      <c r="G131">
        <v>3.698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0.94047619047619169</v>
      </c>
      <c r="Q131">
        <f t="shared" ref="Q131" si="631">F131*P131</f>
        <v>417414.36904761958</v>
      </c>
      <c r="R131">
        <f t="shared" ref="R131" si="632">R132+Q131</f>
        <v>53654829.369005255</v>
      </c>
      <c r="S131">
        <f t="shared" ref="S131" si="633">R131/100000</f>
        <v>536.54829369005256</v>
      </c>
      <c r="T131">
        <f t="shared" ref="T131" si="634">S131/1000</f>
        <v>0.53654829369005252</v>
      </c>
    </row>
    <row r="132" spans="1:20" x14ac:dyDescent="0.25">
      <c r="A132" s="5">
        <v>44461</v>
      </c>
      <c r="B132">
        <v>3.2829999999999999</v>
      </c>
      <c r="C132">
        <v>3.629</v>
      </c>
      <c r="D132">
        <v>3.2480000000000002</v>
      </c>
      <c r="E132">
        <v>3.609</v>
      </c>
      <c r="F132">
        <v>623012.9</v>
      </c>
      <c r="G132">
        <v>3.609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0.89501312335957994</v>
      </c>
      <c r="Q132">
        <f t="shared" ref="Q132" si="636">F132*P132</f>
        <v>557604.7215223097</v>
      </c>
      <c r="R132">
        <f t="shared" ref="R132" si="637">R133+Q132</f>
        <v>53237414.999957636</v>
      </c>
      <c r="S132">
        <f t="shared" ref="S132" si="638">R132/100000</f>
        <v>532.37414999957639</v>
      </c>
      <c r="T132">
        <f t="shared" ref="T132" si="639">S132/1000</f>
        <v>0.53237414999957644</v>
      </c>
    </row>
    <row r="133" spans="1:20" x14ac:dyDescent="0.25">
      <c r="A133" s="5">
        <v>44460</v>
      </c>
      <c r="B133">
        <v>3.5249999999999999</v>
      </c>
      <c r="C133">
        <v>3.63</v>
      </c>
      <c r="D133">
        <v>3.1920000000000002</v>
      </c>
      <c r="E133">
        <v>3.282</v>
      </c>
      <c r="F133">
        <v>583474.42000000004</v>
      </c>
      <c r="G133">
        <v>3.282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-0.58904109589041131</v>
      </c>
      <c r="Q133">
        <f t="shared" ref="Q133" si="641">F133*P133</f>
        <v>-343690.41178082215</v>
      </c>
      <c r="R133">
        <f t="shared" ref="R133" si="642">R134+Q133</f>
        <v>52679810.278435327</v>
      </c>
      <c r="S133">
        <f t="shared" ref="S133" si="643">R133/100000</f>
        <v>526.79810278435332</v>
      </c>
      <c r="T133">
        <f t="shared" ref="T133" si="644">S133/1000</f>
        <v>0.52679810278435335</v>
      </c>
    </row>
    <row r="134" spans="1:20" x14ac:dyDescent="0.25">
      <c r="A134" s="5">
        <v>44459</v>
      </c>
      <c r="B134">
        <v>3.968</v>
      </c>
      <c r="C134">
        <v>3.9689999999999999</v>
      </c>
      <c r="D134">
        <v>3.6749999999999998</v>
      </c>
      <c r="E134">
        <v>3.7090000000000001</v>
      </c>
      <c r="F134">
        <v>210619.1</v>
      </c>
      <c r="G134">
        <v>3.7090000000000001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-0.76870748299319558</v>
      </c>
      <c r="Q134">
        <f t="shared" ref="Q134" si="646">F134*P134</f>
        <v>-161904.47823129216</v>
      </c>
      <c r="R134">
        <f t="shared" ref="R134" si="647">R135+Q134</f>
        <v>53023500.690216146</v>
      </c>
      <c r="S134">
        <f t="shared" ref="S134" si="648">R134/100000</f>
        <v>530.23500690216144</v>
      </c>
      <c r="T134">
        <f t="shared" ref="T134" si="649">S134/1000</f>
        <v>0.53023500690216141</v>
      </c>
    </row>
    <row r="135" spans="1:20" x14ac:dyDescent="0.25">
      <c r="A135" s="5">
        <v>44458</v>
      </c>
      <c r="B135">
        <v>4.0720000000000001</v>
      </c>
      <c r="C135">
        <v>4.0960000000000001</v>
      </c>
      <c r="D135">
        <v>3.9140000000000001</v>
      </c>
      <c r="E135">
        <v>3.9670000000000001</v>
      </c>
      <c r="F135">
        <v>181958</v>
      </c>
      <c r="G135">
        <v>3.9670000000000001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-0.4175824175824181</v>
      </c>
      <c r="Q135">
        <f t="shared" ref="Q135" si="651">F135*P135</f>
        <v>-75982.461538461634</v>
      </c>
      <c r="R135">
        <f t="shared" ref="R135" si="652">R136+Q135</f>
        <v>53185405.168447435</v>
      </c>
      <c r="S135">
        <f t="shared" ref="S135" si="653">R135/100000</f>
        <v>531.85405168447437</v>
      </c>
      <c r="T135">
        <f t="shared" ref="T135" si="654">S135/1000</f>
        <v>0.53185405168447442</v>
      </c>
    </row>
    <row r="136" spans="1:20" x14ac:dyDescent="0.25">
      <c r="A136" s="5">
        <v>44457</v>
      </c>
      <c r="B136">
        <v>4.024</v>
      </c>
      <c r="C136">
        <v>4.1829999999999998</v>
      </c>
      <c r="D136">
        <v>3.9670000000000001</v>
      </c>
      <c r="E136">
        <v>4.0730000000000004</v>
      </c>
      <c r="F136">
        <v>230459.3</v>
      </c>
      <c r="G136">
        <v>4.0730000000000004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-1.8518518518514444E-2</v>
      </c>
      <c r="Q136">
        <f t="shared" ref="Q136" si="656">F136*P136</f>
        <v>-4267.764814813876</v>
      </c>
      <c r="R136">
        <f t="shared" ref="R136" si="657">R137+Q136</f>
        <v>53261387.629985899</v>
      </c>
      <c r="S136">
        <f t="shared" ref="S136" si="658">R136/100000</f>
        <v>532.61387629985904</v>
      </c>
      <c r="T136">
        <f t="shared" ref="T136" si="659">S136/1000</f>
        <v>0.53261387629985901</v>
      </c>
    </row>
    <row r="137" spans="1:20" x14ac:dyDescent="0.25">
      <c r="A137" s="5">
        <v>44456</v>
      </c>
      <c r="B137">
        <v>4.2069999999999999</v>
      </c>
      <c r="C137">
        <v>4.2510000000000003</v>
      </c>
      <c r="D137">
        <v>3.9950000000000001</v>
      </c>
      <c r="E137">
        <v>4.0250000000000004</v>
      </c>
      <c r="F137">
        <v>422248.4</v>
      </c>
      <c r="G137">
        <v>4.0250000000000004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-0.76562499999999822</v>
      </c>
      <c r="Q137">
        <f t="shared" ref="Q137" si="661">F137*P137</f>
        <v>-323283.93124999927</v>
      </c>
      <c r="R137">
        <f t="shared" ref="R137" si="662">R138+Q137</f>
        <v>53265655.394800715</v>
      </c>
      <c r="S137">
        <f t="shared" ref="S137" si="663">R137/100000</f>
        <v>532.65655394800717</v>
      </c>
      <c r="T137">
        <f t="shared" ref="T137" si="664">S137/1000</f>
        <v>0.53265655394800715</v>
      </c>
    </row>
    <row r="138" spans="1:20" x14ac:dyDescent="0.25">
      <c r="A138" s="5">
        <v>44455</v>
      </c>
      <c r="B138">
        <v>4.2839999999999998</v>
      </c>
      <c r="C138">
        <v>4.3789999999999996</v>
      </c>
      <c r="D138">
        <v>4.0860000000000003</v>
      </c>
      <c r="E138">
        <v>4.2080000000000002</v>
      </c>
      <c r="F138">
        <v>598747.80000000005</v>
      </c>
      <c r="G138">
        <v>4.2080000000000002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-0.16723549488054476</v>
      </c>
      <c r="Q138">
        <f t="shared" ref="Q138" si="666">F138*P138</f>
        <v>-100131.88464163744</v>
      </c>
      <c r="R138">
        <f t="shared" ref="R138" si="667">R139+Q138</f>
        <v>53588939.326050714</v>
      </c>
      <c r="S138">
        <f t="shared" ref="S138" si="668">R138/100000</f>
        <v>535.88939326050718</v>
      </c>
      <c r="T138">
        <f t="shared" ref="T138" si="669">S138/1000</f>
        <v>0.53588939326050722</v>
      </c>
    </row>
    <row r="139" spans="1:20" x14ac:dyDescent="0.25">
      <c r="A139" s="5">
        <v>44454</v>
      </c>
      <c r="B139">
        <v>4.141</v>
      </c>
      <c r="C139">
        <v>4.3049999999999997</v>
      </c>
      <c r="D139">
        <v>4.0839999999999996</v>
      </c>
      <c r="E139">
        <v>4.2789999999999999</v>
      </c>
      <c r="F139">
        <v>497184.6</v>
      </c>
      <c r="G139">
        <v>4.2789999999999999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0.76470588235294312</v>
      </c>
      <c r="Q139">
        <f t="shared" ref="Q139" si="671">F139*P139</f>
        <v>380199.98823529505</v>
      </c>
      <c r="R139">
        <f t="shared" ref="R139" si="672">R140+Q139</f>
        <v>53689071.210692354</v>
      </c>
      <c r="S139">
        <f t="shared" ref="S139" si="673">R139/100000</f>
        <v>536.8907121069235</v>
      </c>
      <c r="T139">
        <f t="shared" ref="T139" si="674">S139/1000</f>
        <v>0.53689071210692352</v>
      </c>
    </row>
    <row r="140" spans="1:20" x14ac:dyDescent="0.25">
      <c r="A140" s="5">
        <v>44453</v>
      </c>
      <c r="B140">
        <v>3.895</v>
      </c>
      <c r="C140">
        <v>4.1429999999999998</v>
      </c>
      <c r="D140">
        <v>3.891</v>
      </c>
      <c r="E140">
        <v>4.141</v>
      </c>
      <c r="F140">
        <v>415841.3</v>
      </c>
      <c r="G140">
        <v>4.141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0.98412698412698585</v>
      </c>
      <c r="Q140">
        <f t="shared" ref="Q140" si="676">F140*P140</f>
        <v>409240.64444444515</v>
      </c>
      <c r="R140">
        <f t="shared" ref="R140" si="677">R141+Q140</f>
        <v>53308871.222457059</v>
      </c>
      <c r="S140">
        <f t="shared" ref="S140" si="678">R140/100000</f>
        <v>533.0887122245706</v>
      </c>
      <c r="T140">
        <f t="shared" ref="T140" si="679">S140/1000</f>
        <v>0.53308871222457055</v>
      </c>
    </row>
    <row r="141" spans="1:20" x14ac:dyDescent="0.25">
      <c r="A141" s="5">
        <v>44452</v>
      </c>
      <c r="B141">
        <v>4.0869999999999997</v>
      </c>
      <c r="C141">
        <v>4.1120000000000001</v>
      </c>
      <c r="D141">
        <v>3.7090000000000001</v>
      </c>
      <c r="E141">
        <v>3.8969999999999998</v>
      </c>
      <c r="F141">
        <v>766287.8</v>
      </c>
      <c r="G141">
        <v>3.8969999999999998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-6.6997518610423273E-2</v>
      </c>
      <c r="Q141">
        <f t="shared" ref="Q141" si="681">F141*P141</f>
        <v>-51339.38114144031</v>
      </c>
      <c r="R141">
        <f t="shared" ref="R141" si="682">R142+Q141</f>
        <v>52899630.578012615</v>
      </c>
      <c r="S141">
        <f t="shared" ref="S141" si="683">R141/100000</f>
        <v>528.99630578012614</v>
      </c>
      <c r="T141">
        <f t="shared" ref="T141" si="684">S141/1000</f>
        <v>0.52899630578012613</v>
      </c>
    </row>
    <row r="142" spans="1:20" x14ac:dyDescent="0.25">
      <c r="A142" s="5">
        <v>44451</v>
      </c>
      <c r="B142">
        <v>3.9180000000000001</v>
      </c>
      <c r="C142">
        <v>4.25</v>
      </c>
      <c r="D142">
        <v>3.88</v>
      </c>
      <c r="E142">
        <v>4.09</v>
      </c>
      <c r="F142">
        <v>420845.9</v>
      </c>
      <c r="G142">
        <v>4.09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0.13513513513513462</v>
      </c>
      <c r="Q142">
        <f t="shared" ref="Q142" si="686">F142*P142</f>
        <v>56871.067567567348</v>
      </c>
      <c r="R142">
        <f t="shared" ref="R142" si="687">R143+Q142</f>
        <v>52950969.959154055</v>
      </c>
      <c r="S142">
        <f t="shared" ref="S142" si="688">R142/100000</f>
        <v>529.50969959154054</v>
      </c>
      <c r="T142">
        <f t="shared" ref="T142" si="689">S142/1000</f>
        <v>0.52950969959154048</v>
      </c>
    </row>
    <row r="143" spans="1:20" x14ac:dyDescent="0.25">
      <c r="A143" s="5">
        <v>44450</v>
      </c>
      <c r="B143">
        <v>3.8839999999999999</v>
      </c>
      <c r="C143">
        <v>4.0339999999999998</v>
      </c>
      <c r="D143">
        <v>3.8690000000000002</v>
      </c>
      <c r="E143">
        <v>3.915</v>
      </c>
      <c r="F143">
        <v>453068.9</v>
      </c>
      <c r="G143">
        <v>3.915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-0.44242424242424322</v>
      </c>
      <c r="Q143">
        <f t="shared" ref="Q143" si="691">F143*P143</f>
        <v>-200448.6648484852</v>
      </c>
      <c r="R143">
        <f t="shared" ref="R143" si="692">R144+Q143</f>
        <v>52894098.89158649</v>
      </c>
      <c r="S143">
        <f t="shared" ref="S143" si="693">R143/100000</f>
        <v>528.94098891586486</v>
      </c>
      <c r="T143">
        <f t="shared" ref="T143" si="694">S143/1000</f>
        <v>0.52894098891586483</v>
      </c>
    </row>
    <row r="144" spans="1:20" x14ac:dyDescent="0.25">
      <c r="A144" s="5">
        <v>44449</v>
      </c>
      <c r="B144">
        <v>4.0890000000000004</v>
      </c>
      <c r="C144">
        <v>4.1950000000000003</v>
      </c>
      <c r="D144">
        <v>3.81</v>
      </c>
      <c r="E144">
        <v>3.8809999999999998</v>
      </c>
      <c r="F144">
        <v>651321.19999999995</v>
      </c>
      <c r="G144">
        <v>3.8809999999999998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-0.63116883116883282</v>
      </c>
      <c r="Q144">
        <f t="shared" ref="Q144" si="696">F144*P144</f>
        <v>-411093.64051948156</v>
      </c>
      <c r="R144">
        <f t="shared" ref="R144" si="697">R145+Q144</f>
        <v>53094547.556434974</v>
      </c>
      <c r="S144">
        <f t="shared" ref="S144" si="698">R144/100000</f>
        <v>530.94547556434975</v>
      </c>
      <c r="T144">
        <f t="shared" ref="T144" si="699">S144/1000</f>
        <v>0.53094547556434979</v>
      </c>
    </row>
    <row r="145" spans="1:20" x14ac:dyDescent="0.25">
      <c r="A145" s="5">
        <v>44448</v>
      </c>
      <c r="B145">
        <v>4.1020000000000003</v>
      </c>
      <c r="C145">
        <v>4.25</v>
      </c>
      <c r="D145">
        <v>4.0209999999999999</v>
      </c>
      <c r="E145">
        <v>4.0869999999999997</v>
      </c>
      <c r="F145">
        <v>705351.3</v>
      </c>
      <c r="G145">
        <v>4.0869999999999997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-0.42358078602620253</v>
      </c>
      <c r="Q145">
        <f t="shared" ref="Q145" si="701">F145*P145</f>
        <v>-298773.25807860383</v>
      </c>
      <c r="R145">
        <f t="shared" ref="R145" si="702">R146+Q145</f>
        <v>53505641.196954459</v>
      </c>
      <c r="S145">
        <f t="shared" ref="S145" si="703">R145/100000</f>
        <v>535.05641196954457</v>
      </c>
      <c r="T145">
        <f t="shared" ref="T145" si="704">S145/1000</f>
        <v>0.53505641196954457</v>
      </c>
    </row>
    <row r="146" spans="1:20" x14ac:dyDescent="0.25">
      <c r="A146" s="5">
        <v>44447</v>
      </c>
      <c r="B146">
        <v>4.1219999999999999</v>
      </c>
      <c r="C146">
        <v>4.2380000000000004</v>
      </c>
      <c r="D146">
        <v>3.8250000000000002</v>
      </c>
      <c r="E146">
        <v>4.1020000000000003</v>
      </c>
      <c r="F146">
        <v>978923.6</v>
      </c>
      <c r="G146">
        <v>4.1020000000000003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0.34140435835351074</v>
      </c>
      <c r="Q146">
        <f t="shared" ref="Q146" si="706">F146*P146</f>
        <v>334208.78353510879</v>
      </c>
      <c r="R146">
        <f t="shared" ref="R146" si="707">R147+Q146</f>
        <v>53804414.455033064</v>
      </c>
      <c r="S146">
        <f t="shared" ref="S146" si="708">R146/100000</f>
        <v>538.04414455033066</v>
      </c>
      <c r="T146">
        <f t="shared" ref="T146" si="709">S146/1000</f>
        <v>0.53804414455033067</v>
      </c>
    </row>
    <row r="147" spans="1:20" x14ac:dyDescent="0.25">
      <c r="A147" s="5">
        <v>44446</v>
      </c>
      <c r="B147">
        <v>4.782</v>
      </c>
      <c r="C147">
        <v>4.8170000000000002</v>
      </c>
      <c r="D147">
        <v>3.67</v>
      </c>
      <c r="E147">
        <v>4.1210000000000004</v>
      </c>
      <c r="F147">
        <v>1675392.61</v>
      </c>
      <c r="G147">
        <v>4.1210000000000004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-0.21360069747166449</v>
      </c>
      <c r="Q147">
        <f t="shared" ref="Q147" si="711">F147*P147</f>
        <v>-357865.03003487241</v>
      </c>
      <c r="R147">
        <f t="shared" ref="R147" si="712">R148+Q147</f>
        <v>53470205.671497956</v>
      </c>
      <c r="S147">
        <f t="shared" ref="S147" si="713">R147/100000</f>
        <v>534.70205671497956</v>
      </c>
      <c r="T147">
        <f t="shared" ref="T147" si="714">S147/1000</f>
        <v>0.53470205671497961</v>
      </c>
    </row>
    <row r="148" spans="1:20" x14ac:dyDescent="0.25">
      <c r="A148" s="5">
        <v>44445</v>
      </c>
      <c r="B148">
        <v>4.7690000000000001</v>
      </c>
      <c r="C148">
        <v>4.8659999999999997</v>
      </c>
      <c r="D148">
        <v>4.6550000000000002</v>
      </c>
      <c r="E148">
        <v>4.7809999999999997</v>
      </c>
      <c r="F148">
        <v>1146889.22</v>
      </c>
      <c r="G148">
        <v>4.7809999999999997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0.1943127962085289</v>
      </c>
      <c r="Q148">
        <f t="shared" ref="Q148" si="716">F148*P148</f>
        <v>222855.25127961865</v>
      </c>
      <c r="R148">
        <f t="shared" ref="R148" si="717">R149+Q148</f>
        <v>53828070.701532826</v>
      </c>
      <c r="S148">
        <f t="shared" ref="S148" si="718">R148/100000</f>
        <v>538.28070701532829</v>
      </c>
      <c r="T148">
        <f t="shared" ref="T148" si="719">S148/1000</f>
        <v>0.53828070701532826</v>
      </c>
    </row>
    <row r="149" spans="1:20" x14ac:dyDescent="0.25">
      <c r="A149" s="5">
        <v>44444</v>
      </c>
      <c r="B149">
        <v>4.5789999999999997</v>
      </c>
      <c r="C149">
        <v>4.7709999999999999</v>
      </c>
      <c r="D149">
        <v>4.524</v>
      </c>
      <c r="E149">
        <v>4.7649999999999997</v>
      </c>
      <c r="F149">
        <v>721377.14</v>
      </c>
      <c r="G149">
        <v>4.7649999999999997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0.95141700404858109</v>
      </c>
      <c r="Q149">
        <f t="shared" ref="Q149" si="721">F149*P149</f>
        <v>686330.47732793388</v>
      </c>
      <c r="R149">
        <f t="shared" ref="R149" si="722">R150+Q149</f>
        <v>53605215.450253204</v>
      </c>
      <c r="S149">
        <f t="shared" ref="S149" si="723">R149/100000</f>
        <v>536.05215450253206</v>
      </c>
      <c r="T149">
        <f t="shared" ref="T149" si="724">S149/1000</f>
        <v>0.53605215450253207</v>
      </c>
    </row>
    <row r="150" spans="1:20" x14ac:dyDescent="0.25">
      <c r="A150" s="5">
        <v>44443</v>
      </c>
      <c r="B150">
        <v>4.6280000000000001</v>
      </c>
      <c r="C150">
        <v>4.6790000000000003</v>
      </c>
      <c r="D150">
        <v>4.5199999999999996</v>
      </c>
      <c r="E150">
        <v>4.5830000000000002</v>
      </c>
      <c r="F150">
        <v>657832.9</v>
      </c>
      <c r="G150">
        <v>4.5830000000000002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-0.20754716981131655</v>
      </c>
      <c r="Q150">
        <f t="shared" ref="Q150" si="726">F150*P150</f>
        <v>-136531.35660377081</v>
      </c>
      <c r="R150">
        <f t="shared" ref="R150" si="727">R151+Q150</f>
        <v>52918884.972925268</v>
      </c>
      <c r="S150">
        <f t="shared" ref="S150" si="728">R150/100000</f>
        <v>529.18884972925264</v>
      </c>
      <c r="T150">
        <f t="shared" ref="T150" si="729">S150/1000</f>
        <v>0.52918884972925262</v>
      </c>
    </row>
    <row r="151" spans="1:20" x14ac:dyDescent="0.25">
      <c r="A151" s="5">
        <v>44442</v>
      </c>
      <c r="B151">
        <v>4.5519999999999996</v>
      </c>
      <c r="C151">
        <v>4.7140000000000004</v>
      </c>
      <c r="D151">
        <v>4.4489999999999998</v>
      </c>
      <c r="E151">
        <v>4.6269999999999998</v>
      </c>
      <c r="F151">
        <v>1073616.8899999999</v>
      </c>
      <c r="G151">
        <v>4.6269999999999998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0.34339622641509099</v>
      </c>
      <c r="Q151">
        <f t="shared" ref="Q151" si="731">F151*P151</f>
        <v>368675.98864150583</v>
      </c>
      <c r="R151">
        <f t="shared" ref="R151" si="732">R152+Q151</f>
        <v>53055416.32952904</v>
      </c>
      <c r="S151">
        <f t="shared" ref="S151" si="733">R151/100000</f>
        <v>530.55416329529044</v>
      </c>
      <c r="T151">
        <f t="shared" ref="T151" si="734">S151/1000</f>
        <v>0.53055416329529048</v>
      </c>
    </row>
    <row r="152" spans="1:20" x14ac:dyDescent="0.25">
      <c r="A152" s="5">
        <v>44441</v>
      </c>
      <c r="B152">
        <v>4.6020000000000003</v>
      </c>
      <c r="C152">
        <v>4.665</v>
      </c>
      <c r="D152">
        <v>4.5</v>
      </c>
      <c r="E152">
        <v>4.5570000000000004</v>
      </c>
      <c r="F152">
        <v>1014411.25</v>
      </c>
      <c r="G152">
        <v>4.5570000000000004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-0.30909090909090459</v>
      </c>
      <c r="Q152">
        <f t="shared" ref="Q152" si="736">F152*P152</f>
        <v>-313545.29545454087</v>
      </c>
      <c r="R152">
        <f t="shared" ref="R152" si="737">R153+Q152</f>
        <v>52686740.340887532</v>
      </c>
      <c r="S152">
        <f t="shared" ref="S152" si="738">R152/100000</f>
        <v>526.86740340887536</v>
      </c>
      <c r="T152">
        <f t="shared" ref="T152" si="739">S152/1000</f>
        <v>0.52686740340887539</v>
      </c>
    </row>
    <row r="153" spans="1:20" x14ac:dyDescent="0.25">
      <c r="A153" s="5">
        <v>44440</v>
      </c>
      <c r="B153">
        <v>4.3090000000000002</v>
      </c>
      <c r="C153">
        <v>4.6269999999999998</v>
      </c>
      <c r="D153">
        <v>4.2350000000000003</v>
      </c>
      <c r="E153">
        <v>4.6029999999999998</v>
      </c>
      <c r="F153">
        <v>1183653.8400000001</v>
      </c>
      <c r="G153">
        <v>4.6029999999999998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0.87755102040816302</v>
      </c>
      <c r="Q153">
        <f t="shared" ref="Q153" si="741">F153*P153</f>
        <v>1038716.6351020406</v>
      </c>
      <c r="R153">
        <f t="shared" ref="R153" si="742">R154+Q153</f>
        <v>53000285.636342071</v>
      </c>
      <c r="S153">
        <f t="shared" ref="S153" si="743">R153/100000</f>
        <v>530.00285636342073</v>
      </c>
      <c r="T153">
        <f t="shared" ref="T153" si="744">S153/1000</f>
        <v>0.5300028563634207</v>
      </c>
    </row>
    <row r="154" spans="1:20" x14ac:dyDescent="0.25">
      <c r="A154" s="5">
        <v>44439</v>
      </c>
      <c r="B154">
        <v>4.1980000000000004</v>
      </c>
      <c r="C154">
        <v>4.4320000000000004</v>
      </c>
      <c r="D154">
        <v>4.1230000000000002</v>
      </c>
      <c r="E154">
        <v>4.306</v>
      </c>
      <c r="F154">
        <v>1326047.1299999999</v>
      </c>
      <c r="G154">
        <v>4.306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0.18446601941747401</v>
      </c>
      <c r="Q154">
        <f t="shared" ref="Q154" si="746">F154*P154</f>
        <v>244610.63563106567</v>
      </c>
      <c r="R154">
        <f t="shared" ref="R154" si="747">R155+Q154</f>
        <v>51961569.00124003</v>
      </c>
      <c r="S154">
        <f t="shared" ref="S154" si="748">R154/100000</f>
        <v>519.61569001240025</v>
      </c>
      <c r="T154">
        <f t="shared" ref="T154" si="749">S154/1000</f>
        <v>0.51961569001240027</v>
      </c>
    </row>
    <row r="155" spans="1:20" x14ac:dyDescent="0.25">
      <c r="A155" s="5">
        <v>44438</v>
      </c>
      <c r="B155">
        <v>4.2240000000000002</v>
      </c>
      <c r="C155">
        <v>4.3890000000000002</v>
      </c>
      <c r="D155">
        <v>4.0410000000000004</v>
      </c>
      <c r="E155">
        <v>4.2060000000000004</v>
      </c>
      <c r="F155">
        <v>2275356.75</v>
      </c>
      <c r="G155">
        <v>4.2060000000000004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-5.1724137931033913E-2</v>
      </c>
      <c r="Q155">
        <f t="shared" ref="Q155" si="751">F155*P155</f>
        <v>-117690.86637930905</v>
      </c>
      <c r="R155">
        <f t="shared" ref="R155" si="752">R156+Q155</f>
        <v>51716958.365608968</v>
      </c>
      <c r="S155">
        <f t="shared" ref="S155" si="753">R155/100000</f>
        <v>517.16958365608969</v>
      </c>
      <c r="T155">
        <f t="shared" ref="T155" si="754">S155/1000</f>
        <v>0.51716958365608967</v>
      </c>
    </row>
    <row r="156" spans="1:20" x14ac:dyDescent="0.25">
      <c r="A156" s="5">
        <v>44437</v>
      </c>
      <c r="B156">
        <v>4.2309999999999999</v>
      </c>
      <c r="C156">
        <v>4.4020000000000001</v>
      </c>
      <c r="D156">
        <v>4.1500000000000004</v>
      </c>
      <c r="E156">
        <v>4.2220000000000004</v>
      </c>
      <c r="F156">
        <v>1442202.2</v>
      </c>
      <c r="G156">
        <v>4.2220000000000004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-0.42857142857142755</v>
      </c>
      <c r="Q156">
        <f t="shared" ref="Q156" si="756">F156*P156</f>
        <v>-618086.65714285569</v>
      </c>
      <c r="R156">
        <f t="shared" ref="R156" si="757">R157+Q156</f>
        <v>51834649.231988274</v>
      </c>
      <c r="S156">
        <f t="shared" ref="S156" si="758">R156/100000</f>
        <v>518.34649231988271</v>
      </c>
      <c r="T156">
        <f t="shared" ref="T156" si="759">S156/1000</f>
        <v>0.51834649231988272</v>
      </c>
    </row>
    <row r="157" spans="1:20" x14ac:dyDescent="0.25">
      <c r="A157" s="5">
        <v>44436</v>
      </c>
      <c r="B157">
        <v>4.3419999999999996</v>
      </c>
      <c r="C157">
        <v>4.3559999999999999</v>
      </c>
      <c r="D157">
        <v>4.117</v>
      </c>
      <c r="E157">
        <v>4.2279999999999998</v>
      </c>
      <c r="F157">
        <v>1421839.6</v>
      </c>
      <c r="G157">
        <v>4.2279999999999998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-7.1129707112972201E-2</v>
      </c>
      <c r="Q157">
        <f t="shared" ref="Q157" si="761">F157*P157</f>
        <v>-101135.03430962555</v>
      </c>
      <c r="R157">
        <f t="shared" ref="R157" si="762">R158+Q157</f>
        <v>52452735.889131129</v>
      </c>
      <c r="S157">
        <f t="shared" ref="S157" si="763">R157/100000</f>
        <v>524.52735889131134</v>
      </c>
      <c r="T157">
        <f t="shared" ref="T157" si="764">S157/1000</f>
        <v>0.5245273588913113</v>
      </c>
    </row>
    <row r="158" spans="1:20" x14ac:dyDescent="0.25">
      <c r="A158" s="5">
        <v>44435</v>
      </c>
      <c r="B158">
        <v>4.173</v>
      </c>
      <c r="C158">
        <v>4.4009999999999998</v>
      </c>
      <c r="D158">
        <v>4.1050000000000004</v>
      </c>
      <c r="E158">
        <v>4.3449999999999998</v>
      </c>
      <c r="F158">
        <v>1297361.93</v>
      </c>
      <c r="G158">
        <v>4.3449999999999998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0.62162162162162049</v>
      </c>
      <c r="Q158">
        <f t="shared" ref="Q158" si="766">F158*P158</f>
        <v>806468.22675675526</v>
      </c>
      <c r="R158">
        <f t="shared" ref="R158" si="767">R159+Q158</f>
        <v>52553870.923440754</v>
      </c>
      <c r="S158">
        <f t="shared" ref="S158" si="768">R158/100000</f>
        <v>525.53870923440752</v>
      </c>
      <c r="T158">
        <f t="shared" ref="T158" si="769">S158/1000</f>
        <v>0.52553870923440749</v>
      </c>
    </row>
    <row r="159" spans="1:20" x14ac:dyDescent="0.25">
      <c r="A159" s="5">
        <v>44434</v>
      </c>
      <c r="B159">
        <v>4.3821000000000003</v>
      </c>
      <c r="C159">
        <v>4.53</v>
      </c>
      <c r="D159">
        <v>4.1619999999999999</v>
      </c>
      <c r="E159">
        <v>4.1749999999999998</v>
      </c>
      <c r="F159">
        <v>3298472.86</v>
      </c>
      <c r="G159">
        <v>4.1749999999999998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-0.9293478260869571</v>
      </c>
      <c r="Q159">
        <f t="shared" ref="Q159" si="771">F159*P159</f>
        <v>-3065428.5818478279</v>
      </c>
      <c r="R159">
        <f t="shared" ref="R159" si="772">R160+Q159</f>
        <v>51747402.696684003</v>
      </c>
      <c r="S159">
        <f t="shared" ref="S159" si="773">R159/100000</f>
        <v>517.47402696684003</v>
      </c>
      <c r="T159">
        <f t="shared" ref="T159" si="774">S159/1000</f>
        <v>0.51747402696684008</v>
      </c>
    </row>
    <row r="160" spans="1:20" x14ac:dyDescent="0.25">
      <c r="A160" s="5">
        <v>44433</v>
      </c>
      <c r="B160">
        <v>4.1452</v>
      </c>
      <c r="C160">
        <v>4.6746999999999996</v>
      </c>
      <c r="D160">
        <v>4.1204999999999998</v>
      </c>
      <c r="E160">
        <v>4.3742000000000001</v>
      </c>
      <c r="F160">
        <v>4381374.93</v>
      </c>
      <c r="G160">
        <v>4.3742000000000001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-8.4446048357992243E-2</v>
      </c>
      <c r="Q160">
        <f t="shared" ref="Q160" si="776">F160*P160</f>
        <v>-369989.79921327485</v>
      </c>
      <c r="R160">
        <f t="shared" ref="R160" si="777">R161+Q160</f>
        <v>54812831.278531834</v>
      </c>
      <c r="S160">
        <f t="shared" ref="S160" si="778">R160/100000</f>
        <v>548.12831278531837</v>
      </c>
      <c r="T160">
        <f t="shared" ref="T160" si="779">S160/1000</f>
        <v>0.54812831278531837</v>
      </c>
    </row>
    <row r="161" spans="1:20" x14ac:dyDescent="0.25">
      <c r="A161" s="5">
        <v>44432</v>
      </c>
      <c r="B161">
        <v>4.3193000000000001</v>
      </c>
      <c r="C161">
        <v>4.7563000000000004</v>
      </c>
      <c r="D161">
        <v>4.1288999999999998</v>
      </c>
      <c r="E161">
        <v>4.1482999999999999</v>
      </c>
      <c r="F161">
        <v>3493063.08</v>
      </c>
      <c r="G161">
        <v>4.1482999999999999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-0.93815747529486748</v>
      </c>
      <c r="Q161">
        <f t="shared" ref="Q161" si="781">F161*P161</f>
        <v>-3277043.2401785138</v>
      </c>
      <c r="R161">
        <f t="shared" ref="R161" si="782">R162+Q161</f>
        <v>55182821.07774511</v>
      </c>
      <c r="S161">
        <f t="shared" ref="S161" si="783">R161/100000</f>
        <v>551.82821077745109</v>
      </c>
      <c r="T161">
        <f t="shared" ref="T161" si="784">S161/1000</f>
        <v>0.55182821077745114</v>
      </c>
    </row>
    <row r="162" spans="1:20" x14ac:dyDescent="0.25">
      <c r="A162" s="5">
        <v>44431</v>
      </c>
      <c r="B162">
        <v>4.2653999999999996</v>
      </c>
      <c r="C162">
        <v>4.4607000000000001</v>
      </c>
      <c r="D162">
        <v>4.2403000000000004</v>
      </c>
      <c r="E162">
        <v>4.3197999999999999</v>
      </c>
      <c r="F162">
        <v>594327.52</v>
      </c>
      <c r="G162">
        <v>4.3197999999999999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-0.27858439201452301</v>
      </c>
      <c r="Q162">
        <f t="shared" ref="Q162" si="786">F162*P162</f>
        <v>-165570.37081669926</v>
      </c>
      <c r="R162">
        <f t="shared" ref="R162" si="787">R163+Q162</f>
        <v>58459864.31792362</v>
      </c>
      <c r="S162">
        <f t="shared" ref="S162" si="788">R162/100000</f>
        <v>584.59864317923621</v>
      </c>
      <c r="T162">
        <f t="shared" ref="T162" si="789">S162/1000</f>
        <v>0.58459864317923615</v>
      </c>
    </row>
    <row r="163" spans="1:20" x14ac:dyDescent="0.25">
      <c r="A163" s="5">
        <v>44430</v>
      </c>
      <c r="B163">
        <v>4.2588999999999997</v>
      </c>
      <c r="C163">
        <v>4.3197999999999999</v>
      </c>
      <c r="D163">
        <v>4.2328000000000001</v>
      </c>
      <c r="E163">
        <v>4.2851999999999997</v>
      </c>
      <c r="F163">
        <v>66177.64</v>
      </c>
      <c r="G163">
        <v>4.2851999999999997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0.20459770114941866</v>
      </c>
      <c r="Q163">
        <f t="shared" ref="Q163" si="791">F163*P163</f>
        <v>13539.793011493815</v>
      </c>
      <c r="R163">
        <f t="shared" ref="R163" si="792">R164+Q163</f>
        <v>58625434.688740321</v>
      </c>
      <c r="S163">
        <f t="shared" ref="S163" si="793">R163/100000</f>
        <v>586.25434688740324</v>
      </c>
      <c r="T163">
        <f t="shared" ref="T163" si="794">S163/1000</f>
        <v>0.5862543468874033</v>
      </c>
    </row>
    <row r="164" spans="1:20" x14ac:dyDescent="0.25">
      <c r="A164" s="5">
        <v>44429</v>
      </c>
      <c r="B164">
        <v>4.2996999999999996</v>
      </c>
      <c r="C164">
        <v>4.3933999999999997</v>
      </c>
      <c r="D164">
        <v>4.2167000000000003</v>
      </c>
      <c r="E164">
        <v>4.2606000000000002</v>
      </c>
      <c r="F164">
        <v>802999.65</v>
      </c>
      <c r="G164">
        <v>4.2606000000000002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-0.50311262026032855</v>
      </c>
      <c r="Q164">
        <f t="shared" ref="Q164" si="796">F164*P164</f>
        <v>-403999.25797962677</v>
      </c>
      <c r="R164">
        <f t="shared" ref="R164" si="797">R165+Q164</f>
        <v>58611894.895728827</v>
      </c>
      <c r="S164">
        <f t="shared" ref="S164" si="798">R164/100000</f>
        <v>586.11894895728824</v>
      </c>
      <c r="T164">
        <f t="shared" ref="T164" si="799">S164/1000</f>
        <v>0.58611894895728822</v>
      </c>
    </row>
    <row r="165" spans="1:20" x14ac:dyDescent="0.25">
      <c r="A165" s="5">
        <v>44428</v>
      </c>
      <c r="B165">
        <v>4.1805000000000003</v>
      </c>
      <c r="C165">
        <v>4.3243999999999998</v>
      </c>
      <c r="D165">
        <v>4.1277999999999997</v>
      </c>
      <c r="E165">
        <v>4.2998000000000003</v>
      </c>
      <c r="F165">
        <v>981611.69</v>
      </c>
      <c r="G165">
        <v>4.2998000000000003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0.74974567650051371</v>
      </c>
      <c r="Q165">
        <f t="shared" ref="Q165" si="801">F165*P165</f>
        <v>735959.1205798625</v>
      </c>
      <c r="R165">
        <f t="shared" ref="R165" si="802">R166+Q165</f>
        <v>59015894.15370845</v>
      </c>
      <c r="S165">
        <f t="shared" ref="S165" si="803">R165/100000</f>
        <v>590.1589415370845</v>
      </c>
      <c r="T165">
        <f t="shared" ref="T165" si="804">S165/1000</f>
        <v>0.59015894153708448</v>
      </c>
    </row>
    <row r="166" spans="1:20" x14ac:dyDescent="0.25">
      <c r="A166" s="5">
        <v>44427</v>
      </c>
      <c r="B166">
        <v>4.0137999999999998</v>
      </c>
      <c r="C166">
        <v>4.2218</v>
      </c>
      <c r="D166">
        <v>3.8588</v>
      </c>
      <c r="E166">
        <v>4.1822999999999997</v>
      </c>
      <c r="F166">
        <v>2152383.94</v>
      </c>
      <c r="G166">
        <v>4.1822999999999997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0.78236914600550789</v>
      </c>
      <c r="Q166">
        <f t="shared" ref="Q166" si="806">F166*P166</f>
        <v>1683958.7850137702</v>
      </c>
      <c r="R166">
        <f t="shared" ref="R166" si="807">R167+Q166</f>
        <v>58279935.033128589</v>
      </c>
      <c r="S166">
        <f t="shared" ref="S166" si="808">R166/100000</f>
        <v>582.79935033128595</v>
      </c>
      <c r="T166">
        <f t="shared" ref="T166" si="809">S166/1000</f>
        <v>0.58279935033128594</v>
      </c>
    </row>
    <row r="167" spans="1:20" x14ac:dyDescent="0.25">
      <c r="A167" s="5">
        <v>44426</v>
      </c>
      <c r="B167">
        <v>4.0003000000000002</v>
      </c>
      <c r="C167">
        <v>4.8525999999999998</v>
      </c>
      <c r="D167">
        <v>3.8818999999999999</v>
      </c>
      <c r="E167">
        <v>4.0119999999999996</v>
      </c>
      <c r="F167">
        <v>3725291.37</v>
      </c>
      <c r="G167">
        <v>4.0119999999999996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-0.73194601833728301</v>
      </c>
      <c r="Q167">
        <f t="shared" ref="Q167" si="811">F167*P167</f>
        <v>-2726712.185417742</v>
      </c>
      <c r="R167">
        <f t="shared" ref="R167" si="812">R168+Q167</f>
        <v>56595976.248114817</v>
      </c>
      <c r="S167">
        <f t="shared" ref="S167" si="813">R167/100000</f>
        <v>565.95976248114812</v>
      </c>
      <c r="T167">
        <f t="shared" ref="T167" si="814">S167/1000</f>
        <v>0.5659597624811481</v>
      </c>
    </row>
    <row r="168" spans="1:20" x14ac:dyDescent="0.25">
      <c r="A168" s="5">
        <v>44425</v>
      </c>
      <c r="B168">
        <v>4.1562999999999999</v>
      </c>
      <c r="C168">
        <v>4.3998999999999997</v>
      </c>
      <c r="D168">
        <v>3.94</v>
      </c>
      <c r="E168">
        <v>4.0000999999999998</v>
      </c>
      <c r="F168">
        <v>897717.45</v>
      </c>
      <c r="G168">
        <v>4.0000999999999998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-0.73863883452924617</v>
      </c>
      <c r="Q168">
        <f t="shared" ref="Q168" si="816">F168*P168</f>
        <v>-663088.97100456676</v>
      </c>
      <c r="R168">
        <f t="shared" ref="R168" si="817">R169+Q168</f>
        <v>59322688.433532558</v>
      </c>
      <c r="S168">
        <f t="shared" ref="S168" si="818">R168/100000</f>
        <v>593.22688433532562</v>
      </c>
      <c r="T168">
        <f t="shared" ref="T168" si="819">S168/1000</f>
        <v>0.59322688433532567</v>
      </c>
    </row>
    <row r="169" spans="1:20" x14ac:dyDescent="0.25">
      <c r="A169" s="5">
        <v>44424</v>
      </c>
      <c r="B169">
        <v>4.2676999999999996</v>
      </c>
      <c r="C169">
        <v>4.375</v>
      </c>
      <c r="D169">
        <v>4.1319999999999997</v>
      </c>
      <c r="E169">
        <v>4.1565000000000003</v>
      </c>
      <c r="F169">
        <v>863608.94</v>
      </c>
      <c r="G169">
        <v>4.1565000000000003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-0.79835390946501561</v>
      </c>
      <c r="Q169">
        <f t="shared" ref="Q169" si="821">F169*P169</f>
        <v>-689465.57349793811</v>
      </c>
      <c r="R169">
        <f t="shared" ref="R169" si="822">R170+Q169</f>
        <v>59985777.404537126</v>
      </c>
      <c r="S169">
        <f t="shared" ref="S169" si="823">R169/100000</f>
        <v>599.85777404537123</v>
      </c>
      <c r="T169">
        <f t="shared" ref="T169" si="824">S169/1000</f>
        <v>0.59985777404537122</v>
      </c>
    </row>
    <row r="170" spans="1:20" x14ac:dyDescent="0.25">
      <c r="A170" s="5">
        <v>44423</v>
      </c>
      <c r="B170">
        <v>4.2496999999999998</v>
      </c>
      <c r="C170">
        <v>4.3163</v>
      </c>
      <c r="D170">
        <v>4.0578000000000003</v>
      </c>
      <c r="E170">
        <v>4.2614000000000001</v>
      </c>
      <c r="F170">
        <v>319904.02</v>
      </c>
      <c r="G170">
        <v>4.2614000000000001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0.57524177949709865</v>
      </c>
      <c r="Q170">
        <f t="shared" ref="Q170" si="826">F170*P170</f>
        <v>184022.15773307544</v>
      </c>
      <c r="R170">
        <f t="shared" ref="R170" si="827">R171+Q170</f>
        <v>60675242.978035063</v>
      </c>
      <c r="S170">
        <f t="shared" ref="S170" si="828">R170/100000</f>
        <v>606.75242978035067</v>
      </c>
      <c r="T170">
        <f t="shared" ref="T170" si="829">S170/1000</f>
        <v>0.60675242978035071</v>
      </c>
    </row>
    <row r="171" spans="1:20" x14ac:dyDescent="0.25">
      <c r="A171" s="5">
        <v>44422</v>
      </c>
      <c r="B171">
        <v>4.2535999999999996</v>
      </c>
      <c r="C171">
        <v>4.3139000000000003</v>
      </c>
      <c r="D171">
        <v>4.1154000000000002</v>
      </c>
      <c r="E171">
        <v>4.2497999999999996</v>
      </c>
      <c r="F171">
        <v>334258.68</v>
      </c>
      <c r="G171">
        <v>4.2497999999999996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0.35415617128462801</v>
      </c>
      <c r="Q171">
        <f t="shared" ref="Q171" si="831">F171*P171</f>
        <v>118379.77432745366</v>
      </c>
      <c r="R171">
        <f t="shared" ref="R171" si="832">R172+Q171</f>
        <v>60491220.820301987</v>
      </c>
      <c r="S171">
        <f t="shared" ref="S171" si="833">R171/100000</f>
        <v>604.91220820301987</v>
      </c>
      <c r="T171">
        <f t="shared" ref="T171" si="834">S171/1000</f>
        <v>0.60491220820301983</v>
      </c>
    </row>
    <row r="172" spans="1:20" x14ac:dyDescent="0.25">
      <c r="A172" s="5">
        <v>44421</v>
      </c>
      <c r="B172">
        <v>3.9312999999999998</v>
      </c>
      <c r="C172">
        <v>4.2572000000000001</v>
      </c>
      <c r="D172">
        <v>3.9058000000000002</v>
      </c>
      <c r="E172">
        <v>4.2572000000000001</v>
      </c>
      <c r="F172">
        <v>472626.43</v>
      </c>
      <c r="G172">
        <v>4.2572000000000001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1</v>
      </c>
      <c r="Q172">
        <f t="shared" ref="Q172" si="836">F172*P172</f>
        <v>472626.43</v>
      </c>
      <c r="R172">
        <f t="shared" ref="R172" si="837">R173+Q172</f>
        <v>60372841.04597453</v>
      </c>
      <c r="S172">
        <f t="shared" ref="S172" si="838">R172/100000</f>
        <v>603.72841045974531</v>
      </c>
      <c r="T172">
        <f t="shared" ref="T172" si="839">S172/1000</f>
        <v>0.60372841045974535</v>
      </c>
    </row>
    <row r="173" spans="1:20" x14ac:dyDescent="0.25">
      <c r="A173" s="5">
        <v>44420</v>
      </c>
      <c r="B173">
        <v>4.0841000000000003</v>
      </c>
      <c r="C173">
        <v>4.1711</v>
      </c>
      <c r="D173">
        <v>3.8346</v>
      </c>
      <c r="E173">
        <v>3.93</v>
      </c>
      <c r="F173">
        <v>686680.51</v>
      </c>
      <c r="G173">
        <v>3.93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-0.43298662704308977</v>
      </c>
      <c r="Q173">
        <f t="shared" ref="Q173" si="841">F173*P173</f>
        <v>-297323.47788112867</v>
      </c>
      <c r="R173">
        <f t="shared" ref="R173" si="842">R174+Q173</f>
        <v>59900214.615974531</v>
      </c>
      <c r="S173">
        <f t="shared" ref="S173" si="843">R173/100000</f>
        <v>599.00214615974528</v>
      </c>
      <c r="T173">
        <f t="shared" ref="T173" si="844">S173/1000</f>
        <v>0.59900214615974523</v>
      </c>
    </row>
    <row r="174" spans="1:20" x14ac:dyDescent="0.25">
      <c r="A174" s="5">
        <v>44419</v>
      </c>
      <c r="B174">
        <v>3.9958</v>
      </c>
      <c r="C174">
        <v>4.2241999999999997</v>
      </c>
      <c r="D174">
        <v>3.9777</v>
      </c>
      <c r="E174">
        <v>4.0900999999999996</v>
      </c>
      <c r="F174">
        <v>472008.03</v>
      </c>
      <c r="G174">
        <v>4.0900999999999996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-8.8032454361056875E-2</v>
      </c>
      <c r="Q174">
        <f t="shared" ref="Q174" si="846">F174*P174</f>
        <v>-41552.025359027364</v>
      </c>
      <c r="R174">
        <f t="shared" ref="R174" si="847">R175+Q174</f>
        <v>60197538.093855657</v>
      </c>
      <c r="S174">
        <f t="shared" ref="S174" si="848">R174/100000</f>
        <v>601.97538093855655</v>
      </c>
      <c r="T174">
        <f t="shared" ref="T174" si="849">S174/1000</f>
        <v>0.60197538093855651</v>
      </c>
    </row>
    <row r="175" spans="1:20" x14ac:dyDescent="0.25">
      <c r="A175" s="5">
        <v>44418</v>
      </c>
      <c r="B175">
        <v>3.9990999999999999</v>
      </c>
      <c r="C175">
        <v>4.1900000000000004</v>
      </c>
      <c r="D175">
        <v>3.8831000000000002</v>
      </c>
      <c r="E175">
        <v>3.9977999999999998</v>
      </c>
      <c r="F175">
        <v>380747.95</v>
      </c>
      <c r="G175">
        <v>3.9977999999999998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-0.25252525252525571</v>
      </c>
      <c r="Q175">
        <f t="shared" ref="Q175" si="851">F175*P175</f>
        <v>-96148.472222223441</v>
      </c>
      <c r="R175">
        <f t="shared" ref="R175" si="852">R176+Q175</f>
        <v>60239090.119214684</v>
      </c>
      <c r="S175">
        <f t="shared" ref="S175" si="853">R175/100000</f>
        <v>602.39090119214688</v>
      </c>
      <c r="T175">
        <f t="shared" ref="T175" si="854">S175/1000</f>
        <v>0.60239090119214689</v>
      </c>
    </row>
    <row r="176" spans="1:20" x14ac:dyDescent="0.25">
      <c r="A176" s="5">
        <v>44417</v>
      </c>
      <c r="B176">
        <v>3.8311999999999999</v>
      </c>
      <c r="C176">
        <v>4.0312000000000001</v>
      </c>
      <c r="D176">
        <v>3.6772</v>
      </c>
      <c r="E176">
        <v>3.9975999999999998</v>
      </c>
      <c r="F176">
        <v>378063.92</v>
      </c>
      <c r="G176">
        <v>3.9975999999999998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0.81016949152542206</v>
      </c>
      <c r="Q176">
        <f t="shared" ref="Q176" si="856">F176*P176</f>
        <v>306295.85383050784</v>
      </c>
      <c r="R176">
        <f t="shared" ref="R176" si="857">R177+Q176</f>
        <v>60335238.591436908</v>
      </c>
      <c r="S176">
        <f t="shared" ref="S176" si="858">R176/100000</f>
        <v>603.35238591436905</v>
      </c>
      <c r="T176">
        <f t="shared" ref="T176" si="859">S176/1000</f>
        <v>0.60335238591436902</v>
      </c>
    </row>
    <row r="177" spans="1:20" x14ac:dyDescent="0.25">
      <c r="A177" s="5">
        <v>44416</v>
      </c>
      <c r="B177">
        <v>3.9801000000000002</v>
      </c>
      <c r="C177">
        <v>4.0171999999999999</v>
      </c>
      <c r="D177">
        <v>3.7583000000000002</v>
      </c>
      <c r="E177">
        <v>3.8262999999999998</v>
      </c>
      <c r="F177">
        <v>414481.06</v>
      </c>
      <c r="G177">
        <v>3.8262999999999998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-0.47470065662418154</v>
      </c>
      <c r="Q177">
        <f t="shared" ref="Q177" si="861">F177*P177</f>
        <v>-196754.43134028677</v>
      </c>
      <c r="R177">
        <f t="shared" ref="R177" si="862">R178+Q177</f>
        <v>60028942.737606399</v>
      </c>
      <c r="S177">
        <f t="shared" ref="S177" si="863">R177/100000</f>
        <v>600.28942737606394</v>
      </c>
      <c r="T177">
        <f t="shared" ref="T177" si="864">S177/1000</f>
        <v>0.60028942737606394</v>
      </c>
    </row>
    <row r="178" spans="1:20" x14ac:dyDescent="0.25">
      <c r="A178" s="5">
        <v>44415</v>
      </c>
      <c r="B178">
        <v>3.7825000000000002</v>
      </c>
      <c r="C178">
        <v>4.3007999999999997</v>
      </c>
      <c r="D178">
        <v>3.7486000000000002</v>
      </c>
      <c r="E178">
        <v>3.9779</v>
      </c>
      <c r="F178">
        <v>700407.35</v>
      </c>
      <c r="G178">
        <v>3.9779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-0.16950380296993839</v>
      </c>
      <c r="Q178">
        <f t="shared" ref="Q178" si="866">F178*P178</f>
        <v>-118721.70945309667</v>
      </c>
      <c r="R178">
        <f t="shared" ref="R178" si="867">R179+Q178</f>
        <v>60225697.168946683</v>
      </c>
      <c r="S178">
        <f t="shared" ref="S178" si="868">R178/100000</f>
        <v>602.25697168946681</v>
      </c>
      <c r="T178">
        <f t="shared" ref="T178" si="869">S178/1000</f>
        <v>0.60225697168946679</v>
      </c>
    </row>
    <row r="179" spans="1:20" x14ac:dyDescent="0.25">
      <c r="A179" s="5">
        <v>44414</v>
      </c>
      <c r="B179">
        <v>3.7229000000000001</v>
      </c>
      <c r="C179">
        <v>3.8313000000000001</v>
      </c>
      <c r="D179">
        <v>3.61</v>
      </c>
      <c r="E179">
        <v>3.7791999999999999</v>
      </c>
      <c r="F179">
        <v>485986.99</v>
      </c>
      <c r="G179">
        <v>3.7791999999999999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0.52914595571622058</v>
      </c>
      <c r="Q179">
        <f t="shared" ref="Q179" si="871">F179*P179</f>
        <v>257158.05028919934</v>
      </c>
      <c r="R179">
        <f t="shared" ref="R179" si="872">R180+Q179</f>
        <v>60344418.878399782</v>
      </c>
      <c r="S179">
        <f t="shared" ref="S179" si="873">R179/100000</f>
        <v>603.44418878399779</v>
      </c>
      <c r="T179">
        <f t="shared" ref="T179" si="874">S179/1000</f>
        <v>0.60344418878399775</v>
      </c>
    </row>
    <row r="180" spans="1:20" x14ac:dyDescent="0.25">
      <c r="A180" s="5">
        <v>44413</v>
      </c>
      <c r="B180">
        <v>3.6419000000000001</v>
      </c>
      <c r="C180">
        <v>3.8</v>
      </c>
      <c r="D180">
        <v>3.4413</v>
      </c>
      <c r="E180">
        <v>3.7191000000000001</v>
      </c>
      <c r="F180">
        <v>956447.3</v>
      </c>
      <c r="G180">
        <v>3.7191000000000001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0.54892667967661113</v>
      </c>
      <c r="Q180">
        <f t="shared" ref="Q180" si="876">F180*P180</f>
        <v>525019.44067465956</v>
      </c>
      <c r="R180">
        <f t="shared" ref="R180" si="877">R181+Q180</f>
        <v>60087260.828110583</v>
      </c>
      <c r="S180">
        <f t="shared" ref="S180" si="878">R180/100000</f>
        <v>600.87260828110584</v>
      </c>
      <c r="T180">
        <f t="shared" ref="T180" si="879">S180/1000</f>
        <v>0.60087260828110589</v>
      </c>
    </row>
    <row r="181" spans="1:20" x14ac:dyDescent="0.25">
      <c r="A181" s="5">
        <v>44412</v>
      </c>
      <c r="B181">
        <v>3.4457</v>
      </c>
      <c r="C181">
        <v>3.6717</v>
      </c>
      <c r="D181">
        <v>3.3889999999999998</v>
      </c>
      <c r="E181">
        <v>3.6394000000000002</v>
      </c>
      <c r="F181">
        <v>299919.61</v>
      </c>
      <c r="G181">
        <v>3.6394000000000002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0.7714892111779289</v>
      </c>
      <c r="Q181">
        <f t="shared" ref="Q181" si="881">F181*P181</f>
        <v>231384.74333569207</v>
      </c>
      <c r="R181">
        <f t="shared" ref="R181" si="882">R182+Q181</f>
        <v>59562241.387435921</v>
      </c>
      <c r="S181">
        <f t="shared" ref="S181" si="883">R181/100000</f>
        <v>595.62241387435915</v>
      </c>
      <c r="T181">
        <f t="shared" ref="T181" si="884">S181/1000</f>
        <v>0.5956224138743591</v>
      </c>
    </row>
    <row r="182" spans="1:20" x14ac:dyDescent="0.25">
      <c r="A182" s="5">
        <v>44411</v>
      </c>
      <c r="B182">
        <v>3.5369000000000002</v>
      </c>
      <c r="C182">
        <v>3.6</v>
      </c>
      <c r="D182">
        <v>3.3746</v>
      </c>
      <c r="E182">
        <v>3.4434</v>
      </c>
      <c r="F182">
        <v>299700.39</v>
      </c>
      <c r="G182">
        <v>3.4434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-0.389529724933452</v>
      </c>
      <c r="Q182">
        <f t="shared" ref="Q182" si="886">F182*P182</f>
        <v>-116742.2104791483</v>
      </c>
      <c r="R182">
        <f t="shared" ref="R182" si="887">R183+Q182</f>
        <v>59330856.644100226</v>
      </c>
      <c r="S182">
        <f t="shared" ref="S182" si="888">R182/100000</f>
        <v>593.30856644100231</v>
      </c>
      <c r="T182">
        <f t="shared" ref="T182" si="889">S182/1000</f>
        <v>0.59330856644100227</v>
      </c>
    </row>
    <row r="183" spans="1:20" x14ac:dyDescent="0.25">
      <c r="A183" s="5">
        <v>44410</v>
      </c>
      <c r="B183">
        <v>3.4834000000000001</v>
      </c>
      <c r="C183">
        <v>3.6023999999999998</v>
      </c>
      <c r="D183">
        <v>3.4217</v>
      </c>
      <c r="E183">
        <v>3.5402999999999998</v>
      </c>
      <c r="F183">
        <v>314815.31</v>
      </c>
      <c r="G183">
        <v>3.5402999999999998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0.31267293857221812</v>
      </c>
      <c r="Q183">
        <f t="shared" ref="Q183" si="891">F183*P183</f>
        <v>98434.228085223804</v>
      </c>
      <c r="R183">
        <f t="shared" ref="R183" si="892">R184+Q183</f>
        <v>59447598.854579374</v>
      </c>
      <c r="S183">
        <f t="shared" ref="S183" si="893">R183/100000</f>
        <v>594.47598854579371</v>
      </c>
      <c r="T183">
        <f t="shared" ref="T183" si="894">S183/1000</f>
        <v>0.59447598854579375</v>
      </c>
    </row>
    <row r="184" spans="1:20" x14ac:dyDescent="0.25">
      <c r="A184" s="5">
        <v>44409</v>
      </c>
      <c r="B184">
        <v>3.5322</v>
      </c>
      <c r="C184">
        <v>3.6575000000000002</v>
      </c>
      <c r="D184">
        <v>3.4691999999999998</v>
      </c>
      <c r="E184">
        <v>3.4813000000000001</v>
      </c>
      <c r="F184">
        <v>370602.66</v>
      </c>
      <c r="G184">
        <v>3.4813000000000001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-0.87148167817312583</v>
      </c>
      <c r="Q184">
        <f t="shared" ref="Q184" si="896">F184*P184</f>
        <v>-322973.42807222437</v>
      </c>
      <c r="R184">
        <f t="shared" ref="R184" si="897">R185+Q184</f>
        <v>59349164.626494147</v>
      </c>
      <c r="S184">
        <f t="shared" ref="S184" si="898">R184/100000</f>
        <v>593.49164626494144</v>
      </c>
      <c r="T184">
        <f t="shared" ref="T184" si="899">S184/1000</f>
        <v>0.59349164626494144</v>
      </c>
    </row>
    <row r="185" spans="1:20" x14ac:dyDescent="0.25">
      <c r="A185" s="5">
        <v>44408</v>
      </c>
      <c r="B185">
        <v>3.4958999999999998</v>
      </c>
      <c r="C185">
        <v>3.62</v>
      </c>
      <c r="D185">
        <v>3.43</v>
      </c>
      <c r="E185">
        <v>3.5383</v>
      </c>
      <c r="F185">
        <v>308312.81</v>
      </c>
      <c r="G185">
        <v>3.5383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0.13999999999999865</v>
      </c>
      <c r="Q185">
        <f t="shared" ref="Q185" si="901">F185*P185</f>
        <v>43163.793399999588</v>
      </c>
      <c r="R185">
        <f t="shared" ref="R185" si="902">R186+Q185</f>
        <v>59672138.054566368</v>
      </c>
      <c r="S185">
        <f t="shared" ref="S185" si="903">R185/100000</f>
        <v>596.72138054566369</v>
      </c>
      <c r="T185">
        <f t="shared" ref="T185" si="904">S185/1000</f>
        <v>0.5967213805456637</v>
      </c>
    </row>
    <row r="186" spans="1:20" x14ac:dyDescent="0.25">
      <c r="A186" s="5">
        <v>44407</v>
      </c>
      <c r="B186">
        <v>3.3144</v>
      </c>
      <c r="C186">
        <v>3.512</v>
      </c>
      <c r="D186">
        <v>3.2134</v>
      </c>
      <c r="E186">
        <v>3.5081000000000002</v>
      </c>
      <c r="F186">
        <v>420063.67</v>
      </c>
      <c r="G186">
        <v>3.5081000000000002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0.97387809778968659</v>
      </c>
      <c r="Q186">
        <f t="shared" ref="Q186" si="906">F186*P186</f>
        <v>409090.8078901546</v>
      </c>
      <c r="R186">
        <f t="shared" ref="R186" si="907">R187+Q186</f>
        <v>59628974.261166371</v>
      </c>
      <c r="S186">
        <f t="shared" ref="S186" si="908">R186/100000</f>
        <v>596.28974261166377</v>
      </c>
      <c r="T186">
        <f t="shared" ref="T186" si="909">S186/1000</f>
        <v>0.59628974261166379</v>
      </c>
    </row>
    <row r="187" spans="1:20" x14ac:dyDescent="0.25">
      <c r="A187" s="5">
        <v>44406</v>
      </c>
      <c r="B187">
        <v>3.2376999999999998</v>
      </c>
      <c r="C187">
        <v>3.335</v>
      </c>
      <c r="D187">
        <v>3.1802000000000001</v>
      </c>
      <c r="E187">
        <v>3.3092999999999999</v>
      </c>
      <c r="F187">
        <v>178923.18</v>
      </c>
      <c r="G187">
        <v>3.3092999999999999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0.66795865633074825</v>
      </c>
      <c r="Q187">
        <f t="shared" ref="Q187" si="911">F187*P187</f>
        <v>119513.28689922461</v>
      </c>
      <c r="R187">
        <f t="shared" ref="R187" si="912">R188+Q187</f>
        <v>59219883.453276217</v>
      </c>
      <c r="S187">
        <f t="shared" ref="S187" si="913">R187/100000</f>
        <v>592.19883453276213</v>
      </c>
      <c r="T187">
        <f t="shared" ref="T187" si="914">S187/1000</f>
        <v>0.59219883453276212</v>
      </c>
    </row>
    <row r="188" spans="1:20" x14ac:dyDescent="0.25">
      <c r="A188" s="5">
        <v>44405</v>
      </c>
      <c r="B188">
        <v>3.2562000000000002</v>
      </c>
      <c r="C188">
        <v>3.3149999999999999</v>
      </c>
      <c r="D188">
        <v>3.1718000000000002</v>
      </c>
      <c r="E188">
        <v>3.2334000000000001</v>
      </c>
      <c r="F188">
        <v>262719.24</v>
      </c>
      <c r="G188">
        <v>3.2334000000000001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-0.1396648044692741</v>
      </c>
      <c r="Q188">
        <f t="shared" ref="Q188" si="916">F188*P188</f>
        <v>-36692.631284916293</v>
      </c>
      <c r="R188">
        <f t="shared" ref="R188" si="917">R189+Q188</f>
        <v>59100370.166376993</v>
      </c>
      <c r="S188">
        <f t="shared" ref="S188" si="918">R188/100000</f>
        <v>591.0037016637699</v>
      </c>
      <c r="T188">
        <f t="shared" ref="T188" si="919">S188/1000</f>
        <v>0.59100370166376992</v>
      </c>
    </row>
    <row r="189" spans="1:20" x14ac:dyDescent="0.25">
      <c r="A189" s="5">
        <v>44404</v>
      </c>
      <c r="B189">
        <v>3.1509</v>
      </c>
      <c r="C189">
        <v>3.2683</v>
      </c>
      <c r="D189">
        <v>3.0608</v>
      </c>
      <c r="E189">
        <v>3.2570999999999999</v>
      </c>
      <c r="F189">
        <v>378132.26</v>
      </c>
      <c r="G189">
        <v>3.2570999999999999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0.89204819277108338</v>
      </c>
      <c r="Q189">
        <f t="shared" ref="Q189" si="921">F189*P189</f>
        <v>337312.19916144543</v>
      </c>
      <c r="R189">
        <f t="shared" ref="R189" si="922">R190+Q189</f>
        <v>59137062.797661908</v>
      </c>
      <c r="S189">
        <f t="shared" ref="S189" si="923">R189/100000</f>
        <v>591.37062797661906</v>
      </c>
      <c r="T189">
        <f t="shared" ref="T189" si="924">S189/1000</f>
        <v>0.5913706279766191</v>
      </c>
    </row>
    <row r="190" spans="1:20" x14ac:dyDescent="0.25">
      <c r="A190" s="5">
        <v>44403</v>
      </c>
      <c r="B190">
        <v>3.0653999999999999</v>
      </c>
      <c r="C190">
        <v>3.4319999999999999</v>
      </c>
      <c r="D190">
        <v>3.0533000000000001</v>
      </c>
      <c r="E190">
        <v>3.1503999999999999</v>
      </c>
      <c r="F190">
        <v>653499.31999999995</v>
      </c>
      <c r="G190">
        <v>3.1503999999999999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-0.48719302878267867</v>
      </c>
      <c r="Q190">
        <f t="shared" ref="Q190" si="926">F190*P190</f>
        <v>-318380.31301822094</v>
      </c>
      <c r="R190">
        <f t="shared" ref="R190" si="927">R191+Q190</f>
        <v>58799750.59850046</v>
      </c>
      <c r="S190">
        <f t="shared" ref="S190" si="928">R190/100000</f>
        <v>587.99750598500464</v>
      </c>
      <c r="T190">
        <f t="shared" ref="T190" si="929">S190/1000</f>
        <v>0.58799750598500466</v>
      </c>
    </row>
    <row r="191" spans="1:20" x14ac:dyDescent="0.25">
      <c r="A191" s="5">
        <v>44402</v>
      </c>
      <c r="B191">
        <v>3.0388000000000002</v>
      </c>
      <c r="C191">
        <v>3.0750000000000002</v>
      </c>
      <c r="D191">
        <v>2.9531999999999998</v>
      </c>
      <c r="E191">
        <v>3.0703999999999998</v>
      </c>
      <c r="F191">
        <v>222921.77</v>
      </c>
      <c r="G191">
        <v>3.0703999999999998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0.92446633825943569</v>
      </c>
      <c r="Q191">
        <f t="shared" ref="Q191" si="931">F191*P191</f>
        <v>206083.67243021211</v>
      </c>
      <c r="R191">
        <f t="shared" ref="R191" si="932">R192+Q191</f>
        <v>59118130.911518678</v>
      </c>
      <c r="S191">
        <f t="shared" ref="S191" si="933">R191/100000</f>
        <v>591.18130911518676</v>
      </c>
      <c r="T191">
        <f t="shared" ref="T191" si="934">S191/1000</f>
        <v>0.59118130911518674</v>
      </c>
    </row>
    <row r="192" spans="1:20" x14ac:dyDescent="0.25">
      <c r="A192" s="5">
        <v>44401</v>
      </c>
      <c r="B192">
        <v>2.9964</v>
      </c>
      <c r="C192">
        <v>3.0815000000000001</v>
      </c>
      <c r="D192">
        <v>2.9655999999999998</v>
      </c>
      <c r="E192">
        <v>3.0415000000000001</v>
      </c>
      <c r="F192">
        <v>331582.43</v>
      </c>
      <c r="G192">
        <v>3.0415000000000001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0.30974978429680899</v>
      </c>
      <c r="Q192">
        <f t="shared" ref="Q192" si="936">F192*P192</f>
        <v>102707.58616911176</v>
      </c>
      <c r="R192">
        <f t="shared" ref="R192" si="937">R193+Q192</f>
        <v>58912047.239088468</v>
      </c>
      <c r="S192">
        <f t="shared" ref="S192" si="938">R192/100000</f>
        <v>589.12047239088463</v>
      </c>
      <c r="T192">
        <f t="shared" ref="T192:T197" si="939">S192/1000</f>
        <v>0.58912047239088461</v>
      </c>
    </row>
    <row r="193" spans="1:20" x14ac:dyDescent="0.25">
      <c r="A193" s="5">
        <v>44400</v>
      </c>
      <c r="B193">
        <v>2.8784000000000001</v>
      </c>
      <c r="C193">
        <v>3.0041000000000002</v>
      </c>
      <c r="D193">
        <v>2.8201999999999998</v>
      </c>
      <c r="E193">
        <v>2.9908000000000001</v>
      </c>
      <c r="F193">
        <v>251148.37</v>
      </c>
      <c r="G193">
        <v>2.9908000000000001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0.855356171832517</v>
      </c>
      <c r="Q193">
        <f t="shared" ref="Q193" si="941">F193*P193</f>
        <v>214821.30832517656</v>
      </c>
      <c r="R193">
        <f t="shared" ref="R193" si="942">R194+Q193</f>
        <v>58809339.65291936</v>
      </c>
      <c r="S193">
        <f t="shared" ref="S193" si="943">R193/100000</f>
        <v>588.09339652919357</v>
      </c>
      <c r="T193">
        <f t="shared" si="939"/>
        <v>0.58809339652919357</v>
      </c>
    </row>
    <row r="194" spans="1:20" x14ac:dyDescent="0.25">
      <c r="A194" s="5">
        <v>44399</v>
      </c>
      <c r="B194">
        <v>2.8376000000000001</v>
      </c>
      <c r="C194">
        <v>2.8999000000000001</v>
      </c>
      <c r="D194">
        <v>2.7841</v>
      </c>
      <c r="E194">
        <v>2.8782999999999999</v>
      </c>
      <c r="F194">
        <v>198429.08</v>
      </c>
      <c r="G194">
        <v>2.8782999999999999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0.62694300518134261</v>
      </c>
      <c r="Q194">
        <f t="shared" ref="Q194" si="945">F194*P194</f>
        <v>124403.72373056904</v>
      </c>
      <c r="R194">
        <f t="shared" ref="R194" si="946">R195+Q194</f>
        <v>58594518.344594181</v>
      </c>
      <c r="S194">
        <f t="shared" ref="S194" si="947">R194/100000</f>
        <v>585.94518344594178</v>
      </c>
      <c r="T194">
        <f t="shared" si="939"/>
        <v>0.58594518344594182</v>
      </c>
    </row>
    <row r="195" spans="1:20" x14ac:dyDescent="0.25">
      <c r="A195" s="5">
        <v>44398</v>
      </c>
      <c r="B195">
        <v>2.5828000000000002</v>
      </c>
      <c r="C195">
        <v>2.8872</v>
      </c>
      <c r="D195">
        <v>2.5333000000000001</v>
      </c>
      <c r="E195">
        <v>2.8319000000000001</v>
      </c>
      <c r="F195">
        <v>325403.65000000002</v>
      </c>
      <c r="G195">
        <v>2.8319000000000001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0.68748233964396765</v>
      </c>
      <c r="Q195">
        <f t="shared" ref="Q195" si="949">F195*P195</f>
        <v>223709.2626306868</v>
      </c>
      <c r="R195">
        <f t="shared" ref="R195" si="950">R196+Q195</f>
        <v>58470114.620863609</v>
      </c>
      <c r="S195">
        <f t="shared" ref="S195" si="951">R195/100000</f>
        <v>584.70114620863615</v>
      </c>
      <c r="T195">
        <f t="shared" si="939"/>
        <v>0.58470114620863611</v>
      </c>
    </row>
    <row r="196" spans="1:20" x14ac:dyDescent="0.25">
      <c r="A196" s="5">
        <v>44397</v>
      </c>
      <c r="B196">
        <v>2.6802000000000001</v>
      </c>
      <c r="C196">
        <v>2.7058</v>
      </c>
      <c r="D196">
        <v>2.4902000000000002</v>
      </c>
      <c r="E196">
        <v>2.5836999999999999</v>
      </c>
      <c r="F196">
        <v>305281.01</v>
      </c>
      <c r="G196">
        <v>2.5836999999999999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-0.1326530612244918</v>
      </c>
      <c r="Q196">
        <f t="shared" ref="Q196" si="953">F196*P196</f>
        <v>-40496.460510204699</v>
      </c>
      <c r="R196">
        <f t="shared" ref="R196" si="954">R197+Q196</f>
        <v>58246405.358232923</v>
      </c>
      <c r="S196">
        <f t="shared" ref="S196" si="955">R196/100000</f>
        <v>582.46405358232926</v>
      </c>
      <c r="T196">
        <f t="shared" si="939"/>
        <v>0.58246405358232922</v>
      </c>
    </row>
    <row r="197" spans="1:20" x14ac:dyDescent="0.25">
      <c r="A197" s="5">
        <v>44396</v>
      </c>
      <c r="B197">
        <v>2.7911999999999999</v>
      </c>
      <c r="C197">
        <v>2.8090999999999999</v>
      </c>
      <c r="D197">
        <v>2.6545000000000001</v>
      </c>
      <c r="E197">
        <v>2.6775000000000002</v>
      </c>
      <c r="F197">
        <v>179281.98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-0.70245795601552197</v>
      </c>
      <c r="Q197">
        <f t="shared" ref="Q197" si="957">F197*P197</f>
        <v>-125938.0532212157</v>
      </c>
      <c r="R197">
        <f t="shared" ref="R197" si="958">R198+Q197</f>
        <v>58286901.818743125</v>
      </c>
      <c r="S197">
        <f t="shared" ref="S197" si="959">R197/100000</f>
        <v>582.86901818743127</v>
      </c>
      <c r="T197">
        <f t="shared" si="939"/>
        <v>0.58286901818743131</v>
      </c>
    </row>
    <row r="198" spans="1:20" x14ac:dyDescent="0.25">
      <c r="A198" s="5">
        <v>44395</v>
      </c>
      <c r="B198">
        <v>2.8031000000000001</v>
      </c>
      <c r="C198">
        <v>2.9102000000000001</v>
      </c>
      <c r="D198">
        <v>2.758</v>
      </c>
      <c r="E198">
        <v>2.7978999999999998</v>
      </c>
      <c r="F198">
        <v>105417.14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60">IF(C198=D198,0,((E198-D198)-(C198-E198))/(C198-D198))</f>
        <v>-0.4756898817345625</v>
      </c>
      <c r="Q198">
        <f t="shared" ref="Q198:Q261" si="961">F198*P198</f>
        <v>-50145.866859395821</v>
      </c>
      <c r="R198">
        <f t="shared" ref="R198:R261" si="962">R199+Q198</f>
        <v>58412839.871964343</v>
      </c>
      <c r="S198">
        <f t="shared" ref="S198:S261" si="963">R198/100000</f>
        <v>584.12839871964343</v>
      </c>
      <c r="T198">
        <f t="shared" ref="T198:T261" si="964">S198/1000</f>
        <v>0.58412839871964339</v>
      </c>
    </row>
    <row r="199" spans="1:20" x14ac:dyDescent="0.25">
      <c r="A199" s="5">
        <v>44394</v>
      </c>
      <c r="B199">
        <v>2.7841999999999998</v>
      </c>
      <c r="C199">
        <v>2.8433999999999999</v>
      </c>
      <c r="D199">
        <v>2.7572999999999999</v>
      </c>
      <c r="E199">
        <v>2.8018999999999998</v>
      </c>
      <c r="F199">
        <v>142135.28</v>
      </c>
      <c r="G199">
        <v>0</v>
      </c>
      <c r="L199" t="s">
        <v>7</v>
      </c>
      <c r="M199" t="s">
        <v>7</v>
      </c>
      <c r="N199" t="s">
        <v>7</v>
      </c>
      <c r="P199">
        <f t="shared" si="960"/>
        <v>3.6004645760741909E-2</v>
      </c>
      <c r="Q199">
        <f t="shared" si="961"/>
        <v>5117.5304065038645</v>
      </c>
      <c r="R199">
        <f t="shared" si="962"/>
        <v>58462985.738823742</v>
      </c>
      <c r="S199">
        <f t="shared" si="963"/>
        <v>584.62985738823738</v>
      </c>
      <c r="T199">
        <f t="shared" si="964"/>
        <v>0.58462985738823736</v>
      </c>
    </row>
    <row r="200" spans="1:20" x14ac:dyDescent="0.25">
      <c r="A200" s="5">
        <v>44393</v>
      </c>
      <c r="B200">
        <v>2.8971</v>
      </c>
      <c r="C200">
        <v>2.9819</v>
      </c>
      <c r="D200">
        <v>2.7738999999999998</v>
      </c>
      <c r="E200">
        <v>2.7875999999999999</v>
      </c>
      <c r="F200">
        <v>181645.25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-0.86826923076923046</v>
      </c>
      <c r="Q200">
        <f t="shared" si="961"/>
        <v>-157716.98149038455</v>
      </c>
      <c r="R200">
        <f t="shared" si="962"/>
        <v>58457868.208417237</v>
      </c>
      <c r="S200">
        <f t="shared" si="963"/>
        <v>584.57868208417233</v>
      </c>
      <c r="T200">
        <f t="shared" si="964"/>
        <v>0.5845786820841723</v>
      </c>
    </row>
    <row r="201" spans="1:20" x14ac:dyDescent="0.25">
      <c r="A201" s="5">
        <v>44392</v>
      </c>
      <c r="B201">
        <v>3.0339999999999998</v>
      </c>
      <c r="C201">
        <v>3.0945999999999998</v>
      </c>
      <c r="D201">
        <v>2.8454000000000002</v>
      </c>
      <c r="E201">
        <v>2.8959999999999999</v>
      </c>
      <c r="F201">
        <v>179404.79999999999</v>
      </c>
      <c r="G201">
        <v>0</v>
      </c>
      <c r="L201" t="s">
        <v>7</v>
      </c>
      <c r="M201" t="s">
        <v>7</v>
      </c>
      <c r="N201" t="s">
        <v>7</v>
      </c>
      <c r="P201">
        <f t="shared" si="960"/>
        <v>-0.59390048154093233</v>
      </c>
      <c r="Q201">
        <f t="shared" si="961"/>
        <v>-106548.59711075465</v>
      </c>
      <c r="R201">
        <f t="shared" si="962"/>
        <v>58615585.189907618</v>
      </c>
      <c r="S201">
        <f t="shared" si="963"/>
        <v>586.1558518990762</v>
      </c>
      <c r="T201">
        <f t="shared" si="964"/>
        <v>0.58615585189907615</v>
      </c>
    </row>
    <row r="202" spans="1:20" x14ac:dyDescent="0.25">
      <c r="A202" s="5">
        <v>44391</v>
      </c>
      <c r="B202">
        <v>2.9937</v>
      </c>
      <c r="C202">
        <v>3.0825999999999998</v>
      </c>
      <c r="D202">
        <v>2.8734999999999999</v>
      </c>
      <c r="E202">
        <v>3.0326</v>
      </c>
      <c r="F202">
        <v>211760.48</v>
      </c>
      <c r="G202">
        <v>0</v>
      </c>
      <c r="L202" t="s">
        <v>7</v>
      </c>
      <c r="M202" t="s">
        <v>7</v>
      </c>
      <c r="N202" t="s">
        <v>7</v>
      </c>
      <c r="P202">
        <f t="shared" si="960"/>
        <v>0.52175992348158906</v>
      </c>
      <c r="Q202">
        <f t="shared" si="961"/>
        <v>110488.13184122457</v>
      </c>
      <c r="R202">
        <f t="shared" si="962"/>
        <v>58722133.787018374</v>
      </c>
      <c r="S202">
        <f t="shared" si="963"/>
        <v>587.22133787018379</v>
      </c>
      <c r="T202">
        <f t="shared" si="964"/>
        <v>0.58722133787018382</v>
      </c>
    </row>
    <row r="203" spans="1:20" x14ac:dyDescent="0.25">
      <c r="A203" s="5">
        <v>44390</v>
      </c>
      <c r="B203">
        <v>3.0889000000000002</v>
      </c>
      <c r="C203">
        <v>3.1324000000000001</v>
      </c>
      <c r="D203">
        <v>2.9643000000000002</v>
      </c>
      <c r="E203">
        <v>2.9948999999999999</v>
      </c>
      <c r="F203">
        <v>185512.9</v>
      </c>
      <c r="G203">
        <v>0</v>
      </c>
      <c r="L203" t="s">
        <v>7</v>
      </c>
      <c r="M203" t="s">
        <v>8</v>
      </c>
      <c r="N203" t="s">
        <v>7</v>
      </c>
      <c r="P203">
        <f t="shared" si="960"/>
        <v>-0.6359309934562789</v>
      </c>
      <c r="Q203">
        <f t="shared" si="961"/>
        <v>-117973.40279595532</v>
      </c>
      <c r="R203">
        <f t="shared" si="962"/>
        <v>58611645.655177146</v>
      </c>
      <c r="S203">
        <f t="shared" si="963"/>
        <v>586.11645655177142</v>
      </c>
      <c r="T203">
        <f t="shared" si="964"/>
        <v>0.58611645655177147</v>
      </c>
    </row>
    <row r="204" spans="1:20" x14ac:dyDescent="0.25">
      <c r="A204" s="5">
        <v>44389</v>
      </c>
      <c r="B204">
        <v>3.234</v>
      </c>
      <c r="C204">
        <v>3.2856000000000001</v>
      </c>
      <c r="D204">
        <v>3.0421</v>
      </c>
      <c r="E204">
        <v>3.093</v>
      </c>
      <c r="F204">
        <v>273809.69</v>
      </c>
      <c r="G204">
        <v>0</v>
      </c>
      <c r="L204" t="s">
        <v>7</v>
      </c>
      <c r="M204" t="s">
        <v>8</v>
      </c>
      <c r="N204" t="s">
        <v>7</v>
      </c>
      <c r="P204">
        <f t="shared" si="960"/>
        <v>-0.58193018480492864</v>
      </c>
      <c r="Q204">
        <f t="shared" si="961"/>
        <v>-159338.12350308022</v>
      </c>
      <c r="R204">
        <f t="shared" si="962"/>
        <v>58729619.057973102</v>
      </c>
      <c r="S204">
        <f t="shared" si="963"/>
        <v>587.29619057973105</v>
      </c>
      <c r="T204">
        <f t="shared" si="964"/>
        <v>0.58729619057973104</v>
      </c>
    </row>
    <row r="205" spans="1:20" x14ac:dyDescent="0.25">
      <c r="A205" s="5">
        <v>44388</v>
      </c>
      <c r="B205">
        <v>3.2023000000000001</v>
      </c>
      <c r="C205">
        <v>3.2822</v>
      </c>
      <c r="D205">
        <v>3.1610999999999998</v>
      </c>
      <c r="E205">
        <v>3.2315999999999998</v>
      </c>
      <c r="F205">
        <v>110341.32</v>
      </c>
      <c r="G205">
        <v>0</v>
      </c>
      <c r="L205" t="s">
        <v>8</v>
      </c>
      <c r="M205" t="s">
        <v>8</v>
      </c>
      <c r="N205" t="s">
        <v>7</v>
      </c>
      <c r="P205">
        <f t="shared" si="960"/>
        <v>0.16432700247728962</v>
      </c>
      <c r="Q205">
        <f t="shared" si="961"/>
        <v>18132.05836498741</v>
      </c>
      <c r="R205">
        <f t="shared" si="962"/>
        <v>58888957.181476183</v>
      </c>
      <c r="S205">
        <f t="shared" si="963"/>
        <v>588.88957181476178</v>
      </c>
      <c r="T205">
        <f t="shared" si="964"/>
        <v>0.58888957181476176</v>
      </c>
    </row>
    <row r="206" spans="1:20" x14ac:dyDescent="0.25">
      <c r="A206" s="5">
        <v>44387</v>
      </c>
      <c r="B206">
        <v>3.2454999999999998</v>
      </c>
      <c r="C206">
        <v>3.3058999999999998</v>
      </c>
      <c r="D206">
        <v>3.1396999999999999</v>
      </c>
      <c r="E206">
        <v>3.1897000000000002</v>
      </c>
      <c r="F206">
        <v>178911.49</v>
      </c>
      <c r="G206">
        <v>0</v>
      </c>
      <c r="L206" t="s">
        <v>8</v>
      </c>
      <c r="M206" t="s">
        <v>8</v>
      </c>
      <c r="N206" t="s">
        <v>7</v>
      </c>
      <c r="P206">
        <f t="shared" si="960"/>
        <v>-0.39831528279181355</v>
      </c>
      <c r="Q206">
        <f t="shared" si="961"/>
        <v>-71263.180734054724</v>
      </c>
      <c r="R206">
        <f t="shared" si="962"/>
        <v>58870825.123111196</v>
      </c>
      <c r="S206">
        <f t="shared" si="963"/>
        <v>588.70825123111194</v>
      </c>
      <c r="T206">
        <f t="shared" si="964"/>
        <v>0.58870825123111192</v>
      </c>
    </row>
    <row r="207" spans="1:20" x14ac:dyDescent="0.25">
      <c r="A207" s="5">
        <v>44386</v>
      </c>
      <c r="B207">
        <v>3.1695000000000002</v>
      </c>
      <c r="C207">
        <v>3.2707999999999999</v>
      </c>
      <c r="D207">
        <v>3.0819999999999999</v>
      </c>
      <c r="E207">
        <v>3.2397999999999998</v>
      </c>
      <c r="F207">
        <v>181739.91</v>
      </c>
      <c r="G207">
        <v>0</v>
      </c>
      <c r="L207" t="s">
        <v>7</v>
      </c>
      <c r="M207" t="s">
        <v>8</v>
      </c>
      <c r="N207" t="s">
        <v>7</v>
      </c>
      <c r="P207">
        <f t="shared" si="960"/>
        <v>0.67161016949152408</v>
      </c>
      <c r="Q207">
        <f t="shared" si="961"/>
        <v>122058.37175847433</v>
      </c>
      <c r="R207">
        <f t="shared" si="962"/>
        <v>58942088.303845249</v>
      </c>
      <c r="S207">
        <f t="shared" si="963"/>
        <v>589.42088303845253</v>
      </c>
      <c r="T207">
        <f t="shared" si="964"/>
        <v>0.58942088303845253</v>
      </c>
    </row>
    <row r="208" spans="1:20" x14ac:dyDescent="0.25">
      <c r="A208" s="5">
        <v>44385</v>
      </c>
      <c r="B208">
        <v>3.4182000000000001</v>
      </c>
      <c r="C208">
        <v>3.4382000000000001</v>
      </c>
      <c r="D208">
        <v>3.1152000000000002</v>
      </c>
      <c r="E208">
        <v>3.1791</v>
      </c>
      <c r="F208">
        <v>383657.11</v>
      </c>
      <c r="G208">
        <v>0</v>
      </c>
      <c r="L208" t="s">
        <v>7</v>
      </c>
      <c r="M208" t="s">
        <v>8</v>
      </c>
      <c r="N208" t="s">
        <v>7</v>
      </c>
      <c r="P208">
        <f t="shared" si="960"/>
        <v>-0.60433436532507834</v>
      </c>
      <c r="Q208">
        <f t="shared" si="961"/>
        <v>-231857.17607430374</v>
      </c>
      <c r="R208">
        <f t="shared" si="962"/>
        <v>58820029.932086773</v>
      </c>
      <c r="S208">
        <f t="shared" si="963"/>
        <v>588.20029932086777</v>
      </c>
      <c r="T208">
        <f t="shared" si="964"/>
        <v>0.58820029932086781</v>
      </c>
    </row>
    <row r="209" spans="1:20" x14ac:dyDescent="0.25">
      <c r="A209" s="5">
        <v>44384</v>
      </c>
      <c r="B209">
        <v>3.4131</v>
      </c>
      <c r="C209">
        <v>3.5550000000000002</v>
      </c>
      <c r="D209">
        <v>3.3731</v>
      </c>
      <c r="E209">
        <v>3.4222999999999999</v>
      </c>
      <c r="F209">
        <v>267555.27</v>
      </c>
      <c r="G209">
        <v>0</v>
      </c>
      <c r="L209" t="s">
        <v>8</v>
      </c>
      <c r="M209" t="s">
        <v>8</v>
      </c>
      <c r="N209" t="s">
        <v>7</v>
      </c>
      <c r="P209">
        <f t="shared" si="960"/>
        <v>-0.45904343045629614</v>
      </c>
      <c r="Q209">
        <f t="shared" si="961"/>
        <v>-122819.48897746054</v>
      </c>
      <c r="R209">
        <f t="shared" si="962"/>
        <v>59051887.108161077</v>
      </c>
      <c r="S209">
        <f t="shared" si="963"/>
        <v>590.51887108161077</v>
      </c>
      <c r="T209">
        <f t="shared" si="964"/>
        <v>0.59051887108161072</v>
      </c>
    </row>
    <row r="210" spans="1:20" x14ac:dyDescent="0.25">
      <c r="A210" s="5">
        <v>44383</v>
      </c>
      <c r="B210">
        <v>3.2471999999999999</v>
      </c>
      <c r="C210">
        <v>3.4983</v>
      </c>
      <c r="D210">
        <v>3.2463000000000002</v>
      </c>
      <c r="E210">
        <v>3.4207999999999998</v>
      </c>
      <c r="F210">
        <v>587701.15</v>
      </c>
      <c r="G210">
        <v>0</v>
      </c>
      <c r="L210" t="s">
        <v>8</v>
      </c>
      <c r="M210" t="s">
        <v>8</v>
      </c>
      <c r="N210" t="s">
        <v>7</v>
      </c>
      <c r="P210">
        <f t="shared" si="960"/>
        <v>0.38492063492063339</v>
      </c>
      <c r="Q210">
        <f t="shared" si="961"/>
        <v>226218.2998015864</v>
      </c>
      <c r="R210">
        <f t="shared" si="962"/>
        <v>59174706.597138539</v>
      </c>
      <c r="S210">
        <f t="shared" si="963"/>
        <v>591.74706597138538</v>
      </c>
      <c r="T210">
        <f t="shared" si="964"/>
        <v>0.59174706597138538</v>
      </c>
    </row>
    <row r="211" spans="1:20" x14ac:dyDescent="0.25">
      <c r="A211" s="5">
        <v>44382</v>
      </c>
      <c r="B211">
        <v>3.3795999999999999</v>
      </c>
      <c r="C211">
        <v>3.3795999999999999</v>
      </c>
      <c r="D211">
        <v>3.1825000000000001</v>
      </c>
      <c r="E211">
        <v>3.2494999999999998</v>
      </c>
      <c r="F211">
        <v>523980.74</v>
      </c>
      <c r="G211">
        <v>0</v>
      </c>
      <c r="L211" t="s">
        <v>7</v>
      </c>
      <c r="M211" t="s">
        <v>8</v>
      </c>
      <c r="N211" t="s">
        <v>7</v>
      </c>
      <c r="P211">
        <f t="shared" si="960"/>
        <v>-0.32014205986808947</v>
      </c>
      <c r="Q211">
        <f t="shared" si="961"/>
        <v>-167748.27343480583</v>
      </c>
      <c r="R211">
        <f t="shared" si="962"/>
        <v>58948488.297336951</v>
      </c>
      <c r="S211">
        <f t="shared" si="963"/>
        <v>589.48488297336951</v>
      </c>
      <c r="T211">
        <f t="shared" si="964"/>
        <v>0.58948488297336954</v>
      </c>
    </row>
    <row r="212" spans="1:20" x14ac:dyDescent="0.25">
      <c r="A212" s="5">
        <v>44381</v>
      </c>
      <c r="B212">
        <v>3.2709999999999999</v>
      </c>
      <c r="C212">
        <v>3.5</v>
      </c>
      <c r="D212">
        <v>3.2075</v>
      </c>
      <c r="E212">
        <v>3.3795999999999999</v>
      </c>
      <c r="F212">
        <v>610907.67000000004</v>
      </c>
      <c r="G212">
        <v>0</v>
      </c>
      <c r="L212" t="s">
        <v>8</v>
      </c>
      <c r="M212" t="s">
        <v>8</v>
      </c>
      <c r="N212" t="s">
        <v>7</v>
      </c>
      <c r="P212">
        <f t="shared" si="960"/>
        <v>0.17675213675213627</v>
      </c>
      <c r="Q212">
        <f t="shared" si="961"/>
        <v>107979.23603076895</v>
      </c>
      <c r="R212">
        <f t="shared" si="962"/>
        <v>59116236.570771754</v>
      </c>
      <c r="S212">
        <f t="shared" si="963"/>
        <v>591.16236570771753</v>
      </c>
      <c r="T212">
        <f t="shared" si="964"/>
        <v>0.59116236570771752</v>
      </c>
    </row>
    <row r="213" spans="1:20" x14ac:dyDescent="0.25">
      <c r="A213" s="5">
        <v>44380</v>
      </c>
      <c r="B213">
        <v>3.1979000000000002</v>
      </c>
      <c r="C213">
        <v>3.2898999999999998</v>
      </c>
      <c r="D213">
        <v>3.1221999999999999</v>
      </c>
      <c r="E213">
        <v>3.2679999999999998</v>
      </c>
      <c r="F213">
        <v>328181.03000000003</v>
      </c>
      <c r="G213">
        <v>0</v>
      </c>
      <c r="L213" t="s">
        <v>8</v>
      </c>
      <c r="M213" t="s">
        <v>8</v>
      </c>
      <c r="N213" t="s">
        <v>7</v>
      </c>
      <c r="P213">
        <f t="shared" si="960"/>
        <v>0.73881932021466867</v>
      </c>
      <c r="Q213">
        <f t="shared" si="961"/>
        <v>242466.4854919498</v>
      </c>
      <c r="R213">
        <f t="shared" si="962"/>
        <v>59008257.334740981</v>
      </c>
      <c r="S213">
        <f t="shared" si="963"/>
        <v>590.08257334740983</v>
      </c>
      <c r="T213">
        <f t="shared" si="964"/>
        <v>0.59008257334740988</v>
      </c>
    </row>
    <row r="214" spans="1:20" x14ac:dyDescent="0.25">
      <c r="A214" s="5">
        <v>44379</v>
      </c>
      <c r="B214">
        <v>3.1680000000000001</v>
      </c>
      <c r="C214">
        <v>3.2119</v>
      </c>
      <c r="D214">
        <v>3.0453000000000001</v>
      </c>
      <c r="E214">
        <v>3.1962000000000002</v>
      </c>
      <c r="F214">
        <v>619252.92000000004</v>
      </c>
      <c r="G214">
        <v>0</v>
      </c>
      <c r="L214" t="s">
        <v>7</v>
      </c>
      <c r="M214" t="s">
        <v>8</v>
      </c>
      <c r="N214" t="s">
        <v>7</v>
      </c>
      <c r="P214">
        <f t="shared" si="960"/>
        <v>0.81152460984393948</v>
      </c>
      <c r="Q214">
        <f t="shared" si="961"/>
        <v>502538.98429772031</v>
      </c>
      <c r="R214">
        <f t="shared" si="962"/>
        <v>58765790.849249035</v>
      </c>
      <c r="S214">
        <f t="shared" si="963"/>
        <v>587.65790849249038</v>
      </c>
      <c r="T214">
        <f t="shared" si="964"/>
        <v>0.58765790849249033</v>
      </c>
    </row>
    <row r="215" spans="1:20" x14ac:dyDescent="0.25">
      <c r="A215" s="5">
        <v>44378</v>
      </c>
      <c r="B215">
        <v>3.3538000000000001</v>
      </c>
      <c r="C215">
        <v>3.3586999999999998</v>
      </c>
      <c r="D215">
        <v>3.1145999999999998</v>
      </c>
      <c r="E215">
        <v>3.1678999999999999</v>
      </c>
      <c r="F215">
        <v>687961.33</v>
      </c>
      <c r="G215">
        <v>0</v>
      </c>
      <c r="L215" t="s">
        <v>8</v>
      </c>
      <c r="M215" t="s">
        <v>8</v>
      </c>
      <c r="N215" t="s">
        <v>7</v>
      </c>
      <c r="P215">
        <f t="shared" si="960"/>
        <v>-0.56329373207701661</v>
      </c>
      <c r="Q215">
        <f t="shared" si="961"/>
        <v>-387524.30510036799</v>
      </c>
      <c r="R215">
        <f t="shared" si="962"/>
        <v>58263251.864951313</v>
      </c>
      <c r="S215">
        <f t="shared" si="963"/>
        <v>582.63251864951314</v>
      </c>
      <c r="T215">
        <f t="shared" si="964"/>
        <v>0.58263251864951315</v>
      </c>
    </row>
    <row r="216" spans="1:20" x14ac:dyDescent="0.25">
      <c r="A216" s="5">
        <v>44377</v>
      </c>
      <c r="B216">
        <v>3.2835000000000001</v>
      </c>
      <c r="C216">
        <v>3.3776999999999999</v>
      </c>
      <c r="D216">
        <v>3.1339999999999999</v>
      </c>
      <c r="E216">
        <v>3.3595999999999999</v>
      </c>
      <c r="F216">
        <v>1076593.52</v>
      </c>
      <c r="G216">
        <v>0</v>
      </c>
      <c r="L216" t="s">
        <v>7</v>
      </c>
      <c r="M216" t="s">
        <v>8</v>
      </c>
      <c r="N216" t="s">
        <v>7</v>
      </c>
      <c r="P216">
        <f t="shared" si="960"/>
        <v>0.85145670906852688</v>
      </c>
      <c r="Q216">
        <f t="shared" si="961"/>
        <v>916672.77554370125</v>
      </c>
      <c r="R216">
        <f t="shared" si="962"/>
        <v>58650776.170051679</v>
      </c>
      <c r="S216">
        <f t="shared" si="963"/>
        <v>586.50776170051677</v>
      </c>
      <c r="T216">
        <f t="shared" si="964"/>
        <v>0.58650776170051677</v>
      </c>
    </row>
    <row r="217" spans="1:20" x14ac:dyDescent="0.25">
      <c r="A217" s="5">
        <v>44376</v>
      </c>
      <c r="B217">
        <v>3.1345000000000001</v>
      </c>
      <c r="C217">
        <v>3.5554000000000001</v>
      </c>
      <c r="D217">
        <v>3.1231</v>
      </c>
      <c r="E217">
        <v>3.2835999999999999</v>
      </c>
      <c r="F217">
        <v>2792531.27</v>
      </c>
      <c r="G217">
        <v>0</v>
      </c>
      <c r="L217" t="s">
        <v>8</v>
      </c>
      <c r="M217" t="s">
        <v>8</v>
      </c>
      <c r="N217" t="s">
        <v>7</v>
      </c>
      <c r="P217">
        <f t="shared" si="960"/>
        <v>-0.25746009715475449</v>
      </c>
      <c r="Q217">
        <f t="shared" si="961"/>
        <v>-718965.37208188989</v>
      </c>
      <c r="R217">
        <f t="shared" si="962"/>
        <v>57734103.394507974</v>
      </c>
      <c r="S217">
        <f t="shared" si="963"/>
        <v>577.34103394507974</v>
      </c>
      <c r="T217">
        <f t="shared" si="964"/>
        <v>0.57734103394507974</v>
      </c>
    </row>
    <row r="218" spans="1:20" x14ac:dyDescent="0.25">
      <c r="A218" s="5">
        <v>44375</v>
      </c>
      <c r="B218">
        <v>3.0588000000000002</v>
      </c>
      <c r="C218">
        <v>3.1951999999999998</v>
      </c>
      <c r="D218">
        <v>3.0164</v>
      </c>
      <c r="E218">
        <v>3.1272000000000002</v>
      </c>
      <c r="F218">
        <v>779562.22</v>
      </c>
      <c r="G218">
        <v>0</v>
      </c>
      <c r="L218" t="s">
        <v>8</v>
      </c>
      <c r="M218" t="s">
        <v>7</v>
      </c>
      <c r="N218" t="s">
        <v>7</v>
      </c>
      <c r="P218">
        <f t="shared" si="960"/>
        <v>0.23937360178971281</v>
      </c>
      <c r="Q218">
        <f t="shared" si="961"/>
        <v>186606.6164205845</v>
      </c>
      <c r="R218">
        <f t="shared" si="962"/>
        <v>58453068.766589865</v>
      </c>
      <c r="S218">
        <f t="shared" si="963"/>
        <v>584.53068766589865</v>
      </c>
      <c r="T218">
        <f t="shared" si="964"/>
        <v>0.58453068766589866</v>
      </c>
    </row>
    <row r="219" spans="1:20" x14ac:dyDescent="0.25">
      <c r="A219" s="5">
        <v>44374</v>
      </c>
      <c r="B219">
        <v>2.8734999999999999</v>
      </c>
      <c r="C219">
        <v>3.0644999999999998</v>
      </c>
      <c r="D219">
        <v>2.8351000000000002</v>
      </c>
      <c r="E219">
        <v>3.0632000000000001</v>
      </c>
      <c r="F219">
        <v>547430.35</v>
      </c>
      <c r="G219">
        <v>0</v>
      </c>
      <c r="L219" t="s">
        <v>8</v>
      </c>
      <c r="M219" t="s">
        <v>7</v>
      </c>
      <c r="N219" t="s">
        <v>7</v>
      </c>
      <c r="P219">
        <f t="shared" si="960"/>
        <v>0.98866608544028212</v>
      </c>
      <c r="Q219">
        <f t="shared" si="961"/>
        <v>541225.82118570351</v>
      </c>
      <c r="R219">
        <f t="shared" si="962"/>
        <v>58266462.150169283</v>
      </c>
      <c r="S219">
        <f t="shared" si="963"/>
        <v>582.66462150169286</v>
      </c>
      <c r="T219">
        <f t="shared" si="964"/>
        <v>0.58266462150169285</v>
      </c>
    </row>
    <row r="220" spans="1:20" x14ac:dyDescent="0.25">
      <c r="A220" s="5">
        <v>44373</v>
      </c>
      <c r="B220">
        <v>2.8567</v>
      </c>
      <c r="C220">
        <v>2.9173</v>
      </c>
      <c r="D220">
        <v>2.7181000000000002</v>
      </c>
      <c r="E220">
        <v>2.8719000000000001</v>
      </c>
      <c r="F220">
        <v>1242665.1200000001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0.54417670682731001</v>
      </c>
      <c r="Q220">
        <f t="shared" si="961"/>
        <v>676229.41269076406</v>
      </c>
      <c r="R220">
        <f t="shared" si="962"/>
        <v>57725236.328983583</v>
      </c>
      <c r="S220">
        <f t="shared" si="963"/>
        <v>577.25236328983578</v>
      </c>
      <c r="T220">
        <f t="shared" si="964"/>
        <v>0.57725236328983576</v>
      </c>
    </row>
    <row r="221" spans="1:20" x14ac:dyDescent="0.25">
      <c r="A221" s="5">
        <v>44372</v>
      </c>
      <c r="B221">
        <v>3.1364000000000001</v>
      </c>
      <c r="C221">
        <v>3.1937000000000002</v>
      </c>
      <c r="D221">
        <v>2.8197999999999999</v>
      </c>
      <c r="E221">
        <v>2.8582000000000001</v>
      </c>
      <c r="F221">
        <v>1212742.81</v>
      </c>
      <c r="G221">
        <v>0</v>
      </c>
      <c r="L221" t="s">
        <v>7</v>
      </c>
      <c r="M221" t="s">
        <v>7</v>
      </c>
      <c r="N221" t="s">
        <v>7</v>
      </c>
      <c r="P221">
        <f t="shared" si="960"/>
        <v>-0.79459748595881152</v>
      </c>
      <c r="Q221">
        <f t="shared" si="961"/>
        <v>-963642.38794062473</v>
      </c>
      <c r="R221">
        <f t="shared" si="962"/>
        <v>57049006.916292816</v>
      </c>
      <c r="S221">
        <f t="shared" si="963"/>
        <v>570.49006916292819</v>
      </c>
      <c r="T221">
        <f t="shared" si="964"/>
        <v>0.57049006916292822</v>
      </c>
    </row>
    <row r="222" spans="1:20" x14ac:dyDescent="0.25">
      <c r="A222" s="5">
        <v>44371</v>
      </c>
      <c r="B222">
        <v>3.09</v>
      </c>
      <c r="C222">
        <v>3.1911999999999998</v>
      </c>
      <c r="D222">
        <v>2.9546000000000001</v>
      </c>
      <c r="E222">
        <v>3.1364000000000001</v>
      </c>
      <c r="F222">
        <v>611006.13</v>
      </c>
      <c r="G222">
        <v>0</v>
      </c>
      <c r="L222" t="s">
        <v>7</v>
      </c>
      <c r="M222" t="s">
        <v>7</v>
      </c>
      <c r="N222" t="s">
        <v>7</v>
      </c>
      <c r="P222">
        <f t="shared" si="960"/>
        <v>0.53677092138630766</v>
      </c>
      <c r="Q222">
        <f t="shared" si="961"/>
        <v>327970.32337278209</v>
      </c>
      <c r="R222">
        <f t="shared" si="962"/>
        <v>58012649.304233439</v>
      </c>
      <c r="S222">
        <f t="shared" si="963"/>
        <v>580.12649304233435</v>
      </c>
      <c r="T222">
        <f t="shared" si="964"/>
        <v>0.58012649304233432</v>
      </c>
    </row>
    <row r="223" spans="1:20" x14ac:dyDescent="0.25">
      <c r="A223" s="5">
        <v>44370</v>
      </c>
      <c r="B223">
        <v>2.9266999999999999</v>
      </c>
      <c r="C223">
        <v>3.2052</v>
      </c>
      <c r="D223">
        <v>2.8515999999999999</v>
      </c>
      <c r="E223">
        <v>3.0908000000000002</v>
      </c>
      <c r="F223">
        <v>613208.37</v>
      </c>
      <c r="G223">
        <v>0</v>
      </c>
      <c r="L223" t="s">
        <v>8</v>
      </c>
      <c r="M223" t="s">
        <v>7</v>
      </c>
      <c r="N223" t="s">
        <v>7</v>
      </c>
      <c r="P223">
        <f t="shared" si="960"/>
        <v>0.35294117647058942</v>
      </c>
      <c r="Q223">
        <f t="shared" si="961"/>
        <v>216426.48352941248</v>
      </c>
      <c r="R223">
        <f t="shared" si="962"/>
        <v>57684678.980860658</v>
      </c>
      <c r="S223">
        <f t="shared" si="963"/>
        <v>576.84678980860656</v>
      </c>
      <c r="T223">
        <f t="shared" si="964"/>
        <v>0.5768467898086066</v>
      </c>
    </row>
    <row r="224" spans="1:20" x14ac:dyDescent="0.25">
      <c r="A224" s="5">
        <v>44369</v>
      </c>
      <c r="B224">
        <v>2.9678</v>
      </c>
      <c r="C224">
        <v>3.1415999999999999</v>
      </c>
      <c r="D224">
        <v>2.66</v>
      </c>
      <c r="E224">
        <v>2.9258999999999999</v>
      </c>
      <c r="F224">
        <v>1147238.75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0.10423588039867072</v>
      </c>
      <c r="Q224">
        <f t="shared" si="961"/>
        <v>119583.44113372051</v>
      </c>
      <c r="R224">
        <f t="shared" si="962"/>
        <v>57468252.497331247</v>
      </c>
      <c r="S224">
        <f t="shared" si="963"/>
        <v>574.68252497331241</v>
      </c>
      <c r="T224">
        <f t="shared" si="964"/>
        <v>0.5746825249733124</v>
      </c>
    </row>
    <row r="225" spans="1:20" x14ac:dyDescent="0.25">
      <c r="A225" s="5">
        <v>44368</v>
      </c>
      <c r="B225">
        <v>3.5388999999999999</v>
      </c>
      <c r="C225">
        <v>3.5495999999999999</v>
      </c>
      <c r="D225">
        <v>2.9148000000000001</v>
      </c>
      <c r="E225">
        <v>2.9645000000000001</v>
      </c>
      <c r="F225">
        <v>1324383.1200000001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-0.84341524889729025</v>
      </c>
      <c r="Q225">
        <f t="shared" si="961"/>
        <v>-1117004.91879017</v>
      </c>
      <c r="R225">
        <f t="shared" si="962"/>
        <v>57348669.056197524</v>
      </c>
      <c r="S225">
        <f t="shared" si="963"/>
        <v>573.48669056197525</v>
      </c>
      <c r="T225">
        <f t="shared" si="964"/>
        <v>0.57348669056197521</v>
      </c>
    </row>
    <row r="226" spans="1:20" x14ac:dyDescent="0.25">
      <c r="A226" s="5">
        <v>44367</v>
      </c>
      <c r="B226">
        <v>3.4573999999999998</v>
      </c>
      <c r="C226">
        <v>3.5710000000000002</v>
      </c>
      <c r="D226">
        <v>3.2675000000000001</v>
      </c>
      <c r="E226">
        <v>3.5347</v>
      </c>
      <c r="F226">
        <v>871310.1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0.76079077429983388</v>
      </c>
      <c r="Q226">
        <f t="shared" si="961"/>
        <v>662884.68563426565</v>
      </c>
      <c r="R226">
        <f t="shared" si="962"/>
        <v>58465673.974987693</v>
      </c>
      <c r="S226">
        <f t="shared" si="963"/>
        <v>584.65673974987692</v>
      </c>
      <c r="T226">
        <f t="shared" si="964"/>
        <v>0.58465673974987697</v>
      </c>
    </row>
    <row r="227" spans="1:20" x14ac:dyDescent="0.25">
      <c r="A227" s="5">
        <v>44366</v>
      </c>
      <c r="B227">
        <v>3.5358999999999998</v>
      </c>
      <c r="C227">
        <v>3.6032000000000002</v>
      </c>
      <c r="D227">
        <v>3.4182000000000001</v>
      </c>
      <c r="E227">
        <v>3.4573999999999998</v>
      </c>
      <c r="F227">
        <v>876845.83</v>
      </c>
      <c r="G227">
        <v>0</v>
      </c>
      <c r="L227" t="s">
        <v>7</v>
      </c>
      <c r="M227" t="s">
        <v>7</v>
      </c>
      <c r="N227" t="s">
        <v>7</v>
      </c>
      <c r="P227">
        <f t="shared" si="960"/>
        <v>-0.57621621621621977</v>
      </c>
      <c r="Q227">
        <f t="shared" si="961"/>
        <v>-505252.78636757063</v>
      </c>
      <c r="R227">
        <f t="shared" si="962"/>
        <v>57802789.28935343</v>
      </c>
      <c r="S227">
        <f t="shared" si="963"/>
        <v>578.02789289353427</v>
      </c>
      <c r="T227">
        <f t="shared" si="964"/>
        <v>0.57802789289353429</v>
      </c>
    </row>
    <row r="228" spans="1:20" x14ac:dyDescent="0.25">
      <c r="A228" s="5">
        <v>44365</v>
      </c>
      <c r="B228">
        <v>3.7906</v>
      </c>
      <c r="C228">
        <v>3.7963</v>
      </c>
      <c r="D228">
        <v>3.4264000000000001</v>
      </c>
      <c r="E228">
        <v>3.5371000000000001</v>
      </c>
      <c r="F228">
        <v>776432.28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-0.40145985401459827</v>
      </c>
      <c r="Q228">
        <f t="shared" si="961"/>
        <v>-311706.38978102169</v>
      </c>
      <c r="R228">
        <f t="shared" si="962"/>
        <v>58308042.075721003</v>
      </c>
      <c r="S228">
        <f t="shared" si="963"/>
        <v>583.08042075721005</v>
      </c>
      <c r="T228">
        <f t="shared" si="964"/>
        <v>0.58308042075721001</v>
      </c>
    </row>
    <row r="229" spans="1:20" x14ac:dyDescent="0.25">
      <c r="A229" s="5">
        <v>44364</v>
      </c>
      <c r="B229">
        <v>3.7921999999999998</v>
      </c>
      <c r="C229">
        <v>3.9418000000000002</v>
      </c>
      <c r="D229">
        <v>3.7172999999999998</v>
      </c>
      <c r="E229">
        <v>3.7875999999999999</v>
      </c>
      <c r="F229">
        <v>725579.78</v>
      </c>
      <c r="G229">
        <v>0</v>
      </c>
      <c r="L229" t="s">
        <v>7</v>
      </c>
      <c r="M229" t="s">
        <v>7</v>
      </c>
      <c r="N229" t="s">
        <v>7</v>
      </c>
      <c r="P229">
        <f t="shared" si="960"/>
        <v>-0.37371937639198294</v>
      </c>
      <c r="Q229">
        <f t="shared" si="961"/>
        <v>-271163.22290423216</v>
      </c>
      <c r="R229">
        <f t="shared" si="962"/>
        <v>58619748.465502024</v>
      </c>
      <c r="S229">
        <f t="shared" si="963"/>
        <v>586.19748465502028</v>
      </c>
      <c r="T229">
        <f t="shared" si="964"/>
        <v>0.58619748465502031</v>
      </c>
    </row>
    <row r="230" spans="1:20" x14ac:dyDescent="0.25">
      <c r="A230" s="5">
        <v>44363</v>
      </c>
      <c r="B230">
        <v>4.0068999999999999</v>
      </c>
      <c r="C230">
        <v>4.3990999999999998</v>
      </c>
      <c r="D230">
        <v>3.7524000000000002</v>
      </c>
      <c r="E230">
        <v>3.7919999999999998</v>
      </c>
      <c r="F230">
        <v>836820.88</v>
      </c>
      <c r="G230">
        <v>0</v>
      </c>
      <c r="L230" t="s">
        <v>8</v>
      </c>
      <c r="M230" t="s">
        <v>8</v>
      </c>
      <c r="N230" t="s">
        <v>7</v>
      </c>
      <c r="P230">
        <f t="shared" si="960"/>
        <v>-0.8775320859749508</v>
      </c>
      <c r="Q230">
        <f t="shared" si="961"/>
        <v>-734337.17241379397</v>
      </c>
      <c r="R230">
        <f t="shared" si="962"/>
        <v>58890911.688406259</v>
      </c>
      <c r="S230">
        <f t="shared" si="963"/>
        <v>588.90911688406254</v>
      </c>
      <c r="T230">
        <f t="shared" si="964"/>
        <v>0.58890911688406256</v>
      </c>
    </row>
    <row r="231" spans="1:20" x14ac:dyDescent="0.25">
      <c r="A231" s="5">
        <v>44362</v>
      </c>
      <c r="B231">
        <v>4.0633999999999997</v>
      </c>
      <c r="C231">
        <v>4.1668000000000003</v>
      </c>
      <c r="D231">
        <v>3.9731000000000001</v>
      </c>
      <c r="E231">
        <v>4.0102000000000002</v>
      </c>
      <c r="F231">
        <v>502876.46</v>
      </c>
      <c r="G231">
        <v>0</v>
      </c>
      <c r="L231" t="s">
        <v>8</v>
      </c>
      <c r="M231" t="s">
        <v>7</v>
      </c>
      <c r="N231" t="s">
        <v>7</v>
      </c>
      <c r="P231">
        <f t="shared" si="960"/>
        <v>-0.6169334021683005</v>
      </c>
      <c r="Q231">
        <f t="shared" si="961"/>
        <v>-310241.28533815127</v>
      </c>
      <c r="R231">
        <f t="shared" si="962"/>
        <v>59625248.860820055</v>
      </c>
      <c r="S231">
        <f t="shared" si="963"/>
        <v>596.25248860820057</v>
      </c>
      <c r="T231">
        <f t="shared" si="964"/>
        <v>0.59625248860820057</v>
      </c>
    </row>
    <row r="232" spans="1:20" x14ac:dyDescent="0.25">
      <c r="A232" s="5">
        <v>44361</v>
      </c>
      <c r="B232">
        <v>3.9550000000000001</v>
      </c>
      <c r="C232">
        <v>4.0974000000000004</v>
      </c>
      <c r="D232">
        <v>3.9081000000000001</v>
      </c>
      <c r="E232">
        <v>4.0629</v>
      </c>
      <c r="F232">
        <v>612356.77</v>
      </c>
      <c r="G232">
        <v>0</v>
      </c>
      <c r="L232" t="s">
        <v>8</v>
      </c>
      <c r="M232" t="s">
        <v>7</v>
      </c>
      <c r="N232" t="s">
        <v>7</v>
      </c>
      <c r="P232">
        <f t="shared" si="960"/>
        <v>0.6354992076069691</v>
      </c>
      <c r="Q232">
        <f t="shared" si="961"/>
        <v>389152.24210776301</v>
      </c>
      <c r="R232">
        <f t="shared" si="962"/>
        <v>59935490.146158203</v>
      </c>
      <c r="S232">
        <f t="shared" si="963"/>
        <v>599.35490146158202</v>
      </c>
      <c r="T232">
        <f t="shared" si="964"/>
        <v>0.59935490146158199</v>
      </c>
    </row>
    <row r="233" spans="1:20" x14ac:dyDescent="0.25">
      <c r="A233" s="5">
        <v>44360</v>
      </c>
      <c r="B233">
        <v>3.7393999999999998</v>
      </c>
      <c r="C233">
        <v>3.9872999999999998</v>
      </c>
      <c r="D233">
        <v>3.6438000000000001</v>
      </c>
      <c r="E233">
        <v>3.9550999999999998</v>
      </c>
      <c r="F233">
        <v>526444.53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0.81251819505094591</v>
      </c>
      <c r="Q233">
        <f t="shared" si="961"/>
        <v>427745.75931004359</v>
      </c>
      <c r="R233">
        <f t="shared" si="962"/>
        <v>59546337.90405044</v>
      </c>
      <c r="S233">
        <f t="shared" si="963"/>
        <v>595.46337904050438</v>
      </c>
      <c r="T233">
        <f t="shared" si="964"/>
        <v>0.59546337904050439</v>
      </c>
    </row>
    <row r="234" spans="1:20" x14ac:dyDescent="0.25">
      <c r="A234" s="5">
        <v>44359</v>
      </c>
      <c r="B234">
        <v>3.7946</v>
      </c>
      <c r="C234">
        <v>3.8397000000000001</v>
      </c>
      <c r="D234">
        <v>3.6042000000000001</v>
      </c>
      <c r="E234">
        <v>3.7395</v>
      </c>
      <c r="F234">
        <v>596317.89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0.14904458598726072</v>
      </c>
      <c r="Q234">
        <f t="shared" si="961"/>
        <v>88877.95303184689</v>
      </c>
      <c r="R234">
        <f t="shared" si="962"/>
        <v>59118592.144740395</v>
      </c>
      <c r="S234">
        <f t="shared" si="963"/>
        <v>591.18592144740398</v>
      </c>
      <c r="T234">
        <f t="shared" si="964"/>
        <v>0.59118592144740401</v>
      </c>
    </row>
    <row r="235" spans="1:20" x14ac:dyDescent="0.25">
      <c r="A235" s="5">
        <v>44358</v>
      </c>
      <c r="B235">
        <v>4.0301999999999998</v>
      </c>
      <c r="C235">
        <v>4.0769000000000002</v>
      </c>
      <c r="D235">
        <v>3.7431999999999999</v>
      </c>
      <c r="E235">
        <v>3.7944</v>
      </c>
      <c r="F235">
        <v>531477.68000000005</v>
      </c>
      <c r="G235">
        <v>0</v>
      </c>
      <c r="L235" t="s">
        <v>7</v>
      </c>
      <c r="M235" t="s">
        <v>7</v>
      </c>
      <c r="N235" t="s">
        <v>7</v>
      </c>
      <c r="P235">
        <f t="shared" si="960"/>
        <v>-0.6931375486964334</v>
      </c>
      <c r="Q235">
        <f t="shared" si="961"/>
        <v>-368387.13630206749</v>
      </c>
      <c r="R235">
        <f t="shared" si="962"/>
        <v>59029714.19170855</v>
      </c>
      <c r="S235">
        <f t="shared" si="963"/>
        <v>590.29714191708547</v>
      </c>
      <c r="T235">
        <f t="shared" si="964"/>
        <v>0.59029714191708549</v>
      </c>
    </row>
    <row r="236" spans="1:20" x14ac:dyDescent="0.25">
      <c r="A236" s="5">
        <v>44357</v>
      </c>
      <c r="B236">
        <v>4.2633000000000001</v>
      </c>
      <c r="C236">
        <v>4.2847999999999997</v>
      </c>
      <c r="D236">
        <v>3.9794999999999998</v>
      </c>
      <c r="E236">
        <v>4.0301</v>
      </c>
      <c r="F236">
        <v>678508.49</v>
      </c>
      <c r="G236">
        <v>0</v>
      </c>
      <c r="L236" t="s">
        <v>7</v>
      </c>
      <c r="M236" t="s">
        <v>7</v>
      </c>
      <c r="N236" t="s">
        <v>7</v>
      </c>
      <c r="P236">
        <f t="shared" si="960"/>
        <v>-0.66852276449393899</v>
      </c>
      <c r="Q236">
        <f t="shared" si="961"/>
        <v>-453598.37146740814</v>
      </c>
      <c r="R236">
        <f t="shared" si="962"/>
        <v>59398101.328010619</v>
      </c>
      <c r="S236">
        <f t="shared" si="963"/>
        <v>593.98101328010614</v>
      </c>
      <c r="T236">
        <f t="shared" si="964"/>
        <v>0.59398101328010611</v>
      </c>
    </row>
    <row r="237" spans="1:20" x14ac:dyDescent="0.25">
      <c r="A237" s="5">
        <v>44356</v>
      </c>
      <c r="B237">
        <v>4.1032000000000002</v>
      </c>
      <c r="C237">
        <v>4.3205999999999998</v>
      </c>
      <c r="D237">
        <v>3.9276</v>
      </c>
      <c r="E237">
        <v>4.2591000000000001</v>
      </c>
      <c r="F237">
        <v>1211370.27</v>
      </c>
      <c r="G237">
        <v>0</v>
      </c>
      <c r="L237" t="s">
        <v>8</v>
      </c>
      <c r="M237" t="s">
        <v>7</v>
      </c>
      <c r="N237" t="s">
        <v>7</v>
      </c>
      <c r="P237">
        <f t="shared" si="960"/>
        <v>0.68702290076336037</v>
      </c>
      <c r="Q237">
        <f t="shared" si="961"/>
        <v>832239.11679389502</v>
      </c>
      <c r="R237">
        <f t="shared" si="962"/>
        <v>59851699.69947803</v>
      </c>
      <c r="S237">
        <f t="shared" si="963"/>
        <v>598.51699699478036</v>
      </c>
      <c r="T237">
        <f t="shared" si="964"/>
        <v>0.59851699699478034</v>
      </c>
    </row>
    <row r="238" spans="1:20" x14ac:dyDescent="0.25">
      <c r="A238" s="5">
        <v>44355</v>
      </c>
      <c r="B238">
        <v>4.1772999999999998</v>
      </c>
      <c r="C238">
        <v>4.2218999999999998</v>
      </c>
      <c r="D238">
        <v>3.7511999999999999</v>
      </c>
      <c r="E238">
        <v>4.1032000000000002</v>
      </c>
      <c r="F238">
        <v>849841.97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0.49564478436371529</v>
      </c>
      <c r="Q238">
        <f t="shared" si="961"/>
        <v>421219.73996388499</v>
      </c>
      <c r="R238">
        <f t="shared" si="962"/>
        <v>59019460.582684137</v>
      </c>
      <c r="S238">
        <f t="shared" si="963"/>
        <v>590.19460582684133</v>
      </c>
      <c r="T238">
        <f t="shared" si="964"/>
        <v>0.59019460582684136</v>
      </c>
    </row>
    <row r="239" spans="1:20" x14ac:dyDescent="0.25">
      <c r="A239" s="5">
        <v>44354</v>
      </c>
      <c r="B239">
        <v>4.4760999999999997</v>
      </c>
      <c r="C239">
        <v>4.6447000000000003</v>
      </c>
      <c r="D239">
        <v>4.1748000000000003</v>
      </c>
      <c r="E239">
        <v>4.1810999999999998</v>
      </c>
      <c r="F239">
        <v>445168.64000000001</v>
      </c>
      <c r="G239">
        <v>0</v>
      </c>
      <c r="L239" t="s">
        <v>7</v>
      </c>
      <c r="M239" t="s">
        <v>8</v>
      </c>
      <c r="N239" t="s">
        <v>8</v>
      </c>
      <c r="P239">
        <f t="shared" si="960"/>
        <v>-0.97318578420940827</v>
      </c>
      <c r="Q239">
        <f t="shared" si="961"/>
        <v>-433231.79202383576</v>
      </c>
      <c r="R239">
        <f t="shared" si="962"/>
        <v>58598240.842720255</v>
      </c>
      <c r="S239">
        <f t="shared" si="963"/>
        <v>585.98240842720259</v>
      </c>
      <c r="T239">
        <f t="shared" si="964"/>
        <v>0.58598240842720262</v>
      </c>
    </row>
    <row r="240" spans="1:20" x14ac:dyDescent="0.25">
      <c r="A240" s="5">
        <v>44353</v>
      </c>
      <c r="B240">
        <v>4.4257999999999997</v>
      </c>
      <c r="C240">
        <v>4.5754000000000001</v>
      </c>
      <c r="D240">
        <v>4.3996000000000004</v>
      </c>
      <c r="E240">
        <v>4.4775999999999998</v>
      </c>
      <c r="F240">
        <v>965767.73</v>
      </c>
      <c r="G240">
        <v>0</v>
      </c>
      <c r="L240" t="s">
        <v>7</v>
      </c>
      <c r="M240" t="s">
        <v>8</v>
      </c>
      <c r="N240" t="s">
        <v>8</v>
      </c>
      <c r="P240">
        <f t="shared" si="960"/>
        <v>-0.11262798634812832</v>
      </c>
      <c r="Q240">
        <f t="shared" si="961"/>
        <v>-108772.47470990288</v>
      </c>
      <c r="R240">
        <f t="shared" si="962"/>
        <v>59031472.634744093</v>
      </c>
      <c r="S240">
        <f t="shared" si="963"/>
        <v>590.31472634744091</v>
      </c>
      <c r="T240">
        <f t="shared" si="964"/>
        <v>0.59031472634744087</v>
      </c>
    </row>
    <row r="241" spans="1:20" x14ac:dyDescent="0.25">
      <c r="A241" s="5">
        <v>44352</v>
      </c>
      <c r="B241">
        <v>4.5640000000000001</v>
      </c>
      <c r="C241">
        <v>4.78</v>
      </c>
      <c r="D241">
        <v>4.3099999999999996</v>
      </c>
      <c r="E241">
        <v>4.4269999999999996</v>
      </c>
      <c r="F241">
        <v>463950.98</v>
      </c>
      <c r="G241">
        <v>0</v>
      </c>
      <c r="L241" t="s">
        <v>7</v>
      </c>
      <c r="M241" t="s">
        <v>8</v>
      </c>
      <c r="N241" t="s">
        <v>8</v>
      </c>
      <c r="P241">
        <f t="shared" si="960"/>
        <v>-0.50212765957446881</v>
      </c>
      <c r="Q241">
        <f t="shared" si="961"/>
        <v>-232962.61974468117</v>
      </c>
      <c r="R241">
        <f t="shared" si="962"/>
        <v>59140245.109453999</v>
      </c>
      <c r="S241">
        <f t="shared" si="963"/>
        <v>591.40245109453997</v>
      </c>
      <c r="T241">
        <f t="shared" si="964"/>
        <v>0.59140245109453993</v>
      </c>
    </row>
    <row r="242" spans="1:20" x14ac:dyDescent="0.25">
      <c r="A242" s="5">
        <v>44351</v>
      </c>
      <c r="B242">
        <v>4.9082999999999997</v>
      </c>
      <c r="C242">
        <v>4.9082999999999997</v>
      </c>
      <c r="D242">
        <v>4.3544999999999998</v>
      </c>
      <c r="E242">
        <v>4.5574000000000003</v>
      </c>
      <c r="F242">
        <v>558597.14</v>
      </c>
      <c r="G242">
        <v>0</v>
      </c>
      <c r="L242" t="s">
        <v>7</v>
      </c>
      <c r="M242" t="s">
        <v>8</v>
      </c>
      <c r="N242" t="s">
        <v>8</v>
      </c>
      <c r="P242">
        <f t="shared" si="960"/>
        <v>-0.26724449259660316</v>
      </c>
      <c r="Q242">
        <f t="shared" si="961"/>
        <v>-149282.0092452137</v>
      </c>
      <c r="R242">
        <f t="shared" si="962"/>
        <v>59373207.729198679</v>
      </c>
      <c r="S242">
        <f t="shared" si="963"/>
        <v>593.7320772919868</v>
      </c>
      <c r="T242">
        <f t="shared" si="964"/>
        <v>0.59373207729198685</v>
      </c>
    </row>
    <row r="243" spans="1:20" x14ac:dyDescent="0.25">
      <c r="A243" s="5">
        <v>44350</v>
      </c>
      <c r="B243">
        <v>4.6963999999999997</v>
      </c>
      <c r="C243">
        <v>4.9732000000000003</v>
      </c>
      <c r="D243">
        <v>4.6372999999999998</v>
      </c>
      <c r="E243">
        <v>4.9016000000000002</v>
      </c>
      <c r="F243">
        <v>624483.87</v>
      </c>
      <c r="G243">
        <v>0</v>
      </c>
      <c r="L243" t="s">
        <v>8</v>
      </c>
      <c r="M243" t="s">
        <v>8</v>
      </c>
      <c r="N243" t="s">
        <v>8</v>
      </c>
      <c r="P243">
        <f t="shared" si="960"/>
        <v>0.57368264364394173</v>
      </c>
      <c r="Q243">
        <f t="shared" si="961"/>
        <v>358255.55745459965</v>
      </c>
      <c r="R243">
        <f t="shared" si="962"/>
        <v>59522489.738443896</v>
      </c>
      <c r="S243">
        <f t="shared" si="963"/>
        <v>595.22489738443892</v>
      </c>
      <c r="T243">
        <f t="shared" si="964"/>
        <v>0.59522489738443896</v>
      </c>
    </row>
    <row r="244" spans="1:20" x14ac:dyDescent="0.25">
      <c r="A244" s="5">
        <v>44349</v>
      </c>
      <c r="B244">
        <v>4.6406000000000001</v>
      </c>
      <c r="C244">
        <v>4.8354999999999997</v>
      </c>
      <c r="D244">
        <v>4.5125000000000002</v>
      </c>
      <c r="E244">
        <v>4.6951999999999998</v>
      </c>
      <c r="F244">
        <v>367544.41</v>
      </c>
      <c r="G244">
        <v>0</v>
      </c>
      <c r="L244" t="s">
        <v>8</v>
      </c>
      <c r="M244" t="s">
        <v>8</v>
      </c>
      <c r="N244" t="s">
        <v>8</v>
      </c>
      <c r="P244">
        <f t="shared" si="960"/>
        <v>0.13126934984520072</v>
      </c>
      <c r="Q244">
        <f t="shared" si="961"/>
        <v>48247.315739937891</v>
      </c>
      <c r="R244">
        <f t="shared" si="962"/>
        <v>59164234.180989295</v>
      </c>
      <c r="S244">
        <f t="shared" si="963"/>
        <v>591.64234180989297</v>
      </c>
      <c r="T244">
        <f t="shared" si="964"/>
        <v>0.59164234180989295</v>
      </c>
    </row>
    <row r="245" spans="1:20" x14ac:dyDescent="0.25">
      <c r="A245" s="5">
        <v>44348</v>
      </c>
      <c r="B245">
        <v>4.7542</v>
      </c>
      <c r="C245">
        <v>4.7899000000000003</v>
      </c>
      <c r="D245">
        <v>4.4756999999999998</v>
      </c>
      <c r="E245">
        <v>4.6372</v>
      </c>
      <c r="F245">
        <v>515719.09</v>
      </c>
      <c r="G245">
        <v>0</v>
      </c>
      <c r="L245" t="s">
        <v>8</v>
      </c>
      <c r="M245" t="s">
        <v>8</v>
      </c>
      <c r="N245" t="s">
        <v>8</v>
      </c>
      <c r="P245">
        <f t="shared" si="960"/>
        <v>2.8007638446848841E-2</v>
      </c>
      <c r="Q245">
        <f t="shared" si="961"/>
        <v>14444.073812857898</v>
      </c>
      <c r="R245">
        <f t="shared" si="962"/>
        <v>59115986.865249358</v>
      </c>
      <c r="S245">
        <f t="shared" si="963"/>
        <v>591.15986865249363</v>
      </c>
      <c r="T245">
        <f t="shared" si="964"/>
        <v>0.59115986865249359</v>
      </c>
    </row>
    <row r="246" spans="1:20" x14ac:dyDescent="0.25">
      <c r="A246" s="5">
        <v>44347</v>
      </c>
      <c r="B246">
        <v>4.2972999999999999</v>
      </c>
      <c r="C246">
        <v>4.7717000000000001</v>
      </c>
      <c r="D246">
        <v>4.1182999999999996</v>
      </c>
      <c r="E246">
        <v>4.7584999999999997</v>
      </c>
      <c r="F246">
        <v>701844.73</v>
      </c>
      <c r="G246">
        <v>0</v>
      </c>
      <c r="L246" t="s">
        <v>8</v>
      </c>
      <c r="M246" t="s">
        <v>8</v>
      </c>
      <c r="N246" t="s">
        <v>8</v>
      </c>
      <c r="P246">
        <f t="shared" si="960"/>
        <v>0.95959595959595867</v>
      </c>
      <c r="Q246">
        <f t="shared" si="961"/>
        <v>673487.36717171653</v>
      </c>
      <c r="R246">
        <f t="shared" si="962"/>
        <v>59101542.791436501</v>
      </c>
      <c r="S246">
        <f t="shared" si="963"/>
        <v>591.01542791436498</v>
      </c>
      <c r="T246">
        <f t="shared" si="964"/>
        <v>0.59101542791436501</v>
      </c>
    </row>
    <row r="247" spans="1:20" x14ac:dyDescent="0.25">
      <c r="A247" s="5">
        <v>44346</v>
      </c>
      <c r="B247">
        <v>4.1112000000000002</v>
      </c>
      <c r="C247">
        <v>4.4808000000000003</v>
      </c>
      <c r="D247">
        <v>3.8104</v>
      </c>
      <c r="E247">
        <v>4.2972999999999999</v>
      </c>
      <c r="F247">
        <v>1244131.77</v>
      </c>
      <c r="G247">
        <v>0</v>
      </c>
      <c r="L247" t="s">
        <v>7</v>
      </c>
      <c r="M247" t="s">
        <v>7</v>
      </c>
      <c r="N247" t="s">
        <v>8</v>
      </c>
      <c r="P247">
        <f t="shared" si="960"/>
        <v>0.45256563245823284</v>
      </c>
      <c r="Q247">
        <f t="shared" si="961"/>
        <v>563051.28135143069</v>
      </c>
      <c r="R247">
        <f t="shared" si="962"/>
        <v>58428055.424264781</v>
      </c>
      <c r="S247">
        <f t="shared" si="963"/>
        <v>584.28055424264778</v>
      </c>
      <c r="T247">
        <f t="shared" si="964"/>
        <v>0.5842805542426478</v>
      </c>
    </row>
    <row r="248" spans="1:20" x14ac:dyDescent="0.25">
      <c r="A248" s="5">
        <v>44345</v>
      </c>
      <c r="B248">
        <v>4.3941999999999997</v>
      </c>
      <c r="C248">
        <v>4.5838000000000001</v>
      </c>
      <c r="D248">
        <v>3.9474</v>
      </c>
      <c r="E248">
        <v>4.1108000000000002</v>
      </c>
      <c r="F248">
        <v>1057280.43</v>
      </c>
      <c r="G248">
        <v>0</v>
      </c>
      <c r="L248" t="s">
        <v>7</v>
      </c>
      <c r="M248" t="s">
        <v>7</v>
      </c>
      <c r="N248" t="s">
        <v>8</v>
      </c>
      <c r="P248">
        <f t="shared" si="960"/>
        <v>-0.4864864864864859</v>
      </c>
      <c r="Q248">
        <f t="shared" si="961"/>
        <v>-514352.64162162098</v>
      </c>
      <c r="R248">
        <f t="shared" si="962"/>
        <v>57865004.142913349</v>
      </c>
      <c r="S248">
        <f t="shared" si="963"/>
        <v>578.65004142913347</v>
      </c>
      <c r="T248">
        <f t="shared" si="964"/>
        <v>0.57865004142913345</v>
      </c>
    </row>
    <row r="249" spans="1:20" x14ac:dyDescent="0.25">
      <c r="A249" s="5">
        <v>44344</v>
      </c>
      <c r="B249">
        <v>4.9261999999999997</v>
      </c>
      <c r="C249">
        <v>4.9671000000000003</v>
      </c>
      <c r="D249">
        <v>4.2672999999999996</v>
      </c>
      <c r="E249">
        <v>4.4062000000000001</v>
      </c>
      <c r="F249">
        <v>649307.19999999995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-0.60302943698199385</v>
      </c>
      <c r="Q249">
        <f t="shared" si="961"/>
        <v>-391551.35524435487</v>
      </c>
      <c r="R249">
        <f t="shared" si="962"/>
        <v>58379356.784534968</v>
      </c>
      <c r="S249">
        <f t="shared" si="963"/>
        <v>583.79356784534968</v>
      </c>
      <c r="T249">
        <f t="shared" si="964"/>
        <v>0.58379356784534964</v>
      </c>
    </row>
    <row r="250" spans="1:20" x14ac:dyDescent="0.25">
      <c r="A250" s="5">
        <v>44343</v>
      </c>
      <c r="B250">
        <v>5.2194000000000003</v>
      </c>
      <c r="C250">
        <v>5.2305999999999999</v>
      </c>
      <c r="D250">
        <v>4.7469999999999999</v>
      </c>
      <c r="E250">
        <v>4.9287000000000001</v>
      </c>
      <c r="F250">
        <v>800774.36</v>
      </c>
      <c r="G250">
        <v>0</v>
      </c>
      <c r="L250" t="s">
        <v>7</v>
      </c>
      <c r="M250" t="s">
        <v>8</v>
      </c>
      <c r="N250" t="s">
        <v>8</v>
      </c>
      <c r="P250">
        <f t="shared" si="960"/>
        <v>-0.24855252274607037</v>
      </c>
      <c r="Q250">
        <f t="shared" si="961"/>
        <v>-199034.48732836993</v>
      </c>
      <c r="R250">
        <f t="shared" si="962"/>
        <v>58770908.139779322</v>
      </c>
      <c r="S250">
        <f t="shared" si="963"/>
        <v>587.70908139779317</v>
      </c>
      <c r="T250">
        <f t="shared" si="964"/>
        <v>0.58770908139779321</v>
      </c>
    </row>
    <row r="251" spans="1:20" x14ac:dyDescent="0.25">
      <c r="A251" s="5">
        <v>44342</v>
      </c>
      <c r="B251">
        <v>4.6768000000000001</v>
      </c>
      <c r="C251">
        <v>5.3</v>
      </c>
      <c r="D251">
        <v>4.5953999999999997</v>
      </c>
      <c r="E251">
        <v>5.2176</v>
      </c>
      <c r="F251">
        <v>757124.86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0.76610843031507292</v>
      </c>
      <c r="Q251">
        <f t="shared" si="961"/>
        <v>580039.73804711935</v>
      </c>
      <c r="R251">
        <f t="shared" si="962"/>
        <v>58969942.627107695</v>
      </c>
      <c r="S251">
        <f t="shared" si="963"/>
        <v>589.69942627107696</v>
      </c>
      <c r="T251">
        <f t="shared" si="964"/>
        <v>0.58969942627107697</v>
      </c>
    </row>
    <row r="252" spans="1:20" x14ac:dyDescent="0.25">
      <c r="A252" s="5">
        <v>44341</v>
      </c>
      <c r="B252">
        <v>4.6428000000000003</v>
      </c>
      <c r="C252">
        <v>4.8326000000000002</v>
      </c>
      <c r="D252">
        <v>4.18</v>
      </c>
      <c r="E252">
        <v>4.6775000000000002</v>
      </c>
      <c r="F252">
        <v>1154707.1499999999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0.52467054857493134</v>
      </c>
      <c r="Q252">
        <f t="shared" si="961"/>
        <v>605840.83383389551</v>
      </c>
      <c r="R252">
        <f t="shared" si="962"/>
        <v>58389902.889060572</v>
      </c>
      <c r="S252">
        <f t="shared" si="963"/>
        <v>583.89902889060568</v>
      </c>
      <c r="T252">
        <f t="shared" si="964"/>
        <v>0.58389902889060563</v>
      </c>
    </row>
    <row r="253" spans="1:20" x14ac:dyDescent="0.25">
      <c r="A253" s="5">
        <v>44340</v>
      </c>
      <c r="B253">
        <v>3.73</v>
      </c>
      <c r="C253">
        <v>4.6939000000000002</v>
      </c>
      <c r="D253">
        <v>3.7101000000000002</v>
      </c>
      <c r="E253">
        <v>4.6375000000000002</v>
      </c>
      <c r="F253">
        <v>1400786.06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0.88534254929863787</v>
      </c>
      <c r="Q253">
        <f t="shared" si="961"/>
        <v>1240175.5013823947</v>
      </c>
      <c r="R253">
        <f t="shared" si="962"/>
        <v>57784062.055226676</v>
      </c>
      <c r="S253">
        <f t="shared" si="963"/>
        <v>577.84062055226673</v>
      </c>
      <c r="T253">
        <f t="shared" si="964"/>
        <v>0.5778406205522667</v>
      </c>
    </row>
    <row r="254" spans="1:20" x14ac:dyDescent="0.25">
      <c r="A254" s="5">
        <v>44339</v>
      </c>
      <c r="B254">
        <v>4.2725</v>
      </c>
      <c r="C254">
        <v>4.4062999999999999</v>
      </c>
      <c r="D254">
        <v>3.0665</v>
      </c>
      <c r="E254">
        <v>3.7246000000000001</v>
      </c>
      <c r="F254">
        <v>1945726.12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-1.761456933870699E-2</v>
      </c>
      <c r="Q254">
        <f t="shared" si="961"/>
        <v>-34273.127654873322</v>
      </c>
      <c r="R254">
        <f t="shared" si="962"/>
        <v>56543886.553844281</v>
      </c>
      <c r="S254">
        <f t="shared" si="963"/>
        <v>565.43886553844277</v>
      </c>
      <c r="T254">
        <f t="shared" si="964"/>
        <v>0.5654388655384428</v>
      </c>
    </row>
    <row r="255" spans="1:20" x14ac:dyDescent="0.25">
      <c r="A255" s="5">
        <v>44338</v>
      </c>
      <c r="B255">
        <v>4.5750000000000002</v>
      </c>
      <c r="C255">
        <v>4.6830999999999996</v>
      </c>
      <c r="D255">
        <v>4.08</v>
      </c>
      <c r="E255">
        <v>4.2686000000000002</v>
      </c>
      <c r="F255">
        <v>831097.14</v>
      </c>
      <c r="G255">
        <v>0</v>
      </c>
      <c r="L255" t="s">
        <v>8</v>
      </c>
      <c r="M255" t="s">
        <v>7</v>
      </c>
      <c r="N255" t="s">
        <v>7</v>
      </c>
      <c r="P255">
        <f t="shared" si="960"/>
        <v>-0.37456474879787682</v>
      </c>
      <c r="Q255">
        <f t="shared" si="961"/>
        <v>-311299.69147073384</v>
      </c>
      <c r="R255">
        <f t="shared" si="962"/>
        <v>56578159.681499153</v>
      </c>
      <c r="S255">
        <f t="shared" si="963"/>
        <v>565.78159681499153</v>
      </c>
      <c r="T255">
        <f t="shared" si="964"/>
        <v>0.56578159681499152</v>
      </c>
    </row>
    <row r="256" spans="1:20" x14ac:dyDescent="0.25">
      <c r="A256" s="5">
        <v>44337</v>
      </c>
      <c r="B256">
        <v>5.3262999999999998</v>
      </c>
      <c r="C256">
        <v>5.5926999999999998</v>
      </c>
      <c r="D256">
        <v>4</v>
      </c>
      <c r="E256">
        <v>4.5747999999999998</v>
      </c>
      <c r="F256">
        <v>1481238.46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-0.27820681860990792</v>
      </c>
      <c r="Q256">
        <f t="shared" si="961"/>
        <v>-412090.63955923932</v>
      </c>
      <c r="R256">
        <f t="shared" si="962"/>
        <v>56889459.372969888</v>
      </c>
      <c r="S256">
        <f t="shared" si="963"/>
        <v>568.89459372969884</v>
      </c>
      <c r="T256">
        <f t="shared" si="964"/>
        <v>0.56889459372969886</v>
      </c>
    </row>
    <row r="257" spans="1:20" x14ac:dyDescent="0.25">
      <c r="A257" s="5">
        <v>44336</v>
      </c>
      <c r="B257">
        <v>4.7878999999999996</v>
      </c>
      <c r="C257">
        <v>5.68</v>
      </c>
      <c r="D257">
        <v>4.2866</v>
      </c>
      <c r="E257">
        <v>5.3333000000000004</v>
      </c>
      <c r="F257">
        <v>2193753.02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0.50236830773647279</v>
      </c>
      <c r="Q257">
        <f t="shared" si="961"/>
        <v>1102071.9922491766</v>
      </c>
      <c r="R257">
        <f t="shared" si="962"/>
        <v>57301550.012529127</v>
      </c>
      <c r="S257">
        <f t="shared" si="963"/>
        <v>573.01550012529128</v>
      </c>
      <c r="T257">
        <f t="shared" si="964"/>
        <v>0.57301550012529123</v>
      </c>
    </row>
    <row r="258" spans="1:20" x14ac:dyDescent="0.25">
      <c r="A258" s="5">
        <v>44335</v>
      </c>
      <c r="B258">
        <v>6.6551999999999998</v>
      </c>
      <c r="C258">
        <v>6.7571000000000003</v>
      </c>
      <c r="D258">
        <v>3.7002000000000002</v>
      </c>
      <c r="E258">
        <v>4.7840999999999996</v>
      </c>
      <c r="F258">
        <v>2129394.7000000002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-0.29085020772678244</v>
      </c>
      <c r="Q258">
        <f t="shared" si="961"/>
        <v>-619334.89082730957</v>
      </c>
      <c r="R258">
        <f t="shared" si="962"/>
        <v>56199478.020279951</v>
      </c>
      <c r="S258">
        <f t="shared" si="963"/>
        <v>561.99478020279946</v>
      </c>
      <c r="T258">
        <f t="shared" si="964"/>
        <v>0.56199478020279947</v>
      </c>
    </row>
    <row r="259" spans="1:20" x14ac:dyDescent="0.25">
      <c r="A259" s="5">
        <v>44334</v>
      </c>
      <c r="B259">
        <v>6.2591999999999999</v>
      </c>
      <c r="C259">
        <v>6.8455000000000004</v>
      </c>
      <c r="D259">
        <v>6.1848000000000001</v>
      </c>
      <c r="E259">
        <v>6.6525999999999996</v>
      </c>
      <c r="F259">
        <v>807842.36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0.41607386105645328</v>
      </c>
      <c r="Q259">
        <f t="shared" si="961"/>
        <v>336122.08985015732</v>
      </c>
      <c r="R259">
        <f t="shared" si="962"/>
        <v>56818812.911107264</v>
      </c>
      <c r="S259">
        <f t="shared" si="963"/>
        <v>568.18812911107261</v>
      </c>
      <c r="T259">
        <f t="shared" si="964"/>
        <v>0.56818812911107264</v>
      </c>
    </row>
    <row r="260" spans="1:20" x14ac:dyDescent="0.25">
      <c r="A260" s="5">
        <v>44333</v>
      </c>
      <c r="B260">
        <v>6.7251000000000003</v>
      </c>
      <c r="C260">
        <v>6.7595000000000001</v>
      </c>
      <c r="D260">
        <v>5.98</v>
      </c>
      <c r="E260">
        <v>6.2420999999999998</v>
      </c>
      <c r="F260">
        <v>1247122.17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-0.3275176395125094</v>
      </c>
      <c r="Q260">
        <f t="shared" si="961"/>
        <v>-408454.50930211844</v>
      </c>
      <c r="R260">
        <f t="shared" si="962"/>
        <v>56482690.821257107</v>
      </c>
      <c r="S260">
        <f t="shared" si="963"/>
        <v>564.82690821257108</v>
      </c>
      <c r="T260">
        <f t="shared" si="964"/>
        <v>0.56482690821257109</v>
      </c>
    </row>
    <row r="261" spans="1:20" x14ac:dyDescent="0.25">
      <c r="A261" s="5">
        <v>44332</v>
      </c>
      <c r="B261">
        <v>6.8246000000000002</v>
      </c>
      <c r="C261">
        <v>7.2301000000000002</v>
      </c>
      <c r="D261">
        <v>6.2912999999999997</v>
      </c>
      <c r="E261">
        <v>6.7272999999999996</v>
      </c>
      <c r="F261">
        <v>879259.14</v>
      </c>
      <c r="G261">
        <v>0</v>
      </c>
      <c r="L261" t="s">
        <v>7</v>
      </c>
      <c r="M261" t="s">
        <v>7</v>
      </c>
      <c r="N261" t="s">
        <v>8</v>
      </c>
      <c r="P261">
        <f t="shared" si="960"/>
        <v>-7.1154665530465067E-2</v>
      </c>
      <c r="Q261">
        <f t="shared" si="961"/>
        <v>-62563.39002130436</v>
      </c>
      <c r="R261">
        <f t="shared" si="962"/>
        <v>56891145.330559224</v>
      </c>
      <c r="S261">
        <f t="shared" si="963"/>
        <v>568.9114533055922</v>
      </c>
      <c r="T261">
        <f t="shared" si="964"/>
        <v>0.56891145330559223</v>
      </c>
    </row>
    <row r="262" spans="1:20" x14ac:dyDescent="0.25">
      <c r="A262" s="5">
        <v>44331</v>
      </c>
      <c r="B262">
        <v>7.5448000000000004</v>
      </c>
      <c r="C262">
        <v>7.6731999999999996</v>
      </c>
      <c r="D262">
        <v>6.6188000000000002</v>
      </c>
      <c r="E262">
        <v>6.8144999999999998</v>
      </c>
      <c r="F262">
        <v>840746.88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5">IF(C262=D262,0,((E262-D262)-(C262-E262))/(C262-D262))</f>
        <v>-0.62879362670713268</v>
      </c>
      <c r="Q262">
        <f t="shared" ref="Q262:Q325" si="966">F262*P262</f>
        <v>-528656.27981790644</v>
      </c>
      <c r="R262">
        <f t="shared" ref="R262:R325" si="967">R263+Q262</f>
        <v>56953708.720580526</v>
      </c>
      <c r="S262">
        <f t="shared" ref="S262:S325" si="968">R262/100000</f>
        <v>569.53708720580528</v>
      </c>
      <c r="T262">
        <f t="shared" ref="T262:T325" si="969">S262/1000</f>
        <v>0.56953708720580531</v>
      </c>
    </row>
    <row r="263" spans="1:20" x14ac:dyDescent="0.25">
      <c r="A263" s="5">
        <v>44330</v>
      </c>
      <c r="B263">
        <v>7.07</v>
      </c>
      <c r="C263">
        <v>7.7724000000000002</v>
      </c>
      <c r="D263">
        <v>7.0275999999999996</v>
      </c>
      <c r="E263">
        <v>7.5467000000000004</v>
      </c>
      <c r="F263">
        <v>628289.35</v>
      </c>
      <c r="G263">
        <v>0</v>
      </c>
      <c r="L263" t="s">
        <v>7</v>
      </c>
      <c r="M263" t="s">
        <v>8</v>
      </c>
      <c r="N263" t="s">
        <v>8</v>
      </c>
      <c r="P263">
        <f t="shared" si="965"/>
        <v>0.39393125671321261</v>
      </c>
      <c r="Q263">
        <f t="shared" si="966"/>
        <v>247502.81322502746</v>
      </c>
      <c r="R263">
        <f t="shared" si="967"/>
        <v>57482365.000398435</v>
      </c>
      <c r="S263">
        <f t="shared" si="968"/>
        <v>574.82365000398431</v>
      </c>
      <c r="T263">
        <f t="shared" si="969"/>
        <v>0.57482365000398428</v>
      </c>
    </row>
    <row r="264" spans="1:20" x14ac:dyDescent="0.25">
      <c r="A264" s="5">
        <v>44329</v>
      </c>
      <c r="B264">
        <v>7.2046000000000001</v>
      </c>
      <c r="C264">
        <v>8.3390000000000004</v>
      </c>
      <c r="D264">
        <v>6.4287999999999998</v>
      </c>
      <c r="E264">
        <v>7.0628000000000002</v>
      </c>
      <c r="F264">
        <v>1838986.32</v>
      </c>
      <c r="G264">
        <v>0</v>
      </c>
      <c r="L264" t="s">
        <v>8</v>
      </c>
      <c r="M264" t="s">
        <v>7</v>
      </c>
      <c r="N264" t="s">
        <v>8</v>
      </c>
      <c r="P264">
        <f t="shared" si="965"/>
        <v>-0.33619516281017681</v>
      </c>
      <c r="Q264">
        <f t="shared" si="966"/>
        <v>-618258.30525808793</v>
      </c>
      <c r="R264">
        <f t="shared" si="967"/>
        <v>57234862.187173404</v>
      </c>
      <c r="S264">
        <f t="shared" si="968"/>
        <v>572.34862187173405</v>
      </c>
      <c r="T264">
        <f t="shared" si="969"/>
        <v>0.57234862187173408</v>
      </c>
    </row>
    <row r="265" spans="1:20" x14ac:dyDescent="0.25">
      <c r="A265" s="5">
        <v>44328</v>
      </c>
      <c r="B265">
        <v>7.9791999999999996</v>
      </c>
      <c r="C265">
        <v>8.282</v>
      </c>
      <c r="D265">
        <v>7.0065999999999997</v>
      </c>
      <c r="E265">
        <v>7.2153999999999998</v>
      </c>
      <c r="F265">
        <v>1404778.37</v>
      </c>
      <c r="G265">
        <v>0</v>
      </c>
      <c r="L265" t="s">
        <v>8</v>
      </c>
      <c r="M265" t="s">
        <v>7</v>
      </c>
      <c r="N265" t="s">
        <v>8</v>
      </c>
      <c r="P265">
        <f t="shared" si="965"/>
        <v>-0.6725733103340128</v>
      </c>
      <c r="Q265">
        <f t="shared" si="966"/>
        <v>-944816.43859651871</v>
      </c>
      <c r="R265">
        <f t="shared" si="967"/>
        <v>57853120.492431492</v>
      </c>
      <c r="S265">
        <f t="shared" si="968"/>
        <v>578.53120492431492</v>
      </c>
      <c r="T265">
        <f t="shared" si="969"/>
        <v>0.57853120492431487</v>
      </c>
    </row>
    <row r="266" spans="1:20" x14ac:dyDescent="0.25">
      <c r="A266" s="5">
        <v>44327</v>
      </c>
      <c r="B266">
        <v>7.5621999999999998</v>
      </c>
      <c r="C266">
        <v>8.0144000000000002</v>
      </c>
      <c r="D266">
        <v>7.2629000000000001</v>
      </c>
      <c r="E266">
        <v>7.9821</v>
      </c>
      <c r="F266">
        <v>815417.48</v>
      </c>
      <c r="G266">
        <v>0</v>
      </c>
      <c r="L266" t="s">
        <v>8</v>
      </c>
      <c r="M266" t="s">
        <v>8</v>
      </c>
      <c r="N266" t="s">
        <v>8</v>
      </c>
      <c r="P266">
        <f t="shared" si="965"/>
        <v>0.91403858948769068</v>
      </c>
      <c r="Q266">
        <f t="shared" si="966"/>
        <v>745323.04326280719</v>
      </c>
      <c r="R266">
        <f t="shared" si="967"/>
        <v>58797936.931028008</v>
      </c>
      <c r="S266">
        <f t="shared" si="968"/>
        <v>587.97936931028005</v>
      </c>
      <c r="T266">
        <f t="shared" si="969"/>
        <v>0.58797936931028005</v>
      </c>
    </row>
    <row r="267" spans="1:20" x14ac:dyDescent="0.25">
      <c r="A267" s="5">
        <v>44326</v>
      </c>
      <c r="B267">
        <v>8.1471999999999998</v>
      </c>
      <c r="C267">
        <v>8.3049999999999997</v>
      </c>
      <c r="D267">
        <v>7.0465</v>
      </c>
      <c r="E267">
        <v>7.5629999999999997</v>
      </c>
      <c r="F267">
        <v>1204334.71</v>
      </c>
      <c r="G267">
        <v>0</v>
      </c>
      <c r="L267" t="s">
        <v>7</v>
      </c>
      <c r="M267" t="s">
        <v>8</v>
      </c>
      <c r="N267" t="s">
        <v>8</v>
      </c>
      <c r="P267">
        <f t="shared" si="965"/>
        <v>-0.17918156535558227</v>
      </c>
      <c r="Q267">
        <f t="shared" si="966"/>
        <v>-215794.57854986121</v>
      </c>
      <c r="R267">
        <f t="shared" si="967"/>
        <v>58052613.887765199</v>
      </c>
      <c r="S267">
        <f t="shared" si="968"/>
        <v>580.52613887765199</v>
      </c>
      <c r="T267">
        <f t="shared" si="969"/>
        <v>0.58052613887765203</v>
      </c>
    </row>
    <row r="268" spans="1:20" x14ac:dyDescent="0.25">
      <c r="A268" s="5">
        <v>44325</v>
      </c>
      <c r="B268">
        <v>7.9546999999999999</v>
      </c>
      <c r="C268">
        <v>8.44</v>
      </c>
      <c r="D268">
        <v>7.6959999999999997</v>
      </c>
      <c r="E268">
        <v>8.1390999999999991</v>
      </c>
      <c r="F268">
        <v>2269734.71</v>
      </c>
      <c r="G268">
        <v>0</v>
      </c>
      <c r="L268" t="s">
        <v>8</v>
      </c>
      <c r="M268" t="s">
        <v>8</v>
      </c>
      <c r="N268" t="s">
        <v>8</v>
      </c>
      <c r="P268">
        <f t="shared" si="965"/>
        <v>0.19112903225806321</v>
      </c>
      <c r="Q268">
        <f t="shared" si="966"/>
        <v>433812.19860483572</v>
      </c>
      <c r="R268">
        <f t="shared" si="967"/>
        <v>58268408.466315061</v>
      </c>
      <c r="S268">
        <f t="shared" si="968"/>
        <v>582.68408466315066</v>
      </c>
      <c r="T268">
        <f t="shared" si="969"/>
        <v>0.58268408466315069</v>
      </c>
    </row>
    <row r="269" spans="1:20" x14ac:dyDescent="0.25">
      <c r="A269" s="5">
        <v>44324</v>
      </c>
      <c r="B269">
        <v>7.6482999999999999</v>
      </c>
      <c r="C269">
        <v>8.0299999999999994</v>
      </c>
      <c r="D269">
        <v>7.5808999999999997</v>
      </c>
      <c r="E269">
        <v>7.9546999999999999</v>
      </c>
      <c r="F269">
        <v>686643.71</v>
      </c>
      <c r="G269">
        <v>0</v>
      </c>
      <c r="L269" t="s">
        <v>8</v>
      </c>
      <c r="M269" t="s">
        <v>8</v>
      </c>
      <c r="N269" t="s">
        <v>8</v>
      </c>
      <c r="P269">
        <f t="shared" si="965"/>
        <v>0.66466265865063667</v>
      </c>
      <c r="Q269">
        <f t="shared" si="966"/>
        <v>456386.43383433676</v>
      </c>
      <c r="R269">
        <f t="shared" si="967"/>
        <v>57834596.267710224</v>
      </c>
      <c r="S269">
        <f t="shared" si="968"/>
        <v>578.34596267710219</v>
      </c>
      <c r="T269">
        <f t="shared" si="969"/>
        <v>0.57834596267710214</v>
      </c>
    </row>
    <row r="270" spans="1:20" x14ac:dyDescent="0.25">
      <c r="A270" s="5">
        <v>44323</v>
      </c>
      <c r="B270">
        <v>7.5544000000000002</v>
      </c>
      <c r="C270">
        <v>7.96</v>
      </c>
      <c r="D270">
        <v>7.3204000000000002</v>
      </c>
      <c r="E270">
        <v>7.6487999999999996</v>
      </c>
      <c r="F270">
        <v>1163569.6200000001</v>
      </c>
      <c r="G270">
        <v>0</v>
      </c>
      <c r="L270" t="s">
        <v>8</v>
      </c>
      <c r="M270" t="s">
        <v>8</v>
      </c>
      <c r="N270" t="s">
        <v>8</v>
      </c>
      <c r="P270">
        <f t="shared" si="965"/>
        <v>2.6891807379610697E-2</v>
      </c>
      <c r="Q270">
        <f t="shared" si="966"/>
        <v>31290.490093806817</v>
      </c>
      <c r="R270">
        <f t="shared" si="967"/>
        <v>57378209.833875887</v>
      </c>
      <c r="S270">
        <f t="shared" si="968"/>
        <v>573.78209833875883</v>
      </c>
      <c r="T270">
        <f t="shared" si="969"/>
        <v>0.57378209833875882</v>
      </c>
    </row>
    <row r="271" spans="1:20" x14ac:dyDescent="0.25">
      <c r="A271" s="5">
        <v>44322</v>
      </c>
      <c r="B271">
        <v>7.7149999999999999</v>
      </c>
      <c r="C271">
        <v>7.7899000000000003</v>
      </c>
      <c r="D271">
        <v>7.34</v>
      </c>
      <c r="E271">
        <v>7.5506000000000002</v>
      </c>
      <c r="F271">
        <v>956792.68</v>
      </c>
      <c r="G271">
        <v>0</v>
      </c>
      <c r="L271" t="s">
        <v>8</v>
      </c>
      <c r="M271" t="s">
        <v>8</v>
      </c>
      <c r="N271" t="s">
        <v>8</v>
      </c>
      <c r="P271">
        <f t="shared" si="965"/>
        <v>-6.3791953767503226E-2</v>
      </c>
      <c r="Q271">
        <f t="shared" si="966"/>
        <v>-61035.674407645514</v>
      </c>
      <c r="R271">
        <f t="shared" si="967"/>
        <v>57346919.343782082</v>
      </c>
      <c r="S271">
        <f t="shared" si="968"/>
        <v>573.46919343782088</v>
      </c>
      <c r="T271">
        <f t="shared" si="969"/>
        <v>0.57346919343782088</v>
      </c>
    </row>
    <row r="272" spans="1:20" x14ac:dyDescent="0.25">
      <c r="A272" s="5">
        <v>44321</v>
      </c>
      <c r="B272">
        <v>7.0522</v>
      </c>
      <c r="C272">
        <v>7.7908999999999997</v>
      </c>
      <c r="D272">
        <v>6.9691999999999998</v>
      </c>
      <c r="E272">
        <v>7.7225999999999999</v>
      </c>
      <c r="F272">
        <v>982250.44</v>
      </c>
      <c r="G272">
        <v>0</v>
      </c>
      <c r="L272" t="s">
        <v>8</v>
      </c>
      <c r="M272" t="s">
        <v>8</v>
      </c>
      <c r="N272" t="s">
        <v>8</v>
      </c>
      <c r="P272">
        <f t="shared" si="965"/>
        <v>0.83375927954241247</v>
      </c>
      <c r="Q272">
        <f t="shared" si="966"/>
        <v>818960.41918461758</v>
      </c>
      <c r="R272">
        <f t="shared" si="967"/>
        <v>57407955.018189728</v>
      </c>
      <c r="S272">
        <f t="shared" si="968"/>
        <v>574.07955018189728</v>
      </c>
      <c r="T272">
        <f t="shared" si="969"/>
        <v>0.57407955018189727</v>
      </c>
    </row>
    <row r="273" spans="1:20" x14ac:dyDescent="0.25">
      <c r="A273" s="5">
        <v>44320</v>
      </c>
      <c r="B273">
        <v>7.4318</v>
      </c>
      <c r="C273">
        <v>7.6570999999999998</v>
      </c>
      <c r="D273">
        <v>6.97</v>
      </c>
      <c r="E273">
        <v>7.0357000000000003</v>
      </c>
      <c r="F273">
        <v>1061716.01</v>
      </c>
      <c r="G273">
        <v>0</v>
      </c>
      <c r="L273" t="s">
        <v>8</v>
      </c>
      <c r="M273" t="s">
        <v>8</v>
      </c>
      <c r="N273" t="s">
        <v>8</v>
      </c>
      <c r="P273">
        <f t="shared" si="965"/>
        <v>-0.80876146121379555</v>
      </c>
      <c r="Q273">
        <f t="shared" si="966"/>
        <v>-858674.99164168083</v>
      </c>
      <c r="R273">
        <f t="shared" si="967"/>
        <v>56588994.599005111</v>
      </c>
      <c r="S273">
        <f t="shared" si="968"/>
        <v>565.88994599005116</v>
      </c>
      <c r="T273">
        <f t="shared" si="969"/>
        <v>0.56588994599005116</v>
      </c>
    </row>
    <row r="274" spans="1:20" x14ac:dyDescent="0.25">
      <c r="A274" s="5">
        <v>44319</v>
      </c>
      <c r="B274">
        <v>6.9607999999999999</v>
      </c>
      <c r="C274">
        <v>7.4823000000000004</v>
      </c>
      <c r="D274">
        <v>6.9588999999999999</v>
      </c>
      <c r="E274">
        <v>7.4291999999999998</v>
      </c>
      <c r="F274">
        <v>835873.57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0.7970959113488707</v>
      </c>
      <c r="Q274">
        <f t="shared" si="966"/>
        <v>666271.40505158401</v>
      </c>
      <c r="R274">
        <f t="shared" si="967"/>
        <v>57447669.590646788</v>
      </c>
      <c r="S274">
        <f t="shared" si="968"/>
        <v>574.47669590646785</v>
      </c>
      <c r="T274">
        <f t="shared" si="969"/>
        <v>0.57447669590646788</v>
      </c>
    </row>
    <row r="275" spans="1:20" x14ac:dyDescent="0.25">
      <c r="A275" s="5">
        <v>44318</v>
      </c>
      <c r="B275">
        <v>7.1151</v>
      </c>
      <c r="C275">
        <v>7.1409000000000002</v>
      </c>
      <c r="D275">
        <v>6.8140000000000001</v>
      </c>
      <c r="E275">
        <v>6.9558999999999997</v>
      </c>
      <c r="F275">
        <v>608434.72</v>
      </c>
      <c r="G275">
        <v>0</v>
      </c>
      <c r="L275" t="s">
        <v>8</v>
      </c>
      <c r="M275" t="s">
        <v>8</v>
      </c>
      <c r="N275" t="s">
        <v>7</v>
      </c>
      <c r="P275">
        <f t="shared" si="965"/>
        <v>-0.13184460079535265</v>
      </c>
      <c r="Q275">
        <f t="shared" si="966"/>
        <v>-80218.83276843217</v>
      </c>
      <c r="R275">
        <f t="shared" si="967"/>
        <v>56781398.185595207</v>
      </c>
      <c r="S275">
        <f t="shared" si="968"/>
        <v>567.81398185595208</v>
      </c>
      <c r="T275">
        <f t="shared" si="969"/>
        <v>0.56781398185595211</v>
      </c>
    </row>
    <row r="276" spans="1:20" x14ac:dyDescent="0.25">
      <c r="A276" s="5">
        <v>44317</v>
      </c>
      <c r="B276">
        <v>6.9047000000000001</v>
      </c>
      <c r="C276">
        <v>7.1559999999999997</v>
      </c>
      <c r="D276">
        <v>6.8387000000000002</v>
      </c>
      <c r="E276">
        <v>7.1050000000000004</v>
      </c>
      <c r="F276">
        <v>746283.35</v>
      </c>
      <c r="G276">
        <v>0</v>
      </c>
      <c r="L276" t="s">
        <v>8</v>
      </c>
      <c r="M276" t="s">
        <v>8</v>
      </c>
      <c r="N276" t="s">
        <v>7</v>
      </c>
      <c r="P276">
        <f t="shared" si="965"/>
        <v>0.67853766151907124</v>
      </c>
      <c r="Q276">
        <f t="shared" si="966"/>
        <v>506381.35913961858</v>
      </c>
      <c r="R276">
        <f t="shared" si="967"/>
        <v>56861617.01836364</v>
      </c>
      <c r="S276">
        <f t="shared" si="968"/>
        <v>568.61617018363643</v>
      </c>
      <c r="T276">
        <f t="shared" si="969"/>
        <v>0.56861617018363642</v>
      </c>
    </row>
    <row r="277" spans="1:20" x14ac:dyDescent="0.25">
      <c r="A277" s="5">
        <v>44316</v>
      </c>
      <c r="B277">
        <v>6.7018000000000004</v>
      </c>
      <c r="C277">
        <v>6.92</v>
      </c>
      <c r="D277">
        <v>6.5843999999999996</v>
      </c>
      <c r="E277">
        <v>6.9061000000000003</v>
      </c>
      <c r="F277">
        <v>1158862.95</v>
      </c>
      <c r="G277">
        <v>0</v>
      </c>
      <c r="L277" t="s">
        <v>8</v>
      </c>
      <c r="M277" t="s">
        <v>8</v>
      </c>
      <c r="N277" t="s">
        <v>7</v>
      </c>
      <c r="P277">
        <f t="shared" si="965"/>
        <v>0.91716328963051508</v>
      </c>
      <c r="Q277">
        <f t="shared" si="966"/>
        <v>1062866.5554529231</v>
      </c>
      <c r="R277">
        <f t="shared" si="967"/>
        <v>56355235.659224018</v>
      </c>
      <c r="S277">
        <f t="shared" si="968"/>
        <v>563.55235659224013</v>
      </c>
      <c r="T277">
        <f t="shared" si="969"/>
        <v>0.56355235659224012</v>
      </c>
    </row>
    <row r="278" spans="1:20" x14ac:dyDescent="0.25">
      <c r="A278" s="5">
        <v>44315</v>
      </c>
      <c r="B278">
        <v>6.6748000000000003</v>
      </c>
      <c r="C278">
        <v>6.8696999999999999</v>
      </c>
      <c r="D278">
        <v>6.4245000000000001</v>
      </c>
      <c r="E278">
        <v>6.7</v>
      </c>
      <c r="F278">
        <v>1036276.01</v>
      </c>
      <c r="G278">
        <v>0</v>
      </c>
      <c r="L278" t="s">
        <v>7</v>
      </c>
      <c r="M278" t="s">
        <v>8</v>
      </c>
      <c r="N278" t="s">
        <v>7</v>
      </c>
      <c r="P278">
        <f t="shared" si="965"/>
        <v>0.23764600179694606</v>
      </c>
      <c r="Q278">
        <f t="shared" si="966"/>
        <v>246266.85053459209</v>
      </c>
      <c r="R278">
        <f t="shared" si="967"/>
        <v>55292369.103771098</v>
      </c>
      <c r="S278">
        <f t="shared" si="968"/>
        <v>552.92369103771102</v>
      </c>
      <c r="T278">
        <f t="shared" si="969"/>
        <v>0.552923691037711</v>
      </c>
    </row>
    <row r="279" spans="1:20" x14ac:dyDescent="0.25">
      <c r="A279" s="5">
        <v>44314</v>
      </c>
      <c r="B279">
        <v>6.6914999999999996</v>
      </c>
      <c r="C279">
        <v>6.8521000000000001</v>
      </c>
      <c r="D279">
        <v>6.3949999999999996</v>
      </c>
      <c r="E279">
        <v>6.6662999999999997</v>
      </c>
      <c r="F279">
        <v>413105.98</v>
      </c>
      <c r="G279">
        <v>0</v>
      </c>
      <c r="L279" t="s">
        <v>8</v>
      </c>
      <c r="M279" t="s">
        <v>8</v>
      </c>
      <c r="N279" t="s">
        <v>7</v>
      </c>
      <c r="P279">
        <f t="shared" si="965"/>
        <v>0.18704878582367007</v>
      </c>
      <c r="Q279">
        <f t="shared" si="966"/>
        <v>77270.971975497334</v>
      </c>
      <c r="R279">
        <f t="shared" si="967"/>
        <v>55046102.253236502</v>
      </c>
      <c r="S279">
        <f t="shared" si="968"/>
        <v>550.46102253236506</v>
      </c>
      <c r="T279">
        <f t="shared" si="969"/>
        <v>0.55046102253236506</v>
      </c>
    </row>
    <row r="280" spans="1:20" x14ac:dyDescent="0.25">
      <c r="A280" s="5">
        <v>44313</v>
      </c>
      <c r="B280">
        <v>6.4292999999999996</v>
      </c>
      <c r="C280">
        <v>6.7057000000000002</v>
      </c>
      <c r="D280">
        <v>6.3550000000000004</v>
      </c>
      <c r="E280">
        <v>6.6997999999999998</v>
      </c>
      <c r="F280">
        <v>444081.79</v>
      </c>
      <c r="G280">
        <v>0</v>
      </c>
      <c r="L280" t="s">
        <v>8</v>
      </c>
      <c r="M280" t="s">
        <v>8</v>
      </c>
      <c r="N280" t="s">
        <v>7</v>
      </c>
      <c r="P280">
        <f t="shared" si="965"/>
        <v>0.96635300826917325</v>
      </c>
      <c r="Q280">
        <f t="shared" si="966"/>
        <v>429139.77368405921</v>
      </c>
      <c r="R280">
        <f t="shared" si="967"/>
        <v>54968831.281261005</v>
      </c>
      <c r="S280">
        <f t="shared" si="968"/>
        <v>549.68831281261009</v>
      </c>
      <c r="T280">
        <f t="shared" si="969"/>
        <v>0.5496883128126101</v>
      </c>
    </row>
    <row r="281" spans="1:20" x14ac:dyDescent="0.25">
      <c r="A281" s="5">
        <v>44312</v>
      </c>
      <c r="B281">
        <v>5.7775999999999996</v>
      </c>
      <c r="C281">
        <v>6.4371999999999998</v>
      </c>
      <c r="D281">
        <v>5.7495000000000003</v>
      </c>
      <c r="E281">
        <v>6.4227999999999996</v>
      </c>
      <c r="F281">
        <v>512695.32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0.95812127381125434</v>
      </c>
      <c r="Q281">
        <f t="shared" si="966"/>
        <v>491224.29307546868</v>
      </c>
      <c r="R281">
        <f t="shared" si="967"/>
        <v>54539691.507576942</v>
      </c>
      <c r="S281">
        <f t="shared" si="968"/>
        <v>545.39691507576947</v>
      </c>
      <c r="T281">
        <f t="shared" si="969"/>
        <v>0.54539691507576948</v>
      </c>
    </row>
    <row r="282" spans="1:20" x14ac:dyDescent="0.25">
      <c r="A282" s="5">
        <v>44311</v>
      </c>
      <c r="B282">
        <v>5.8787000000000003</v>
      </c>
      <c r="C282">
        <v>6.0461999999999998</v>
      </c>
      <c r="D282">
        <v>5.4813000000000001</v>
      </c>
      <c r="E282">
        <v>5.7766000000000002</v>
      </c>
      <c r="F282">
        <v>655312.43999999994</v>
      </c>
      <c r="G282">
        <v>0</v>
      </c>
      <c r="L282" t="s">
        <v>7</v>
      </c>
      <c r="M282" t="s">
        <v>7</v>
      </c>
      <c r="N282" t="s">
        <v>7</v>
      </c>
      <c r="P282">
        <f t="shared" si="965"/>
        <v>4.5494777836786175E-2</v>
      </c>
      <c r="Q282">
        <f t="shared" si="966"/>
        <v>29813.293871482267</v>
      </c>
      <c r="R282">
        <f t="shared" si="967"/>
        <v>54048467.21450147</v>
      </c>
      <c r="S282">
        <f t="shared" si="968"/>
        <v>540.48467214501466</v>
      </c>
      <c r="T282">
        <f t="shared" si="969"/>
        <v>0.54048467214501461</v>
      </c>
    </row>
    <row r="283" spans="1:20" x14ac:dyDescent="0.25">
      <c r="A283" s="5">
        <v>44310</v>
      </c>
      <c r="B283">
        <v>6.3174000000000001</v>
      </c>
      <c r="C283">
        <v>6.3369999999999997</v>
      </c>
      <c r="D283">
        <v>5.7889999999999997</v>
      </c>
      <c r="E283">
        <v>5.8747999999999996</v>
      </c>
      <c r="F283">
        <v>581662.26</v>
      </c>
      <c r="G283">
        <v>0</v>
      </c>
      <c r="L283" t="s">
        <v>8</v>
      </c>
      <c r="M283" t="s">
        <v>7</v>
      </c>
      <c r="N283" t="s">
        <v>7</v>
      </c>
      <c r="P283">
        <f t="shared" si="965"/>
        <v>-0.6868613138686136</v>
      </c>
      <c r="Q283">
        <f t="shared" si="966"/>
        <v>-399521.30413138715</v>
      </c>
      <c r="R283">
        <f t="shared" si="967"/>
        <v>54018653.920629986</v>
      </c>
      <c r="S283">
        <f t="shared" si="968"/>
        <v>540.18653920629981</v>
      </c>
      <c r="T283">
        <f t="shared" si="969"/>
        <v>0.54018653920629978</v>
      </c>
    </row>
    <row r="284" spans="1:20" x14ac:dyDescent="0.25">
      <c r="A284" s="5">
        <v>44309</v>
      </c>
      <c r="B284">
        <v>6.3784000000000001</v>
      </c>
      <c r="C284">
        <v>6.5255000000000001</v>
      </c>
      <c r="D284">
        <v>5.6032999999999999</v>
      </c>
      <c r="E284">
        <v>6.3102</v>
      </c>
      <c r="F284">
        <v>927155.72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0.53307308609846016</v>
      </c>
      <c r="Q284">
        <f t="shared" si="966"/>
        <v>494241.76095423981</v>
      </c>
      <c r="R284">
        <f t="shared" si="967"/>
        <v>54418175.224761374</v>
      </c>
      <c r="S284">
        <f t="shared" si="968"/>
        <v>544.18175224761376</v>
      </c>
      <c r="T284">
        <f t="shared" si="969"/>
        <v>0.54418175224761378</v>
      </c>
    </row>
    <row r="285" spans="1:20" x14ac:dyDescent="0.25">
      <c r="A285" s="5">
        <v>44308</v>
      </c>
      <c r="B285">
        <v>6.6006999999999998</v>
      </c>
      <c r="C285">
        <v>7.1326000000000001</v>
      </c>
      <c r="D285">
        <v>6.2412999999999998</v>
      </c>
      <c r="E285">
        <v>6.3860000000000001</v>
      </c>
      <c r="F285">
        <v>1170671.07</v>
      </c>
      <c r="G285">
        <v>0</v>
      </c>
      <c r="L285" t="s">
        <v>8</v>
      </c>
      <c r="M285" t="s">
        <v>7</v>
      </c>
      <c r="N285" t="s">
        <v>7</v>
      </c>
      <c r="P285">
        <f t="shared" si="965"/>
        <v>-0.67530573319869802</v>
      </c>
      <c r="Q285">
        <f t="shared" si="966"/>
        <v>-790560.88526085438</v>
      </c>
      <c r="R285">
        <f t="shared" si="967"/>
        <v>53923933.463807136</v>
      </c>
      <c r="S285">
        <f t="shared" si="968"/>
        <v>539.23933463807134</v>
      </c>
      <c r="T285">
        <f t="shared" si="969"/>
        <v>0.53923933463807139</v>
      </c>
    </row>
    <row r="286" spans="1:20" x14ac:dyDescent="0.25">
      <c r="A286" s="5">
        <v>44307</v>
      </c>
      <c r="B286">
        <v>6.7885999999999997</v>
      </c>
      <c r="C286">
        <v>6.9595000000000002</v>
      </c>
      <c r="D286">
        <v>6.4462999999999999</v>
      </c>
      <c r="E286">
        <v>6.5987999999999998</v>
      </c>
      <c r="F286">
        <v>520291.92</v>
      </c>
      <c r="G286">
        <v>0</v>
      </c>
      <c r="L286" t="s">
        <v>8</v>
      </c>
      <c r="M286" t="s">
        <v>7</v>
      </c>
      <c r="N286" t="s">
        <v>7</v>
      </c>
      <c r="P286">
        <f t="shared" si="965"/>
        <v>-0.40568978955572971</v>
      </c>
      <c r="Q286">
        <f t="shared" si="966"/>
        <v>-211077.11953234655</v>
      </c>
      <c r="R286">
        <f t="shared" si="967"/>
        <v>54714494.349067993</v>
      </c>
      <c r="S286">
        <f t="shared" si="968"/>
        <v>547.14494349067991</v>
      </c>
      <c r="T286">
        <f t="shared" si="969"/>
        <v>0.54714494349067988</v>
      </c>
    </row>
    <row r="287" spans="1:20" x14ac:dyDescent="0.25">
      <c r="A287" s="5">
        <v>44306</v>
      </c>
      <c r="B287">
        <v>6.5686999999999998</v>
      </c>
      <c r="C287">
        <v>6.8630000000000004</v>
      </c>
      <c r="D287">
        <v>6.1271000000000004</v>
      </c>
      <c r="E287">
        <v>6.7877000000000001</v>
      </c>
      <c r="F287">
        <v>758622.44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0.79535262943334595</v>
      </c>
      <c r="Q287">
        <f t="shared" si="966"/>
        <v>603372.35240114073</v>
      </c>
      <c r="R287">
        <f t="shared" si="967"/>
        <v>54925571.46860034</v>
      </c>
      <c r="S287">
        <f t="shared" si="968"/>
        <v>549.25571468600344</v>
      </c>
      <c r="T287">
        <f t="shared" si="969"/>
        <v>0.54925571468600343</v>
      </c>
    </row>
    <row r="288" spans="1:20" x14ac:dyDescent="0.25">
      <c r="A288" s="5">
        <v>44305</v>
      </c>
      <c r="B288">
        <v>6.9863</v>
      </c>
      <c r="C288">
        <v>7.3028000000000004</v>
      </c>
      <c r="D288">
        <v>6.3784000000000001</v>
      </c>
      <c r="E288">
        <v>6.5686999999999998</v>
      </c>
      <c r="F288">
        <v>1210225.43</v>
      </c>
      <c r="G288">
        <v>0</v>
      </c>
      <c r="L288" t="s">
        <v>8</v>
      </c>
      <c r="M288" t="s">
        <v>7</v>
      </c>
      <c r="N288" t="s">
        <v>7</v>
      </c>
      <c r="P288">
        <f t="shared" si="965"/>
        <v>-0.58827347468628377</v>
      </c>
      <c r="Q288">
        <f t="shared" si="966"/>
        <v>-711943.51885980181</v>
      </c>
      <c r="R288">
        <f t="shared" si="967"/>
        <v>54322199.116199203</v>
      </c>
      <c r="S288">
        <f t="shared" si="968"/>
        <v>543.22199116199204</v>
      </c>
      <c r="T288">
        <f t="shared" si="969"/>
        <v>0.54322199116199199</v>
      </c>
    </row>
    <row r="289" spans="1:20" x14ac:dyDescent="0.25">
      <c r="A289" s="5">
        <v>44304</v>
      </c>
      <c r="B289">
        <v>7.4324000000000003</v>
      </c>
      <c r="C289">
        <v>7.5096999999999996</v>
      </c>
      <c r="D289">
        <v>6.1345999999999998</v>
      </c>
      <c r="E289">
        <v>6.9889999999999999</v>
      </c>
      <c r="F289">
        <v>1352880.66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0.24267326012653653</v>
      </c>
      <c r="Q289">
        <f t="shared" si="966"/>
        <v>328307.96032434038</v>
      </c>
      <c r="R289">
        <f t="shared" si="967"/>
        <v>55034142.635059007</v>
      </c>
      <c r="S289">
        <f t="shared" si="968"/>
        <v>550.34142635059004</v>
      </c>
      <c r="T289">
        <f t="shared" si="969"/>
        <v>0.55034142635059002</v>
      </c>
    </row>
    <row r="290" spans="1:20" x14ac:dyDescent="0.25">
      <c r="A290" s="5">
        <v>44303</v>
      </c>
      <c r="B290">
        <v>7.7831999999999999</v>
      </c>
      <c r="C290">
        <v>7.9884000000000004</v>
      </c>
      <c r="D290">
        <v>7.4097999999999997</v>
      </c>
      <c r="E290">
        <v>7.4324000000000003</v>
      </c>
      <c r="F290">
        <v>833201.43</v>
      </c>
      <c r="G290">
        <v>0</v>
      </c>
      <c r="L290" t="s">
        <v>8</v>
      </c>
      <c r="M290" t="s">
        <v>8</v>
      </c>
      <c r="N290" t="s">
        <v>7</v>
      </c>
      <c r="P290">
        <f t="shared" si="965"/>
        <v>-0.9218804009678514</v>
      </c>
      <c r="Q290">
        <f t="shared" si="966"/>
        <v>-768112.06837538723</v>
      </c>
      <c r="R290">
        <f t="shared" si="967"/>
        <v>54705834.674734667</v>
      </c>
      <c r="S290">
        <f t="shared" si="968"/>
        <v>547.05834674734672</v>
      </c>
      <c r="T290">
        <f t="shared" si="969"/>
        <v>0.54705834674734677</v>
      </c>
    </row>
    <row r="291" spans="1:20" x14ac:dyDescent="0.25">
      <c r="A291" s="5">
        <v>44302</v>
      </c>
      <c r="B291">
        <v>8.0784000000000002</v>
      </c>
      <c r="C291">
        <v>8.1999999999999993</v>
      </c>
      <c r="D291">
        <v>7.3655999999999997</v>
      </c>
      <c r="E291">
        <v>7.7732000000000001</v>
      </c>
      <c r="F291">
        <v>1439255.38</v>
      </c>
      <c r="G291">
        <v>0</v>
      </c>
      <c r="L291" t="s">
        <v>7</v>
      </c>
      <c r="M291" t="s">
        <v>8</v>
      </c>
      <c r="N291" t="s">
        <v>7</v>
      </c>
      <c r="P291">
        <f t="shared" si="965"/>
        <v>-2.301054650047793E-2</v>
      </c>
      <c r="Q291">
        <f t="shared" si="966"/>
        <v>-33118.05284755303</v>
      </c>
      <c r="R291">
        <f t="shared" si="967"/>
        <v>55473946.743110053</v>
      </c>
      <c r="S291">
        <f t="shared" si="968"/>
        <v>554.73946743110048</v>
      </c>
      <c r="T291">
        <f t="shared" si="969"/>
        <v>0.55473946743110047</v>
      </c>
    </row>
    <row r="292" spans="1:20" x14ac:dyDescent="0.25">
      <c r="A292" s="5">
        <v>44301</v>
      </c>
      <c r="B292">
        <v>7.5648999999999997</v>
      </c>
      <c r="C292">
        <v>8.19</v>
      </c>
      <c r="D292">
        <v>7.4461000000000004</v>
      </c>
      <c r="E292">
        <v>8.0777999999999999</v>
      </c>
      <c r="F292">
        <v>2938738.67</v>
      </c>
      <c r="G292">
        <v>0</v>
      </c>
      <c r="L292" t="s">
        <v>8</v>
      </c>
      <c r="M292" t="s">
        <v>8</v>
      </c>
      <c r="N292" t="s">
        <v>7</v>
      </c>
      <c r="P292">
        <f t="shared" si="965"/>
        <v>0.69834655195590867</v>
      </c>
      <c r="Q292">
        <f t="shared" si="966"/>
        <v>2052258.0172939929</v>
      </c>
      <c r="R292">
        <f t="shared" si="967"/>
        <v>55507064.795957603</v>
      </c>
      <c r="S292">
        <f t="shared" si="968"/>
        <v>555.07064795957604</v>
      </c>
      <c r="T292">
        <f t="shared" si="969"/>
        <v>0.55507064795957606</v>
      </c>
    </row>
    <row r="293" spans="1:20" x14ac:dyDescent="0.25">
      <c r="A293" s="5">
        <v>44300</v>
      </c>
      <c r="B293">
        <v>7.1816000000000004</v>
      </c>
      <c r="C293">
        <v>7.7066999999999997</v>
      </c>
      <c r="D293">
        <v>7.0076999999999998</v>
      </c>
      <c r="E293">
        <v>7.5787000000000004</v>
      </c>
      <c r="F293">
        <v>1338152.54</v>
      </c>
      <c r="G293">
        <v>0</v>
      </c>
      <c r="L293" t="s">
        <v>8</v>
      </c>
      <c r="M293" t="s">
        <v>8</v>
      </c>
      <c r="N293" t="s">
        <v>7</v>
      </c>
      <c r="P293">
        <f t="shared" si="965"/>
        <v>0.63376251788269167</v>
      </c>
      <c r="Q293">
        <f t="shared" si="966"/>
        <v>848070.92306151928</v>
      </c>
      <c r="R293">
        <f t="shared" si="967"/>
        <v>53454806.778663613</v>
      </c>
      <c r="S293">
        <f t="shared" si="968"/>
        <v>534.54806778663612</v>
      </c>
      <c r="T293">
        <f t="shared" si="969"/>
        <v>0.53454806778663611</v>
      </c>
    </row>
    <row r="294" spans="1:20" x14ac:dyDescent="0.25">
      <c r="A294" s="5">
        <v>44299</v>
      </c>
      <c r="B294">
        <v>6.9414999999999996</v>
      </c>
      <c r="C294">
        <v>7.2988999999999997</v>
      </c>
      <c r="D294">
        <v>6.8806000000000003</v>
      </c>
      <c r="E294">
        <v>7.1773999999999996</v>
      </c>
      <c r="F294">
        <v>957269.59</v>
      </c>
      <c r="G294">
        <v>0</v>
      </c>
      <c r="L294" t="s">
        <v>8</v>
      </c>
      <c r="M294" t="s">
        <v>8</v>
      </c>
      <c r="N294" t="s">
        <v>7</v>
      </c>
      <c r="P294">
        <f t="shared" si="965"/>
        <v>0.41907721730815051</v>
      </c>
      <c r="Q294">
        <f t="shared" si="966"/>
        <v>401169.87599091412</v>
      </c>
      <c r="R294">
        <f t="shared" si="967"/>
        <v>52606735.855602093</v>
      </c>
      <c r="S294">
        <f t="shared" si="968"/>
        <v>526.06735855602096</v>
      </c>
      <c r="T294">
        <f t="shared" si="969"/>
        <v>0.52606735855602094</v>
      </c>
    </row>
    <row r="295" spans="1:20" x14ac:dyDescent="0.25">
      <c r="A295" s="5">
        <v>44298</v>
      </c>
      <c r="B295">
        <v>7.0902000000000003</v>
      </c>
      <c r="C295">
        <v>7.1146000000000003</v>
      </c>
      <c r="D295">
        <v>6.8221999999999996</v>
      </c>
      <c r="E295">
        <v>6.9397000000000002</v>
      </c>
      <c r="F295">
        <v>596016.13</v>
      </c>
      <c r="G295">
        <v>0</v>
      </c>
      <c r="L295" t="s">
        <v>7</v>
      </c>
      <c r="M295" t="s">
        <v>8</v>
      </c>
      <c r="N295" t="s">
        <v>7</v>
      </c>
      <c r="P295">
        <f t="shared" si="965"/>
        <v>-0.19630642954856128</v>
      </c>
      <c r="Q295">
        <f t="shared" si="966"/>
        <v>-117001.79843365114</v>
      </c>
      <c r="R295">
        <f t="shared" si="967"/>
        <v>52205565.979611181</v>
      </c>
      <c r="S295">
        <f t="shared" si="968"/>
        <v>522.05565979611185</v>
      </c>
      <c r="T295">
        <f t="shared" si="969"/>
        <v>0.5220556597961119</v>
      </c>
    </row>
    <row r="296" spans="1:20" x14ac:dyDescent="0.25">
      <c r="A296" s="5">
        <v>44297</v>
      </c>
      <c r="B296">
        <v>7.1401000000000003</v>
      </c>
      <c r="C296">
        <v>7.3998999999999997</v>
      </c>
      <c r="D296">
        <v>7.0008999999999997</v>
      </c>
      <c r="E296">
        <v>7.0895999999999999</v>
      </c>
      <c r="F296">
        <v>470259.83</v>
      </c>
      <c r="G296">
        <v>0</v>
      </c>
      <c r="L296" t="s">
        <v>8</v>
      </c>
      <c r="M296" t="s">
        <v>8</v>
      </c>
      <c r="N296" t="s">
        <v>7</v>
      </c>
      <c r="P296">
        <f t="shared" si="965"/>
        <v>-0.55538847117794377</v>
      </c>
      <c r="Q296">
        <f t="shared" si="966"/>
        <v>-261176.88804009973</v>
      </c>
      <c r="R296">
        <f t="shared" si="967"/>
        <v>52322567.778044835</v>
      </c>
      <c r="S296">
        <f t="shared" si="968"/>
        <v>523.22567778044834</v>
      </c>
      <c r="T296">
        <f t="shared" si="969"/>
        <v>0.52322567778044837</v>
      </c>
    </row>
    <row r="297" spans="1:20" x14ac:dyDescent="0.25">
      <c r="A297" s="5">
        <v>44296</v>
      </c>
      <c r="B297">
        <v>7.2340999999999998</v>
      </c>
      <c r="C297">
        <v>7.4549000000000003</v>
      </c>
      <c r="D297">
        <v>6.9593999999999996</v>
      </c>
      <c r="E297">
        <v>7.1306000000000003</v>
      </c>
      <c r="F297">
        <v>712046.38</v>
      </c>
      <c r="G297">
        <v>0</v>
      </c>
      <c r="L297" t="s">
        <v>7</v>
      </c>
      <c r="M297" t="s">
        <v>8</v>
      </c>
      <c r="N297" t="s">
        <v>7</v>
      </c>
      <c r="P297">
        <f t="shared" si="965"/>
        <v>-0.30898082744702143</v>
      </c>
      <c r="Q297">
        <f t="shared" si="966"/>
        <v>-220008.67967305626</v>
      </c>
      <c r="R297">
        <f t="shared" si="967"/>
        <v>52583744.666084938</v>
      </c>
      <c r="S297">
        <f t="shared" si="968"/>
        <v>525.83744666084942</v>
      </c>
      <c r="T297">
        <f t="shared" si="969"/>
        <v>0.52583744666084942</v>
      </c>
    </row>
    <row r="298" spans="1:20" x14ac:dyDescent="0.25">
      <c r="A298" s="5">
        <v>44295</v>
      </c>
      <c r="B298">
        <v>7.3821000000000003</v>
      </c>
      <c r="C298">
        <v>7.4798999999999998</v>
      </c>
      <c r="D298">
        <v>7.1696999999999997</v>
      </c>
      <c r="E298">
        <v>7.2222999999999997</v>
      </c>
      <c r="F298">
        <v>508553.52</v>
      </c>
      <c r="G298">
        <v>0</v>
      </c>
      <c r="L298" t="s">
        <v>8</v>
      </c>
      <c r="M298" t="s">
        <v>8</v>
      </c>
      <c r="N298" t="s">
        <v>7</v>
      </c>
      <c r="P298">
        <f t="shared" si="965"/>
        <v>-0.66086395873629933</v>
      </c>
      <c r="Q298">
        <f t="shared" si="966"/>
        <v>-336084.69245647977</v>
      </c>
      <c r="R298">
        <f t="shared" si="967"/>
        <v>52803753.345757991</v>
      </c>
      <c r="S298">
        <f t="shared" si="968"/>
        <v>528.03753345757991</v>
      </c>
      <c r="T298">
        <f t="shared" si="969"/>
        <v>0.52803753345757987</v>
      </c>
    </row>
    <row r="299" spans="1:20" x14ac:dyDescent="0.25">
      <c r="A299" s="5">
        <v>44294</v>
      </c>
      <c r="B299">
        <v>7.0640000000000001</v>
      </c>
      <c r="C299">
        <v>7.4218000000000002</v>
      </c>
      <c r="D299">
        <v>7.0164999999999997</v>
      </c>
      <c r="E299">
        <v>7.391</v>
      </c>
      <c r="F299">
        <v>456097.05</v>
      </c>
      <c r="G299">
        <v>0</v>
      </c>
      <c r="L299" t="s">
        <v>8</v>
      </c>
      <c r="M299" t="s">
        <v>8</v>
      </c>
      <c r="N299" t="s">
        <v>7</v>
      </c>
      <c r="P299">
        <f t="shared" si="965"/>
        <v>0.84801381692573341</v>
      </c>
      <c r="Q299">
        <f t="shared" si="966"/>
        <v>386776.60025906708</v>
      </c>
      <c r="R299">
        <f t="shared" si="967"/>
        <v>53139838.038214467</v>
      </c>
      <c r="S299">
        <f t="shared" si="968"/>
        <v>531.39838038214464</v>
      </c>
      <c r="T299">
        <f t="shared" si="969"/>
        <v>0.5313983803821446</v>
      </c>
    </row>
    <row r="300" spans="1:20" x14ac:dyDescent="0.25">
      <c r="A300" s="5">
        <v>44293</v>
      </c>
      <c r="B300">
        <v>7.6703999999999999</v>
      </c>
      <c r="C300">
        <v>7.7275999999999998</v>
      </c>
      <c r="D300">
        <v>6.9337999999999997</v>
      </c>
      <c r="E300">
        <v>7.0598999999999998</v>
      </c>
      <c r="F300">
        <v>765927.46</v>
      </c>
      <c r="G300">
        <v>0</v>
      </c>
      <c r="L300" t="s">
        <v>7</v>
      </c>
      <c r="M300" t="s">
        <v>8</v>
      </c>
      <c r="N300" t="s">
        <v>7</v>
      </c>
      <c r="P300">
        <f t="shared" si="965"/>
        <v>-0.68228772990677733</v>
      </c>
      <c r="Q300">
        <f t="shared" si="966"/>
        <v>-522582.90795666398</v>
      </c>
      <c r="R300">
        <f t="shared" si="967"/>
        <v>52753061.437955402</v>
      </c>
      <c r="S300">
        <f t="shared" si="968"/>
        <v>527.53061437955398</v>
      </c>
      <c r="T300">
        <f t="shared" si="969"/>
        <v>0.52753061437955395</v>
      </c>
    </row>
    <row r="301" spans="1:20" x14ac:dyDescent="0.25">
      <c r="A301" s="5">
        <v>44292</v>
      </c>
      <c r="B301">
        <v>7.6948999999999996</v>
      </c>
      <c r="C301">
        <v>7.85</v>
      </c>
      <c r="D301">
        <v>7.5021000000000004</v>
      </c>
      <c r="E301">
        <v>7.6917</v>
      </c>
      <c r="F301">
        <v>806207.98</v>
      </c>
      <c r="G301">
        <v>0</v>
      </c>
      <c r="L301" t="s">
        <v>8</v>
      </c>
      <c r="M301" t="s">
        <v>8</v>
      </c>
      <c r="N301" t="s">
        <v>7</v>
      </c>
      <c r="P301">
        <f t="shared" si="965"/>
        <v>8.9968381718884605E-2</v>
      </c>
      <c r="Q301">
        <f t="shared" si="966"/>
        <v>72533.227289450879</v>
      </c>
      <c r="R301">
        <f t="shared" si="967"/>
        <v>53275644.345912069</v>
      </c>
      <c r="S301">
        <f t="shared" si="968"/>
        <v>532.75644345912065</v>
      </c>
      <c r="T301">
        <f t="shared" si="969"/>
        <v>0.53275644345912065</v>
      </c>
    </row>
    <row r="302" spans="1:20" x14ac:dyDescent="0.25">
      <c r="A302" s="5">
        <v>44291</v>
      </c>
      <c r="B302">
        <v>7.5872999999999999</v>
      </c>
      <c r="C302">
        <v>7.7179000000000002</v>
      </c>
      <c r="D302">
        <v>7.2972000000000001</v>
      </c>
      <c r="E302">
        <v>7.6757</v>
      </c>
      <c r="F302">
        <v>655581.56999999995</v>
      </c>
      <c r="G302">
        <v>0</v>
      </c>
      <c r="L302" t="s">
        <v>8</v>
      </c>
      <c r="M302" t="s">
        <v>8</v>
      </c>
      <c r="N302" t="s">
        <v>7</v>
      </c>
      <c r="P302">
        <f t="shared" si="965"/>
        <v>0.79938198241026748</v>
      </c>
      <c r="Q302">
        <f t="shared" si="966"/>
        <v>524060.09505823551</v>
      </c>
      <c r="R302">
        <f t="shared" si="967"/>
        <v>53203111.118622616</v>
      </c>
      <c r="S302">
        <f t="shared" si="968"/>
        <v>532.03111118622621</v>
      </c>
      <c r="T302">
        <f t="shared" si="969"/>
        <v>0.53203111118622626</v>
      </c>
    </row>
    <row r="303" spans="1:20" x14ac:dyDescent="0.25">
      <c r="A303" s="5">
        <v>44290</v>
      </c>
      <c r="B303">
        <v>7.3433999999999999</v>
      </c>
      <c r="C303">
        <v>7.6228999999999996</v>
      </c>
      <c r="D303">
        <v>7.1786000000000003</v>
      </c>
      <c r="E303">
        <v>7.59</v>
      </c>
      <c r="F303">
        <v>562502.79</v>
      </c>
      <c r="G303">
        <v>0</v>
      </c>
      <c r="L303" t="s">
        <v>7</v>
      </c>
      <c r="M303" t="s">
        <v>8</v>
      </c>
      <c r="N303" t="s">
        <v>7</v>
      </c>
      <c r="P303">
        <f t="shared" si="965"/>
        <v>0.85190186810713586</v>
      </c>
      <c r="Q303">
        <f t="shared" si="966"/>
        <v>479197.17761647596</v>
      </c>
      <c r="R303">
        <f t="shared" si="967"/>
        <v>52679051.023564383</v>
      </c>
      <c r="S303">
        <f t="shared" si="968"/>
        <v>526.79051023564386</v>
      </c>
      <c r="T303">
        <f t="shared" si="969"/>
        <v>0.52679051023564383</v>
      </c>
    </row>
    <row r="304" spans="1:20" x14ac:dyDescent="0.25">
      <c r="A304" s="5">
        <v>44289</v>
      </c>
      <c r="B304">
        <v>7.8997999999999999</v>
      </c>
      <c r="C304">
        <v>7.9729999999999999</v>
      </c>
      <c r="D304">
        <v>7.3000999999999996</v>
      </c>
      <c r="E304">
        <v>7.3578000000000001</v>
      </c>
      <c r="F304">
        <v>577514.32999999996</v>
      </c>
      <c r="G304">
        <v>0</v>
      </c>
      <c r="L304" t="s">
        <v>7</v>
      </c>
      <c r="M304" t="s">
        <v>8</v>
      </c>
      <c r="N304" t="s">
        <v>7</v>
      </c>
      <c r="P304">
        <f t="shared" si="965"/>
        <v>-0.82850349234655818</v>
      </c>
      <c r="Q304">
        <f t="shared" si="966"/>
        <v>-478472.63928518264</v>
      </c>
      <c r="R304">
        <f t="shared" si="967"/>
        <v>52199853.845947906</v>
      </c>
      <c r="S304">
        <f t="shared" si="968"/>
        <v>521.99853845947905</v>
      </c>
      <c r="T304">
        <f t="shared" si="969"/>
        <v>0.52199853845947908</v>
      </c>
    </row>
    <row r="305" spans="1:20" x14ac:dyDescent="0.25">
      <c r="A305" s="5">
        <v>44288</v>
      </c>
      <c r="B305">
        <v>7.5692000000000004</v>
      </c>
      <c r="C305">
        <v>7.9249999999999998</v>
      </c>
      <c r="D305">
        <v>7.4061000000000003</v>
      </c>
      <c r="E305">
        <v>7.9005999999999998</v>
      </c>
      <c r="F305">
        <v>1100966.24</v>
      </c>
      <c r="G305">
        <v>0</v>
      </c>
      <c r="L305" t="s">
        <v>8</v>
      </c>
      <c r="M305" t="s">
        <v>8</v>
      </c>
      <c r="N305" t="s">
        <v>7</v>
      </c>
      <c r="P305">
        <f t="shared" si="965"/>
        <v>0.90595490460589712</v>
      </c>
      <c r="Q305">
        <f t="shared" si="966"/>
        <v>997425.76493351324</v>
      </c>
      <c r="R305">
        <f t="shared" si="967"/>
        <v>52678326.485233091</v>
      </c>
      <c r="S305">
        <f t="shared" si="968"/>
        <v>526.78326485233094</v>
      </c>
      <c r="T305">
        <f t="shared" si="969"/>
        <v>0.52678326485233096</v>
      </c>
    </row>
    <row r="306" spans="1:20" x14ac:dyDescent="0.25">
      <c r="A306" s="5">
        <v>44287</v>
      </c>
      <c r="B306">
        <v>7.4429999999999996</v>
      </c>
      <c r="C306">
        <v>7.6440000000000001</v>
      </c>
      <c r="D306">
        <v>7.34</v>
      </c>
      <c r="E306">
        <v>7.5548999999999999</v>
      </c>
      <c r="F306">
        <v>584966.32999999996</v>
      </c>
      <c r="G306">
        <v>0</v>
      </c>
      <c r="L306" t="s">
        <v>8</v>
      </c>
      <c r="M306" t="s">
        <v>7</v>
      </c>
      <c r="N306" t="s">
        <v>7</v>
      </c>
      <c r="P306">
        <f t="shared" si="965"/>
        <v>0.41381578947368353</v>
      </c>
      <c r="Q306">
        <f t="shared" si="966"/>
        <v>242068.30366447326</v>
      </c>
      <c r="R306">
        <f t="shared" si="967"/>
        <v>51680900.720299579</v>
      </c>
      <c r="S306">
        <f t="shared" si="968"/>
        <v>516.80900720299576</v>
      </c>
      <c r="T306">
        <f t="shared" si="969"/>
        <v>0.51680900720299572</v>
      </c>
    </row>
    <row r="307" spans="1:20" x14ac:dyDescent="0.25">
      <c r="A307" s="5">
        <v>44286</v>
      </c>
      <c r="B307">
        <v>7.3837999999999999</v>
      </c>
      <c r="C307">
        <v>7.54</v>
      </c>
      <c r="D307">
        <v>7.1143000000000001</v>
      </c>
      <c r="E307">
        <v>7.4349999999999996</v>
      </c>
      <c r="F307">
        <v>1245884.53</v>
      </c>
      <c r="G307">
        <v>0</v>
      </c>
      <c r="L307" t="s">
        <v>8</v>
      </c>
      <c r="M307" t="s">
        <v>7</v>
      </c>
      <c r="N307" t="s">
        <v>7</v>
      </c>
      <c r="P307">
        <f t="shared" si="965"/>
        <v>0.50669485553206284</v>
      </c>
      <c r="Q307">
        <f t="shared" si="966"/>
        <v>631283.28193798207</v>
      </c>
      <c r="R307">
        <f t="shared" si="967"/>
        <v>51438832.416635104</v>
      </c>
      <c r="S307">
        <f t="shared" si="968"/>
        <v>514.38832416635103</v>
      </c>
      <c r="T307">
        <f t="shared" si="969"/>
        <v>0.51438832416635105</v>
      </c>
    </row>
    <row r="308" spans="1:20" x14ac:dyDescent="0.25">
      <c r="A308" s="5">
        <v>44285</v>
      </c>
      <c r="B308">
        <v>7.4466999999999999</v>
      </c>
      <c r="C308">
        <v>7.5164</v>
      </c>
      <c r="D308">
        <v>7.3055000000000003</v>
      </c>
      <c r="E308">
        <v>7.3838999999999997</v>
      </c>
      <c r="F308">
        <v>553048.65</v>
      </c>
      <c r="G308">
        <v>0</v>
      </c>
      <c r="L308" t="s">
        <v>8</v>
      </c>
      <c r="M308" t="s">
        <v>7</v>
      </c>
      <c r="N308" t="s">
        <v>7</v>
      </c>
      <c r="P308">
        <f t="shared" si="965"/>
        <v>-0.25651967757231398</v>
      </c>
      <c r="Q308">
        <f t="shared" si="966"/>
        <v>-141867.86137980354</v>
      </c>
      <c r="R308">
        <f t="shared" si="967"/>
        <v>50807549.134697124</v>
      </c>
      <c r="S308">
        <f t="shared" si="968"/>
        <v>508.07549134697126</v>
      </c>
      <c r="T308">
        <f t="shared" si="969"/>
        <v>0.50807549134697128</v>
      </c>
    </row>
    <row r="309" spans="1:20" x14ac:dyDescent="0.25">
      <c r="A309" s="5">
        <v>44284</v>
      </c>
      <c r="B309">
        <v>7.1421000000000001</v>
      </c>
      <c r="C309">
        <v>7.5262000000000002</v>
      </c>
      <c r="D309">
        <v>7.05</v>
      </c>
      <c r="E309">
        <v>7.4381000000000004</v>
      </c>
      <c r="F309">
        <v>643803.44999999995</v>
      </c>
      <c r="G309">
        <v>0</v>
      </c>
      <c r="L309" t="s">
        <v>8</v>
      </c>
      <c r="M309" t="s">
        <v>7</v>
      </c>
      <c r="N309" t="s">
        <v>7</v>
      </c>
      <c r="P309">
        <f t="shared" si="965"/>
        <v>0.62998740025199595</v>
      </c>
      <c r="Q309">
        <f t="shared" si="966"/>
        <v>405588.06173876586</v>
      </c>
      <c r="R309">
        <f t="shared" si="967"/>
        <v>50949416.996076927</v>
      </c>
      <c r="S309">
        <f t="shared" si="968"/>
        <v>509.49416996076928</v>
      </c>
      <c r="T309">
        <f t="shared" si="969"/>
        <v>0.50949416996076924</v>
      </c>
    </row>
    <row r="310" spans="1:20" x14ac:dyDescent="0.25">
      <c r="A310" s="5">
        <v>44283</v>
      </c>
      <c r="B310">
        <v>7.2069000000000001</v>
      </c>
      <c r="C310">
        <v>7.3217999999999996</v>
      </c>
      <c r="D310">
        <v>6.9653999999999998</v>
      </c>
      <c r="E310">
        <v>7.1421999999999999</v>
      </c>
      <c r="F310">
        <v>533722.6</v>
      </c>
      <c r="G310">
        <v>0</v>
      </c>
      <c r="L310" t="s">
        <v>8</v>
      </c>
      <c r="M310" t="s">
        <v>7</v>
      </c>
      <c r="N310" t="s">
        <v>7</v>
      </c>
      <c r="P310">
        <f t="shared" si="965"/>
        <v>-7.8563411896736615E-3</v>
      </c>
      <c r="Q310">
        <f t="shared" si="966"/>
        <v>-4193.1068462397197</v>
      </c>
      <c r="R310">
        <f t="shared" si="967"/>
        <v>50543828.93433816</v>
      </c>
      <c r="S310">
        <f t="shared" si="968"/>
        <v>505.4382893433816</v>
      </c>
      <c r="T310">
        <f t="shared" si="969"/>
        <v>0.50543828934338164</v>
      </c>
    </row>
    <row r="311" spans="1:20" x14ac:dyDescent="0.25">
      <c r="A311" s="5">
        <v>44282</v>
      </c>
      <c r="B311">
        <v>7.2827000000000002</v>
      </c>
      <c r="C311">
        <v>7.3373999999999997</v>
      </c>
      <c r="D311">
        <v>7.0235000000000003</v>
      </c>
      <c r="E311">
        <v>7.1955</v>
      </c>
      <c r="F311">
        <v>365921.55</v>
      </c>
      <c r="G311">
        <v>0</v>
      </c>
      <c r="L311" t="s">
        <v>8</v>
      </c>
      <c r="M311" t="s">
        <v>7</v>
      </c>
      <c r="N311" t="s">
        <v>7</v>
      </c>
      <c r="P311">
        <f t="shared" si="965"/>
        <v>9.589041095890434E-2</v>
      </c>
      <c r="Q311">
        <f t="shared" si="966"/>
        <v>35088.367808219264</v>
      </c>
      <c r="R311">
        <f t="shared" si="967"/>
        <v>50548022.041184403</v>
      </c>
      <c r="S311">
        <f t="shared" si="968"/>
        <v>505.48022041184402</v>
      </c>
      <c r="T311">
        <f t="shared" si="969"/>
        <v>0.50548022041184404</v>
      </c>
    </row>
    <row r="312" spans="1:20" x14ac:dyDescent="0.25">
      <c r="A312" s="5">
        <v>44281</v>
      </c>
      <c r="B312">
        <v>6.7750000000000004</v>
      </c>
      <c r="C312">
        <v>7.3</v>
      </c>
      <c r="D312">
        <v>6.7750000000000004</v>
      </c>
      <c r="E312">
        <v>7.2805999999999997</v>
      </c>
      <c r="F312">
        <v>400185.27</v>
      </c>
      <c r="G312">
        <v>0</v>
      </c>
      <c r="L312" t="s">
        <v>8</v>
      </c>
      <c r="M312" t="s">
        <v>7</v>
      </c>
      <c r="N312" t="s">
        <v>7</v>
      </c>
      <c r="P312">
        <f t="shared" si="965"/>
        <v>0.92609523809523775</v>
      </c>
      <c r="Q312">
        <f t="shared" si="966"/>
        <v>370609.67290285701</v>
      </c>
      <c r="R312">
        <f t="shared" si="967"/>
        <v>50512933.67337618</v>
      </c>
      <c r="S312">
        <f t="shared" si="968"/>
        <v>505.12933673376182</v>
      </c>
      <c r="T312">
        <f t="shared" si="969"/>
        <v>0.50512933673376181</v>
      </c>
    </row>
    <row r="313" spans="1:20" x14ac:dyDescent="0.25">
      <c r="A313" s="5">
        <v>44280</v>
      </c>
      <c r="B313">
        <v>6.8101000000000003</v>
      </c>
      <c r="C313">
        <v>6.9671000000000003</v>
      </c>
      <c r="D313">
        <v>6.6136999999999997</v>
      </c>
      <c r="E313">
        <v>6.7721999999999998</v>
      </c>
      <c r="F313">
        <v>835268.05</v>
      </c>
      <c r="G313">
        <v>0</v>
      </c>
      <c r="L313" t="s">
        <v>7</v>
      </c>
      <c r="M313" t="s">
        <v>7</v>
      </c>
      <c r="N313" t="s">
        <v>7</v>
      </c>
      <c r="P313">
        <f t="shared" si="965"/>
        <v>-0.10299943406904462</v>
      </c>
      <c r="Q313">
        <f t="shared" si="966"/>
        <v>-86032.136445954471</v>
      </c>
      <c r="R313">
        <f t="shared" si="967"/>
        <v>50142324.00047332</v>
      </c>
      <c r="S313">
        <f t="shared" si="968"/>
        <v>501.4232400047332</v>
      </c>
      <c r="T313">
        <f t="shared" si="969"/>
        <v>0.50142324000473315</v>
      </c>
    </row>
    <row r="314" spans="1:20" x14ac:dyDescent="0.25">
      <c r="A314" s="5">
        <v>44279</v>
      </c>
      <c r="B314">
        <v>7.3301999999999996</v>
      </c>
      <c r="C314">
        <v>7.59</v>
      </c>
      <c r="D314">
        <v>6.6607000000000003</v>
      </c>
      <c r="E314">
        <v>6.8125</v>
      </c>
      <c r="F314">
        <v>1055325.17</v>
      </c>
      <c r="G314">
        <v>0</v>
      </c>
      <c r="L314" t="s">
        <v>7</v>
      </c>
      <c r="M314" t="s">
        <v>7</v>
      </c>
      <c r="N314" t="s">
        <v>7</v>
      </c>
      <c r="P314">
        <f t="shared" si="965"/>
        <v>-0.67330248574195672</v>
      </c>
      <c r="Q314">
        <f t="shared" si="966"/>
        <v>-710553.06022705301</v>
      </c>
      <c r="R314">
        <f t="shared" si="967"/>
        <v>50228356.136919275</v>
      </c>
      <c r="S314">
        <f t="shared" si="968"/>
        <v>502.28356136919274</v>
      </c>
      <c r="T314">
        <f t="shared" si="969"/>
        <v>0.50228356136919272</v>
      </c>
    </row>
    <row r="315" spans="1:20" x14ac:dyDescent="0.25">
      <c r="A315" s="5">
        <v>44278</v>
      </c>
      <c r="B315">
        <v>7.4345999999999997</v>
      </c>
      <c r="C315">
        <v>7.5816999999999997</v>
      </c>
      <c r="D315">
        <v>7.2411000000000003</v>
      </c>
      <c r="E315">
        <v>7.3311000000000002</v>
      </c>
      <c r="F315">
        <v>683540.24</v>
      </c>
      <c r="G315">
        <v>0</v>
      </c>
      <c r="L315" t="s">
        <v>7</v>
      </c>
      <c r="M315" t="s">
        <v>7</v>
      </c>
      <c r="N315" t="s">
        <v>8</v>
      </c>
      <c r="P315">
        <f t="shared" si="965"/>
        <v>-0.47152084556664692</v>
      </c>
      <c r="Q315">
        <f t="shared" si="966"/>
        <v>-322303.47194362874</v>
      </c>
      <c r="R315">
        <f t="shared" si="967"/>
        <v>50938909.197146326</v>
      </c>
      <c r="S315">
        <f t="shared" si="968"/>
        <v>509.38909197146324</v>
      </c>
      <c r="T315">
        <f t="shared" si="969"/>
        <v>0.5093890919714632</v>
      </c>
    </row>
    <row r="316" spans="1:20" x14ac:dyDescent="0.25">
      <c r="A316" s="5">
        <v>44277</v>
      </c>
      <c r="B316">
        <v>8.0263000000000009</v>
      </c>
      <c r="C316">
        <v>8.1029999999999998</v>
      </c>
      <c r="D316">
        <v>7.3750999999999998</v>
      </c>
      <c r="E316">
        <v>7.4405999999999999</v>
      </c>
      <c r="F316">
        <v>1148493.02</v>
      </c>
      <c r="G316">
        <v>0</v>
      </c>
      <c r="L316" t="s">
        <v>7</v>
      </c>
      <c r="M316" t="s">
        <v>7</v>
      </c>
      <c r="N316" t="s">
        <v>8</v>
      </c>
      <c r="P316">
        <f t="shared" si="965"/>
        <v>-0.82003022393185843</v>
      </c>
      <c r="Q316">
        <f t="shared" si="966"/>
        <v>-941798.98837477632</v>
      </c>
      <c r="R316">
        <f t="shared" si="967"/>
        <v>51261212.669089958</v>
      </c>
      <c r="S316">
        <f t="shared" si="968"/>
        <v>512.61212669089957</v>
      </c>
      <c r="T316">
        <f t="shared" si="969"/>
        <v>0.51261212669089962</v>
      </c>
    </row>
    <row r="317" spans="1:20" x14ac:dyDescent="0.25">
      <c r="A317" s="5">
        <v>44276</v>
      </c>
      <c r="B317">
        <v>8.1941000000000006</v>
      </c>
      <c r="C317">
        <v>8.2794000000000008</v>
      </c>
      <c r="D317">
        <v>7.8197000000000001</v>
      </c>
      <c r="E317">
        <v>8.0263000000000009</v>
      </c>
      <c r="F317">
        <v>951938.22</v>
      </c>
      <c r="G317">
        <v>0</v>
      </c>
      <c r="L317" t="s">
        <v>7</v>
      </c>
      <c r="M317" t="s">
        <v>8</v>
      </c>
      <c r="N317" t="s">
        <v>8</v>
      </c>
      <c r="P317">
        <f t="shared" si="965"/>
        <v>-0.10115292582118562</v>
      </c>
      <c r="Q317">
        <f t="shared" si="966"/>
        <v>-96291.336154011486</v>
      </c>
      <c r="R317">
        <f t="shared" si="967"/>
        <v>52203011.657464735</v>
      </c>
      <c r="S317">
        <f t="shared" si="968"/>
        <v>522.03011657464731</v>
      </c>
      <c r="T317">
        <f t="shared" si="969"/>
        <v>0.52203011657464726</v>
      </c>
    </row>
    <row r="318" spans="1:20" x14ac:dyDescent="0.25">
      <c r="A318" s="5">
        <v>44275</v>
      </c>
      <c r="B318">
        <v>8.1456</v>
      </c>
      <c r="C318">
        <v>8.69</v>
      </c>
      <c r="D318">
        <v>8.0951000000000004</v>
      </c>
      <c r="E318">
        <v>8.1773000000000007</v>
      </c>
      <c r="F318">
        <v>1666712.24</v>
      </c>
      <c r="G318">
        <v>0</v>
      </c>
      <c r="L318" t="s">
        <v>8</v>
      </c>
      <c r="M318" t="s">
        <v>8</v>
      </c>
      <c r="N318" t="s">
        <v>8</v>
      </c>
      <c r="P318">
        <f t="shared" si="965"/>
        <v>-0.72365103378718976</v>
      </c>
      <c r="Q318">
        <f t="shared" si="966"/>
        <v>-1206118.0355017628</v>
      </c>
      <c r="R318">
        <f t="shared" si="967"/>
        <v>52299302.993618749</v>
      </c>
      <c r="S318">
        <f t="shared" si="968"/>
        <v>522.99302993618744</v>
      </c>
      <c r="T318">
        <f t="shared" si="969"/>
        <v>0.52299302993618746</v>
      </c>
    </row>
    <row r="319" spans="1:20" x14ac:dyDescent="0.25">
      <c r="A319" s="5">
        <v>44274</v>
      </c>
      <c r="B319">
        <v>7.7035999999999998</v>
      </c>
      <c r="C319">
        <v>8.2560000000000002</v>
      </c>
      <c r="D319">
        <v>7.5366999999999997</v>
      </c>
      <c r="E319">
        <v>8.1458999999999993</v>
      </c>
      <c r="F319">
        <v>1607414.29</v>
      </c>
      <c r="G319">
        <v>0</v>
      </c>
      <c r="L319" t="s">
        <v>7</v>
      </c>
      <c r="M319" t="s">
        <v>7</v>
      </c>
      <c r="N319" t="s">
        <v>8</v>
      </c>
      <c r="P319">
        <f t="shared" si="965"/>
        <v>0.69386903934380395</v>
      </c>
      <c r="Q319">
        <f t="shared" si="966"/>
        <v>1115335.0092298028</v>
      </c>
      <c r="R319">
        <f t="shared" si="967"/>
        <v>53505421.029120512</v>
      </c>
      <c r="S319">
        <f t="shared" si="968"/>
        <v>535.0542102912051</v>
      </c>
      <c r="T319">
        <f t="shared" si="969"/>
        <v>0.53505421029120515</v>
      </c>
    </row>
    <row r="320" spans="1:20" x14ac:dyDescent="0.25">
      <c r="A320" s="5">
        <v>44273</v>
      </c>
      <c r="B320">
        <v>7.8524000000000003</v>
      </c>
      <c r="C320">
        <v>8.1999999999999993</v>
      </c>
      <c r="D320">
        <v>7.6467999999999998</v>
      </c>
      <c r="E320">
        <v>7.7035999999999998</v>
      </c>
      <c r="F320">
        <v>1517809.44</v>
      </c>
      <c r="G320">
        <v>0</v>
      </c>
      <c r="L320" t="s">
        <v>8</v>
      </c>
      <c r="M320" t="s">
        <v>7</v>
      </c>
      <c r="N320" t="s">
        <v>8</v>
      </c>
      <c r="P320">
        <f t="shared" si="965"/>
        <v>-0.79464931308749087</v>
      </c>
      <c r="Q320">
        <f t="shared" si="966"/>
        <v>-1206126.2288937091</v>
      </c>
      <c r="R320">
        <f t="shared" si="967"/>
        <v>52390086.019890711</v>
      </c>
      <c r="S320">
        <f t="shared" si="968"/>
        <v>523.90086019890714</v>
      </c>
      <c r="T320">
        <f t="shared" si="969"/>
        <v>0.52390086019890714</v>
      </c>
    </row>
    <row r="321" spans="1:20" x14ac:dyDescent="0.25">
      <c r="A321" s="5">
        <v>44272</v>
      </c>
      <c r="B321">
        <v>7.5561999999999996</v>
      </c>
      <c r="C321">
        <v>7.9554</v>
      </c>
      <c r="D321">
        <v>7.2698</v>
      </c>
      <c r="E321">
        <v>7.85</v>
      </c>
      <c r="F321">
        <v>1134182.27</v>
      </c>
      <c r="G321">
        <v>0</v>
      </c>
      <c r="L321" t="s">
        <v>8</v>
      </c>
      <c r="M321" t="s">
        <v>7</v>
      </c>
      <c r="N321" t="s">
        <v>8</v>
      </c>
      <c r="P321">
        <f t="shared" si="965"/>
        <v>0.69253208868144578</v>
      </c>
      <c r="Q321">
        <f t="shared" si="966"/>
        <v>785457.61638856353</v>
      </c>
      <c r="R321">
        <f t="shared" si="967"/>
        <v>53596212.248784423</v>
      </c>
      <c r="S321">
        <f t="shared" si="968"/>
        <v>535.96212248784423</v>
      </c>
      <c r="T321">
        <f t="shared" si="969"/>
        <v>0.53596212248784425</v>
      </c>
    </row>
    <row r="322" spans="1:20" x14ac:dyDescent="0.25">
      <c r="A322" s="5">
        <v>44271</v>
      </c>
      <c r="B322">
        <v>7.6257000000000001</v>
      </c>
      <c r="C322">
        <v>8.08</v>
      </c>
      <c r="D322">
        <v>7.2279999999999998</v>
      </c>
      <c r="E322">
        <v>7.5416999999999996</v>
      </c>
      <c r="F322">
        <v>1127808.28</v>
      </c>
      <c r="G322">
        <v>0</v>
      </c>
      <c r="L322" t="s">
        <v>7</v>
      </c>
      <c r="M322" t="s">
        <v>7</v>
      </c>
      <c r="N322" t="s">
        <v>8</v>
      </c>
      <c r="P322">
        <f t="shared" si="965"/>
        <v>-0.26361502347417898</v>
      </c>
      <c r="Q322">
        <f t="shared" si="966"/>
        <v>-297307.20620657341</v>
      </c>
      <c r="R322">
        <f t="shared" si="967"/>
        <v>52810754.632395856</v>
      </c>
      <c r="S322">
        <f t="shared" si="968"/>
        <v>528.10754632395856</v>
      </c>
      <c r="T322">
        <f t="shared" si="969"/>
        <v>0.52810754632395851</v>
      </c>
    </row>
    <row r="323" spans="1:20" x14ac:dyDescent="0.25">
      <c r="A323" s="5">
        <v>44270</v>
      </c>
      <c r="B323">
        <v>7.8860999999999999</v>
      </c>
      <c r="C323">
        <v>8.2873000000000001</v>
      </c>
      <c r="D323">
        <v>7.4981999999999998</v>
      </c>
      <c r="E323">
        <v>7.6421999999999999</v>
      </c>
      <c r="F323">
        <v>1322057.03</v>
      </c>
      <c r="G323">
        <v>0</v>
      </c>
      <c r="L323" t="s">
        <v>7</v>
      </c>
      <c r="M323" t="s">
        <v>7</v>
      </c>
      <c r="N323" t="s">
        <v>8</v>
      </c>
      <c r="P323">
        <f t="shared" si="965"/>
        <v>-0.63502724622988194</v>
      </c>
      <c r="Q323">
        <f t="shared" si="966"/>
        <v>-839542.23511975643</v>
      </c>
      <c r="R323">
        <f t="shared" si="967"/>
        <v>53108061.838602431</v>
      </c>
      <c r="S323">
        <f t="shared" si="968"/>
        <v>531.0806183860243</v>
      </c>
      <c r="T323">
        <f t="shared" si="969"/>
        <v>0.53108061838602427</v>
      </c>
    </row>
    <row r="324" spans="1:20" x14ac:dyDescent="0.25">
      <c r="A324" s="5">
        <v>44269</v>
      </c>
      <c r="B324">
        <v>8.2195999999999998</v>
      </c>
      <c r="C324">
        <v>8.2994000000000003</v>
      </c>
      <c r="D324">
        <v>7.8197999999999999</v>
      </c>
      <c r="E324">
        <v>7.8860999999999999</v>
      </c>
      <c r="F324">
        <v>827112.79</v>
      </c>
      <c r="G324">
        <v>0</v>
      </c>
      <c r="L324" t="s">
        <v>8</v>
      </c>
      <c r="M324" t="s">
        <v>7</v>
      </c>
      <c r="N324" t="s">
        <v>8</v>
      </c>
      <c r="P324">
        <f t="shared" si="965"/>
        <v>-0.72351959966638879</v>
      </c>
      <c r="Q324">
        <f t="shared" si="966"/>
        <v>-598432.31469974993</v>
      </c>
      <c r="R324">
        <f t="shared" si="967"/>
        <v>53947604.073722191</v>
      </c>
      <c r="S324">
        <f t="shared" si="968"/>
        <v>539.47604073722187</v>
      </c>
      <c r="T324">
        <f t="shared" si="969"/>
        <v>0.53947604073722188</v>
      </c>
    </row>
    <row r="325" spans="1:20" x14ac:dyDescent="0.25">
      <c r="A325" s="5">
        <v>44268</v>
      </c>
      <c r="B325">
        <v>7.8140999999999998</v>
      </c>
      <c r="C325">
        <v>8.4</v>
      </c>
      <c r="D325">
        <v>7.5793999999999997</v>
      </c>
      <c r="E325">
        <v>8.2194000000000003</v>
      </c>
      <c r="F325">
        <v>1719377.26</v>
      </c>
      <c r="G325">
        <v>0</v>
      </c>
      <c r="L325" t="s">
        <v>7</v>
      </c>
      <c r="M325" t="s">
        <v>7</v>
      </c>
      <c r="N325" t="s">
        <v>8</v>
      </c>
      <c r="P325">
        <f t="shared" si="965"/>
        <v>0.55983426760906663</v>
      </c>
      <c r="Q325">
        <f t="shared" si="966"/>
        <v>962566.30909578374</v>
      </c>
      <c r="R325">
        <f t="shared" si="967"/>
        <v>54546036.388421938</v>
      </c>
      <c r="S325">
        <f t="shared" si="968"/>
        <v>545.46036388421942</v>
      </c>
      <c r="T325">
        <f t="shared" si="969"/>
        <v>0.54546036388421937</v>
      </c>
    </row>
    <row r="326" spans="1:20" x14ac:dyDescent="0.25">
      <c r="A326" s="5">
        <v>44267</v>
      </c>
      <c r="B326">
        <v>8.3506999999999998</v>
      </c>
      <c r="C326">
        <v>8.4860000000000007</v>
      </c>
      <c r="D326">
        <v>7.7220000000000004</v>
      </c>
      <c r="E326">
        <v>7.8208000000000002</v>
      </c>
      <c r="F326">
        <v>1834050.53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70">IF(C326=D326,0,((E326-D326)-(C326-E326))/(C326-D326))</f>
        <v>-0.74136125654450324</v>
      </c>
      <c r="Q326">
        <f t="shared" ref="Q326:Q389" si="971">F326*P326</f>
        <v>-1359694.0054869121</v>
      </c>
      <c r="R326">
        <f t="shared" ref="R326:R389" si="972">R327+Q326</f>
        <v>53583470.079326153</v>
      </c>
      <c r="S326">
        <f t="shared" ref="S326:S389" si="973">R326/100000</f>
        <v>535.8347007932615</v>
      </c>
      <c r="T326">
        <f t="shared" ref="T326:T389" si="974">S326/1000</f>
        <v>0.53583470079326145</v>
      </c>
    </row>
    <row r="327" spans="1:20" x14ac:dyDescent="0.25">
      <c r="A327" s="5">
        <v>44266</v>
      </c>
      <c r="B327">
        <v>8.5579999999999998</v>
      </c>
      <c r="C327">
        <v>8.6260999999999992</v>
      </c>
      <c r="D327">
        <v>8.1324000000000005</v>
      </c>
      <c r="E327">
        <v>8.3501999999999992</v>
      </c>
      <c r="F327">
        <v>1810175.25</v>
      </c>
      <c r="G327">
        <v>0</v>
      </c>
      <c r="L327" t="s">
        <v>7</v>
      </c>
      <c r="M327" t="s">
        <v>8</v>
      </c>
      <c r="N327" t="s">
        <v>8</v>
      </c>
      <c r="P327">
        <f t="shared" si="970"/>
        <v>-0.11768280332185847</v>
      </c>
      <c r="Q327">
        <f t="shared" si="971"/>
        <v>-213026.49792384598</v>
      </c>
      <c r="R327">
        <f t="shared" si="972"/>
        <v>54943164.084813066</v>
      </c>
      <c r="S327">
        <f t="shared" si="973"/>
        <v>549.43164084813066</v>
      </c>
      <c r="T327">
        <f t="shared" si="974"/>
        <v>0.54943164084813068</v>
      </c>
    </row>
    <row r="328" spans="1:20" x14ac:dyDescent="0.25">
      <c r="A328" s="5">
        <v>44265</v>
      </c>
      <c r="B328">
        <v>9.1146999999999991</v>
      </c>
      <c r="C328">
        <v>9.2217000000000002</v>
      </c>
      <c r="D328">
        <v>8.3841999999999999</v>
      </c>
      <c r="E328">
        <v>8.5821000000000005</v>
      </c>
      <c r="F328">
        <v>1890617.19</v>
      </c>
      <c r="G328">
        <v>0</v>
      </c>
      <c r="L328" t="s">
        <v>7</v>
      </c>
      <c r="M328" t="s">
        <v>8</v>
      </c>
      <c r="N328" t="s">
        <v>8</v>
      </c>
      <c r="P328">
        <f t="shared" si="970"/>
        <v>-0.52740298507462557</v>
      </c>
      <c r="Q328">
        <f t="shared" si="971"/>
        <v>-997117.14963940054</v>
      </c>
      <c r="R328">
        <f t="shared" si="972"/>
        <v>55156190.582736909</v>
      </c>
      <c r="S328">
        <f t="shared" si="973"/>
        <v>551.56190582736906</v>
      </c>
      <c r="T328">
        <f t="shared" si="974"/>
        <v>0.55156190582736908</v>
      </c>
    </row>
    <row r="329" spans="1:20" x14ac:dyDescent="0.25">
      <c r="A329" s="5">
        <v>44264</v>
      </c>
      <c r="B329">
        <v>9.1763999999999992</v>
      </c>
      <c r="C329">
        <v>9.3689</v>
      </c>
      <c r="D329">
        <v>8.9049999999999994</v>
      </c>
      <c r="E329">
        <v>9.0939999999999994</v>
      </c>
      <c r="F329">
        <v>2756810.53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-0.18516921750377324</v>
      </c>
      <c r="Q329">
        <f t="shared" si="971"/>
        <v>-510476.44864626235</v>
      </c>
      <c r="R329">
        <f t="shared" si="972"/>
        <v>56153307.732376307</v>
      </c>
      <c r="S329">
        <f t="shared" si="973"/>
        <v>561.53307732376311</v>
      </c>
      <c r="T329">
        <f t="shared" si="974"/>
        <v>0.56153307732376312</v>
      </c>
    </row>
    <row r="330" spans="1:20" x14ac:dyDescent="0.25">
      <c r="A330" s="5">
        <v>44263</v>
      </c>
      <c r="B330">
        <v>8.4617000000000004</v>
      </c>
      <c r="C330">
        <v>9.2301000000000002</v>
      </c>
      <c r="D330">
        <v>8.09</v>
      </c>
      <c r="E330">
        <v>9.1717999999999993</v>
      </c>
      <c r="F330">
        <v>4528484.12</v>
      </c>
      <c r="G330">
        <v>0</v>
      </c>
      <c r="L330" t="s">
        <v>8</v>
      </c>
      <c r="M330" t="s">
        <v>8</v>
      </c>
      <c r="N330" t="s">
        <v>8</v>
      </c>
      <c r="P330">
        <f t="shared" si="970"/>
        <v>0.89772826945004669</v>
      </c>
      <c r="Q330">
        <f t="shared" si="971"/>
        <v>4065348.2122796178</v>
      </c>
      <c r="R330">
        <f t="shared" si="972"/>
        <v>56663784.18102257</v>
      </c>
      <c r="S330">
        <f t="shared" si="973"/>
        <v>566.63784181022572</v>
      </c>
      <c r="T330">
        <f t="shared" si="974"/>
        <v>0.5666378418102257</v>
      </c>
    </row>
    <row r="331" spans="1:20" x14ac:dyDescent="0.25">
      <c r="A331" s="5">
        <v>44262</v>
      </c>
      <c r="B331">
        <v>8.4902999999999995</v>
      </c>
      <c r="C331">
        <v>8.8939000000000004</v>
      </c>
      <c r="D331">
        <v>8.0319000000000003</v>
      </c>
      <c r="E331">
        <v>8.4582999999999995</v>
      </c>
      <c r="F331">
        <v>5687415.7800000003</v>
      </c>
      <c r="G331">
        <v>0</v>
      </c>
      <c r="L331" t="s">
        <v>8</v>
      </c>
      <c r="M331" t="s">
        <v>8</v>
      </c>
      <c r="N331" t="s">
        <v>8</v>
      </c>
      <c r="P331">
        <f t="shared" si="970"/>
        <v>-1.0672853828308178E-2</v>
      </c>
      <c r="Q331">
        <f t="shared" si="971"/>
        <v>-60700.957280753348</v>
      </c>
      <c r="R331">
        <f t="shared" si="972"/>
        <v>52598435.968742952</v>
      </c>
      <c r="S331">
        <f t="shared" si="973"/>
        <v>525.98435968742956</v>
      </c>
      <c r="T331">
        <f t="shared" si="974"/>
        <v>0.52598435968742951</v>
      </c>
    </row>
    <row r="332" spans="1:20" x14ac:dyDescent="0.25">
      <c r="A332" s="5">
        <v>44261</v>
      </c>
      <c r="B332">
        <v>7.2621000000000002</v>
      </c>
      <c r="C332">
        <v>8.5990000000000002</v>
      </c>
      <c r="D332">
        <v>7.2054</v>
      </c>
      <c r="E332">
        <v>8.4967000000000006</v>
      </c>
      <c r="F332">
        <v>9008375.6300000008</v>
      </c>
      <c r="G332">
        <v>0</v>
      </c>
      <c r="L332" t="s">
        <v>8</v>
      </c>
      <c r="M332" t="s">
        <v>8</v>
      </c>
      <c r="N332" t="s">
        <v>8</v>
      </c>
      <c r="P332">
        <f t="shared" si="970"/>
        <v>0.85318599311136678</v>
      </c>
      <c r="Q332">
        <f t="shared" si="971"/>
        <v>7685819.9082017848</v>
      </c>
      <c r="R332">
        <f t="shared" si="972"/>
        <v>52659136.926023707</v>
      </c>
      <c r="S332">
        <f t="shared" si="973"/>
        <v>526.59136926023712</v>
      </c>
      <c r="T332">
        <f t="shared" si="974"/>
        <v>0.52659136926023709</v>
      </c>
    </row>
    <row r="333" spans="1:20" x14ac:dyDescent="0.25">
      <c r="A333" s="5">
        <v>44260</v>
      </c>
      <c r="B333">
        <v>6.8141999999999996</v>
      </c>
      <c r="C333">
        <v>7.3348000000000004</v>
      </c>
      <c r="D333">
        <v>6.2706999999999997</v>
      </c>
      <c r="E333">
        <v>7.2693000000000003</v>
      </c>
      <c r="F333">
        <v>4718716.84</v>
      </c>
      <c r="G333">
        <v>0</v>
      </c>
      <c r="L333" t="s">
        <v>8</v>
      </c>
      <c r="M333" t="s">
        <v>8</v>
      </c>
      <c r="N333" t="s">
        <v>8</v>
      </c>
      <c r="P333">
        <f t="shared" si="970"/>
        <v>0.87689126961751707</v>
      </c>
      <c r="Q333">
        <f t="shared" si="971"/>
        <v>4137801.6007931582</v>
      </c>
      <c r="R333">
        <f t="shared" si="972"/>
        <v>44973317.017821923</v>
      </c>
      <c r="S333">
        <f t="shared" si="973"/>
        <v>449.73317017821921</v>
      </c>
      <c r="T333">
        <f t="shared" si="974"/>
        <v>0.44973317017821923</v>
      </c>
    </row>
    <row r="334" spans="1:20" x14ac:dyDescent="0.25">
      <c r="A334" s="5">
        <v>44259</v>
      </c>
      <c r="B334">
        <v>6.5247000000000002</v>
      </c>
      <c r="C334">
        <v>7.1908000000000003</v>
      </c>
      <c r="D334">
        <v>6.4637000000000002</v>
      </c>
      <c r="E334">
        <v>6.8140999999999998</v>
      </c>
      <c r="F334">
        <v>6926808.4500000002</v>
      </c>
      <c r="G334">
        <v>0</v>
      </c>
      <c r="L334" t="s">
        <v>8</v>
      </c>
      <c r="M334" t="s">
        <v>8</v>
      </c>
      <c r="N334" t="s">
        <v>8</v>
      </c>
      <c r="P334">
        <f t="shared" si="970"/>
        <v>-3.6171090634026785E-2</v>
      </c>
      <c r="Q334">
        <f t="shared" si="971"/>
        <v>-250550.2162494926</v>
      </c>
      <c r="R334">
        <f t="shared" si="972"/>
        <v>40835515.417028762</v>
      </c>
      <c r="S334">
        <f t="shared" si="973"/>
        <v>408.35515417028762</v>
      </c>
      <c r="T334">
        <f t="shared" si="974"/>
        <v>0.40835515417028762</v>
      </c>
    </row>
    <row r="335" spans="1:20" x14ac:dyDescent="0.25">
      <c r="A335" s="5">
        <v>44258</v>
      </c>
      <c r="B335">
        <v>5.5587999999999997</v>
      </c>
      <c r="C335">
        <v>6.8780000000000001</v>
      </c>
      <c r="D335">
        <v>5.4440999999999997</v>
      </c>
      <c r="E335">
        <v>6.5332999999999997</v>
      </c>
      <c r="F335">
        <v>5890682.4699999997</v>
      </c>
      <c r="G335">
        <v>0</v>
      </c>
      <c r="L335" t="s">
        <v>8</v>
      </c>
      <c r="M335" t="s">
        <v>8</v>
      </c>
      <c r="N335" t="s">
        <v>8</v>
      </c>
      <c r="P335">
        <f t="shared" si="970"/>
        <v>0.51921333426319782</v>
      </c>
      <c r="Q335">
        <f t="shared" si="971"/>
        <v>3058520.8863344695</v>
      </c>
      <c r="R335">
        <f t="shared" si="972"/>
        <v>41086065.633278258</v>
      </c>
      <c r="S335">
        <f t="shared" si="973"/>
        <v>410.86065633278258</v>
      </c>
      <c r="T335">
        <f t="shared" si="974"/>
        <v>0.41086065633278257</v>
      </c>
    </row>
    <row r="336" spans="1:20" x14ac:dyDescent="0.25">
      <c r="A336" s="5">
        <v>44257</v>
      </c>
      <c r="B336">
        <v>5.4451000000000001</v>
      </c>
      <c r="C336">
        <v>5.7596999999999996</v>
      </c>
      <c r="D336">
        <v>5.3387000000000002</v>
      </c>
      <c r="E336">
        <v>5.5575999999999999</v>
      </c>
      <c r="F336">
        <v>1702614.35</v>
      </c>
      <c r="G336">
        <v>0</v>
      </c>
      <c r="L336" t="s">
        <v>8</v>
      </c>
      <c r="M336" t="s">
        <v>8</v>
      </c>
      <c r="N336" t="s">
        <v>7</v>
      </c>
      <c r="P336">
        <f t="shared" si="970"/>
        <v>3.9904988123515325E-2</v>
      </c>
      <c r="Q336">
        <f t="shared" si="971"/>
        <v>67942.805415676776</v>
      </c>
      <c r="R336">
        <f t="shared" si="972"/>
        <v>38027544.746943787</v>
      </c>
      <c r="S336">
        <f t="shared" si="973"/>
        <v>380.27544746943789</v>
      </c>
      <c r="T336">
        <f t="shared" si="974"/>
        <v>0.38027544746943787</v>
      </c>
    </row>
    <row r="337" spans="1:20" x14ac:dyDescent="0.25">
      <c r="A337" s="5">
        <v>44256</v>
      </c>
      <c r="B337">
        <v>4.8266</v>
      </c>
      <c r="C337">
        <v>5.58</v>
      </c>
      <c r="D337">
        <v>4.7720000000000002</v>
      </c>
      <c r="E337">
        <v>5.4451000000000001</v>
      </c>
      <c r="F337">
        <v>2294235.62</v>
      </c>
      <c r="G337">
        <v>0</v>
      </c>
      <c r="L337" t="s">
        <v>8</v>
      </c>
      <c r="M337" t="s">
        <v>8</v>
      </c>
      <c r="N337" t="s">
        <v>7</v>
      </c>
      <c r="P337">
        <f t="shared" si="970"/>
        <v>0.66608910891089101</v>
      </c>
      <c r="Q337">
        <f t="shared" si="971"/>
        <v>1528165.3597574257</v>
      </c>
      <c r="R337">
        <f t="shared" si="972"/>
        <v>37959601.941528112</v>
      </c>
      <c r="S337">
        <f t="shared" si="973"/>
        <v>379.59601941528109</v>
      </c>
      <c r="T337">
        <f t="shared" si="974"/>
        <v>0.37959601941528109</v>
      </c>
    </row>
    <row r="338" spans="1:20" x14ac:dyDescent="0.25">
      <c r="A338" s="5">
        <v>44255</v>
      </c>
      <c r="B338">
        <v>4.9804000000000004</v>
      </c>
      <c r="C338">
        <v>5.0860000000000003</v>
      </c>
      <c r="D338">
        <v>4.4115000000000002</v>
      </c>
      <c r="E338">
        <v>4.8209999999999997</v>
      </c>
      <c r="F338">
        <v>1895279.34</v>
      </c>
      <c r="G338">
        <v>0</v>
      </c>
      <c r="L338" t="s">
        <v>7</v>
      </c>
      <c r="M338" t="s">
        <v>7</v>
      </c>
      <c r="N338" t="s">
        <v>7</v>
      </c>
      <c r="P338">
        <f t="shared" si="970"/>
        <v>0.21423276501111777</v>
      </c>
      <c r="Q338">
        <f t="shared" si="971"/>
        <v>406030.93347664637</v>
      </c>
      <c r="R338">
        <f t="shared" si="972"/>
        <v>36431436.581770688</v>
      </c>
      <c r="S338">
        <f t="shared" si="973"/>
        <v>364.31436581770686</v>
      </c>
      <c r="T338">
        <f t="shared" si="974"/>
        <v>0.36431436581770688</v>
      </c>
    </row>
    <row r="339" spans="1:20" x14ac:dyDescent="0.25">
      <c r="A339" s="5">
        <v>44254</v>
      </c>
      <c r="B339">
        <v>4.9261999999999997</v>
      </c>
      <c r="C339">
        <v>5.1989000000000001</v>
      </c>
      <c r="D339">
        <v>4.8936999999999999</v>
      </c>
      <c r="E339">
        <v>4.9880000000000004</v>
      </c>
      <c r="F339">
        <v>1079406.73</v>
      </c>
      <c r="G339">
        <v>0</v>
      </c>
      <c r="L339" t="s">
        <v>8</v>
      </c>
      <c r="M339" t="s">
        <v>7</v>
      </c>
      <c r="N339" t="s">
        <v>7</v>
      </c>
      <c r="P339">
        <f t="shared" si="970"/>
        <v>-0.38204456094364053</v>
      </c>
      <c r="Q339">
        <f t="shared" si="971"/>
        <v>-412381.47024246072</v>
      </c>
      <c r="R339">
        <f t="shared" si="972"/>
        <v>36025405.648294039</v>
      </c>
      <c r="S339">
        <f t="shared" si="973"/>
        <v>360.25405648294037</v>
      </c>
      <c r="T339">
        <f t="shared" si="974"/>
        <v>0.36025405648294034</v>
      </c>
    </row>
    <row r="340" spans="1:20" x14ac:dyDescent="0.25">
      <c r="A340" s="5">
        <v>44253</v>
      </c>
      <c r="B340">
        <v>4.9673999999999996</v>
      </c>
      <c r="C340">
        <v>5.2323000000000004</v>
      </c>
      <c r="D340">
        <v>4.6681999999999997</v>
      </c>
      <c r="E340">
        <v>4.9153000000000002</v>
      </c>
      <c r="F340">
        <v>2142788.09</v>
      </c>
      <c r="G340">
        <v>0</v>
      </c>
      <c r="L340" t="s">
        <v>7</v>
      </c>
      <c r="M340" t="s">
        <v>7</v>
      </c>
      <c r="N340" t="s">
        <v>7</v>
      </c>
      <c r="P340">
        <f t="shared" si="970"/>
        <v>-0.12391419960999742</v>
      </c>
      <c r="Q340">
        <f t="shared" si="971"/>
        <v>-265521.87110618508</v>
      </c>
      <c r="R340">
        <f t="shared" si="972"/>
        <v>36437787.118536502</v>
      </c>
      <c r="S340">
        <f t="shared" si="973"/>
        <v>364.377871185365</v>
      </c>
      <c r="T340">
        <f t="shared" si="974"/>
        <v>0.36437787118536502</v>
      </c>
    </row>
    <row r="341" spans="1:20" x14ac:dyDescent="0.25">
      <c r="A341" s="5">
        <v>44252</v>
      </c>
      <c r="B341">
        <v>5.6444999999999999</v>
      </c>
      <c r="C341">
        <v>5.7774000000000001</v>
      </c>
      <c r="D341">
        <v>4.8982999999999999</v>
      </c>
      <c r="E341">
        <v>4.9493999999999998</v>
      </c>
      <c r="F341">
        <v>2449375.9900000002</v>
      </c>
      <c r="G341">
        <v>0</v>
      </c>
      <c r="L341" t="s">
        <v>7</v>
      </c>
      <c r="M341" t="s">
        <v>7</v>
      </c>
      <c r="N341" t="s">
        <v>7</v>
      </c>
      <c r="P341">
        <f t="shared" si="970"/>
        <v>-0.88374473893755001</v>
      </c>
      <c r="Q341">
        <f t="shared" si="971"/>
        <v>-2164623.1448424533</v>
      </c>
      <c r="R341">
        <f t="shared" si="972"/>
        <v>36703308.989642687</v>
      </c>
      <c r="S341">
        <f t="shared" si="973"/>
        <v>367.03308989642687</v>
      </c>
      <c r="T341">
        <f t="shared" si="974"/>
        <v>0.36703308989642686</v>
      </c>
    </row>
    <row r="342" spans="1:20" x14ac:dyDescent="0.25">
      <c r="A342" s="5">
        <v>44251</v>
      </c>
      <c r="B342">
        <v>5.4237000000000002</v>
      </c>
      <c r="C342">
        <v>6.0456000000000003</v>
      </c>
      <c r="D342">
        <v>5.2042000000000002</v>
      </c>
      <c r="E342">
        <v>5.6525999999999996</v>
      </c>
      <c r="F342">
        <v>3588091.75</v>
      </c>
      <c r="G342">
        <v>0</v>
      </c>
      <c r="L342" t="s">
        <v>7</v>
      </c>
      <c r="M342" t="s">
        <v>7</v>
      </c>
      <c r="N342" t="s">
        <v>7</v>
      </c>
      <c r="P342">
        <f t="shared" si="970"/>
        <v>6.5842643213690003E-2</v>
      </c>
      <c r="Q342">
        <f t="shared" si="971"/>
        <v>236249.44491323459</v>
      </c>
      <c r="R342">
        <f t="shared" si="972"/>
        <v>38867932.13448514</v>
      </c>
      <c r="S342">
        <f t="shared" si="973"/>
        <v>388.67932134485142</v>
      </c>
      <c r="T342">
        <f t="shared" si="974"/>
        <v>0.38867932134485139</v>
      </c>
    </row>
    <row r="343" spans="1:20" x14ac:dyDescent="0.25">
      <c r="A343" s="5">
        <v>44250</v>
      </c>
      <c r="B343">
        <v>6.3380000000000001</v>
      </c>
      <c r="C343">
        <v>6.4264999999999999</v>
      </c>
      <c r="D343">
        <v>4.7699999999999996</v>
      </c>
      <c r="E343">
        <v>5.4229000000000003</v>
      </c>
      <c r="F343">
        <v>5749812.2699999996</v>
      </c>
      <c r="G343">
        <v>0</v>
      </c>
      <c r="L343" t="s">
        <v>8</v>
      </c>
      <c r="M343" t="s">
        <v>8</v>
      </c>
      <c r="N343" t="s">
        <v>7</v>
      </c>
      <c r="P343">
        <f t="shared" si="970"/>
        <v>-0.21171143978267362</v>
      </c>
      <c r="Q343">
        <f t="shared" si="971"/>
        <v>-1217301.0341617828</v>
      </c>
      <c r="R343">
        <f t="shared" si="972"/>
        <v>38631682.689571902</v>
      </c>
      <c r="S343">
        <f t="shared" si="973"/>
        <v>386.31682689571903</v>
      </c>
      <c r="T343">
        <f t="shared" si="974"/>
        <v>0.38631682689571906</v>
      </c>
    </row>
    <row r="344" spans="1:20" x14ac:dyDescent="0.25">
      <c r="A344" s="5">
        <v>44249</v>
      </c>
      <c r="B344">
        <v>6.5776000000000003</v>
      </c>
      <c r="C344">
        <v>6.5971000000000002</v>
      </c>
      <c r="D344">
        <v>4.7731000000000003</v>
      </c>
      <c r="E344">
        <v>6.3315999999999999</v>
      </c>
      <c r="F344">
        <v>7222843.0300000003</v>
      </c>
      <c r="G344">
        <v>0</v>
      </c>
      <c r="L344" t="s">
        <v>7</v>
      </c>
      <c r="M344" t="s">
        <v>7</v>
      </c>
      <c r="N344" t="s">
        <v>7</v>
      </c>
      <c r="P344">
        <f t="shared" si="970"/>
        <v>0.70888157894736803</v>
      </c>
      <c r="Q344">
        <f t="shared" si="971"/>
        <v>5120140.371595392</v>
      </c>
      <c r="R344">
        <f t="shared" si="972"/>
        <v>39848983.723733686</v>
      </c>
      <c r="S344">
        <f t="shared" si="973"/>
        <v>398.48983723733687</v>
      </c>
      <c r="T344">
        <f t="shared" si="974"/>
        <v>0.39848983723733689</v>
      </c>
    </row>
    <row r="345" spans="1:20" x14ac:dyDescent="0.25">
      <c r="A345" s="5">
        <v>44248</v>
      </c>
      <c r="B345">
        <v>5.5187999999999997</v>
      </c>
      <c r="C345">
        <v>6.7880000000000003</v>
      </c>
      <c r="D345">
        <v>5.4404000000000003</v>
      </c>
      <c r="E345">
        <v>6.5728999999999997</v>
      </c>
      <c r="F345">
        <v>7046979.7800000003</v>
      </c>
      <c r="G345">
        <v>0</v>
      </c>
      <c r="L345" t="s">
        <v>8</v>
      </c>
      <c r="M345" t="s">
        <v>8</v>
      </c>
      <c r="N345" t="s">
        <v>8</v>
      </c>
      <c r="P345">
        <f t="shared" si="970"/>
        <v>0.68076580587711411</v>
      </c>
      <c r="Q345">
        <f t="shared" si="971"/>
        <v>4797342.8689314285</v>
      </c>
      <c r="R345">
        <f t="shared" si="972"/>
        <v>34728843.352138296</v>
      </c>
      <c r="S345">
        <f t="shared" si="973"/>
        <v>347.28843352138296</v>
      </c>
      <c r="T345">
        <f t="shared" si="974"/>
        <v>0.34728843352138294</v>
      </c>
    </row>
    <row r="346" spans="1:20" x14ac:dyDescent="0.25">
      <c r="A346" s="5">
        <v>44247</v>
      </c>
      <c r="B346">
        <v>5.4611000000000001</v>
      </c>
      <c r="C346">
        <v>5.7525000000000004</v>
      </c>
      <c r="D346">
        <v>4.7698999999999998</v>
      </c>
      <c r="E346">
        <v>5.5144000000000002</v>
      </c>
      <c r="F346">
        <v>5202056.74</v>
      </c>
      <c r="G346">
        <v>0</v>
      </c>
      <c r="L346" t="s">
        <v>7</v>
      </c>
      <c r="M346" t="s">
        <v>7</v>
      </c>
      <c r="N346" t="s">
        <v>8</v>
      </c>
      <c r="P346">
        <f t="shared" si="970"/>
        <v>0.5153673926317931</v>
      </c>
      <c r="Q346">
        <f t="shared" si="971"/>
        <v>2680970.4184164456</v>
      </c>
      <c r="R346">
        <f t="shared" si="972"/>
        <v>29931500.483206868</v>
      </c>
      <c r="S346">
        <f t="shared" si="973"/>
        <v>299.31500483206867</v>
      </c>
      <c r="T346">
        <f t="shared" si="974"/>
        <v>0.29931500483206869</v>
      </c>
    </row>
    <row r="347" spans="1:20" x14ac:dyDescent="0.25">
      <c r="A347" s="5">
        <v>44246</v>
      </c>
      <c r="B347">
        <v>5.9706000000000001</v>
      </c>
      <c r="C347">
        <v>6.13</v>
      </c>
      <c r="D347">
        <v>5.2535999999999996</v>
      </c>
      <c r="E347">
        <v>5.46</v>
      </c>
      <c r="F347">
        <v>7137860.9699999997</v>
      </c>
      <c r="G347">
        <v>0</v>
      </c>
      <c r="L347" t="s">
        <v>7</v>
      </c>
      <c r="M347" t="s">
        <v>8</v>
      </c>
      <c r="N347" t="s">
        <v>8</v>
      </c>
      <c r="P347">
        <f t="shared" si="970"/>
        <v>-0.52898219990871687</v>
      </c>
      <c r="Q347">
        <f t="shared" si="971"/>
        <v>-3775801.3985531675</v>
      </c>
      <c r="R347">
        <f t="shared" si="972"/>
        <v>27250530.064790424</v>
      </c>
      <c r="S347">
        <f t="shared" si="973"/>
        <v>272.50530064790422</v>
      </c>
      <c r="T347">
        <f t="shared" si="974"/>
        <v>0.27250530064790424</v>
      </c>
    </row>
    <row r="348" spans="1:20" x14ac:dyDescent="0.25">
      <c r="A348" s="5">
        <v>44245</v>
      </c>
      <c r="B348">
        <v>4.4488000000000003</v>
      </c>
      <c r="C348">
        <v>6.1989999999999998</v>
      </c>
      <c r="D348">
        <v>4.4027000000000003</v>
      </c>
      <c r="E348">
        <v>5.9699</v>
      </c>
      <c r="F348">
        <v>17268392.539999999</v>
      </c>
      <c r="G348">
        <v>0</v>
      </c>
      <c r="L348" t="s">
        <v>8</v>
      </c>
      <c r="M348" t="s">
        <v>8</v>
      </c>
      <c r="N348" t="s">
        <v>8</v>
      </c>
      <c r="P348">
        <f t="shared" si="970"/>
        <v>0.74492011356677623</v>
      </c>
      <c r="Q348">
        <f t="shared" si="971"/>
        <v>12863572.93201247</v>
      </c>
      <c r="R348">
        <f t="shared" si="972"/>
        <v>31026331.46334359</v>
      </c>
      <c r="S348">
        <f t="shared" si="973"/>
        <v>310.26331463343593</v>
      </c>
      <c r="T348">
        <f t="shared" si="974"/>
        <v>0.31026331463343593</v>
      </c>
    </row>
    <row r="349" spans="1:20" x14ac:dyDescent="0.25">
      <c r="A349" s="5">
        <v>44244</v>
      </c>
      <c r="B349">
        <v>3.66</v>
      </c>
      <c r="C349">
        <v>4.45</v>
      </c>
      <c r="D349">
        <v>3.5004</v>
      </c>
      <c r="E349">
        <v>4.4488000000000003</v>
      </c>
      <c r="F349">
        <v>5853515.1500000004</v>
      </c>
      <c r="G349">
        <v>0</v>
      </c>
      <c r="L349" t="s">
        <v>8</v>
      </c>
      <c r="M349" t="s">
        <v>8</v>
      </c>
      <c r="N349" t="s">
        <v>8</v>
      </c>
      <c r="P349">
        <f t="shared" si="970"/>
        <v>0.99747262005054793</v>
      </c>
      <c r="Q349">
        <f t="shared" si="971"/>
        <v>5838721.0931760762</v>
      </c>
      <c r="R349">
        <f t="shared" si="972"/>
        <v>18162758.531331122</v>
      </c>
      <c r="S349">
        <f t="shared" si="973"/>
        <v>181.62758531331122</v>
      </c>
      <c r="T349">
        <f t="shared" si="974"/>
        <v>0.18162758531331122</v>
      </c>
    </row>
    <row r="350" spans="1:20" x14ac:dyDescent="0.25">
      <c r="A350" s="5">
        <v>44243</v>
      </c>
      <c r="B350">
        <v>3.4016000000000002</v>
      </c>
      <c r="C350">
        <v>3.6736</v>
      </c>
      <c r="D350">
        <v>3.3357999999999999</v>
      </c>
      <c r="E350">
        <v>3.6598999999999999</v>
      </c>
      <c r="F350">
        <v>2364513.89</v>
      </c>
      <c r="G350">
        <v>0</v>
      </c>
      <c r="L350" t="s">
        <v>8</v>
      </c>
      <c r="M350" t="s">
        <v>8</v>
      </c>
      <c r="N350" t="s">
        <v>8</v>
      </c>
      <c r="P350">
        <f t="shared" si="970"/>
        <v>0.91888691533451727</v>
      </c>
      <c r="Q350">
        <f t="shared" si="971"/>
        <v>2172720.8746477203</v>
      </c>
      <c r="R350">
        <f t="shared" si="972"/>
        <v>12324037.438155048</v>
      </c>
      <c r="S350">
        <f t="shared" si="973"/>
        <v>123.24037438155048</v>
      </c>
      <c r="T350">
        <f t="shared" si="974"/>
        <v>0.12324037438155049</v>
      </c>
    </row>
    <row r="351" spans="1:20" x14ac:dyDescent="0.25">
      <c r="A351" s="5">
        <v>44242</v>
      </c>
      <c r="B351">
        <v>3.5139999999999998</v>
      </c>
      <c r="C351">
        <v>3.5891000000000002</v>
      </c>
      <c r="D351">
        <v>2.9226999999999999</v>
      </c>
      <c r="E351">
        <v>3.3986999999999998</v>
      </c>
      <c r="F351">
        <v>1838170.36</v>
      </c>
      <c r="G351">
        <v>0</v>
      </c>
      <c r="L351" t="s">
        <v>7</v>
      </c>
      <c r="M351" t="s">
        <v>7</v>
      </c>
      <c r="N351" t="s">
        <v>8</v>
      </c>
      <c r="P351">
        <f t="shared" si="970"/>
        <v>0.42857142857142783</v>
      </c>
      <c r="Q351">
        <f t="shared" si="971"/>
        <v>787787.29714285582</v>
      </c>
      <c r="R351">
        <f t="shared" si="972"/>
        <v>10151316.563507328</v>
      </c>
      <c r="S351">
        <f t="shared" si="973"/>
        <v>101.51316563507328</v>
      </c>
      <c r="T351">
        <f t="shared" si="974"/>
        <v>0.10151316563507327</v>
      </c>
    </row>
    <row r="352" spans="1:20" x14ac:dyDescent="0.25">
      <c r="A352" s="5">
        <v>44241</v>
      </c>
      <c r="B352">
        <v>3.6488999999999998</v>
      </c>
      <c r="C352">
        <v>3.7562000000000002</v>
      </c>
      <c r="D352">
        <v>3.4081999999999999</v>
      </c>
      <c r="E352">
        <v>3.5129000000000001</v>
      </c>
      <c r="F352">
        <v>1845502.87</v>
      </c>
      <c r="G352">
        <v>0</v>
      </c>
      <c r="L352" t="s">
        <v>8</v>
      </c>
      <c r="M352" t="s">
        <v>8</v>
      </c>
      <c r="N352" t="s">
        <v>8</v>
      </c>
      <c r="P352">
        <f t="shared" si="970"/>
        <v>-0.3982758620689647</v>
      </c>
      <c r="Q352">
        <f t="shared" si="971"/>
        <v>-735019.24649999849</v>
      </c>
      <c r="R352">
        <f t="shared" si="972"/>
        <v>9363529.266364472</v>
      </c>
      <c r="S352">
        <f t="shared" si="973"/>
        <v>93.635292663644719</v>
      </c>
      <c r="T352">
        <f t="shared" si="974"/>
        <v>9.3635292663644717E-2</v>
      </c>
    </row>
    <row r="353" spans="1:20" x14ac:dyDescent="0.25">
      <c r="A353" s="5">
        <v>44240</v>
      </c>
      <c r="B353">
        <v>3.4767999999999999</v>
      </c>
      <c r="C353">
        <v>3.6776</v>
      </c>
      <c r="D353">
        <v>3.3033000000000001</v>
      </c>
      <c r="E353">
        <v>3.6488999999999998</v>
      </c>
      <c r="F353">
        <v>4615778.4000000004</v>
      </c>
      <c r="G353">
        <v>0</v>
      </c>
      <c r="L353" t="s">
        <v>8</v>
      </c>
      <c r="M353" t="s">
        <v>8</v>
      </c>
      <c r="N353" t="s">
        <v>8</v>
      </c>
      <c r="P353">
        <f t="shared" si="970"/>
        <v>0.84664707453913879</v>
      </c>
      <c r="Q353">
        <f t="shared" si="971"/>
        <v>3907935.2790809469</v>
      </c>
      <c r="R353">
        <f t="shared" si="972"/>
        <v>10098548.51286447</v>
      </c>
      <c r="S353">
        <f t="shared" si="973"/>
        <v>100.98548512864471</v>
      </c>
      <c r="T353">
        <f t="shared" si="974"/>
        <v>0.10098548512864471</v>
      </c>
    </row>
    <row r="354" spans="1:20" x14ac:dyDescent="0.25">
      <c r="A354" s="5">
        <v>44239</v>
      </c>
      <c r="B354">
        <v>3.1899000000000002</v>
      </c>
      <c r="C354">
        <v>3.57</v>
      </c>
      <c r="D354">
        <v>2.9809999999999999</v>
      </c>
      <c r="E354">
        <v>3.4767999999999999</v>
      </c>
      <c r="F354">
        <v>4149622.92</v>
      </c>
      <c r="G354">
        <v>0</v>
      </c>
      <c r="L354" t="s">
        <v>8</v>
      </c>
      <c r="M354" t="s">
        <v>8</v>
      </c>
      <c r="N354" t="s">
        <v>8</v>
      </c>
      <c r="P354">
        <f t="shared" si="970"/>
        <v>0.68353140916808164</v>
      </c>
      <c r="Q354">
        <f t="shared" si="971"/>
        <v>2836397.6020237696</v>
      </c>
      <c r="R354">
        <f t="shared" si="972"/>
        <v>6190613.2337835245</v>
      </c>
      <c r="S354">
        <f t="shared" si="973"/>
        <v>61.906132337835245</v>
      </c>
      <c r="T354">
        <f t="shared" si="974"/>
        <v>6.1906132337835248E-2</v>
      </c>
    </row>
    <row r="355" spans="1:20" x14ac:dyDescent="0.25">
      <c r="A355" s="5">
        <v>44238</v>
      </c>
      <c r="B355">
        <v>2.7593999999999999</v>
      </c>
      <c r="C355">
        <v>3.1899000000000002</v>
      </c>
      <c r="D355">
        <v>2.7292999999999998</v>
      </c>
      <c r="E355">
        <v>3.1829999999999998</v>
      </c>
      <c r="F355">
        <v>3971384.67</v>
      </c>
      <c r="G355">
        <v>0</v>
      </c>
      <c r="L355" t="s">
        <v>8</v>
      </c>
      <c r="M355" t="s">
        <v>8</v>
      </c>
      <c r="N355" t="s">
        <v>8</v>
      </c>
      <c r="P355">
        <f t="shared" si="970"/>
        <v>0.97003907946157042</v>
      </c>
      <c r="Q355">
        <f t="shared" si="971"/>
        <v>3852398.3294745926</v>
      </c>
      <c r="R355">
        <f t="shared" si="972"/>
        <v>3354215.6317597553</v>
      </c>
      <c r="S355">
        <f t="shared" si="973"/>
        <v>33.542156317597552</v>
      </c>
      <c r="T355">
        <f t="shared" si="974"/>
        <v>3.3542156317597549E-2</v>
      </c>
    </row>
    <row r="356" spans="1:20" x14ac:dyDescent="0.25">
      <c r="A356" s="5">
        <v>44237</v>
      </c>
      <c r="B356">
        <v>2.8077000000000001</v>
      </c>
      <c r="C356">
        <v>2.895</v>
      </c>
      <c r="D356">
        <v>2.6215999999999999</v>
      </c>
      <c r="E356">
        <v>2.7601</v>
      </c>
      <c r="F356">
        <v>2545942.15</v>
      </c>
      <c r="G356">
        <v>0</v>
      </c>
      <c r="L356" t="s">
        <v>8</v>
      </c>
      <c r="M356" t="s">
        <v>8</v>
      </c>
      <c r="N356" t="s">
        <v>8</v>
      </c>
      <c r="P356">
        <f t="shared" si="970"/>
        <v>1.3167520117044793E-2</v>
      </c>
      <c r="Q356">
        <f t="shared" si="971"/>
        <v>33523.744476957268</v>
      </c>
      <c r="R356">
        <f t="shared" si="972"/>
        <v>-498182.6977148375</v>
      </c>
      <c r="S356">
        <f t="shared" si="973"/>
        <v>-4.9818269771483754</v>
      </c>
      <c r="T356">
        <f t="shared" si="974"/>
        <v>-4.9818269771483752E-3</v>
      </c>
    </row>
    <row r="357" spans="1:20" x14ac:dyDescent="0.25">
      <c r="A357" s="5">
        <v>44236</v>
      </c>
      <c r="B357">
        <v>2.5937999999999999</v>
      </c>
      <c r="C357">
        <v>2.8452000000000002</v>
      </c>
      <c r="D357">
        <v>2.5594000000000001</v>
      </c>
      <c r="E357">
        <v>2.8065000000000002</v>
      </c>
      <c r="F357">
        <v>2726114.08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0.72918124562631248</v>
      </c>
      <c r="Q357">
        <f t="shared" si="971"/>
        <v>1987831.2605738288</v>
      </c>
      <c r="R357">
        <f t="shared" si="972"/>
        <v>-531706.44219179475</v>
      </c>
      <c r="S357">
        <f t="shared" si="973"/>
        <v>-5.317064421917947</v>
      </c>
      <c r="T357">
        <f t="shared" si="974"/>
        <v>-5.3170644219179474E-3</v>
      </c>
    </row>
    <row r="358" spans="1:20" x14ac:dyDescent="0.25">
      <c r="A358" s="5">
        <v>44235</v>
      </c>
      <c r="B358">
        <v>2.4108000000000001</v>
      </c>
      <c r="C358">
        <v>2.7440000000000002</v>
      </c>
      <c r="D358">
        <v>2.3614999999999999</v>
      </c>
      <c r="E358">
        <v>2.59</v>
      </c>
      <c r="F358">
        <v>2814107.11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0.19477124183006408</v>
      </c>
      <c r="Q358">
        <f t="shared" si="971"/>
        <v>548107.13645751274</v>
      </c>
      <c r="R358">
        <f t="shared" si="972"/>
        <v>-2519537.7027656236</v>
      </c>
      <c r="S358">
        <f t="shared" si="973"/>
        <v>-25.195377027656235</v>
      </c>
      <c r="T358">
        <f t="shared" si="974"/>
        <v>-2.5195377027656236E-2</v>
      </c>
    </row>
    <row r="359" spans="1:20" x14ac:dyDescent="0.25">
      <c r="A359" s="5">
        <v>44234</v>
      </c>
      <c r="B359">
        <v>2.4613999999999998</v>
      </c>
      <c r="C359">
        <v>2.4851000000000001</v>
      </c>
      <c r="D359">
        <v>2.2515999999999998</v>
      </c>
      <c r="E359">
        <v>2.4108000000000001</v>
      </c>
      <c r="F359">
        <v>1342594.48</v>
      </c>
      <c r="G359">
        <v>0</v>
      </c>
      <c r="L359" t="s">
        <v>7</v>
      </c>
      <c r="M359" t="s">
        <v>7</v>
      </c>
      <c r="N359" t="s">
        <v>8</v>
      </c>
      <c r="P359">
        <f t="shared" si="970"/>
        <v>0.36359743040685266</v>
      </c>
      <c r="Q359">
        <f t="shared" si="971"/>
        <v>488163.90300642455</v>
      </c>
      <c r="R359">
        <f t="shared" si="972"/>
        <v>-3067644.8392231362</v>
      </c>
      <c r="S359">
        <f t="shared" si="973"/>
        <v>-30.676448392231361</v>
      </c>
      <c r="T359">
        <f t="shared" si="974"/>
        <v>-3.067644839223136E-2</v>
      </c>
    </row>
    <row r="360" spans="1:20" x14ac:dyDescent="0.25">
      <c r="A360" s="5">
        <v>44233</v>
      </c>
      <c r="B360">
        <v>2.5724999999999998</v>
      </c>
      <c r="C360">
        <v>2.6084000000000001</v>
      </c>
      <c r="D360">
        <v>2.35</v>
      </c>
      <c r="E360">
        <v>2.4613999999999998</v>
      </c>
      <c r="F360">
        <v>2392222.02</v>
      </c>
      <c r="G360">
        <v>0</v>
      </c>
      <c r="L360" t="s">
        <v>7</v>
      </c>
      <c r="M360" t="s">
        <v>8</v>
      </c>
      <c r="N360" t="s">
        <v>8</v>
      </c>
      <c r="P360">
        <f t="shared" si="970"/>
        <v>-0.13777089783281937</v>
      </c>
      <c r="Q360">
        <f t="shared" si="971"/>
        <v>-329578.5755108408</v>
      </c>
      <c r="R360">
        <f t="shared" si="972"/>
        <v>-3555808.7422295609</v>
      </c>
      <c r="S360">
        <f t="shared" si="973"/>
        <v>-35.558087422295607</v>
      </c>
      <c r="T360">
        <f t="shared" si="974"/>
        <v>-3.555808742229561E-2</v>
      </c>
    </row>
    <row r="361" spans="1:20" x14ac:dyDescent="0.25">
      <c r="A361" s="5">
        <v>44232</v>
      </c>
      <c r="B361">
        <v>2.2227999999999999</v>
      </c>
      <c r="C361">
        <v>2.7404999999999999</v>
      </c>
      <c r="D361">
        <v>2.2138</v>
      </c>
      <c r="E361">
        <v>2.5687000000000002</v>
      </c>
      <c r="F361">
        <v>4601474</v>
      </c>
      <c r="G361">
        <v>0</v>
      </c>
      <c r="L361" t="s">
        <v>8</v>
      </c>
      <c r="M361" t="s">
        <v>8</v>
      </c>
      <c r="N361" t="s">
        <v>8</v>
      </c>
      <c r="P361">
        <f t="shared" si="970"/>
        <v>0.34763622555534557</v>
      </c>
      <c r="Q361">
        <f t="shared" si="971"/>
        <v>1599639.0533510582</v>
      </c>
      <c r="R361">
        <f t="shared" si="972"/>
        <v>-3226230.16671872</v>
      </c>
      <c r="S361">
        <f t="shared" si="973"/>
        <v>-32.262301667187202</v>
      </c>
      <c r="T361">
        <f t="shared" si="974"/>
        <v>-3.2262301667187201E-2</v>
      </c>
    </row>
    <row r="362" spans="1:20" x14ac:dyDescent="0.25">
      <c r="A362" s="5">
        <v>44231</v>
      </c>
      <c r="B362">
        <v>2.2057000000000002</v>
      </c>
      <c r="C362">
        <v>2.3054000000000001</v>
      </c>
      <c r="D362">
        <v>2.0891000000000002</v>
      </c>
      <c r="E362">
        <v>2.2201</v>
      </c>
      <c r="F362">
        <v>2729832.25</v>
      </c>
      <c r="G362">
        <v>0</v>
      </c>
      <c r="L362" t="s">
        <v>7</v>
      </c>
      <c r="M362" t="s">
        <v>8</v>
      </c>
      <c r="N362" t="s">
        <v>8</v>
      </c>
      <c r="P362">
        <f t="shared" si="970"/>
        <v>0.21128062875635525</v>
      </c>
      <c r="Q362">
        <f t="shared" si="971"/>
        <v>576760.67417937599</v>
      </c>
      <c r="R362">
        <f t="shared" si="972"/>
        <v>-4825869.2200697782</v>
      </c>
      <c r="S362">
        <f t="shared" si="973"/>
        <v>-48.25869220069778</v>
      </c>
      <c r="T362">
        <f t="shared" si="974"/>
        <v>-4.8258692200697777E-2</v>
      </c>
    </row>
    <row r="363" spans="1:20" x14ac:dyDescent="0.25">
      <c r="A363" s="5">
        <v>44230</v>
      </c>
      <c r="B363">
        <v>2.0581</v>
      </c>
      <c r="C363">
        <v>2.3361999999999998</v>
      </c>
      <c r="D363">
        <v>1.9842</v>
      </c>
      <c r="E363">
        <v>2.2111999999999998</v>
      </c>
      <c r="F363">
        <v>2691431.49</v>
      </c>
      <c r="G363">
        <v>0</v>
      </c>
      <c r="L363" t="s">
        <v>8</v>
      </c>
      <c r="M363" t="s">
        <v>8</v>
      </c>
      <c r="N363" t="s">
        <v>8</v>
      </c>
      <c r="P363">
        <f t="shared" si="970"/>
        <v>0.28977272727272702</v>
      </c>
      <c r="Q363">
        <f t="shared" si="971"/>
        <v>779903.44312499941</v>
      </c>
      <c r="R363">
        <f t="shared" si="972"/>
        <v>-5402629.8942491543</v>
      </c>
      <c r="S363">
        <f t="shared" si="973"/>
        <v>-54.026298942491543</v>
      </c>
      <c r="T363">
        <f t="shared" si="974"/>
        <v>-5.4026298942491544E-2</v>
      </c>
    </row>
    <row r="364" spans="1:20" x14ac:dyDescent="0.25">
      <c r="A364" s="5">
        <v>44229</v>
      </c>
      <c r="B364">
        <v>1.9632000000000001</v>
      </c>
      <c r="C364">
        <v>2.09</v>
      </c>
      <c r="D364">
        <v>1.9621</v>
      </c>
      <c r="E364">
        <v>2.0569999999999999</v>
      </c>
      <c r="F364">
        <v>1737247.59</v>
      </c>
      <c r="G364">
        <v>0</v>
      </c>
      <c r="L364" t="s">
        <v>8</v>
      </c>
      <c r="M364" t="s">
        <v>8</v>
      </c>
      <c r="N364" t="s">
        <v>8</v>
      </c>
      <c r="P364">
        <f t="shared" si="970"/>
        <v>0.4839718530101651</v>
      </c>
      <c r="Q364">
        <f t="shared" si="971"/>
        <v>840778.93526974355</v>
      </c>
      <c r="R364">
        <f t="shared" si="972"/>
        <v>-6182533.3373741535</v>
      </c>
      <c r="S364">
        <f t="shared" si="973"/>
        <v>-61.825333373741536</v>
      </c>
      <c r="T364">
        <f t="shared" si="974"/>
        <v>-6.1825333373741534E-2</v>
      </c>
    </row>
    <row r="365" spans="1:20" x14ac:dyDescent="0.25">
      <c r="A365" s="5">
        <v>44228</v>
      </c>
      <c r="B365">
        <v>1.8721000000000001</v>
      </c>
      <c r="C365">
        <v>2.0299</v>
      </c>
      <c r="D365">
        <v>1.8297000000000001</v>
      </c>
      <c r="E365">
        <v>1.9610000000000001</v>
      </c>
      <c r="F365">
        <v>1726963.94</v>
      </c>
      <c r="G365">
        <v>0</v>
      </c>
      <c r="L365" t="s">
        <v>8</v>
      </c>
      <c r="M365" t="s">
        <v>8</v>
      </c>
      <c r="N365" t="s">
        <v>8</v>
      </c>
      <c r="P365">
        <f t="shared" si="970"/>
        <v>0.31168831168831185</v>
      </c>
      <c r="Q365">
        <f t="shared" si="971"/>
        <v>538274.47480519512</v>
      </c>
      <c r="R365">
        <f t="shared" si="972"/>
        <v>-7023312.2726438968</v>
      </c>
      <c r="S365">
        <f t="shared" si="973"/>
        <v>-70.233122726438964</v>
      </c>
      <c r="T365">
        <f t="shared" si="974"/>
        <v>-7.023312272643896E-2</v>
      </c>
    </row>
    <row r="366" spans="1:20" x14ac:dyDescent="0.25">
      <c r="A366" s="5">
        <v>44227</v>
      </c>
      <c r="B366">
        <v>1.931</v>
      </c>
      <c r="C366">
        <v>1.9568000000000001</v>
      </c>
      <c r="D366">
        <v>1.839</v>
      </c>
      <c r="E366">
        <v>1.8757999999999999</v>
      </c>
      <c r="F366">
        <v>868769.19</v>
      </c>
      <c r="G366">
        <v>0</v>
      </c>
      <c r="L366" t="s">
        <v>7</v>
      </c>
      <c r="M366" t="s">
        <v>8</v>
      </c>
      <c r="N366" t="s">
        <v>8</v>
      </c>
      <c r="P366">
        <f t="shared" si="970"/>
        <v>-0.3752122241086604</v>
      </c>
      <c r="Q366">
        <f t="shared" si="971"/>
        <v>-325972.82001697936</v>
      </c>
      <c r="R366">
        <f t="shared" si="972"/>
        <v>-7561586.7474490916</v>
      </c>
      <c r="S366">
        <f t="shared" si="973"/>
        <v>-75.615867474490912</v>
      </c>
      <c r="T366">
        <f t="shared" si="974"/>
        <v>-7.5615867474490908E-2</v>
      </c>
    </row>
    <row r="367" spans="1:20" x14ac:dyDescent="0.25">
      <c r="A367" s="5">
        <v>44226</v>
      </c>
      <c r="B367">
        <v>1.8906000000000001</v>
      </c>
      <c r="C367">
        <v>1.9558</v>
      </c>
      <c r="D367">
        <v>1.8335999999999999</v>
      </c>
      <c r="E367">
        <v>1.9331</v>
      </c>
      <c r="F367">
        <v>1017526.93</v>
      </c>
      <c r="G367">
        <v>0</v>
      </c>
      <c r="L367" t="s">
        <v>7</v>
      </c>
      <c r="M367" t="s">
        <v>8</v>
      </c>
      <c r="N367" t="s">
        <v>8</v>
      </c>
      <c r="P367">
        <f t="shared" si="970"/>
        <v>0.62847790507365098</v>
      </c>
      <c r="Q367">
        <f t="shared" si="971"/>
        <v>639493.1933224235</v>
      </c>
      <c r="R367">
        <f t="shared" si="972"/>
        <v>-7235613.9274321124</v>
      </c>
      <c r="S367">
        <f t="shared" si="973"/>
        <v>-72.356139274321123</v>
      </c>
      <c r="T367">
        <f t="shared" si="974"/>
        <v>-7.2356139274321121E-2</v>
      </c>
    </row>
    <row r="368" spans="1:20" x14ac:dyDescent="0.25">
      <c r="A368" s="5">
        <v>44225</v>
      </c>
      <c r="B368">
        <v>1.9448000000000001</v>
      </c>
      <c r="C368">
        <v>1.986</v>
      </c>
      <c r="D368">
        <v>1.8436999999999999</v>
      </c>
      <c r="E368">
        <v>1.8884000000000001</v>
      </c>
      <c r="F368">
        <v>1357359.2</v>
      </c>
      <c r="G368">
        <v>0</v>
      </c>
      <c r="L368" t="s">
        <v>7</v>
      </c>
      <c r="M368" t="s">
        <v>8</v>
      </c>
      <c r="N368" t="s">
        <v>8</v>
      </c>
      <c r="P368">
        <f t="shared" si="970"/>
        <v>-0.37174982431482567</v>
      </c>
      <c r="Q368">
        <f t="shared" si="971"/>
        <v>-504598.04413211229</v>
      </c>
      <c r="R368">
        <f t="shared" si="972"/>
        <v>-7875107.1207545362</v>
      </c>
      <c r="S368">
        <f t="shared" si="973"/>
        <v>-78.751071207545365</v>
      </c>
      <c r="T368">
        <f t="shared" si="974"/>
        <v>-7.8751071207545362E-2</v>
      </c>
    </row>
    <row r="369" spans="1:20" x14ac:dyDescent="0.25">
      <c r="A369" s="5">
        <v>44224</v>
      </c>
      <c r="B369">
        <v>1.7173</v>
      </c>
      <c r="C369">
        <v>2.0750000000000002</v>
      </c>
      <c r="D369">
        <v>1.6910000000000001</v>
      </c>
      <c r="E369">
        <v>1.9392</v>
      </c>
      <c r="F369">
        <v>3368793.39</v>
      </c>
      <c r="G369">
        <v>0</v>
      </c>
      <c r="L369" t="s">
        <v>8</v>
      </c>
      <c r="M369" t="s">
        <v>8</v>
      </c>
      <c r="N369" t="s">
        <v>8</v>
      </c>
      <c r="P369">
        <f t="shared" si="970"/>
        <v>0.29270833333333279</v>
      </c>
      <c r="Q369">
        <f t="shared" si="971"/>
        <v>986073.89853124821</v>
      </c>
      <c r="R369">
        <f t="shared" si="972"/>
        <v>-7370509.0766224237</v>
      </c>
      <c r="S369">
        <f t="shared" si="973"/>
        <v>-73.705090766224231</v>
      </c>
      <c r="T369">
        <f t="shared" si="974"/>
        <v>-7.3705090766224238E-2</v>
      </c>
    </row>
    <row r="370" spans="1:20" x14ac:dyDescent="0.25">
      <c r="A370" s="5">
        <v>44223</v>
      </c>
      <c r="B370">
        <v>1.9001999999999999</v>
      </c>
      <c r="C370">
        <v>1.9433</v>
      </c>
      <c r="D370">
        <v>1.6533</v>
      </c>
      <c r="E370">
        <v>1.7198</v>
      </c>
      <c r="F370">
        <v>2039735.26</v>
      </c>
      <c r="G370">
        <v>0</v>
      </c>
      <c r="L370" t="s">
        <v>7</v>
      </c>
      <c r="M370" t="s">
        <v>7</v>
      </c>
      <c r="N370" t="s">
        <v>8</v>
      </c>
      <c r="P370">
        <f t="shared" si="970"/>
        <v>-0.54137931034482767</v>
      </c>
      <c r="Q370">
        <f t="shared" si="971"/>
        <v>-1104270.4683448276</v>
      </c>
      <c r="R370">
        <f t="shared" si="972"/>
        <v>-8356582.9751536716</v>
      </c>
      <c r="S370">
        <f t="shared" si="973"/>
        <v>-83.565829751536711</v>
      </c>
      <c r="T370">
        <f t="shared" si="974"/>
        <v>-8.3565829751536716E-2</v>
      </c>
    </row>
    <row r="371" spans="1:20" x14ac:dyDescent="0.25">
      <c r="A371" s="5">
        <v>44222</v>
      </c>
      <c r="B371">
        <v>1.9186000000000001</v>
      </c>
      <c r="C371">
        <v>1.9755</v>
      </c>
      <c r="D371">
        <v>1.7775000000000001</v>
      </c>
      <c r="E371">
        <v>1.9016</v>
      </c>
      <c r="F371">
        <v>1247347.44</v>
      </c>
      <c r="G371">
        <v>0</v>
      </c>
      <c r="L371" t="s">
        <v>7</v>
      </c>
      <c r="M371" t="s">
        <v>7</v>
      </c>
      <c r="N371" t="s">
        <v>8</v>
      </c>
      <c r="P371">
        <f t="shared" si="970"/>
        <v>0.25353535353535256</v>
      </c>
      <c r="Q371">
        <f t="shared" si="971"/>
        <v>316246.67418181692</v>
      </c>
      <c r="R371">
        <f t="shared" si="972"/>
        <v>-7252312.5068088435</v>
      </c>
      <c r="S371">
        <f t="shared" si="973"/>
        <v>-72.523125068088433</v>
      </c>
      <c r="T371">
        <f t="shared" si="974"/>
        <v>-7.2523125068088432E-2</v>
      </c>
    </row>
    <row r="372" spans="1:20" x14ac:dyDescent="0.25">
      <c r="A372" s="5">
        <v>44221</v>
      </c>
      <c r="B372">
        <v>1.8512</v>
      </c>
      <c r="C372">
        <v>2.1084999999999998</v>
      </c>
      <c r="D372">
        <v>1.8505</v>
      </c>
      <c r="E372">
        <v>1.9167000000000001</v>
      </c>
      <c r="F372">
        <v>4752579.99</v>
      </c>
      <c r="G372">
        <v>0</v>
      </c>
      <c r="L372" t="s">
        <v>8</v>
      </c>
      <c r="M372" t="s">
        <v>8</v>
      </c>
      <c r="N372" t="s">
        <v>8</v>
      </c>
      <c r="P372">
        <f t="shared" si="970"/>
        <v>-0.48682170542635589</v>
      </c>
      <c r="Q372">
        <f t="shared" si="971"/>
        <v>-2313659.0959069734</v>
      </c>
      <c r="R372">
        <f t="shared" si="972"/>
        <v>-7568559.1809906606</v>
      </c>
      <c r="S372">
        <f t="shared" si="973"/>
        <v>-75.685591809906612</v>
      </c>
      <c r="T372">
        <f t="shared" si="974"/>
        <v>-7.5685591809906611E-2</v>
      </c>
    </row>
    <row r="373" spans="1:20" x14ac:dyDescent="0.25">
      <c r="A373" s="5">
        <v>44220</v>
      </c>
      <c r="B373">
        <v>1.7604</v>
      </c>
      <c r="C373">
        <v>1.8627</v>
      </c>
      <c r="D373">
        <v>1.7443</v>
      </c>
      <c r="E373">
        <v>1.8479000000000001</v>
      </c>
      <c r="F373">
        <v>811078.5</v>
      </c>
      <c r="G373">
        <v>0</v>
      </c>
      <c r="L373" t="s">
        <v>8</v>
      </c>
      <c r="M373" t="s">
        <v>8</v>
      </c>
      <c r="N373" t="s">
        <v>8</v>
      </c>
      <c r="P373">
        <f t="shared" si="970"/>
        <v>0.75000000000000144</v>
      </c>
      <c r="Q373">
        <f t="shared" si="971"/>
        <v>608308.87500000116</v>
      </c>
      <c r="R373">
        <f t="shared" si="972"/>
        <v>-5254900.0850836867</v>
      </c>
      <c r="S373">
        <f t="shared" si="973"/>
        <v>-52.549000850836869</v>
      </c>
      <c r="T373">
        <f t="shared" si="974"/>
        <v>-5.2549000850836872E-2</v>
      </c>
    </row>
    <row r="374" spans="1:20" x14ac:dyDescent="0.25">
      <c r="A374" s="5">
        <v>44219</v>
      </c>
      <c r="B374">
        <v>1.6887000000000001</v>
      </c>
      <c r="C374">
        <v>1.79</v>
      </c>
      <c r="D374">
        <v>1.6614</v>
      </c>
      <c r="E374">
        <v>1.764</v>
      </c>
      <c r="F374">
        <v>587246.96</v>
      </c>
      <c r="G374">
        <v>0</v>
      </c>
      <c r="L374" t="s">
        <v>8</v>
      </c>
      <c r="M374" t="s">
        <v>8</v>
      </c>
      <c r="N374" t="s">
        <v>8</v>
      </c>
      <c r="P374">
        <f t="shared" si="970"/>
        <v>0.59564541213063738</v>
      </c>
      <c r="Q374">
        <f t="shared" si="971"/>
        <v>349790.9575116639</v>
      </c>
      <c r="R374">
        <f t="shared" si="972"/>
        <v>-5863208.9600836877</v>
      </c>
      <c r="S374">
        <f t="shared" si="973"/>
        <v>-58.632089600836878</v>
      </c>
      <c r="T374">
        <f t="shared" si="974"/>
        <v>-5.8632089600836879E-2</v>
      </c>
    </row>
    <row r="375" spans="1:20" x14ac:dyDescent="0.25">
      <c r="A375" s="5">
        <v>44218</v>
      </c>
      <c r="B375">
        <v>1.4994000000000001</v>
      </c>
      <c r="C375">
        <v>1.736</v>
      </c>
      <c r="D375">
        <v>1.44</v>
      </c>
      <c r="E375">
        <v>1.6879999999999999</v>
      </c>
      <c r="F375">
        <v>1119587.6399999999</v>
      </c>
      <c r="G375">
        <v>0</v>
      </c>
      <c r="L375" t="s">
        <v>7</v>
      </c>
      <c r="M375" t="s">
        <v>8</v>
      </c>
      <c r="N375" t="s">
        <v>8</v>
      </c>
      <c r="P375">
        <f t="shared" si="970"/>
        <v>0.67567567567567544</v>
      </c>
      <c r="Q375">
        <f t="shared" si="971"/>
        <v>756478.1351351348</v>
      </c>
      <c r="R375">
        <f t="shared" si="972"/>
        <v>-6212999.9175953511</v>
      </c>
      <c r="S375">
        <f t="shared" si="973"/>
        <v>-62.129999175953515</v>
      </c>
      <c r="T375">
        <f t="shared" si="974"/>
        <v>-6.2129999175953514E-2</v>
      </c>
    </row>
    <row r="376" spans="1:20" x14ac:dyDescent="0.25">
      <c r="A376" s="5">
        <v>44217</v>
      </c>
      <c r="B376">
        <v>1.7676000000000001</v>
      </c>
      <c r="C376">
        <v>1.7759</v>
      </c>
      <c r="D376">
        <v>1.4633</v>
      </c>
      <c r="E376">
        <v>1.4997</v>
      </c>
      <c r="F376">
        <v>645721.93999999994</v>
      </c>
      <c r="G376">
        <v>0</v>
      </c>
      <c r="L376" t="s">
        <v>7</v>
      </c>
      <c r="M376" t="s">
        <v>7</v>
      </c>
      <c r="N376" t="s">
        <v>8</v>
      </c>
      <c r="P376">
        <f t="shared" si="970"/>
        <v>-0.76711452335252728</v>
      </c>
      <c r="Q376">
        <f t="shared" si="971"/>
        <v>-495342.67822136916</v>
      </c>
      <c r="R376">
        <f t="shared" si="972"/>
        <v>-6969478.0527304858</v>
      </c>
      <c r="S376">
        <f t="shared" si="973"/>
        <v>-69.694780527304857</v>
      </c>
      <c r="T376">
        <f t="shared" si="974"/>
        <v>-6.969478052730485E-2</v>
      </c>
    </row>
    <row r="377" spans="1:20" x14ac:dyDescent="0.25">
      <c r="A377" s="5">
        <v>44216</v>
      </c>
      <c r="B377">
        <v>1.7563</v>
      </c>
      <c r="C377">
        <v>1.8092999999999999</v>
      </c>
      <c r="D377">
        <v>1.6148</v>
      </c>
      <c r="E377">
        <v>1.7675000000000001</v>
      </c>
      <c r="F377">
        <v>740154.48</v>
      </c>
      <c r="G377">
        <v>0</v>
      </c>
      <c r="L377" t="s">
        <v>7</v>
      </c>
      <c r="M377" t="s">
        <v>7</v>
      </c>
      <c r="N377" t="s">
        <v>8</v>
      </c>
      <c r="P377">
        <f t="shared" si="970"/>
        <v>0.57017994858611964</v>
      </c>
      <c r="Q377">
        <f t="shared" si="971"/>
        <v>422021.24335218611</v>
      </c>
      <c r="R377">
        <f t="shared" si="972"/>
        <v>-6474135.3745091166</v>
      </c>
      <c r="S377">
        <f t="shared" si="973"/>
        <v>-64.74135374509116</v>
      </c>
      <c r="T377">
        <f t="shared" si="974"/>
        <v>-6.4741353745091157E-2</v>
      </c>
    </row>
    <row r="378" spans="1:20" x14ac:dyDescent="0.25">
      <c r="A378" s="5">
        <v>44215</v>
      </c>
      <c r="B378">
        <v>1.7863</v>
      </c>
      <c r="C378">
        <v>1.9</v>
      </c>
      <c r="D378">
        <v>1.7397</v>
      </c>
      <c r="E378">
        <v>1.7574000000000001</v>
      </c>
      <c r="F378">
        <v>1493491.25</v>
      </c>
      <c r="G378">
        <v>0</v>
      </c>
      <c r="L378" t="s">
        <v>8</v>
      </c>
      <c r="M378" t="s">
        <v>8</v>
      </c>
      <c r="N378" t="s">
        <v>8</v>
      </c>
      <c r="P378">
        <f t="shared" si="970"/>
        <v>-0.77916406737367361</v>
      </c>
      <c r="Q378">
        <f t="shared" si="971"/>
        <v>-1163674.716936992</v>
      </c>
      <c r="R378">
        <f t="shared" si="972"/>
        <v>-6896156.6178613026</v>
      </c>
      <c r="S378">
        <f t="shared" si="973"/>
        <v>-68.961566178613026</v>
      </c>
      <c r="T378">
        <f t="shared" si="974"/>
        <v>-6.8961566178613029E-2</v>
      </c>
    </row>
    <row r="379" spans="1:20" x14ac:dyDescent="0.25">
      <c r="A379" s="5">
        <v>44214</v>
      </c>
      <c r="B379">
        <v>1.8080000000000001</v>
      </c>
      <c r="C379">
        <v>1.8419000000000001</v>
      </c>
      <c r="D379">
        <v>1.734</v>
      </c>
      <c r="E379">
        <v>1.7849999999999999</v>
      </c>
      <c r="F379">
        <v>680890.88</v>
      </c>
      <c r="G379">
        <v>0</v>
      </c>
      <c r="L379" t="s">
        <v>8</v>
      </c>
      <c r="M379" t="s">
        <v>8</v>
      </c>
      <c r="N379" t="s">
        <v>8</v>
      </c>
      <c r="P379">
        <f t="shared" si="970"/>
        <v>-5.4680259499538766E-2</v>
      </c>
      <c r="Q379">
        <f t="shared" si="971"/>
        <v>-37231.290009269309</v>
      </c>
      <c r="R379">
        <f t="shared" si="972"/>
        <v>-5732481.900924311</v>
      </c>
      <c r="S379">
        <f t="shared" si="973"/>
        <v>-57.324819009243107</v>
      </c>
      <c r="T379">
        <f t="shared" si="974"/>
        <v>-5.7324819009243105E-2</v>
      </c>
    </row>
    <row r="380" spans="1:20" x14ac:dyDescent="0.25">
      <c r="A380" s="5">
        <v>44213</v>
      </c>
      <c r="B380">
        <v>1.7335</v>
      </c>
      <c r="C380">
        <v>1.8376999999999999</v>
      </c>
      <c r="D380">
        <v>1.6729000000000001</v>
      </c>
      <c r="E380">
        <v>1.8058000000000001</v>
      </c>
      <c r="F380">
        <v>871999.13</v>
      </c>
      <c r="G380">
        <v>0</v>
      </c>
      <c r="L380" t="s">
        <v>7</v>
      </c>
      <c r="M380" t="s">
        <v>8</v>
      </c>
      <c r="N380" t="s">
        <v>8</v>
      </c>
      <c r="P380">
        <f t="shared" si="970"/>
        <v>0.61286407766990469</v>
      </c>
      <c r="Q380">
        <f t="shared" si="971"/>
        <v>534416.94253640936</v>
      </c>
      <c r="R380">
        <f t="shared" si="972"/>
        <v>-5695250.6109150415</v>
      </c>
      <c r="S380">
        <f t="shared" si="973"/>
        <v>-56.952506109150413</v>
      </c>
      <c r="T380">
        <f t="shared" si="974"/>
        <v>-5.6952506109150411E-2</v>
      </c>
    </row>
    <row r="381" spans="1:20" x14ac:dyDescent="0.25">
      <c r="A381" s="5">
        <v>44212</v>
      </c>
      <c r="B381">
        <v>1.6980999999999999</v>
      </c>
      <c r="C381">
        <v>1.8568</v>
      </c>
      <c r="D381">
        <v>1.69</v>
      </c>
      <c r="E381">
        <v>1.7342</v>
      </c>
      <c r="F381">
        <v>1110204.6100000001</v>
      </c>
      <c r="G381">
        <v>0</v>
      </c>
      <c r="L381" t="s">
        <v>8</v>
      </c>
      <c r="M381" t="s">
        <v>8</v>
      </c>
      <c r="N381" t="s">
        <v>8</v>
      </c>
      <c r="P381">
        <f t="shared" si="970"/>
        <v>-0.47002398081534769</v>
      </c>
      <c r="Q381">
        <f t="shared" si="971"/>
        <v>-521822.79031175061</v>
      </c>
      <c r="R381">
        <f t="shared" si="972"/>
        <v>-6229667.5534514505</v>
      </c>
      <c r="S381">
        <f t="shared" si="973"/>
        <v>-62.296675534514506</v>
      </c>
      <c r="T381">
        <f t="shared" si="974"/>
        <v>-6.2296675534514505E-2</v>
      </c>
    </row>
    <row r="382" spans="1:20" x14ac:dyDescent="0.25">
      <c r="A382" s="5">
        <v>44211</v>
      </c>
      <c r="B382">
        <v>1.6809000000000001</v>
      </c>
      <c r="C382">
        <v>1.7797000000000001</v>
      </c>
      <c r="D382">
        <v>1.4996</v>
      </c>
      <c r="E382">
        <v>1.6954</v>
      </c>
      <c r="F382">
        <v>1931847.18</v>
      </c>
      <c r="G382">
        <v>0</v>
      </c>
      <c r="L382" t="s">
        <v>8</v>
      </c>
      <c r="M382" t="s">
        <v>8</v>
      </c>
      <c r="N382" t="s">
        <v>8</v>
      </c>
      <c r="P382">
        <f t="shared" si="970"/>
        <v>0.39807211710103507</v>
      </c>
      <c r="Q382">
        <f t="shared" si="971"/>
        <v>769014.49685826432</v>
      </c>
      <c r="R382">
        <f t="shared" si="972"/>
        <v>-5707844.7631396996</v>
      </c>
      <c r="S382">
        <f t="shared" si="973"/>
        <v>-57.078447631396998</v>
      </c>
      <c r="T382">
        <f t="shared" si="974"/>
        <v>-5.7078447631396995E-2</v>
      </c>
    </row>
    <row r="383" spans="1:20" x14ac:dyDescent="0.25">
      <c r="A383" s="5">
        <v>44210</v>
      </c>
      <c r="B383">
        <v>1.5128999999999999</v>
      </c>
      <c r="C383">
        <v>1.75</v>
      </c>
      <c r="D383">
        <v>1.4762999999999999</v>
      </c>
      <c r="E383">
        <v>1.6811</v>
      </c>
      <c r="F383">
        <v>1884068.58</v>
      </c>
      <c r="G383">
        <v>0</v>
      </c>
      <c r="L383" t="s">
        <v>8</v>
      </c>
      <c r="M383" t="s">
        <v>8</v>
      </c>
      <c r="N383" t="s">
        <v>8</v>
      </c>
      <c r="P383">
        <f t="shared" si="970"/>
        <v>0.49652904640116957</v>
      </c>
      <c r="Q383">
        <f t="shared" si="971"/>
        <v>935494.77538180572</v>
      </c>
      <c r="R383">
        <f t="shared" si="972"/>
        <v>-6476859.2599979639</v>
      </c>
      <c r="S383">
        <f t="shared" si="973"/>
        <v>-64.768592599979641</v>
      </c>
      <c r="T383">
        <f t="shared" si="974"/>
        <v>-6.4768592599979635E-2</v>
      </c>
    </row>
    <row r="384" spans="1:20" x14ac:dyDescent="0.25">
      <c r="A384" s="5">
        <v>44209</v>
      </c>
      <c r="B384">
        <v>1.3742000000000001</v>
      </c>
      <c r="C384">
        <v>1.5185</v>
      </c>
      <c r="D384">
        <v>1.3227</v>
      </c>
      <c r="E384">
        <v>1.51</v>
      </c>
      <c r="F384">
        <v>806183.33</v>
      </c>
      <c r="G384">
        <v>0</v>
      </c>
      <c r="L384" t="s">
        <v>8</v>
      </c>
      <c r="M384" t="s">
        <v>8</v>
      </c>
      <c r="N384" t="s">
        <v>8</v>
      </c>
      <c r="P384">
        <f t="shared" si="970"/>
        <v>0.91317671092952035</v>
      </c>
      <c r="Q384">
        <f t="shared" si="971"/>
        <v>736187.84169560811</v>
      </c>
      <c r="R384">
        <f t="shared" si="972"/>
        <v>-7412354.0353797693</v>
      </c>
      <c r="S384">
        <f t="shared" si="973"/>
        <v>-74.123540353797694</v>
      </c>
      <c r="T384">
        <f t="shared" si="974"/>
        <v>-7.4123540353797687E-2</v>
      </c>
    </row>
    <row r="385" spans="1:20" x14ac:dyDescent="0.25">
      <c r="A385" s="5">
        <v>44208</v>
      </c>
      <c r="B385">
        <v>1.3922000000000001</v>
      </c>
      <c r="C385">
        <v>1.4730000000000001</v>
      </c>
      <c r="D385">
        <v>1.3208</v>
      </c>
      <c r="E385">
        <v>1.3782000000000001</v>
      </c>
      <c r="F385">
        <v>830370.02</v>
      </c>
      <c r="G385">
        <v>0</v>
      </c>
      <c r="L385" t="s">
        <v>8</v>
      </c>
      <c r="M385" t="s">
        <v>7</v>
      </c>
      <c r="N385" t="s">
        <v>8</v>
      </c>
      <c r="P385">
        <f t="shared" si="970"/>
        <v>-0.24572930354796221</v>
      </c>
      <c r="Q385">
        <f t="shared" si="971"/>
        <v>-204046.24670170745</v>
      </c>
      <c r="R385">
        <f t="shared" si="972"/>
        <v>-8148541.8770753769</v>
      </c>
      <c r="S385">
        <f t="shared" si="973"/>
        <v>-81.485418770753768</v>
      </c>
      <c r="T385">
        <f t="shared" si="974"/>
        <v>-8.148541877075377E-2</v>
      </c>
    </row>
    <row r="386" spans="1:20" x14ac:dyDescent="0.25">
      <c r="A386" s="5">
        <v>44207</v>
      </c>
      <c r="B386">
        <v>1.5696000000000001</v>
      </c>
      <c r="C386">
        <v>1.5758000000000001</v>
      </c>
      <c r="D386">
        <v>1.2222</v>
      </c>
      <c r="E386">
        <v>1.391</v>
      </c>
      <c r="F386">
        <v>1730977.09</v>
      </c>
      <c r="G386">
        <v>0</v>
      </c>
      <c r="L386" t="s">
        <v>7</v>
      </c>
      <c r="M386" t="s">
        <v>7</v>
      </c>
      <c r="N386" t="s">
        <v>8</v>
      </c>
      <c r="P386">
        <f t="shared" si="970"/>
        <v>-4.5248868778280563E-2</v>
      </c>
      <c r="Q386">
        <f t="shared" si="971"/>
        <v>-78324.755203619949</v>
      </c>
      <c r="R386">
        <f t="shared" si="972"/>
        <v>-7944495.6303736698</v>
      </c>
      <c r="S386">
        <f t="shared" si="973"/>
        <v>-79.444956303736703</v>
      </c>
      <c r="T386">
        <f t="shared" si="974"/>
        <v>-7.94449563037367E-2</v>
      </c>
    </row>
    <row r="387" spans="1:20" x14ac:dyDescent="0.25">
      <c r="A387" s="5">
        <v>44206</v>
      </c>
      <c r="B387">
        <v>1.6246</v>
      </c>
      <c r="C387">
        <v>1.7238</v>
      </c>
      <c r="D387">
        <v>1.4488000000000001</v>
      </c>
      <c r="E387">
        <v>1.5710999999999999</v>
      </c>
      <c r="F387">
        <v>1634658.69</v>
      </c>
      <c r="G387">
        <v>0</v>
      </c>
      <c r="L387" t="s">
        <v>8</v>
      </c>
      <c r="M387" t="s">
        <v>8</v>
      </c>
      <c r="N387" t="s">
        <v>8</v>
      </c>
      <c r="P387">
        <f t="shared" si="970"/>
        <v>-0.11054545454545532</v>
      </c>
      <c r="Q387">
        <f t="shared" si="971"/>
        <v>-180704.08791272854</v>
      </c>
      <c r="R387">
        <f t="shared" si="972"/>
        <v>-7866170.8751700502</v>
      </c>
      <c r="S387">
        <f t="shared" si="973"/>
        <v>-78.661708751700502</v>
      </c>
      <c r="T387">
        <f t="shared" si="974"/>
        <v>-7.8661708751700504E-2</v>
      </c>
    </row>
    <row r="388" spans="1:20" x14ac:dyDescent="0.25">
      <c r="A388" s="5">
        <v>44205</v>
      </c>
      <c r="B388">
        <v>1.5617000000000001</v>
      </c>
      <c r="C388">
        <v>1.6500999999999999</v>
      </c>
      <c r="D388">
        <v>1.506</v>
      </c>
      <c r="E388">
        <v>1.6235999999999999</v>
      </c>
      <c r="F388">
        <v>841256.45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0.63219986120749494</v>
      </c>
      <c r="Q388">
        <f t="shared" si="971"/>
        <v>531842.21092990984</v>
      </c>
      <c r="R388">
        <f t="shared" si="972"/>
        <v>-7685466.7872573212</v>
      </c>
      <c r="S388">
        <f t="shared" si="973"/>
        <v>-76.854667872573216</v>
      </c>
      <c r="T388">
        <f t="shared" si="974"/>
        <v>-7.685466787257321E-2</v>
      </c>
    </row>
    <row r="389" spans="1:20" x14ac:dyDescent="0.25">
      <c r="A389" s="5">
        <v>44204</v>
      </c>
      <c r="B389">
        <v>1.5992999999999999</v>
      </c>
      <c r="C389">
        <v>1.6288</v>
      </c>
      <c r="D389">
        <v>1.4239999999999999</v>
      </c>
      <c r="E389">
        <v>1.5617000000000001</v>
      </c>
      <c r="F389">
        <v>1176241.04</v>
      </c>
      <c r="G389">
        <v>0</v>
      </c>
      <c r="L389" t="s">
        <v>7</v>
      </c>
      <c r="M389" t="s">
        <v>8</v>
      </c>
      <c r="N389" t="s">
        <v>8</v>
      </c>
      <c r="P389">
        <f t="shared" si="970"/>
        <v>0.34472656250000089</v>
      </c>
      <c r="Q389">
        <f t="shared" si="971"/>
        <v>405481.53039062605</v>
      </c>
      <c r="R389">
        <f t="shared" si="972"/>
        <v>-8217308.9981872309</v>
      </c>
      <c r="S389">
        <f t="shared" si="973"/>
        <v>-82.173089981872309</v>
      </c>
      <c r="T389">
        <f t="shared" si="974"/>
        <v>-8.217308998187231E-2</v>
      </c>
    </row>
    <row r="390" spans="1:20" x14ac:dyDescent="0.25">
      <c r="A390" s="5">
        <v>44203</v>
      </c>
      <c r="B390">
        <v>1.5842000000000001</v>
      </c>
      <c r="C390">
        <v>1.6968000000000001</v>
      </c>
      <c r="D390">
        <v>1.4658</v>
      </c>
      <c r="E390">
        <v>1.5986</v>
      </c>
      <c r="F390">
        <v>1521530.52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0.14978354978354957</v>
      </c>
      <c r="Q390">
        <f t="shared" ref="Q390:Q453" si="976">F390*P390</f>
        <v>227900.24238961007</v>
      </c>
      <c r="R390">
        <f t="shared" ref="R390:R453" si="977">R391+Q390</f>
        <v>-8622790.5285778567</v>
      </c>
      <c r="S390">
        <f t="shared" ref="S390:S453" si="978">R390/100000</f>
        <v>-86.227905285778562</v>
      </c>
      <c r="T390">
        <f t="shared" ref="T390:T453" si="979">S390/1000</f>
        <v>-8.6227905285778561E-2</v>
      </c>
    </row>
    <row r="391" spans="1:20" x14ac:dyDescent="0.25">
      <c r="A391" s="5">
        <v>44202</v>
      </c>
      <c r="B391">
        <v>1.5790999999999999</v>
      </c>
      <c r="C391">
        <v>1.6257999999999999</v>
      </c>
      <c r="D391">
        <v>1.4879</v>
      </c>
      <c r="E391">
        <v>1.5778000000000001</v>
      </c>
      <c r="F391">
        <v>1959320.74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0.30384336475707252</v>
      </c>
      <c r="Q391">
        <f t="shared" si="976"/>
        <v>595326.60627991729</v>
      </c>
      <c r="R391">
        <f t="shared" si="977"/>
        <v>-8850690.7709674668</v>
      </c>
      <c r="S391">
        <f t="shared" si="978"/>
        <v>-88.506907709674664</v>
      </c>
      <c r="T391">
        <f t="shared" si="979"/>
        <v>-8.8506907709674662E-2</v>
      </c>
    </row>
    <row r="392" spans="1:20" x14ac:dyDescent="0.25">
      <c r="A392" s="5">
        <v>44201</v>
      </c>
      <c r="B392">
        <v>1.4055</v>
      </c>
      <c r="C392">
        <v>1.5960000000000001</v>
      </c>
      <c r="D392">
        <v>1.3360000000000001</v>
      </c>
      <c r="E392">
        <v>1.5791999999999999</v>
      </c>
      <c r="F392">
        <v>1653675.42</v>
      </c>
      <c r="G392">
        <v>0</v>
      </c>
      <c r="L392" t="s">
        <v>7</v>
      </c>
      <c r="M392" t="s">
        <v>7</v>
      </c>
      <c r="N392" t="s">
        <v>8</v>
      </c>
      <c r="P392">
        <f t="shared" si="975"/>
        <v>0.87076923076922963</v>
      </c>
      <c r="Q392">
        <f t="shared" si="976"/>
        <v>1439969.6734153826</v>
      </c>
      <c r="R392">
        <f t="shared" si="977"/>
        <v>-9446017.3772473838</v>
      </c>
      <c r="S392">
        <f t="shared" si="978"/>
        <v>-94.460173772473837</v>
      </c>
      <c r="T392">
        <f t="shared" si="979"/>
        <v>-9.4460173772473843E-2</v>
      </c>
    </row>
    <row r="393" spans="1:20" x14ac:dyDescent="0.25">
      <c r="A393" s="5">
        <v>44200</v>
      </c>
      <c r="B393">
        <v>1.4046000000000001</v>
      </c>
      <c r="C393">
        <v>1.59</v>
      </c>
      <c r="D393">
        <v>1.2433000000000001</v>
      </c>
      <c r="E393">
        <v>1.4033</v>
      </c>
      <c r="F393">
        <v>1817961.72</v>
      </c>
      <c r="G393">
        <v>0</v>
      </c>
      <c r="L393" t="s">
        <v>8</v>
      </c>
      <c r="M393" t="s">
        <v>8</v>
      </c>
      <c r="N393" t="s">
        <v>8</v>
      </c>
      <c r="P393">
        <f t="shared" si="975"/>
        <v>-7.7011825785982604E-2</v>
      </c>
      <c r="Q393">
        <f t="shared" si="976"/>
        <v>-140004.55126622529</v>
      </c>
      <c r="R393">
        <f t="shared" si="977"/>
        <v>-10885987.050662767</v>
      </c>
      <c r="S393">
        <f t="shared" si="978"/>
        <v>-108.85987050662767</v>
      </c>
      <c r="T393">
        <f t="shared" si="979"/>
        <v>-0.10885987050662767</v>
      </c>
    </row>
    <row r="394" spans="1:20" x14ac:dyDescent="0.25">
      <c r="A394" s="5">
        <v>44199</v>
      </c>
      <c r="B394">
        <v>1.2783</v>
      </c>
      <c r="C394">
        <v>1.4369000000000001</v>
      </c>
      <c r="D394">
        <v>1.2757000000000001</v>
      </c>
      <c r="E394">
        <v>1.3987000000000001</v>
      </c>
      <c r="F394">
        <v>1589411.53</v>
      </c>
      <c r="G394">
        <v>0</v>
      </c>
      <c r="L394" t="s">
        <v>8</v>
      </c>
      <c r="M394" t="s">
        <v>8</v>
      </c>
      <c r="N394" t="s">
        <v>7</v>
      </c>
      <c r="P394">
        <f t="shared" si="975"/>
        <v>0.52605459057071946</v>
      </c>
      <c r="Q394">
        <f t="shared" si="976"/>
        <v>836117.2316625308</v>
      </c>
      <c r="R394">
        <f t="shared" si="977"/>
        <v>-10745982.499396542</v>
      </c>
      <c r="S394">
        <f t="shared" si="978"/>
        <v>-107.45982499396543</v>
      </c>
      <c r="T394">
        <f t="shared" si="979"/>
        <v>-0.10745982499396543</v>
      </c>
    </row>
    <row r="395" spans="1:20" x14ac:dyDescent="0.25">
      <c r="A395" s="5">
        <v>44198</v>
      </c>
      <c r="B395">
        <v>1.2881</v>
      </c>
      <c r="C395">
        <v>1.3199000000000001</v>
      </c>
      <c r="D395">
        <v>1.25</v>
      </c>
      <c r="E395">
        <v>1.2783</v>
      </c>
      <c r="F395">
        <v>850649.56</v>
      </c>
      <c r="G395">
        <v>0</v>
      </c>
      <c r="L395" t="s">
        <v>7</v>
      </c>
      <c r="M395" t="s">
        <v>8</v>
      </c>
      <c r="N395" t="s">
        <v>7</v>
      </c>
      <c r="P395">
        <f t="shared" si="975"/>
        <v>-0.19027181688126002</v>
      </c>
      <c r="Q395">
        <f t="shared" si="976"/>
        <v>-161854.63731044441</v>
      </c>
      <c r="R395">
        <f t="shared" si="977"/>
        <v>-11582099.731059073</v>
      </c>
      <c r="S395">
        <f t="shared" si="978"/>
        <v>-115.82099731059073</v>
      </c>
      <c r="T395">
        <f t="shared" si="979"/>
        <v>-0.11582099731059073</v>
      </c>
    </row>
    <row r="396" spans="1:20" x14ac:dyDescent="0.25">
      <c r="A396" s="5">
        <v>44197</v>
      </c>
      <c r="B396">
        <v>1.2647999999999999</v>
      </c>
      <c r="C396">
        <v>1.323</v>
      </c>
      <c r="D396">
        <v>1.2509999999999999</v>
      </c>
      <c r="E396">
        <v>1.2907</v>
      </c>
      <c r="F396">
        <v>966466.26</v>
      </c>
      <c r="G396">
        <v>0</v>
      </c>
      <c r="L396" t="s">
        <v>7</v>
      </c>
      <c r="M396" t="s">
        <v>8</v>
      </c>
      <c r="N396" t="s">
        <v>7</v>
      </c>
      <c r="P396">
        <f t="shared" si="975"/>
        <v>0.1027777777777787</v>
      </c>
      <c r="Q396">
        <f t="shared" si="976"/>
        <v>99331.254500000898</v>
      </c>
      <c r="R396">
        <f t="shared" si="977"/>
        <v>-11420245.093748627</v>
      </c>
      <c r="S396">
        <f t="shared" si="978"/>
        <v>-114.20245093748628</v>
      </c>
      <c r="T396">
        <f t="shared" si="979"/>
        <v>-0.11420245093748628</v>
      </c>
    </row>
    <row r="397" spans="1:20" x14ac:dyDescent="0.25">
      <c r="A397" s="5">
        <v>44196</v>
      </c>
      <c r="B397">
        <v>1.3214999999999999</v>
      </c>
      <c r="C397">
        <v>1.3259000000000001</v>
      </c>
      <c r="D397">
        <v>1.2578</v>
      </c>
      <c r="E397">
        <v>1.2627999999999999</v>
      </c>
      <c r="F397">
        <v>808174.74</v>
      </c>
      <c r="G397">
        <v>0</v>
      </c>
      <c r="L397" t="s">
        <v>7</v>
      </c>
      <c r="M397" t="s">
        <v>8</v>
      </c>
      <c r="N397" t="s">
        <v>7</v>
      </c>
      <c r="P397">
        <f t="shared" si="975"/>
        <v>-0.85315712187959203</v>
      </c>
      <c r="Q397">
        <f t="shared" si="976"/>
        <v>-689500.03515418759</v>
      </c>
      <c r="R397">
        <f t="shared" si="977"/>
        <v>-11519576.348248629</v>
      </c>
      <c r="S397">
        <f t="shared" si="978"/>
        <v>-115.19576348248629</v>
      </c>
      <c r="T397">
        <f t="shared" si="979"/>
        <v>-0.11519576348248628</v>
      </c>
    </row>
    <row r="398" spans="1:20" x14ac:dyDescent="0.25">
      <c r="A398" s="5">
        <v>44195</v>
      </c>
      <c r="B398">
        <v>1.3368</v>
      </c>
      <c r="C398">
        <v>1.3547</v>
      </c>
      <c r="D398">
        <v>1.2847999999999999</v>
      </c>
      <c r="E398">
        <v>1.3225</v>
      </c>
      <c r="F398">
        <v>762291.01</v>
      </c>
      <c r="G398">
        <v>0</v>
      </c>
      <c r="L398" t="s">
        <v>7</v>
      </c>
      <c r="M398" t="s">
        <v>8</v>
      </c>
      <c r="N398" t="s">
        <v>7</v>
      </c>
      <c r="P398">
        <f t="shared" si="975"/>
        <v>7.8683834048641696E-2</v>
      </c>
      <c r="Q398">
        <f t="shared" si="976"/>
        <v>59979.979327611465</v>
      </c>
      <c r="R398">
        <f t="shared" si="977"/>
        <v>-10830076.313094441</v>
      </c>
      <c r="S398">
        <f t="shared" si="978"/>
        <v>-108.3007631309444</v>
      </c>
      <c r="T398">
        <f t="shared" si="979"/>
        <v>-0.1083007631309444</v>
      </c>
    </row>
    <row r="399" spans="1:20" x14ac:dyDescent="0.25">
      <c r="A399" s="5">
        <v>44194</v>
      </c>
      <c r="B399">
        <v>1.3563000000000001</v>
      </c>
      <c r="C399">
        <v>1.4045000000000001</v>
      </c>
      <c r="D399">
        <v>1.2805</v>
      </c>
      <c r="E399">
        <v>1.3348</v>
      </c>
      <c r="F399">
        <v>2633735.88</v>
      </c>
      <c r="G399">
        <v>0</v>
      </c>
      <c r="L399" t="s">
        <v>7</v>
      </c>
      <c r="M399" t="s">
        <v>8</v>
      </c>
      <c r="N399" t="s">
        <v>7</v>
      </c>
      <c r="P399">
        <f t="shared" si="975"/>
        <v>-0.12419354838709731</v>
      </c>
      <c r="Q399">
        <f t="shared" si="976"/>
        <v>-327093.00445161428</v>
      </c>
      <c r="R399">
        <f t="shared" si="977"/>
        <v>-10890056.292422052</v>
      </c>
      <c r="S399">
        <f t="shared" si="978"/>
        <v>-108.90056292422052</v>
      </c>
      <c r="T399">
        <f t="shared" si="979"/>
        <v>-0.10890056292422053</v>
      </c>
    </row>
    <row r="400" spans="1:20" x14ac:dyDescent="0.25">
      <c r="A400" s="5">
        <v>44193</v>
      </c>
      <c r="B400">
        <v>1.2796000000000001</v>
      </c>
      <c r="C400">
        <v>1.4443999999999999</v>
      </c>
      <c r="D400">
        <v>1.2702</v>
      </c>
      <c r="E400">
        <v>1.3541000000000001</v>
      </c>
      <c r="F400">
        <v>2175861.98</v>
      </c>
      <c r="G400">
        <v>0</v>
      </c>
      <c r="L400" t="s">
        <v>8</v>
      </c>
      <c r="M400" t="s">
        <v>8</v>
      </c>
      <c r="N400" t="s">
        <v>7</v>
      </c>
      <c r="P400">
        <f t="shared" si="975"/>
        <v>-3.6739380022960635E-2</v>
      </c>
      <c r="Q400">
        <f t="shared" si="976"/>
        <v>-79939.820160731571</v>
      </c>
      <c r="R400">
        <f t="shared" si="977"/>
        <v>-10562963.287970439</v>
      </c>
      <c r="S400">
        <f t="shared" si="978"/>
        <v>-105.62963287970439</v>
      </c>
      <c r="T400">
        <f t="shared" si="979"/>
        <v>-0.10562963287970439</v>
      </c>
    </row>
    <row r="401" spans="1:20" x14ac:dyDescent="0.25">
      <c r="A401" s="5">
        <v>44192</v>
      </c>
      <c r="B401">
        <v>1.2769999999999999</v>
      </c>
      <c r="C401">
        <v>1.349</v>
      </c>
      <c r="D401">
        <v>1.2168000000000001</v>
      </c>
      <c r="E401">
        <v>1.2822</v>
      </c>
      <c r="F401">
        <v>1614575.83</v>
      </c>
      <c r="G401">
        <v>0</v>
      </c>
      <c r="L401" t="s">
        <v>8</v>
      </c>
      <c r="M401" t="s">
        <v>8</v>
      </c>
      <c r="N401" t="s">
        <v>7</v>
      </c>
      <c r="P401">
        <f t="shared" si="975"/>
        <v>-1.0590015128593564E-2</v>
      </c>
      <c r="Q401">
        <f t="shared" si="976"/>
        <v>-17098.382465961513</v>
      </c>
      <c r="R401">
        <f t="shared" si="977"/>
        <v>-10483023.467809707</v>
      </c>
      <c r="S401">
        <f t="shared" si="978"/>
        <v>-104.83023467809707</v>
      </c>
      <c r="T401">
        <f t="shared" si="979"/>
        <v>-0.10483023467809707</v>
      </c>
    </row>
    <row r="402" spans="1:20" x14ac:dyDescent="0.25">
      <c r="A402" s="5">
        <v>44191</v>
      </c>
      <c r="B402">
        <v>1.2184999999999999</v>
      </c>
      <c r="C402">
        <v>1.3029999999999999</v>
      </c>
      <c r="D402">
        <v>1.1941999999999999</v>
      </c>
      <c r="E402">
        <v>1.2766</v>
      </c>
      <c r="F402">
        <v>2100713.86</v>
      </c>
      <c r="G402">
        <v>0</v>
      </c>
      <c r="L402" t="s">
        <v>8</v>
      </c>
      <c r="M402" t="s">
        <v>8</v>
      </c>
      <c r="N402" t="s">
        <v>7</v>
      </c>
      <c r="P402">
        <f t="shared" si="975"/>
        <v>0.51470588235294157</v>
      </c>
      <c r="Q402">
        <f t="shared" si="976"/>
        <v>1081249.7808823537</v>
      </c>
      <c r="R402">
        <f t="shared" si="977"/>
        <v>-10465925.085343745</v>
      </c>
      <c r="S402">
        <f t="shared" si="978"/>
        <v>-104.65925085343744</v>
      </c>
      <c r="T402">
        <f t="shared" si="979"/>
        <v>-0.10465925085343744</v>
      </c>
    </row>
    <row r="403" spans="1:20" x14ac:dyDescent="0.25">
      <c r="A403" s="5">
        <v>44190</v>
      </c>
      <c r="B403">
        <v>1.2272000000000001</v>
      </c>
      <c r="C403">
        <v>1.2538</v>
      </c>
      <c r="D403">
        <v>1.1859999999999999</v>
      </c>
      <c r="E403">
        <v>1.2182999999999999</v>
      </c>
      <c r="F403">
        <v>1462389.89</v>
      </c>
      <c r="G403">
        <v>0</v>
      </c>
      <c r="L403" t="s">
        <v>8</v>
      </c>
      <c r="M403" t="s">
        <v>7</v>
      </c>
      <c r="N403" t="s">
        <v>7</v>
      </c>
      <c r="P403">
        <f t="shared" si="975"/>
        <v>-4.7197640117995397E-2</v>
      </c>
      <c r="Q403">
        <f t="shared" si="976"/>
        <v>-69021.351740414873</v>
      </c>
      <c r="R403">
        <f t="shared" si="977"/>
        <v>-11547174.866226098</v>
      </c>
      <c r="S403">
        <f t="shared" si="978"/>
        <v>-115.47174866226098</v>
      </c>
      <c r="T403">
        <f t="shared" si="979"/>
        <v>-0.11547174866226098</v>
      </c>
    </row>
    <row r="404" spans="1:20" x14ac:dyDescent="0.25">
      <c r="A404" s="5">
        <v>44189</v>
      </c>
      <c r="B404">
        <v>1.181</v>
      </c>
      <c r="C404">
        <v>1.2509999999999999</v>
      </c>
      <c r="D404">
        <v>1.0929</v>
      </c>
      <c r="E404">
        <v>1.2293000000000001</v>
      </c>
      <c r="F404">
        <v>2351847.66</v>
      </c>
      <c r="G404">
        <v>0</v>
      </c>
      <c r="L404" t="s">
        <v>7</v>
      </c>
      <c r="M404" t="s">
        <v>7</v>
      </c>
      <c r="N404" t="s">
        <v>7</v>
      </c>
      <c r="P404">
        <f t="shared" si="975"/>
        <v>0.72549019607843335</v>
      </c>
      <c r="Q404">
        <f t="shared" si="976"/>
        <v>1706242.4200000048</v>
      </c>
      <c r="R404">
        <f t="shared" si="977"/>
        <v>-11478153.514485683</v>
      </c>
      <c r="S404">
        <f t="shared" si="978"/>
        <v>-114.78153514485683</v>
      </c>
      <c r="T404">
        <f t="shared" si="979"/>
        <v>-0.11478153514485684</v>
      </c>
    </row>
    <row r="405" spans="1:20" x14ac:dyDescent="0.25">
      <c r="A405" s="5">
        <v>44188</v>
      </c>
      <c r="B405">
        <v>1.3519000000000001</v>
      </c>
      <c r="C405">
        <v>1.3632</v>
      </c>
      <c r="D405">
        <v>1.1076999999999999</v>
      </c>
      <c r="E405">
        <v>1.1809000000000001</v>
      </c>
      <c r="F405">
        <v>3645286.86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-0.42700587084148622</v>
      </c>
      <c r="Q405">
        <f t="shared" si="976"/>
        <v>-1556558.8901213268</v>
      </c>
      <c r="R405">
        <f t="shared" si="977"/>
        <v>-13184395.934485689</v>
      </c>
      <c r="S405">
        <f t="shared" si="978"/>
        <v>-131.8439593448569</v>
      </c>
      <c r="T405">
        <f t="shared" si="979"/>
        <v>-0.1318439593448569</v>
      </c>
    </row>
    <row r="406" spans="1:20" x14ac:dyDescent="0.25">
      <c r="A406" s="5">
        <v>44187</v>
      </c>
      <c r="B406">
        <v>1.2310000000000001</v>
      </c>
      <c r="C406">
        <v>1.472</v>
      </c>
      <c r="D406">
        <v>1.1971000000000001</v>
      </c>
      <c r="E406">
        <v>1.3520000000000001</v>
      </c>
      <c r="F406">
        <v>6151122.8600000003</v>
      </c>
      <c r="G406">
        <v>0</v>
      </c>
      <c r="L406" t="s">
        <v>8</v>
      </c>
      <c r="M406" t="s">
        <v>7</v>
      </c>
      <c r="N406" t="s">
        <v>7</v>
      </c>
      <c r="P406">
        <f t="shared" si="975"/>
        <v>0.12695525645689401</v>
      </c>
      <c r="Q406">
        <f t="shared" si="976"/>
        <v>780917.38018916338</v>
      </c>
      <c r="R406">
        <f t="shared" si="977"/>
        <v>-11627837.044364361</v>
      </c>
      <c r="S406">
        <f t="shared" si="978"/>
        <v>-116.27837044364361</v>
      </c>
      <c r="T406">
        <f t="shared" si="979"/>
        <v>-0.11627837044364361</v>
      </c>
    </row>
    <row r="407" spans="1:20" x14ac:dyDescent="0.25">
      <c r="A407" s="5">
        <v>44186</v>
      </c>
      <c r="B407">
        <v>1.3028999999999999</v>
      </c>
      <c r="C407">
        <v>1.35</v>
      </c>
      <c r="D407">
        <v>1.2181999999999999</v>
      </c>
      <c r="E407">
        <v>1.2302</v>
      </c>
      <c r="F407">
        <v>2308012.19</v>
      </c>
      <c r="G407">
        <v>0</v>
      </c>
      <c r="L407" t="s">
        <v>7</v>
      </c>
      <c r="M407" t="s">
        <v>7</v>
      </c>
      <c r="N407" t="s">
        <v>7</v>
      </c>
      <c r="P407">
        <f t="shared" si="975"/>
        <v>-0.81790591805766311</v>
      </c>
      <c r="Q407">
        <f t="shared" si="976"/>
        <v>-1887736.8291502276</v>
      </c>
      <c r="R407">
        <f t="shared" si="977"/>
        <v>-12408754.424553525</v>
      </c>
      <c r="S407">
        <f t="shared" si="978"/>
        <v>-124.08754424553524</v>
      </c>
      <c r="T407">
        <f t="shared" si="979"/>
        <v>-0.12408754424553524</v>
      </c>
    </row>
    <row r="408" spans="1:20" x14ac:dyDescent="0.25">
      <c r="A408" s="5">
        <v>44185</v>
      </c>
      <c r="B408">
        <v>1.3714</v>
      </c>
      <c r="C408">
        <v>1.3714</v>
      </c>
      <c r="D408">
        <v>1.2833000000000001</v>
      </c>
      <c r="E408">
        <v>1.3057000000000001</v>
      </c>
      <c r="F408">
        <v>2918898.95</v>
      </c>
      <c r="G408">
        <v>0</v>
      </c>
      <c r="L408" t="s">
        <v>7</v>
      </c>
      <c r="M408" t="s">
        <v>7</v>
      </c>
      <c r="N408" t="s">
        <v>7</v>
      </c>
      <c r="P408">
        <f t="shared" si="975"/>
        <v>-0.49148694665153203</v>
      </c>
      <c r="Q408">
        <f t="shared" si="976"/>
        <v>-1434600.7325198629</v>
      </c>
      <c r="R408">
        <f t="shared" si="977"/>
        <v>-10521017.595403297</v>
      </c>
      <c r="S408">
        <f t="shared" si="978"/>
        <v>-105.21017595403296</v>
      </c>
      <c r="T408">
        <f t="shared" si="979"/>
        <v>-0.10521017595403297</v>
      </c>
    </row>
    <row r="409" spans="1:20" x14ac:dyDescent="0.25">
      <c r="A409" s="5">
        <v>44184</v>
      </c>
      <c r="B409">
        <v>1.3978999999999999</v>
      </c>
      <c r="C409">
        <v>1.4945999999999999</v>
      </c>
      <c r="D409">
        <v>1.3514999999999999</v>
      </c>
      <c r="E409">
        <v>1.3714</v>
      </c>
      <c r="F409">
        <v>4398205.82</v>
      </c>
      <c r="G409">
        <v>0</v>
      </c>
      <c r="L409" t="s">
        <v>8</v>
      </c>
      <c r="M409" t="s">
        <v>7</v>
      </c>
      <c r="N409" t="s">
        <v>8</v>
      </c>
      <c r="P409">
        <f t="shared" si="975"/>
        <v>-0.72187281621243848</v>
      </c>
      <c r="Q409">
        <f t="shared" si="976"/>
        <v>-3174945.2215653374</v>
      </c>
      <c r="R409">
        <f t="shared" si="977"/>
        <v>-9086416.8628834337</v>
      </c>
      <c r="S409">
        <f t="shared" si="978"/>
        <v>-90.864168628834335</v>
      </c>
      <c r="T409">
        <f t="shared" si="979"/>
        <v>-9.0864168628834341E-2</v>
      </c>
    </row>
    <row r="410" spans="1:20" x14ac:dyDescent="0.25">
      <c r="A410" s="5">
        <v>44183</v>
      </c>
      <c r="B410">
        <v>1.4248000000000001</v>
      </c>
      <c r="C410">
        <v>1.4644999999999999</v>
      </c>
      <c r="D410">
        <v>1.3603000000000001</v>
      </c>
      <c r="E410">
        <v>1.3979999999999999</v>
      </c>
      <c r="F410">
        <v>5313138.74</v>
      </c>
      <c r="G410">
        <v>0</v>
      </c>
      <c r="L410" t="s">
        <v>7</v>
      </c>
      <c r="M410" t="s">
        <v>7</v>
      </c>
      <c r="N410" t="s">
        <v>8</v>
      </c>
      <c r="P410">
        <f t="shared" si="975"/>
        <v>-0.27639155470249716</v>
      </c>
      <c r="Q410">
        <f t="shared" si="976"/>
        <v>-1468506.6766986668</v>
      </c>
      <c r="R410">
        <f t="shared" si="977"/>
        <v>-5911471.6413180968</v>
      </c>
      <c r="S410">
        <f t="shared" si="978"/>
        <v>-59.114716413180965</v>
      </c>
      <c r="T410">
        <f t="shared" si="979"/>
        <v>-5.9114716413180966E-2</v>
      </c>
    </row>
    <row r="411" spans="1:20" x14ac:dyDescent="0.25">
      <c r="A411" s="5">
        <v>44182</v>
      </c>
      <c r="B411">
        <v>1.5465</v>
      </c>
      <c r="C411">
        <v>1.6411</v>
      </c>
      <c r="D411">
        <v>1.4221999999999999</v>
      </c>
      <c r="E411">
        <v>1.4236</v>
      </c>
      <c r="F411">
        <v>6480025.54</v>
      </c>
      <c r="G411">
        <v>0</v>
      </c>
      <c r="L411" t="s">
        <v>7</v>
      </c>
      <c r="M411" t="s">
        <v>7</v>
      </c>
      <c r="N411" t="s">
        <v>8</v>
      </c>
      <c r="P411">
        <f t="shared" si="975"/>
        <v>-0.98720877112836847</v>
      </c>
      <c r="Q411">
        <f t="shared" si="976"/>
        <v>-6397138.0502238423</v>
      </c>
      <c r="R411">
        <f t="shared" si="977"/>
        <v>-4442964.9646194298</v>
      </c>
      <c r="S411">
        <f t="shared" si="978"/>
        <v>-44.429649646194299</v>
      </c>
      <c r="T411">
        <f t="shared" si="979"/>
        <v>-4.4429649646194301E-2</v>
      </c>
    </row>
    <row r="412" spans="1:20" x14ac:dyDescent="0.25">
      <c r="A412" s="5">
        <v>44181</v>
      </c>
      <c r="B412">
        <v>1.7817000000000001</v>
      </c>
      <c r="C412">
        <v>1.8859999999999999</v>
      </c>
      <c r="D412">
        <v>1.5256000000000001</v>
      </c>
      <c r="E412">
        <v>1.5418000000000001</v>
      </c>
      <c r="F412">
        <v>15129155.82</v>
      </c>
      <c r="G412">
        <v>0</v>
      </c>
      <c r="L412" t="s">
        <v>7</v>
      </c>
      <c r="M412" t="s">
        <v>7</v>
      </c>
      <c r="N412" t="s">
        <v>8</v>
      </c>
      <c r="P412">
        <f t="shared" si="975"/>
        <v>-0.91009988901220862</v>
      </c>
      <c r="Q412">
        <f t="shared" si="976"/>
        <v>-13769043.03263041</v>
      </c>
      <c r="R412">
        <f t="shared" si="977"/>
        <v>1954173.0856044125</v>
      </c>
      <c r="S412">
        <f t="shared" si="978"/>
        <v>19.541730856044126</v>
      </c>
      <c r="T412">
        <f t="shared" si="979"/>
        <v>1.9541730856044125E-2</v>
      </c>
    </row>
    <row r="413" spans="1:20" x14ac:dyDescent="0.25">
      <c r="A413" s="5">
        <v>44180</v>
      </c>
      <c r="B413">
        <v>1.2674000000000001</v>
      </c>
      <c r="C413">
        <v>1.9194</v>
      </c>
      <c r="D413">
        <v>1.2383999999999999</v>
      </c>
      <c r="E413">
        <v>1.7817000000000001</v>
      </c>
      <c r="F413">
        <v>29982047.73</v>
      </c>
      <c r="G413">
        <v>0</v>
      </c>
      <c r="L413" t="s">
        <v>8</v>
      </c>
      <c r="M413" t="s">
        <v>8</v>
      </c>
      <c r="N413" t="s">
        <v>8</v>
      </c>
      <c r="P413">
        <f t="shared" si="975"/>
        <v>0.59559471365638794</v>
      </c>
      <c r="Q413">
        <f t="shared" si="976"/>
        <v>17857149.132581506</v>
      </c>
      <c r="R413">
        <f t="shared" si="977"/>
        <v>15723216.118234823</v>
      </c>
      <c r="S413">
        <f t="shared" si="978"/>
        <v>157.23216118234822</v>
      </c>
      <c r="T413">
        <f t="shared" si="979"/>
        <v>0.15723216118234823</v>
      </c>
    </row>
    <row r="414" spans="1:20" x14ac:dyDescent="0.25">
      <c r="A414" s="5">
        <v>44179</v>
      </c>
      <c r="B414">
        <v>1.0472999999999999</v>
      </c>
      <c r="C414">
        <v>1.298</v>
      </c>
      <c r="D414">
        <v>1.02</v>
      </c>
      <c r="E414">
        <v>1.2646999999999999</v>
      </c>
      <c r="F414">
        <v>7336063.79</v>
      </c>
      <c r="G414">
        <v>0</v>
      </c>
      <c r="L414" t="s">
        <v>8</v>
      </c>
      <c r="M414" t="s">
        <v>8</v>
      </c>
      <c r="N414" t="s">
        <v>8</v>
      </c>
      <c r="P414">
        <f t="shared" si="975"/>
        <v>0.76043165467625828</v>
      </c>
      <c r="Q414">
        <f t="shared" si="976"/>
        <v>5578575.1266402826</v>
      </c>
      <c r="R414">
        <f t="shared" si="977"/>
        <v>-2133933.0143466834</v>
      </c>
      <c r="S414">
        <f t="shared" si="978"/>
        <v>-21.339330143466835</v>
      </c>
      <c r="T414">
        <f t="shared" si="979"/>
        <v>-2.1339330143466836E-2</v>
      </c>
    </row>
    <row r="415" spans="1:20" x14ac:dyDescent="0.25">
      <c r="A415" s="5">
        <v>44178</v>
      </c>
      <c r="B415">
        <v>1.006</v>
      </c>
      <c r="C415">
        <v>1.0545</v>
      </c>
      <c r="D415">
        <v>0.98350000000000004</v>
      </c>
      <c r="E415">
        <v>1.0468</v>
      </c>
      <c r="F415">
        <v>747818.09</v>
      </c>
      <c r="G415">
        <v>0</v>
      </c>
      <c r="L415" t="s">
        <v>8</v>
      </c>
      <c r="M415" t="s">
        <v>8</v>
      </c>
      <c r="N415" t="s">
        <v>8</v>
      </c>
      <c r="P415">
        <f t="shared" si="975"/>
        <v>0.78309859154929451</v>
      </c>
      <c r="Q415">
        <f t="shared" si="976"/>
        <v>585615.29301408352</v>
      </c>
      <c r="R415">
        <f t="shared" si="977"/>
        <v>-7712508.140986966</v>
      </c>
      <c r="S415">
        <f t="shared" si="978"/>
        <v>-77.125081409869665</v>
      </c>
      <c r="T415">
        <f t="shared" si="979"/>
        <v>-7.7125081409869664E-2</v>
      </c>
    </row>
    <row r="416" spans="1:20" x14ac:dyDescent="0.25">
      <c r="A416" s="5">
        <v>44177</v>
      </c>
      <c r="B416">
        <v>0.94989999999999997</v>
      </c>
      <c r="C416">
        <v>1.02</v>
      </c>
      <c r="D416">
        <v>0.94389999999999996</v>
      </c>
      <c r="E416">
        <v>1.006</v>
      </c>
      <c r="F416">
        <v>493303.35</v>
      </c>
      <c r="G416">
        <v>0</v>
      </c>
      <c r="L416" t="s">
        <v>8</v>
      </c>
      <c r="M416" t="s">
        <v>8</v>
      </c>
      <c r="N416" t="s">
        <v>8</v>
      </c>
      <c r="P416">
        <f t="shared" si="975"/>
        <v>0.63206307490144542</v>
      </c>
      <c r="Q416">
        <f t="shared" si="976"/>
        <v>311798.83226018393</v>
      </c>
      <c r="R416">
        <f t="shared" si="977"/>
        <v>-8298123.434001049</v>
      </c>
      <c r="S416">
        <f t="shared" si="978"/>
        <v>-82.981234340010488</v>
      </c>
      <c r="T416">
        <f t="shared" si="979"/>
        <v>-8.2981234340010493E-2</v>
      </c>
    </row>
    <row r="417" spans="1:20" x14ac:dyDescent="0.25">
      <c r="A417" s="5">
        <v>44176</v>
      </c>
      <c r="B417">
        <v>0.98029999999999995</v>
      </c>
      <c r="C417">
        <v>0.98599999999999999</v>
      </c>
      <c r="D417">
        <v>0.9234</v>
      </c>
      <c r="E417">
        <v>0.95</v>
      </c>
      <c r="F417">
        <v>719495.63</v>
      </c>
      <c r="G417">
        <v>0</v>
      </c>
      <c r="L417" t="s">
        <v>7</v>
      </c>
      <c r="M417" t="s">
        <v>8</v>
      </c>
      <c r="N417" t="s">
        <v>8</v>
      </c>
      <c r="P417">
        <f t="shared" si="975"/>
        <v>-0.15015974440894692</v>
      </c>
      <c r="Q417">
        <f t="shared" si="976"/>
        <v>-108039.27990415425</v>
      </c>
      <c r="R417">
        <f t="shared" si="977"/>
        <v>-8609922.266261233</v>
      </c>
      <c r="S417">
        <f t="shared" si="978"/>
        <v>-86.099222662612334</v>
      </c>
      <c r="T417">
        <f t="shared" si="979"/>
        <v>-8.6099222662612329E-2</v>
      </c>
    </row>
    <row r="418" spans="1:20" x14ac:dyDescent="0.25">
      <c r="A418" s="5">
        <v>44175</v>
      </c>
      <c r="B418">
        <v>0.98180000000000001</v>
      </c>
      <c r="C418">
        <v>1.08</v>
      </c>
      <c r="D418">
        <v>0.94350000000000001</v>
      </c>
      <c r="E418">
        <v>0.97870000000000001</v>
      </c>
      <c r="F418">
        <v>1015119.38</v>
      </c>
      <c r="G418">
        <v>0</v>
      </c>
      <c r="L418" t="s">
        <v>8</v>
      </c>
      <c r="M418" t="s">
        <v>8</v>
      </c>
      <c r="N418" t="s">
        <v>8</v>
      </c>
      <c r="P418">
        <f t="shared" si="975"/>
        <v>-0.48424908424908436</v>
      </c>
      <c r="Q418">
        <f t="shared" si="976"/>
        <v>-491570.63016849826</v>
      </c>
      <c r="R418">
        <f t="shared" si="977"/>
        <v>-8501882.986357078</v>
      </c>
      <c r="S418">
        <f t="shared" si="978"/>
        <v>-85.018829863570787</v>
      </c>
      <c r="T418">
        <f t="shared" si="979"/>
        <v>-8.5018829863570788E-2</v>
      </c>
    </row>
    <row r="419" spans="1:20" x14ac:dyDescent="0.25">
      <c r="A419" s="5">
        <v>44174</v>
      </c>
      <c r="B419">
        <v>0.95789999999999997</v>
      </c>
      <c r="C419">
        <v>1.0096000000000001</v>
      </c>
      <c r="D419">
        <v>0.92020000000000002</v>
      </c>
      <c r="E419">
        <v>0.98650000000000004</v>
      </c>
      <c r="F419">
        <v>821654.01</v>
      </c>
      <c r="G419">
        <v>0</v>
      </c>
      <c r="L419" t="s">
        <v>7</v>
      </c>
      <c r="M419" t="s">
        <v>8</v>
      </c>
      <c r="N419" t="s">
        <v>8</v>
      </c>
      <c r="P419">
        <f t="shared" si="975"/>
        <v>0.48322147651006708</v>
      </c>
      <c r="Q419">
        <f t="shared" si="976"/>
        <v>397040.8638926174</v>
      </c>
      <c r="R419">
        <f t="shared" si="977"/>
        <v>-8010312.3561885795</v>
      </c>
      <c r="S419">
        <f t="shared" si="978"/>
        <v>-80.103123561885795</v>
      </c>
      <c r="T419">
        <f t="shared" si="979"/>
        <v>-8.01031235618858E-2</v>
      </c>
    </row>
    <row r="420" spans="1:20" x14ac:dyDescent="0.25">
      <c r="A420" s="5">
        <v>44173</v>
      </c>
      <c r="B420">
        <v>1.0250999999999999</v>
      </c>
      <c r="C420">
        <v>1.0349999999999999</v>
      </c>
      <c r="D420">
        <v>0.95209999999999995</v>
      </c>
      <c r="E420">
        <v>0.95799999999999996</v>
      </c>
      <c r="F420">
        <v>539741.62</v>
      </c>
      <c r="G420">
        <v>0</v>
      </c>
      <c r="L420" t="s">
        <v>7</v>
      </c>
      <c r="M420" t="s">
        <v>8</v>
      </c>
      <c r="N420" t="s">
        <v>8</v>
      </c>
      <c r="P420">
        <f t="shared" si="975"/>
        <v>-0.85765983112183308</v>
      </c>
      <c r="Q420">
        <f t="shared" si="976"/>
        <v>-462914.70665862458</v>
      </c>
      <c r="R420">
        <f t="shared" si="977"/>
        <v>-8407353.2200811971</v>
      </c>
      <c r="S420">
        <f t="shared" si="978"/>
        <v>-84.073532200811968</v>
      </c>
      <c r="T420">
        <f t="shared" si="979"/>
        <v>-8.4073532200811971E-2</v>
      </c>
    </row>
    <row r="421" spans="1:20" x14ac:dyDescent="0.25">
      <c r="A421" s="5">
        <v>44172</v>
      </c>
      <c r="B421">
        <v>1.0301</v>
      </c>
      <c r="C421">
        <v>1.0365</v>
      </c>
      <c r="D421">
        <v>1.0044999999999999</v>
      </c>
      <c r="E421">
        <v>1.0250999999999999</v>
      </c>
      <c r="F421">
        <v>481179.04</v>
      </c>
      <c r="G421">
        <v>0</v>
      </c>
      <c r="L421" t="s">
        <v>8</v>
      </c>
      <c r="M421" t="s">
        <v>8</v>
      </c>
      <c r="N421" t="s">
        <v>8</v>
      </c>
      <c r="P421">
        <f t="shared" si="975"/>
        <v>0.28749999999999581</v>
      </c>
      <c r="Q421">
        <f t="shared" si="976"/>
        <v>138338.97399999798</v>
      </c>
      <c r="R421">
        <f t="shared" si="977"/>
        <v>-7944438.5134225721</v>
      </c>
      <c r="S421">
        <f t="shared" si="978"/>
        <v>-79.444385134225726</v>
      </c>
      <c r="T421">
        <f t="shared" si="979"/>
        <v>-7.944438513422572E-2</v>
      </c>
    </row>
    <row r="422" spans="1:20" x14ac:dyDescent="0.25">
      <c r="A422" s="5">
        <v>44171</v>
      </c>
      <c r="B422">
        <v>1.0322</v>
      </c>
      <c r="C422">
        <v>1.0641</v>
      </c>
      <c r="D422">
        <v>1.02</v>
      </c>
      <c r="E422">
        <v>1.03</v>
      </c>
      <c r="F422">
        <v>682562.56000000006</v>
      </c>
      <c r="G422">
        <v>0</v>
      </c>
      <c r="L422" t="s">
        <v>8</v>
      </c>
      <c r="M422" t="s">
        <v>8</v>
      </c>
      <c r="N422" t="s">
        <v>8</v>
      </c>
      <c r="P422">
        <f t="shared" si="975"/>
        <v>-0.54648526077097492</v>
      </c>
      <c r="Q422">
        <f t="shared" si="976"/>
        <v>-373010.37859410426</v>
      </c>
      <c r="R422">
        <f t="shared" si="977"/>
        <v>-8082777.4874225697</v>
      </c>
      <c r="S422">
        <f t="shared" si="978"/>
        <v>-80.827774874225696</v>
      </c>
      <c r="T422">
        <f t="shared" si="979"/>
        <v>-8.0827774874225697E-2</v>
      </c>
    </row>
    <row r="423" spans="1:20" x14ac:dyDescent="0.25">
      <c r="A423" s="5">
        <v>44170</v>
      </c>
      <c r="B423">
        <v>0.9758</v>
      </c>
      <c r="C423">
        <v>1.0306</v>
      </c>
      <c r="D423">
        <v>0.96099999999999997</v>
      </c>
      <c r="E423">
        <v>1.0306</v>
      </c>
      <c r="F423">
        <v>625501.36</v>
      </c>
      <c r="G423">
        <v>0</v>
      </c>
      <c r="L423" t="s">
        <v>7</v>
      </c>
      <c r="M423" t="s">
        <v>8</v>
      </c>
      <c r="N423" t="s">
        <v>8</v>
      </c>
      <c r="P423">
        <f t="shared" si="975"/>
        <v>1</v>
      </c>
      <c r="Q423">
        <f t="shared" si="976"/>
        <v>625501.36</v>
      </c>
      <c r="R423">
        <f t="shared" si="977"/>
        <v>-7709767.1088284655</v>
      </c>
      <c r="S423">
        <f t="shared" si="978"/>
        <v>-77.097671088284656</v>
      </c>
      <c r="T423">
        <f t="shared" si="979"/>
        <v>-7.709767108828465E-2</v>
      </c>
    </row>
    <row r="424" spans="1:20" x14ac:dyDescent="0.25">
      <c r="A424" s="5">
        <v>44169</v>
      </c>
      <c r="B424">
        <v>1.0517000000000001</v>
      </c>
      <c r="C424">
        <v>1.085</v>
      </c>
      <c r="D424">
        <v>0.97099999999999997</v>
      </c>
      <c r="E424">
        <v>0.9758</v>
      </c>
      <c r="F424">
        <v>1529367.66</v>
      </c>
      <c r="G424">
        <v>0</v>
      </c>
      <c r="L424" t="s">
        <v>8</v>
      </c>
      <c r="M424" t="s">
        <v>8</v>
      </c>
      <c r="N424" t="s">
        <v>8</v>
      </c>
      <c r="P424">
        <f t="shared" si="975"/>
        <v>-0.91578947368421004</v>
      </c>
      <c r="Q424">
        <f t="shared" si="976"/>
        <v>-1400578.8044210519</v>
      </c>
      <c r="R424">
        <f t="shared" si="977"/>
        <v>-8335268.4688284658</v>
      </c>
      <c r="S424">
        <f t="shared" si="978"/>
        <v>-83.352684688284654</v>
      </c>
      <c r="T424">
        <f t="shared" si="979"/>
        <v>-8.3352684688284648E-2</v>
      </c>
    </row>
    <row r="425" spans="1:20" x14ac:dyDescent="0.25">
      <c r="A425" s="5">
        <v>44168</v>
      </c>
      <c r="B425">
        <v>1.0013000000000001</v>
      </c>
      <c r="C425">
        <v>1.0618000000000001</v>
      </c>
      <c r="D425">
        <v>0.98240000000000005</v>
      </c>
      <c r="E425">
        <v>1.0483</v>
      </c>
      <c r="F425">
        <v>1088144.8999999999</v>
      </c>
      <c r="G425">
        <v>0</v>
      </c>
      <c r="L425" t="s">
        <v>8</v>
      </c>
      <c r="M425" t="s">
        <v>8</v>
      </c>
      <c r="N425" t="s">
        <v>8</v>
      </c>
      <c r="P425">
        <f t="shared" si="975"/>
        <v>0.65994962216624531</v>
      </c>
      <c r="Q425">
        <f t="shared" si="976"/>
        <v>718120.81561712676</v>
      </c>
      <c r="R425">
        <f t="shared" si="977"/>
        <v>-6934689.6644074135</v>
      </c>
      <c r="S425">
        <f t="shared" si="978"/>
        <v>-69.346896644074135</v>
      </c>
      <c r="T425">
        <f t="shared" si="979"/>
        <v>-6.9346896644074132E-2</v>
      </c>
    </row>
    <row r="426" spans="1:20" x14ac:dyDescent="0.25">
      <c r="A426" s="5">
        <v>44167</v>
      </c>
      <c r="B426">
        <v>0.96250000000000002</v>
      </c>
      <c r="C426">
        <v>1.0078</v>
      </c>
      <c r="D426">
        <v>0.95</v>
      </c>
      <c r="E426">
        <v>0.99990000000000001</v>
      </c>
      <c r="F426">
        <v>559461.62</v>
      </c>
      <c r="G426">
        <v>0</v>
      </c>
      <c r="L426" t="s">
        <v>7</v>
      </c>
      <c r="M426" t="s">
        <v>7</v>
      </c>
      <c r="N426" t="s">
        <v>8</v>
      </c>
      <c r="P426">
        <f t="shared" si="975"/>
        <v>0.72664359861591665</v>
      </c>
      <c r="Q426">
        <f t="shared" si="976"/>
        <v>406529.20484429051</v>
      </c>
      <c r="R426">
        <f t="shared" si="977"/>
        <v>-7652810.4800245399</v>
      </c>
      <c r="S426">
        <f t="shared" si="978"/>
        <v>-76.528104800245401</v>
      </c>
      <c r="T426">
        <f t="shared" si="979"/>
        <v>-7.6528104800245397E-2</v>
      </c>
    </row>
    <row r="427" spans="1:20" x14ac:dyDescent="0.25">
      <c r="A427" s="5">
        <v>44166</v>
      </c>
      <c r="B427">
        <v>1.022</v>
      </c>
      <c r="C427">
        <v>1.036</v>
      </c>
      <c r="D427">
        <v>0.95</v>
      </c>
      <c r="E427">
        <v>0.96709999999999996</v>
      </c>
      <c r="F427">
        <v>918470.74</v>
      </c>
      <c r="G427">
        <v>0</v>
      </c>
      <c r="L427" t="s">
        <v>7</v>
      </c>
      <c r="M427" t="s">
        <v>7</v>
      </c>
      <c r="N427" t="s">
        <v>8</v>
      </c>
      <c r="P427">
        <f t="shared" si="975"/>
        <v>-0.60232558139534909</v>
      </c>
      <c r="Q427">
        <f t="shared" si="976"/>
        <v>-553218.42246511648</v>
      </c>
      <c r="R427">
        <f t="shared" si="977"/>
        <v>-8059339.6848688303</v>
      </c>
      <c r="S427">
        <f t="shared" si="978"/>
        <v>-80.5933968486883</v>
      </c>
      <c r="T427">
        <f t="shared" si="979"/>
        <v>-8.0593396848688298E-2</v>
      </c>
    </row>
    <row r="428" spans="1:20" x14ac:dyDescent="0.25">
      <c r="A428" s="5">
        <v>44165</v>
      </c>
      <c r="B428">
        <v>0.98</v>
      </c>
      <c r="C428">
        <v>1.0455000000000001</v>
      </c>
      <c r="D428">
        <v>0.97609999999999997</v>
      </c>
      <c r="E428">
        <v>1.0166999999999999</v>
      </c>
      <c r="F428">
        <v>677086.45</v>
      </c>
      <c r="G428">
        <v>0</v>
      </c>
      <c r="L428" t="s">
        <v>8</v>
      </c>
      <c r="M428" t="s">
        <v>7</v>
      </c>
      <c r="N428" t="s">
        <v>8</v>
      </c>
      <c r="P428">
        <f t="shared" si="975"/>
        <v>0.17002881844380099</v>
      </c>
      <c r="Q428">
        <f t="shared" si="976"/>
        <v>115124.20907780773</v>
      </c>
      <c r="R428">
        <f t="shared" si="977"/>
        <v>-7506121.2624037135</v>
      </c>
      <c r="S428">
        <f t="shared" si="978"/>
        <v>-75.06121262403714</v>
      </c>
      <c r="T428">
        <f t="shared" si="979"/>
        <v>-7.5061212624037144E-2</v>
      </c>
    </row>
    <row r="429" spans="1:20" x14ac:dyDescent="0.25">
      <c r="A429" s="5">
        <v>44164</v>
      </c>
      <c r="B429">
        <v>0.99229999999999996</v>
      </c>
      <c r="C429">
        <v>1.0033000000000001</v>
      </c>
      <c r="D429">
        <v>0.95450000000000002</v>
      </c>
      <c r="E429">
        <v>0.98080000000000001</v>
      </c>
      <c r="F429">
        <v>647834.80000000005</v>
      </c>
      <c r="G429">
        <v>0</v>
      </c>
      <c r="L429" t="s">
        <v>7</v>
      </c>
      <c r="M429" t="s">
        <v>7</v>
      </c>
      <c r="N429" t="s">
        <v>8</v>
      </c>
      <c r="P429">
        <f t="shared" si="975"/>
        <v>7.7868852459014537E-2</v>
      </c>
      <c r="Q429">
        <f t="shared" si="976"/>
        <v>50446.152459015197</v>
      </c>
      <c r="R429">
        <f t="shared" si="977"/>
        <v>-7621245.4714815216</v>
      </c>
      <c r="S429">
        <f t="shared" si="978"/>
        <v>-76.212454714815223</v>
      </c>
      <c r="T429">
        <f t="shared" si="979"/>
        <v>-7.621245471481522E-2</v>
      </c>
    </row>
    <row r="430" spans="1:20" x14ac:dyDescent="0.25">
      <c r="A430" s="5">
        <v>44163</v>
      </c>
      <c r="B430">
        <v>0.9627</v>
      </c>
      <c r="C430">
        <v>1.0069999999999999</v>
      </c>
      <c r="D430">
        <v>0.9425</v>
      </c>
      <c r="E430">
        <v>0.98799999999999999</v>
      </c>
      <c r="F430">
        <v>453324.87</v>
      </c>
      <c r="G430">
        <v>0</v>
      </c>
      <c r="L430" t="s">
        <v>7</v>
      </c>
      <c r="M430" t="s">
        <v>7</v>
      </c>
      <c r="N430" t="s">
        <v>8</v>
      </c>
      <c r="P430">
        <f t="shared" si="975"/>
        <v>0.41085271317829647</v>
      </c>
      <c r="Q430">
        <f t="shared" si="976"/>
        <v>186249.75279069852</v>
      </c>
      <c r="R430">
        <f t="shared" si="977"/>
        <v>-7671691.6239405368</v>
      </c>
      <c r="S430">
        <f t="shared" si="978"/>
        <v>-76.716916239405364</v>
      </c>
      <c r="T430">
        <f t="shared" si="979"/>
        <v>-7.6716916239405367E-2</v>
      </c>
    </row>
    <row r="431" spans="1:20" x14ac:dyDescent="0.25">
      <c r="A431" s="5">
        <v>44162</v>
      </c>
      <c r="B431">
        <v>0.95440000000000003</v>
      </c>
      <c r="C431">
        <v>1.0387</v>
      </c>
      <c r="D431">
        <v>0.91420000000000001</v>
      </c>
      <c r="E431">
        <v>0.96</v>
      </c>
      <c r="F431">
        <v>746707.79</v>
      </c>
      <c r="G431">
        <v>0</v>
      </c>
      <c r="L431" t="s">
        <v>8</v>
      </c>
      <c r="M431" t="s">
        <v>7</v>
      </c>
      <c r="N431" t="s">
        <v>8</v>
      </c>
      <c r="P431">
        <f t="shared" si="975"/>
        <v>-0.26425702811245022</v>
      </c>
      <c r="Q431">
        <f t="shared" si="976"/>
        <v>-197322.78145381558</v>
      </c>
      <c r="R431">
        <f t="shared" si="977"/>
        <v>-7857941.3767312355</v>
      </c>
      <c r="S431">
        <f t="shared" si="978"/>
        <v>-78.57941376731236</v>
      </c>
      <c r="T431">
        <f t="shared" si="979"/>
        <v>-7.8579413767312353E-2</v>
      </c>
    </row>
    <row r="432" spans="1:20" x14ac:dyDescent="0.25">
      <c r="A432" s="5">
        <v>44161</v>
      </c>
      <c r="B432">
        <v>1.075</v>
      </c>
      <c r="C432">
        <v>1.0936999999999999</v>
      </c>
      <c r="D432">
        <v>0.90580000000000005</v>
      </c>
      <c r="E432">
        <v>0.95109999999999995</v>
      </c>
      <c r="F432">
        <v>1986118.17</v>
      </c>
      <c r="G432">
        <v>0</v>
      </c>
      <c r="L432" t="s">
        <v>7</v>
      </c>
      <c r="M432" t="s">
        <v>7</v>
      </c>
      <c r="N432" t="s">
        <v>8</v>
      </c>
      <c r="P432">
        <f t="shared" si="975"/>
        <v>-0.51782863225119813</v>
      </c>
      <c r="Q432">
        <f t="shared" si="976"/>
        <v>-1028468.8554603526</v>
      </c>
      <c r="R432">
        <f t="shared" si="977"/>
        <v>-7660618.5952774202</v>
      </c>
      <c r="S432">
        <f t="shared" si="978"/>
        <v>-76.606185952774197</v>
      </c>
      <c r="T432">
        <f t="shared" si="979"/>
        <v>-7.66061859527742E-2</v>
      </c>
    </row>
    <row r="433" spans="1:20" x14ac:dyDescent="0.25">
      <c r="A433" s="5">
        <v>44160</v>
      </c>
      <c r="B433">
        <v>1.0983000000000001</v>
      </c>
      <c r="C433">
        <v>1.1367</v>
      </c>
      <c r="D433">
        <v>1.0344</v>
      </c>
      <c r="E433">
        <v>1.0761000000000001</v>
      </c>
      <c r="F433">
        <v>2664663.36</v>
      </c>
      <c r="G433">
        <v>0</v>
      </c>
      <c r="L433" t="s">
        <v>7</v>
      </c>
      <c r="M433" t="s">
        <v>8</v>
      </c>
      <c r="N433" t="s">
        <v>8</v>
      </c>
      <c r="P433">
        <f t="shared" si="975"/>
        <v>-0.184750733137829</v>
      </c>
      <c r="Q433">
        <f t="shared" si="976"/>
        <v>-492298.50932551076</v>
      </c>
      <c r="R433">
        <f t="shared" si="977"/>
        <v>-6632149.739817068</v>
      </c>
      <c r="S433">
        <f t="shared" si="978"/>
        <v>-66.321497398170678</v>
      </c>
      <c r="T433">
        <f t="shared" si="979"/>
        <v>-6.6321497398170684E-2</v>
      </c>
    </row>
    <row r="434" spans="1:20" x14ac:dyDescent="0.25">
      <c r="A434" s="5">
        <v>44159</v>
      </c>
      <c r="B434">
        <v>1.119</v>
      </c>
      <c r="C434">
        <v>1.1518999999999999</v>
      </c>
      <c r="D434">
        <v>1.0732999999999999</v>
      </c>
      <c r="E434">
        <v>1.0982000000000001</v>
      </c>
      <c r="F434">
        <v>1767269.65</v>
      </c>
      <c r="G434">
        <v>0</v>
      </c>
      <c r="L434" t="s">
        <v>7</v>
      </c>
      <c r="M434" t="s">
        <v>8</v>
      </c>
      <c r="N434" t="s">
        <v>8</v>
      </c>
      <c r="P434">
        <f t="shared" si="975"/>
        <v>-0.36641221374045435</v>
      </c>
      <c r="Q434">
        <f t="shared" si="976"/>
        <v>-647549.18473281793</v>
      </c>
      <c r="R434">
        <f t="shared" si="977"/>
        <v>-6139851.2304915572</v>
      </c>
      <c r="S434">
        <f t="shared" si="978"/>
        <v>-61.39851230491557</v>
      </c>
      <c r="T434">
        <f t="shared" si="979"/>
        <v>-6.1398512304915567E-2</v>
      </c>
    </row>
    <row r="435" spans="1:20" x14ac:dyDescent="0.25">
      <c r="A435" s="5">
        <v>44158</v>
      </c>
      <c r="B435">
        <v>1.1079000000000001</v>
      </c>
      <c r="C435">
        <v>1.1685000000000001</v>
      </c>
      <c r="D435">
        <v>1.0840000000000001</v>
      </c>
      <c r="E435">
        <v>1.123</v>
      </c>
      <c r="F435">
        <v>1782819.94</v>
      </c>
      <c r="G435">
        <v>0</v>
      </c>
      <c r="L435" t="s">
        <v>8</v>
      </c>
      <c r="M435" t="s">
        <v>8</v>
      </c>
      <c r="N435" t="s">
        <v>8</v>
      </c>
      <c r="P435">
        <f t="shared" si="975"/>
        <v>-7.692307692307894E-2</v>
      </c>
      <c r="Q435">
        <f t="shared" si="976"/>
        <v>-137139.99538461899</v>
      </c>
      <c r="R435">
        <f t="shared" si="977"/>
        <v>-5492302.0457587391</v>
      </c>
      <c r="S435">
        <f t="shared" si="978"/>
        <v>-54.923020457587391</v>
      </c>
      <c r="T435">
        <f t="shared" si="979"/>
        <v>-5.4923020457587395E-2</v>
      </c>
    </row>
    <row r="436" spans="1:20" x14ac:dyDescent="0.25">
      <c r="A436" s="5">
        <v>44157</v>
      </c>
      <c r="B436">
        <v>1.1720999999999999</v>
      </c>
      <c r="C436">
        <v>1.1797</v>
      </c>
      <c r="D436">
        <v>1.0328999999999999</v>
      </c>
      <c r="E436">
        <v>1.1013999999999999</v>
      </c>
      <c r="F436">
        <v>1937434.24</v>
      </c>
      <c r="G436">
        <v>0</v>
      </c>
      <c r="L436" t="s">
        <v>7</v>
      </c>
      <c r="M436" t="s">
        <v>8</v>
      </c>
      <c r="N436" t="s">
        <v>8</v>
      </c>
      <c r="P436">
        <f t="shared" si="975"/>
        <v>-6.6757493188011094E-2</v>
      </c>
      <c r="Q436">
        <f t="shared" si="976"/>
        <v>-129338.25307901944</v>
      </c>
      <c r="R436">
        <f t="shared" si="977"/>
        <v>-5355162.0503741205</v>
      </c>
      <c r="S436">
        <f t="shared" si="978"/>
        <v>-53.551620503741205</v>
      </c>
      <c r="T436">
        <f t="shared" si="979"/>
        <v>-5.3551620503741203E-2</v>
      </c>
    </row>
    <row r="437" spans="1:20" x14ac:dyDescent="0.25">
      <c r="A437" s="5">
        <v>44156</v>
      </c>
      <c r="B437">
        <v>1.0118</v>
      </c>
      <c r="C437">
        <v>1.1988000000000001</v>
      </c>
      <c r="D437">
        <v>1.0098</v>
      </c>
      <c r="E437">
        <v>1.1762999999999999</v>
      </c>
      <c r="F437">
        <v>3709517.08</v>
      </c>
      <c r="G437">
        <v>0</v>
      </c>
      <c r="L437" t="s">
        <v>8</v>
      </c>
      <c r="M437" t="s">
        <v>8</v>
      </c>
      <c r="N437" t="s">
        <v>8</v>
      </c>
      <c r="P437">
        <f t="shared" si="975"/>
        <v>0.76190476190475998</v>
      </c>
      <c r="Q437">
        <f t="shared" si="976"/>
        <v>2826298.7276190403</v>
      </c>
      <c r="R437">
        <f t="shared" si="977"/>
        <v>-5225823.797295101</v>
      </c>
      <c r="S437">
        <f t="shared" si="978"/>
        <v>-52.258237972951008</v>
      </c>
      <c r="T437">
        <f t="shared" si="979"/>
        <v>-5.225823797295101E-2</v>
      </c>
    </row>
    <row r="438" spans="1:20" x14ac:dyDescent="0.25">
      <c r="A438" s="5">
        <v>44155</v>
      </c>
      <c r="B438">
        <v>1.0067999999999999</v>
      </c>
      <c r="C438">
        <v>1.0443</v>
      </c>
      <c r="D438">
        <v>0.97950000000000004</v>
      </c>
      <c r="E438">
        <v>1.0109999999999999</v>
      </c>
      <c r="F438">
        <v>1672336.62</v>
      </c>
      <c r="G438">
        <v>0</v>
      </c>
      <c r="L438" t="s">
        <v>8</v>
      </c>
      <c r="M438" t="s">
        <v>8</v>
      </c>
      <c r="N438" t="s">
        <v>8</v>
      </c>
      <c r="P438">
        <f t="shared" si="975"/>
        <v>-2.7777777777781586E-2</v>
      </c>
      <c r="Q438">
        <f t="shared" si="976"/>
        <v>-46453.795000006372</v>
      </c>
      <c r="R438">
        <f t="shared" si="977"/>
        <v>-8052122.5249141408</v>
      </c>
      <c r="S438">
        <f t="shared" si="978"/>
        <v>-80.521225249141409</v>
      </c>
      <c r="T438">
        <f t="shared" si="979"/>
        <v>-8.0521225249141404E-2</v>
      </c>
    </row>
    <row r="439" spans="1:20" x14ac:dyDescent="0.25">
      <c r="A439" s="5">
        <v>44154</v>
      </c>
      <c r="B439">
        <v>0.95609999999999995</v>
      </c>
      <c r="C439">
        <v>1.048</v>
      </c>
      <c r="D439">
        <v>0.92010000000000003</v>
      </c>
      <c r="E439">
        <v>1.006</v>
      </c>
      <c r="F439">
        <v>1907694.85</v>
      </c>
      <c r="G439">
        <v>0</v>
      </c>
      <c r="L439" t="s">
        <v>7</v>
      </c>
      <c r="M439" t="s">
        <v>8</v>
      </c>
      <c r="N439" t="s">
        <v>8</v>
      </c>
      <c r="P439">
        <f t="shared" si="975"/>
        <v>0.34323690383111755</v>
      </c>
      <c r="Q439">
        <f t="shared" si="976"/>
        <v>654791.2737685683</v>
      </c>
      <c r="R439">
        <f t="shared" si="977"/>
        <v>-8005668.7299141344</v>
      </c>
      <c r="S439">
        <f t="shared" si="978"/>
        <v>-80.056687299141345</v>
      </c>
      <c r="T439">
        <f t="shared" si="979"/>
        <v>-8.0056687299141338E-2</v>
      </c>
    </row>
    <row r="440" spans="1:20" x14ac:dyDescent="0.25">
      <c r="A440" s="5">
        <v>44153</v>
      </c>
      <c r="B440">
        <v>0.95020000000000004</v>
      </c>
      <c r="C440">
        <v>1.0495000000000001</v>
      </c>
      <c r="D440">
        <v>0.84789999999999999</v>
      </c>
      <c r="E440">
        <v>0.95509999999999995</v>
      </c>
      <c r="F440">
        <v>4679889.58</v>
      </c>
      <c r="G440">
        <v>0</v>
      </c>
      <c r="L440" t="s">
        <v>8</v>
      </c>
      <c r="M440" t="s">
        <v>8</v>
      </c>
      <c r="N440" t="s">
        <v>8</v>
      </c>
      <c r="P440">
        <f t="shared" si="975"/>
        <v>6.3492063492062517E-2</v>
      </c>
      <c r="Q440">
        <f t="shared" si="976"/>
        <v>297135.84634920181</v>
      </c>
      <c r="R440">
        <f t="shared" si="977"/>
        <v>-8660460.0036827028</v>
      </c>
      <c r="S440">
        <f t="shared" si="978"/>
        <v>-86.604600036827023</v>
      </c>
      <c r="T440">
        <f t="shared" si="979"/>
        <v>-8.6604600036827017E-2</v>
      </c>
    </row>
    <row r="441" spans="1:20" x14ac:dyDescent="0.25">
      <c r="A441" s="5">
        <v>44152</v>
      </c>
      <c r="B441">
        <v>0.75980000000000003</v>
      </c>
      <c r="C441">
        <v>0.97870000000000001</v>
      </c>
      <c r="D441">
        <v>0.75009999999999999</v>
      </c>
      <c r="E441">
        <v>0.95</v>
      </c>
      <c r="F441">
        <v>4356508.4800000004</v>
      </c>
      <c r="G441">
        <v>0</v>
      </c>
      <c r="L441" t="s">
        <v>8</v>
      </c>
      <c r="M441" t="s">
        <v>8</v>
      </c>
      <c r="N441" t="s">
        <v>8</v>
      </c>
      <c r="P441">
        <f t="shared" si="975"/>
        <v>0.74890638670166176</v>
      </c>
      <c r="Q441">
        <f t="shared" si="976"/>
        <v>3262617.0243919492</v>
      </c>
      <c r="R441">
        <f t="shared" si="977"/>
        <v>-8957595.8500319049</v>
      </c>
      <c r="S441">
        <f t="shared" si="978"/>
        <v>-89.575958500319047</v>
      </c>
      <c r="T441">
        <f t="shared" si="979"/>
        <v>-8.9575958500319047E-2</v>
      </c>
    </row>
    <row r="442" spans="1:20" x14ac:dyDescent="0.25">
      <c r="A442" s="5">
        <v>44151</v>
      </c>
      <c r="B442">
        <v>0.74280000000000002</v>
      </c>
      <c r="C442">
        <v>0.76829999999999998</v>
      </c>
      <c r="D442">
        <v>0.7157</v>
      </c>
      <c r="E442">
        <v>0.75449999999999995</v>
      </c>
      <c r="F442">
        <v>1034965.7</v>
      </c>
      <c r="G442">
        <v>0</v>
      </c>
      <c r="L442" t="s">
        <v>7</v>
      </c>
      <c r="M442" t="s">
        <v>8</v>
      </c>
      <c r="N442" t="s">
        <v>8</v>
      </c>
      <c r="P442">
        <f t="shared" si="975"/>
        <v>0.47528517110266011</v>
      </c>
      <c r="Q442">
        <f t="shared" si="976"/>
        <v>491903.84980988438</v>
      </c>
      <c r="R442">
        <f t="shared" si="977"/>
        <v>-12220212.874423854</v>
      </c>
      <c r="S442">
        <f t="shared" si="978"/>
        <v>-122.20212874423854</v>
      </c>
      <c r="T442">
        <f t="shared" si="979"/>
        <v>-0.12220212874423854</v>
      </c>
    </row>
    <row r="443" spans="1:20" x14ac:dyDescent="0.25">
      <c r="A443" s="5">
        <v>44150</v>
      </c>
      <c r="B443">
        <v>0.67649999999999999</v>
      </c>
      <c r="C443">
        <v>0.82</v>
      </c>
      <c r="D443">
        <v>0.67210000000000003</v>
      </c>
      <c r="E443">
        <v>0.73850000000000005</v>
      </c>
      <c r="F443">
        <v>1717472.09</v>
      </c>
      <c r="G443">
        <v>0</v>
      </c>
      <c r="L443" t="s">
        <v>8</v>
      </c>
      <c r="M443" t="s">
        <v>8</v>
      </c>
      <c r="N443" t="s">
        <v>8</v>
      </c>
      <c r="P443">
        <f t="shared" si="975"/>
        <v>-0.10209601081811967</v>
      </c>
      <c r="Q443">
        <f t="shared" si="976"/>
        <v>-175347.04908045862</v>
      </c>
      <c r="R443">
        <f t="shared" si="977"/>
        <v>-12712116.724233739</v>
      </c>
      <c r="S443">
        <f t="shared" si="978"/>
        <v>-127.12116724233739</v>
      </c>
      <c r="T443">
        <f t="shared" si="979"/>
        <v>-0.12712116724233738</v>
      </c>
    </row>
    <row r="444" spans="1:20" x14ac:dyDescent="0.25">
      <c r="A444" s="5">
        <v>44149</v>
      </c>
      <c r="B444">
        <v>0.71140000000000003</v>
      </c>
      <c r="C444">
        <v>0.73860000000000003</v>
      </c>
      <c r="D444">
        <v>0.65669999999999995</v>
      </c>
      <c r="E444">
        <v>0.6764</v>
      </c>
      <c r="F444">
        <v>486011.77</v>
      </c>
      <c r="G444">
        <v>0</v>
      </c>
      <c r="L444" t="s">
        <v>8</v>
      </c>
      <c r="M444" t="s">
        <v>8</v>
      </c>
      <c r="N444" t="s">
        <v>8</v>
      </c>
      <c r="P444">
        <f t="shared" si="975"/>
        <v>-0.51892551892551819</v>
      </c>
      <c r="Q444">
        <f t="shared" si="976"/>
        <v>-252203.90995115961</v>
      </c>
      <c r="R444">
        <f t="shared" si="977"/>
        <v>-12536769.67515328</v>
      </c>
      <c r="S444">
        <f t="shared" si="978"/>
        <v>-125.36769675153279</v>
      </c>
      <c r="T444">
        <f t="shared" si="979"/>
        <v>-0.12536769675153278</v>
      </c>
    </row>
    <row r="445" spans="1:20" x14ac:dyDescent="0.25">
      <c r="A445" s="5">
        <v>44148</v>
      </c>
      <c r="B445">
        <v>0.66830000000000001</v>
      </c>
      <c r="C445">
        <v>0.7278</v>
      </c>
      <c r="D445">
        <v>0.66800000000000004</v>
      </c>
      <c r="E445">
        <v>0.70750000000000002</v>
      </c>
      <c r="F445">
        <v>388189.47</v>
      </c>
      <c r="G445">
        <v>0</v>
      </c>
      <c r="L445" t="s">
        <v>8</v>
      </c>
      <c r="M445" t="s">
        <v>8</v>
      </c>
      <c r="N445" t="s">
        <v>8</v>
      </c>
      <c r="P445">
        <f t="shared" si="975"/>
        <v>0.32107023411371249</v>
      </c>
      <c r="Q445">
        <f t="shared" si="976"/>
        <v>124636.08401337796</v>
      </c>
      <c r="R445">
        <f t="shared" si="977"/>
        <v>-12284565.76520212</v>
      </c>
      <c r="S445">
        <f t="shared" si="978"/>
        <v>-122.8456576520212</v>
      </c>
      <c r="T445">
        <f t="shared" si="979"/>
        <v>-0.1228456576520212</v>
      </c>
    </row>
    <row r="446" spans="1:20" x14ac:dyDescent="0.25">
      <c r="A446" s="5">
        <v>44147</v>
      </c>
      <c r="B446">
        <v>0.71360000000000001</v>
      </c>
      <c r="C446">
        <v>0.71360000000000001</v>
      </c>
      <c r="D446">
        <v>0.64800000000000002</v>
      </c>
      <c r="E446">
        <v>0.66800000000000004</v>
      </c>
      <c r="F446">
        <v>882296.63</v>
      </c>
      <c r="G446">
        <v>0</v>
      </c>
      <c r="L446" t="s">
        <v>7</v>
      </c>
      <c r="M446" t="s">
        <v>8</v>
      </c>
      <c r="N446" t="s">
        <v>8</v>
      </c>
      <c r="P446">
        <f t="shared" si="975"/>
        <v>-0.39024390243902379</v>
      </c>
      <c r="Q446">
        <f t="shared" si="976"/>
        <v>-344310.87999999948</v>
      </c>
      <c r="R446">
        <f t="shared" si="977"/>
        <v>-12409201.849215498</v>
      </c>
      <c r="S446">
        <f t="shared" si="978"/>
        <v>-124.09201849215498</v>
      </c>
      <c r="T446">
        <f t="shared" si="979"/>
        <v>-0.12409201849215498</v>
      </c>
    </row>
    <row r="447" spans="1:20" x14ac:dyDescent="0.25">
      <c r="A447" s="5">
        <v>44146</v>
      </c>
      <c r="B447">
        <v>0.746</v>
      </c>
      <c r="C447">
        <v>0.76500000000000001</v>
      </c>
      <c r="D447">
        <v>0.70820000000000005</v>
      </c>
      <c r="E447">
        <v>0.71440000000000003</v>
      </c>
      <c r="F447">
        <v>809618.5</v>
      </c>
      <c r="G447">
        <v>0</v>
      </c>
      <c r="L447" t="s">
        <v>8</v>
      </c>
      <c r="M447" t="s">
        <v>8</v>
      </c>
      <c r="N447" t="s">
        <v>8</v>
      </c>
      <c r="P447">
        <f t="shared" si="975"/>
        <v>-0.78169014084507082</v>
      </c>
      <c r="Q447">
        <f t="shared" si="976"/>
        <v>-632870.79929577501</v>
      </c>
      <c r="R447">
        <f t="shared" si="977"/>
        <v>-12064890.969215499</v>
      </c>
      <c r="S447">
        <f t="shared" si="978"/>
        <v>-120.64890969215499</v>
      </c>
      <c r="T447">
        <f t="shared" si="979"/>
        <v>-0.12064890969215498</v>
      </c>
    </row>
    <row r="448" spans="1:20" x14ac:dyDescent="0.25">
      <c r="A448" s="5">
        <v>44145</v>
      </c>
      <c r="B448">
        <v>0.67</v>
      </c>
      <c r="C448">
        <v>0.749</v>
      </c>
      <c r="D448">
        <v>0.66759999999999997</v>
      </c>
      <c r="E448">
        <v>0.749</v>
      </c>
      <c r="F448">
        <v>810267.66</v>
      </c>
      <c r="G448">
        <v>0</v>
      </c>
      <c r="L448" t="s">
        <v>8</v>
      </c>
      <c r="M448" t="s">
        <v>8</v>
      </c>
      <c r="N448" t="s">
        <v>8</v>
      </c>
      <c r="P448">
        <f t="shared" si="975"/>
        <v>1</v>
      </c>
      <c r="Q448">
        <f t="shared" si="976"/>
        <v>810267.66</v>
      </c>
      <c r="R448">
        <f t="shared" si="977"/>
        <v>-11432020.169919724</v>
      </c>
      <c r="S448">
        <f t="shared" si="978"/>
        <v>-114.32020169919724</v>
      </c>
      <c r="T448">
        <f t="shared" si="979"/>
        <v>-0.11432020169919724</v>
      </c>
    </row>
    <row r="449" spans="1:20" x14ac:dyDescent="0.25">
      <c r="A449" s="5">
        <v>44144</v>
      </c>
      <c r="B449">
        <v>0.65990000000000004</v>
      </c>
      <c r="C449">
        <v>0.69889999999999997</v>
      </c>
      <c r="D449">
        <v>0.63019999999999998</v>
      </c>
      <c r="E449">
        <v>0.67</v>
      </c>
      <c r="F449">
        <v>485795.72</v>
      </c>
      <c r="G449">
        <v>0</v>
      </c>
      <c r="L449" t="s">
        <v>8</v>
      </c>
      <c r="M449" t="s">
        <v>7</v>
      </c>
      <c r="N449" t="s">
        <v>8</v>
      </c>
      <c r="P449">
        <f t="shared" si="975"/>
        <v>0.15866084425036586</v>
      </c>
      <c r="Q449">
        <f t="shared" si="976"/>
        <v>77076.759068414336</v>
      </c>
      <c r="R449">
        <f t="shared" si="977"/>
        <v>-12242287.829919724</v>
      </c>
      <c r="S449">
        <f t="shared" si="978"/>
        <v>-122.42287829919724</v>
      </c>
      <c r="T449">
        <f t="shared" si="979"/>
        <v>-0.12242287829919724</v>
      </c>
    </row>
    <row r="450" spans="1:20" x14ac:dyDescent="0.25">
      <c r="A450" s="5">
        <v>44143</v>
      </c>
      <c r="B450">
        <v>0.63870000000000005</v>
      </c>
      <c r="C450">
        <v>0.68579999999999997</v>
      </c>
      <c r="D450">
        <v>0.62819999999999998</v>
      </c>
      <c r="E450">
        <v>0.66400000000000003</v>
      </c>
      <c r="F450">
        <v>561560.22</v>
      </c>
      <c r="G450">
        <v>0</v>
      </c>
      <c r="L450" t="s">
        <v>7</v>
      </c>
      <c r="M450" t="s">
        <v>7</v>
      </c>
      <c r="N450" t="s">
        <v>8</v>
      </c>
      <c r="P450">
        <f t="shared" si="975"/>
        <v>0.24305555555555777</v>
      </c>
      <c r="Q450">
        <f t="shared" si="976"/>
        <v>136490.33125000124</v>
      </c>
      <c r="R450">
        <f t="shared" si="977"/>
        <v>-12319364.588988138</v>
      </c>
      <c r="S450">
        <f t="shared" si="978"/>
        <v>-123.19364588988138</v>
      </c>
      <c r="T450">
        <f t="shared" si="979"/>
        <v>-0.12319364588988138</v>
      </c>
    </row>
    <row r="451" spans="1:20" x14ac:dyDescent="0.25">
      <c r="A451" s="5">
        <v>44142</v>
      </c>
      <c r="B451">
        <v>0.68899999999999995</v>
      </c>
      <c r="C451">
        <v>0.76590000000000003</v>
      </c>
      <c r="D451">
        <v>0.61</v>
      </c>
      <c r="E451">
        <v>0.63859999999999995</v>
      </c>
      <c r="F451">
        <v>1562039.64</v>
      </c>
      <c r="G451">
        <v>0</v>
      </c>
      <c r="L451" t="s">
        <v>8</v>
      </c>
      <c r="M451" t="s">
        <v>8</v>
      </c>
      <c r="N451" t="s">
        <v>8</v>
      </c>
      <c r="P451">
        <f t="shared" si="975"/>
        <v>-0.63309813983322705</v>
      </c>
      <c r="Q451">
        <f t="shared" si="976"/>
        <v>-988924.39042976359</v>
      </c>
      <c r="R451">
        <f t="shared" si="977"/>
        <v>-12455854.920238139</v>
      </c>
      <c r="S451">
        <f t="shared" si="978"/>
        <v>-124.55854920238139</v>
      </c>
      <c r="T451">
        <f t="shared" si="979"/>
        <v>-0.12455854920238138</v>
      </c>
    </row>
    <row r="452" spans="1:20" x14ac:dyDescent="0.25">
      <c r="A452" s="5">
        <v>44141</v>
      </c>
      <c r="B452">
        <v>0.55820000000000003</v>
      </c>
      <c r="C452">
        <v>0.72</v>
      </c>
      <c r="D452">
        <v>0.55269999999999997</v>
      </c>
      <c r="E452">
        <v>0.68869999999999998</v>
      </c>
      <c r="F452">
        <v>1319584.33</v>
      </c>
      <c r="G452">
        <v>0</v>
      </c>
      <c r="L452" t="s">
        <v>8</v>
      </c>
      <c r="M452" t="s">
        <v>8</v>
      </c>
      <c r="N452" t="s">
        <v>7</v>
      </c>
      <c r="P452">
        <f t="shared" si="975"/>
        <v>0.62582187686790203</v>
      </c>
      <c r="Q452">
        <f t="shared" si="976"/>
        <v>825824.74208607303</v>
      </c>
      <c r="R452">
        <f t="shared" si="977"/>
        <v>-11466930.529808376</v>
      </c>
      <c r="S452">
        <f t="shared" si="978"/>
        <v>-114.66930529808376</v>
      </c>
      <c r="T452">
        <f t="shared" si="979"/>
        <v>-0.11466930529808375</v>
      </c>
    </row>
    <row r="453" spans="1:20" x14ac:dyDescent="0.25">
      <c r="A453" s="5">
        <v>44140</v>
      </c>
      <c r="B453">
        <v>0.53610000000000002</v>
      </c>
      <c r="C453">
        <v>0.57820000000000005</v>
      </c>
      <c r="D453">
        <v>0.53610000000000002</v>
      </c>
      <c r="E453">
        <v>0.56000000000000005</v>
      </c>
      <c r="F453">
        <v>621439.23</v>
      </c>
      <c r="G453">
        <v>0</v>
      </c>
      <c r="L453" t="s">
        <v>8</v>
      </c>
      <c r="M453" t="s">
        <v>7</v>
      </c>
      <c r="N453" t="s">
        <v>7</v>
      </c>
      <c r="P453">
        <f t="shared" si="975"/>
        <v>0.13539192399049965</v>
      </c>
      <c r="Q453">
        <f t="shared" si="976"/>
        <v>84137.852992874628</v>
      </c>
      <c r="R453">
        <f t="shared" si="977"/>
        <v>-12292755.271894449</v>
      </c>
      <c r="S453">
        <f t="shared" si="978"/>
        <v>-122.9275527189445</v>
      </c>
      <c r="T453">
        <f t="shared" si="979"/>
        <v>-0.1229275527189445</v>
      </c>
    </row>
    <row r="454" spans="1:20" x14ac:dyDescent="0.25">
      <c r="A454" s="5">
        <v>44139</v>
      </c>
      <c r="B454">
        <v>0.55800000000000005</v>
      </c>
      <c r="C454">
        <v>0.56410000000000005</v>
      </c>
      <c r="D454">
        <v>0.51349999999999996</v>
      </c>
      <c r="E454">
        <v>0.53610000000000002</v>
      </c>
      <c r="F454">
        <v>1193442.8799999999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80">IF(C454=D454,0,((E454-D454)-(C454-E454))/(C454-D454))</f>
        <v>-0.10671936758893183</v>
      </c>
      <c r="Q454">
        <f t="shared" ref="Q454:Q517" si="981">F454*P454</f>
        <v>-127363.46940711344</v>
      </c>
      <c r="R454">
        <f t="shared" ref="R454:R517" si="982">R455+Q454</f>
        <v>-12376893.124887325</v>
      </c>
      <c r="S454">
        <f t="shared" ref="S454:S517" si="983">R454/100000</f>
        <v>-123.76893124887324</v>
      </c>
      <c r="T454">
        <f t="shared" ref="T454:T517" si="984">S454/1000</f>
        <v>-0.12376893124887324</v>
      </c>
    </row>
    <row r="455" spans="1:20" x14ac:dyDescent="0.25">
      <c r="A455" s="5">
        <v>44138</v>
      </c>
      <c r="B455">
        <v>0.59870000000000001</v>
      </c>
      <c r="C455">
        <v>0.59870000000000001</v>
      </c>
      <c r="D455">
        <v>0.53910000000000002</v>
      </c>
      <c r="E455">
        <v>0.55800000000000005</v>
      </c>
      <c r="F455">
        <v>688823.1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-0.36577181208053583</v>
      </c>
      <c r="Q455">
        <f t="shared" si="981"/>
        <v>-251952.07348993214</v>
      </c>
      <c r="R455">
        <f t="shared" si="982"/>
        <v>-12249529.655480212</v>
      </c>
      <c r="S455">
        <f t="shared" si="983"/>
        <v>-122.49529655480211</v>
      </c>
      <c r="T455">
        <f t="shared" si="984"/>
        <v>-0.12249529655480211</v>
      </c>
    </row>
    <row r="456" spans="1:20" x14ac:dyDescent="0.25">
      <c r="A456" s="5">
        <v>44137</v>
      </c>
      <c r="B456">
        <v>0.61129999999999995</v>
      </c>
      <c r="C456">
        <v>0.64580000000000004</v>
      </c>
      <c r="D456">
        <v>0.57830000000000004</v>
      </c>
      <c r="E456">
        <v>0.5998</v>
      </c>
      <c r="F456">
        <v>633321.74</v>
      </c>
      <c r="G456">
        <v>0</v>
      </c>
      <c r="L456" t="s">
        <v>8</v>
      </c>
      <c r="M456" t="s">
        <v>8</v>
      </c>
      <c r="N456" t="s">
        <v>7</v>
      </c>
      <c r="P456">
        <f t="shared" si="980"/>
        <v>-0.3629629629629641</v>
      </c>
      <c r="Q456">
        <f t="shared" si="981"/>
        <v>-229872.33525925997</v>
      </c>
      <c r="R456">
        <f t="shared" si="982"/>
        <v>-11997577.581990279</v>
      </c>
      <c r="S456">
        <f t="shared" si="983"/>
        <v>-119.97577581990279</v>
      </c>
      <c r="T456">
        <f t="shared" si="984"/>
        <v>-0.11997577581990279</v>
      </c>
    </row>
    <row r="457" spans="1:20" x14ac:dyDescent="0.25">
      <c r="A457" s="5">
        <v>44136</v>
      </c>
      <c r="B457">
        <v>0.58630000000000004</v>
      </c>
      <c r="C457">
        <v>0.61699999999999999</v>
      </c>
      <c r="D457">
        <v>0.57199999999999995</v>
      </c>
      <c r="E457">
        <v>0.61180000000000001</v>
      </c>
      <c r="F457">
        <v>362975.63</v>
      </c>
      <c r="G457">
        <v>0</v>
      </c>
      <c r="L457" t="s">
        <v>7</v>
      </c>
      <c r="M457" t="s">
        <v>7</v>
      </c>
      <c r="N457" t="s">
        <v>7</v>
      </c>
      <c r="P457">
        <f t="shared" si="980"/>
        <v>0.76888888888888984</v>
      </c>
      <c r="Q457">
        <f t="shared" si="981"/>
        <v>279087.9288444448</v>
      </c>
      <c r="R457">
        <f t="shared" si="982"/>
        <v>-11767705.246731019</v>
      </c>
      <c r="S457">
        <f t="shared" si="983"/>
        <v>-117.67705246731019</v>
      </c>
      <c r="T457">
        <f t="shared" si="984"/>
        <v>-0.11767705246731019</v>
      </c>
    </row>
    <row r="458" spans="1:20" x14ac:dyDescent="0.25">
      <c r="A458" s="5">
        <v>44135</v>
      </c>
      <c r="B458">
        <v>0.59499999999999997</v>
      </c>
      <c r="C458">
        <v>0.61339999999999995</v>
      </c>
      <c r="D458">
        <v>0.58189999999999997</v>
      </c>
      <c r="E458">
        <v>0.58630000000000004</v>
      </c>
      <c r="F458">
        <v>473552.91</v>
      </c>
      <c r="G458">
        <v>0</v>
      </c>
      <c r="L458" t="s">
        <v>8</v>
      </c>
      <c r="M458" t="s">
        <v>7</v>
      </c>
      <c r="N458" t="s">
        <v>7</v>
      </c>
      <c r="P458">
        <f t="shared" si="980"/>
        <v>-0.72063492063491597</v>
      </c>
      <c r="Q458">
        <f t="shared" si="981"/>
        <v>-341258.76371428347</v>
      </c>
      <c r="R458">
        <f t="shared" si="982"/>
        <v>-12046793.175575463</v>
      </c>
      <c r="S458">
        <f t="shared" si="983"/>
        <v>-120.46793175575463</v>
      </c>
      <c r="T458">
        <f t="shared" si="984"/>
        <v>-0.12046793175575464</v>
      </c>
    </row>
    <row r="459" spans="1:20" x14ac:dyDescent="0.25">
      <c r="A459" s="5">
        <v>44134</v>
      </c>
      <c r="B459">
        <v>0.62739999999999996</v>
      </c>
      <c r="C459">
        <v>0.63429999999999997</v>
      </c>
      <c r="D459">
        <v>0.54239999999999999</v>
      </c>
      <c r="E459">
        <v>0.59389999999999998</v>
      </c>
      <c r="F459">
        <v>1700784.68</v>
      </c>
      <c r="G459">
        <v>0</v>
      </c>
      <c r="L459" t="s">
        <v>7</v>
      </c>
      <c r="M459" t="s">
        <v>7</v>
      </c>
      <c r="N459" t="s">
        <v>7</v>
      </c>
      <c r="P459">
        <f t="shared" si="980"/>
        <v>0.12078346028291623</v>
      </c>
      <c r="Q459">
        <f t="shared" si="981"/>
        <v>205426.65884657239</v>
      </c>
      <c r="R459">
        <f t="shared" si="982"/>
        <v>-11705534.411861179</v>
      </c>
      <c r="S459">
        <f t="shared" si="983"/>
        <v>-117.0553441186118</v>
      </c>
      <c r="T459">
        <f t="shared" si="984"/>
        <v>-0.11705534411861179</v>
      </c>
    </row>
    <row r="460" spans="1:20" x14ac:dyDescent="0.25">
      <c r="A460" s="5">
        <v>44133</v>
      </c>
      <c r="B460">
        <v>0.70250000000000001</v>
      </c>
      <c r="C460">
        <v>0.70950000000000002</v>
      </c>
      <c r="D460">
        <v>0.61019999999999996</v>
      </c>
      <c r="E460">
        <v>0.62639999999999996</v>
      </c>
      <c r="F460">
        <v>1569147.25</v>
      </c>
      <c r="G460">
        <v>0</v>
      </c>
      <c r="L460" t="s">
        <v>7</v>
      </c>
      <c r="M460" t="s">
        <v>7</v>
      </c>
      <c r="N460" t="s">
        <v>7</v>
      </c>
      <c r="P460">
        <f t="shared" si="980"/>
        <v>-0.67371601208459253</v>
      </c>
      <c r="Q460">
        <f t="shared" si="981"/>
        <v>-1057159.6276435051</v>
      </c>
      <c r="R460">
        <f t="shared" si="982"/>
        <v>-11910961.070707751</v>
      </c>
      <c r="S460">
        <f t="shared" si="983"/>
        <v>-119.10961070707751</v>
      </c>
      <c r="T460">
        <f t="shared" si="984"/>
        <v>-0.11910961070707751</v>
      </c>
    </row>
    <row r="461" spans="1:20" x14ac:dyDescent="0.25">
      <c r="A461" s="5">
        <v>44132</v>
      </c>
      <c r="B461">
        <v>0.84370000000000001</v>
      </c>
      <c r="C461">
        <v>0.84819999999999995</v>
      </c>
      <c r="D461">
        <v>0.6825</v>
      </c>
      <c r="E461">
        <v>0.70299999999999996</v>
      </c>
      <c r="F461">
        <v>2905258.17</v>
      </c>
      <c r="G461">
        <v>0</v>
      </c>
      <c r="L461" t="s">
        <v>7</v>
      </c>
      <c r="M461" t="s">
        <v>7</v>
      </c>
      <c r="N461" t="s">
        <v>7</v>
      </c>
      <c r="P461">
        <f t="shared" si="980"/>
        <v>-0.75256487628243851</v>
      </c>
      <c r="Q461">
        <f t="shared" si="981"/>
        <v>-2186395.2552745938</v>
      </c>
      <c r="R461">
        <f t="shared" si="982"/>
        <v>-10853801.443064246</v>
      </c>
      <c r="S461">
        <f t="shared" si="983"/>
        <v>-108.53801443064246</v>
      </c>
      <c r="T461">
        <f t="shared" si="984"/>
        <v>-0.10853801443064247</v>
      </c>
    </row>
    <row r="462" spans="1:20" x14ac:dyDescent="0.25">
      <c r="A462" s="5">
        <v>44131</v>
      </c>
      <c r="B462">
        <v>0.86529999999999996</v>
      </c>
      <c r="C462">
        <v>0.87990000000000002</v>
      </c>
      <c r="D462">
        <v>0.83760000000000001</v>
      </c>
      <c r="E462">
        <v>0.84719999999999995</v>
      </c>
      <c r="F462">
        <v>430353.52</v>
      </c>
      <c r="G462">
        <v>0</v>
      </c>
      <c r="L462" t="s">
        <v>7</v>
      </c>
      <c r="M462" t="s">
        <v>7</v>
      </c>
      <c r="N462" t="s">
        <v>7</v>
      </c>
      <c r="P462">
        <f t="shared" si="980"/>
        <v>-0.54609929078014463</v>
      </c>
      <c r="Q462">
        <f t="shared" si="981"/>
        <v>-235015.7520567388</v>
      </c>
      <c r="R462">
        <f t="shared" si="982"/>
        <v>-8667406.1877896525</v>
      </c>
      <c r="S462">
        <f t="shared" si="983"/>
        <v>-86.67406187789652</v>
      </c>
      <c r="T462">
        <f t="shared" si="984"/>
        <v>-8.6674061877896516E-2</v>
      </c>
    </row>
    <row r="463" spans="1:20" x14ac:dyDescent="0.25">
      <c r="A463" s="5">
        <v>44130</v>
      </c>
      <c r="B463">
        <v>0.90339999999999998</v>
      </c>
      <c r="C463">
        <v>0.94</v>
      </c>
      <c r="D463">
        <v>0.82989999999999997</v>
      </c>
      <c r="E463">
        <v>0.86470000000000002</v>
      </c>
      <c r="F463">
        <v>718120.1</v>
      </c>
      <c r="G463">
        <v>0</v>
      </c>
      <c r="L463" t="s">
        <v>7</v>
      </c>
      <c r="M463" t="s">
        <v>7</v>
      </c>
      <c r="N463" t="s">
        <v>7</v>
      </c>
      <c r="P463">
        <f t="shared" si="980"/>
        <v>-0.36784741144414057</v>
      </c>
      <c r="Q463">
        <f t="shared" si="981"/>
        <v>-264158.61989100737</v>
      </c>
      <c r="R463">
        <f t="shared" si="982"/>
        <v>-8432390.4357329141</v>
      </c>
      <c r="S463">
        <f t="shared" si="983"/>
        <v>-84.323904357329141</v>
      </c>
      <c r="T463">
        <f t="shared" si="984"/>
        <v>-8.4323904357329144E-2</v>
      </c>
    </row>
    <row r="464" spans="1:20" x14ac:dyDescent="0.25">
      <c r="A464" s="5">
        <v>44129</v>
      </c>
      <c r="B464">
        <v>0.93520000000000003</v>
      </c>
      <c r="C464">
        <v>0.95230000000000004</v>
      </c>
      <c r="D464">
        <v>0.89800000000000002</v>
      </c>
      <c r="E464">
        <v>0.90310000000000001</v>
      </c>
      <c r="F464">
        <v>270690.78000000003</v>
      </c>
      <c r="G464">
        <v>0</v>
      </c>
      <c r="L464" t="s">
        <v>7</v>
      </c>
      <c r="M464" t="s">
        <v>7</v>
      </c>
      <c r="N464" t="s">
        <v>7</v>
      </c>
      <c r="P464">
        <f t="shared" si="980"/>
        <v>-0.81215469613259694</v>
      </c>
      <c r="Q464">
        <f t="shared" si="981"/>
        <v>-219842.78817679567</v>
      </c>
      <c r="R464">
        <f t="shared" si="982"/>
        <v>-8168231.8158419067</v>
      </c>
      <c r="S464">
        <f t="shared" si="983"/>
        <v>-81.682318158419065</v>
      </c>
      <c r="T464">
        <f t="shared" si="984"/>
        <v>-8.1682318158419059E-2</v>
      </c>
    </row>
    <row r="465" spans="1:20" x14ac:dyDescent="0.25">
      <c r="A465" s="5">
        <v>44128</v>
      </c>
      <c r="B465">
        <v>0.93840000000000001</v>
      </c>
      <c r="C465">
        <v>0.95540000000000003</v>
      </c>
      <c r="D465">
        <v>0.92249999999999999</v>
      </c>
      <c r="E465">
        <v>0.93489999999999995</v>
      </c>
      <c r="F465">
        <v>282221.93</v>
      </c>
      <c r="G465">
        <v>0</v>
      </c>
      <c r="L465" t="s">
        <v>7</v>
      </c>
      <c r="M465" t="s">
        <v>7</v>
      </c>
      <c r="N465" t="s">
        <v>7</v>
      </c>
      <c r="P465">
        <f t="shared" si="980"/>
        <v>-0.24620060790273851</v>
      </c>
      <c r="Q465">
        <f t="shared" si="981"/>
        <v>-69483.210729484112</v>
      </c>
      <c r="R465">
        <f t="shared" si="982"/>
        <v>-7948389.0276651112</v>
      </c>
      <c r="S465">
        <f t="shared" si="983"/>
        <v>-79.48389027665111</v>
      </c>
      <c r="T465">
        <f t="shared" si="984"/>
        <v>-7.9483890276651106E-2</v>
      </c>
    </row>
    <row r="466" spans="1:20" x14ac:dyDescent="0.25">
      <c r="A466" s="5">
        <v>44127</v>
      </c>
      <c r="B466">
        <v>0.9667</v>
      </c>
      <c r="C466">
        <v>0.99890000000000001</v>
      </c>
      <c r="D466">
        <v>0.92879999999999996</v>
      </c>
      <c r="E466">
        <v>0.93799999999999994</v>
      </c>
      <c r="F466">
        <v>517804.31</v>
      </c>
      <c r="G466">
        <v>0</v>
      </c>
      <c r="L466" t="s">
        <v>7</v>
      </c>
      <c r="M466" t="s">
        <v>7</v>
      </c>
      <c r="N466" t="s">
        <v>7</v>
      </c>
      <c r="P466">
        <f t="shared" si="980"/>
        <v>-0.73751783166904483</v>
      </c>
      <c r="Q466">
        <f t="shared" si="981"/>
        <v>-381889.91194008593</v>
      </c>
      <c r="R466">
        <f t="shared" si="982"/>
        <v>-7878905.8169356268</v>
      </c>
      <c r="S466">
        <f t="shared" si="983"/>
        <v>-78.789058169356267</v>
      </c>
      <c r="T466">
        <f t="shared" si="984"/>
        <v>-7.878905816935626E-2</v>
      </c>
    </row>
    <row r="467" spans="1:20" x14ac:dyDescent="0.25">
      <c r="A467" s="5">
        <v>44126</v>
      </c>
      <c r="B467">
        <v>0.96319999999999995</v>
      </c>
      <c r="C467">
        <v>1.0348999999999999</v>
      </c>
      <c r="D467">
        <v>0.94430000000000003</v>
      </c>
      <c r="E467">
        <v>0.96650000000000003</v>
      </c>
      <c r="F467">
        <v>746473.94</v>
      </c>
      <c r="G467">
        <v>0</v>
      </c>
      <c r="L467" t="s">
        <v>8</v>
      </c>
      <c r="M467" t="s">
        <v>7</v>
      </c>
      <c r="N467" t="s">
        <v>7</v>
      </c>
      <c r="P467">
        <f t="shared" si="980"/>
        <v>-0.50993377483443658</v>
      </c>
      <c r="Q467">
        <f t="shared" si="981"/>
        <v>-380652.27403973468</v>
      </c>
      <c r="R467">
        <f t="shared" si="982"/>
        <v>-7497015.9049955411</v>
      </c>
      <c r="S467">
        <f t="shared" si="983"/>
        <v>-74.970159049955413</v>
      </c>
      <c r="T467">
        <f t="shared" si="984"/>
        <v>-7.4970159049955409E-2</v>
      </c>
    </row>
    <row r="468" spans="1:20" x14ac:dyDescent="0.25">
      <c r="A468" s="5">
        <v>44125</v>
      </c>
      <c r="B468">
        <v>0.89759999999999995</v>
      </c>
      <c r="C468">
        <v>0.996</v>
      </c>
      <c r="D468">
        <v>0.89510000000000001</v>
      </c>
      <c r="E468">
        <v>0.96319999999999995</v>
      </c>
      <c r="F468">
        <v>864222.6</v>
      </c>
      <c r="G468">
        <v>0</v>
      </c>
      <c r="L468" t="s">
        <v>8</v>
      </c>
      <c r="M468" t="s">
        <v>7</v>
      </c>
      <c r="N468" t="s">
        <v>7</v>
      </c>
      <c r="P468">
        <f t="shared" si="980"/>
        <v>0.34985133795837353</v>
      </c>
      <c r="Q468">
        <f t="shared" si="981"/>
        <v>302349.43290386425</v>
      </c>
      <c r="R468">
        <f t="shared" si="982"/>
        <v>-7116363.630955806</v>
      </c>
      <c r="S468">
        <f t="shared" si="983"/>
        <v>-71.163636309558058</v>
      </c>
      <c r="T468">
        <f t="shared" si="984"/>
        <v>-7.1163636309558062E-2</v>
      </c>
    </row>
    <row r="469" spans="1:20" x14ac:dyDescent="0.25">
      <c r="A469" s="5">
        <v>44124</v>
      </c>
      <c r="B469">
        <v>1.0656000000000001</v>
      </c>
      <c r="C469">
        <v>1.0657000000000001</v>
      </c>
      <c r="D469">
        <v>0.88739999999999997</v>
      </c>
      <c r="E469">
        <v>0.89749999999999996</v>
      </c>
      <c r="F469">
        <v>1279052.81</v>
      </c>
      <c r="G469">
        <v>0</v>
      </c>
      <c r="L469" t="s">
        <v>7</v>
      </c>
      <c r="M469" t="s">
        <v>7</v>
      </c>
      <c r="N469" t="s">
        <v>7</v>
      </c>
      <c r="P469">
        <f t="shared" si="980"/>
        <v>-0.88670779584969162</v>
      </c>
      <c r="Q469">
        <f t="shared" si="981"/>
        <v>-1134146.0979304544</v>
      </c>
      <c r="R469">
        <f t="shared" si="982"/>
        <v>-7418713.0638596704</v>
      </c>
      <c r="S469">
        <f t="shared" si="983"/>
        <v>-74.187130638596699</v>
      </c>
      <c r="T469">
        <f t="shared" si="984"/>
        <v>-7.4187130638596693E-2</v>
      </c>
    </row>
    <row r="470" spans="1:20" x14ac:dyDescent="0.25">
      <c r="A470" s="5">
        <v>44123</v>
      </c>
      <c r="B470">
        <v>1.1291</v>
      </c>
      <c r="C470">
        <v>1.1335999999999999</v>
      </c>
      <c r="D470">
        <v>1.0565</v>
      </c>
      <c r="E470">
        <v>1.0647</v>
      </c>
      <c r="F470">
        <v>562208.31000000006</v>
      </c>
      <c r="G470">
        <v>0</v>
      </c>
      <c r="L470" t="s">
        <v>7</v>
      </c>
      <c r="M470" t="s">
        <v>7</v>
      </c>
      <c r="N470" t="s">
        <v>8</v>
      </c>
      <c r="P470">
        <f t="shared" si="980"/>
        <v>-0.78728923476005208</v>
      </c>
      <c r="Q470">
        <f t="shared" si="981"/>
        <v>-442620.55015564215</v>
      </c>
      <c r="R470">
        <f t="shared" si="982"/>
        <v>-6284566.9659292158</v>
      </c>
      <c r="S470">
        <f t="shared" si="983"/>
        <v>-62.845669659292156</v>
      </c>
      <c r="T470">
        <f t="shared" si="984"/>
        <v>-6.2845669659292155E-2</v>
      </c>
    </row>
    <row r="471" spans="1:20" x14ac:dyDescent="0.25">
      <c r="A471" s="5">
        <v>44122</v>
      </c>
      <c r="B471">
        <v>1.1165</v>
      </c>
      <c r="C471">
        <v>1.1712</v>
      </c>
      <c r="D471">
        <v>1.1132</v>
      </c>
      <c r="E471">
        <v>1.1281000000000001</v>
      </c>
      <c r="F471">
        <v>315586.71999999997</v>
      </c>
      <c r="G471">
        <v>0</v>
      </c>
      <c r="L471" t="s">
        <v>8</v>
      </c>
      <c r="M471" t="s">
        <v>7</v>
      </c>
      <c r="N471" t="s">
        <v>8</v>
      </c>
      <c r="P471">
        <f t="shared" si="980"/>
        <v>-0.48620689655171995</v>
      </c>
      <c r="Q471">
        <f t="shared" si="981"/>
        <v>-153440.43972413658</v>
      </c>
      <c r="R471">
        <f t="shared" si="982"/>
        <v>-5841946.4157735733</v>
      </c>
      <c r="S471">
        <f t="shared" si="983"/>
        <v>-58.419464157735732</v>
      </c>
      <c r="T471">
        <f t="shared" si="984"/>
        <v>-5.8419464157735732E-2</v>
      </c>
    </row>
    <row r="472" spans="1:20" x14ac:dyDescent="0.25">
      <c r="A472" s="5">
        <v>44121</v>
      </c>
      <c r="B472">
        <v>1.1174999999999999</v>
      </c>
      <c r="C472">
        <v>1.1198999999999999</v>
      </c>
      <c r="D472">
        <v>1.0749</v>
      </c>
      <c r="E472">
        <v>1.1161000000000001</v>
      </c>
      <c r="F472">
        <v>298957.48</v>
      </c>
      <c r="G472">
        <v>0</v>
      </c>
      <c r="L472" t="s">
        <v>7</v>
      </c>
      <c r="M472" t="s">
        <v>7</v>
      </c>
      <c r="N472" t="s">
        <v>8</v>
      </c>
      <c r="P472">
        <f t="shared" si="980"/>
        <v>0.83111111111111957</v>
      </c>
      <c r="Q472">
        <f t="shared" si="981"/>
        <v>248466.88337778029</v>
      </c>
      <c r="R472">
        <f t="shared" si="982"/>
        <v>-5688505.9760494372</v>
      </c>
      <c r="S472">
        <f t="shared" si="983"/>
        <v>-56.885059760494372</v>
      </c>
      <c r="T472">
        <f t="shared" si="984"/>
        <v>-5.6885059760494371E-2</v>
      </c>
    </row>
    <row r="473" spans="1:20" x14ac:dyDescent="0.25">
      <c r="A473" s="5">
        <v>44120</v>
      </c>
      <c r="B473">
        <v>1.2350000000000001</v>
      </c>
      <c r="C473">
        <v>1.2392000000000001</v>
      </c>
      <c r="D473">
        <v>1.1174999999999999</v>
      </c>
      <c r="E473">
        <v>1.1192</v>
      </c>
      <c r="F473">
        <v>680292.67</v>
      </c>
      <c r="G473">
        <v>0</v>
      </c>
      <c r="L473" t="s">
        <v>7</v>
      </c>
      <c r="M473" t="s">
        <v>7</v>
      </c>
      <c r="N473" t="s">
        <v>8</v>
      </c>
      <c r="P473">
        <f t="shared" si="980"/>
        <v>-0.97206244864420654</v>
      </c>
      <c r="Q473">
        <f t="shared" si="981"/>
        <v>-661286.95859490521</v>
      </c>
      <c r="R473">
        <f t="shared" si="982"/>
        <v>-5936972.8594272174</v>
      </c>
      <c r="S473">
        <f t="shared" si="983"/>
        <v>-59.369728594272175</v>
      </c>
      <c r="T473">
        <f t="shared" si="984"/>
        <v>-5.9369728594272177E-2</v>
      </c>
    </row>
    <row r="474" spans="1:20" x14ac:dyDescent="0.25">
      <c r="A474" s="5">
        <v>44119</v>
      </c>
      <c r="B474">
        <v>1.2797000000000001</v>
      </c>
      <c r="C474">
        <v>1.2903</v>
      </c>
      <c r="D474">
        <v>1.2149000000000001</v>
      </c>
      <c r="E474">
        <v>1.2323</v>
      </c>
      <c r="F474">
        <v>732231.47</v>
      </c>
      <c r="G474">
        <v>0</v>
      </c>
      <c r="L474" t="s">
        <v>7</v>
      </c>
      <c r="M474" t="s">
        <v>7</v>
      </c>
      <c r="N474" t="s">
        <v>8</v>
      </c>
      <c r="P474">
        <f t="shared" si="980"/>
        <v>-0.53846153846154166</v>
      </c>
      <c r="Q474">
        <f t="shared" si="981"/>
        <v>-394278.48384615616</v>
      </c>
      <c r="R474">
        <f t="shared" si="982"/>
        <v>-5275685.9008323122</v>
      </c>
      <c r="S474">
        <f t="shared" si="983"/>
        <v>-52.756859008323119</v>
      </c>
      <c r="T474">
        <f t="shared" si="984"/>
        <v>-5.2756859008323116E-2</v>
      </c>
    </row>
    <row r="475" spans="1:20" x14ac:dyDescent="0.25">
      <c r="A475" s="5">
        <v>44118</v>
      </c>
      <c r="B475">
        <v>1.3163</v>
      </c>
      <c r="C475">
        <v>1.353</v>
      </c>
      <c r="D475">
        <v>1.27</v>
      </c>
      <c r="E475">
        <v>1.2805</v>
      </c>
      <c r="F475">
        <v>576504.89</v>
      </c>
      <c r="G475">
        <v>0</v>
      </c>
      <c r="L475" t="s">
        <v>7</v>
      </c>
      <c r="M475" t="s">
        <v>8</v>
      </c>
      <c r="N475" t="s">
        <v>8</v>
      </c>
      <c r="P475">
        <f t="shared" si="980"/>
        <v>-0.74698795180722988</v>
      </c>
      <c r="Q475">
        <f t="shared" si="981"/>
        <v>-430642.20698795235</v>
      </c>
      <c r="R475">
        <f t="shared" si="982"/>
        <v>-4881407.4169861563</v>
      </c>
      <c r="S475">
        <f t="shared" si="983"/>
        <v>-48.814074169861563</v>
      </c>
      <c r="T475">
        <f t="shared" si="984"/>
        <v>-4.8814074169861561E-2</v>
      </c>
    </row>
    <row r="476" spans="1:20" x14ac:dyDescent="0.25">
      <c r="A476" s="5">
        <v>44117</v>
      </c>
      <c r="B476">
        <v>1.3932</v>
      </c>
      <c r="C476">
        <v>1.403</v>
      </c>
      <c r="D476">
        <v>1.2805</v>
      </c>
      <c r="E476">
        <v>1.3163</v>
      </c>
      <c r="F476">
        <v>1284370.4099999999</v>
      </c>
      <c r="G476">
        <v>0</v>
      </c>
      <c r="L476" t="s">
        <v>7</v>
      </c>
      <c r="M476" t="s">
        <v>8</v>
      </c>
      <c r="N476" t="s">
        <v>8</v>
      </c>
      <c r="P476">
        <f t="shared" si="980"/>
        <v>-0.41551020408163203</v>
      </c>
      <c r="Q476">
        <f t="shared" si="981"/>
        <v>-533669.01117550931</v>
      </c>
      <c r="R476">
        <f t="shared" si="982"/>
        <v>-4450765.2099982044</v>
      </c>
      <c r="S476">
        <f t="shared" si="983"/>
        <v>-44.507652099982046</v>
      </c>
      <c r="T476">
        <f t="shared" si="984"/>
        <v>-4.4507652099982045E-2</v>
      </c>
    </row>
    <row r="477" spans="1:20" x14ac:dyDescent="0.25">
      <c r="A477" s="5">
        <v>44116</v>
      </c>
      <c r="B477">
        <v>1.1097999999999999</v>
      </c>
      <c r="C477">
        <v>1.4350000000000001</v>
      </c>
      <c r="D477">
        <v>1.1017999999999999</v>
      </c>
      <c r="E477">
        <v>1.3935</v>
      </c>
      <c r="F477">
        <v>2249369.88</v>
      </c>
      <c r="G477">
        <v>0</v>
      </c>
      <c r="L477" t="s">
        <v>8</v>
      </c>
      <c r="M477" t="s">
        <v>8</v>
      </c>
      <c r="N477" t="s">
        <v>8</v>
      </c>
      <c r="P477">
        <f t="shared" si="980"/>
        <v>0.75090036014405714</v>
      </c>
      <c r="Q477">
        <f t="shared" si="981"/>
        <v>1689052.6529891945</v>
      </c>
      <c r="R477">
        <f t="shared" si="982"/>
        <v>-3917096.1988226948</v>
      </c>
      <c r="S477">
        <f t="shared" si="983"/>
        <v>-39.170961988226949</v>
      </c>
      <c r="T477">
        <f t="shared" si="984"/>
        <v>-3.9170961988226949E-2</v>
      </c>
    </row>
    <row r="478" spans="1:20" x14ac:dyDescent="0.25">
      <c r="A478" s="5">
        <v>44115</v>
      </c>
      <c r="B478">
        <v>1.1049</v>
      </c>
      <c r="C478">
        <v>1.135</v>
      </c>
      <c r="D478">
        <v>1.0674999999999999</v>
      </c>
      <c r="E478">
        <v>1.1099000000000001</v>
      </c>
      <c r="F478">
        <v>400578.78</v>
      </c>
      <c r="G478">
        <v>0</v>
      </c>
      <c r="L478" t="s">
        <v>7</v>
      </c>
      <c r="M478" t="s">
        <v>8</v>
      </c>
      <c r="N478" t="s">
        <v>8</v>
      </c>
      <c r="P478">
        <f t="shared" si="980"/>
        <v>0.25629629629630052</v>
      </c>
      <c r="Q478">
        <f t="shared" si="981"/>
        <v>102666.85768889058</v>
      </c>
      <c r="R478">
        <f t="shared" si="982"/>
        <v>-5606148.8518118896</v>
      </c>
      <c r="S478">
        <f t="shared" si="983"/>
        <v>-56.061488518118892</v>
      </c>
      <c r="T478">
        <f t="shared" si="984"/>
        <v>-5.6061488518118895E-2</v>
      </c>
    </row>
    <row r="479" spans="1:20" x14ac:dyDescent="0.25">
      <c r="A479" s="5">
        <v>44114</v>
      </c>
      <c r="B479">
        <v>1.1665000000000001</v>
      </c>
      <c r="C479">
        <v>1.1895</v>
      </c>
      <c r="D479">
        <v>1.1000000000000001</v>
      </c>
      <c r="E479">
        <v>1.1052999999999999</v>
      </c>
      <c r="F479">
        <v>630368.1</v>
      </c>
      <c r="G479">
        <v>0</v>
      </c>
      <c r="L479" t="s">
        <v>7</v>
      </c>
      <c r="M479" t="s">
        <v>8</v>
      </c>
      <c r="N479" t="s">
        <v>8</v>
      </c>
      <c r="P479">
        <f t="shared" si="980"/>
        <v>-0.88156424581005888</v>
      </c>
      <c r="Q479">
        <f t="shared" si="981"/>
        <v>-555709.97865921981</v>
      </c>
      <c r="R479">
        <f t="shared" si="982"/>
        <v>-5708815.7095007803</v>
      </c>
      <c r="S479">
        <f t="shared" si="983"/>
        <v>-57.088157095007801</v>
      </c>
      <c r="T479">
        <f t="shared" si="984"/>
        <v>-5.7088157095007801E-2</v>
      </c>
    </row>
    <row r="480" spans="1:20" x14ac:dyDescent="0.25">
      <c r="A480" s="5">
        <v>44113</v>
      </c>
      <c r="B480">
        <v>1.0945</v>
      </c>
      <c r="C480">
        <v>1.2285999999999999</v>
      </c>
      <c r="D480">
        <v>1.0740000000000001</v>
      </c>
      <c r="E480">
        <v>1.1665000000000001</v>
      </c>
      <c r="F480">
        <v>871981.09</v>
      </c>
      <c r="G480">
        <v>0</v>
      </c>
      <c r="L480" t="s">
        <v>8</v>
      </c>
      <c r="M480" t="s">
        <v>8</v>
      </c>
      <c r="N480" t="s">
        <v>8</v>
      </c>
      <c r="P480">
        <f t="shared" si="980"/>
        <v>0.19663648124191613</v>
      </c>
      <c r="Q480">
        <f t="shared" si="981"/>
        <v>171463.29324709057</v>
      </c>
      <c r="R480">
        <f t="shared" si="982"/>
        <v>-5153105.7308415603</v>
      </c>
      <c r="S480">
        <f t="shared" si="983"/>
        <v>-51.531057308415605</v>
      </c>
      <c r="T480">
        <f t="shared" si="984"/>
        <v>-5.1531057308415604E-2</v>
      </c>
    </row>
    <row r="481" spans="1:20" x14ac:dyDescent="0.25">
      <c r="A481" s="5">
        <v>44112</v>
      </c>
      <c r="B481">
        <v>1.1275999999999999</v>
      </c>
      <c r="C481">
        <v>1.1296999999999999</v>
      </c>
      <c r="D481">
        <v>1.02</v>
      </c>
      <c r="E481">
        <v>1.0948</v>
      </c>
      <c r="F481">
        <v>780689.48</v>
      </c>
      <c r="G481">
        <v>0</v>
      </c>
      <c r="L481" t="s">
        <v>7</v>
      </c>
      <c r="M481" t="s">
        <v>8</v>
      </c>
      <c r="N481" t="s">
        <v>7</v>
      </c>
      <c r="P481">
        <f t="shared" si="980"/>
        <v>0.36371923427529701</v>
      </c>
      <c r="Q481">
        <f t="shared" si="981"/>
        <v>283951.77987237979</v>
      </c>
      <c r="R481">
        <f t="shared" si="982"/>
        <v>-5324569.0240886509</v>
      </c>
      <c r="S481">
        <f t="shared" si="983"/>
        <v>-53.24569024088651</v>
      </c>
      <c r="T481">
        <f t="shared" si="984"/>
        <v>-5.324569024088651E-2</v>
      </c>
    </row>
    <row r="482" spans="1:20" x14ac:dyDescent="0.25">
      <c r="A482" s="5">
        <v>44111</v>
      </c>
      <c r="B482">
        <v>0.93500000000000005</v>
      </c>
      <c r="C482">
        <v>1.1639999999999999</v>
      </c>
      <c r="D482">
        <v>0.90700000000000003</v>
      </c>
      <c r="E482">
        <v>1.1299999999999999</v>
      </c>
      <c r="F482">
        <v>1568584.73</v>
      </c>
      <c r="G482">
        <v>0</v>
      </c>
      <c r="L482" t="s">
        <v>8</v>
      </c>
      <c r="M482" t="s">
        <v>7</v>
      </c>
      <c r="N482" t="s">
        <v>7</v>
      </c>
      <c r="P482">
        <f t="shared" si="980"/>
        <v>0.73540856031128365</v>
      </c>
      <c r="Q482">
        <f t="shared" si="981"/>
        <v>1153550.6380155636</v>
      </c>
      <c r="R482">
        <f t="shared" si="982"/>
        <v>-5608520.8039610311</v>
      </c>
      <c r="S482">
        <f t="shared" si="983"/>
        <v>-56.085208039610315</v>
      </c>
      <c r="T482">
        <f t="shared" si="984"/>
        <v>-5.6085208039610313E-2</v>
      </c>
    </row>
    <row r="483" spans="1:20" x14ac:dyDescent="0.25">
      <c r="A483" s="5">
        <v>44110</v>
      </c>
      <c r="B483">
        <v>1.1601999999999999</v>
      </c>
      <c r="C483">
        <v>1.1652</v>
      </c>
      <c r="D483">
        <v>0.9133</v>
      </c>
      <c r="E483">
        <v>0.93100000000000005</v>
      </c>
      <c r="F483">
        <v>1575734.41</v>
      </c>
      <c r="G483">
        <v>0</v>
      </c>
      <c r="L483" t="s">
        <v>7</v>
      </c>
      <c r="M483" t="s">
        <v>7</v>
      </c>
      <c r="N483" t="s">
        <v>8</v>
      </c>
      <c r="P483">
        <f t="shared" si="980"/>
        <v>-0.85946804287415601</v>
      </c>
      <c r="Q483">
        <f t="shared" si="981"/>
        <v>-1354293.3694521629</v>
      </c>
      <c r="R483">
        <f t="shared" si="982"/>
        <v>-6762071.4419765947</v>
      </c>
      <c r="S483">
        <f t="shared" si="983"/>
        <v>-67.620714419765946</v>
      </c>
      <c r="T483">
        <f t="shared" si="984"/>
        <v>-6.7620714419765943E-2</v>
      </c>
    </row>
    <row r="484" spans="1:20" x14ac:dyDescent="0.25">
      <c r="A484" s="5">
        <v>44109</v>
      </c>
      <c r="B484">
        <v>1.1808000000000001</v>
      </c>
      <c r="C484">
        <v>1.2345999999999999</v>
      </c>
      <c r="D484">
        <v>1.1151</v>
      </c>
      <c r="E484">
        <v>1.1648000000000001</v>
      </c>
      <c r="F484">
        <v>1471305.23</v>
      </c>
      <c r="G484">
        <v>0</v>
      </c>
      <c r="L484" t="s">
        <v>8</v>
      </c>
      <c r="M484" t="s">
        <v>8</v>
      </c>
      <c r="N484" t="s">
        <v>8</v>
      </c>
      <c r="P484">
        <f t="shared" si="980"/>
        <v>-0.16820083682008197</v>
      </c>
      <c r="Q484">
        <f t="shared" si="981"/>
        <v>-247474.77090376316</v>
      </c>
      <c r="R484">
        <f t="shared" si="982"/>
        <v>-5407778.0725244321</v>
      </c>
      <c r="S484">
        <f t="shared" si="983"/>
        <v>-54.077780725244324</v>
      </c>
      <c r="T484">
        <f t="shared" si="984"/>
        <v>-5.4077780725244322E-2</v>
      </c>
    </row>
    <row r="485" spans="1:20" x14ac:dyDescent="0.25">
      <c r="A485" s="5">
        <v>44108</v>
      </c>
      <c r="B485">
        <v>1.0187999999999999</v>
      </c>
      <c r="C485">
        <v>1.2130000000000001</v>
      </c>
      <c r="D485">
        <v>0.9899</v>
      </c>
      <c r="E485">
        <v>1.1808000000000001</v>
      </c>
      <c r="F485">
        <v>1588931.9</v>
      </c>
      <c r="G485">
        <v>0</v>
      </c>
      <c r="L485" t="s">
        <v>8</v>
      </c>
      <c r="M485" t="s">
        <v>8</v>
      </c>
      <c r="N485" t="s">
        <v>8</v>
      </c>
      <c r="P485">
        <f t="shared" si="980"/>
        <v>0.71134020618556704</v>
      </c>
      <c r="Q485">
        <f t="shared" si="981"/>
        <v>1130271.1453608247</v>
      </c>
      <c r="R485">
        <f t="shared" si="982"/>
        <v>-5160303.3016206687</v>
      </c>
      <c r="S485">
        <f t="shared" si="983"/>
        <v>-51.603033016206687</v>
      </c>
      <c r="T485">
        <f t="shared" si="984"/>
        <v>-5.1603033016206688E-2</v>
      </c>
    </row>
    <row r="486" spans="1:20" x14ac:dyDescent="0.25">
      <c r="A486" s="5">
        <v>44107</v>
      </c>
      <c r="B486">
        <v>0.9849</v>
      </c>
      <c r="C486">
        <v>1.0528</v>
      </c>
      <c r="D486">
        <v>0.96120000000000005</v>
      </c>
      <c r="E486">
        <v>1.0159</v>
      </c>
      <c r="F486">
        <v>402560.24</v>
      </c>
      <c r="G486">
        <v>0</v>
      </c>
      <c r="L486" t="s">
        <v>8</v>
      </c>
      <c r="M486" t="s">
        <v>8</v>
      </c>
      <c r="N486" t="s">
        <v>8</v>
      </c>
      <c r="P486">
        <f t="shared" si="980"/>
        <v>0.19432314410480411</v>
      </c>
      <c r="Q486">
        <f t="shared" si="981"/>
        <v>78226.771528384532</v>
      </c>
      <c r="R486">
        <f t="shared" si="982"/>
        <v>-6290574.4469814934</v>
      </c>
      <c r="S486">
        <f t="shared" si="983"/>
        <v>-62.905744469814934</v>
      </c>
      <c r="T486">
        <f t="shared" si="984"/>
        <v>-6.2905744469814937E-2</v>
      </c>
    </row>
    <row r="487" spans="1:20" x14ac:dyDescent="0.25">
      <c r="A487" s="5">
        <v>44106</v>
      </c>
      <c r="B487">
        <v>1.0490999999999999</v>
      </c>
      <c r="C487">
        <v>1.071</v>
      </c>
      <c r="D487">
        <v>0.89790000000000003</v>
      </c>
      <c r="E487">
        <v>0.98399999999999999</v>
      </c>
      <c r="F487">
        <v>1114968.54</v>
      </c>
      <c r="G487">
        <v>0</v>
      </c>
      <c r="L487" t="s">
        <v>7</v>
      </c>
      <c r="M487" t="s">
        <v>7</v>
      </c>
      <c r="N487" t="s">
        <v>8</v>
      </c>
      <c r="P487">
        <f t="shared" si="980"/>
        <v>-5.1993067590988583E-3</v>
      </c>
      <c r="Q487">
        <f t="shared" si="981"/>
        <v>-5797.0634662045859</v>
      </c>
      <c r="R487">
        <f t="shared" si="982"/>
        <v>-6368801.218509878</v>
      </c>
      <c r="S487">
        <f t="shared" si="983"/>
        <v>-63.688012185098778</v>
      </c>
      <c r="T487">
        <f t="shared" si="984"/>
        <v>-6.3688012185098772E-2</v>
      </c>
    </row>
    <row r="488" spans="1:20" x14ac:dyDescent="0.25">
      <c r="A488" s="5">
        <v>44105</v>
      </c>
      <c r="B488">
        <v>1.1586000000000001</v>
      </c>
      <c r="C488">
        <v>1.1636</v>
      </c>
      <c r="D488">
        <v>0.97740000000000005</v>
      </c>
      <c r="E488">
        <v>1.05</v>
      </c>
      <c r="F488">
        <v>1080623.3500000001</v>
      </c>
      <c r="G488">
        <v>0</v>
      </c>
      <c r="L488" t="s">
        <v>7</v>
      </c>
      <c r="M488" t="s">
        <v>7</v>
      </c>
      <c r="N488" t="s">
        <v>8</v>
      </c>
      <c r="P488">
        <f t="shared" si="980"/>
        <v>-0.22019334049409206</v>
      </c>
      <c r="Q488">
        <f t="shared" si="981"/>
        <v>-237946.06525241645</v>
      </c>
      <c r="R488">
        <f t="shared" si="982"/>
        <v>-6363004.1550436737</v>
      </c>
      <c r="S488">
        <f t="shared" si="983"/>
        <v>-63.630041550436736</v>
      </c>
      <c r="T488">
        <f t="shared" si="984"/>
        <v>-6.3630041550436736E-2</v>
      </c>
    </row>
    <row r="489" spans="1:20" x14ac:dyDescent="0.25">
      <c r="A489" s="5">
        <v>44104</v>
      </c>
      <c r="B489">
        <v>1.0095000000000001</v>
      </c>
      <c r="C489">
        <v>1.2034</v>
      </c>
      <c r="D489">
        <v>1.0037</v>
      </c>
      <c r="E489">
        <v>1.1586000000000001</v>
      </c>
      <c r="F489">
        <v>1486112.05</v>
      </c>
      <c r="G489">
        <v>0</v>
      </c>
      <c r="L489" t="s">
        <v>8</v>
      </c>
      <c r="M489" t="s">
        <v>8</v>
      </c>
      <c r="N489" t="s">
        <v>8</v>
      </c>
      <c r="P489">
        <f t="shared" si="980"/>
        <v>0.55132699048572908</v>
      </c>
      <c r="Q489">
        <f t="shared" si="981"/>
        <v>819333.68405107735</v>
      </c>
      <c r="R489">
        <f t="shared" si="982"/>
        <v>-6125058.0897912569</v>
      </c>
      <c r="S489">
        <f t="shared" si="983"/>
        <v>-61.25058089791257</v>
      </c>
      <c r="T489">
        <f t="shared" si="984"/>
        <v>-6.125058089791257E-2</v>
      </c>
    </row>
    <row r="490" spans="1:20" x14ac:dyDescent="0.25">
      <c r="A490" s="5">
        <v>44103</v>
      </c>
      <c r="B490">
        <v>1.0055000000000001</v>
      </c>
      <c r="C490">
        <v>1.0362</v>
      </c>
      <c r="D490">
        <v>0.95550000000000002</v>
      </c>
      <c r="E490">
        <v>1.0035000000000001</v>
      </c>
      <c r="F490">
        <v>777080.45</v>
      </c>
      <c r="G490">
        <v>0</v>
      </c>
      <c r="L490" t="s">
        <v>7</v>
      </c>
      <c r="M490" t="s">
        <v>8</v>
      </c>
      <c r="N490" t="s">
        <v>8</v>
      </c>
      <c r="P490">
        <f t="shared" si="980"/>
        <v>0.18959107806691564</v>
      </c>
      <c r="Q490">
        <f t="shared" si="981"/>
        <v>147327.52026022392</v>
      </c>
      <c r="R490">
        <f t="shared" si="982"/>
        <v>-6944391.7738423338</v>
      </c>
      <c r="S490">
        <f t="shared" si="983"/>
        <v>-69.443917738423337</v>
      </c>
      <c r="T490">
        <f t="shared" si="984"/>
        <v>-6.9443917738423344E-2</v>
      </c>
    </row>
    <row r="491" spans="1:20" x14ac:dyDescent="0.25">
      <c r="A491" s="5">
        <v>44102</v>
      </c>
      <c r="B491">
        <v>0.94850000000000001</v>
      </c>
      <c r="C491">
        <v>1.0499000000000001</v>
      </c>
      <c r="D491">
        <v>0.94689999999999996</v>
      </c>
      <c r="E491">
        <v>1.0063</v>
      </c>
      <c r="F491">
        <v>1161854.21</v>
      </c>
      <c r="G491">
        <v>0</v>
      </c>
      <c r="L491" t="s">
        <v>8</v>
      </c>
      <c r="M491" t="s">
        <v>8</v>
      </c>
      <c r="N491" t="s">
        <v>8</v>
      </c>
      <c r="P491">
        <f t="shared" si="980"/>
        <v>0.15339805825242633</v>
      </c>
      <c r="Q491">
        <f t="shared" si="981"/>
        <v>178226.17978640678</v>
      </c>
      <c r="R491">
        <f t="shared" si="982"/>
        <v>-7091719.2941025579</v>
      </c>
      <c r="S491">
        <f t="shared" si="983"/>
        <v>-70.917192941025576</v>
      </c>
      <c r="T491">
        <f t="shared" si="984"/>
        <v>-7.0917192941025581E-2</v>
      </c>
    </row>
    <row r="492" spans="1:20" x14ac:dyDescent="0.25">
      <c r="A492" s="5">
        <v>44101</v>
      </c>
      <c r="B492">
        <v>0.89019999999999999</v>
      </c>
      <c r="C492">
        <v>0.95050000000000001</v>
      </c>
      <c r="D492">
        <v>0.85460000000000003</v>
      </c>
      <c r="E492">
        <v>0.94589999999999996</v>
      </c>
      <c r="F492">
        <v>701491.91</v>
      </c>
      <c r="G492">
        <v>0</v>
      </c>
      <c r="L492" t="s">
        <v>7</v>
      </c>
      <c r="M492" t="s">
        <v>7</v>
      </c>
      <c r="N492" t="s">
        <v>8</v>
      </c>
      <c r="P492">
        <f t="shared" si="980"/>
        <v>0.90406673618352351</v>
      </c>
      <c r="Q492">
        <f t="shared" si="981"/>
        <v>634195.50153284601</v>
      </c>
      <c r="R492">
        <f t="shared" si="982"/>
        <v>-7269945.4738889644</v>
      </c>
      <c r="S492">
        <f t="shared" si="983"/>
        <v>-72.699454738889642</v>
      </c>
      <c r="T492">
        <f t="shared" si="984"/>
        <v>-7.2699454738889641E-2</v>
      </c>
    </row>
    <row r="493" spans="1:20" x14ac:dyDescent="0.25">
      <c r="A493" s="5">
        <v>44100</v>
      </c>
      <c r="B493">
        <v>0.8952</v>
      </c>
      <c r="C493">
        <v>0.92820000000000003</v>
      </c>
      <c r="D493">
        <v>0.87570000000000003</v>
      </c>
      <c r="E493">
        <v>0.89510000000000001</v>
      </c>
      <c r="F493">
        <v>798140.2</v>
      </c>
      <c r="G493">
        <v>0</v>
      </c>
      <c r="L493" t="s">
        <v>7</v>
      </c>
      <c r="M493" t="s">
        <v>8</v>
      </c>
      <c r="N493" t="s">
        <v>8</v>
      </c>
      <c r="P493">
        <f t="shared" si="980"/>
        <v>-0.26095238095238188</v>
      </c>
      <c r="Q493">
        <f t="shared" si="981"/>
        <v>-208276.58552381024</v>
      </c>
      <c r="R493">
        <f t="shared" si="982"/>
        <v>-7904140.9754218105</v>
      </c>
      <c r="S493">
        <f t="shared" si="983"/>
        <v>-79.041409754218108</v>
      </c>
      <c r="T493">
        <f t="shared" si="984"/>
        <v>-7.9041409754218112E-2</v>
      </c>
    </row>
    <row r="494" spans="1:20" x14ac:dyDescent="0.25">
      <c r="A494" s="5">
        <v>44099</v>
      </c>
      <c r="B494">
        <v>0.82499999999999996</v>
      </c>
      <c r="C494">
        <v>1.0064</v>
      </c>
      <c r="D494">
        <v>0.75</v>
      </c>
      <c r="E494">
        <v>0.89590000000000003</v>
      </c>
      <c r="F494">
        <v>1344727.79</v>
      </c>
      <c r="G494">
        <v>0</v>
      </c>
      <c r="L494" t="s">
        <v>8</v>
      </c>
      <c r="M494" t="s">
        <v>8</v>
      </c>
      <c r="N494" t="s">
        <v>8</v>
      </c>
      <c r="P494">
        <f t="shared" si="980"/>
        <v>0.13806552262090524</v>
      </c>
      <c r="Q494">
        <f t="shared" si="981"/>
        <v>185660.54510920492</v>
      </c>
      <c r="R494">
        <f t="shared" si="982"/>
        <v>-7695864.3898980003</v>
      </c>
      <c r="S494">
        <f t="shared" si="983"/>
        <v>-76.95864389898</v>
      </c>
      <c r="T494">
        <f t="shared" si="984"/>
        <v>-7.6958643898979995E-2</v>
      </c>
    </row>
    <row r="495" spans="1:20" x14ac:dyDescent="0.25">
      <c r="A495" s="5">
        <v>44098</v>
      </c>
      <c r="B495">
        <v>0.71950000000000003</v>
      </c>
      <c r="C495">
        <v>0.84499999999999997</v>
      </c>
      <c r="D495">
        <v>0.71260000000000001</v>
      </c>
      <c r="E495">
        <v>0.82569999999999999</v>
      </c>
      <c r="F495">
        <v>750344.74</v>
      </c>
      <c r="G495">
        <v>0</v>
      </c>
      <c r="L495" t="s">
        <v>8</v>
      </c>
      <c r="M495" t="s">
        <v>7</v>
      </c>
      <c r="N495" t="s">
        <v>7</v>
      </c>
      <c r="P495">
        <f t="shared" si="980"/>
        <v>0.70845921450151073</v>
      </c>
      <c r="Q495">
        <f t="shared" si="981"/>
        <v>531588.64510574029</v>
      </c>
      <c r="R495">
        <f t="shared" si="982"/>
        <v>-7881524.9350072052</v>
      </c>
      <c r="S495">
        <f t="shared" si="983"/>
        <v>-78.815249350072051</v>
      </c>
      <c r="T495">
        <f t="shared" si="984"/>
        <v>-7.8815249350072045E-2</v>
      </c>
    </row>
    <row r="496" spans="1:20" x14ac:dyDescent="0.25">
      <c r="A496" s="5">
        <v>44097</v>
      </c>
      <c r="B496">
        <v>0.79310000000000003</v>
      </c>
      <c r="C496">
        <v>0.81040000000000001</v>
      </c>
      <c r="D496">
        <v>0.71230000000000004</v>
      </c>
      <c r="E496">
        <v>0.71930000000000005</v>
      </c>
      <c r="F496">
        <v>381882.24</v>
      </c>
      <c r="G496">
        <v>0</v>
      </c>
      <c r="L496" t="s">
        <v>7</v>
      </c>
      <c r="M496" t="s">
        <v>7</v>
      </c>
      <c r="N496" t="s">
        <v>7</v>
      </c>
      <c r="P496">
        <f t="shared" si="980"/>
        <v>-0.85728848114169198</v>
      </c>
      <c r="Q496">
        <f t="shared" si="981"/>
        <v>-327383.24550458707</v>
      </c>
      <c r="R496">
        <f t="shared" si="982"/>
        <v>-8413113.5801129453</v>
      </c>
      <c r="S496">
        <f t="shared" si="983"/>
        <v>-84.131135801129446</v>
      </c>
      <c r="T496">
        <f t="shared" si="984"/>
        <v>-8.413113580112945E-2</v>
      </c>
    </row>
    <row r="497" spans="1:20" x14ac:dyDescent="0.25">
      <c r="A497" s="5">
        <v>44096</v>
      </c>
      <c r="B497">
        <v>0.77270000000000005</v>
      </c>
      <c r="C497">
        <v>0.81320000000000003</v>
      </c>
      <c r="D497">
        <v>0.75</v>
      </c>
      <c r="E497">
        <v>0.79300000000000004</v>
      </c>
      <c r="F497">
        <v>425652.63</v>
      </c>
      <c r="G497">
        <v>0</v>
      </c>
      <c r="L497" t="s">
        <v>8</v>
      </c>
      <c r="M497" t="s">
        <v>7</v>
      </c>
      <c r="N497" t="s">
        <v>7</v>
      </c>
      <c r="P497">
        <f t="shared" si="980"/>
        <v>0.36075949367088656</v>
      </c>
      <c r="Q497">
        <f t="shared" si="981"/>
        <v>153558.22727848121</v>
      </c>
      <c r="R497">
        <f t="shared" si="982"/>
        <v>-8085730.3346083574</v>
      </c>
      <c r="S497">
        <f t="shared" si="983"/>
        <v>-80.857303346083569</v>
      </c>
      <c r="T497">
        <f t="shared" si="984"/>
        <v>-8.085730334608357E-2</v>
      </c>
    </row>
    <row r="498" spans="1:20" x14ac:dyDescent="0.25">
      <c r="A498" s="5">
        <v>44095</v>
      </c>
      <c r="B498">
        <v>0.85740000000000005</v>
      </c>
      <c r="C498">
        <v>0.88600000000000001</v>
      </c>
      <c r="D498">
        <v>0.71719999999999995</v>
      </c>
      <c r="E498">
        <v>0.77270000000000005</v>
      </c>
      <c r="F498">
        <v>1041627.76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-0.34241706161137342</v>
      </c>
      <c r="Q498">
        <f t="shared" si="981"/>
        <v>-356671.11687203689</v>
      </c>
      <c r="R498">
        <f t="shared" si="982"/>
        <v>-8239288.5618868386</v>
      </c>
      <c r="S498">
        <f t="shared" si="983"/>
        <v>-82.392885618868391</v>
      </c>
      <c r="T498">
        <f t="shared" si="984"/>
        <v>-8.2392885618868386E-2</v>
      </c>
    </row>
    <row r="499" spans="1:20" x14ac:dyDescent="0.25">
      <c r="A499" s="5">
        <v>44094</v>
      </c>
      <c r="B499">
        <v>0.90490000000000004</v>
      </c>
      <c r="C499">
        <v>0.95130000000000003</v>
      </c>
      <c r="D499">
        <v>0.84150000000000003</v>
      </c>
      <c r="E499">
        <v>0.85760000000000003</v>
      </c>
      <c r="F499">
        <v>931601.32</v>
      </c>
      <c r="G499">
        <v>0</v>
      </c>
      <c r="L499" t="s">
        <v>7</v>
      </c>
      <c r="M499" t="s">
        <v>7</v>
      </c>
      <c r="N499" t="s">
        <v>7</v>
      </c>
      <c r="P499">
        <f t="shared" si="980"/>
        <v>-0.70673952641165749</v>
      </c>
      <c r="Q499">
        <f t="shared" si="981"/>
        <v>-658399.47570127493</v>
      </c>
      <c r="R499">
        <f t="shared" si="982"/>
        <v>-7882617.4450148018</v>
      </c>
      <c r="S499">
        <f t="shared" si="983"/>
        <v>-78.826174450148017</v>
      </c>
      <c r="T499">
        <f t="shared" si="984"/>
        <v>-7.8826174450148015E-2</v>
      </c>
    </row>
    <row r="500" spans="1:20" x14ac:dyDescent="0.25">
      <c r="A500" s="5">
        <v>44093</v>
      </c>
      <c r="B500">
        <v>0.98440000000000005</v>
      </c>
      <c r="C500">
        <v>0.995</v>
      </c>
      <c r="D500">
        <v>0.87829999999999997</v>
      </c>
      <c r="E500">
        <v>0.90490000000000004</v>
      </c>
      <c r="F500">
        <v>1446696.19</v>
      </c>
      <c r="G500">
        <v>0</v>
      </c>
      <c r="L500" t="s">
        <v>7</v>
      </c>
      <c r="M500" t="s">
        <v>7</v>
      </c>
      <c r="N500" t="s">
        <v>7</v>
      </c>
      <c r="P500">
        <f t="shared" si="980"/>
        <v>-0.54413024850042735</v>
      </c>
      <c r="Q500">
        <f t="shared" si="981"/>
        <v>-787191.15736932145</v>
      </c>
      <c r="R500">
        <f t="shared" si="982"/>
        <v>-7224217.9693135265</v>
      </c>
      <c r="S500">
        <f t="shared" si="983"/>
        <v>-72.24217969313527</v>
      </c>
      <c r="T500">
        <f t="shared" si="984"/>
        <v>-7.2242179693135275E-2</v>
      </c>
    </row>
    <row r="501" spans="1:20" x14ac:dyDescent="0.25">
      <c r="A501" s="5">
        <v>44092</v>
      </c>
      <c r="B501">
        <v>1.0167999999999999</v>
      </c>
      <c r="C501">
        <v>1.0641</v>
      </c>
      <c r="D501">
        <v>0.9556</v>
      </c>
      <c r="E501">
        <v>0.98709999999999998</v>
      </c>
      <c r="F501">
        <v>716459.68</v>
      </c>
      <c r="G501">
        <v>0</v>
      </c>
      <c r="L501" t="s">
        <v>7</v>
      </c>
      <c r="M501" t="s">
        <v>7</v>
      </c>
      <c r="N501" t="s">
        <v>7</v>
      </c>
      <c r="P501">
        <f t="shared" si="980"/>
        <v>-0.41935483870967816</v>
      </c>
      <c r="Q501">
        <f t="shared" si="981"/>
        <v>-300450.83354838763</v>
      </c>
      <c r="R501">
        <f t="shared" si="982"/>
        <v>-6437026.8119442053</v>
      </c>
      <c r="S501">
        <f t="shared" si="983"/>
        <v>-64.370268119442059</v>
      </c>
      <c r="T501">
        <f t="shared" si="984"/>
        <v>-6.4370268119442062E-2</v>
      </c>
    </row>
    <row r="502" spans="1:20" x14ac:dyDescent="0.25">
      <c r="A502" s="5">
        <v>44091</v>
      </c>
      <c r="B502">
        <v>1.0163</v>
      </c>
      <c r="C502">
        <v>1.0485</v>
      </c>
      <c r="D502">
        <v>0.98629999999999995</v>
      </c>
      <c r="E502">
        <v>1.0112000000000001</v>
      </c>
      <c r="F502">
        <v>417492.4</v>
      </c>
      <c r="G502">
        <v>0</v>
      </c>
      <c r="L502" t="s">
        <v>7</v>
      </c>
      <c r="M502" t="s">
        <v>7</v>
      </c>
      <c r="N502" t="s">
        <v>7</v>
      </c>
      <c r="P502">
        <f t="shared" si="980"/>
        <v>-0.19935691318327553</v>
      </c>
      <c r="Q502">
        <f t="shared" si="981"/>
        <v>-83229.996141477342</v>
      </c>
      <c r="R502">
        <f t="shared" si="982"/>
        <v>-6136575.9783958178</v>
      </c>
      <c r="S502">
        <f t="shared" si="983"/>
        <v>-61.365759783958175</v>
      </c>
      <c r="T502">
        <f t="shared" si="984"/>
        <v>-6.1365759783958175E-2</v>
      </c>
    </row>
    <row r="503" spans="1:20" x14ac:dyDescent="0.25">
      <c r="A503" s="5">
        <v>44090</v>
      </c>
      <c r="B503">
        <v>1.05</v>
      </c>
      <c r="C503">
        <v>1.0533999999999999</v>
      </c>
      <c r="D503">
        <v>0.98599999999999999</v>
      </c>
      <c r="E503">
        <v>1.0208999999999999</v>
      </c>
      <c r="F503">
        <v>712219.38</v>
      </c>
      <c r="G503">
        <v>0</v>
      </c>
      <c r="L503" t="s">
        <v>7</v>
      </c>
      <c r="M503" t="s">
        <v>7</v>
      </c>
      <c r="N503" t="s">
        <v>7</v>
      </c>
      <c r="P503">
        <f t="shared" si="980"/>
        <v>3.5608308605340672E-2</v>
      </c>
      <c r="Q503">
        <f t="shared" si="981"/>
        <v>25360.927477744397</v>
      </c>
      <c r="R503">
        <f t="shared" si="982"/>
        <v>-6053345.9822543403</v>
      </c>
      <c r="S503">
        <f t="shared" si="983"/>
        <v>-60.533459822543406</v>
      </c>
      <c r="T503">
        <f t="shared" si="984"/>
        <v>-6.0533459822543406E-2</v>
      </c>
    </row>
    <row r="504" spans="1:20" x14ac:dyDescent="0.25">
      <c r="A504" s="5">
        <v>44089</v>
      </c>
      <c r="B504">
        <v>1.1758999999999999</v>
      </c>
      <c r="C504">
        <v>1.19</v>
      </c>
      <c r="D504">
        <v>1.05</v>
      </c>
      <c r="E504">
        <v>1.0548</v>
      </c>
      <c r="F504">
        <v>717233.97</v>
      </c>
      <c r="G504">
        <v>0</v>
      </c>
      <c r="L504" t="s">
        <v>7</v>
      </c>
      <c r="M504" t="s">
        <v>7</v>
      </c>
      <c r="N504" t="s">
        <v>7</v>
      </c>
      <c r="P504">
        <f t="shared" si="980"/>
        <v>-0.9314285714285726</v>
      </c>
      <c r="Q504">
        <f t="shared" si="981"/>
        <v>-668052.21205714368</v>
      </c>
      <c r="R504">
        <f t="shared" si="982"/>
        <v>-6078706.9097320847</v>
      </c>
      <c r="S504">
        <f t="shared" si="983"/>
        <v>-60.787069097320845</v>
      </c>
      <c r="T504">
        <f t="shared" si="984"/>
        <v>-6.0787069097320845E-2</v>
      </c>
    </row>
    <row r="505" spans="1:20" x14ac:dyDescent="0.25">
      <c r="A505" s="5">
        <v>44088</v>
      </c>
      <c r="B505">
        <v>1.1111</v>
      </c>
      <c r="C505">
        <v>1.1880999999999999</v>
      </c>
      <c r="D505">
        <v>1.0966</v>
      </c>
      <c r="E505">
        <v>1.1715</v>
      </c>
      <c r="F505">
        <v>420743.71</v>
      </c>
      <c r="G505">
        <v>0</v>
      </c>
      <c r="L505" t="s">
        <v>7</v>
      </c>
      <c r="M505" t="s">
        <v>7</v>
      </c>
      <c r="N505" t="s">
        <v>7</v>
      </c>
      <c r="P505">
        <f t="shared" si="980"/>
        <v>0.63715846994535597</v>
      </c>
      <c r="Q505">
        <f t="shared" si="981"/>
        <v>268080.41850273259</v>
      </c>
      <c r="R505">
        <f t="shared" si="982"/>
        <v>-5410654.6976749413</v>
      </c>
      <c r="S505">
        <f t="shared" si="983"/>
        <v>-54.106546976749414</v>
      </c>
      <c r="T505">
        <f t="shared" si="984"/>
        <v>-5.4106546976749416E-2</v>
      </c>
    </row>
    <row r="506" spans="1:20" x14ac:dyDescent="0.25">
      <c r="A506" s="5">
        <v>44087</v>
      </c>
      <c r="B506">
        <v>1.1938</v>
      </c>
      <c r="C506">
        <v>1.2450000000000001</v>
      </c>
      <c r="D506">
        <v>1.1000000000000001</v>
      </c>
      <c r="E506">
        <v>1.1127</v>
      </c>
      <c r="F506">
        <v>688774.49</v>
      </c>
      <c r="G506">
        <v>0</v>
      </c>
      <c r="L506" t="s">
        <v>8</v>
      </c>
      <c r="M506" t="s">
        <v>7</v>
      </c>
      <c r="N506" t="s">
        <v>7</v>
      </c>
      <c r="P506">
        <f t="shared" si="980"/>
        <v>-0.82482758620689745</v>
      </c>
      <c r="Q506">
        <f t="shared" si="981"/>
        <v>-568120.20002758678</v>
      </c>
      <c r="R506">
        <f t="shared" si="982"/>
        <v>-5678735.1161776735</v>
      </c>
      <c r="S506">
        <f t="shared" si="983"/>
        <v>-56.787351161776733</v>
      </c>
      <c r="T506">
        <f t="shared" si="984"/>
        <v>-5.6787351161776731E-2</v>
      </c>
    </row>
    <row r="507" spans="1:20" x14ac:dyDescent="0.25">
      <c r="A507" s="5">
        <v>44086</v>
      </c>
      <c r="B507">
        <v>1.1658999999999999</v>
      </c>
      <c r="C507">
        <v>1.2164999999999999</v>
      </c>
      <c r="D507">
        <v>1.1311</v>
      </c>
      <c r="E507">
        <v>1.1941999999999999</v>
      </c>
      <c r="F507">
        <v>662831</v>
      </c>
      <c r="G507">
        <v>0</v>
      </c>
      <c r="L507" t="s">
        <v>8</v>
      </c>
      <c r="M507" t="s">
        <v>8</v>
      </c>
      <c r="N507" t="s">
        <v>7</v>
      </c>
      <c r="P507">
        <f t="shared" si="980"/>
        <v>0.47775175644028084</v>
      </c>
      <c r="Q507">
        <f t="shared" si="981"/>
        <v>316668.6744730678</v>
      </c>
      <c r="R507">
        <f t="shared" si="982"/>
        <v>-5110614.9161500866</v>
      </c>
      <c r="S507">
        <f t="shared" si="983"/>
        <v>-51.106149161500866</v>
      </c>
      <c r="T507">
        <f t="shared" si="984"/>
        <v>-5.1106149161500865E-2</v>
      </c>
    </row>
    <row r="508" spans="1:20" x14ac:dyDescent="0.25">
      <c r="A508" s="5">
        <v>44085</v>
      </c>
      <c r="B508">
        <v>1.1572</v>
      </c>
      <c r="C508">
        <v>1.1793</v>
      </c>
      <c r="D508">
        <v>1.1169</v>
      </c>
      <c r="E508">
        <v>1.1657999999999999</v>
      </c>
      <c r="F508">
        <v>492812.15</v>
      </c>
      <c r="G508">
        <v>0</v>
      </c>
      <c r="L508" t="s">
        <v>7</v>
      </c>
      <c r="M508" t="s">
        <v>8</v>
      </c>
      <c r="N508" t="s">
        <v>7</v>
      </c>
      <c r="P508">
        <f t="shared" si="980"/>
        <v>0.56730769230769018</v>
      </c>
      <c r="Q508">
        <f t="shared" si="981"/>
        <v>279576.12355769129</v>
      </c>
      <c r="R508">
        <f t="shared" si="982"/>
        <v>-5427283.5906231543</v>
      </c>
      <c r="S508">
        <f t="shared" si="983"/>
        <v>-54.272835906231542</v>
      </c>
      <c r="T508">
        <f t="shared" si="984"/>
        <v>-5.427283590623154E-2</v>
      </c>
    </row>
    <row r="509" spans="1:20" x14ac:dyDescent="0.25">
      <c r="A509" s="5">
        <v>44084</v>
      </c>
      <c r="B509">
        <v>1.1861999999999999</v>
      </c>
      <c r="C509">
        <v>1.2873000000000001</v>
      </c>
      <c r="D509">
        <v>1.1339999999999999</v>
      </c>
      <c r="E509">
        <v>1.1561999999999999</v>
      </c>
      <c r="F509">
        <v>975214.24</v>
      </c>
      <c r="G509">
        <v>0</v>
      </c>
      <c r="L509" t="s">
        <v>8</v>
      </c>
      <c r="M509" t="s">
        <v>8</v>
      </c>
      <c r="N509" t="s">
        <v>7</v>
      </c>
      <c r="P509">
        <f t="shared" si="980"/>
        <v>-0.71037181996086152</v>
      </c>
      <c r="Q509">
        <f t="shared" si="981"/>
        <v>-692764.71452054835</v>
      </c>
      <c r="R509">
        <f t="shared" si="982"/>
        <v>-5706859.7141808458</v>
      </c>
      <c r="S509">
        <f t="shared" si="983"/>
        <v>-57.068597141808461</v>
      </c>
      <c r="T509">
        <f t="shared" si="984"/>
        <v>-5.7068597141808459E-2</v>
      </c>
    </row>
    <row r="510" spans="1:20" x14ac:dyDescent="0.25">
      <c r="A510" s="5">
        <v>44083</v>
      </c>
      <c r="B510">
        <v>1.0438000000000001</v>
      </c>
      <c r="C510">
        <v>1.2413000000000001</v>
      </c>
      <c r="D510">
        <v>0.99</v>
      </c>
      <c r="E510">
        <v>1.1848000000000001</v>
      </c>
      <c r="F510">
        <v>954631.22</v>
      </c>
      <c r="G510">
        <v>0</v>
      </c>
      <c r="L510" t="s">
        <v>7</v>
      </c>
      <c r="M510" t="s">
        <v>7</v>
      </c>
      <c r="N510" t="s">
        <v>7</v>
      </c>
      <c r="P510">
        <f t="shared" si="980"/>
        <v>0.5503382411460408</v>
      </c>
      <c r="Q510">
        <f t="shared" si="981"/>
        <v>525370.06655789912</v>
      </c>
      <c r="R510">
        <f t="shared" si="982"/>
        <v>-5014094.9996602973</v>
      </c>
      <c r="S510">
        <f t="shared" si="983"/>
        <v>-50.14094999660297</v>
      </c>
      <c r="T510">
        <f t="shared" si="984"/>
        <v>-5.0140949996602971E-2</v>
      </c>
    </row>
    <row r="511" spans="1:20" x14ac:dyDescent="0.25">
      <c r="A511" s="5">
        <v>44082</v>
      </c>
      <c r="B511">
        <v>1.1169</v>
      </c>
      <c r="C511">
        <v>1.1204000000000001</v>
      </c>
      <c r="D511">
        <v>1.0145</v>
      </c>
      <c r="E511">
        <v>1.0410999999999999</v>
      </c>
      <c r="F511">
        <v>612574.62</v>
      </c>
      <c r="G511">
        <v>0</v>
      </c>
      <c r="L511" t="s">
        <v>7</v>
      </c>
      <c r="M511" t="s">
        <v>7</v>
      </c>
      <c r="N511" t="s">
        <v>7</v>
      </c>
      <c r="P511">
        <f t="shared" si="980"/>
        <v>-0.49763928234183324</v>
      </c>
      <c r="Q511">
        <f t="shared" si="981"/>
        <v>-304841.19427762122</v>
      </c>
      <c r="R511">
        <f t="shared" si="982"/>
        <v>-5539465.0662181964</v>
      </c>
      <c r="S511">
        <f t="shared" si="983"/>
        <v>-55.394650662181967</v>
      </c>
      <c r="T511">
        <f t="shared" si="984"/>
        <v>-5.5394650662181966E-2</v>
      </c>
    </row>
    <row r="512" spans="1:20" x14ac:dyDescent="0.25">
      <c r="A512" s="5">
        <v>44081</v>
      </c>
      <c r="B512">
        <v>1.1791</v>
      </c>
      <c r="C512">
        <v>1.2491000000000001</v>
      </c>
      <c r="D512">
        <v>0.9819</v>
      </c>
      <c r="E512">
        <v>1.1200000000000001</v>
      </c>
      <c r="F512">
        <v>1361929.13</v>
      </c>
      <c r="G512">
        <v>0</v>
      </c>
      <c r="L512" t="s">
        <v>8</v>
      </c>
      <c r="M512" t="s">
        <v>8</v>
      </c>
      <c r="N512" t="s">
        <v>7</v>
      </c>
      <c r="P512">
        <f t="shared" si="980"/>
        <v>3.3682634730539354E-2</v>
      </c>
      <c r="Q512">
        <f t="shared" si="981"/>
        <v>45873.361414671243</v>
      </c>
      <c r="R512">
        <f t="shared" si="982"/>
        <v>-5234623.8719405755</v>
      </c>
      <c r="S512">
        <f t="shared" si="983"/>
        <v>-52.346238719405754</v>
      </c>
      <c r="T512">
        <f t="shared" si="984"/>
        <v>-5.2346238719405754E-2</v>
      </c>
    </row>
    <row r="513" spans="1:20" x14ac:dyDescent="0.25">
      <c r="A513" s="5">
        <v>44080</v>
      </c>
      <c r="B513">
        <v>1.0101</v>
      </c>
      <c r="C513">
        <v>1.1848000000000001</v>
      </c>
      <c r="D513">
        <v>0.95009999999999994</v>
      </c>
      <c r="E513">
        <v>1.1768000000000001</v>
      </c>
      <c r="F513">
        <v>998223.46</v>
      </c>
      <c r="G513">
        <v>0</v>
      </c>
      <c r="L513" t="s">
        <v>7</v>
      </c>
      <c r="M513" t="s">
        <v>7</v>
      </c>
      <c r="N513" t="s">
        <v>7</v>
      </c>
      <c r="P513">
        <f t="shared" si="980"/>
        <v>0.93182786536003404</v>
      </c>
      <c r="Q513">
        <f t="shared" si="981"/>
        <v>930172.43588410725</v>
      </c>
      <c r="R513">
        <f t="shared" si="982"/>
        <v>-5280497.2333552465</v>
      </c>
      <c r="S513">
        <f t="shared" si="983"/>
        <v>-52.804972333552463</v>
      </c>
      <c r="T513">
        <f t="shared" si="984"/>
        <v>-5.2804972333552462E-2</v>
      </c>
    </row>
    <row r="514" spans="1:20" x14ac:dyDescent="0.25">
      <c r="A514" s="5">
        <v>44079</v>
      </c>
      <c r="B514">
        <v>1.3156000000000001</v>
      </c>
      <c r="C514">
        <v>1.3608</v>
      </c>
      <c r="D514">
        <v>0.96740000000000004</v>
      </c>
      <c r="E514">
        <v>1.0006999999999999</v>
      </c>
      <c r="F514">
        <v>1748760.41</v>
      </c>
      <c r="G514">
        <v>0</v>
      </c>
      <c r="L514" t="s">
        <v>7</v>
      </c>
      <c r="M514" t="s">
        <v>7</v>
      </c>
      <c r="N514" t="s">
        <v>7</v>
      </c>
      <c r="P514">
        <f t="shared" si="980"/>
        <v>-0.83070665988815517</v>
      </c>
      <c r="Q514">
        <f t="shared" si="981"/>
        <v>-1452706.9191357407</v>
      </c>
      <c r="R514">
        <f t="shared" si="982"/>
        <v>-6210669.6692393534</v>
      </c>
      <c r="S514">
        <f t="shared" si="983"/>
        <v>-62.106696692393534</v>
      </c>
      <c r="T514">
        <f t="shared" si="984"/>
        <v>-6.2106696692393534E-2</v>
      </c>
    </row>
    <row r="515" spans="1:20" x14ac:dyDescent="0.25">
      <c r="A515" s="5">
        <v>44078</v>
      </c>
      <c r="B515">
        <v>1.4129</v>
      </c>
      <c r="C515">
        <v>1.4171</v>
      </c>
      <c r="D515">
        <v>1.24</v>
      </c>
      <c r="E515">
        <v>1.3131999999999999</v>
      </c>
      <c r="F515">
        <v>1261153.8899999999</v>
      </c>
      <c r="G515">
        <v>0</v>
      </c>
      <c r="L515" t="s">
        <v>7</v>
      </c>
      <c r="M515" t="s">
        <v>7</v>
      </c>
      <c r="N515" t="s">
        <v>7</v>
      </c>
      <c r="P515">
        <f t="shared" si="980"/>
        <v>-0.17334839073969602</v>
      </c>
      <c r="Q515">
        <f t="shared" si="981"/>
        <v>-218618.99730660761</v>
      </c>
      <c r="R515">
        <f t="shared" si="982"/>
        <v>-4757962.7501036124</v>
      </c>
      <c r="S515">
        <f t="shared" si="983"/>
        <v>-47.579627501036121</v>
      </c>
      <c r="T515">
        <f t="shared" si="984"/>
        <v>-4.7579627501036122E-2</v>
      </c>
    </row>
    <row r="516" spans="1:20" x14ac:dyDescent="0.25">
      <c r="A516" s="5">
        <v>44077</v>
      </c>
      <c r="B516">
        <v>1.5758000000000001</v>
      </c>
      <c r="C516">
        <v>1.6103000000000001</v>
      </c>
      <c r="D516">
        <v>1.3481000000000001</v>
      </c>
      <c r="E516">
        <v>1.4131</v>
      </c>
      <c r="F516">
        <v>1178111.53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-0.50419527078566018</v>
      </c>
      <c r="Q516">
        <f t="shared" si="981"/>
        <v>-593998.26188405848</v>
      </c>
      <c r="R516">
        <f t="shared" si="982"/>
        <v>-4539343.7527970048</v>
      </c>
      <c r="S516">
        <f t="shared" si="983"/>
        <v>-45.39343752797005</v>
      </c>
      <c r="T516">
        <f t="shared" si="984"/>
        <v>-4.5393437527970051E-2</v>
      </c>
    </row>
    <row r="517" spans="1:20" x14ac:dyDescent="0.25">
      <c r="A517" s="5">
        <v>44076</v>
      </c>
      <c r="B517">
        <v>1.7254</v>
      </c>
      <c r="C517">
        <v>1.7432000000000001</v>
      </c>
      <c r="D517">
        <v>1.4754</v>
      </c>
      <c r="E517">
        <v>1.5803</v>
      </c>
      <c r="F517">
        <v>1634099.71</v>
      </c>
      <c r="G517">
        <v>0</v>
      </c>
      <c r="L517" t="s">
        <v>7</v>
      </c>
      <c r="M517" t="s">
        <v>7</v>
      </c>
      <c r="N517" t="s">
        <v>7</v>
      </c>
      <c r="P517">
        <f t="shared" si="980"/>
        <v>-0.21657953696788665</v>
      </c>
      <c r="Q517">
        <f t="shared" si="981"/>
        <v>-353912.55855115782</v>
      </c>
      <c r="R517">
        <f t="shared" si="982"/>
        <v>-3945345.4909129464</v>
      </c>
      <c r="S517">
        <f t="shared" si="983"/>
        <v>-39.453454909129462</v>
      </c>
      <c r="T517">
        <f t="shared" si="984"/>
        <v>-3.9453454909129465E-2</v>
      </c>
    </row>
    <row r="518" spans="1:20" x14ac:dyDescent="0.25">
      <c r="A518" s="5">
        <v>44075</v>
      </c>
      <c r="B518">
        <v>1.7674000000000001</v>
      </c>
      <c r="C518">
        <v>1.8119000000000001</v>
      </c>
      <c r="D518">
        <v>1.7150000000000001</v>
      </c>
      <c r="E518">
        <v>1.7278</v>
      </c>
      <c r="F518">
        <v>1296717.76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5">IF(C518=D518,0,((E518-D518)-(C518-E518))/(C518-D518))</f>
        <v>-0.73581011351909342</v>
      </c>
      <c r="Q518">
        <f t="shared" ref="Q518:Q581" si="986">F518*P518</f>
        <v>-954138.0421878245</v>
      </c>
      <c r="R518">
        <f t="shared" ref="R518:R581" si="987">R519+Q518</f>
        <v>-3591432.9323617886</v>
      </c>
      <c r="S518">
        <f t="shared" ref="S518:S581" si="988">R518/100000</f>
        <v>-35.914329323617885</v>
      </c>
      <c r="T518">
        <f t="shared" ref="T518:T581" si="989">S518/1000</f>
        <v>-3.5914329323617884E-2</v>
      </c>
    </row>
    <row r="519" spans="1:20" x14ac:dyDescent="0.25">
      <c r="A519" s="5">
        <v>44074</v>
      </c>
      <c r="B519">
        <v>1.8759999999999999</v>
      </c>
      <c r="C519">
        <v>1.8893</v>
      </c>
      <c r="D519">
        <v>1.7639</v>
      </c>
      <c r="E519">
        <v>1.7707999999999999</v>
      </c>
      <c r="F519">
        <v>920404.36</v>
      </c>
      <c r="G519">
        <v>0</v>
      </c>
      <c r="L519" t="s">
        <v>7</v>
      </c>
      <c r="M519" t="s">
        <v>8</v>
      </c>
      <c r="N519" t="s">
        <v>7</v>
      </c>
      <c r="P519">
        <f t="shared" si="985"/>
        <v>-0.88995215311004927</v>
      </c>
      <c r="Q519">
        <f t="shared" si="986"/>
        <v>-819115.84191387694</v>
      </c>
      <c r="R519">
        <f t="shared" si="987"/>
        <v>-2637294.8901739642</v>
      </c>
      <c r="S519">
        <f t="shared" si="988"/>
        <v>-26.37294890173964</v>
      </c>
      <c r="T519">
        <f t="shared" si="989"/>
        <v>-2.6372948901739642E-2</v>
      </c>
    </row>
    <row r="520" spans="1:20" x14ac:dyDescent="0.25">
      <c r="A520" s="5">
        <v>44073</v>
      </c>
      <c r="B520">
        <v>1.8159000000000001</v>
      </c>
      <c r="C520">
        <v>1.9790000000000001</v>
      </c>
      <c r="D520">
        <v>1.8</v>
      </c>
      <c r="E520">
        <v>1.8769</v>
      </c>
      <c r="F520">
        <v>1797137.47</v>
      </c>
      <c r="G520">
        <v>0</v>
      </c>
      <c r="L520" t="s">
        <v>8</v>
      </c>
      <c r="M520" t="s">
        <v>8</v>
      </c>
      <c r="N520" t="s">
        <v>7</v>
      </c>
      <c r="P520">
        <f t="shared" si="985"/>
        <v>-0.14078212290502851</v>
      </c>
      <c r="Q520">
        <f t="shared" si="986"/>
        <v>-253004.82817877198</v>
      </c>
      <c r="R520">
        <f t="shared" si="987"/>
        <v>-1818179.0482600871</v>
      </c>
      <c r="S520">
        <f t="shared" si="988"/>
        <v>-18.181790482600871</v>
      </c>
      <c r="T520">
        <f t="shared" si="989"/>
        <v>-1.8181790482600872E-2</v>
      </c>
    </row>
    <row r="521" spans="1:20" x14ac:dyDescent="0.25">
      <c r="A521" s="5">
        <v>44072</v>
      </c>
      <c r="B521">
        <v>1.9923</v>
      </c>
      <c r="C521">
        <v>2.036</v>
      </c>
      <c r="D521">
        <v>1.8053999999999999</v>
      </c>
      <c r="E521">
        <v>1.8160000000000001</v>
      </c>
      <c r="F521">
        <v>1216510.95</v>
      </c>
      <c r="G521">
        <v>0</v>
      </c>
      <c r="L521" t="s">
        <v>7</v>
      </c>
      <c r="M521" t="s">
        <v>8</v>
      </c>
      <c r="N521" t="s">
        <v>7</v>
      </c>
      <c r="P521">
        <f t="shared" si="985"/>
        <v>-0.90806591500433509</v>
      </c>
      <c r="Q521">
        <f t="shared" si="986"/>
        <v>-1104672.1289245428</v>
      </c>
      <c r="R521">
        <f t="shared" si="987"/>
        <v>-1565174.2200813151</v>
      </c>
      <c r="S521">
        <f t="shared" si="988"/>
        <v>-15.651742200813151</v>
      </c>
      <c r="T521">
        <f t="shared" si="989"/>
        <v>-1.5651742200813151E-2</v>
      </c>
    </row>
    <row r="522" spans="1:20" x14ac:dyDescent="0.25">
      <c r="A522" s="5">
        <v>44071</v>
      </c>
      <c r="B522">
        <v>1.7749999999999999</v>
      </c>
      <c r="C522">
        <v>2.0672999999999999</v>
      </c>
      <c r="D522">
        <v>1.7484999999999999</v>
      </c>
      <c r="E522">
        <v>1.9902</v>
      </c>
      <c r="F522">
        <v>3546928.66</v>
      </c>
      <c r="G522">
        <v>0</v>
      </c>
      <c r="L522" t="s">
        <v>8</v>
      </c>
      <c r="M522" t="s">
        <v>8</v>
      </c>
      <c r="N522" t="s">
        <v>7</v>
      </c>
      <c r="P522">
        <f t="shared" si="985"/>
        <v>0.51631116687578449</v>
      </c>
      <c r="Q522">
        <f t="shared" si="986"/>
        <v>1831318.8752697627</v>
      </c>
      <c r="R522">
        <f t="shared" si="987"/>
        <v>-460502.09115677234</v>
      </c>
      <c r="S522">
        <f t="shared" si="988"/>
        <v>-4.6050209115677232</v>
      </c>
      <c r="T522">
        <f t="shared" si="989"/>
        <v>-4.6050209115677228E-3</v>
      </c>
    </row>
    <row r="523" spans="1:20" x14ac:dyDescent="0.25">
      <c r="A523" s="5">
        <v>44070</v>
      </c>
      <c r="B523">
        <v>1.7827</v>
      </c>
      <c r="C523">
        <v>1.9422999999999999</v>
      </c>
      <c r="D523">
        <v>1.7252000000000001</v>
      </c>
      <c r="E523">
        <v>1.7758</v>
      </c>
      <c r="F523">
        <v>1619760.27</v>
      </c>
      <c r="G523">
        <v>0</v>
      </c>
      <c r="L523" t="s">
        <v>8</v>
      </c>
      <c r="M523" t="s">
        <v>7</v>
      </c>
      <c r="N523" t="s">
        <v>7</v>
      </c>
      <c r="P523">
        <f t="shared" si="985"/>
        <v>-0.5338553661906954</v>
      </c>
      <c r="Q523">
        <f t="shared" si="986"/>
        <v>-864717.71208198962</v>
      </c>
      <c r="R523">
        <f t="shared" si="987"/>
        <v>-2291820.966426535</v>
      </c>
      <c r="S523">
        <f t="shared" si="988"/>
        <v>-22.918209664265351</v>
      </c>
      <c r="T523">
        <f t="shared" si="989"/>
        <v>-2.2918209664265353E-2</v>
      </c>
    </row>
    <row r="524" spans="1:20" x14ac:dyDescent="0.25">
      <c r="A524" s="5">
        <v>44069</v>
      </c>
      <c r="B524">
        <v>1.8142</v>
      </c>
      <c r="C524">
        <v>1.8304</v>
      </c>
      <c r="D524">
        <v>1.679</v>
      </c>
      <c r="E524">
        <v>1.7862</v>
      </c>
      <c r="F524">
        <v>1411746.01</v>
      </c>
      <c r="G524">
        <v>0</v>
      </c>
      <c r="L524" t="s">
        <v>8</v>
      </c>
      <c r="M524" t="s">
        <v>7</v>
      </c>
      <c r="N524" t="s">
        <v>7</v>
      </c>
      <c r="P524">
        <f t="shared" si="985"/>
        <v>0.41611624834874472</v>
      </c>
      <c r="Q524">
        <f t="shared" si="986"/>
        <v>587450.4533025095</v>
      </c>
      <c r="R524">
        <f t="shared" si="987"/>
        <v>-1427103.2543445453</v>
      </c>
      <c r="S524">
        <f t="shared" si="988"/>
        <v>-14.271032543445454</v>
      </c>
      <c r="T524">
        <f t="shared" si="989"/>
        <v>-1.4271032543445455E-2</v>
      </c>
    </row>
    <row r="525" spans="1:20" x14ac:dyDescent="0.25">
      <c r="A525" s="5">
        <v>44068</v>
      </c>
      <c r="B525">
        <v>1.8988</v>
      </c>
      <c r="C525">
        <v>2.02</v>
      </c>
      <c r="D525">
        <v>1.6977</v>
      </c>
      <c r="E525">
        <v>1.8187</v>
      </c>
      <c r="F525">
        <v>1872552.93</v>
      </c>
      <c r="G525">
        <v>0</v>
      </c>
      <c r="L525" t="s">
        <v>7</v>
      </c>
      <c r="M525" t="s">
        <v>7</v>
      </c>
      <c r="N525" t="s">
        <v>7</v>
      </c>
      <c r="P525">
        <f t="shared" si="985"/>
        <v>-0.24914675767918099</v>
      </c>
      <c r="Q525">
        <f t="shared" si="986"/>
        <v>-466540.49109215033</v>
      </c>
      <c r="R525">
        <f t="shared" si="987"/>
        <v>-2014553.7076470547</v>
      </c>
      <c r="S525">
        <f t="shared" si="988"/>
        <v>-20.145537076470546</v>
      </c>
      <c r="T525">
        <f t="shared" si="989"/>
        <v>-2.0145537076470547E-2</v>
      </c>
    </row>
    <row r="526" spans="1:20" x14ac:dyDescent="0.25">
      <c r="A526" s="5">
        <v>44067</v>
      </c>
      <c r="B526">
        <v>1.9201999999999999</v>
      </c>
      <c r="C526">
        <v>1.9698</v>
      </c>
      <c r="D526">
        <v>1.8691</v>
      </c>
      <c r="E526">
        <v>1.9008</v>
      </c>
      <c r="F526">
        <v>1146029.96</v>
      </c>
      <c r="G526">
        <v>0</v>
      </c>
      <c r="L526" t="s">
        <v>7</v>
      </c>
      <c r="M526" t="s">
        <v>7</v>
      </c>
      <c r="N526" t="s">
        <v>8</v>
      </c>
      <c r="P526">
        <f t="shared" si="985"/>
        <v>-0.3704071499503464</v>
      </c>
      <c r="Q526">
        <f t="shared" si="986"/>
        <v>-424497.69124130945</v>
      </c>
      <c r="R526">
        <f t="shared" si="987"/>
        <v>-1548013.2165549044</v>
      </c>
      <c r="S526">
        <f t="shared" si="988"/>
        <v>-15.480132165549044</v>
      </c>
      <c r="T526">
        <f t="shared" si="989"/>
        <v>-1.5480132165549044E-2</v>
      </c>
    </row>
    <row r="527" spans="1:20" x14ac:dyDescent="0.25">
      <c r="A527" s="5">
        <v>44066</v>
      </c>
      <c r="B527">
        <v>2.0381999999999998</v>
      </c>
      <c r="C527">
        <v>2.044</v>
      </c>
      <c r="D527">
        <v>1.9079999999999999</v>
      </c>
      <c r="E527">
        <v>1.9201999999999999</v>
      </c>
      <c r="F527">
        <v>524586.67000000004</v>
      </c>
      <c r="G527">
        <v>0</v>
      </c>
      <c r="L527" t="s">
        <v>8</v>
      </c>
      <c r="M527" t="s">
        <v>7</v>
      </c>
      <c r="N527" t="s">
        <v>8</v>
      </c>
      <c r="P527">
        <f t="shared" si="985"/>
        <v>-0.82058823529411795</v>
      </c>
      <c r="Q527">
        <f t="shared" si="986"/>
        <v>-430469.64979411784</v>
      </c>
      <c r="R527">
        <f t="shared" si="987"/>
        <v>-1123515.5253135948</v>
      </c>
      <c r="S527">
        <f t="shared" si="988"/>
        <v>-11.235155253135948</v>
      </c>
      <c r="T527">
        <f t="shared" si="989"/>
        <v>-1.1235155253135948E-2</v>
      </c>
    </row>
    <row r="528" spans="1:20" x14ac:dyDescent="0.25">
      <c r="A528" s="5">
        <v>44065</v>
      </c>
      <c r="B528">
        <v>1.9633</v>
      </c>
      <c r="C528">
        <v>2.1038000000000001</v>
      </c>
      <c r="D528">
        <v>1.9</v>
      </c>
      <c r="E528">
        <v>2.0383</v>
      </c>
      <c r="F528">
        <v>747293.77</v>
      </c>
      <c r="G528">
        <v>0</v>
      </c>
      <c r="L528" t="s">
        <v>7</v>
      </c>
      <c r="M528" t="s">
        <v>7</v>
      </c>
      <c r="N528" t="s">
        <v>8</v>
      </c>
      <c r="P528">
        <f t="shared" si="985"/>
        <v>0.35721295387634888</v>
      </c>
      <c r="Q528">
        <f t="shared" si="986"/>
        <v>266943.01499509288</v>
      </c>
      <c r="R528">
        <f t="shared" si="987"/>
        <v>-693045.87551947695</v>
      </c>
      <c r="S528">
        <f t="shared" si="988"/>
        <v>-6.9304587551947696</v>
      </c>
      <c r="T528">
        <f t="shared" si="989"/>
        <v>-6.93045875519477E-3</v>
      </c>
    </row>
    <row r="529" spans="1:20" x14ac:dyDescent="0.25">
      <c r="A529" s="5">
        <v>44064</v>
      </c>
      <c r="B529">
        <v>2.3100999999999998</v>
      </c>
      <c r="C529">
        <v>2.4089999999999998</v>
      </c>
      <c r="D529">
        <v>1.9490000000000001</v>
      </c>
      <c r="E529">
        <v>1.9544999999999999</v>
      </c>
      <c r="F529">
        <v>1851513.26</v>
      </c>
      <c r="G529">
        <v>0</v>
      </c>
      <c r="L529" t="s">
        <v>7</v>
      </c>
      <c r="M529" t="s">
        <v>7</v>
      </c>
      <c r="N529" t="s">
        <v>8</v>
      </c>
      <c r="P529">
        <f t="shared" si="985"/>
        <v>-0.97608695652173982</v>
      </c>
      <c r="Q529">
        <f t="shared" si="986"/>
        <v>-1807237.9429130447</v>
      </c>
      <c r="R529">
        <f t="shared" si="987"/>
        <v>-959988.89051456982</v>
      </c>
      <c r="S529">
        <f t="shared" si="988"/>
        <v>-9.5998889051456988</v>
      </c>
      <c r="T529">
        <f t="shared" si="989"/>
        <v>-9.5998889051456988E-3</v>
      </c>
    </row>
    <row r="530" spans="1:20" x14ac:dyDescent="0.25">
      <c r="A530" s="5">
        <v>44063</v>
      </c>
      <c r="B530">
        <v>1.7754000000000001</v>
      </c>
      <c r="C530">
        <v>2.4119999999999999</v>
      </c>
      <c r="D530">
        <v>1.7754000000000001</v>
      </c>
      <c r="E530">
        <v>2.3172000000000001</v>
      </c>
      <c r="F530">
        <v>3402507.43</v>
      </c>
      <c r="G530">
        <v>0</v>
      </c>
      <c r="L530" t="s">
        <v>8</v>
      </c>
      <c r="M530" t="s">
        <v>8</v>
      </c>
      <c r="N530" t="s">
        <v>8</v>
      </c>
      <c r="P530">
        <f t="shared" si="985"/>
        <v>0.70216776625824762</v>
      </c>
      <c r="Q530">
        <f t="shared" si="986"/>
        <v>2389131.0418001912</v>
      </c>
      <c r="R530">
        <f t="shared" si="987"/>
        <v>847249.05239847489</v>
      </c>
      <c r="S530">
        <f t="shared" si="988"/>
        <v>8.4724905239847494</v>
      </c>
      <c r="T530">
        <f t="shared" si="989"/>
        <v>8.4724905239847489E-3</v>
      </c>
    </row>
    <row r="531" spans="1:20" x14ac:dyDescent="0.25">
      <c r="A531" s="5">
        <v>44062</v>
      </c>
      <c r="B531">
        <v>1.9830000000000001</v>
      </c>
      <c r="C531">
        <v>2.0009000000000001</v>
      </c>
      <c r="D531">
        <v>1.7219</v>
      </c>
      <c r="E531">
        <v>1.7704</v>
      </c>
      <c r="F531">
        <v>1395132.26</v>
      </c>
      <c r="G531">
        <v>0</v>
      </c>
      <c r="L531" t="s">
        <v>7</v>
      </c>
      <c r="M531" t="s">
        <v>7</v>
      </c>
      <c r="N531" t="s">
        <v>7</v>
      </c>
      <c r="P531">
        <f t="shared" si="985"/>
        <v>-0.65232974910394292</v>
      </c>
      <c r="Q531">
        <f t="shared" si="986"/>
        <v>-910086.27713261684</v>
      </c>
      <c r="R531">
        <f t="shared" si="987"/>
        <v>-1541881.9894017163</v>
      </c>
      <c r="S531">
        <f t="shared" si="988"/>
        <v>-15.418819894017163</v>
      </c>
      <c r="T531">
        <f t="shared" si="989"/>
        <v>-1.5418819894017163E-2</v>
      </c>
    </row>
    <row r="532" spans="1:20" x14ac:dyDescent="0.25">
      <c r="A532" s="5">
        <v>44061</v>
      </c>
      <c r="B532">
        <v>2.0344000000000002</v>
      </c>
      <c r="C532">
        <v>2.0859999999999999</v>
      </c>
      <c r="D532">
        <v>1.8857999999999999</v>
      </c>
      <c r="E532">
        <v>1.9827999999999999</v>
      </c>
      <c r="F532">
        <v>1474036.82</v>
      </c>
      <c r="G532">
        <v>0</v>
      </c>
      <c r="L532" t="s">
        <v>7</v>
      </c>
      <c r="M532" t="s">
        <v>7</v>
      </c>
      <c r="N532" t="s">
        <v>7</v>
      </c>
      <c r="P532">
        <f t="shared" si="985"/>
        <v>-3.0969030969030895E-2</v>
      </c>
      <c r="Q532">
        <f t="shared" si="986"/>
        <v>-45649.491928071824</v>
      </c>
      <c r="R532">
        <f t="shared" si="987"/>
        <v>-631795.71226909955</v>
      </c>
      <c r="S532">
        <f t="shared" si="988"/>
        <v>-6.3179571226909959</v>
      </c>
      <c r="T532">
        <f t="shared" si="989"/>
        <v>-6.3179571226909962E-3</v>
      </c>
    </row>
    <row r="533" spans="1:20" x14ac:dyDescent="0.25">
      <c r="A533" s="5">
        <v>44060</v>
      </c>
      <c r="B533">
        <v>2.2195</v>
      </c>
      <c r="C533">
        <v>2.2364999999999999</v>
      </c>
      <c r="D533">
        <v>2.0169000000000001</v>
      </c>
      <c r="E533">
        <v>2.0344000000000002</v>
      </c>
      <c r="F533">
        <v>940351.67</v>
      </c>
      <c r="G533">
        <v>0</v>
      </c>
      <c r="L533" t="s">
        <v>8</v>
      </c>
      <c r="M533" t="s">
        <v>7</v>
      </c>
      <c r="N533" t="s">
        <v>8</v>
      </c>
      <c r="P533">
        <f t="shared" si="985"/>
        <v>-0.84061930783242178</v>
      </c>
      <c r="Q533">
        <f t="shared" si="986"/>
        <v>-790477.76995446195</v>
      </c>
      <c r="R533">
        <f t="shared" si="987"/>
        <v>-586146.22034102771</v>
      </c>
      <c r="S533">
        <f t="shared" si="988"/>
        <v>-5.8614622034102775</v>
      </c>
      <c r="T533">
        <f t="shared" si="989"/>
        <v>-5.8614622034102778E-3</v>
      </c>
    </row>
    <row r="534" spans="1:20" x14ac:dyDescent="0.25">
      <c r="A534" s="5">
        <v>44059</v>
      </c>
      <c r="B534">
        <v>2.0573999999999999</v>
      </c>
      <c r="C534">
        <v>2.2599999999999998</v>
      </c>
      <c r="D534">
        <v>2.0112000000000001</v>
      </c>
      <c r="E534">
        <v>2.2214999999999998</v>
      </c>
      <c r="F534">
        <v>1330423.1299999999</v>
      </c>
      <c r="G534">
        <v>0</v>
      </c>
      <c r="L534" t="s">
        <v>7</v>
      </c>
      <c r="M534" t="s">
        <v>7</v>
      </c>
      <c r="N534" t="s">
        <v>8</v>
      </c>
      <c r="P534">
        <f t="shared" si="985"/>
        <v>0.69051446945337602</v>
      </c>
      <c r="Q534">
        <f t="shared" si="986"/>
        <v>918676.42176044988</v>
      </c>
      <c r="R534">
        <f t="shared" si="987"/>
        <v>204331.54961343424</v>
      </c>
      <c r="S534">
        <f t="shared" si="988"/>
        <v>2.0433154961343423</v>
      </c>
      <c r="T534">
        <f t="shared" si="989"/>
        <v>2.0433154961343424E-3</v>
      </c>
    </row>
    <row r="535" spans="1:20" x14ac:dyDescent="0.25">
      <c r="A535" s="5">
        <v>44058</v>
      </c>
      <c r="B535">
        <v>2.2061999999999999</v>
      </c>
      <c r="C535">
        <v>2.2200000000000002</v>
      </c>
      <c r="D535">
        <v>2.044</v>
      </c>
      <c r="E535">
        <v>2.0573000000000001</v>
      </c>
      <c r="F535">
        <v>1346632.74</v>
      </c>
      <c r="G535">
        <v>0</v>
      </c>
      <c r="L535" t="s">
        <v>7</v>
      </c>
      <c r="M535" t="s">
        <v>7</v>
      </c>
      <c r="N535" t="s">
        <v>8</v>
      </c>
      <c r="P535">
        <f t="shared" si="985"/>
        <v>-0.84886363636363549</v>
      </c>
      <c r="Q535">
        <f t="shared" si="986"/>
        <v>-1143107.564522726</v>
      </c>
      <c r="R535">
        <f t="shared" si="987"/>
        <v>-714344.87214701565</v>
      </c>
      <c r="S535">
        <f t="shared" si="988"/>
        <v>-7.1434487214701567</v>
      </c>
      <c r="T535">
        <f t="shared" si="989"/>
        <v>-7.1434487214701563E-3</v>
      </c>
    </row>
    <row r="536" spans="1:20" x14ac:dyDescent="0.25">
      <c r="A536" s="5">
        <v>44057</v>
      </c>
      <c r="B536">
        <v>2.2618999999999998</v>
      </c>
      <c r="C536">
        <v>2.2846000000000002</v>
      </c>
      <c r="D536">
        <v>2.1739999999999999</v>
      </c>
      <c r="E536">
        <v>2.2048000000000001</v>
      </c>
      <c r="F536">
        <v>841561.93</v>
      </c>
      <c r="G536">
        <v>0</v>
      </c>
      <c r="L536" t="s">
        <v>7</v>
      </c>
      <c r="M536" t="s">
        <v>7</v>
      </c>
      <c r="N536" t="s">
        <v>8</v>
      </c>
      <c r="P536">
        <f t="shared" si="985"/>
        <v>-0.44303797468354267</v>
      </c>
      <c r="Q536">
        <f t="shared" si="986"/>
        <v>-372843.89303797332</v>
      </c>
      <c r="R536">
        <f t="shared" si="987"/>
        <v>428762.69237571035</v>
      </c>
      <c r="S536">
        <f t="shared" si="988"/>
        <v>4.2876269237571032</v>
      </c>
      <c r="T536">
        <f t="shared" si="989"/>
        <v>4.287626923757103E-3</v>
      </c>
    </row>
    <row r="537" spans="1:20" x14ac:dyDescent="0.25">
      <c r="A537" s="5">
        <v>44056</v>
      </c>
      <c r="B537">
        <v>2.3029999999999999</v>
      </c>
      <c r="C537">
        <v>2.5676999999999999</v>
      </c>
      <c r="D537">
        <v>2.2385999999999999</v>
      </c>
      <c r="E537">
        <v>2.25</v>
      </c>
      <c r="F537">
        <v>2214097.9199999999</v>
      </c>
      <c r="G537">
        <v>0</v>
      </c>
      <c r="L537" t="s">
        <v>8</v>
      </c>
      <c r="M537" t="s">
        <v>8</v>
      </c>
      <c r="N537" t="s">
        <v>8</v>
      </c>
      <c r="P537">
        <f t="shared" si="985"/>
        <v>-0.9307201458523241</v>
      </c>
      <c r="Q537">
        <f t="shared" si="986"/>
        <v>-2060705.5390337273</v>
      </c>
      <c r="R537">
        <f t="shared" si="987"/>
        <v>801606.58541368367</v>
      </c>
      <c r="S537">
        <f t="shared" si="988"/>
        <v>8.016065854136837</v>
      </c>
      <c r="T537">
        <f t="shared" si="989"/>
        <v>8.0160658541368369E-3</v>
      </c>
    </row>
    <row r="538" spans="1:20" x14ac:dyDescent="0.25">
      <c r="A538" s="5">
        <v>44055</v>
      </c>
      <c r="B538">
        <v>2.1486999999999998</v>
      </c>
      <c r="C538">
        <v>2.3479999999999999</v>
      </c>
      <c r="D538">
        <v>2.0419999999999998</v>
      </c>
      <c r="E538">
        <v>2.3029999999999999</v>
      </c>
      <c r="F538">
        <v>1529247.92</v>
      </c>
      <c r="G538">
        <v>0</v>
      </c>
      <c r="L538" t="s">
        <v>8</v>
      </c>
      <c r="M538" t="s">
        <v>7</v>
      </c>
      <c r="N538" t="s">
        <v>8</v>
      </c>
      <c r="P538">
        <f t="shared" si="985"/>
        <v>0.70588235294117696</v>
      </c>
      <c r="Q538">
        <f t="shared" si="986"/>
        <v>1079469.1200000008</v>
      </c>
      <c r="R538">
        <f t="shared" si="987"/>
        <v>2862312.1244474109</v>
      </c>
      <c r="S538">
        <f t="shared" si="988"/>
        <v>28.62312124447411</v>
      </c>
      <c r="T538">
        <f t="shared" si="989"/>
        <v>2.8623121244474109E-2</v>
      </c>
    </row>
    <row r="539" spans="1:20" x14ac:dyDescent="0.25">
      <c r="A539" s="5">
        <v>44054</v>
      </c>
      <c r="B539">
        <v>2.3873000000000002</v>
      </c>
      <c r="C539">
        <v>2.3982999999999999</v>
      </c>
      <c r="D539">
        <v>2.0253000000000001</v>
      </c>
      <c r="E539">
        <v>2.1395</v>
      </c>
      <c r="F539">
        <v>1905911.12</v>
      </c>
      <c r="G539">
        <v>0</v>
      </c>
      <c r="L539" t="s">
        <v>7</v>
      </c>
      <c r="M539" t="s">
        <v>7</v>
      </c>
      <c r="N539" t="s">
        <v>8</v>
      </c>
      <c r="P539">
        <f t="shared" si="985"/>
        <v>-0.38766756032171623</v>
      </c>
      <c r="Q539">
        <f t="shared" si="986"/>
        <v>-738859.91408042982</v>
      </c>
      <c r="R539">
        <f t="shared" si="987"/>
        <v>1782843.0044474103</v>
      </c>
      <c r="S539">
        <f t="shared" si="988"/>
        <v>17.828430044474104</v>
      </c>
      <c r="T539">
        <f t="shared" si="989"/>
        <v>1.7828430044474104E-2</v>
      </c>
    </row>
    <row r="540" spans="1:20" x14ac:dyDescent="0.25">
      <c r="A540" s="5">
        <v>44053</v>
      </c>
      <c r="B540">
        <v>2.4805999999999999</v>
      </c>
      <c r="C540">
        <v>2.52</v>
      </c>
      <c r="D540">
        <v>2.37</v>
      </c>
      <c r="E540">
        <v>2.3862000000000001</v>
      </c>
      <c r="F540">
        <v>1148107.1299999999</v>
      </c>
      <c r="G540">
        <v>0</v>
      </c>
      <c r="L540" t="s">
        <v>7</v>
      </c>
      <c r="M540" t="s">
        <v>7</v>
      </c>
      <c r="N540" t="s">
        <v>8</v>
      </c>
      <c r="P540">
        <f t="shared" si="985"/>
        <v>-0.78400000000000003</v>
      </c>
      <c r="Q540">
        <f t="shared" si="986"/>
        <v>-900115.98991999996</v>
      </c>
      <c r="R540">
        <f t="shared" si="987"/>
        <v>2521702.9185278402</v>
      </c>
      <c r="S540">
        <f t="shared" si="988"/>
        <v>25.217029185278403</v>
      </c>
      <c r="T540">
        <f t="shared" si="989"/>
        <v>2.5217029185278402E-2</v>
      </c>
    </row>
    <row r="541" spans="1:20" x14ac:dyDescent="0.25">
      <c r="A541" s="5">
        <v>44052</v>
      </c>
      <c r="B541">
        <v>2.6345999999999998</v>
      </c>
      <c r="C541">
        <v>2.6577999999999999</v>
      </c>
      <c r="D541">
        <v>2.41</v>
      </c>
      <c r="E541">
        <v>2.4710999999999999</v>
      </c>
      <c r="F541">
        <v>921441.74</v>
      </c>
      <c r="G541">
        <v>0</v>
      </c>
      <c r="L541" t="s">
        <v>7</v>
      </c>
      <c r="M541" t="s">
        <v>8</v>
      </c>
      <c r="N541" t="s">
        <v>8</v>
      </c>
      <c r="P541">
        <f t="shared" si="985"/>
        <v>-0.50686037126715289</v>
      </c>
      <c r="Q541">
        <f t="shared" si="986"/>
        <v>-467042.30243745138</v>
      </c>
      <c r="R541">
        <f t="shared" si="987"/>
        <v>3421818.9084478403</v>
      </c>
      <c r="S541">
        <f t="shared" si="988"/>
        <v>34.218189084478404</v>
      </c>
      <c r="T541">
        <f t="shared" si="989"/>
        <v>3.4218189084478406E-2</v>
      </c>
    </row>
    <row r="542" spans="1:20" x14ac:dyDescent="0.25">
      <c r="A542" s="5">
        <v>44051</v>
      </c>
      <c r="B542">
        <v>2.4</v>
      </c>
      <c r="C542">
        <v>2.8</v>
      </c>
      <c r="D542">
        <v>2.3856000000000002</v>
      </c>
      <c r="E542">
        <v>2.6427</v>
      </c>
      <c r="F542">
        <v>1382897.04</v>
      </c>
      <c r="G542">
        <v>0</v>
      </c>
      <c r="L542" t="s">
        <v>8</v>
      </c>
      <c r="M542" t="s">
        <v>8</v>
      </c>
      <c r="N542" t="s">
        <v>8</v>
      </c>
      <c r="P542">
        <f t="shared" si="985"/>
        <v>0.24083011583011629</v>
      </c>
      <c r="Q542">
        <f t="shared" si="986"/>
        <v>333043.25432432495</v>
      </c>
      <c r="R542">
        <f t="shared" si="987"/>
        <v>3888861.2108852915</v>
      </c>
      <c r="S542">
        <f t="shared" si="988"/>
        <v>38.888612108852918</v>
      </c>
      <c r="T542">
        <f t="shared" si="989"/>
        <v>3.8888612108852916E-2</v>
      </c>
    </row>
    <row r="543" spans="1:20" x14ac:dyDescent="0.25">
      <c r="A543" s="5">
        <v>44050</v>
      </c>
      <c r="B543">
        <v>2.5255999999999998</v>
      </c>
      <c r="C543">
        <v>2.5417000000000001</v>
      </c>
      <c r="D543">
        <v>2.2509000000000001</v>
      </c>
      <c r="E543">
        <v>2.4024000000000001</v>
      </c>
      <c r="F543">
        <v>1838241.78</v>
      </c>
      <c r="G543">
        <v>0</v>
      </c>
      <c r="L543" t="s">
        <v>7</v>
      </c>
      <c r="M543" t="s">
        <v>7</v>
      </c>
      <c r="N543" t="s">
        <v>8</v>
      </c>
      <c r="P543">
        <f t="shared" si="985"/>
        <v>4.1953232462173286E-2</v>
      </c>
      <c r="Q543">
        <f t="shared" si="986"/>
        <v>77120.184718019198</v>
      </c>
      <c r="R543">
        <f t="shared" si="987"/>
        <v>3555817.9565609666</v>
      </c>
      <c r="S543">
        <f t="shared" si="988"/>
        <v>35.558179565609663</v>
      </c>
      <c r="T543">
        <f t="shared" si="989"/>
        <v>3.5558179565609666E-2</v>
      </c>
    </row>
    <row r="544" spans="1:20" x14ac:dyDescent="0.25">
      <c r="A544" s="5">
        <v>44049</v>
      </c>
      <c r="B544">
        <v>2.4487999999999999</v>
      </c>
      <c r="C544">
        <v>2.78</v>
      </c>
      <c r="D544">
        <v>2.4258999999999999</v>
      </c>
      <c r="E544">
        <v>2.5299999999999998</v>
      </c>
      <c r="F544">
        <v>2758316.92</v>
      </c>
      <c r="G544">
        <v>0</v>
      </c>
      <c r="L544" t="s">
        <v>8</v>
      </c>
      <c r="M544" t="s">
        <v>8</v>
      </c>
      <c r="N544" t="s">
        <v>8</v>
      </c>
      <c r="P544">
        <f t="shared" si="985"/>
        <v>-0.41203049985879753</v>
      </c>
      <c r="Q544">
        <f t="shared" si="986"/>
        <v>-1136510.6993165787</v>
      </c>
      <c r="R544">
        <f t="shared" si="987"/>
        <v>3478697.7718429472</v>
      </c>
      <c r="S544">
        <f t="shared" si="988"/>
        <v>34.786977718429469</v>
      </c>
      <c r="T544">
        <f t="shared" si="989"/>
        <v>3.4786977718429472E-2</v>
      </c>
    </row>
    <row r="545" spans="1:20" x14ac:dyDescent="0.25">
      <c r="A545" s="5">
        <v>44048</v>
      </c>
      <c r="B545">
        <v>1.9811000000000001</v>
      </c>
      <c r="C545">
        <v>2.4500000000000002</v>
      </c>
      <c r="D545">
        <v>1.9763999999999999</v>
      </c>
      <c r="E545">
        <v>2.4498000000000002</v>
      </c>
      <c r="F545">
        <v>2068624.63</v>
      </c>
      <c r="G545">
        <v>0</v>
      </c>
      <c r="L545" t="s">
        <v>8</v>
      </c>
      <c r="M545" t="s">
        <v>8</v>
      </c>
      <c r="N545" t="s">
        <v>8</v>
      </c>
      <c r="P545">
        <f t="shared" si="985"/>
        <v>0.99915540540540548</v>
      </c>
      <c r="Q545">
        <f t="shared" si="986"/>
        <v>2066877.4808192567</v>
      </c>
      <c r="R545">
        <f t="shared" si="987"/>
        <v>4615208.4711595261</v>
      </c>
      <c r="S545">
        <f t="shared" si="988"/>
        <v>46.152084711595265</v>
      </c>
      <c r="T545">
        <f t="shared" si="989"/>
        <v>4.6152084711595265E-2</v>
      </c>
    </row>
    <row r="546" spans="1:20" x14ac:dyDescent="0.25">
      <c r="A546" s="5">
        <v>44047</v>
      </c>
      <c r="B546">
        <v>1.9358</v>
      </c>
      <c r="C546">
        <v>2.0116000000000001</v>
      </c>
      <c r="D546">
        <v>1.9012</v>
      </c>
      <c r="E546">
        <v>1.9744999999999999</v>
      </c>
      <c r="F546">
        <v>691149.5</v>
      </c>
      <c r="G546">
        <v>0</v>
      </c>
      <c r="L546" t="s">
        <v>7</v>
      </c>
      <c r="M546" t="s">
        <v>8</v>
      </c>
      <c r="N546" t="s">
        <v>8</v>
      </c>
      <c r="P546">
        <f t="shared" si="985"/>
        <v>0.32789855072463558</v>
      </c>
      <c r="Q546">
        <f t="shared" si="986"/>
        <v>226626.91938405653</v>
      </c>
      <c r="R546">
        <f t="shared" si="987"/>
        <v>2548330.9903402692</v>
      </c>
      <c r="S546">
        <f t="shared" si="988"/>
        <v>25.483309903402692</v>
      </c>
      <c r="T546">
        <f t="shared" si="989"/>
        <v>2.5483309903402692E-2</v>
      </c>
    </row>
    <row r="547" spans="1:20" x14ac:dyDescent="0.25">
      <c r="A547" s="5">
        <v>44046</v>
      </c>
      <c r="B547">
        <v>1.8328</v>
      </c>
      <c r="C547">
        <v>2.1101999999999999</v>
      </c>
      <c r="D547">
        <v>1.8250999999999999</v>
      </c>
      <c r="E547">
        <v>1.9359999999999999</v>
      </c>
      <c r="F547">
        <v>1895760.32</v>
      </c>
      <c r="G547">
        <v>0</v>
      </c>
      <c r="L547" t="s">
        <v>8</v>
      </c>
      <c r="M547" t="s">
        <v>8</v>
      </c>
      <c r="N547" t="s">
        <v>8</v>
      </c>
      <c r="P547">
        <f t="shared" si="985"/>
        <v>-0.2220273588214659</v>
      </c>
      <c r="Q547">
        <f t="shared" si="986"/>
        <v>-420910.65680813702</v>
      </c>
      <c r="R547">
        <f t="shared" si="987"/>
        <v>2321704.0709562125</v>
      </c>
      <c r="S547">
        <f t="shared" si="988"/>
        <v>23.217040709562124</v>
      </c>
      <c r="T547">
        <f t="shared" si="989"/>
        <v>2.3217040709562122E-2</v>
      </c>
    </row>
    <row r="548" spans="1:20" x14ac:dyDescent="0.25">
      <c r="A548" s="5">
        <v>44045</v>
      </c>
      <c r="B548">
        <v>1.8612</v>
      </c>
      <c r="C548">
        <v>2.02</v>
      </c>
      <c r="D548">
        <v>1.6733</v>
      </c>
      <c r="E548">
        <v>1.8398000000000001</v>
      </c>
      <c r="F548">
        <v>1924938.32</v>
      </c>
      <c r="G548">
        <v>0</v>
      </c>
      <c r="L548" t="s">
        <v>8</v>
      </c>
      <c r="M548" t="s">
        <v>8</v>
      </c>
      <c r="N548" t="s">
        <v>8</v>
      </c>
      <c r="P548">
        <f t="shared" si="985"/>
        <v>-3.9515431208537129E-2</v>
      </c>
      <c r="Q548">
        <f t="shared" si="986"/>
        <v>-76064.767764637028</v>
      </c>
      <c r="R548">
        <f t="shared" si="987"/>
        <v>2742614.7277643494</v>
      </c>
      <c r="S548">
        <f t="shared" si="988"/>
        <v>27.426147277643494</v>
      </c>
      <c r="T548">
        <f t="shared" si="989"/>
        <v>2.7426147277643493E-2</v>
      </c>
    </row>
    <row r="549" spans="1:20" x14ac:dyDescent="0.25">
      <c r="A549" s="5">
        <v>44044</v>
      </c>
      <c r="B549">
        <v>1.6585000000000001</v>
      </c>
      <c r="C549">
        <v>1.8622000000000001</v>
      </c>
      <c r="D549">
        <v>1.5811999999999999</v>
      </c>
      <c r="E549">
        <v>1.8614999999999999</v>
      </c>
      <c r="F549">
        <v>1534563.8</v>
      </c>
      <c r="G549">
        <v>0</v>
      </c>
      <c r="L549" t="s">
        <v>7</v>
      </c>
      <c r="M549" t="s">
        <v>7</v>
      </c>
      <c r="N549" t="s">
        <v>8</v>
      </c>
      <c r="P549">
        <f t="shared" si="985"/>
        <v>0.99501779359430498</v>
      </c>
      <c r="Q549">
        <f t="shared" si="986"/>
        <v>1526918.2864056923</v>
      </c>
      <c r="R549">
        <f t="shared" si="987"/>
        <v>2818679.4955289867</v>
      </c>
      <c r="S549">
        <f t="shared" si="988"/>
        <v>28.186794955289866</v>
      </c>
      <c r="T549">
        <f t="shared" si="989"/>
        <v>2.8186794955289866E-2</v>
      </c>
    </row>
    <row r="550" spans="1:20" x14ac:dyDescent="0.25">
      <c r="A550" s="5">
        <v>44043</v>
      </c>
      <c r="B550">
        <v>1.694</v>
      </c>
      <c r="C550">
        <v>1.95</v>
      </c>
      <c r="D550">
        <v>1.6268</v>
      </c>
      <c r="E550">
        <v>1.6585000000000001</v>
      </c>
      <c r="F550">
        <v>2584299.71</v>
      </c>
      <c r="G550">
        <v>0</v>
      </c>
      <c r="L550" t="s">
        <v>8</v>
      </c>
      <c r="M550" t="s">
        <v>8</v>
      </c>
      <c r="N550" t="s">
        <v>8</v>
      </c>
      <c r="P550">
        <f t="shared" si="985"/>
        <v>-0.80383663366336588</v>
      </c>
      <c r="Q550">
        <f t="shared" si="986"/>
        <v>-2077354.7792636126</v>
      </c>
      <c r="R550">
        <f t="shared" si="987"/>
        <v>1291761.2091232941</v>
      </c>
      <c r="S550">
        <f t="shared" si="988"/>
        <v>12.917612091232941</v>
      </c>
      <c r="T550">
        <f t="shared" si="989"/>
        <v>1.2917612091232942E-2</v>
      </c>
    </row>
    <row r="551" spans="1:20" x14ac:dyDescent="0.25">
      <c r="A551" s="5">
        <v>44042</v>
      </c>
      <c r="B551">
        <v>1.4682999999999999</v>
      </c>
      <c r="C551">
        <v>1.7090000000000001</v>
      </c>
      <c r="D551">
        <v>1.45</v>
      </c>
      <c r="E551">
        <v>1.6997</v>
      </c>
      <c r="F551">
        <v>1169101.69</v>
      </c>
      <c r="G551">
        <v>0</v>
      </c>
      <c r="L551" t="s">
        <v>8</v>
      </c>
      <c r="M551" t="s">
        <v>8</v>
      </c>
      <c r="N551" t="s">
        <v>8</v>
      </c>
      <c r="P551">
        <f t="shared" si="985"/>
        <v>0.92818532818532751</v>
      </c>
      <c r="Q551">
        <f t="shared" si="986"/>
        <v>1085143.0358146711</v>
      </c>
      <c r="R551">
        <f t="shared" si="987"/>
        <v>3369115.9883869067</v>
      </c>
      <c r="S551">
        <f t="shared" si="988"/>
        <v>33.691159883869069</v>
      </c>
      <c r="T551">
        <f t="shared" si="989"/>
        <v>3.3691159883869067E-2</v>
      </c>
    </row>
    <row r="552" spans="1:20" x14ac:dyDescent="0.25">
      <c r="A552" s="5">
        <v>44041</v>
      </c>
      <c r="B552">
        <v>1.4842</v>
      </c>
      <c r="C552">
        <v>1.5851</v>
      </c>
      <c r="D552">
        <v>1.4592000000000001</v>
      </c>
      <c r="E552">
        <v>1.4723999999999999</v>
      </c>
      <c r="F552">
        <v>922436.97</v>
      </c>
      <c r="G552">
        <v>0</v>
      </c>
      <c r="L552" t="s">
        <v>8</v>
      </c>
      <c r="M552" t="s">
        <v>8</v>
      </c>
      <c r="N552" t="s">
        <v>8</v>
      </c>
      <c r="P552">
        <f t="shared" si="985"/>
        <v>-0.79030976965846089</v>
      </c>
      <c r="Q552">
        <f t="shared" si="986"/>
        <v>-729010.94928514853</v>
      </c>
      <c r="R552">
        <f t="shared" si="987"/>
        <v>2283972.9525722358</v>
      </c>
      <c r="S552">
        <f t="shared" si="988"/>
        <v>22.839729525722358</v>
      </c>
      <c r="T552">
        <f t="shared" si="989"/>
        <v>2.2839729525722358E-2</v>
      </c>
    </row>
    <row r="553" spans="1:20" x14ac:dyDescent="0.25">
      <c r="A553" s="5">
        <v>44040</v>
      </c>
      <c r="B553">
        <v>1.3585</v>
      </c>
      <c r="C553">
        <v>1.57</v>
      </c>
      <c r="D553">
        <v>1.3180000000000001</v>
      </c>
      <c r="E553">
        <v>1.4838</v>
      </c>
      <c r="F553">
        <v>1295947.54</v>
      </c>
      <c r="G553">
        <v>0</v>
      </c>
      <c r="L553" t="s">
        <v>8</v>
      </c>
      <c r="M553" t="s">
        <v>8</v>
      </c>
      <c r="N553" t="s">
        <v>8</v>
      </c>
      <c r="P553">
        <f t="shared" si="985"/>
        <v>0.31587301587301547</v>
      </c>
      <c r="Q553">
        <f t="shared" si="986"/>
        <v>409354.85787301534</v>
      </c>
      <c r="R553">
        <f t="shared" si="987"/>
        <v>3012983.9018573845</v>
      </c>
      <c r="S553">
        <f t="shared" si="988"/>
        <v>30.129839018573843</v>
      </c>
      <c r="T553">
        <f t="shared" si="989"/>
        <v>3.0129839018573842E-2</v>
      </c>
    </row>
    <row r="554" spans="1:20" x14ac:dyDescent="0.25">
      <c r="A554" s="5">
        <v>44039</v>
      </c>
      <c r="B554">
        <v>1.4288000000000001</v>
      </c>
      <c r="C554">
        <v>1.4899</v>
      </c>
      <c r="D554">
        <v>1.2815000000000001</v>
      </c>
      <c r="E554">
        <v>1.3569</v>
      </c>
      <c r="F554">
        <v>1652242.88</v>
      </c>
      <c r="G554">
        <v>0</v>
      </c>
      <c r="L554" t="s">
        <v>7</v>
      </c>
      <c r="M554" t="s">
        <v>8</v>
      </c>
      <c r="N554" t="s">
        <v>8</v>
      </c>
      <c r="P554">
        <f t="shared" si="985"/>
        <v>-0.27639155470249577</v>
      </c>
      <c r="Q554">
        <f t="shared" si="986"/>
        <v>-456665.97834932915</v>
      </c>
      <c r="R554">
        <f t="shared" si="987"/>
        <v>2603629.0439843689</v>
      </c>
      <c r="S554">
        <f t="shared" si="988"/>
        <v>26.03629043984369</v>
      </c>
      <c r="T554">
        <f t="shared" si="989"/>
        <v>2.6036290439843689E-2</v>
      </c>
    </row>
    <row r="555" spans="1:20" x14ac:dyDescent="0.25">
      <c r="A555" s="5">
        <v>44038</v>
      </c>
      <c r="B555">
        <v>1.3893</v>
      </c>
      <c r="C555">
        <v>1.6868000000000001</v>
      </c>
      <c r="D555">
        <v>1.2101</v>
      </c>
      <c r="E555">
        <v>1.4288000000000001</v>
      </c>
      <c r="F555">
        <v>4006092.56</v>
      </c>
      <c r="G555">
        <v>0</v>
      </c>
      <c r="L555" t="s">
        <v>8</v>
      </c>
      <c r="M555" t="s">
        <v>7</v>
      </c>
      <c r="N555" t="s">
        <v>8</v>
      </c>
      <c r="P555">
        <f t="shared" si="985"/>
        <v>-8.2441787287602014E-2</v>
      </c>
      <c r="Q555">
        <f t="shared" si="986"/>
        <v>-330269.430685965</v>
      </c>
      <c r="R555">
        <f t="shared" si="987"/>
        <v>3060295.0223336979</v>
      </c>
      <c r="S555">
        <f t="shared" si="988"/>
        <v>30.602950223336979</v>
      </c>
      <c r="T555">
        <f t="shared" si="989"/>
        <v>3.0602950223336978E-2</v>
      </c>
    </row>
    <row r="556" spans="1:20" x14ac:dyDescent="0.25">
      <c r="A556" s="5">
        <v>44037</v>
      </c>
      <c r="B556">
        <v>1.2951999999999999</v>
      </c>
      <c r="C556">
        <v>1.4423999999999999</v>
      </c>
      <c r="D556">
        <v>1.2951999999999999</v>
      </c>
      <c r="E556">
        <v>1.3920999999999999</v>
      </c>
      <c r="F556">
        <v>1108569.2</v>
      </c>
      <c r="G556">
        <v>0</v>
      </c>
      <c r="L556" t="s">
        <v>8</v>
      </c>
      <c r="M556" t="s">
        <v>7</v>
      </c>
      <c r="N556" t="s">
        <v>8</v>
      </c>
      <c r="P556">
        <f t="shared" si="985"/>
        <v>0.31657608695652156</v>
      </c>
      <c r="Q556">
        <f t="shared" si="986"/>
        <v>350946.49945652153</v>
      </c>
      <c r="R556">
        <f t="shared" si="987"/>
        <v>3390564.4530196628</v>
      </c>
      <c r="S556">
        <f t="shared" si="988"/>
        <v>33.905644530196625</v>
      </c>
      <c r="T556">
        <f t="shared" si="989"/>
        <v>3.3905644530196628E-2</v>
      </c>
    </row>
    <row r="557" spans="1:20" x14ac:dyDescent="0.25">
      <c r="A557" s="5">
        <v>44036</v>
      </c>
      <c r="B557">
        <v>1.5092000000000001</v>
      </c>
      <c r="C557">
        <v>1.5114000000000001</v>
      </c>
      <c r="D557">
        <v>1.2950999999999999</v>
      </c>
      <c r="E557">
        <v>1.2951999999999999</v>
      </c>
      <c r="F557">
        <v>1675598.85</v>
      </c>
      <c r="G557">
        <v>0</v>
      </c>
      <c r="L557" t="s">
        <v>7</v>
      </c>
      <c r="M557" t="s">
        <v>7</v>
      </c>
      <c r="N557" t="s">
        <v>8</v>
      </c>
      <c r="P557">
        <f t="shared" si="985"/>
        <v>-0.99907535829865934</v>
      </c>
      <c r="Q557">
        <f t="shared" si="986"/>
        <v>-1674049.5214285715</v>
      </c>
      <c r="R557">
        <f t="shared" si="987"/>
        <v>3039617.9535631412</v>
      </c>
      <c r="S557">
        <f t="shared" si="988"/>
        <v>30.396179535631411</v>
      </c>
      <c r="T557">
        <f t="shared" si="989"/>
        <v>3.039617953563141E-2</v>
      </c>
    </row>
    <row r="558" spans="1:20" x14ac:dyDescent="0.25">
      <c r="A558" s="5">
        <v>44035</v>
      </c>
      <c r="B558">
        <v>1.5884</v>
      </c>
      <c r="C558">
        <v>1.5958000000000001</v>
      </c>
      <c r="D558">
        <v>1.4838</v>
      </c>
      <c r="E558">
        <v>1.5092000000000001</v>
      </c>
      <c r="F558">
        <v>752676.4</v>
      </c>
      <c r="G558">
        <v>0</v>
      </c>
      <c r="L558" t="s">
        <v>7</v>
      </c>
      <c r="M558" t="s">
        <v>8</v>
      </c>
      <c r="N558" t="s">
        <v>8</v>
      </c>
      <c r="P558">
        <f t="shared" si="985"/>
        <v>-0.54642857142857026</v>
      </c>
      <c r="Q558">
        <f t="shared" si="986"/>
        <v>-411283.88999999914</v>
      </c>
      <c r="R558">
        <f t="shared" si="987"/>
        <v>4713667.4749917127</v>
      </c>
      <c r="S558">
        <f t="shared" si="988"/>
        <v>47.136674749917127</v>
      </c>
      <c r="T558">
        <f t="shared" si="989"/>
        <v>4.7136674749917125E-2</v>
      </c>
    </row>
    <row r="559" spans="1:20" x14ac:dyDescent="0.25">
      <c r="A559" s="5">
        <v>44034</v>
      </c>
      <c r="B559">
        <v>1.5704</v>
      </c>
      <c r="C559">
        <v>1.62</v>
      </c>
      <c r="D559">
        <v>1.5443</v>
      </c>
      <c r="E559">
        <v>1.5891999999999999</v>
      </c>
      <c r="F559">
        <v>559778.75</v>
      </c>
      <c r="G559">
        <v>0</v>
      </c>
      <c r="L559" t="s">
        <v>7</v>
      </c>
      <c r="M559" t="s">
        <v>8</v>
      </c>
      <c r="N559" t="s">
        <v>8</v>
      </c>
      <c r="P559">
        <f t="shared" si="985"/>
        <v>0.18626155878467318</v>
      </c>
      <c r="Q559">
        <f t="shared" si="986"/>
        <v>104265.26254953587</v>
      </c>
      <c r="R559">
        <f t="shared" si="987"/>
        <v>5124951.3649917115</v>
      </c>
      <c r="S559">
        <f t="shared" si="988"/>
        <v>51.249513649917112</v>
      </c>
      <c r="T559">
        <f t="shared" si="989"/>
        <v>5.124951364991711E-2</v>
      </c>
    </row>
    <row r="560" spans="1:20" x14ac:dyDescent="0.25">
      <c r="A560" s="5">
        <v>44033</v>
      </c>
      <c r="B560">
        <v>1.6</v>
      </c>
      <c r="C560">
        <v>1.6337999999999999</v>
      </c>
      <c r="D560">
        <v>1.5422</v>
      </c>
      <c r="E560">
        <v>1.5640000000000001</v>
      </c>
      <c r="F560">
        <v>826345.98</v>
      </c>
      <c r="G560">
        <v>0</v>
      </c>
      <c r="L560" t="s">
        <v>7</v>
      </c>
      <c r="M560" t="s">
        <v>8</v>
      </c>
      <c r="N560" t="s">
        <v>8</v>
      </c>
      <c r="P560">
        <f t="shared" si="985"/>
        <v>-0.52401746724890685</v>
      </c>
      <c r="Q560">
        <f t="shared" si="986"/>
        <v>-433019.72751091584</v>
      </c>
      <c r="R560">
        <f t="shared" si="987"/>
        <v>5020686.1024421751</v>
      </c>
      <c r="S560">
        <f t="shared" si="988"/>
        <v>50.206861024421748</v>
      </c>
      <c r="T560">
        <f t="shared" si="989"/>
        <v>5.0206861024421748E-2</v>
      </c>
    </row>
    <row r="561" spans="1:104" x14ac:dyDescent="0.25">
      <c r="A561" s="5">
        <v>44032</v>
      </c>
      <c r="B561">
        <v>1.6585000000000001</v>
      </c>
      <c r="C561">
        <v>1.7243999999999999</v>
      </c>
      <c r="D561">
        <v>1.577</v>
      </c>
      <c r="E561">
        <v>1.6</v>
      </c>
      <c r="F561">
        <v>1324916.1499999999</v>
      </c>
      <c r="G561">
        <v>0</v>
      </c>
      <c r="L561" t="s">
        <v>7</v>
      </c>
      <c r="M561" t="s">
        <v>8</v>
      </c>
      <c r="N561" t="s">
        <v>8</v>
      </c>
      <c r="P561">
        <f t="shared" si="985"/>
        <v>-0.68792401628222344</v>
      </c>
      <c r="Q561">
        <f t="shared" si="986"/>
        <v>-911441.6391451807</v>
      </c>
      <c r="R561">
        <f t="shared" si="987"/>
        <v>5453705.8299530912</v>
      </c>
      <c r="S561">
        <f t="shared" si="988"/>
        <v>54.537058299530912</v>
      </c>
      <c r="T561">
        <f t="shared" si="989"/>
        <v>5.4537058299530913E-2</v>
      </c>
      <c r="CZ561" t="s">
        <v>7</v>
      </c>
    </row>
    <row r="562" spans="1:104" x14ac:dyDescent="0.25">
      <c r="A562" s="5">
        <v>44031</v>
      </c>
      <c r="B562">
        <v>1.6778</v>
      </c>
      <c r="C562">
        <v>1.7263999999999999</v>
      </c>
      <c r="D562">
        <v>1.6163000000000001</v>
      </c>
      <c r="E562">
        <v>1.6584000000000001</v>
      </c>
      <c r="F562">
        <v>1066613.6000000001</v>
      </c>
      <c r="G562">
        <v>0</v>
      </c>
      <c r="L562" t="s">
        <v>8</v>
      </c>
      <c r="M562" t="s">
        <v>8</v>
      </c>
      <c r="N562" t="s">
        <v>8</v>
      </c>
      <c r="P562">
        <f t="shared" si="985"/>
        <v>-0.2352406902815608</v>
      </c>
      <c r="Q562">
        <f t="shared" si="986"/>
        <v>-250910.91952770061</v>
      </c>
      <c r="R562">
        <f t="shared" si="987"/>
        <v>6365147.4690982718</v>
      </c>
      <c r="S562">
        <f t="shared" si="988"/>
        <v>63.651474690982717</v>
      </c>
      <c r="T562">
        <f t="shared" si="989"/>
        <v>6.3651474690982715E-2</v>
      </c>
      <c r="CZ562" t="s">
        <v>7</v>
      </c>
    </row>
    <row r="563" spans="1:104" x14ac:dyDescent="0.25">
      <c r="A563" s="5">
        <v>44030</v>
      </c>
      <c r="B563">
        <v>1.4957</v>
      </c>
      <c r="C563">
        <v>1.6966000000000001</v>
      </c>
      <c r="D563">
        <v>1.48</v>
      </c>
      <c r="E563">
        <v>1.6785000000000001</v>
      </c>
      <c r="F563">
        <v>1229776.27</v>
      </c>
      <c r="G563">
        <v>0</v>
      </c>
      <c r="L563" t="s">
        <v>8</v>
      </c>
      <c r="M563" t="s">
        <v>7</v>
      </c>
      <c r="N563" t="s">
        <v>8</v>
      </c>
      <c r="P563">
        <f t="shared" si="985"/>
        <v>0.8328716528162512</v>
      </c>
      <c r="Q563">
        <f t="shared" si="986"/>
        <v>1024245.7945891044</v>
      </c>
      <c r="R563">
        <f t="shared" si="987"/>
        <v>6616058.388625972</v>
      </c>
      <c r="S563">
        <f t="shared" si="988"/>
        <v>66.160583886259715</v>
      </c>
      <c r="T563">
        <f t="shared" si="989"/>
        <v>6.6160583886259713E-2</v>
      </c>
      <c r="CZ563" t="s">
        <v>7</v>
      </c>
    </row>
    <row r="564" spans="1:104" x14ac:dyDescent="0.25">
      <c r="A564" s="5">
        <v>44029</v>
      </c>
      <c r="B564">
        <v>1.5202</v>
      </c>
      <c r="C564">
        <v>1.575</v>
      </c>
      <c r="D564">
        <v>1.4923999999999999</v>
      </c>
      <c r="E564">
        <v>1.496</v>
      </c>
      <c r="F564">
        <v>791426.91</v>
      </c>
      <c r="G564">
        <v>0</v>
      </c>
      <c r="L564" t="s">
        <v>8</v>
      </c>
      <c r="M564" t="s">
        <v>7</v>
      </c>
      <c r="N564" t="s">
        <v>8</v>
      </c>
      <c r="P564">
        <f t="shared" si="985"/>
        <v>-0.91283292978208119</v>
      </c>
      <c r="Q564">
        <f t="shared" si="986"/>
        <v>-722440.54496367951</v>
      </c>
      <c r="R564">
        <f t="shared" si="987"/>
        <v>5591812.5940368678</v>
      </c>
      <c r="S564">
        <f t="shared" si="988"/>
        <v>55.918125940368675</v>
      </c>
      <c r="T564">
        <f t="shared" si="989"/>
        <v>5.5918125940368678E-2</v>
      </c>
    </row>
    <row r="565" spans="1:104" x14ac:dyDescent="0.25">
      <c r="A565" s="5">
        <v>44028</v>
      </c>
      <c r="B565">
        <v>1.5202</v>
      </c>
      <c r="C565">
        <v>1.5589999999999999</v>
      </c>
      <c r="D565">
        <v>1.4229000000000001</v>
      </c>
      <c r="E565">
        <v>1.52</v>
      </c>
      <c r="F565">
        <v>867588.47</v>
      </c>
      <c r="G565">
        <v>0</v>
      </c>
      <c r="L565" t="s">
        <v>7</v>
      </c>
      <c r="M565" t="s">
        <v>7</v>
      </c>
      <c r="N565" t="s">
        <v>8</v>
      </c>
      <c r="P565">
        <f t="shared" si="985"/>
        <v>0.42689199118295434</v>
      </c>
      <c r="Q565">
        <f t="shared" si="986"/>
        <v>370366.56948567287</v>
      </c>
      <c r="R565">
        <f t="shared" si="987"/>
        <v>6314253.1390005471</v>
      </c>
      <c r="S565">
        <f t="shared" si="988"/>
        <v>63.142531390005473</v>
      </c>
      <c r="T565">
        <f t="shared" si="989"/>
        <v>6.3142531390005474E-2</v>
      </c>
    </row>
    <row r="566" spans="1:104" x14ac:dyDescent="0.25">
      <c r="A566" s="5">
        <v>44027</v>
      </c>
      <c r="B566">
        <v>1.5606</v>
      </c>
      <c r="C566">
        <v>1.6143000000000001</v>
      </c>
      <c r="D566">
        <v>1.4968999999999999</v>
      </c>
      <c r="E566">
        <v>1.5202</v>
      </c>
      <c r="F566">
        <v>916861.47</v>
      </c>
      <c r="G566">
        <v>0</v>
      </c>
      <c r="L566" t="s">
        <v>8</v>
      </c>
      <c r="M566" t="s">
        <v>7</v>
      </c>
      <c r="N566" t="s">
        <v>8</v>
      </c>
      <c r="P566">
        <f t="shared" si="985"/>
        <v>-0.60306643952299721</v>
      </c>
      <c r="Q566">
        <f t="shared" si="986"/>
        <v>-552928.38224872132</v>
      </c>
      <c r="R566">
        <f t="shared" si="987"/>
        <v>5943886.5695148744</v>
      </c>
      <c r="S566">
        <f t="shared" si="988"/>
        <v>59.438865695148742</v>
      </c>
      <c r="T566">
        <f t="shared" si="989"/>
        <v>5.9438865695148745E-2</v>
      </c>
    </row>
    <row r="567" spans="1:104" x14ac:dyDescent="0.25">
      <c r="A567" s="5">
        <v>44026</v>
      </c>
      <c r="B567">
        <v>1.5772999999999999</v>
      </c>
      <c r="C567">
        <v>1.599</v>
      </c>
      <c r="D567">
        <v>1.4724999999999999</v>
      </c>
      <c r="E567">
        <v>1.5606</v>
      </c>
      <c r="F567">
        <v>1172126.96</v>
      </c>
      <c r="G567">
        <v>0</v>
      </c>
      <c r="L567" t="s">
        <v>7</v>
      </c>
      <c r="M567" t="s">
        <v>7</v>
      </c>
      <c r="N567" t="s">
        <v>8</v>
      </c>
      <c r="P567">
        <f t="shared" si="985"/>
        <v>0.3928853754940716</v>
      </c>
      <c r="Q567">
        <f t="shared" si="986"/>
        <v>460511.54080632463</v>
      </c>
      <c r="R567">
        <f t="shared" si="987"/>
        <v>6496814.9517635955</v>
      </c>
      <c r="S567">
        <f t="shared" si="988"/>
        <v>64.96814951763595</v>
      </c>
      <c r="T567">
        <f t="shared" si="989"/>
        <v>6.4968149517635951E-2</v>
      </c>
    </row>
    <row r="568" spans="1:104" x14ac:dyDescent="0.25">
      <c r="A568" s="5">
        <v>44025</v>
      </c>
      <c r="B568">
        <v>1.5162</v>
      </c>
      <c r="C568">
        <v>1.7367999999999999</v>
      </c>
      <c r="D568">
        <v>1.516</v>
      </c>
      <c r="E568">
        <v>1.5773999999999999</v>
      </c>
      <c r="F568">
        <v>1527012.19</v>
      </c>
      <c r="G568">
        <v>0</v>
      </c>
      <c r="L568" t="s">
        <v>8</v>
      </c>
      <c r="M568" t="s">
        <v>8</v>
      </c>
      <c r="N568" t="s">
        <v>8</v>
      </c>
      <c r="P568">
        <f t="shared" si="985"/>
        <v>-0.44384057971014557</v>
      </c>
      <c r="Q568">
        <f t="shared" si="986"/>
        <v>-677749.97563405894</v>
      </c>
      <c r="R568">
        <f t="shared" si="987"/>
        <v>6036303.4109572712</v>
      </c>
      <c r="S568">
        <f t="shared" si="988"/>
        <v>60.363034109572709</v>
      </c>
      <c r="T568">
        <f t="shared" si="989"/>
        <v>6.0363034109572708E-2</v>
      </c>
    </row>
    <row r="569" spans="1:104" x14ac:dyDescent="0.25">
      <c r="A569" s="5">
        <v>44024</v>
      </c>
      <c r="B569">
        <v>1.5306</v>
      </c>
      <c r="C569">
        <v>1.5474000000000001</v>
      </c>
      <c r="D569">
        <v>1.4679</v>
      </c>
      <c r="E569">
        <v>1.5174000000000001</v>
      </c>
      <c r="F569">
        <v>720470.44</v>
      </c>
      <c r="G569">
        <v>0</v>
      </c>
      <c r="L569" t="s">
        <v>7</v>
      </c>
      <c r="M569" t="s">
        <v>8</v>
      </c>
      <c r="N569" t="s">
        <v>8</v>
      </c>
      <c r="P569">
        <f t="shared" si="985"/>
        <v>0.24528301886792506</v>
      </c>
      <c r="Q569">
        <f t="shared" si="986"/>
        <v>176719.16452830227</v>
      </c>
      <c r="R569">
        <f t="shared" si="987"/>
        <v>6714053.3865913302</v>
      </c>
      <c r="S569">
        <f t="shared" si="988"/>
        <v>67.140533865913298</v>
      </c>
      <c r="T569">
        <f t="shared" si="989"/>
        <v>6.7140533865913302E-2</v>
      </c>
    </row>
    <row r="570" spans="1:104" x14ac:dyDescent="0.25">
      <c r="A570" s="5">
        <v>44023</v>
      </c>
      <c r="B570">
        <v>1.4984</v>
      </c>
      <c r="C570">
        <v>1.5876999999999999</v>
      </c>
      <c r="D570">
        <v>1.492</v>
      </c>
      <c r="E570">
        <v>1.5277000000000001</v>
      </c>
      <c r="F570">
        <v>824362.91</v>
      </c>
      <c r="G570">
        <v>0</v>
      </c>
      <c r="L570" t="s">
        <v>8</v>
      </c>
      <c r="M570" t="s">
        <v>8</v>
      </c>
      <c r="N570" t="s">
        <v>8</v>
      </c>
      <c r="P570">
        <f t="shared" si="985"/>
        <v>-0.25391849529780347</v>
      </c>
      <c r="Q570">
        <f t="shared" si="986"/>
        <v>-209320.98968651859</v>
      </c>
      <c r="R570">
        <f t="shared" si="987"/>
        <v>6537334.2220630283</v>
      </c>
      <c r="S570">
        <f t="shared" si="988"/>
        <v>65.373342220630278</v>
      </c>
      <c r="T570">
        <f t="shared" si="989"/>
        <v>6.5373342220630279E-2</v>
      </c>
    </row>
    <row r="571" spans="1:104" x14ac:dyDescent="0.25">
      <c r="A571" s="5">
        <v>44022</v>
      </c>
      <c r="B571">
        <v>1.5301</v>
      </c>
      <c r="C571">
        <v>1.5365</v>
      </c>
      <c r="D571">
        <v>1.4244000000000001</v>
      </c>
      <c r="E571">
        <v>1.4984999999999999</v>
      </c>
      <c r="F571">
        <v>836888.61</v>
      </c>
      <c r="G571">
        <v>0</v>
      </c>
      <c r="L571" t="s">
        <v>8</v>
      </c>
      <c r="M571" t="s">
        <v>8</v>
      </c>
      <c r="N571" t="s">
        <v>8</v>
      </c>
      <c r="P571">
        <f t="shared" si="985"/>
        <v>0.32203389830508333</v>
      </c>
      <c r="Q571">
        <f t="shared" si="986"/>
        <v>269506.50152542256</v>
      </c>
      <c r="R571">
        <f t="shared" si="987"/>
        <v>6746655.2117495472</v>
      </c>
      <c r="S571">
        <f t="shared" si="988"/>
        <v>67.466552117495468</v>
      </c>
      <c r="T571">
        <f t="shared" si="989"/>
        <v>6.7466552117495471E-2</v>
      </c>
    </row>
    <row r="572" spans="1:104" x14ac:dyDescent="0.25">
      <c r="A572" s="5">
        <v>44021</v>
      </c>
      <c r="B572">
        <v>1.5974999999999999</v>
      </c>
      <c r="C572">
        <v>1.5986</v>
      </c>
      <c r="D572">
        <v>1.4228000000000001</v>
      </c>
      <c r="E572">
        <v>1.5301</v>
      </c>
      <c r="F572">
        <v>1307645.3999999999</v>
      </c>
      <c r="G572">
        <v>0</v>
      </c>
      <c r="L572" t="s">
        <v>7</v>
      </c>
      <c r="M572" t="s">
        <v>8</v>
      </c>
      <c r="N572" t="s">
        <v>8</v>
      </c>
      <c r="P572">
        <f t="shared" si="985"/>
        <v>0.22070534698521022</v>
      </c>
      <c r="Q572">
        <f t="shared" si="986"/>
        <v>288604.33174061397</v>
      </c>
      <c r="R572">
        <f t="shared" si="987"/>
        <v>6477148.7102241246</v>
      </c>
      <c r="S572">
        <f t="shared" si="988"/>
        <v>64.771487102241252</v>
      </c>
      <c r="T572">
        <f t="shared" si="989"/>
        <v>6.4771487102241246E-2</v>
      </c>
    </row>
    <row r="573" spans="1:104" x14ac:dyDescent="0.25">
      <c r="A573" s="5">
        <v>44020</v>
      </c>
      <c r="B573">
        <v>1.5820000000000001</v>
      </c>
      <c r="C573">
        <v>1.6633</v>
      </c>
      <c r="D573">
        <v>1.5324</v>
      </c>
      <c r="E573">
        <v>1.5999000000000001</v>
      </c>
      <c r="F573">
        <v>1199502.73</v>
      </c>
      <c r="G573">
        <v>0</v>
      </c>
      <c r="L573" t="s">
        <v>8</v>
      </c>
      <c r="M573" t="s">
        <v>8</v>
      </c>
      <c r="N573" t="s">
        <v>8</v>
      </c>
      <c r="P573">
        <f t="shared" si="985"/>
        <v>3.1321619556915307E-2</v>
      </c>
      <c r="Q573">
        <f t="shared" si="986"/>
        <v>37570.368166541302</v>
      </c>
      <c r="R573">
        <f t="shared" si="987"/>
        <v>6188544.3784835106</v>
      </c>
      <c r="S573">
        <f t="shared" si="988"/>
        <v>61.885443784835104</v>
      </c>
      <c r="T573">
        <f t="shared" si="989"/>
        <v>6.1885443784835105E-2</v>
      </c>
    </row>
    <row r="574" spans="1:104" x14ac:dyDescent="0.25">
      <c r="A574" s="5">
        <v>44019</v>
      </c>
      <c r="B574">
        <v>1.5588</v>
      </c>
      <c r="C574">
        <v>1.5929</v>
      </c>
      <c r="D574">
        <v>1.48</v>
      </c>
      <c r="E574">
        <v>1.5876999999999999</v>
      </c>
      <c r="F574">
        <v>1373822.42</v>
      </c>
      <c r="G574">
        <v>0</v>
      </c>
      <c r="L574" t="s">
        <v>7</v>
      </c>
      <c r="M574" t="s">
        <v>8</v>
      </c>
      <c r="N574" t="s">
        <v>8</v>
      </c>
      <c r="P574">
        <f t="shared" si="985"/>
        <v>0.90788308237378046</v>
      </c>
      <c r="Q574">
        <f t="shared" si="986"/>
        <v>1247270.1333038064</v>
      </c>
      <c r="R574">
        <f t="shared" si="987"/>
        <v>6150974.0103169689</v>
      </c>
      <c r="S574">
        <f t="shared" si="988"/>
        <v>61.50974010316969</v>
      </c>
      <c r="T574">
        <f t="shared" si="989"/>
        <v>6.1509740103169688E-2</v>
      </c>
    </row>
    <row r="575" spans="1:104" x14ac:dyDescent="0.25">
      <c r="A575" s="5">
        <v>44018</v>
      </c>
      <c r="B575">
        <v>1.3583000000000001</v>
      </c>
      <c r="C575">
        <v>1.6241000000000001</v>
      </c>
      <c r="D575">
        <v>1.355</v>
      </c>
      <c r="E575">
        <v>1.5610999999999999</v>
      </c>
      <c r="F575">
        <v>2202480.11</v>
      </c>
      <c r="G575">
        <v>0</v>
      </c>
      <c r="L575" t="s">
        <v>8</v>
      </c>
      <c r="M575" t="s">
        <v>8</v>
      </c>
      <c r="N575" t="s">
        <v>8</v>
      </c>
      <c r="P575">
        <f t="shared" si="985"/>
        <v>0.5317725752508351</v>
      </c>
      <c r="Q575">
        <f t="shared" si="986"/>
        <v>1171218.5200334424</v>
      </c>
      <c r="R575">
        <f t="shared" si="987"/>
        <v>4903703.8770131627</v>
      </c>
      <c r="S575">
        <f t="shared" si="988"/>
        <v>49.03703877013163</v>
      </c>
      <c r="T575">
        <f t="shared" si="989"/>
        <v>4.903703877013163E-2</v>
      </c>
    </row>
    <row r="576" spans="1:104" x14ac:dyDescent="0.25">
      <c r="A576" s="5">
        <v>44017</v>
      </c>
      <c r="B576">
        <v>1.4547000000000001</v>
      </c>
      <c r="C576">
        <v>1.4630000000000001</v>
      </c>
      <c r="D576">
        <v>1.3152999999999999</v>
      </c>
      <c r="E576">
        <v>1.3551</v>
      </c>
      <c r="F576">
        <v>1102971.77</v>
      </c>
      <c r="G576">
        <v>0</v>
      </c>
      <c r="L576" t="s">
        <v>8</v>
      </c>
      <c r="M576" t="s">
        <v>8</v>
      </c>
      <c r="N576" t="s">
        <v>8</v>
      </c>
      <c r="P576">
        <f t="shared" si="985"/>
        <v>-0.46106973595125234</v>
      </c>
      <c r="Q576">
        <f t="shared" si="986"/>
        <v>-508546.90275558544</v>
      </c>
      <c r="R576">
        <f t="shared" si="987"/>
        <v>3732485.3569797203</v>
      </c>
      <c r="S576">
        <f t="shared" si="988"/>
        <v>37.324853569797206</v>
      </c>
      <c r="T576">
        <f t="shared" si="989"/>
        <v>3.7324853569797208E-2</v>
      </c>
    </row>
    <row r="577" spans="1:20" x14ac:dyDescent="0.25">
      <c r="A577" s="5">
        <v>44016</v>
      </c>
      <c r="B577">
        <v>1.4692000000000001</v>
      </c>
      <c r="C577">
        <v>1.4865999999999999</v>
      </c>
      <c r="D577">
        <v>1.3003</v>
      </c>
      <c r="E577">
        <v>1.4547000000000001</v>
      </c>
      <c r="F577">
        <v>2250990.19</v>
      </c>
      <c r="G577">
        <v>0</v>
      </c>
      <c r="L577" t="s">
        <v>7</v>
      </c>
      <c r="M577" t="s">
        <v>8</v>
      </c>
      <c r="N577" t="s">
        <v>8</v>
      </c>
      <c r="P577">
        <f t="shared" si="985"/>
        <v>0.65754159957058689</v>
      </c>
      <c r="Q577">
        <f t="shared" si="986"/>
        <v>1480119.6901502993</v>
      </c>
      <c r="R577">
        <f t="shared" si="987"/>
        <v>4241032.2597353058</v>
      </c>
      <c r="S577">
        <f t="shared" si="988"/>
        <v>42.410322597353058</v>
      </c>
      <c r="T577">
        <f t="shared" si="989"/>
        <v>4.2410322597353056E-2</v>
      </c>
    </row>
    <row r="578" spans="1:20" x14ac:dyDescent="0.25">
      <c r="A578" s="5">
        <v>44015</v>
      </c>
      <c r="B578">
        <v>1.2948999999999999</v>
      </c>
      <c r="C578">
        <v>1.5181</v>
      </c>
      <c r="D578">
        <v>1.286</v>
      </c>
      <c r="E578">
        <v>1.4758</v>
      </c>
      <c r="F578">
        <v>2936900.21</v>
      </c>
      <c r="G578">
        <v>0</v>
      </c>
      <c r="L578" t="s">
        <v>8</v>
      </c>
      <c r="M578" t="s">
        <v>8</v>
      </c>
      <c r="N578" t="s">
        <v>8</v>
      </c>
      <c r="P578">
        <f t="shared" si="985"/>
        <v>0.63550193881947425</v>
      </c>
      <c r="Q578">
        <f t="shared" si="986"/>
        <v>1866405.777574321</v>
      </c>
      <c r="R578">
        <f t="shared" si="987"/>
        <v>2760912.5695850062</v>
      </c>
      <c r="S578">
        <f t="shared" si="988"/>
        <v>27.609125695850061</v>
      </c>
      <c r="T578">
        <f t="shared" si="989"/>
        <v>2.760912569585006E-2</v>
      </c>
    </row>
    <row r="579" spans="1:20" x14ac:dyDescent="0.25">
      <c r="A579" s="5">
        <v>44014</v>
      </c>
      <c r="B579">
        <v>1.2157</v>
      </c>
      <c r="C579">
        <v>1.3801000000000001</v>
      </c>
      <c r="D579">
        <v>1.1883999999999999</v>
      </c>
      <c r="E579">
        <v>1.2938000000000001</v>
      </c>
      <c r="F579">
        <v>3706211.14</v>
      </c>
      <c r="G579">
        <v>0</v>
      </c>
      <c r="L579" t="s">
        <v>8</v>
      </c>
      <c r="M579" t="s">
        <v>8</v>
      </c>
      <c r="N579" t="s">
        <v>8</v>
      </c>
      <c r="P579">
        <f t="shared" si="985"/>
        <v>9.9634846113719852E-2</v>
      </c>
      <c r="Q579">
        <f t="shared" si="986"/>
        <v>369267.77659885422</v>
      </c>
      <c r="R579">
        <f t="shared" si="987"/>
        <v>894506.7920106852</v>
      </c>
      <c r="S579">
        <f t="shared" si="988"/>
        <v>8.9450679201068528</v>
      </c>
      <c r="T579">
        <f t="shared" si="989"/>
        <v>8.9450679201068528E-3</v>
      </c>
    </row>
    <row r="580" spans="1:20" x14ac:dyDescent="0.25">
      <c r="A580" s="5">
        <v>44013</v>
      </c>
      <c r="B580">
        <v>1.0526</v>
      </c>
      <c r="C580">
        <v>1.2299</v>
      </c>
      <c r="D580">
        <v>1.0525</v>
      </c>
      <c r="E580">
        <v>1.2155</v>
      </c>
      <c r="F580">
        <v>2089711.05</v>
      </c>
      <c r="G580">
        <v>0</v>
      </c>
      <c r="L580" t="s">
        <v>8</v>
      </c>
      <c r="M580" t="s">
        <v>8</v>
      </c>
      <c r="N580" t="s">
        <v>8</v>
      </c>
      <c r="P580">
        <f t="shared" si="985"/>
        <v>0.83765501691093613</v>
      </c>
      <c r="Q580">
        <f t="shared" si="986"/>
        <v>1750456.9449267201</v>
      </c>
      <c r="R580">
        <f t="shared" si="987"/>
        <v>525239.01541183097</v>
      </c>
      <c r="S580">
        <f t="shared" si="988"/>
        <v>5.2523901541183093</v>
      </c>
      <c r="T580">
        <f t="shared" si="989"/>
        <v>5.2523901541183093E-3</v>
      </c>
    </row>
    <row r="581" spans="1:20" x14ac:dyDescent="0.25">
      <c r="A581" s="5">
        <v>44012</v>
      </c>
      <c r="B581">
        <v>1.1042000000000001</v>
      </c>
      <c r="C581">
        <v>1.1099000000000001</v>
      </c>
      <c r="D581">
        <v>1.0185</v>
      </c>
      <c r="E581">
        <v>1.0542</v>
      </c>
      <c r="F581">
        <v>880648.23</v>
      </c>
      <c r="G581">
        <v>0</v>
      </c>
      <c r="L581" t="s">
        <v>7</v>
      </c>
      <c r="M581" t="s">
        <v>8</v>
      </c>
      <c r="N581" t="s">
        <v>7</v>
      </c>
      <c r="P581">
        <f t="shared" si="985"/>
        <v>-0.21881838074398233</v>
      </c>
      <c r="Q581">
        <f t="shared" si="986"/>
        <v>-192702.01969365412</v>
      </c>
      <c r="R581">
        <f t="shared" si="987"/>
        <v>-1225217.9295148891</v>
      </c>
      <c r="S581">
        <f t="shared" si="988"/>
        <v>-12.252179295148892</v>
      </c>
      <c r="T581">
        <f t="shared" si="989"/>
        <v>-1.2252179295148892E-2</v>
      </c>
    </row>
    <row r="582" spans="1:20" x14ac:dyDescent="0.25">
      <c r="A582" s="5">
        <v>44011</v>
      </c>
      <c r="B582">
        <v>0.99719999999999998</v>
      </c>
      <c r="C582">
        <v>1.1294</v>
      </c>
      <c r="D582">
        <v>0.99629999999999996</v>
      </c>
      <c r="E582">
        <v>1.103</v>
      </c>
      <c r="F582">
        <v>2284201.9900000002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90">IF(C582=D582,0,((E582-D582)-(C582-E582))/(C582-D582))</f>
        <v>0.60330578512396726</v>
      </c>
      <c r="Q582">
        <f t="shared" ref="Q582:Q645" si="991">F582*P582</f>
        <v>1378072.2749586785</v>
      </c>
      <c r="R582">
        <f t="shared" ref="R582:R645" si="992">R583+Q582</f>
        <v>-1032515.9098212351</v>
      </c>
      <c r="S582">
        <f t="shared" ref="S582:S645" si="993">R582/100000</f>
        <v>-10.325159098212351</v>
      </c>
      <c r="T582">
        <f t="shared" ref="T582:T645" si="994">S582/1000</f>
        <v>-1.0325159098212352E-2</v>
      </c>
    </row>
    <row r="583" spans="1:20" x14ac:dyDescent="0.25">
      <c r="A583" s="5">
        <v>44010</v>
      </c>
      <c r="B583">
        <v>0.94750000000000001</v>
      </c>
      <c r="C583">
        <v>1.0172000000000001</v>
      </c>
      <c r="D583">
        <v>0.8982</v>
      </c>
      <c r="E583">
        <v>0.99690000000000001</v>
      </c>
      <c r="F583">
        <v>1181933.58</v>
      </c>
      <c r="G583">
        <v>0</v>
      </c>
      <c r="L583" t="s">
        <v>7</v>
      </c>
      <c r="M583" t="s">
        <v>7</v>
      </c>
      <c r="N583" t="s">
        <v>7</v>
      </c>
      <c r="P583">
        <f t="shared" si="990"/>
        <v>0.65882352941176336</v>
      </c>
      <c r="Q583">
        <f t="shared" si="991"/>
        <v>778685.65270588081</v>
      </c>
      <c r="R583">
        <f t="shared" si="992"/>
        <v>-2410588.1847799136</v>
      </c>
      <c r="S583">
        <f t="shared" si="993"/>
        <v>-24.105881847799136</v>
      </c>
      <c r="T583">
        <f t="shared" si="994"/>
        <v>-2.4105881847799136E-2</v>
      </c>
    </row>
    <row r="584" spans="1:20" x14ac:dyDescent="0.25">
      <c r="A584" s="5">
        <v>44009</v>
      </c>
      <c r="B584">
        <v>1.0297000000000001</v>
      </c>
      <c r="C584">
        <v>1.0451999999999999</v>
      </c>
      <c r="D584">
        <v>0.93530000000000002</v>
      </c>
      <c r="E584">
        <v>0.95440000000000003</v>
      </c>
      <c r="F584">
        <v>1344432.07</v>
      </c>
      <c r="G584">
        <v>0</v>
      </c>
      <c r="L584" t="s">
        <v>7</v>
      </c>
      <c r="M584" t="s">
        <v>7</v>
      </c>
      <c r="N584" t="s">
        <v>8</v>
      </c>
      <c r="P584">
        <f t="shared" si="990"/>
        <v>-0.65241128298453088</v>
      </c>
      <c r="Q584">
        <f t="shared" si="991"/>
        <v>-877122.65167424863</v>
      </c>
      <c r="R584">
        <f t="shared" si="992"/>
        <v>-3189273.8374857944</v>
      </c>
      <c r="S584">
        <f t="shared" si="993"/>
        <v>-31.892738374857945</v>
      </c>
      <c r="T584">
        <f t="shared" si="994"/>
        <v>-3.1892738374857947E-2</v>
      </c>
    </row>
    <row r="585" spans="1:20" x14ac:dyDescent="0.25">
      <c r="A585" s="5">
        <v>44008</v>
      </c>
      <c r="B585">
        <v>1.1540999999999999</v>
      </c>
      <c r="C585">
        <v>1.18</v>
      </c>
      <c r="D585">
        <v>1.0181</v>
      </c>
      <c r="E585">
        <v>1.0297000000000001</v>
      </c>
      <c r="F585">
        <v>1466528.8</v>
      </c>
      <c r="G585">
        <v>0</v>
      </c>
      <c r="L585" t="s">
        <v>7</v>
      </c>
      <c r="M585" t="s">
        <v>7</v>
      </c>
      <c r="N585" t="s">
        <v>8</v>
      </c>
      <c r="P585">
        <f t="shared" si="990"/>
        <v>-0.856701667696108</v>
      </c>
      <c r="Q585">
        <f t="shared" si="991"/>
        <v>-1256377.668684372</v>
      </c>
      <c r="R585">
        <f t="shared" si="992"/>
        <v>-2312151.1858115457</v>
      </c>
      <c r="S585">
        <f t="shared" si="993"/>
        <v>-23.121511858115458</v>
      </c>
      <c r="T585">
        <f t="shared" si="994"/>
        <v>-2.3121511858115458E-2</v>
      </c>
    </row>
    <row r="586" spans="1:20" x14ac:dyDescent="0.25">
      <c r="A586" s="5">
        <v>44007</v>
      </c>
      <c r="B586">
        <v>1.2494000000000001</v>
      </c>
      <c r="C586">
        <v>1.2504</v>
      </c>
      <c r="D586">
        <v>1.1209</v>
      </c>
      <c r="E586">
        <v>1.1540999999999999</v>
      </c>
      <c r="F586">
        <v>1847164.76</v>
      </c>
      <c r="G586">
        <v>0</v>
      </c>
      <c r="L586" t="s">
        <v>7</v>
      </c>
      <c r="M586" t="s">
        <v>8</v>
      </c>
      <c r="N586" t="s">
        <v>8</v>
      </c>
      <c r="P586">
        <f t="shared" si="990"/>
        <v>-0.48725868725868865</v>
      </c>
      <c r="Q586">
        <f t="shared" si="991"/>
        <v>-900047.07610811072</v>
      </c>
      <c r="R586">
        <f t="shared" si="992"/>
        <v>-1055773.517127174</v>
      </c>
      <c r="S586">
        <f t="shared" si="993"/>
        <v>-10.557735171271739</v>
      </c>
      <c r="T586">
        <f t="shared" si="994"/>
        <v>-1.0557735171271738E-2</v>
      </c>
    </row>
    <row r="587" spans="1:20" x14ac:dyDescent="0.25">
      <c r="A587" s="5">
        <v>44006</v>
      </c>
      <c r="B587">
        <v>1.1717</v>
      </c>
      <c r="C587">
        <v>1.2999000000000001</v>
      </c>
      <c r="D587">
        <v>1.123</v>
      </c>
      <c r="E587">
        <v>1.2506999999999999</v>
      </c>
      <c r="F587">
        <v>3387185.73</v>
      </c>
      <c r="G587">
        <v>0</v>
      </c>
      <c r="L587" t="s">
        <v>8</v>
      </c>
      <c r="M587" t="s">
        <v>8</v>
      </c>
      <c r="N587" t="s">
        <v>8</v>
      </c>
      <c r="P587">
        <f t="shared" si="990"/>
        <v>0.44375353306952947</v>
      </c>
      <c r="Q587">
        <f t="shared" si="991"/>
        <v>1503075.6348501933</v>
      </c>
      <c r="R587">
        <f t="shared" si="992"/>
        <v>-155726.44101906335</v>
      </c>
      <c r="S587">
        <f t="shared" si="993"/>
        <v>-1.5572644101906334</v>
      </c>
      <c r="T587">
        <f t="shared" si="994"/>
        <v>-1.5572644101906335E-3</v>
      </c>
    </row>
    <row r="588" spans="1:20" x14ac:dyDescent="0.25">
      <c r="A588" s="5">
        <v>44005</v>
      </c>
      <c r="B588">
        <v>0.94320000000000004</v>
      </c>
      <c r="C588">
        <v>1.1883999999999999</v>
      </c>
      <c r="D588">
        <v>0.94130000000000003</v>
      </c>
      <c r="E588">
        <v>1.1667000000000001</v>
      </c>
      <c r="F588">
        <v>2807937.87</v>
      </c>
      <c r="G588">
        <v>0</v>
      </c>
      <c r="L588" t="s">
        <v>8</v>
      </c>
      <c r="M588" t="s">
        <v>8</v>
      </c>
      <c r="N588" t="s">
        <v>8</v>
      </c>
      <c r="P588">
        <f t="shared" si="990"/>
        <v>0.82436260623229585</v>
      </c>
      <c r="Q588">
        <f t="shared" si="991"/>
        <v>2314758.9806515616</v>
      </c>
      <c r="R588">
        <f t="shared" si="992"/>
        <v>-1658802.0758692566</v>
      </c>
      <c r="S588">
        <f t="shared" si="993"/>
        <v>-16.588020758692565</v>
      </c>
      <c r="T588">
        <f t="shared" si="994"/>
        <v>-1.6588020758692566E-2</v>
      </c>
    </row>
    <row r="589" spans="1:20" x14ac:dyDescent="0.25">
      <c r="A589" s="5">
        <v>44004</v>
      </c>
      <c r="B589">
        <v>0.84160000000000001</v>
      </c>
      <c r="C589">
        <v>0.97509999999999997</v>
      </c>
      <c r="D589">
        <v>0.83889999999999998</v>
      </c>
      <c r="E589">
        <v>0.94330000000000003</v>
      </c>
      <c r="F589">
        <v>1465590.91</v>
      </c>
      <c r="G589">
        <v>0</v>
      </c>
      <c r="L589" t="s">
        <v>8</v>
      </c>
      <c r="M589" t="s">
        <v>8</v>
      </c>
      <c r="N589" t="s">
        <v>8</v>
      </c>
      <c r="P589">
        <f t="shared" si="990"/>
        <v>0.53303964757709332</v>
      </c>
      <c r="Q589">
        <f t="shared" si="991"/>
        <v>781218.06215859146</v>
      </c>
      <c r="R589">
        <f t="shared" si="992"/>
        <v>-3973561.0565208183</v>
      </c>
      <c r="S589">
        <f t="shared" si="993"/>
        <v>-39.735610565208184</v>
      </c>
      <c r="T589">
        <f t="shared" si="994"/>
        <v>-3.9735610565208183E-2</v>
      </c>
    </row>
    <row r="590" spans="1:20" x14ac:dyDescent="0.25">
      <c r="A590" s="5">
        <v>44003</v>
      </c>
      <c r="B590">
        <v>0.872</v>
      </c>
      <c r="C590">
        <v>0.88970000000000005</v>
      </c>
      <c r="D590">
        <v>0.84089999999999998</v>
      </c>
      <c r="E590">
        <v>0.84440000000000004</v>
      </c>
      <c r="F590">
        <v>754616.99</v>
      </c>
      <c r="G590">
        <v>0</v>
      </c>
      <c r="L590" t="s">
        <v>8</v>
      </c>
      <c r="M590" t="s">
        <v>8</v>
      </c>
      <c r="N590" t="s">
        <v>8</v>
      </c>
      <c r="P590">
        <f t="shared" si="990"/>
        <v>-0.85655737704917811</v>
      </c>
      <c r="Q590">
        <f t="shared" si="991"/>
        <v>-646372.74963114585</v>
      </c>
      <c r="R590">
        <f t="shared" si="992"/>
        <v>-4754779.1186794098</v>
      </c>
      <c r="S590">
        <f t="shared" si="993"/>
        <v>-47.5477911867941</v>
      </c>
      <c r="T590">
        <f t="shared" si="994"/>
        <v>-4.75477911867941E-2</v>
      </c>
    </row>
    <row r="591" spans="1:20" x14ac:dyDescent="0.25">
      <c r="A591" s="5">
        <v>44002</v>
      </c>
      <c r="B591">
        <v>0.82320000000000004</v>
      </c>
      <c r="C591">
        <v>0.88800000000000001</v>
      </c>
      <c r="D591">
        <v>0.82320000000000004</v>
      </c>
      <c r="E591">
        <v>0.87450000000000006</v>
      </c>
      <c r="F591">
        <v>1517020.95</v>
      </c>
      <c r="G591">
        <v>0</v>
      </c>
      <c r="L591" t="s">
        <v>8</v>
      </c>
      <c r="M591" t="s">
        <v>8</v>
      </c>
      <c r="N591" t="s">
        <v>8</v>
      </c>
      <c r="P591">
        <f t="shared" si="990"/>
        <v>0.58333333333333448</v>
      </c>
      <c r="Q591">
        <f t="shared" si="991"/>
        <v>884928.8875000017</v>
      </c>
      <c r="R591">
        <f t="shared" si="992"/>
        <v>-4108406.3690482643</v>
      </c>
      <c r="S591">
        <f t="shared" si="993"/>
        <v>-41.084063690482644</v>
      </c>
      <c r="T591">
        <f t="shared" si="994"/>
        <v>-4.1084063690482647E-2</v>
      </c>
    </row>
    <row r="592" spans="1:20" x14ac:dyDescent="0.25">
      <c r="A592" s="5">
        <v>44001</v>
      </c>
      <c r="B592">
        <v>0.76500000000000001</v>
      </c>
      <c r="C592">
        <v>0.87</v>
      </c>
      <c r="D592">
        <v>0.75160000000000005</v>
      </c>
      <c r="E592">
        <v>0.82320000000000004</v>
      </c>
      <c r="F592">
        <v>1861298.47</v>
      </c>
      <c r="G592">
        <v>0</v>
      </c>
      <c r="L592" t="s">
        <v>8</v>
      </c>
      <c r="M592" t="s">
        <v>8</v>
      </c>
      <c r="N592" t="s">
        <v>8</v>
      </c>
      <c r="P592">
        <f t="shared" si="990"/>
        <v>0.20945945945945993</v>
      </c>
      <c r="Q592">
        <f t="shared" si="991"/>
        <v>389866.57141891978</v>
      </c>
      <c r="R592">
        <f t="shared" si="992"/>
        <v>-4993335.2565482659</v>
      </c>
      <c r="S592">
        <f t="shared" si="993"/>
        <v>-49.933352565482657</v>
      </c>
      <c r="T592">
        <f t="shared" si="994"/>
        <v>-4.9933352565482654E-2</v>
      </c>
    </row>
    <row r="593" spans="1:20" x14ac:dyDescent="0.25">
      <c r="A593" s="5">
        <v>44000</v>
      </c>
      <c r="B593">
        <v>0.82750000000000001</v>
      </c>
      <c r="C593">
        <v>0.82909999999999995</v>
      </c>
      <c r="D593">
        <v>0.74990000000000001</v>
      </c>
      <c r="E593">
        <v>0.77029999999999998</v>
      </c>
      <c r="F593">
        <v>2259463.34</v>
      </c>
      <c r="G593">
        <v>0</v>
      </c>
      <c r="L593" t="s">
        <v>7</v>
      </c>
      <c r="M593" t="s">
        <v>8</v>
      </c>
      <c r="N593" t="s">
        <v>8</v>
      </c>
      <c r="P593">
        <f t="shared" si="990"/>
        <v>-0.48484848484848508</v>
      </c>
      <c r="Q593">
        <f t="shared" si="991"/>
        <v>-1095497.3769696974</v>
      </c>
      <c r="R593">
        <f t="shared" si="992"/>
        <v>-5383201.8279671855</v>
      </c>
      <c r="S593">
        <f t="shared" si="993"/>
        <v>-53.832018279671857</v>
      </c>
      <c r="T593">
        <f t="shared" si="994"/>
        <v>-5.3832018279671857E-2</v>
      </c>
    </row>
    <row r="594" spans="1:20" x14ac:dyDescent="0.25">
      <c r="A594" s="5">
        <v>43999</v>
      </c>
      <c r="B594">
        <v>0.88090000000000002</v>
      </c>
      <c r="C594">
        <v>0.88739999999999997</v>
      </c>
      <c r="D594">
        <v>0.81610000000000005</v>
      </c>
      <c r="E594">
        <v>0.82899999999999996</v>
      </c>
      <c r="F594">
        <v>663116.52</v>
      </c>
      <c r="G594">
        <v>0</v>
      </c>
      <c r="L594" t="s">
        <v>7</v>
      </c>
      <c r="M594" t="s">
        <v>8</v>
      </c>
      <c r="N594" t="s">
        <v>8</v>
      </c>
      <c r="P594">
        <f t="shared" si="990"/>
        <v>-0.63814866760168509</v>
      </c>
      <c r="Q594">
        <f t="shared" si="991"/>
        <v>-423166.92370266619</v>
      </c>
      <c r="R594">
        <f t="shared" si="992"/>
        <v>-4287704.4509974886</v>
      </c>
      <c r="S594">
        <f t="shared" si="993"/>
        <v>-42.877044509974887</v>
      </c>
      <c r="T594">
        <f t="shared" si="994"/>
        <v>-4.2877044509974885E-2</v>
      </c>
    </row>
    <row r="595" spans="1:20" x14ac:dyDescent="0.25">
      <c r="A595" s="5">
        <v>43998</v>
      </c>
      <c r="B595">
        <v>0.81840000000000002</v>
      </c>
      <c r="C595">
        <v>0.88660000000000005</v>
      </c>
      <c r="D595">
        <v>0.81010000000000004</v>
      </c>
      <c r="E595">
        <v>0.8861</v>
      </c>
      <c r="F595">
        <v>897367.6</v>
      </c>
      <c r="G595">
        <v>0</v>
      </c>
      <c r="L595" t="s">
        <v>8</v>
      </c>
      <c r="M595" t="s">
        <v>8</v>
      </c>
      <c r="N595" t="s">
        <v>8</v>
      </c>
      <c r="P595">
        <f t="shared" si="990"/>
        <v>0.98692810457516189</v>
      </c>
      <c r="Q595">
        <f t="shared" si="991"/>
        <v>885637.30457516201</v>
      </c>
      <c r="R595">
        <f t="shared" si="992"/>
        <v>-3864537.527294822</v>
      </c>
      <c r="S595">
        <f t="shared" si="993"/>
        <v>-38.645375272948222</v>
      </c>
      <c r="T595">
        <f t="shared" si="994"/>
        <v>-3.8645375272948222E-2</v>
      </c>
    </row>
    <row r="596" spans="1:20" x14ac:dyDescent="0.25">
      <c r="A596" s="5">
        <v>43997</v>
      </c>
      <c r="B596">
        <v>0.83379999999999999</v>
      </c>
      <c r="C596">
        <v>0.83699999999999997</v>
      </c>
      <c r="D596">
        <v>0.73229999999999995</v>
      </c>
      <c r="E596">
        <v>0.81869999999999998</v>
      </c>
      <c r="F596">
        <v>1642392.1</v>
      </c>
      <c r="G596">
        <v>0</v>
      </c>
      <c r="L596" t="s">
        <v>7</v>
      </c>
      <c r="M596" t="s">
        <v>7</v>
      </c>
      <c r="N596" t="s">
        <v>8</v>
      </c>
      <c r="P596">
        <f t="shared" si="990"/>
        <v>0.65042979942693446</v>
      </c>
      <c r="Q596">
        <f t="shared" si="991"/>
        <v>1068260.7641833818</v>
      </c>
      <c r="R596">
        <f t="shared" si="992"/>
        <v>-4750174.831869984</v>
      </c>
      <c r="S596">
        <f t="shared" si="993"/>
        <v>-47.501748318699839</v>
      </c>
      <c r="T596">
        <f t="shared" si="994"/>
        <v>-4.7501748318699841E-2</v>
      </c>
    </row>
    <row r="597" spans="1:20" x14ac:dyDescent="0.25">
      <c r="A597" s="5">
        <v>43996</v>
      </c>
      <c r="B597">
        <v>0.82620000000000005</v>
      </c>
      <c r="C597">
        <v>0.91920000000000002</v>
      </c>
      <c r="D597">
        <v>0.82620000000000005</v>
      </c>
      <c r="E597">
        <v>0.83440000000000003</v>
      </c>
      <c r="F597">
        <v>2004104.69</v>
      </c>
      <c r="G597">
        <v>0</v>
      </c>
      <c r="L597" t="s">
        <v>8</v>
      </c>
      <c r="M597" t="s">
        <v>8</v>
      </c>
      <c r="N597" t="s">
        <v>8</v>
      </c>
      <c r="P597">
        <f t="shared" si="990"/>
        <v>-0.82365591397849491</v>
      </c>
      <c r="Q597">
        <f t="shared" si="991"/>
        <v>-1650692.6801505382</v>
      </c>
      <c r="R597">
        <f t="shared" si="992"/>
        <v>-5818435.5960533656</v>
      </c>
      <c r="S597">
        <f t="shared" si="993"/>
        <v>-58.184355960533658</v>
      </c>
      <c r="T597">
        <f t="shared" si="994"/>
        <v>-5.818435596053366E-2</v>
      </c>
    </row>
    <row r="598" spans="1:20" x14ac:dyDescent="0.25">
      <c r="A598" s="5">
        <v>43995</v>
      </c>
      <c r="B598">
        <v>0.83819999999999995</v>
      </c>
      <c r="C598">
        <v>0.85829999999999995</v>
      </c>
      <c r="D598">
        <v>0.79379999999999995</v>
      </c>
      <c r="E598">
        <v>0.82620000000000005</v>
      </c>
      <c r="F598">
        <v>967988.64</v>
      </c>
      <c r="G598">
        <v>0</v>
      </c>
      <c r="L598" t="s">
        <v>8</v>
      </c>
      <c r="M598" t="s">
        <v>8</v>
      </c>
      <c r="N598" t="s">
        <v>8</v>
      </c>
      <c r="P598">
        <f t="shared" si="990"/>
        <v>4.6511627907006043E-3</v>
      </c>
      <c r="Q598">
        <f t="shared" si="991"/>
        <v>4502.2727441888828</v>
      </c>
      <c r="R598">
        <f t="shared" si="992"/>
        <v>-4167742.9159028279</v>
      </c>
      <c r="S598">
        <f t="shared" si="993"/>
        <v>-41.677429159028279</v>
      </c>
      <c r="T598">
        <f t="shared" si="994"/>
        <v>-4.1677429159028279E-2</v>
      </c>
    </row>
    <row r="599" spans="1:20" x14ac:dyDescent="0.25">
      <c r="A599" s="5">
        <v>43994</v>
      </c>
      <c r="B599">
        <v>0.75280000000000002</v>
      </c>
      <c r="C599">
        <v>0.85</v>
      </c>
      <c r="D599">
        <v>0.7319</v>
      </c>
      <c r="E599">
        <v>0.84160000000000001</v>
      </c>
      <c r="F599">
        <v>2213610.61</v>
      </c>
      <c r="G599">
        <v>0</v>
      </c>
      <c r="L599" t="s">
        <v>7</v>
      </c>
      <c r="M599" t="s">
        <v>8</v>
      </c>
      <c r="N599" t="s">
        <v>8</v>
      </c>
      <c r="P599">
        <f t="shared" si="990"/>
        <v>0.85774767146486086</v>
      </c>
      <c r="Q599">
        <f t="shared" si="991"/>
        <v>1898719.3462574102</v>
      </c>
      <c r="R599">
        <f t="shared" si="992"/>
        <v>-4172245.1886470169</v>
      </c>
      <c r="S599">
        <f t="shared" si="993"/>
        <v>-41.722451886470168</v>
      </c>
      <c r="T599">
        <f t="shared" si="994"/>
        <v>-4.1722451886470169E-2</v>
      </c>
    </row>
    <row r="600" spans="1:20" x14ac:dyDescent="0.25">
      <c r="A600" s="5">
        <v>43993</v>
      </c>
      <c r="B600">
        <v>0.84260000000000002</v>
      </c>
      <c r="C600">
        <v>0.90369999999999995</v>
      </c>
      <c r="D600">
        <v>0.68579999999999997</v>
      </c>
      <c r="E600">
        <v>0.75380000000000003</v>
      </c>
      <c r="F600">
        <v>3400205.12</v>
      </c>
      <c r="G600">
        <v>0</v>
      </c>
      <c r="L600" t="s">
        <v>8</v>
      </c>
      <c r="M600" t="s">
        <v>7</v>
      </c>
      <c r="N600" t="s">
        <v>8</v>
      </c>
      <c r="P600">
        <f t="shared" si="990"/>
        <v>-0.37586048646167908</v>
      </c>
      <c r="Q600">
        <f t="shared" si="991"/>
        <v>-1278002.7504726918</v>
      </c>
      <c r="R600">
        <f t="shared" si="992"/>
        <v>-6070964.5349044269</v>
      </c>
      <c r="S600">
        <f t="shared" si="993"/>
        <v>-60.709645349044266</v>
      </c>
      <c r="T600">
        <f t="shared" si="994"/>
        <v>-6.0709645349044265E-2</v>
      </c>
    </row>
    <row r="601" spans="1:20" x14ac:dyDescent="0.25">
      <c r="A601" s="5">
        <v>43992</v>
      </c>
      <c r="B601">
        <v>0.72589999999999999</v>
      </c>
      <c r="C601">
        <v>0.87770000000000004</v>
      </c>
      <c r="D601">
        <v>0.72470000000000001</v>
      </c>
      <c r="E601">
        <v>0.84260000000000002</v>
      </c>
      <c r="F601">
        <v>3195931.69</v>
      </c>
      <c r="G601">
        <v>0</v>
      </c>
      <c r="L601" t="s">
        <v>8</v>
      </c>
      <c r="M601" t="s">
        <v>8</v>
      </c>
      <c r="N601" t="s">
        <v>8</v>
      </c>
      <c r="P601">
        <f t="shared" si="990"/>
        <v>0.54117647058823515</v>
      </c>
      <c r="Q601">
        <f t="shared" si="991"/>
        <v>1729563.0322352936</v>
      </c>
      <c r="R601">
        <f t="shared" si="992"/>
        <v>-4792961.7844317351</v>
      </c>
      <c r="S601">
        <f t="shared" si="993"/>
        <v>-47.929617844317349</v>
      </c>
      <c r="T601">
        <f t="shared" si="994"/>
        <v>-4.7929617844317346E-2</v>
      </c>
    </row>
    <row r="602" spans="1:20" x14ac:dyDescent="0.25">
      <c r="A602" s="5">
        <v>43991</v>
      </c>
      <c r="B602">
        <v>0.72119999999999995</v>
      </c>
      <c r="C602">
        <v>0.73619999999999997</v>
      </c>
      <c r="D602">
        <v>0.71</v>
      </c>
      <c r="E602">
        <v>0.72589999999999999</v>
      </c>
      <c r="F602">
        <v>1050872.23</v>
      </c>
      <c r="G602">
        <v>0</v>
      </c>
      <c r="L602" t="s">
        <v>7</v>
      </c>
      <c r="M602" t="s">
        <v>8</v>
      </c>
      <c r="N602" t="s">
        <v>8</v>
      </c>
      <c r="P602">
        <f t="shared" si="990"/>
        <v>0.21374045801526906</v>
      </c>
      <c r="Q602">
        <f t="shared" si="991"/>
        <v>224613.91175572717</v>
      </c>
      <c r="R602">
        <f t="shared" si="992"/>
        <v>-6522524.8166670287</v>
      </c>
      <c r="S602">
        <f t="shared" si="993"/>
        <v>-65.225248166670283</v>
      </c>
      <c r="T602">
        <f t="shared" si="994"/>
        <v>-6.5225248166670288E-2</v>
      </c>
    </row>
    <row r="603" spans="1:20" x14ac:dyDescent="0.25">
      <c r="A603" s="5">
        <v>43990</v>
      </c>
      <c r="B603">
        <v>0.74990000000000001</v>
      </c>
      <c r="C603">
        <v>0.81459999999999999</v>
      </c>
      <c r="D603">
        <v>0.69799999999999995</v>
      </c>
      <c r="E603">
        <v>0.72350000000000003</v>
      </c>
      <c r="F603">
        <v>3410581.95</v>
      </c>
      <c r="G603">
        <v>0</v>
      </c>
      <c r="L603" t="s">
        <v>7</v>
      </c>
      <c r="M603" t="s">
        <v>8</v>
      </c>
      <c r="N603" t="s">
        <v>8</v>
      </c>
      <c r="P603">
        <f t="shared" si="990"/>
        <v>-0.56260720411663689</v>
      </c>
      <c r="Q603">
        <f t="shared" si="991"/>
        <v>-1918817.9753001677</v>
      </c>
      <c r="R603">
        <f t="shared" si="992"/>
        <v>-6747138.7284227563</v>
      </c>
      <c r="S603">
        <f t="shared" si="993"/>
        <v>-67.471387284227561</v>
      </c>
      <c r="T603">
        <f t="shared" si="994"/>
        <v>-6.7471387284227566E-2</v>
      </c>
    </row>
    <row r="604" spans="1:20" x14ac:dyDescent="0.25">
      <c r="A604" s="5">
        <v>43989</v>
      </c>
      <c r="B604">
        <v>0.59889999999999999</v>
      </c>
      <c r="C604">
        <v>0.8165</v>
      </c>
      <c r="D604">
        <v>0.59470000000000001</v>
      </c>
      <c r="E604">
        <v>0.74819999999999998</v>
      </c>
      <c r="F604">
        <v>5300183.4000000004</v>
      </c>
      <c r="G604">
        <v>0</v>
      </c>
      <c r="L604" t="s">
        <v>8</v>
      </c>
      <c r="M604" t="s">
        <v>8</v>
      </c>
      <c r="N604" t="s">
        <v>8</v>
      </c>
      <c r="P604">
        <f t="shared" si="990"/>
        <v>0.38412984670874634</v>
      </c>
      <c r="Q604">
        <f t="shared" si="991"/>
        <v>2035958.636970242</v>
      </c>
      <c r="R604">
        <f t="shared" si="992"/>
        <v>-4828320.7531225886</v>
      </c>
      <c r="S604">
        <f t="shared" si="993"/>
        <v>-48.283207531225884</v>
      </c>
      <c r="T604">
        <f t="shared" si="994"/>
        <v>-4.8283207531225884E-2</v>
      </c>
    </row>
    <row r="605" spans="1:20" x14ac:dyDescent="0.25">
      <c r="A605" s="5">
        <v>43988</v>
      </c>
      <c r="B605">
        <v>0.57799999999999996</v>
      </c>
      <c r="C605">
        <v>0.61660000000000004</v>
      </c>
      <c r="D605">
        <v>0.56950000000000001</v>
      </c>
      <c r="E605">
        <v>0.60009999999999997</v>
      </c>
      <c r="F605">
        <v>574120.93000000005</v>
      </c>
      <c r="G605">
        <v>0</v>
      </c>
      <c r="L605" t="s">
        <v>8</v>
      </c>
      <c r="M605" t="s">
        <v>8</v>
      </c>
      <c r="N605" t="s">
        <v>8</v>
      </c>
      <c r="P605">
        <f t="shared" si="990"/>
        <v>0.29936305732483826</v>
      </c>
      <c r="Q605">
        <f t="shared" si="991"/>
        <v>171870.59687897947</v>
      </c>
      <c r="R605">
        <f t="shared" si="992"/>
        <v>-6864279.3900928311</v>
      </c>
      <c r="S605">
        <f t="shared" si="993"/>
        <v>-68.642793900928311</v>
      </c>
      <c r="T605">
        <f t="shared" si="994"/>
        <v>-6.8642793900928312E-2</v>
      </c>
    </row>
    <row r="606" spans="1:20" x14ac:dyDescent="0.25">
      <c r="A606" s="5">
        <v>43987</v>
      </c>
      <c r="B606">
        <v>0.59519999999999995</v>
      </c>
      <c r="C606">
        <v>0.60050000000000003</v>
      </c>
      <c r="D606">
        <v>0.56969999999999998</v>
      </c>
      <c r="E606">
        <v>0.57889999999999997</v>
      </c>
      <c r="F606">
        <v>511088.94</v>
      </c>
      <c r="G606">
        <v>0</v>
      </c>
      <c r="L606" t="s">
        <v>7</v>
      </c>
      <c r="M606" t="s">
        <v>8</v>
      </c>
      <c r="N606" t="s">
        <v>8</v>
      </c>
      <c r="P606">
        <f t="shared" si="990"/>
        <v>-0.40259740259740445</v>
      </c>
      <c r="Q606">
        <f t="shared" si="991"/>
        <v>-205763.0797402607</v>
      </c>
      <c r="R606">
        <f t="shared" si="992"/>
        <v>-7036149.9869718105</v>
      </c>
      <c r="S606">
        <f t="shared" si="993"/>
        <v>-70.361499869718102</v>
      </c>
      <c r="T606">
        <f t="shared" si="994"/>
        <v>-7.0361499869718097E-2</v>
      </c>
    </row>
    <row r="607" spans="1:20" x14ac:dyDescent="0.25">
      <c r="A607" s="5">
        <v>43986</v>
      </c>
      <c r="B607">
        <v>0.62</v>
      </c>
      <c r="C607">
        <v>0.62860000000000005</v>
      </c>
      <c r="D607">
        <v>0.5827</v>
      </c>
      <c r="E607">
        <v>0.59519999999999995</v>
      </c>
      <c r="F607">
        <v>937187.16</v>
      </c>
      <c r="G607">
        <v>0</v>
      </c>
      <c r="L607" t="s">
        <v>7</v>
      </c>
      <c r="M607" t="s">
        <v>8</v>
      </c>
      <c r="N607" t="s">
        <v>8</v>
      </c>
      <c r="P607">
        <f t="shared" si="990"/>
        <v>-0.45533769063181084</v>
      </c>
      <c r="Q607">
        <f t="shared" si="991"/>
        <v>-426736.63712418545</v>
      </c>
      <c r="R607">
        <f t="shared" si="992"/>
        <v>-6830386.9072315497</v>
      </c>
      <c r="S607">
        <f t="shared" si="993"/>
        <v>-68.303869072315493</v>
      </c>
      <c r="T607">
        <f t="shared" si="994"/>
        <v>-6.830386907231549E-2</v>
      </c>
    </row>
    <row r="608" spans="1:20" x14ac:dyDescent="0.25">
      <c r="A608" s="5">
        <v>43985</v>
      </c>
      <c r="B608">
        <v>0.59199999999999997</v>
      </c>
      <c r="C608">
        <v>0.63</v>
      </c>
      <c r="D608">
        <v>0.58540000000000003</v>
      </c>
      <c r="E608">
        <v>0.62</v>
      </c>
      <c r="F608">
        <v>680715.02</v>
      </c>
      <c r="G608">
        <v>0</v>
      </c>
      <c r="L608" t="s">
        <v>8</v>
      </c>
      <c r="M608" t="s">
        <v>8</v>
      </c>
      <c r="N608" t="s">
        <v>8</v>
      </c>
      <c r="P608">
        <f t="shared" si="990"/>
        <v>0.55156950672645677</v>
      </c>
      <c r="Q608">
        <f t="shared" si="991"/>
        <v>375461.64780269016</v>
      </c>
      <c r="R608">
        <f t="shared" si="992"/>
        <v>-6403650.2701073643</v>
      </c>
      <c r="S608">
        <f t="shared" si="993"/>
        <v>-64.036502701073644</v>
      </c>
      <c r="T608">
        <f t="shared" si="994"/>
        <v>-6.4036502701073639E-2</v>
      </c>
    </row>
    <row r="609" spans="1:20" x14ac:dyDescent="0.25">
      <c r="A609" s="5">
        <v>43984</v>
      </c>
      <c r="B609">
        <v>0.622</v>
      </c>
      <c r="C609">
        <v>0.62390000000000001</v>
      </c>
      <c r="D609">
        <v>0.46110000000000001</v>
      </c>
      <c r="E609">
        <v>0.59189999999999998</v>
      </c>
      <c r="F609">
        <v>1714695.51</v>
      </c>
      <c r="G609">
        <v>0</v>
      </c>
      <c r="L609" t="s">
        <v>7</v>
      </c>
      <c r="M609" t="s">
        <v>7</v>
      </c>
      <c r="N609" t="s">
        <v>7</v>
      </c>
      <c r="P609">
        <f t="shared" si="990"/>
        <v>0.60687960687960651</v>
      </c>
      <c r="Q609">
        <f t="shared" si="991"/>
        <v>1040613.7370270264</v>
      </c>
      <c r="R609">
        <f t="shared" si="992"/>
        <v>-6779111.9179100543</v>
      </c>
      <c r="S609">
        <f t="shared" si="993"/>
        <v>-67.791119179100548</v>
      </c>
      <c r="T609">
        <f t="shared" si="994"/>
        <v>-6.7791119179100551E-2</v>
      </c>
    </row>
    <row r="610" spans="1:20" x14ac:dyDescent="0.25">
      <c r="A610" s="5">
        <v>43983</v>
      </c>
      <c r="B610">
        <v>0.61029999999999995</v>
      </c>
      <c r="C610">
        <v>0.67490000000000006</v>
      </c>
      <c r="D610">
        <v>0.60780000000000001</v>
      </c>
      <c r="E610">
        <v>0.62439999999999996</v>
      </c>
      <c r="F610">
        <v>2069098.51</v>
      </c>
      <c r="G610">
        <v>0</v>
      </c>
      <c r="L610" t="s">
        <v>8</v>
      </c>
      <c r="M610" t="s">
        <v>8</v>
      </c>
      <c r="N610" t="s">
        <v>7</v>
      </c>
      <c r="P610">
        <f t="shared" si="990"/>
        <v>-0.50521609538003176</v>
      </c>
      <c r="Q610">
        <f t="shared" si="991"/>
        <v>-1045341.8701788416</v>
      </c>
      <c r="R610">
        <f t="shared" si="992"/>
        <v>-7819725.654937081</v>
      </c>
      <c r="S610">
        <f t="shared" si="993"/>
        <v>-78.197256549370806</v>
      </c>
      <c r="T610">
        <f t="shared" si="994"/>
        <v>-7.8197256549370806E-2</v>
      </c>
    </row>
    <row r="611" spans="1:20" x14ac:dyDescent="0.25">
      <c r="A611" s="5">
        <v>43982</v>
      </c>
      <c r="B611">
        <v>0.59079999999999999</v>
      </c>
      <c r="C611">
        <v>0.65</v>
      </c>
      <c r="D611">
        <v>0.55120000000000002</v>
      </c>
      <c r="E611">
        <v>0.61360000000000003</v>
      </c>
      <c r="F611">
        <v>2293551.34</v>
      </c>
      <c r="G611">
        <v>0</v>
      </c>
      <c r="L611" t="s">
        <v>7</v>
      </c>
      <c r="M611" t="s">
        <v>7</v>
      </c>
      <c r="N611" t="s">
        <v>7</v>
      </c>
      <c r="P611">
        <f t="shared" si="990"/>
        <v>0.26315789473684237</v>
      </c>
      <c r="Q611">
        <f t="shared" si="991"/>
        <v>603566.14210526377</v>
      </c>
      <c r="R611">
        <f t="shared" si="992"/>
        <v>-6774383.7847582391</v>
      </c>
      <c r="S611">
        <f t="shared" si="993"/>
        <v>-67.743837847582384</v>
      </c>
      <c r="T611">
        <f t="shared" si="994"/>
        <v>-6.774383784758238E-2</v>
      </c>
    </row>
    <row r="612" spans="1:20" x14ac:dyDescent="0.25">
      <c r="A612" s="5">
        <v>43981</v>
      </c>
      <c r="B612">
        <v>0.6</v>
      </c>
      <c r="C612">
        <v>0.67</v>
      </c>
      <c r="D612">
        <v>0.56840000000000002</v>
      </c>
      <c r="E612">
        <v>0.59179999999999999</v>
      </c>
      <c r="F612">
        <v>3184104.6</v>
      </c>
      <c r="G612">
        <v>0</v>
      </c>
      <c r="L612" t="s">
        <v>7</v>
      </c>
      <c r="M612" t="s">
        <v>7</v>
      </c>
      <c r="N612" t="s">
        <v>7</v>
      </c>
      <c r="P612">
        <f t="shared" si="990"/>
        <v>-0.53937007874015808</v>
      </c>
      <c r="Q612">
        <f t="shared" si="991"/>
        <v>-1717410.7488188995</v>
      </c>
      <c r="R612">
        <f t="shared" si="992"/>
        <v>-7377949.9268635027</v>
      </c>
      <c r="S612">
        <f t="shared" si="993"/>
        <v>-73.779499268635021</v>
      </c>
      <c r="T612">
        <f t="shared" si="994"/>
        <v>-7.3779499268635015E-2</v>
      </c>
    </row>
    <row r="613" spans="1:20" x14ac:dyDescent="0.25">
      <c r="A613" s="5">
        <v>43980</v>
      </c>
      <c r="B613">
        <v>0.65639999999999998</v>
      </c>
      <c r="C613">
        <v>0.73919999999999997</v>
      </c>
      <c r="D613">
        <v>0.59489999999999998</v>
      </c>
      <c r="E613">
        <v>0.6</v>
      </c>
      <c r="F613">
        <v>5396832.0800000001</v>
      </c>
      <c r="G613">
        <v>0</v>
      </c>
      <c r="L613" t="s">
        <v>7</v>
      </c>
      <c r="M613" t="s">
        <v>7</v>
      </c>
      <c r="N613" t="s">
        <v>7</v>
      </c>
      <c r="P613">
        <f t="shared" si="990"/>
        <v>-0.92931392931392942</v>
      </c>
      <c r="Q613">
        <f t="shared" si="991"/>
        <v>-5015351.226112267</v>
      </c>
      <c r="R613">
        <f t="shared" si="992"/>
        <v>-5660539.1780446032</v>
      </c>
      <c r="S613">
        <f t="shared" si="993"/>
        <v>-56.605391780446034</v>
      </c>
      <c r="T613">
        <f t="shared" si="994"/>
        <v>-5.6605391780446032E-2</v>
      </c>
    </row>
    <row r="614" spans="1:20" x14ac:dyDescent="0.25">
      <c r="A614" s="5">
        <v>43979</v>
      </c>
      <c r="B614">
        <v>0.5262</v>
      </c>
      <c r="C614">
        <v>0.83079999999999998</v>
      </c>
      <c r="D614">
        <v>0.51910000000000001</v>
      </c>
      <c r="E614">
        <v>0.65459999999999996</v>
      </c>
      <c r="F614">
        <v>11472627.91</v>
      </c>
      <c r="G614">
        <v>0</v>
      </c>
      <c r="L614" t="s">
        <v>8</v>
      </c>
      <c r="M614" t="s">
        <v>8</v>
      </c>
      <c r="N614" t="s">
        <v>8</v>
      </c>
      <c r="P614">
        <f t="shared" si="990"/>
        <v>-0.13057427013153697</v>
      </c>
      <c r="Q614">
        <f t="shared" si="991"/>
        <v>-1498030.0158389504</v>
      </c>
      <c r="R614">
        <f t="shared" si="992"/>
        <v>-645187.95193233655</v>
      </c>
      <c r="S614">
        <f t="shared" si="993"/>
        <v>-6.4518795193233656</v>
      </c>
      <c r="T614">
        <f t="shared" si="994"/>
        <v>-6.4518795193233653E-3</v>
      </c>
    </row>
    <row r="615" spans="1:20" x14ac:dyDescent="0.25">
      <c r="A615" s="5">
        <v>43978</v>
      </c>
      <c r="B615">
        <v>0.42520000000000002</v>
      </c>
      <c r="C615">
        <v>0.58689999999999998</v>
      </c>
      <c r="D615">
        <v>0.41720000000000002</v>
      </c>
      <c r="E615">
        <v>0.52849999999999997</v>
      </c>
      <c r="F615">
        <v>2928345.7</v>
      </c>
      <c r="G615">
        <v>0</v>
      </c>
      <c r="L615" t="s">
        <v>8</v>
      </c>
      <c r="M615" t="s">
        <v>8</v>
      </c>
      <c r="N615" t="s">
        <v>8</v>
      </c>
      <c r="P615">
        <f t="shared" si="990"/>
        <v>0.31172657631113704</v>
      </c>
      <c r="Q615">
        <f t="shared" si="991"/>
        <v>912843.17931644002</v>
      </c>
      <c r="R615">
        <f t="shared" si="992"/>
        <v>852842.06390661385</v>
      </c>
      <c r="S615">
        <f t="shared" si="993"/>
        <v>8.5284206390661392</v>
      </c>
      <c r="T615">
        <f t="shared" si="994"/>
        <v>8.5284206390661386E-3</v>
      </c>
    </row>
    <row r="616" spans="1:20" x14ac:dyDescent="0.25">
      <c r="A616" s="5">
        <v>43977</v>
      </c>
      <c r="B616">
        <v>0.4476</v>
      </c>
      <c r="C616">
        <v>0.45900000000000002</v>
      </c>
      <c r="D616">
        <v>0.41599999999999998</v>
      </c>
      <c r="E616">
        <v>0.42520000000000002</v>
      </c>
      <c r="F616">
        <v>1223760.76</v>
      </c>
      <c r="G616">
        <v>0</v>
      </c>
      <c r="L616" t="s">
        <v>8</v>
      </c>
      <c r="M616" t="s">
        <v>8</v>
      </c>
      <c r="N616" t="s">
        <v>8</v>
      </c>
      <c r="P616">
        <f t="shared" si="990"/>
        <v>-0.57209302325581235</v>
      </c>
      <c r="Q616">
        <f t="shared" si="991"/>
        <v>-700104.99293023057</v>
      </c>
      <c r="R616">
        <f t="shared" si="992"/>
        <v>-60001.115409826161</v>
      </c>
      <c r="S616">
        <f t="shared" si="993"/>
        <v>-0.60001115409826167</v>
      </c>
      <c r="T616">
        <f t="shared" si="994"/>
        <v>-6.0001115409826162E-4</v>
      </c>
    </row>
    <row r="617" spans="1:20" x14ac:dyDescent="0.25">
      <c r="A617" s="5">
        <v>43976</v>
      </c>
      <c r="B617">
        <v>0.39</v>
      </c>
      <c r="C617">
        <v>0.4698</v>
      </c>
      <c r="D617">
        <v>0.38650000000000001</v>
      </c>
      <c r="E617">
        <v>0.4476</v>
      </c>
      <c r="F617">
        <v>1848495.21</v>
      </c>
      <c r="G617">
        <v>0</v>
      </c>
      <c r="L617" t="s">
        <v>7</v>
      </c>
      <c r="M617" t="s">
        <v>7</v>
      </c>
      <c r="N617" t="s">
        <v>8</v>
      </c>
      <c r="P617">
        <f t="shared" si="990"/>
        <v>0.46698679471788712</v>
      </c>
      <c r="Q617">
        <f t="shared" si="991"/>
        <v>863222.85316926765</v>
      </c>
      <c r="R617">
        <f t="shared" si="992"/>
        <v>640103.87752040441</v>
      </c>
      <c r="S617">
        <f t="shared" si="993"/>
        <v>6.4010387752040439</v>
      </c>
      <c r="T617">
        <f t="shared" si="994"/>
        <v>6.4010387752040437E-3</v>
      </c>
    </row>
    <row r="618" spans="1:20" x14ac:dyDescent="0.25">
      <c r="A618" s="5">
        <v>43975</v>
      </c>
      <c r="B618">
        <v>0.37259999999999999</v>
      </c>
      <c r="C618">
        <v>0.4667</v>
      </c>
      <c r="D618">
        <v>0.3649</v>
      </c>
      <c r="E618">
        <v>0.39150000000000001</v>
      </c>
      <c r="F618">
        <v>5709237.9699999997</v>
      </c>
      <c r="G618">
        <v>0</v>
      </c>
      <c r="L618" t="s">
        <v>8</v>
      </c>
      <c r="M618" t="s">
        <v>8</v>
      </c>
      <c r="N618" t="s">
        <v>8</v>
      </c>
      <c r="P618">
        <f t="shared" si="990"/>
        <v>-0.47740667976424339</v>
      </c>
      <c r="Q618">
        <f t="shared" si="991"/>
        <v>-2725628.3432416487</v>
      </c>
      <c r="R618">
        <f t="shared" si="992"/>
        <v>-223118.97564886324</v>
      </c>
      <c r="S618">
        <f t="shared" si="993"/>
        <v>-2.2311897564886323</v>
      </c>
      <c r="T618">
        <f t="shared" si="994"/>
        <v>-2.2311897564886323E-3</v>
      </c>
    </row>
    <row r="619" spans="1:20" x14ac:dyDescent="0.25">
      <c r="A619" s="5">
        <v>43974</v>
      </c>
      <c r="B619">
        <v>0.29149999999999998</v>
      </c>
      <c r="C619">
        <v>0.42299999999999999</v>
      </c>
      <c r="D619">
        <v>0.29010000000000002</v>
      </c>
      <c r="E619">
        <v>0.37209999999999999</v>
      </c>
      <c r="F619">
        <v>8408936.3699999992</v>
      </c>
      <c r="G619">
        <v>0</v>
      </c>
      <c r="L619" t="s">
        <v>8</v>
      </c>
      <c r="M619" t="s">
        <v>8</v>
      </c>
      <c r="N619" t="s">
        <v>8</v>
      </c>
      <c r="P619">
        <f t="shared" si="990"/>
        <v>0.23401053423626764</v>
      </c>
      <c r="Q619">
        <f t="shared" si="991"/>
        <v>1967779.6923024808</v>
      </c>
      <c r="R619">
        <f t="shared" si="992"/>
        <v>2502509.3675927855</v>
      </c>
      <c r="S619">
        <f t="shared" si="993"/>
        <v>25.025093675927856</v>
      </c>
      <c r="T619">
        <f t="shared" si="994"/>
        <v>2.5025093675927857E-2</v>
      </c>
    </row>
    <row r="620" spans="1:20" x14ac:dyDescent="0.25">
      <c r="A620" s="5">
        <v>43973</v>
      </c>
      <c r="B620">
        <v>0.25900000000000001</v>
      </c>
      <c r="C620">
        <v>0.31</v>
      </c>
      <c r="D620">
        <v>0.2571</v>
      </c>
      <c r="E620">
        <v>0.29149999999999998</v>
      </c>
      <c r="F620">
        <v>1736851.61</v>
      </c>
      <c r="G620">
        <v>0</v>
      </c>
      <c r="L620" t="s">
        <v>8</v>
      </c>
      <c r="M620" t="s">
        <v>8</v>
      </c>
      <c r="N620" t="s">
        <v>7</v>
      </c>
      <c r="P620">
        <f t="shared" si="990"/>
        <v>0.30056710775047202</v>
      </c>
      <c r="Q620">
        <f t="shared" si="991"/>
        <v>522040.46500945085</v>
      </c>
      <c r="R620">
        <f t="shared" si="992"/>
        <v>534729.67529030493</v>
      </c>
      <c r="S620">
        <f t="shared" si="993"/>
        <v>5.3472967529030493</v>
      </c>
      <c r="T620">
        <f t="shared" si="994"/>
        <v>5.3472967529030494E-3</v>
      </c>
    </row>
    <row r="621" spans="1:20" x14ac:dyDescent="0.25">
      <c r="A621" s="5">
        <v>43972</v>
      </c>
      <c r="B621">
        <v>0.27300000000000002</v>
      </c>
      <c r="C621">
        <v>0.2747</v>
      </c>
      <c r="D621">
        <v>0.24610000000000001</v>
      </c>
      <c r="E621">
        <v>0.26040000000000002</v>
      </c>
      <c r="F621">
        <v>886041.26</v>
      </c>
      <c r="G621">
        <v>0</v>
      </c>
      <c r="L621" t="s">
        <v>7</v>
      </c>
      <c r="M621" t="s">
        <v>7</v>
      </c>
      <c r="N621" t="s">
        <v>7</v>
      </c>
      <c r="P621">
        <f t="shared" si="990"/>
        <v>9.7047467187513728E-16</v>
      </c>
      <c r="Q621">
        <f t="shared" si="991"/>
        <v>8.5988060106633323E-10</v>
      </c>
      <c r="R621">
        <f t="shared" si="992"/>
        <v>12689.210280854068</v>
      </c>
      <c r="S621">
        <f t="shared" si="993"/>
        <v>0.12689210280854069</v>
      </c>
      <c r="T621">
        <f t="shared" si="994"/>
        <v>1.2689210280854068E-4</v>
      </c>
    </row>
    <row r="622" spans="1:20" x14ac:dyDescent="0.25">
      <c r="A622" s="5">
        <v>43971</v>
      </c>
      <c r="B622">
        <v>0.28999999999999998</v>
      </c>
      <c r="C622">
        <v>0.29199999999999998</v>
      </c>
      <c r="D622">
        <v>0.26850000000000002</v>
      </c>
      <c r="E622">
        <v>0.27279999999999999</v>
      </c>
      <c r="F622">
        <v>1031648.42</v>
      </c>
      <c r="G622">
        <v>0</v>
      </c>
      <c r="L622" t="s">
        <v>7</v>
      </c>
      <c r="M622" t="s">
        <v>7</v>
      </c>
      <c r="N622" t="s">
        <v>8</v>
      </c>
      <c r="P622">
        <f t="shared" si="990"/>
        <v>-0.63404255319149139</v>
      </c>
      <c r="Q622">
        <f t="shared" si="991"/>
        <v>-654108.99821276811</v>
      </c>
      <c r="R622">
        <f t="shared" si="992"/>
        <v>12689.210280853207</v>
      </c>
      <c r="S622">
        <f t="shared" si="993"/>
        <v>0.12689210280853208</v>
      </c>
      <c r="T622">
        <f t="shared" si="994"/>
        <v>1.2689210280853209E-4</v>
      </c>
    </row>
    <row r="623" spans="1:20" x14ac:dyDescent="0.25">
      <c r="A623" s="5">
        <v>43970</v>
      </c>
      <c r="B623">
        <v>0.31009999999999999</v>
      </c>
      <c r="C623">
        <v>0.31019999999999998</v>
      </c>
      <c r="D623">
        <v>0.28149999999999997</v>
      </c>
      <c r="E623">
        <v>0.28999999999999998</v>
      </c>
      <c r="F623">
        <v>2140206.9500000002</v>
      </c>
      <c r="G623">
        <v>0</v>
      </c>
      <c r="L623" t="s">
        <v>7</v>
      </c>
      <c r="M623" t="s">
        <v>7</v>
      </c>
      <c r="N623" t="s">
        <v>8</v>
      </c>
      <c r="P623">
        <f t="shared" si="990"/>
        <v>-0.40766550522648037</v>
      </c>
      <c r="Q623">
        <f t="shared" si="991"/>
        <v>-872488.54756097472</v>
      </c>
      <c r="R623">
        <f t="shared" si="992"/>
        <v>666798.20849362132</v>
      </c>
      <c r="S623">
        <f t="shared" si="993"/>
        <v>6.667982084936213</v>
      </c>
      <c r="T623">
        <f t="shared" si="994"/>
        <v>6.6679820849362128E-3</v>
      </c>
    </row>
    <row r="624" spans="1:20" x14ac:dyDescent="0.25">
      <c r="A624" s="5">
        <v>43969</v>
      </c>
      <c r="B624">
        <v>0.2838</v>
      </c>
      <c r="C624">
        <v>0.35970000000000002</v>
      </c>
      <c r="D624">
        <v>0.2641</v>
      </c>
      <c r="E624">
        <v>0.30980000000000002</v>
      </c>
      <c r="F624">
        <v>6664958.0199999996</v>
      </c>
      <c r="G624">
        <v>0</v>
      </c>
      <c r="L624" t="s">
        <v>8</v>
      </c>
      <c r="M624" t="s">
        <v>8</v>
      </c>
      <c r="N624" t="s">
        <v>8</v>
      </c>
      <c r="P624">
        <f t="shared" si="990"/>
        <v>-4.3933054393305235E-2</v>
      </c>
      <c r="Q624">
        <f t="shared" si="991"/>
        <v>-292811.96322175593</v>
      </c>
      <c r="R624">
        <f t="shared" si="992"/>
        <v>1539286.756054596</v>
      </c>
      <c r="S624">
        <f t="shared" si="993"/>
        <v>15.392867560545961</v>
      </c>
      <c r="T624">
        <f t="shared" si="994"/>
        <v>1.5392867560545961E-2</v>
      </c>
    </row>
    <row r="625" spans="1:20" x14ac:dyDescent="0.25">
      <c r="A625" s="5">
        <v>43968</v>
      </c>
      <c r="B625">
        <v>0.20780000000000001</v>
      </c>
      <c r="C625">
        <v>0.29899999999999999</v>
      </c>
      <c r="D625">
        <v>0.2049</v>
      </c>
      <c r="E625">
        <v>0.28149999999999997</v>
      </c>
      <c r="F625">
        <v>3645325.87</v>
      </c>
      <c r="G625">
        <v>0</v>
      </c>
      <c r="L625" t="s">
        <v>8</v>
      </c>
      <c r="M625" t="s">
        <v>8</v>
      </c>
      <c r="N625" t="s">
        <v>8</v>
      </c>
      <c r="P625">
        <f t="shared" si="990"/>
        <v>0.62805526036131742</v>
      </c>
      <c r="Q625">
        <f t="shared" si="991"/>
        <v>2289466.0883846958</v>
      </c>
      <c r="R625">
        <f t="shared" si="992"/>
        <v>1832098.7192763521</v>
      </c>
      <c r="S625">
        <f t="shared" si="993"/>
        <v>18.320987192763521</v>
      </c>
      <c r="T625">
        <f t="shared" si="994"/>
        <v>1.8320987192763521E-2</v>
      </c>
    </row>
    <row r="626" spans="1:20" x14ac:dyDescent="0.25">
      <c r="A626" s="5">
        <v>43967</v>
      </c>
      <c r="B626">
        <v>0.19589999999999999</v>
      </c>
      <c r="C626">
        <v>0.20930000000000001</v>
      </c>
      <c r="D626">
        <v>0.19570000000000001</v>
      </c>
      <c r="E626">
        <v>0.20760000000000001</v>
      </c>
      <c r="F626">
        <v>201592.58</v>
      </c>
      <c r="G626">
        <v>0</v>
      </c>
      <c r="L626" t="s">
        <v>7</v>
      </c>
      <c r="M626" t="s">
        <v>8</v>
      </c>
      <c r="N626" t="s">
        <v>7</v>
      </c>
      <c r="P626">
        <f t="shared" si="990"/>
        <v>0.749999999999999</v>
      </c>
      <c r="Q626">
        <f t="shared" si="991"/>
        <v>151194.43499999979</v>
      </c>
      <c r="R626">
        <f t="shared" si="992"/>
        <v>-457367.36910834373</v>
      </c>
      <c r="S626">
        <f t="shared" si="993"/>
        <v>-4.573673691083437</v>
      </c>
      <c r="T626">
        <f t="shared" si="994"/>
        <v>-4.5736736910834373E-3</v>
      </c>
    </row>
    <row r="627" spans="1:20" x14ac:dyDescent="0.25">
      <c r="A627" s="5">
        <v>43966</v>
      </c>
      <c r="B627">
        <v>0.20250000000000001</v>
      </c>
      <c r="C627">
        <v>0.21779999999999999</v>
      </c>
      <c r="D627">
        <v>0.19239999999999999</v>
      </c>
      <c r="E627">
        <v>0.1961</v>
      </c>
      <c r="F627">
        <v>204299.1</v>
      </c>
      <c r="G627">
        <v>0</v>
      </c>
      <c r="L627" t="s">
        <v>8</v>
      </c>
      <c r="M627" t="s">
        <v>8</v>
      </c>
      <c r="N627" t="s">
        <v>7</v>
      </c>
      <c r="P627">
        <f t="shared" si="990"/>
        <v>-0.70866141732283405</v>
      </c>
      <c r="Q627">
        <f t="shared" si="991"/>
        <v>-144778.88976377941</v>
      </c>
      <c r="R627">
        <f t="shared" si="992"/>
        <v>-608561.80410834355</v>
      </c>
      <c r="S627">
        <f t="shared" si="993"/>
        <v>-6.0856180410834355</v>
      </c>
      <c r="T627">
        <f t="shared" si="994"/>
        <v>-6.0856180410834354E-3</v>
      </c>
    </row>
    <row r="628" spans="1:20" x14ac:dyDescent="0.25">
      <c r="A628" s="5">
        <v>43965</v>
      </c>
      <c r="B628">
        <v>0.19489999999999999</v>
      </c>
      <c r="C628">
        <v>0.20250000000000001</v>
      </c>
      <c r="D628">
        <v>0.1923</v>
      </c>
      <c r="E628">
        <v>0.2024</v>
      </c>
      <c r="F628">
        <v>147313.64000000001</v>
      </c>
      <c r="G628">
        <v>0</v>
      </c>
      <c r="L628" t="s">
        <v>8</v>
      </c>
      <c r="M628" t="s">
        <v>7</v>
      </c>
      <c r="N628" t="s">
        <v>7</v>
      </c>
      <c r="P628">
        <f t="shared" si="990"/>
        <v>0.98039215686274184</v>
      </c>
      <c r="Q628">
        <f t="shared" si="991"/>
        <v>144425.13725490149</v>
      </c>
      <c r="R628">
        <f t="shared" si="992"/>
        <v>-463782.9143445642</v>
      </c>
      <c r="S628">
        <f t="shared" si="993"/>
        <v>-4.637829143445642</v>
      </c>
      <c r="T628">
        <f t="shared" si="994"/>
        <v>-4.6378291434456421E-3</v>
      </c>
    </row>
    <row r="629" spans="1:20" x14ac:dyDescent="0.25">
      <c r="A629" s="5">
        <v>43964</v>
      </c>
      <c r="B629">
        <v>0.1895</v>
      </c>
      <c r="C629">
        <v>0.1966</v>
      </c>
      <c r="D629">
        <v>0.18870000000000001</v>
      </c>
      <c r="E629">
        <v>0.19600000000000001</v>
      </c>
      <c r="F629">
        <v>67446.33</v>
      </c>
      <c r="G629">
        <v>0</v>
      </c>
      <c r="L629" t="s">
        <v>8</v>
      </c>
      <c r="M629" t="s">
        <v>7</v>
      </c>
      <c r="N629" t="s">
        <v>7</v>
      </c>
      <c r="P629">
        <f t="shared" si="990"/>
        <v>0.84810126582278733</v>
      </c>
      <c r="Q629">
        <f t="shared" si="991"/>
        <v>57201.31784810144</v>
      </c>
      <c r="R629">
        <f t="shared" si="992"/>
        <v>-608208.05159946566</v>
      </c>
      <c r="S629">
        <f t="shared" si="993"/>
        <v>-6.0820805159946563</v>
      </c>
      <c r="T629">
        <f t="shared" si="994"/>
        <v>-6.082080515994656E-3</v>
      </c>
    </row>
    <row r="630" spans="1:20" x14ac:dyDescent="0.25">
      <c r="A630" s="5">
        <v>43963</v>
      </c>
      <c r="B630">
        <v>0.1862</v>
      </c>
      <c r="C630">
        <v>0.19389999999999999</v>
      </c>
      <c r="D630">
        <v>0.1845</v>
      </c>
      <c r="E630">
        <v>0.1895</v>
      </c>
      <c r="F630">
        <v>61338.19</v>
      </c>
      <c r="G630">
        <v>0</v>
      </c>
      <c r="L630" t="s">
        <v>8</v>
      </c>
      <c r="M630" t="s">
        <v>7</v>
      </c>
      <c r="N630" t="s">
        <v>7</v>
      </c>
      <c r="P630">
        <f t="shared" si="990"/>
        <v>6.3829787234044436E-2</v>
      </c>
      <c r="Q630">
        <f t="shared" si="991"/>
        <v>3915.2036170213923</v>
      </c>
      <c r="R630">
        <f t="shared" si="992"/>
        <v>-665409.36944756715</v>
      </c>
      <c r="S630">
        <f t="shared" si="993"/>
        <v>-6.6540936944756712</v>
      </c>
      <c r="T630">
        <f t="shared" si="994"/>
        <v>-6.6540936944756712E-3</v>
      </c>
    </row>
    <row r="631" spans="1:20" x14ac:dyDescent="0.25">
      <c r="A631" s="5">
        <v>43962</v>
      </c>
      <c r="B631">
        <v>0.18959999999999999</v>
      </c>
      <c r="C631">
        <v>0.19220000000000001</v>
      </c>
      <c r="D631">
        <v>0.17449999999999999</v>
      </c>
      <c r="E631">
        <v>0.18640000000000001</v>
      </c>
      <c r="F631">
        <v>169383.08</v>
      </c>
      <c r="G631">
        <v>0</v>
      </c>
      <c r="L631" t="s">
        <v>7</v>
      </c>
      <c r="M631" t="s">
        <v>7</v>
      </c>
      <c r="N631" t="s">
        <v>7</v>
      </c>
      <c r="P631">
        <f t="shared" si="990"/>
        <v>0.34463276836158274</v>
      </c>
      <c r="Q631">
        <f t="shared" si="991"/>
        <v>58374.959774011433</v>
      </c>
      <c r="R631">
        <f t="shared" si="992"/>
        <v>-669324.57306458859</v>
      </c>
      <c r="S631">
        <f t="shared" si="993"/>
        <v>-6.6932457306458861</v>
      </c>
      <c r="T631">
        <f t="shared" si="994"/>
        <v>-6.6932457306458863E-3</v>
      </c>
    </row>
    <row r="632" spans="1:20" x14ac:dyDescent="0.25">
      <c r="A632" s="5">
        <v>43961</v>
      </c>
      <c r="B632">
        <v>0.20419999999999999</v>
      </c>
      <c r="C632">
        <v>0.20419999999999999</v>
      </c>
      <c r="D632">
        <v>0.17829999999999999</v>
      </c>
      <c r="E632">
        <v>0.18820000000000001</v>
      </c>
      <c r="F632">
        <v>151758.56</v>
      </c>
      <c r="G632">
        <v>0</v>
      </c>
      <c r="L632" t="s">
        <v>7</v>
      </c>
      <c r="M632" t="s">
        <v>7</v>
      </c>
      <c r="N632" t="s">
        <v>7</v>
      </c>
      <c r="P632">
        <f t="shared" si="990"/>
        <v>-0.23552123552123416</v>
      </c>
      <c r="Q632">
        <f t="shared" si="991"/>
        <v>-35742.363552123345</v>
      </c>
      <c r="R632">
        <f t="shared" si="992"/>
        <v>-727699.53283859999</v>
      </c>
      <c r="S632">
        <f t="shared" si="993"/>
        <v>-7.2769953283859996</v>
      </c>
      <c r="T632">
        <f t="shared" si="994"/>
        <v>-7.2769953283859995E-3</v>
      </c>
    </row>
    <row r="633" spans="1:20" x14ac:dyDescent="0.25">
      <c r="A633" s="5">
        <v>43960</v>
      </c>
      <c r="B633">
        <v>0.2077</v>
      </c>
      <c r="C633">
        <v>0.21149999999999999</v>
      </c>
      <c r="D633">
        <v>0.20300000000000001</v>
      </c>
      <c r="E633">
        <v>0.20480000000000001</v>
      </c>
      <c r="F633">
        <v>62576.73</v>
      </c>
      <c r="G633">
        <v>0</v>
      </c>
      <c r="L633" t="s">
        <v>8</v>
      </c>
      <c r="M633" t="s">
        <v>7</v>
      </c>
      <c r="N633" t="s">
        <v>8</v>
      </c>
      <c r="P633">
        <f t="shared" si="990"/>
        <v>-0.57647058823529407</v>
      </c>
      <c r="Q633">
        <f t="shared" si="991"/>
        <v>-36073.644352941177</v>
      </c>
      <c r="R633">
        <f t="shared" si="992"/>
        <v>-691957.16928647668</v>
      </c>
      <c r="S633">
        <f t="shared" si="993"/>
        <v>-6.9195716928647668</v>
      </c>
      <c r="T633">
        <f t="shared" si="994"/>
        <v>-6.9195716928647667E-3</v>
      </c>
    </row>
    <row r="634" spans="1:20" x14ac:dyDescent="0.25">
      <c r="A634" s="5">
        <v>43959</v>
      </c>
      <c r="B634">
        <v>0.2036</v>
      </c>
      <c r="C634">
        <v>0.2094</v>
      </c>
      <c r="D634">
        <v>0.1981</v>
      </c>
      <c r="E634">
        <v>0.20780000000000001</v>
      </c>
      <c r="F634">
        <v>96941.4</v>
      </c>
      <c r="G634">
        <v>0</v>
      </c>
      <c r="L634" t="s">
        <v>8</v>
      </c>
      <c r="M634" t="s">
        <v>7</v>
      </c>
      <c r="N634" t="s">
        <v>8</v>
      </c>
      <c r="P634">
        <f t="shared" si="990"/>
        <v>0.71681415929203718</v>
      </c>
      <c r="Q634">
        <f t="shared" si="991"/>
        <v>69488.968141593083</v>
      </c>
      <c r="R634">
        <f t="shared" si="992"/>
        <v>-655883.52493353549</v>
      </c>
      <c r="S634">
        <f t="shared" si="993"/>
        <v>-6.5588352493353552</v>
      </c>
      <c r="T634">
        <f t="shared" si="994"/>
        <v>-6.5588352493353552E-3</v>
      </c>
    </row>
    <row r="635" spans="1:20" x14ac:dyDescent="0.25">
      <c r="A635" s="5">
        <v>43958</v>
      </c>
      <c r="B635">
        <v>0.19500000000000001</v>
      </c>
      <c r="C635">
        <v>0.20610000000000001</v>
      </c>
      <c r="D635">
        <v>0.19500000000000001</v>
      </c>
      <c r="E635">
        <v>0.20499999999999999</v>
      </c>
      <c r="F635">
        <v>146450.67000000001</v>
      </c>
      <c r="G635">
        <v>0</v>
      </c>
      <c r="L635" t="s">
        <v>8</v>
      </c>
      <c r="M635" t="s">
        <v>7</v>
      </c>
      <c r="N635" t="s">
        <v>8</v>
      </c>
      <c r="P635">
        <f t="shared" si="990"/>
        <v>0.80180180180179861</v>
      </c>
      <c r="Q635">
        <f t="shared" si="991"/>
        <v>117424.41108108063</v>
      </c>
      <c r="R635">
        <f t="shared" si="992"/>
        <v>-725372.49307512853</v>
      </c>
      <c r="S635">
        <f t="shared" si="993"/>
        <v>-7.253724930751285</v>
      </c>
      <c r="T635">
        <f t="shared" si="994"/>
        <v>-7.2537249307512847E-3</v>
      </c>
    </row>
    <row r="636" spans="1:20" x14ac:dyDescent="0.25">
      <c r="A636" s="5">
        <v>43957</v>
      </c>
      <c r="B636">
        <v>0.1993</v>
      </c>
      <c r="C636">
        <v>0.2054</v>
      </c>
      <c r="D636">
        <v>0.19500000000000001</v>
      </c>
      <c r="E636">
        <v>0.19500000000000001</v>
      </c>
      <c r="F636">
        <v>95032.41</v>
      </c>
      <c r="G636">
        <v>0</v>
      </c>
      <c r="L636" t="s">
        <v>8</v>
      </c>
      <c r="M636" t="s">
        <v>7</v>
      </c>
      <c r="N636" t="s">
        <v>8</v>
      </c>
      <c r="P636">
        <f t="shared" si="990"/>
        <v>-1</v>
      </c>
      <c r="Q636">
        <f t="shared" si="991"/>
        <v>-95032.41</v>
      </c>
      <c r="R636">
        <f t="shared" si="992"/>
        <v>-842796.9041562092</v>
      </c>
      <c r="S636">
        <f t="shared" si="993"/>
        <v>-8.4279690415620916</v>
      </c>
      <c r="T636">
        <f t="shared" si="994"/>
        <v>-8.427969041562091E-3</v>
      </c>
    </row>
    <row r="637" spans="1:20" x14ac:dyDescent="0.25">
      <c r="A637" s="5">
        <v>43956</v>
      </c>
      <c r="B637">
        <v>0.19919999999999999</v>
      </c>
      <c r="C637">
        <v>0.2024</v>
      </c>
      <c r="D637">
        <v>0.19389999999999999</v>
      </c>
      <c r="E637">
        <v>0.1993</v>
      </c>
      <c r="F637">
        <v>84316.71</v>
      </c>
      <c r="G637">
        <v>0</v>
      </c>
      <c r="L637" t="s">
        <v>7</v>
      </c>
      <c r="M637" t="s">
        <v>7</v>
      </c>
      <c r="N637" t="s">
        <v>8</v>
      </c>
      <c r="P637">
        <f t="shared" si="990"/>
        <v>0.27058823529412024</v>
      </c>
      <c r="Q637">
        <f t="shared" si="991"/>
        <v>22815.109764706103</v>
      </c>
      <c r="R637">
        <f t="shared" si="992"/>
        <v>-747764.49415620917</v>
      </c>
      <c r="S637">
        <f t="shared" si="993"/>
        <v>-7.477644941562092</v>
      </c>
      <c r="T637">
        <f t="shared" si="994"/>
        <v>-7.4776449415620916E-3</v>
      </c>
    </row>
    <row r="638" spans="1:20" x14ac:dyDescent="0.25">
      <c r="A638" s="5">
        <v>43955</v>
      </c>
      <c r="B638">
        <v>0.20319999999999999</v>
      </c>
      <c r="C638">
        <v>0.20319999999999999</v>
      </c>
      <c r="D638">
        <v>0.18959999999999999</v>
      </c>
      <c r="E638">
        <v>0.1988</v>
      </c>
      <c r="F638">
        <v>126125.56</v>
      </c>
      <c r="G638">
        <v>0</v>
      </c>
      <c r="L638" t="s">
        <v>7</v>
      </c>
      <c r="M638" t="s">
        <v>7</v>
      </c>
      <c r="N638" t="s">
        <v>8</v>
      </c>
      <c r="P638">
        <f t="shared" si="990"/>
        <v>0.35294117647059015</v>
      </c>
      <c r="Q638">
        <f t="shared" si="991"/>
        <v>44514.903529412004</v>
      </c>
      <c r="R638">
        <f t="shared" si="992"/>
        <v>-770579.60392091528</v>
      </c>
      <c r="S638">
        <f t="shared" si="993"/>
        <v>-7.7057960392091527</v>
      </c>
      <c r="T638">
        <f t="shared" si="994"/>
        <v>-7.7057960392091524E-3</v>
      </c>
    </row>
    <row r="639" spans="1:20" x14ac:dyDescent="0.25">
      <c r="A639" s="5">
        <v>43954</v>
      </c>
      <c r="B639">
        <v>0.2137</v>
      </c>
      <c r="C639">
        <v>0.21679999999999999</v>
      </c>
      <c r="D639">
        <v>0.19989999999999999</v>
      </c>
      <c r="E639">
        <v>0.20319999999999999</v>
      </c>
      <c r="F639">
        <v>340565.71</v>
      </c>
      <c r="G639">
        <v>0</v>
      </c>
      <c r="L639" t="s">
        <v>7</v>
      </c>
      <c r="M639" t="s">
        <v>7</v>
      </c>
      <c r="N639" t="s">
        <v>8</v>
      </c>
      <c r="P639">
        <f t="shared" si="990"/>
        <v>-0.609467455621302</v>
      </c>
      <c r="Q639">
        <f t="shared" si="991"/>
        <v>-207563.71674556221</v>
      </c>
      <c r="R639">
        <f t="shared" si="992"/>
        <v>-815094.50745032728</v>
      </c>
      <c r="S639">
        <f t="shared" si="993"/>
        <v>-8.150945074503273</v>
      </c>
      <c r="T639">
        <f t="shared" si="994"/>
        <v>-8.1509450745032731E-3</v>
      </c>
    </row>
    <row r="640" spans="1:20" x14ac:dyDescent="0.25">
      <c r="A640" s="5">
        <v>43953</v>
      </c>
      <c r="B640">
        <v>0.2089</v>
      </c>
      <c r="C640">
        <v>0.22</v>
      </c>
      <c r="D640">
        <v>0.20810000000000001</v>
      </c>
      <c r="E640">
        <v>0.21429999999999999</v>
      </c>
      <c r="F640">
        <v>677731.67</v>
      </c>
      <c r="G640">
        <v>0</v>
      </c>
      <c r="L640" t="s">
        <v>8</v>
      </c>
      <c r="M640" t="s">
        <v>7</v>
      </c>
      <c r="N640" t="s">
        <v>8</v>
      </c>
      <c r="P640">
        <f t="shared" si="990"/>
        <v>4.2016806722686803E-2</v>
      </c>
      <c r="Q640">
        <f t="shared" si="991"/>
        <v>28476.120588233756</v>
      </c>
      <c r="R640">
        <f t="shared" si="992"/>
        <v>-607530.79070476512</v>
      </c>
      <c r="S640">
        <f t="shared" si="993"/>
        <v>-6.0753079070476517</v>
      </c>
      <c r="T640">
        <f t="shared" si="994"/>
        <v>-6.0753079070476517E-3</v>
      </c>
    </row>
    <row r="641" spans="1:20" x14ac:dyDescent="0.25">
      <c r="A641" s="5">
        <v>43952</v>
      </c>
      <c r="B641">
        <v>0.20319999999999999</v>
      </c>
      <c r="C641">
        <v>0.21440000000000001</v>
      </c>
      <c r="D641">
        <v>0.20319999999999999</v>
      </c>
      <c r="E641">
        <v>0.2099</v>
      </c>
      <c r="F641">
        <v>104425.27</v>
      </c>
      <c r="G641">
        <v>0</v>
      </c>
      <c r="L641" t="s">
        <v>7</v>
      </c>
      <c r="M641" t="s">
        <v>7</v>
      </c>
      <c r="N641" t="s">
        <v>8</v>
      </c>
      <c r="P641">
        <f t="shared" si="990"/>
        <v>0.19642857142857181</v>
      </c>
      <c r="Q641">
        <f t="shared" si="991"/>
        <v>20512.106607142898</v>
      </c>
      <c r="R641">
        <f t="shared" si="992"/>
        <v>-636006.91129299894</v>
      </c>
      <c r="S641">
        <f t="shared" si="993"/>
        <v>-6.3600691129299891</v>
      </c>
      <c r="T641">
        <f t="shared" si="994"/>
        <v>-6.3600691129299895E-3</v>
      </c>
    </row>
    <row r="642" spans="1:20" x14ac:dyDescent="0.25">
      <c r="A642" s="5">
        <v>43951</v>
      </c>
      <c r="B642">
        <v>0.214</v>
      </c>
      <c r="C642">
        <v>0.22650000000000001</v>
      </c>
      <c r="D642">
        <v>0.19800000000000001</v>
      </c>
      <c r="E642">
        <v>0.20469999999999999</v>
      </c>
      <c r="F642">
        <v>357898.42</v>
      </c>
      <c r="G642">
        <v>0</v>
      </c>
      <c r="L642" t="s">
        <v>8</v>
      </c>
      <c r="M642" t="s">
        <v>7</v>
      </c>
      <c r="N642" t="s">
        <v>8</v>
      </c>
      <c r="P642">
        <f t="shared" si="990"/>
        <v>-0.52982456140350986</v>
      </c>
      <c r="Q642">
        <f t="shared" si="991"/>
        <v>-189623.37340350915</v>
      </c>
      <c r="R642">
        <f t="shared" si="992"/>
        <v>-656519.01790014189</v>
      </c>
      <c r="S642">
        <f t="shared" si="993"/>
        <v>-6.5651901790014184</v>
      </c>
      <c r="T642">
        <f t="shared" si="994"/>
        <v>-6.5651901790014181E-3</v>
      </c>
    </row>
    <row r="643" spans="1:20" x14ac:dyDescent="0.25">
      <c r="A643" s="5">
        <v>43950</v>
      </c>
      <c r="B643">
        <v>0.20599999999999999</v>
      </c>
      <c r="C643">
        <v>0.2205</v>
      </c>
      <c r="D643">
        <v>0.20349999999999999</v>
      </c>
      <c r="E643">
        <v>0.214</v>
      </c>
      <c r="F643">
        <v>669835.62</v>
      </c>
      <c r="G643">
        <v>0</v>
      </c>
      <c r="L643" t="s">
        <v>8</v>
      </c>
      <c r="M643" t="s">
        <v>7</v>
      </c>
      <c r="N643" t="s">
        <v>8</v>
      </c>
      <c r="P643">
        <f t="shared" si="990"/>
        <v>0.23529411764705882</v>
      </c>
      <c r="Q643">
        <f t="shared" si="991"/>
        <v>157608.38117647058</v>
      </c>
      <c r="R643">
        <f t="shared" si="992"/>
        <v>-466895.64449663274</v>
      </c>
      <c r="S643">
        <f t="shared" si="993"/>
        <v>-4.6689564449663274</v>
      </c>
      <c r="T643">
        <f t="shared" si="994"/>
        <v>-4.6689564449663278E-3</v>
      </c>
    </row>
    <row r="644" spans="1:20" x14ac:dyDescent="0.25">
      <c r="A644" s="5">
        <v>43949</v>
      </c>
      <c r="B644">
        <v>0.19980000000000001</v>
      </c>
      <c r="C644">
        <v>0.20810000000000001</v>
      </c>
      <c r="D644">
        <v>0.1968</v>
      </c>
      <c r="E644">
        <v>0.20599999999999999</v>
      </c>
      <c r="F644">
        <v>278293.98</v>
      </c>
      <c r="G644">
        <v>0</v>
      </c>
      <c r="L644" t="s">
        <v>7</v>
      </c>
      <c r="M644" t="s">
        <v>7</v>
      </c>
      <c r="N644" t="s">
        <v>8</v>
      </c>
      <c r="P644">
        <f t="shared" si="990"/>
        <v>0.62831858407079333</v>
      </c>
      <c r="Q644">
        <f t="shared" si="991"/>
        <v>174857.27946902567</v>
      </c>
      <c r="R644">
        <f t="shared" si="992"/>
        <v>-624504.02567310329</v>
      </c>
      <c r="S644">
        <f t="shared" si="993"/>
        <v>-6.2450402567310332</v>
      </c>
      <c r="T644">
        <f t="shared" si="994"/>
        <v>-6.2450402567310334E-3</v>
      </c>
    </row>
    <row r="645" spans="1:20" x14ac:dyDescent="0.25">
      <c r="A645" s="5">
        <v>43948</v>
      </c>
      <c r="B645">
        <v>0.2036</v>
      </c>
      <c r="C645">
        <v>0.20660000000000001</v>
      </c>
      <c r="D645">
        <v>0.19719999999999999</v>
      </c>
      <c r="E645">
        <v>0.20080000000000001</v>
      </c>
      <c r="F645">
        <v>432565.38</v>
      </c>
      <c r="G645">
        <v>0</v>
      </c>
      <c r="L645" t="s">
        <v>7</v>
      </c>
      <c r="M645" t="s">
        <v>7</v>
      </c>
      <c r="N645" t="s">
        <v>8</v>
      </c>
      <c r="P645">
        <f t="shared" si="990"/>
        <v>-0.23404255319148673</v>
      </c>
      <c r="Q645">
        <f t="shared" si="991"/>
        <v>-101238.70595744567</v>
      </c>
      <c r="R645">
        <f t="shared" si="992"/>
        <v>-799361.30514212896</v>
      </c>
      <c r="S645">
        <f t="shared" si="993"/>
        <v>-7.9936130514212893</v>
      </c>
      <c r="T645">
        <f t="shared" si="994"/>
        <v>-7.9936130514212892E-3</v>
      </c>
    </row>
    <row r="646" spans="1:20" x14ac:dyDescent="0.25">
      <c r="A646" s="5">
        <v>43947</v>
      </c>
      <c r="B646">
        <v>0.2177</v>
      </c>
      <c r="C646">
        <v>0.2205</v>
      </c>
      <c r="D646">
        <v>0.19550000000000001</v>
      </c>
      <c r="E646">
        <v>0.2036</v>
      </c>
      <c r="F646">
        <v>1065324.8600000001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5">IF(C646=D646,0,((E646-D646)-(C646-E646))/(C646-D646))</f>
        <v>-0.35200000000000015</v>
      </c>
      <c r="Q646">
        <f t="shared" ref="Q646:Q709" si="996">F646*P646</f>
        <v>-374994.35072000022</v>
      </c>
      <c r="R646">
        <f t="shared" ref="R646:R709" si="997">R647+Q646</f>
        <v>-698122.59918468329</v>
      </c>
      <c r="S646">
        <f t="shared" ref="S646:S709" si="998">R646/100000</f>
        <v>-6.9812259918468333</v>
      </c>
      <c r="T646">
        <f t="shared" ref="T646:T709" si="999">S646/1000</f>
        <v>-6.9812259918468336E-3</v>
      </c>
    </row>
    <row r="647" spans="1:20" x14ac:dyDescent="0.25">
      <c r="A647" s="5">
        <v>43946</v>
      </c>
      <c r="B647">
        <v>0.21210000000000001</v>
      </c>
      <c r="C647">
        <v>0.22270000000000001</v>
      </c>
      <c r="D647">
        <v>0.2082</v>
      </c>
      <c r="E647">
        <v>0.21870000000000001</v>
      </c>
      <c r="F647">
        <v>189482.17</v>
      </c>
      <c r="G647">
        <v>0</v>
      </c>
      <c r="L647" t="s">
        <v>7</v>
      </c>
      <c r="M647" t="s">
        <v>8</v>
      </c>
      <c r="N647" t="s">
        <v>8</v>
      </c>
      <c r="P647">
        <f t="shared" si="995"/>
        <v>0.44827586206896552</v>
      </c>
      <c r="Q647">
        <f t="shared" si="996"/>
        <v>84940.283103448281</v>
      </c>
      <c r="R647">
        <f t="shared" si="997"/>
        <v>-323128.24846468313</v>
      </c>
      <c r="S647">
        <f t="shared" si="998"/>
        <v>-3.2312824846468313</v>
      </c>
      <c r="T647">
        <f t="shared" si="999"/>
        <v>-3.2312824846468312E-3</v>
      </c>
    </row>
    <row r="648" spans="1:20" x14ac:dyDescent="0.25">
      <c r="A648" s="5">
        <v>43945</v>
      </c>
      <c r="B648">
        <v>0.20979999999999999</v>
      </c>
      <c r="C648">
        <v>0.2412</v>
      </c>
      <c r="D648">
        <v>0.20749999999999999</v>
      </c>
      <c r="E648">
        <v>0.21210000000000001</v>
      </c>
      <c r="F648">
        <v>565420.63</v>
      </c>
      <c r="G648">
        <v>0</v>
      </c>
      <c r="L648" t="s">
        <v>8</v>
      </c>
      <c r="M648" t="s">
        <v>8</v>
      </c>
      <c r="N648" t="s">
        <v>8</v>
      </c>
      <c r="P648">
        <f t="shared" si="995"/>
        <v>-0.72700296735904923</v>
      </c>
      <c r="Q648">
        <f t="shared" si="996"/>
        <v>-411062.47581602307</v>
      </c>
      <c r="R648">
        <f t="shared" si="997"/>
        <v>-408068.53156813141</v>
      </c>
      <c r="S648">
        <f t="shared" si="998"/>
        <v>-4.0806853156813139</v>
      </c>
      <c r="T648">
        <f t="shared" si="999"/>
        <v>-4.0806853156813141E-3</v>
      </c>
    </row>
    <row r="649" spans="1:20" x14ac:dyDescent="0.25">
      <c r="A649" s="5">
        <v>43944</v>
      </c>
      <c r="B649">
        <v>0.19700000000000001</v>
      </c>
      <c r="C649">
        <v>0.21310000000000001</v>
      </c>
      <c r="D649">
        <v>0.19359999999999999</v>
      </c>
      <c r="E649">
        <v>0.2074</v>
      </c>
      <c r="F649">
        <v>169998.46</v>
      </c>
      <c r="G649">
        <v>0</v>
      </c>
      <c r="L649" t="s">
        <v>8</v>
      </c>
      <c r="M649" t="s">
        <v>8</v>
      </c>
      <c r="N649" t="s">
        <v>8</v>
      </c>
      <c r="P649">
        <f t="shared" si="995"/>
        <v>0.4153846153846148</v>
      </c>
      <c r="Q649">
        <f t="shared" si="996"/>
        <v>70614.744923076825</v>
      </c>
      <c r="R649">
        <f t="shared" si="997"/>
        <v>2993.9442478916899</v>
      </c>
      <c r="S649">
        <f t="shared" si="998"/>
        <v>2.9939442478916899E-2</v>
      </c>
      <c r="T649">
        <f t="shared" si="999"/>
        <v>2.9939442478916899E-5</v>
      </c>
    </row>
    <row r="650" spans="1:20" x14ac:dyDescent="0.25">
      <c r="A650" s="5">
        <v>43943</v>
      </c>
      <c r="B650">
        <v>0.1845</v>
      </c>
      <c r="C650">
        <v>0.1976</v>
      </c>
      <c r="D650">
        <v>0.18310000000000001</v>
      </c>
      <c r="E650">
        <v>0.1976</v>
      </c>
      <c r="F650">
        <v>55226.15</v>
      </c>
      <c r="G650">
        <v>0</v>
      </c>
      <c r="L650" t="s">
        <v>8</v>
      </c>
      <c r="M650" t="s">
        <v>7</v>
      </c>
      <c r="N650" t="s">
        <v>8</v>
      </c>
      <c r="P650">
        <f t="shared" si="995"/>
        <v>1</v>
      </c>
      <c r="Q650">
        <f t="shared" si="996"/>
        <v>55226.15</v>
      </c>
      <c r="R650">
        <f t="shared" si="997"/>
        <v>-67620.800675185135</v>
      </c>
      <c r="S650">
        <f t="shared" si="998"/>
        <v>-0.67620800675185133</v>
      </c>
      <c r="T650">
        <f t="shared" si="999"/>
        <v>-6.7620800675185133E-4</v>
      </c>
    </row>
    <row r="651" spans="1:20" x14ac:dyDescent="0.25">
      <c r="A651" s="5">
        <v>43942</v>
      </c>
      <c r="B651">
        <v>0.18640000000000001</v>
      </c>
      <c r="C651">
        <v>0.18720000000000001</v>
      </c>
      <c r="D651">
        <v>0.17949999999999999</v>
      </c>
      <c r="E651">
        <v>0.18509999999999999</v>
      </c>
      <c r="F651">
        <v>40517.050000000003</v>
      </c>
      <c r="G651">
        <v>0</v>
      </c>
      <c r="L651" t="s">
        <v>7</v>
      </c>
      <c r="M651" t="s">
        <v>7</v>
      </c>
      <c r="N651" t="s">
        <v>8</v>
      </c>
      <c r="P651">
        <f t="shared" si="995"/>
        <v>0.45454545454545059</v>
      </c>
      <c r="Q651">
        <f t="shared" si="996"/>
        <v>18416.840909090752</v>
      </c>
      <c r="R651">
        <f t="shared" si="997"/>
        <v>-122846.95067518514</v>
      </c>
      <c r="S651">
        <f t="shared" si="998"/>
        <v>-1.2284695067518514</v>
      </c>
      <c r="T651">
        <f t="shared" si="999"/>
        <v>-1.2284695067518515E-3</v>
      </c>
    </row>
    <row r="652" spans="1:20" x14ac:dyDescent="0.25">
      <c r="A652" s="5">
        <v>43941</v>
      </c>
      <c r="B652">
        <v>0.19040000000000001</v>
      </c>
      <c r="C652">
        <v>0.1978</v>
      </c>
      <c r="D652">
        <v>0.1812</v>
      </c>
      <c r="E652">
        <v>0.18329999999999999</v>
      </c>
      <c r="F652">
        <v>51612.44</v>
      </c>
      <c r="G652">
        <v>0</v>
      </c>
      <c r="L652" t="s">
        <v>7</v>
      </c>
      <c r="M652" t="s">
        <v>7</v>
      </c>
      <c r="N652" t="s">
        <v>8</v>
      </c>
      <c r="P652">
        <f t="shared" si="995"/>
        <v>-0.7469879518072301</v>
      </c>
      <c r="Q652">
        <f t="shared" si="996"/>
        <v>-38553.870843373559</v>
      </c>
      <c r="R652">
        <f t="shared" si="997"/>
        <v>-141263.7915842759</v>
      </c>
      <c r="S652">
        <f t="shared" si="998"/>
        <v>-1.4126379158427589</v>
      </c>
      <c r="T652">
        <f t="shared" si="999"/>
        <v>-1.4126379158427588E-3</v>
      </c>
    </row>
    <row r="653" spans="1:20" x14ac:dyDescent="0.25">
      <c r="A653" s="5">
        <v>43940</v>
      </c>
      <c r="B653">
        <v>0.1943</v>
      </c>
      <c r="C653">
        <v>0.19850000000000001</v>
      </c>
      <c r="D653">
        <v>0.18820000000000001</v>
      </c>
      <c r="E653">
        <v>0.19209999999999999</v>
      </c>
      <c r="F653">
        <v>64427.42</v>
      </c>
      <c r="G653">
        <v>0</v>
      </c>
      <c r="L653" t="s">
        <v>8</v>
      </c>
      <c r="M653" t="s">
        <v>7</v>
      </c>
      <c r="N653" t="s">
        <v>8</v>
      </c>
      <c r="P653">
        <f t="shared" si="995"/>
        <v>-0.24271844660194458</v>
      </c>
      <c r="Q653">
        <f t="shared" si="996"/>
        <v>-15637.723300971056</v>
      </c>
      <c r="R653">
        <f t="shared" si="997"/>
        <v>-102709.92074090234</v>
      </c>
      <c r="S653">
        <f t="shared" si="998"/>
        <v>-1.0270992074090233</v>
      </c>
      <c r="T653">
        <f t="shared" si="999"/>
        <v>-1.0270992074090232E-3</v>
      </c>
    </row>
    <row r="654" spans="1:20" x14ac:dyDescent="0.25">
      <c r="A654" s="5">
        <v>43939</v>
      </c>
      <c r="B654">
        <v>0.18310000000000001</v>
      </c>
      <c r="C654">
        <v>0.19600000000000001</v>
      </c>
      <c r="D654">
        <v>0.18310000000000001</v>
      </c>
      <c r="E654">
        <v>0.19600000000000001</v>
      </c>
      <c r="F654">
        <v>130147</v>
      </c>
      <c r="G654">
        <v>0</v>
      </c>
      <c r="L654" t="s">
        <v>8</v>
      </c>
      <c r="M654" t="s">
        <v>7</v>
      </c>
      <c r="N654" t="s">
        <v>8</v>
      </c>
      <c r="P654">
        <f t="shared" si="995"/>
        <v>1</v>
      </c>
      <c r="Q654">
        <f t="shared" si="996"/>
        <v>130147</v>
      </c>
      <c r="R654">
        <f t="shared" si="997"/>
        <v>-87072.197439931275</v>
      </c>
      <c r="S654">
        <f t="shared" si="998"/>
        <v>-0.87072197439931276</v>
      </c>
      <c r="T654">
        <f t="shared" si="999"/>
        <v>-8.7072197439931273E-4</v>
      </c>
    </row>
    <row r="655" spans="1:20" x14ac:dyDescent="0.25">
      <c r="A655" s="5">
        <v>43938</v>
      </c>
      <c r="B655">
        <v>0.185</v>
      </c>
      <c r="C655">
        <v>0.1862</v>
      </c>
      <c r="D655">
        <v>0.18160000000000001</v>
      </c>
      <c r="E655">
        <v>0.183</v>
      </c>
      <c r="F655">
        <v>88512.87</v>
      </c>
      <c r="G655">
        <v>0</v>
      </c>
      <c r="L655" t="s">
        <v>7</v>
      </c>
      <c r="M655" t="s">
        <v>7</v>
      </c>
      <c r="N655" t="s">
        <v>8</v>
      </c>
      <c r="P655">
        <f t="shared" si="995"/>
        <v>-0.39130434782609275</v>
      </c>
      <c r="Q655">
        <f t="shared" si="996"/>
        <v>-34635.470869565725</v>
      </c>
      <c r="R655">
        <f t="shared" si="997"/>
        <v>-217219.19743993127</v>
      </c>
      <c r="S655">
        <f t="shared" si="998"/>
        <v>-2.1721919743993126</v>
      </c>
      <c r="T655">
        <f t="shared" si="999"/>
        <v>-2.1721919743993125E-3</v>
      </c>
    </row>
    <row r="656" spans="1:20" x14ac:dyDescent="0.25">
      <c r="A656" s="5">
        <v>43937</v>
      </c>
      <c r="B656">
        <v>0.1744</v>
      </c>
      <c r="C656">
        <v>0.1946</v>
      </c>
      <c r="D656">
        <v>0.17</v>
      </c>
      <c r="E656">
        <v>0.185</v>
      </c>
      <c r="F656">
        <v>102985.52</v>
      </c>
      <c r="G656">
        <v>0</v>
      </c>
      <c r="L656" t="s">
        <v>8</v>
      </c>
      <c r="M656" t="s">
        <v>7</v>
      </c>
      <c r="N656" t="s">
        <v>8</v>
      </c>
      <c r="P656">
        <f t="shared" si="995"/>
        <v>0.21951219512195089</v>
      </c>
      <c r="Q656">
        <f t="shared" si="996"/>
        <v>22606.577560975576</v>
      </c>
      <c r="R656">
        <f t="shared" si="997"/>
        <v>-182583.72657036554</v>
      </c>
      <c r="S656">
        <f t="shared" si="998"/>
        <v>-1.8258372657036555</v>
      </c>
      <c r="T656">
        <f t="shared" si="999"/>
        <v>-1.8258372657036556E-3</v>
      </c>
    </row>
    <row r="657" spans="1:20" x14ac:dyDescent="0.25">
      <c r="A657" s="5">
        <v>43936</v>
      </c>
      <c r="B657">
        <v>0.18110000000000001</v>
      </c>
      <c r="C657">
        <v>0.18379999999999999</v>
      </c>
      <c r="D657">
        <v>0.17430000000000001</v>
      </c>
      <c r="E657">
        <v>0.1744</v>
      </c>
      <c r="F657">
        <v>68353.81</v>
      </c>
      <c r="G657">
        <v>0</v>
      </c>
      <c r="L657" t="s">
        <v>8</v>
      </c>
      <c r="M657" t="s">
        <v>7</v>
      </c>
      <c r="N657" t="s">
        <v>8</v>
      </c>
      <c r="P657">
        <f t="shared" si="995"/>
        <v>-0.9789473684210549</v>
      </c>
      <c r="Q657">
        <f t="shared" si="996"/>
        <v>-66914.782421052791</v>
      </c>
      <c r="R657">
        <f t="shared" si="997"/>
        <v>-205190.30413134111</v>
      </c>
      <c r="S657">
        <f t="shared" si="998"/>
        <v>-2.0519030413134112</v>
      </c>
      <c r="T657">
        <f t="shared" si="999"/>
        <v>-2.0519030413134113E-3</v>
      </c>
    </row>
    <row r="658" spans="1:20" x14ac:dyDescent="0.25">
      <c r="A658" s="5">
        <v>43935</v>
      </c>
      <c r="B658">
        <v>0.18060000000000001</v>
      </c>
      <c r="C658">
        <v>0.1842</v>
      </c>
      <c r="D658">
        <v>0.1764</v>
      </c>
      <c r="E658">
        <v>0.18110000000000001</v>
      </c>
      <c r="F658">
        <v>42235.79</v>
      </c>
      <c r="G658">
        <v>0</v>
      </c>
      <c r="L658" t="s">
        <v>8</v>
      </c>
      <c r="M658" t="s">
        <v>7</v>
      </c>
      <c r="N658" t="s">
        <v>8</v>
      </c>
      <c r="P658">
        <f t="shared" si="995"/>
        <v>0.2051282051282074</v>
      </c>
      <c r="Q658">
        <f t="shared" si="996"/>
        <v>8663.7517948718905</v>
      </c>
      <c r="R658">
        <f t="shared" si="997"/>
        <v>-138275.5217102883</v>
      </c>
      <c r="S658">
        <f t="shared" si="998"/>
        <v>-1.382755217102883</v>
      </c>
      <c r="T658">
        <f t="shared" si="999"/>
        <v>-1.382755217102883E-3</v>
      </c>
    </row>
    <row r="659" spans="1:20" x14ac:dyDescent="0.25">
      <c r="A659" s="5">
        <v>43934</v>
      </c>
      <c r="B659">
        <v>0.17929999999999999</v>
      </c>
      <c r="C659">
        <v>0.1822</v>
      </c>
      <c r="D659">
        <v>0.17030000000000001</v>
      </c>
      <c r="E659">
        <v>0.1797</v>
      </c>
      <c r="F659">
        <v>84389.81</v>
      </c>
      <c r="G659">
        <v>0</v>
      </c>
      <c r="L659" t="s">
        <v>7</v>
      </c>
      <c r="M659" t="s">
        <v>7</v>
      </c>
      <c r="N659" t="s">
        <v>8</v>
      </c>
      <c r="P659">
        <f t="shared" si="995"/>
        <v>0.57983193277310863</v>
      </c>
      <c r="Q659">
        <f t="shared" si="996"/>
        <v>48931.906638655411</v>
      </c>
      <c r="R659">
        <f t="shared" si="997"/>
        <v>-146939.27350516021</v>
      </c>
      <c r="S659">
        <f t="shared" si="998"/>
        <v>-1.4693927350516021</v>
      </c>
      <c r="T659">
        <f t="shared" si="999"/>
        <v>-1.469392735051602E-3</v>
      </c>
    </row>
    <row r="660" spans="1:20" x14ac:dyDescent="0.25">
      <c r="A660" s="5">
        <v>43933</v>
      </c>
      <c r="B660">
        <v>0.18149999999999999</v>
      </c>
      <c r="C660">
        <v>0.1865</v>
      </c>
      <c r="D660">
        <v>0.1779</v>
      </c>
      <c r="E660">
        <v>0.17979999999999999</v>
      </c>
      <c r="F660">
        <v>64782.79</v>
      </c>
      <c r="G660">
        <v>0</v>
      </c>
      <c r="L660" t="s">
        <v>7</v>
      </c>
      <c r="M660" t="s">
        <v>7</v>
      </c>
      <c r="N660" t="s">
        <v>8</v>
      </c>
      <c r="P660">
        <f t="shared" si="995"/>
        <v>-0.55813953488372425</v>
      </c>
      <c r="Q660">
        <f t="shared" si="996"/>
        <v>-36157.836279069983</v>
      </c>
      <c r="R660">
        <f t="shared" si="997"/>
        <v>-195871.18014381561</v>
      </c>
      <c r="S660">
        <f t="shared" si="998"/>
        <v>-1.9587118014381562</v>
      </c>
      <c r="T660">
        <f t="shared" si="999"/>
        <v>-1.958711801438156E-3</v>
      </c>
    </row>
    <row r="661" spans="1:20" x14ac:dyDescent="0.25">
      <c r="A661" s="5">
        <v>43932</v>
      </c>
      <c r="B661">
        <v>0.18260000000000001</v>
      </c>
      <c r="C661">
        <v>0.18490000000000001</v>
      </c>
      <c r="D661">
        <v>0.1767</v>
      </c>
      <c r="E661">
        <v>0.17960000000000001</v>
      </c>
      <c r="F661">
        <v>49534.01</v>
      </c>
      <c r="G661">
        <v>0</v>
      </c>
      <c r="L661" t="s">
        <v>7</v>
      </c>
      <c r="M661" t="s">
        <v>7</v>
      </c>
      <c r="N661" t="s">
        <v>8</v>
      </c>
      <c r="P661">
        <f t="shared" si="995"/>
        <v>-0.29268292682926605</v>
      </c>
      <c r="Q661">
        <f t="shared" si="996"/>
        <v>-14497.759024390134</v>
      </c>
      <c r="R661">
        <f t="shared" si="997"/>
        <v>-159713.34386474564</v>
      </c>
      <c r="S661">
        <f t="shared" si="998"/>
        <v>-1.5971334386474563</v>
      </c>
      <c r="T661">
        <f t="shared" si="999"/>
        <v>-1.5971334386474562E-3</v>
      </c>
    </row>
    <row r="662" spans="1:20" x14ac:dyDescent="0.25">
      <c r="A662" s="5">
        <v>43931</v>
      </c>
      <c r="B662">
        <v>0.19389999999999999</v>
      </c>
      <c r="C662">
        <v>0.19389999999999999</v>
      </c>
      <c r="D662">
        <v>0.17560000000000001</v>
      </c>
      <c r="E662">
        <v>0.1825</v>
      </c>
      <c r="F662">
        <v>59542.8</v>
      </c>
      <c r="G662">
        <v>0</v>
      </c>
      <c r="L662" t="s">
        <v>7</v>
      </c>
      <c r="M662" t="s">
        <v>7</v>
      </c>
      <c r="N662" t="s">
        <v>8</v>
      </c>
      <c r="P662">
        <f t="shared" si="995"/>
        <v>-0.24590163934426273</v>
      </c>
      <c r="Q662">
        <f t="shared" si="996"/>
        <v>-14641.672131147569</v>
      </c>
      <c r="R662">
        <f t="shared" si="997"/>
        <v>-145215.5848403555</v>
      </c>
      <c r="S662">
        <f t="shared" si="998"/>
        <v>-1.452155848403555</v>
      </c>
      <c r="T662">
        <f t="shared" si="999"/>
        <v>-1.452155848403555E-3</v>
      </c>
    </row>
    <row r="663" spans="1:20" x14ac:dyDescent="0.25">
      <c r="A663" s="5">
        <v>43930</v>
      </c>
      <c r="B663">
        <v>0.19620000000000001</v>
      </c>
      <c r="C663">
        <v>0.19789999999999999</v>
      </c>
      <c r="D663">
        <v>0.19020000000000001</v>
      </c>
      <c r="E663">
        <v>0.1958</v>
      </c>
      <c r="F663">
        <v>49335.71</v>
      </c>
      <c r="G663">
        <v>0</v>
      </c>
      <c r="L663" t="s">
        <v>7</v>
      </c>
      <c r="M663" t="s">
        <v>8</v>
      </c>
      <c r="N663" t="s">
        <v>8</v>
      </c>
      <c r="P663">
        <f t="shared" si="995"/>
        <v>0.45454545454545586</v>
      </c>
      <c r="Q663">
        <f t="shared" si="996"/>
        <v>22425.322727272793</v>
      </c>
      <c r="R663">
        <f t="shared" si="997"/>
        <v>-130573.91270920793</v>
      </c>
      <c r="S663">
        <f t="shared" si="998"/>
        <v>-1.3057391270920793</v>
      </c>
      <c r="T663">
        <f t="shared" si="999"/>
        <v>-1.3057391270920793E-3</v>
      </c>
    </row>
    <row r="664" spans="1:20" x14ac:dyDescent="0.25">
      <c r="A664" s="5">
        <v>43929</v>
      </c>
      <c r="B664">
        <v>0.19040000000000001</v>
      </c>
      <c r="C664">
        <v>0.19900000000000001</v>
      </c>
      <c r="D664">
        <v>0.18990000000000001</v>
      </c>
      <c r="E664">
        <v>0.19850000000000001</v>
      </c>
      <c r="F664">
        <v>47166.05</v>
      </c>
      <c r="G664">
        <v>0</v>
      </c>
      <c r="L664" t="s">
        <v>7</v>
      </c>
      <c r="M664" t="s">
        <v>8</v>
      </c>
      <c r="N664" t="s">
        <v>8</v>
      </c>
      <c r="P664">
        <f t="shared" si="995"/>
        <v>0.89010989010988995</v>
      </c>
      <c r="Q664">
        <f t="shared" si="996"/>
        <v>41982.967582417579</v>
      </c>
      <c r="R664">
        <f t="shared" si="997"/>
        <v>-152999.23543648073</v>
      </c>
      <c r="S664">
        <f t="shared" si="998"/>
        <v>-1.5299923543648073</v>
      </c>
      <c r="T664">
        <f t="shared" si="999"/>
        <v>-1.5299923543648072E-3</v>
      </c>
    </row>
    <row r="665" spans="1:20" x14ac:dyDescent="0.25">
      <c r="A665" s="5">
        <v>43928</v>
      </c>
      <c r="B665">
        <v>0.1986</v>
      </c>
      <c r="C665">
        <v>0.2019</v>
      </c>
      <c r="D665">
        <v>0.18590000000000001</v>
      </c>
      <c r="E665">
        <v>0.1928</v>
      </c>
      <c r="F665">
        <v>164768.70000000001</v>
      </c>
      <c r="G665">
        <v>0</v>
      </c>
      <c r="L665" t="s">
        <v>7</v>
      </c>
      <c r="M665" t="s">
        <v>8</v>
      </c>
      <c r="N665" t="s">
        <v>8</v>
      </c>
      <c r="P665">
        <f t="shared" si="995"/>
        <v>-0.13750000000000059</v>
      </c>
      <c r="Q665">
        <f t="shared" si="996"/>
        <v>-22655.696250000099</v>
      </c>
      <c r="R665">
        <f t="shared" si="997"/>
        <v>-194982.20301889829</v>
      </c>
      <c r="S665">
        <f t="shared" si="998"/>
        <v>-1.9498220301889828</v>
      </c>
      <c r="T665">
        <f t="shared" si="999"/>
        <v>-1.9498220301889828E-3</v>
      </c>
    </row>
    <row r="666" spans="1:20" x14ac:dyDescent="0.25">
      <c r="A666" s="5">
        <v>43927</v>
      </c>
      <c r="B666">
        <v>0.18529999999999999</v>
      </c>
      <c r="C666">
        <v>0.2152</v>
      </c>
      <c r="D666">
        <v>0.18490000000000001</v>
      </c>
      <c r="E666">
        <v>0.19839999999999999</v>
      </c>
      <c r="F666">
        <v>471227.85</v>
      </c>
      <c r="G666">
        <v>0</v>
      </c>
      <c r="L666" t="s">
        <v>8</v>
      </c>
      <c r="M666" t="s">
        <v>8</v>
      </c>
      <c r="N666" t="s">
        <v>8</v>
      </c>
      <c r="P666">
        <f t="shared" si="995"/>
        <v>-0.10891089108910976</v>
      </c>
      <c r="Q666">
        <f t="shared" si="996"/>
        <v>-51321.845049505348</v>
      </c>
      <c r="R666">
        <f t="shared" si="997"/>
        <v>-172326.50676889819</v>
      </c>
      <c r="S666">
        <f t="shared" si="998"/>
        <v>-1.723265067688982</v>
      </c>
      <c r="T666">
        <f t="shared" si="999"/>
        <v>-1.7232650676889821E-3</v>
      </c>
    </row>
    <row r="667" spans="1:20" x14ac:dyDescent="0.25">
      <c r="A667" s="5">
        <v>43926</v>
      </c>
      <c r="B667">
        <v>0.1852</v>
      </c>
      <c r="C667">
        <v>0.1862</v>
      </c>
      <c r="D667">
        <v>0.18090000000000001</v>
      </c>
      <c r="E667">
        <v>0.18329999999999999</v>
      </c>
      <c r="F667">
        <v>33723.230000000003</v>
      </c>
      <c r="G667">
        <v>0</v>
      </c>
      <c r="L667" t="s">
        <v>7</v>
      </c>
      <c r="M667" t="s">
        <v>8</v>
      </c>
      <c r="N667" t="s">
        <v>8</v>
      </c>
      <c r="P667">
        <f t="shared" si="995"/>
        <v>-9.433962264151477E-2</v>
      </c>
      <c r="Q667">
        <f t="shared" si="996"/>
        <v>-3181.4367924530106</v>
      </c>
      <c r="R667">
        <f t="shared" si="997"/>
        <v>-121004.66171939284</v>
      </c>
      <c r="S667">
        <f t="shared" si="998"/>
        <v>-1.2100466171939284</v>
      </c>
      <c r="T667">
        <f t="shared" si="999"/>
        <v>-1.2100466171939283E-3</v>
      </c>
    </row>
    <row r="668" spans="1:20" x14ac:dyDescent="0.25">
      <c r="A668" s="5">
        <v>43925</v>
      </c>
      <c r="B668">
        <v>0.18240000000000001</v>
      </c>
      <c r="C668">
        <v>0.188</v>
      </c>
      <c r="D668">
        <v>0.1804</v>
      </c>
      <c r="E668">
        <v>0.1852</v>
      </c>
      <c r="F668">
        <v>105171.51</v>
      </c>
      <c r="G668">
        <v>0</v>
      </c>
      <c r="L668" t="s">
        <v>7</v>
      </c>
      <c r="M668" t="s">
        <v>8</v>
      </c>
      <c r="N668" t="s">
        <v>8</v>
      </c>
      <c r="P668">
        <f t="shared" si="995"/>
        <v>0.26315789473684248</v>
      </c>
      <c r="Q668">
        <f t="shared" si="996"/>
        <v>27676.713157894774</v>
      </c>
      <c r="R668">
        <f t="shared" si="997"/>
        <v>-117823.22492693983</v>
      </c>
      <c r="S668">
        <f t="shared" si="998"/>
        <v>-1.1782322492693984</v>
      </c>
      <c r="T668">
        <f t="shared" si="999"/>
        <v>-1.1782322492693985E-3</v>
      </c>
    </row>
    <row r="669" spans="1:20" x14ac:dyDescent="0.25">
      <c r="A669" s="5">
        <v>43924</v>
      </c>
      <c r="B669">
        <v>0.1832</v>
      </c>
      <c r="C669">
        <v>0.2</v>
      </c>
      <c r="D669">
        <v>0.1779</v>
      </c>
      <c r="E669">
        <v>0.18279999999999999</v>
      </c>
      <c r="F669">
        <v>265334.06</v>
      </c>
      <c r="G669">
        <v>0</v>
      </c>
      <c r="L669" t="s">
        <v>8</v>
      </c>
      <c r="M669" t="s">
        <v>8</v>
      </c>
      <c r="N669" t="s">
        <v>8</v>
      </c>
      <c r="P669">
        <f t="shared" si="995"/>
        <v>-0.55656108597285192</v>
      </c>
      <c r="Q669">
        <f t="shared" si="996"/>
        <v>-147674.61257918584</v>
      </c>
      <c r="R669">
        <f t="shared" si="997"/>
        <v>-145499.9380848346</v>
      </c>
      <c r="S669">
        <f t="shared" si="998"/>
        <v>-1.4549993808483461</v>
      </c>
      <c r="T669">
        <f t="shared" si="999"/>
        <v>-1.4549993808483461E-3</v>
      </c>
    </row>
    <row r="670" spans="1:20" x14ac:dyDescent="0.25">
      <c r="A670" s="5">
        <v>43923</v>
      </c>
      <c r="B670">
        <v>0.17810000000000001</v>
      </c>
      <c r="C670">
        <v>0.1928</v>
      </c>
      <c r="D670">
        <v>0.1754</v>
      </c>
      <c r="E670">
        <v>0.1822</v>
      </c>
      <c r="F670">
        <v>98618.17</v>
      </c>
      <c r="G670">
        <v>0</v>
      </c>
      <c r="L670" t="s">
        <v>8</v>
      </c>
      <c r="M670" t="s">
        <v>8</v>
      </c>
      <c r="N670" t="s">
        <v>8</v>
      </c>
      <c r="P670">
        <f t="shared" si="995"/>
        <v>-0.21839080459770105</v>
      </c>
      <c r="Q670">
        <f t="shared" si="996"/>
        <v>-21537.301494252864</v>
      </c>
      <c r="R670">
        <f t="shared" si="997"/>
        <v>2174.6744943512203</v>
      </c>
      <c r="S670">
        <f t="shared" si="998"/>
        <v>2.1746744943512204E-2</v>
      </c>
      <c r="T670">
        <f t="shared" si="999"/>
        <v>2.1746744943512206E-5</v>
      </c>
    </row>
    <row r="671" spans="1:20" x14ac:dyDescent="0.25">
      <c r="A671" s="5">
        <v>43922</v>
      </c>
      <c r="B671">
        <v>0.1726</v>
      </c>
      <c r="C671">
        <v>0.17960000000000001</v>
      </c>
      <c r="D671">
        <v>0.16750000000000001</v>
      </c>
      <c r="E671">
        <v>0.17810000000000001</v>
      </c>
      <c r="F671">
        <v>115794.86</v>
      </c>
      <c r="G671">
        <v>0</v>
      </c>
      <c r="L671" t="s">
        <v>8</v>
      </c>
      <c r="M671" t="s">
        <v>8</v>
      </c>
      <c r="N671" t="s">
        <v>8</v>
      </c>
      <c r="P671">
        <f t="shared" si="995"/>
        <v>0.75206611570247917</v>
      </c>
      <c r="Q671">
        <f t="shared" si="996"/>
        <v>87085.390578512379</v>
      </c>
      <c r="R671">
        <f t="shared" si="997"/>
        <v>23711.975988604085</v>
      </c>
      <c r="S671">
        <f t="shared" si="998"/>
        <v>0.23711975988604084</v>
      </c>
      <c r="T671">
        <f t="shared" si="999"/>
        <v>2.3711975988604083E-4</v>
      </c>
    </row>
    <row r="672" spans="1:20" x14ac:dyDescent="0.25">
      <c r="A672" s="5">
        <v>43921</v>
      </c>
      <c r="B672">
        <v>0.1719</v>
      </c>
      <c r="C672">
        <v>0.17499999999999999</v>
      </c>
      <c r="D672">
        <v>0.1694</v>
      </c>
      <c r="E672">
        <v>0.17249999999999999</v>
      </c>
      <c r="F672">
        <v>56302.42</v>
      </c>
      <c r="G672">
        <v>0</v>
      </c>
      <c r="L672" t="s">
        <v>8</v>
      </c>
      <c r="M672" t="s">
        <v>8</v>
      </c>
      <c r="N672" t="s">
        <v>8</v>
      </c>
      <c r="P672">
        <f t="shared" si="995"/>
        <v>0.10714285714285537</v>
      </c>
      <c r="Q672">
        <f t="shared" si="996"/>
        <v>6032.4021428570431</v>
      </c>
      <c r="R672">
        <f t="shared" si="997"/>
        <v>-63373.414589908294</v>
      </c>
      <c r="S672">
        <f t="shared" si="998"/>
        <v>-0.63373414589908295</v>
      </c>
      <c r="T672">
        <f t="shared" si="999"/>
        <v>-6.3373414589908291E-4</v>
      </c>
    </row>
    <row r="673" spans="1:20" x14ac:dyDescent="0.25">
      <c r="A673" s="5">
        <v>43920</v>
      </c>
      <c r="B673">
        <v>0.16320000000000001</v>
      </c>
      <c r="C673">
        <v>0.17519999999999999</v>
      </c>
      <c r="D673">
        <v>0.16159999999999999</v>
      </c>
      <c r="E673">
        <v>0.17249999999999999</v>
      </c>
      <c r="F673">
        <v>63157.58</v>
      </c>
      <c r="G673">
        <v>0</v>
      </c>
      <c r="L673" t="s">
        <v>8</v>
      </c>
      <c r="M673" t="s">
        <v>8</v>
      </c>
      <c r="N673" t="s">
        <v>8</v>
      </c>
      <c r="P673">
        <f t="shared" si="995"/>
        <v>0.60294117647058709</v>
      </c>
      <c r="Q673">
        <f t="shared" si="996"/>
        <v>38080.30558823522</v>
      </c>
      <c r="R673">
        <f t="shared" si="997"/>
        <v>-69405.816732765335</v>
      </c>
      <c r="S673">
        <f t="shared" si="998"/>
        <v>-0.69405816732765335</v>
      </c>
      <c r="T673">
        <f t="shared" si="999"/>
        <v>-6.9405816732765336E-4</v>
      </c>
    </row>
    <row r="674" spans="1:20" x14ac:dyDescent="0.25">
      <c r="A674" s="5">
        <v>43919</v>
      </c>
      <c r="B674">
        <v>0.16950000000000001</v>
      </c>
      <c r="C674">
        <v>0.17019999999999999</v>
      </c>
      <c r="D674">
        <v>0.16020000000000001</v>
      </c>
      <c r="E674">
        <v>0.1608</v>
      </c>
      <c r="F674">
        <v>53453.73</v>
      </c>
      <c r="G674">
        <v>0</v>
      </c>
      <c r="L674" t="s">
        <v>7</v>
      </c>
      <c r="M674" t="s">
        <v>8</v>
      </c>
      <c r="N674" t="s">
        <v>8</v>
      </c>
      <c r="P674">
        <f t="shared" si="995"/>
        <v>-0.88000000000000189</v>
      </c>
      <c r="Q674">
        <f t="shared" si="996"/>
        <v>-47039.282400000106</v>
      </c>
      <c r="R674">
        <f t="shared" si="997"/>
        <v>-107486.12232100056</v>
      </c>
      <c r="S674">
        <f t="shared" si="998"/>
        <v>-1.0748612232100057</v>
      </c>
      <c r="T674">
        <f t="shared" si="999"/>
        <v>-1.0748612232100057E-3</v>
      </c>
    </row>
    <row r="675" spans="1:20" x14ac:dyDescent="0.25">
      <c r="A675" s="5">
        <v>43918</v>
      </c>
      <c r="B675">
        <v>0.17</v>
      </c>
      <c r="C675">
        <v>0.1721</v>
      </c>
      <c r="D675">
        <v>0.1613</v>
      </c>
      <c r="E675">
        <v>0.16950000000000001</v>
      </c>
      <c r="F675">
        <v>143321.20000000001</v>
      </c>
      <c r="G675">
        <v>0</v>
      </c>
      <c r="L675" t="s">
        <v>7</v>
      </c>
      <c r="M675" t="s">
        <v>8</v>
      </c>
      <c r="N675" t="s">
        <v>8</v>
      </c>
      <c r="P675">
        <f t="shared" si="995"/>
        <v>0.51851851851852038</v>
      </c>
      <c r="Q675">
        <f t="shared" si="996"/>
        <v>74314.696296296563</v>
      </c>
      <c r="R675">
        <f t="shared" si="997"/>
        <v>-60446.839921000457</v>
      </c>
      <c r="S675">
        <f t="shared" si="998"/>
        <v>-0.60446839921000461</v>
      </c>
      <c r="T675">
        <f t="shared" si="999"/>
        <v>-6.0446839921000461E-4</v>
      </c>
    </row>
    <row r="676" spans="1:20" x14ac:dyDescent="0.25">
      <c r="A676" s="5">
        <v>43917</v>
      </c>
      <c r="B676">
        <v>0.17929999999999999</v>
      </c>
      <c r="C676">
        <v>0.18890000000000001</v>
      </c>
      <c r="D676">
        <v>0.16889999999999999</v>
      </c>
      <c r="E676">
        <v>0.1731</v>
      </c>
      <c r="F676">
        <v>204666.26</v>
      </c>
      <c r="G676">
        <v>0</v>
      </c>
      <c r="L676" t="s">
        <v>8</v>
      </c>
      <c r="M676" t="s">
        <v>8</v>
      </c>
      <c r="N676" t="s">
        <v>8</v>
      </c>
      <c r="P676">
        <f t="shared" si="995"/>
        <v>-0.5799999999999994</v>
      </c>
      <c r="Q676">
        <f t="shared" si="996"/>
        <v>-118706.43079999989</v>
      </c>
      <c r="R676">
        <f t="shared" si="997"/>
        <v>-134761.53621729702</v>
      </c>
      <c r="S676">
        <f t="shared" si="998"/>
        <v>-1.3476153621729703</v>
      </c>
      <c r="T676">
        <f t="shared" si="999"/>
        <v>-1.3476153621729704E-3</v>
      </c>
    </row>
    <row r="677" spans="1:20" x14ac:dyDescent="0.25">
      <c r="A677" s="5">
        <v>43916</v>
      </c>
      <c r="B677">
        <v>0.17449999999999999</v>
      </c>
      <c r="C677">
        <v>0.18079999999999999</v>
      </c>
      <c r="D677">
        <v>0.1714</v>
      </c>
      <c r="E677">
        <v>0.17929999999999999</v>
      </c>
      <c r="F677">
        <v>166524.72</v>
      </c>
      <c r="G677">
        <v>0</v>
      </c>
      <c r="L677" t="s">
        <v>7</v>
      </c>
      <c r="M677" t="s">
        <v>8</v>
      </c>
      <c r="N677" t="s">
        <v>8</v>
      </c>
      <c r="P677">
        <f t="shared" si="995"/>
        <v>0.68085106382978666</v>
      </c>
      <c r="Q677">
        <f t="shared" si="996"/>
        <v>113378.53276595735</v>
      </c>
      <c r="R677">
        <f t="shared" si="997"/>
        <v>-16055.105417297134</v>
      </c>
      <c r="S677">
        <f t="shared" si="998"/>
        <v>-0.16055105417297133</v>
      </c>
      <c r="T677">
        <f t="shared" si="999"/>
        <v>-1.6055105417297133E-4</v>
      </c>
    </row>
    <row r="678" spans="1:20" x14ac:dyDescent="0.25">
      <c r="A678" s="5">
        <v>43915</v>
      </c>
      <c r="B678">
        <v>0.17660000000000001</v>
      </c>
      <c r="C678">
        <v>0.183</v>
      </c>
      <c r="D678">
        <v>0.16869999999999999</v>
      </c>
      <c r="E678">
        <v>0.17399999999999999</v>
      </c>
      <c r="F678">
        <v>44013.67</v>
      </c>
      <c r="G678">
        <v>0</v>
      </c>
      <c r="L678" t="s">
        <v>8</v>
      </c>
      <c r="M678" t="s">
        <v>8</v>
      </c>
      <c r="N678" t="s">
        <v>8</v>
      </c>
      <c r="P678">
        <f t="shared" si="995"/>
        <v>-0.25874125874125925</v>
      </c>
      <c r="Q678">
        <f t="shared" si="996"/>
        <v>-11388.1523776224</v>
      </c>
      <c r="R678">
        <f t="shared" si="997"/>
        <v>-129433.63818325449</v>
      </c>
      <c r="S678">
        <f t="shared" si="998"/>
        <v>-1.2943363818325448</v>
      </c>
      <c r="T678">
        <f t="shared" si="999"/>
        <v>-1.2943363818325448E-3</v>
      </c>
    </row>
    <row r="679" spans="1:20" x14ac:dyDescent="0.25">
      <c r="A679" s="5">
        <v>43914</v>
      </c>
      <c r="B679">
        <v>0.1721</v>
      </c>
      <c r="C679">
        <v>0.182</v>
      </c>
      <c r="D679">
        <v>0.1671</v>
      </c>
      <c r="E679">
        <v>0.17749999999999999</v>
      </c>
      <c r="F679">
        <v>130695.92</v>
      </c>
      <c r="G679">
        <v>0</v>
      </c>
      <c r="L679" t="s">
        <v>8</v>
      </c>
      <c r="M679" t="s">
        <v>8</v>
      </c>
      <c r="N679" t="s">
        <v>8</v>
      </c>
      <c r="P679">
        <f t="shared" si="995"/>
        <v>0.39597315436241542</v>
      </c>
      <c r="Q679">
        <f t="shared" si="996"/>
        <v>51752.075704697898</v>
      </c>
      <c r="R679">
        <f t="shared" si="997"/>
        <v>-118045.48580563208</v>
      </c>
      <c r="S679">
        <f t="shared" si="998"/>
        <v>-1.1804548580563208</v>
      </c>
      <c r="T679">
        <f t="shared" si="999"/>
        <v>-1.1804548580563207E-3</v>
      </c>
    </row>
    <row r="680" spans="1:20" x14ac:dyDescent="0.25">
      <c r="A680" s="5">
        <v>43913</v>
      </c>
      <c r="B680">
        <v>0.15670000000000001</v>
      </c>
      <c r="C680">
        <v>0.17599999999999999</v>
      </c>
      <c r="D680">
        <v>0.155</v>
      </c>
      <c r="E680">
        <v>0.1721</v>
      </c>
      <c r="F680">
        <v>154682.60999999999</v>
      </c>
      <c r="G680">
        <v>0</v>
      </c>
      <c r="L680" t="s">
        <v>7</v>
      </c>
      <c r="M680" t="s">
        <v>7</v>
      </c>
      <c r="N680" t="s">
        <v>8</v>
      </c>
      <c r="P680">
        <f t="shared" si="995"/>
        <v>0.62857142857142967</v>
      </c>
      <c r="Q680">
        <f t="shared" si="996"/>
        <v>97229.069142857305</v>
      </c>
      <c r="R680">
        <f t="shared" si="997"/>
        <v>-169797.56151032998</v>
      </c>
      <c r="S680">
        <f t="shared" si="998"/>
        <v>-1.6979756151032999</v>
      </c>
      <c r="T680">
        <f t="shared" si="999"/>
        <v>-1.6979756151032999E-3</v>
      </c>
    </row>
    <row r="681" spans="1:20" x14ac:dyDescent="0.25">
      <c r="A681" s="5">
        <v>43912</v>
      </c>
      <c r="B681">
        <v>0.16880000000000001</v>
      </c>
      <c r="C681">
        <v>0.20699999999999999</v>
      </c>
      <c r="D681">
        <v>0.15670000000000001</v>
      </c>
      <c r="E681">
        <v>0.15670000000000001</v>
      </c>
      <c r="F681">
        <v>151116.15</v>
      </c>
      <c r="G681">
        <v>0</v>
      </c>
      <c r="L681" t="s">
        <v>7</v>
      </c>
      <c r="M681" t="s">
        <v>8</v>
      </c>
      <c r="N681" t="s">
        <v>8</v>
      </c>
      <c r="P681">
        <f t="shared" si="995"/>
        <v>-1</v>
      </c>
      <c r="Q681">
        <f t="shared" si="996"/>
        <v>-151116.15</v>
      </c>
      <c r="R681">
        <f t="shared" si="997"/>
        <v>-267026.63065318728</v>
      </c>
      <c r="S681">
        <f t="shared" si="998"/>
        <v>-2.670266306531873</v>
      </c>
      <c r="T681">
        <f t="shared" si="999"/>
        <v>-2.6702663065318729E-3</v>
      </c>
    </row>
    <row r="682" spans="1:20" x14ac:dyDescent="0.25">
      <c r="A682" s="5">
        <v>43911</v>
      </c>
      <c r="B682">
        <v>0.16619999999999999</v>
      </c>
      <c r="C682">
        <v>0.17560000000000001</v>
      </c>
      <c r="D682">
        <v>0.15870000000000001</v>
      </c>
      <c r="E682">
        <v>0.1701</v>
      </c>
      <c r="F682">
        <v>147422.28</v>
      </c>
      <c r="G682">
        <v>0</v>
      </c>
      <c r="L682" t="s">
        <v>7</v>
      </c>
      <c r="M682" t="s">
        <v>7</v>
      </c>
      <c r="N682" t="s">
        <v>8</v>
      </c>
      <c r="P682">
        <f t="shared" si="995"/>
        <v>0.3491124260355023</v>
      </c>
      <c r="Q682">
        <f t="shared" si="996"/>
        <v>51466.949822485112</v>
      </c>
      <c r="R682">
        <f t="shared" si="997"/>
        <v>-115910.4806531873</v>
      </c>
      <c r="S682">
        <f t="shared" si="998"/>
        <v>-1.159104806531873</v>
      </c>
      <c r="T682">
        <f t="shared" si="999"/>
        <v>-1.159104806531873E-3</v>
      </c>
    </row>
    <row r="683" spans="1:20" x14ac:dyDescent="0.25">
      <c r="A683" s="5">
        <v>43910</v>
      </c>
      <c r="B683">
        <v>0.17699999999999999</v>
      </c>
      <c r="C683">
        <v>0.2</v>
      </c>
      <c r="D683">
        <v>0.1482</v>
      </c>
      <c r="E683">
        <v>0.1686</v>
      </c>
      <c r="F683">
        <v>399686.02</v>
      </c>
      <c r="G683">
        <v>0</v>
      </c>
      <c r="L683" t="s">
        <v>8</v>
      </c>
      <c r="M683" t="s">
        <v>8</v>
      </c>
      <c r="N683" t="s">
        <v>8</v>
      </c>
      <c r="P683">
        <f t="shared" si="995"/>
        <v>-0.21235521235521249</v>
      </c>
      <c r="Q683">
        <f t="shared" si="996"/>
        <v>-84875.409652509712</v>
      </c>
      <c r="R683">
        <f t="shared" si="997"/>
        <v>-167377.43047567242</v>
      </c>
      <c r="S683">
        <f t="shared" si="998"/>
        <v>-1.6737743047567242</v>
      </c>
      <c r="T683">
        <f t="shared" si="999"/>
        <v>-1.6737743047567242E-3</v>
      </c>
    </row>
    <row r="684" spans="1:20" x14ac:dyDescent="0.25">
      <c r="A684" s="5">
        <v>43909</v>
      </c>
      <c r="B684">
        <v>0.15229999999999999</v>
      </c>
      <c r="C684">
        <v>0.18240000000000001</v>
      </c>
      <c r="D684">
        <v>0.15029999999999999</v>
      </c>
      <c r="E684">
        <v>0.17560000000000001</v>
      </c>
      <c r="F684">
        <v>234392.59</v>
      </c>
      <c r="G684">
        <v>0</v>
      </c>
      <c r="L684" t="s">
        <v>8</v>
      </c>
      <c r="M684" t="s">
        <v>8</v>
      </c>
      <c r="N684" t="s">
        <v>8</v>
      </c>
      <c r="P684">
        <f t="shared" si="995"/>
        <v>0.57632398753894098</v>
      </c>
      <c r="Q684">
        <f t="shared" si="996"/>
        <v>135086.07211838011</v>
      </c>
      <c r="R684">
        <f t="shared" si="997"/>
        <v>-82502.020823162718</v>
      </c>
      <c r="S684">
        <f t="shared" si="998"/>
        <v>-0.82502020823162714</v>
      </c>
      <c r="T684">
        <f t="shared" si="999"/>
        <v>-8.2502020823162713E-4</v>
      </c>
    </row>
    <row r="685" spans="1:20" x14ac:dyDescent="0.25">
      <c r="A685" s="5">
        <v>43908</v>
      </c>
      <c r="B685">
        <v>0.1479</v>
      </c>
      <c r="C685">
        <v>0.1525</v>
      </c>
      <c r="D685">
        <v>0.13880000000000001</v>
      </c>
      <c r="E685">
        <v>0.15129999999999999</v>
      </c>
      <c r="F685">
        <v>120145.49</v>
      </c>
      <c r="G685">
        <v>0</v>
      </c>
      <c r="L685" t="s">
        <v>7</v>
      </c>
      <c r="M685" t="s">
        <v>7</v>
      </c>
      <c r="N685" t="s">
        <v>8</v>
      </c>
      <c r="P685">
        <f t="shared" si="995"/>
        <v>0.82481751824817406</v>
      </c>
      <c r="Q685">
        <f t="shared" si="996"/>
        <v>99098.104890510818</v>
      </c>
      <c r="R685">
        <f t="shared" si="997"/>
        <v>-217588.09294154283</v>
      </c>
      <c r="S685">
        <f t="shared" si="998"/>
        <v>-2.1758809294154284</v>
      </c>
      <c r="T685">
        <f t="shared" si="999"/>
        <v>-2.1758809294154286E-3</v>
      </c>
    </row>
    <row r="686" spans="1:20" x14ac:dyDescent="0.25">
      <c r="A686" s="5">
        <v>43907</v>
      </c>
      <c r="B686">
        <v>0.13739999999999999</v>
      </c>
      <c r="C686">
        <v>0.1648</v>
      </c>
      <c r="D686">
        <v>0.13739999999999999</v>
      </c>
      <c r="E686">
        <v>0.1479</v>
      </c>
      <c r="F686">
        <v>320715.51</v>
      </c>
      <c r="G686">
        <v>0</v>
      </c>
      <c r="L686" t="s">
        <v>8</v>
      </c>
      <c r="M686" t="s">
        <v>8</v>
      </c>
      <c r="N686" t="s">
        <v>8</v>
      </c>
      <c r="P686">
        <f t="shared" si="995"/>
        <v>-0.23357664233576594</v>
      </c>
      <c r="Q686">
        <f t="shared" si="996"/>
        <v>-74911.651970802763</v>
      </c>
      <c r="R686">
        <f t="shared" si="997"/>
        <v>-316686.19783205364</v>
      </c>
      <c r="S686">
        <f t="shared" si="998"/>
        <v>-3.1668619783205365</v>
      </c>
      <c r="T686">
        <f t="shared" si="999"/>
        <v>-3.1668619783205365E-3</v>
      </c>
    </row>
    <row r="687" spans="1:20" x14ac:dyDescent="0.25">
      <c r="A687" s="5">
        <v>43906</v>
      </c>
      <c r="B687">
        <v>0.1535</v>
      </c>
      <c r="C687">
        <v>0.15429999999999999</v>
      </c>
      <c r="D687">
        <v>0.1268</v>
      </c>
      <c r="E687">
        <v>0.1389</v>
      </c>
      <c r="F687">
        <v>133165.75</v>
      </c>
      <c r="G687">
        <v>0</v>
      </c>
      <c r="L687" t="s">
        <v>7</v>
      </c>
      <c r="M687" t="s">
        <v>7</v>
      </c>
      <c r="N687" t="s">
        <v>8</v>
      </c>
      <c r="P687">
        <f t="shared" si="995"/>
        <v>-0.11999999999999993</v>
      </c>
      <c r="Q687">
        <f t="shared" si="996"/>
        <v>-15979.88999999999</v>
      </c>
      <c r="R687">
        <f t="shared" si="997"/>
        <v>-241774.5458612509</v>
      </c>
      <c r="S687">
        <f t="shared" si="998"/>
        <v>-2.4177454586125089</v>
      </c>
      <c r="T687">
        <f t="shared" si="999"/>
        <v>-2.4177454586125089E-3</v>
      </c>
    </row>
    <row r="688" spans="1:20" x14ac:dyDescent="0.25">
      <c r="A688" s="5">
        <v>43905</v>
      </c>
      <c r="B688">
        <v>0.15140000000000001</v>
      </c>
      <c r="C688">
        <v>0.1648</v>
      </c>
      <c r="D688">
        <v>0.15029999999999999</v>
      </c>
      <c r="E688">
        <v>0.15440000000000001</v>
      </c>
      <c r="F688">
        <v>84618.3</v>
      </c>
      <c r="G688">
        <v>0</v>
      </c>
      <c r="L688" t="s">
        <v>7</v>
      </c>
      <c r="M688" t="s">
        <v>8</v>
      </c>
      <c r="N688" t="s">
        <v>8</v>
      </c>
      <c r="P688">
        <f t="shared" si="995"/>
        <v>-0.43448275862068736</v>
      </c>
      <c r="Q688">
        <f t="shared" si="996"/>
        <v>-36765.192413792909</v>
      </c>
      <c r="R688">
        <f t="shared" si="997"/>
        <v>-225794.65586125091</v>
      </c>
      <c r="S688">
        <f t="shared" si="998"/>
        <v>-2.2579465586125091</v>
      </c>
      <c r="T688">
        <f t="shared" si="999"/>
        <v>-2.2579465586125089E-3</v>
      </c>
    </row>
    <row r="689" spans="1:20" x14ac:dyDescent="0.25">
      <c r="A689" s="5">
        <v>43904</v>
      </c>
      <c r="B689">
        <v>0.16020000000000001</v>
      </c>
      <c r="C689">
        <v>0.16339999999999999</v>
      </c>
      <c r="D689">
        <v>0.15</v>
      </c>
      <c r="E689">
        <v>0.152</v>
      </c>
      <c r="F689">
        <v>33796.480000000003</v>
      </c>
      <c r="G689">
        <v>0</v>
      </c>
      <c r="L689" t="s">
        <v>8</v>
      </c>
      <c r="M689" t="s">
        <v>8</v>
      </c>
      <c r="N689" t="s">
        <v>7</v>
      </c>
      <c r="P689">
        <f t="shared" si="995"/>
        <v>-0.70149253731343242</v>
      </c>
      <c r="Q689">
        <f t="shared" si="996"/>
        <v>-23707.978507462674</v>
      </c>
      <c r="R689">
        <f t="shared" si="997"/>
        <v>-189029.46344745799</v>
      </c>
      <c r="S689">
        <f t="shared" si="998"/>
        <v>-1.8902946344745799</v>
      </c>
      <c r="T689">
        <f t="shared" si="999"/>
        <v>-1.8902946344745799E-3</v>
      </c>
    </row>
    <row r="690" spans="1:20" x14ac:dyDescent="0.25">
      <c r="A690" s="5">
        <v>43903</v>
      </c>
      <c r="B690">
        <v>0.13619999999999999</v>
      </c>
      <c r="C690">
        <v>0.1716</v>
      </c>
      <c r="D690">
        <v>0.113</v>
      </c>
      <c r="E690">
        <v>0.15809999999999999</v>
      </c>
      <c r="F690">
        <v>460356.76</v>
      </c>
      <c r="G690">
        <v>0</v>
      </c>
      <c r="L690" t="s">
        <v>7</v>
      </c>
      <c r="M690" t="s">
        <v>7</v>
      </c>
      <c r="N690" t="s">
        <v>7</v>
      </c>
      <c r="P690">
        <f t="shared" si="995"/>
        <v>0.53924914675767877</v>
      </c>
      <c r="Q690">
        <f t="shared" si="996"/>
        <v>248246.9900341295</v>
      </c>
      <c r="R690">
        <f t="shared" si="997"/>
        <v>-165321.48493999531</v>
      </c>
      <c r="S690">
        <f t="shared" si="998"/>
        <v>-1.653214849399953</v>
      </c>
      <c r="T690">
        <f t="shared" si="999"/>
        <v>-1.653214849399953E-3</v>
      </c>
    </row>
    <row r="691" spans="1:20" x14ac:dyDescent="0.25">
      <c r="A691" s="5">
        <v>43902</v>
      </c>
      <c r="B691">
        <v>0.24179999999999999</v>
      </c>
      <c r="C691">
        <v>0.24260000000000001</v>
      </c>
      <c r="D691">
        <v>0.12790000000000001</v>
      </c>
      <c r="E691">
        <v>0.13289999999999999</v>
      </c>
      <c r="F691">
        <v>269340.99</v>
      </c>
      <c r="G691">
        <v>0</v>
      </c>
      <c r="L691" t="s">
        <v>7</v>
      </c>
      <c r="M691" t="s">
        <v>7</v>
      </c>
      <c r="N691" t="s">
        <v>7</v>
      </c>
      <c r="P691">
        <f t="shared" si="995"/>
        <v>-0.91281604184830034</v>
      </c>
      <c r="Q691">
        <f t="shared" si="996"/>
        <v>-245858.77639930265</v>
      </c>
      <c r="R691">
        <f t="shared" si="997"/>
        <v>-413568.47497412481</v>
      </c>
      <c r="S691">
        <f t="shared" si="998"/>
        <v>-4.1356847497412481</v>
      </c>
      <c r="T691">
        <f t="shared" si="999"/>
        <v>-4.135684749741248E-3</v>
      </c>
    </row>
    <row r="692" spans="1:20" x14ac:dyDescent="0.25">
      <c r="A692" s="5">
        <v>43901</v>
      </c>
      <c r="B692">
        <v>0.24379999999999999</v>
      </c>
      <c r="C692">
        <v>0.24729999999999999</v>
      </c>
      <c r="D692">
        <v>0.223</v>
      </c>
      <c r="E692">
        <v>0.2419</v>
      </c>
      <c r="F692">
        <v>50817.55</v>
      </c>
      <c r="G692">
        <v>0</v>
      </c>
      <c r="L692" t="s">
        <v>7</v>
      </c>
      <c r="M692" t="s">
        <v>7</v>
      </c>
      <c r="N692" t="s">
        <v>7</v>
      </c>
      <c r="P692">
        <f t="shared" si="995"/>
        <v>0.55555555555555636</v>
      </c>
      <c r="Q692">
        <f t="shared" si="996"/>
        <v>28231.972222222266</v>
      </c>
      <c r="R692">
        <f t="shared" si="997"/>
        <v>-167709.69857482213</v>
      </c>
      <c r="S692">
        <f t="shared" si="998"/>
        <v>-1.6770969857482214</v>
      </c>
      <c r="T692">
        <f t="shared" si="999"/>
        <v>-1.6770969857482214E-3</v>
      </c>
    </row>
    <row r="693" spans="1:20" x14ac:dyDescent="0.25">
      <c r="A693" s="5">
        <v>43900</v>
      </c>
      <c r="B693">
        <v>0.24340000000000001</v>
      </c>
      <c r="C693">
        <v>0.252</v>
      </c>
      <c r="D693">
        <v>0.2392</v>
      </c>
      <c r="E693">
        <v>0.2465</v>
      </c>
      <c r="F693">
        <v>51084.91</v>
      </c>
      <c r="G693">
        <v>0</v>
      </c>
      <c r="L693" t="s">
        <v>8</v>
      </c>
      <c r="M693" t="s">
        <v>7</v>
      </c>
      <c r="N693" t="s">
        <v>7</v>
      </c>
      <c r="P693">
        <f t="shared" si="995"/>
        <v>0.14062499999999964</v>
      </c>
      <c r="Q693">
        <f t="shared" si="996"/>
        <v>7183.8154687499818</v>
      </c>
      <c r="R693">
        <f t="shared" si="997"/>
        <v>-195941.67079704441</v>
      </c>
      <c r="S693">
        <f t="shared" si="998"/>
        <v>-1.9594167079704441</v>
      </c>
      <c r="T693">
        <f t="shared" si="999"/>
        <v>-1.9594167079704443E-3</v>
      </c>
    </row>
    <row r="694" spans="1:20" x14ac:dyDescent="0.25">
      <c r="A694" s="5">
        <v>43899</v>
      </c>
      <c r="B694">
        <v>0.2472</v>
      </c>
      <c r="C694">
        <v>0.25319999999999998</v>
      </c>
      <c r="D694">
        <v>0.23100000000000001</v>
      </c>
      <c r="E694">
        <v>0.2414</v>
      </c>
      <c r="F694">
        <v>48336.35</v>
      </c>
      <c r="G694">
        <v>0</v>
      </c>
      <c r="L694" t="s">
        <v>7</v>
      </c>
      <c r="M694" t="s">
        <v>7</v>
      </c>
      <c r="N694" t="s">
        <v>7</v>
      </c>
      <c r="P694">
        <f t="shared" si="995"/>
        <v>-6.3063063063062461E-2</v>
      </c>
      <c r="Q694">
        <f t="shared" si="996"/>
        <v>-3048.2382882882589</v>
      </c>
      <c r="R694">
        <f t="shared" si="997"/>
        <v>-203125.4862657944</v>
      </c>
      <c r="S694">
        <f t="shared" si="998"/>
        <v>-2.0312548626579439</v>
      </c>
      <c r="T694">
        <f t="shared" si="999"/>
        <v>-2.0312548626579439E-3</v>
      </c>
    </row>
    <row r="695" spans="1:20" x14ac:dyDescent="0.25">
      <c r="A695" s="5">
        <v>43898</v>
      </c>
      <c r="B695">
        <v>0.28670000000000001</v>
      </c>
      <c r="C695">
        <v>0.28670000000000001</v>
      </c>
      <c r="D695">
        <v>0.24179999999999999</v>
      </c>
      <c r="E695">
        <v>0.24779999999999999</v>
      </c>
      <c r="F695">
        <v>180627.73</v>
      </c>
      <c r="G695">
        <v>0</v>
      </c>
      <c r="L695" t="s">
        <v>7</v>
      </c>
      <c r="M695" t="s">
        <v>7</v>
      </c>
      <c r="N695" t="s">
        <v>7</v>
      </c>
      <c r="P695">
        <f t="shared" si="995"/>
        <v>-0.73273942093541189</v>
      </c>
      <c r="Q695">
        <f t="shared" si="996"/>
        <v>-132353.05828507795</v>
      </c>
      <c r="R695">
        <f t="shared" si="997"/>
        <v>-200077.24797750614</v>
      </c>
      <c r="S695">
        <f t="shared" si="998"/>
        <v>-2.0007724797750615</v>
      </c>
      <c r="T695">
        <f t="shared" si="999"/>
        <v>-2.0007724797750613E-3</v>
      </c>
    </row>
    <row r="696" spans="1:20" x14ac:dyDescent="0.25">
      <c r="A696" s="5">
        <v>43897</v>
      </c>
      <c r="B696">
        <v>0.29909999999999998</v>
      </c>
      <c r="C696">
        <v>0.3049</v>
      </c>
      <c r="D696">
        <v>0.28510000000000002</v>
      </c>
      <c r="E696">
        <v>0.28699999999999998</v>
      </c>
      <c r="F696">
        <v>243325.09</v>
      </c>
      <c r="G696">
        <v>0</v>
      </c>
      <c r="L696" t="s">
        <v>8</v>
      </c>
      <c r="M696" t="s">
        <v>7</v>
      </c>
      <c r="N696" t="s">
        <v>7</v>
      </c>
      <c r="P696">
        <f t="shared" si="995"/>
        <v>-0.80808080808081229</v>
      </c>
      <c r="Q696">
        <f t="shared" si="996"/>
        <v>-196626.33535353639</v>
      </c>
      <c r="R696">
        <f t="shared" si="997"/>
        <v>-67724.18969242819</v>
      </c>
      <c r="S696">
        <f t="shared" si="998"/>
        <v>-0.67724189692428194</v>
      </c>
      <c r="T696">
        <f t="shared" si="999"/>
        <v>-6.7724189692428189E-4</v>
      </c>
    </row>
    <row r="697" spans="1:20" x14ac:dyDescent="0.25">
      <c r="A697" s="5">
        <v>43896</v>
      </c>
      <c r="B697">
        <v>0.28999999999999998</v>
      </c>
      <c r="C697">
        <v>0.29980000000000001</v>
      </c>
      <c r="D697">
        <v>0.2883</v>
      </c>
      <c r="E697">
        <v>0.29880000000000001</v>
      </c>
      <c r="F697">
        <v>114156.84</v>
      </c>
      <c r="G697">
        <v>0</v>
      </c>
      <c r="L697" t="s">
        <v>8</v>
      </c>
      <c r="M697" t="s">
        <v>7</v>
      </c>
      <c r="N697" t="s">
        <v>7</v>
      </c>
      <c r="P697">
        <f t="shared" si="995"/>
        <v>0.82608695652173914</v>
      </c>
      <c r="Q697">
        <f t="shared" si="996"/>
        <v>94303.476521739125</v>
      </c>
      <c r="R697">
        <f t="shared" si="997"/>
        <v>128902.1456611082</v>
      </c>
      <c r="S697">
        <f t="shared" si="998"/>
        <v>1.289021456611082</v>
      </c>
      <c r="T697">
        <f t="shared" si="999"/>
        <v>1.2890214566110821E-3</v>
      </c>
    </row>
    <row r="698" spans="1:20" x14ac:dyDescent="0.25">
      <c r="A698" s="5">
        <v>43895</v>
      </c>
      <c r="B698">
        <v>0.27750000000000002</v>
      </c>
      <c r="C698">
        <v>0.29549999999999998</v>
      </c>
      <c r="D698">
        <v>0.27600000000000002</v>
      </c>
      <c r="E698">
        <v>0.2928</v>
      </c>
      <c r="F698">
        <v>145056.23000000001</v>
      </c>
      <c r="G698">
        <v>0</v>
      </c>
      <c r="L698" t="s">
        <v>8</v>
      </c>
      <c r="M698" t="s">
        <v>7</v>
      </c>
      <c r="N698" t="s">
        <v>7</v>
      </c>
      <c r="P698">
        <f t="shared" si="995"/>
        <v>0.72307692307692462</v>
      </c>
      <c r="Q698">
        <f t="shared" si="996"/>
        <v>104886.81246153869</v>
      </c>
      <c r="R698">
        <f t="shared" si="997"/>
        <v>34598.669139369071</v>
      </c>
      <c r="S698">
        <f t="shared" si="998"/>
        <v>0.3459866913936907</v>
      </c>
      <c r="T698">
        <f t="shared" si="999"/>
        <v>3.4598669139369073E-4</v>
      </c>
    </row>
    <row r="699" spans="1:20" x14ac:dyDescent="0.25">
      <c r="A699" s="5">
        <v>43894</v>
      </c>
      <c r="B699">
        <v>0.27429999999999999</v>
      </c>
      <c r="C699">
        <v>0.28660000000000002</v>
      </c>
      <c r="D699">
        <v>0.27110000000000001</v>
      </c>
      <c r="E699">
        <v>0.27750000000000002</v>
      </c>
      <c r="F699">
        <v>66827.399999999994</v>
      </c>
      <c r="G699">
        <v>0</v>
      </c>
      <c r="L699" t="s">
        <v>8</v>
      </c>
      <c r="M699" t="s">
        <v>7</v>
      </c>
      <c r="N699" t="s">
        <v>7</v>
      </c>
      <c r="P699">
        <f t="shared" si="995"/>
        <v>-0.17419354838709533</v>
      </c>
      <c r="Q699">
        <f t="shared" si="996"/>
        <v>-11640.901935483773</v>
      </c>
      <c r="R699">
        <f t="shared" si="997"/>
        <v>-70288.143322169621</v>
      </c>
      <c r="S699">
        <f t="shared" si="998"/>
        <v>-0.70288143322169616</v>
      </c>
      <c r="T699">
        <f t="shared" si="999"/>
        <v>-7.0288143322169618E-4</v>
      </c>
    </row>
    <row r="700" spans="1:20" x14ac:dyDescent="0.25">
      <c r="A700" s="5">
        <v>43893</v>
      </c>
      <c r="B700">
        <v>0.28089999999999998</v>
      </c>
      <c r="C700">
        <v>0.28549999999999998</v>
      </c>
      <c r="D700">
        <v>0.27089999999999997</v>
      </c>
      <c r="E700">
        <v>0.27689999999999998</v>
      </c>
      <c r="F700">
        <v>25917.439999999999</v>
      </c>
      <c r="G700">
        <v>0</v>
      </c>
      <c r="L700" t="s">
        <v>8</v>
      </c>
      <c r="M700" t="s">
        <v>7</v>
      </c>
      <c r="N700" t="s">
        <v>7</v>
      </c>
      <c r="P700">
        <f t="shared" si="995"/>
        <v>-0.1780821917808213</v>
      </c>
      <c r="Q700">
        <f t="shared" si="996"/>
        <v>-4615.4345205479285</v>
      </c>
      <c r="R700">
        <f t="shared" si="997"/>
        <v>-58647.241386685848</v>
      </c>
      <c r="S700">
        <f t="shared" si="998"/>
        <v>-0.58647241386685844</v>
      </c>
      <c r="T700">
        <f t="shared" si="999"/>
        <v>-5.8647241386685842E-4</v>
      </c>
    </row>
    <row r="701" spans="1:20" x14ac:dyDescent="0.25">
      <c r="A701" s="5">
        <v>43892</v>
      </c>
      <c r="B701">
        <v>0.26600000000000001</v>
      </c>
      <c r="C701">
        <v>0.28549999999999998</v>
      </c>
      <c r="D701">
        <v>0.26600000000000001</v>
      </c>
      <c r="E701">
        <v>0.28520000000000001</v>
      </c>
      <c r="F701">
        <v>34163.79</v>
      </c>
      <c r="G701">
        <v>0</v>
      </c>
      <c r="L701" t="s">
        <v>8</v>
      </c>
      <c r="M701" t="s">
        <v>7</v>
      </c>
      <c r="N701" t="s">
        <v>7</v>
      </c>
      <c r="P701">
        <f t="shared" si="995"/>
        <v>0.96923076923077256</v>
      </c>
      <c r="Q701">
        <f t="shared" si="996"/>
        <v>33112.596461538575</v>
      </c>
      <c r="R701">
        <f t="shared" si="997"/>
        <v>-54031.806866137922</v>
      </c>
      <c r="S701">
        <f t="shared" si="998"/>
        <v>-0.54031806866137921</v>
      </c>
      <c r="T701">
        <f t="shared" si="999"/>
        <v>-5.4031806866137923E-4</v>
      </c>
    </row>
    <row r="702" spans="1:20" x14ac:dyDescent="0.25">
      <c r="A702" s="5">
        <v>43891</v>
      </c>
      <c r="B702">
        <v>0.26750000000000002</v>
      </c>
      <c r="C702">
        <v>0.27950000000000003</v>
      </c>
      <c r="D702">
        <v>0.26050000000000001</v>
      </c>
      <c r="E702">
        <v>0.26910000000000001</v>
      </c>
      <c r="F702">
        <v>60915.33</v>
      </c>
      <c r="G702">
        <v>0</v>
      </c>
      <c r="L702" t="s">
        <v>7</v>
      </c>
      <c r="M702" t="s">
        <v>7</v>
      </c>
      <c r="N702" t="s">
        <v>7</v>
      </c>
      <c r="P702">
        <f t="shared" si="995"/>
        <v>-9.4736842105264327E-2</v>
      </c>
      <c r="Q702">
        <f t="shared" si="996"/>
        <v>-5770.9260000000713</v>
      </c>
      <c r="R702">
        <f t="shared" si="997"/>
        <v>-87144.403327676497</v>
      </c>
      <c r="S702">
        <f t="shared" si="998"/>
        <v>-0.87144403327676501</v>
      </c>
      <c r="T702">
        <f t="shared" si="999"/>
        <v>-8.71444033276765E-4</v>
      </c>
    </row>
    <row r="703" spans="1:20" x14ac:dyDescent="0.25">
      <c r="A703" s="5">
        <v>43890</v>
      </c>
      <c r="B703">
        <v>0.27750000000000002</v>
      </c>
      <c r="C703">
        <v>0.28589999999999999</v>
      </c>
      <c r="D703">
        <v>0.26500000000000001</v>
      </c>
      <c r="E703">
        <v>0.26500000000000001</v>
      </c>
      <c r="F703">
        <v>78891.34</v>
      </c>
      <c r="G703">
        <v>0</v>
      </c>
      <c r="L703" t="s">
        <v>8</v>
      </c>
      <c r="M703" t="s">
        <v>7</v>
      </c>
      <c r="N703" t="s">
        <v>7</v>
      </c>
      <c r="P703">
        <f t="shared" si="995"/>
        <v>-1</v>
      </c>
      <c r="Q703">
        <f t="shared" si="996"/>
        <v>-78891.34</v>
      </c>
      <c r="R703">
        <f t="shared" si="997"/>
        <v>-81373.477327676432</v>
      </c>
      <c r="S703">
        <f t="shared" si="998"/>
        <v>-0.81373477327676436</v>
      </c>
      <c r="T703">
        <f t="shared" si="999"/>
        <v>-8.1373477327676433E-4</v>
      </c>
    </row>
    <row r="704" spans="1:20" x14ac:dyDescent="0.25">
      <c r="A704" s="5">
        <v>43889</v>
      </c>
      <c r="B704">
        <v>0.28010000000000002</v>
      </c>
      <c r="C704">
        <v>0.29160000000000003</v>
      </c>
      <c r="D704">
        <v>0.26040000000000002</v>
      </c>
      <c r="E704">
        <v>0.27579999999999999</v>
      </c>
      <c r="F704">
        <v>82148.570000000007</v>
      </c>
      <c r="G704">
        <v>0</v>
      </c>
      <c r="L704" t="s">
        <v>7</v>
      </c>
      <c r="M704" t="s">
        <v>7</v>
      </c>
      <c r="N704" t="s">
        <v>7</v>
      </c>
      <c r="P704">
        <f t="shared" si="995"/>
        <v>-1.2820512820514964E-2</v>
      </c>
      <c r="Q704">
        <f t="shared" si="996"/>
        <v>-1053.186794871971</v>
      </c>
      <c r="R704">
        <f t="shared" si="997"/>
        <v>-2482.1373276764361</v>
      </c>
      <c r="S704">
        <f t="shared" si="998"/>
        <v>-2.4821373276764362E-2</v>
      </c>
      <c r="T704">
        <f t="shared" si="999"/>
        <v>-2.4821373276764362E-5</v>
      </c>
    </row>
    <row r="705" spans="1:20" x14ac:dyDescent="0.25">
      <c r="A705" s="5">
        <v>43888</v>
      </c>
      <c r="B705">
        <v>0.27329999999999999</v>
      </c>
      <c r="C705">
        <v>0.2883</v>
      </c>
      <c r="D705">
        <v>0.25679999999999997</v>
      </c>
      <c r="E705">
        <v>0.27950000000000003</v>
      </c>
      <c r="F705">
        <v>54730</v>
      </c>
      <c r="G705">
        <v>0</v>
      </c>
      <c r="L705" t="s">
        <v>8</v>
      </c>
      <c r="M705" t="s">
        <v>7</v>
      </c>
      <c r="N705" t="s">
        <v>7</v>
      </c>
      <c r="P705">
        <f t="shared" si="995"/>
        <v>0.44126984126984337</v>
      </c>
      <c r="Q705">
        <f t="shared" si="996"/>
        <v>24150.698412698526</v>
      </c>
      <c r="R705">
        <f t="shared" si="997"/>
        <v>-1428.9505328044652</v>
      </c>
      <c r="S705">
        <f t="shared" si="998"/>
        <v>-1.4289505328044651E-2</v>
      </c>
      <c r="T705">
        <f t="shared" si="999"/>
        <v>-1.4289505328044652E-5</v>
      </c>
    </row>
    <row r="706" spans="1:20" x14ac:dyDescent="0.25">
      <c r="A706" s="5">
        <v>43887</v>
      </c>
      <c r="B706">
        <v>0.3034</v>
      </c>
      <c r="C706">
        <v>0.3105</v>
      </c>
      <c r="D706">
        <v>0.25919999999999999</v>
      </c>
      <c r="E706">
        <v>0.27460000000000001</v>
      </c>
      <c r="F706">
        <v>98737.51</v>
      </c>
      <c r="G706">
        <v>0</v>
      </c>
      <c r="L706" t="s">
        <v>7</v>
      </c>
      <c r="M706" t="s">
        <v>7</v>
      </c>
      <c r="N706" t="s">
        <v>7</v>
      </c>
      <c r="P706">
        <f t="shared" si="995"/>
        <v>-0.39961013645224092</v>
      </c>
      <c r="Q706">
        <f t="shared" si="996"/>
        <v>-39456.509844054497</v>
      </c>
      <c r="R706">
        <f t="shared" si="997"/>
        <v>-25579.648945502991</v>
      </c>
      <c r="S706">
        <f t="shared" si="998"/>
        <v>-0.25579648945502992</v>
      </c>
      <c r="T706">
        <f t="shared" si="999"/>
        <v>-2.5579648945502992E-4</v>
      </c>
    </row>
    <row r="707" spans="1:20" x14ac:dyDescent="0.25">
      <c r="A707" s="5">
        <v>43886</v>
      </c>
      <c r="B707">
        <v>0.3296</v>
      </c>
      <c r="C707">
        <v>0.3296</v>
      </c>
      <c r="D707">
        <v>0.29949999999999999</v>
      </c>
      <c r="E707">
        <v>0.30209999999999998</v>
      </c>
      <c r="F707">
        <v>28808.67</v>
      </c>
      <c r="G707">
        <v>0</v>
      </c>
      <c r="L707" t="s">
        <v>7</v>
      </c>
      <c r="M707" t="s">
        <v>7</v>
      </c>
      <c r="N707" t="s">
        <v>7</v>
      </c>
      <c r="P707">
        <f t="shared" si="995"/>
        <v>-0.82724252491694417</v>
      </c>
      <c r="Q707">
        <f t="shared" si="996"/>
        <v>-23831.75691029902</v>
      </c>
      <c r="R707">
        <f t="shared" si="997"/>
        <v>13876.860898551506</v>
      </c>
      <c r="S707">
        <f t="shared" si="998"/>
        <v>0.13876860898551505</v>
      </c>
      <c r="T707">
        <f t="shared" si="999"/>
        <v>1.3876860898551503E-4</v>
      </c>
    </row>
    <row r="708" spans="1:20" x14ac:dyDescent="0.25">
      <c r="A708" s="5">
        <v>43885</v>
      </c>
      <c r="B708">
        <v>0.34350000000000003</v>
      </c>
      <c r="C708">
        <v>0.34749999999999998</v>
      </c>
      <c r="D708">
        <v>0.31819999999999998</v>
      </c>
      <c r="E708">
        <v>0.33119999999999999</v>
      </c>
      <c r="F708">
        <v>43463.15</v>
      </c>
      <c r="G708">
        <v>0</v>
      </c>
      <c r="L708" t="s">
        <v>7</v>
      </c>
      <c r="M708" t="s">
        <v>7</v>
      </c>
      <c r="N708" t="s">
        <v>7</v>
      </c>
      <c r="P708">
        <f t="shared" si="995"/>
        <v>-0.11262798634812186</v>
      </c>
      <c r="Q708">
        <f t="shared" si="996"/>
        <v>-4895.1670648463733</v>
      </c>
      <c r="R708">
        <f t="shared" si="997"/>
        <v>37708.617808850526</v>
      </c>
      <c r="S708">
        <f t="shared" si="998"/>
        <v>0.37708617808850525</v>
      </c>
      <c r="T708">
        <f t="shared" si="999"/>
        <v>3.7708617808850526E-4</v>
      </c>
    </row>
    <row r="709" spans="1:20" x14ac:dyDescent="0.25">
      <c r="A709" s="5">
        <v>43884</v>
      </c>
      <c r="B709">
        <v>0.33119999999999999</v>
      </c>
      <c r="C709">
        <v>0.3498</v>
      </c>
      <c r="D709">
        <v>0.32979999999999998</v>
      </c>
      <c r="E709">
        <v>0.34489999999999998</v>
      </c>
      <c r="F709">
        <v>51632.85</v>
      </c>
      <c r="G709">
        <v>0</v>
      </c>
      <c r="L709" t="s">
        <v>7</v>
      </c>
      <c r="M709" t="s">
        <v>7</v>
      </c>
      <c r="N709" t="s">
        <v>7</v>
      </c>
      <c r="P709">
        <f t="shared" si="995"/>
        <v>0.5099999999999989</v>
      </c>
      <c r="Q709">
        <f t="shared" si="996"/>
        <v>26332.753499999941</v>
      </c>
      <c r="R709">
        <f t="shared" si="997"/>
        <v>42603.784873696903</v>
      </c>
      <c r="S709">
        <f t="shared" si="998"/>
        <v>0.42603784873696904</v>
      </c>
      <c r="T709">
        <f t="shared" si="999"/>
        <v>4.2603784873696904E-4</v>
      </c>
    </row>
    <row r="710" spans="1:20" x14ac:dyDescent="0.25">
      <c r="A710" s="5">
        <v>43883</v>
      </c>
      <c r="B710">
        <v>0.33500000000000002</v>
      </c>
      <c r="C710">
        <v>0.33539999999999998</v>
      </c>
      <c r="D710">
        <v>0.32429999999999998</v>
      </c>
      <c r="E710">
        <v>0.32919999999999999</v>
      </c>
      <c r="F710">
        <v>43169.13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1000">IF(C710=D710,0,((E710-D710)-(C710-E710))/(C710-D710))</f>
        <v>-0.11711711711711423</v>
      </c>
      <c r="Q710">
        <f t="shared" ref="Q710:Q766" si="1001">F710*P710</f>
        <v>-5055.8440540539286</v>
      </c>
      <c r="R710">
        <f t="shared" ref="R710:R766" si="1002">R711+Q710</f>
        <v>16271.031373696964</v>
      </c>
      <c r="S710">
        <f t="shared" ref="S710:S766" si="1003">R710/100000</f>
        <v>0.16271031373696965</v>
      </c>
      <c r="T710">
        <f t="shared" ref="T710:T766" si="1004">S710/1000</f>
        <v>1.6271031373696964E-4</v>
      </c>
    </row>
    <row r="711" spans="1:20" x14ac:dyDescent="0.25">
      <c r="A711" s="5">
        <v>43882</v>
      </c>
      <c r="B711">
        <v>0.33119999999999999</v>
      </c>
      <c r="C711">
        <v>0.35099999999999998</v>
      </c>
      <c r="D711">
        <v>0.3291</v>
      </c>
      <c r="E711">
        <v>0.33500000000000002</v>
      </c>
      <c r="F711">
        <v>76529.13</v>
      </c>
      <c r="G711">
        <v>0</v>
      </c>
      <c r="L711" t="s">
        <v>8</v>
      </c>
      <c r="M711" t="s">
        <v>7</v>
      </c>
      <c r="N711" t="s">
        <v>7</v>
      </c>
      <c r="P711">
        <f t="shared" si="1000"/>
        <v>-0.46118721461187007</v>
      </c>
      <c r="Q711">
        <f t="shared" si="1001"/>
        <v>-35294.256301369707</v>
      </c>
      <c r="R711">
        <f t="shared" si="1002"/>
        <v>21326.875427750892</v>
      </c>
      <c r="S711">
        <f t="shared" si="1003"/>
        <v>0.21326875427750894</v>
      </c>
      <c r="T711">
        <f t="shared" si="1004"/>
        <v>2.1326875427750893E-4</v>
      </c>
    </row>
    <row r="712" spans="1:20" x14ac:dyDescent="0.25">
      <c r="A712" s="5">
        <v>43881</v>
      </c>
      <c r="B712">
        <v>0.32400000000000001</v>
      </c>
      <c r="C712">
        <v>0.33729999999999999</v>
      </c>
      <c r="D712">
        <v>0.31469999999999998</v>
      </c>
      <c r="E712">
        <v>0.33129999999999998</v>
      </c>
      <c r="F712">
        <v>80189.679999999993</v>
      </c>
      <c r="G712">
        <v>0</v>
      </c>
      <c r="L712" t="s">
        <v>7</v>
      </c>
      <c r="M712" t="s">
        <v>7</v>
      </c>
      <c r="N712" t="s">
        <v>7</v>
      </c>
      <c r="P712">
        <f t="shared" si="1000"/>
        <v>0.4690265486725661</v>
      </c>
      <c r="Q712">
        <f t="shared" si="1001"/>
        <v>37611.088849557498</v>
      </c>
      <c r="R712">
        <f t="shared" si="1002"/>
        <v>56621.1317291206</v>
      </c>
      <c r="S712">
        <f t="shared" si="1003"/>
        <v>0.566211317291206</v>
      </c>
      <c r="T712">
        <f t="shared" si="1004"/>
        <v>5.6621131729120595E-4</v>
      </c>
    </row>
    <row r="713" spans="1:20" x14ac:dyDescent="0.25">
      <c r="A713" s="5">
        <v>43880</v>
      </c>
      <c r="B713">
        <v>0.34150000000000003</v>
      </c>
      <c r="C713">
        <v>0.373</v>
      </c>
      <c r="D713">
        <v>0.3039</v>
      </c>
      <c r="E713">
        <v>0.32</v>
      </c>
      <c r="F713">
        <v>195190.69</v>
      </c>
      <c r="G713">
        <v>0</v>
      </c>
      <c r="L713" t="s">
        <v>8</v>
      </c>
      <c r="M713" t="s">
        <v>7</v>
      </c>
      <c r="N713" t="s">
        <v>7</v>
      </c>
      <c r="P713">
        <f t="shared" si="1000"/>
        <v>-0.53400868306801719</v>
      </c>
      <c r="Q713">
        <f t="shared" si="1001"/>
        <v>-104233.52331403759</v>
      </c>
      <c r="R713">
        <f t="shared" si="1002"/>
        <v>19010.042879563101</v>
      </c>
      <c r="S713">
        <f t="shared" si="1003"/>
        <v>0.19010042879563102</v>
      </c>
      <c r="T713">
        <f t="shared" si="1004"/>
        <v>1.9010042879563101E-4</v>
      </c>
    </row>
    <row r="714" spans="1:20" x14ac:dyDescent="0.25">
      <c r="A714" s="5">
        <v>43879</v>
      </c>
      <c r="B714">
        <v>0.31740000000000002</v>
      </c>
      <c r="C714">
        <v>0.36180000000000001</v>
      </c>
      <c r="D714">
        <v>0.31369999999999998</v>
      </c>
      <c r="E714">
        <v>0.34150000000000003</v>
      </c>
      <c r="F714">
        <v>147016.92000000001</v>
      </c>
      <c r="G714">
        <v>0</v>
      </c>
      <c r="L714" t="s">
        <v>8</v>
      </c>
      <c r="M714" t="s">
        <v>8</v>
      </c>
      <c r="N714" t="s">
        <v>7</v>
      </c>
      <c r="P714">
        <f t="shared" si="1000"/>
        <v>0.15592515592515713</v>
      </c>
      <c r="Q714">
        <f t="shared" si="1001"/>
        <v>22923.636174636355</v>
      </c>
      <c r="R714">
        <f t="shared" si="1002"/>
        <v>123243.56619360069</v>
      </c>
      <c r="S714">
        <f t="shared" si="1003"/>
        <v>1.2324356619360068</v>
      </c>
      <c r="T714">
        <f t="shared" si="1004"/>
        <v>1.2324356619360069E-3</v>
      </c>
    </row>
    <row r="715" spans="1:20" x14ac:dyDescent="0.25">
      <c r="A715" s="5">
        <v>43878</v>
      </c>
      <c r="B715">
        <v>0.31740000000000002</v>
      </c>
      <c r="C715">
        <v>0.32279999999999998</v>
      </c>
      <c r="D715">
        <v>0.2893</v>
      </c>
      <c r="E715">
        <v>0.31929999999999997</v>
      </c>
      <c r="F715">
        <v>90758.88</v>
      </c>
      <c r="G715">
        <v>0</v>
      </c>
      <c r="L715" t="s">
        <v>8</v>
      </c>
      <c r="M715" t="s">
        <v>7</v>
      </c>
      <c r="N715" t="s">
        <v>7</v>
      </c>
      <c r="P715">
        <f t="shared" si="1000"/>
        <v>0.7910447761194026</v>
      </c>
      <c r="Q715">
        <f t="shared" si="1001"/>
        <v>71794.337910447735</v>
      </c>
      <c r="R715">
        <f t="shared" si="1002"/>
        <v>100319.93001896434</v>
      </c>
      <c r="S715">
        <f t="shared" si="1003"/>
        <v>1.0031993001896433</v>
      </c>
      <c r="T715">
        <f t="shared" si="1004"/>
        <v>1.0031993001896433E-3</v>
      </c>
    </row>
    <row r="716" spans="1:20" x14ac:dyDescent="0.25">
      <c r="A716" s="5">
        <v>43877</v>
      </c>
      <c r="B716">
        <v>0.32229999999999998</v>
      </c>
      <c r="C716">
        <v>0.33529999999999999</v>
      </c>
      <c r="D716">
        <v>0.28720000000000001</v>
      </c>
      <c r="E716">
        <v>0.31619999999999998</v>
      </c>
      <c r="F716">
        <v>152074.92000000001</v>
      </c>
      <c r="G716">
        <v>0</v>
      </c>
      <c r="L716" t="s">
        <v>7</v>
      </c>
      <c r="M716" t="s">
        <v>7</v>
      </c>
      <c r="N716" t="s">
        <v>7</v>
      </c>
      <c r="P716">
        <f t="shared" si="1000"/>
        <v>0.20582120582120519</v>
      </c>
      <c r="Q716">
        <f t="shared" si="1001"/>
        <v>31300.243409563318</v>
      </c>
      <c r="R716">
        <f t="shared" si="1002"/>
        <v>28525.592108516601</v>
      </c>
      <c r="S716">
        <f t="shared" si="1003"/>
        <v>0.28525592108516601</v>
      </c>
      <c r="T716">
        <f t="shared" si="1004"/>
        <v>2.8525592108516603E-4</v>
      </c>
    </row>
    <row r="717" spans="1:20" x14ac:dyDescent="0.25">
      <c r="A717" s="5">
        <v>43876</v>
      </c>
      <c r="B717">
        <v>0.3528</v>
      </c>
      <c r="C717">
        <v>0.36420000000000002</v>
      </c>
      <c r="D717">
        <v>0.32129999999999997</v>
      </c>
      <c r="E717">
        <v>0.32219999999999999</v>
      </c>
      <c r="F717">
        <v>203745.41</v>
      </c>
      <c r="G717">
        <v>0</v>
      </c>
      <c r="L717" t="s">
        <v>7</v>
      </c>
      <c r="M717" t="s">
        <v>8</v>
      </c>
      <c r="N717" t="s">
        <v>7</v>
      </c>
      <c r="P717">
        <f t="shared" si="1000"/>
        <v>-0.95804195804195758</v>
      </c>
      <c r="Q717">
        <f t="shared" si="1001"/>
        <v>-195196.65153846145</v>
      </c>
      <c r="R717">
        <f t="shared" si="1002"/>
        <v>-2774.651301046717</v>
      </c>
      <c r="S717">
        <f t="shared" si="1003"/>
        <v>-2.7746513010467169E-2</v>
      </c>
      <c r="T717">
        <f t="shared" si="1004"/>
        <v>-2.7746513010467171E-5</v>
      </c>
    </row>
    <row r="718" spans="1:20" x14ac:dyDescent="0.25">
      <c r="A718" s="5">
        <v>43875</v>
      </c>
      <c r="B718">
        <v>0.3458</v>
      </c>
      <c r="C718">
        <v>0.36359999999999998</v>
      </c>
      <c r="D718">
        <v>0.33729999999999999</v>
      </c>
      <c r="E718">
        <v>0.35420000000000001</v>
      </c>
      <c r="F718">
        <v>104543.94</v>
      </c>
      <c r="G718">
        <v>0</v>
      </c>
      <c r="L718" t="s">
        <v>8</v>
      </c>
      <c r="M718" t="s">
        <v>8</v>
      </c>
      <c r="N718" t="s">
        <v>7</v>
      </c>
      <c r="P718">
        <f t="shared" si="1000"/>
        <v>0.28517110266159945</v>
      </c>
      <c r="Q718">
        <f t="shared" si="1001"/>
        <v>29812.910646388093</v>
      </c>
      <c r="R718">
        <f t="shared" si="1002"/>
        <v>192422.00023741473</v>
      </c>
      <c r="S718">
        <f t="shared" si="1003"/>
        <v>1.9242200023741474</v>
      </c>
      <c r="T718">
        <f t="shared" si="1004"/>
        <v>1.9242200023741475E-3</v>
      </c>
    </row>
    <row r="719" spans="1:20" x14ac:dyDescent="0.25">
      <c r="A719" s="5">
        <v>43874</v>
      </c>
      <c r="B719">
        <v>0.35320000000000001</v>
      </c>
      <c r="C719">
        <v>0.36159999999999998</v>
      </c>
      <c r="D719">
        <v>0.32229999999999998</v>
      </c>
      <c r="E719">
        <v>0.34870000000000001</v>
      </c>
      <c r="F719">
        <v>232040.22</v>
      </c>
      <c r="G719">
        <v>0</v>
      </c>
      <c r="L719" t="s">
        <v>7</v>
      </c>
      <c r="M719" t="s">
        <v>8</v>
      </c>
      <c r="N719" t="s">
        <v>7</v>
      </c>
      <c r="P719">
        <f t="shared" si="1000"/>
        <v>0.34351145038168107</v>
      </c>
      <c r="Q719">
        <f t="shared" si="1001"/>
        <v>79708.47251908436</v>
      </c>
      <c r="R719">
        <f t="shared" si="1002"/>
        <v>162609.08959102663</v>
      </c>
      <c r="S719">
        <f t="shared" si="1003"/>
        <v>1.6260908959102662</v>
      </c>
      <c r="T719">
        <f t="shared" si="1004"/>
        <v>1.6260908959102663E-3</v>
      </c>
    </row>
    <row r="720" spans="1:20" x14ac:dyDescent="0.25">
      <c r="A720" s="5">
        <v>43873</v>
      </c>
      <c r="B720">
        <v>0.32969999999999999</v>
      </c>
      <c r="C720">
        <v>0.37</v>
      </c>
      <c r="D720">
        <v>0.32569999999999999</v>
      </c>
      <c r="E720">
        <v>0.3538</v>
      </c>
      <c r="F720">
        <v>188688.04</v>
      </c>
      <c r="G720">
        <v>0</v>
      </c>
      <c r="L720" t="s">
        <v>8</v>
      </c>
      <c r="M720" t="s">
        <v>8</v>
      </c>
      <c r="N720" t="s">
        <v>7</v>
      </c>
      <c r="P720">
        <f t="shared" si="1000"/>
        <v>0.26862302483070022</v>
      </c>
      <c r="Q720">
        <f t="shared" si="1001"/>
        <v>50685.952054176159</v>
      </c>
      <c r="R720">
        <f t="shared" si="1002"/>
        <v>82900.617071942266</v>
      </c>
      <c r="S720">
        <f t="shared" si="1003"/>
        <v>0.82900617071942262</v>
      </c>
      <c r="T720">
        <f t="shared" si="1004"/>
        <v>8.2900617071942262E-4</v>
      </c>
    </row>
    <row r="721" spans="1:20" x14ac:dyDescent="0.25">
      <c r="A721" s="5">
        <v>43872</v>
      </c>
      <c r="B721">
        <v>0.31240000000000001</v>
      </c>
      <c r="C721">
        <v>0.33139999999999997</v>
      </c>
      <c r="D721">
        <v>0.3105</v>
      </c>
      <c r="E721">
        <v>0.3256</v>
      </c>
      <c r="F721">
        <v>65261.01</v>
      </c>
      <c r="G721">
        <v>0</v>
      </c>
      <c r="L721" t="s">
        <v>8</v>
      </c>
      <c r="M721" t="s">
        <v>7</v>
      </c>
      <c r="N721" t="s">
        <v>7</v>
      </c>
      <c r="P721">
        <f t="shared" si="1000"/>
        <v>0.44497607655502591</v>
      </c>
      <c r="Q721">
        <f t="shared" si="1001"/>
        <v>29039.588181818312</v>
      </c>
      <c r="R721">
        <f t="shared" si="1002"/>
        <v>32214.665017766107</v>
      </c>
      <c r="S721">
        <f t="shared" si="1003"/>
        <v>0.32214665017766109</v>
      </c>
      <c r="T721">
        <f t="shared" si="1004"/>
        <v>3.221466501776611E-4</v>
      </c>
    </row>
    <row r="722" spans="1:20" x14ac:dyDescent="0.25">
      <c r="A722" s="5">
        <v>43871</v>
      </c>
      <c r="B722">
        <v>0.3196</v>
      </c>
      <c r="C722">
        <v>0.32119999999999999</v>
      </c>
      <c r="D722">
        <v>0.30030000000000001</v>
      </c>
      <c r="E722">
        <v>0.31719999999999998</v>
      </c>
      <c r="F722">
        <v>148268.09</v>
      </c>
      <c r="G722">
        <v>0</v>
      </c>
      <c r="L722" t="s">
        <v>7</v>
      </c>
      <c r="M722" t="s">
        <v>7</v>
      </c>
      <c r="N722" t="s">
        <v>7</v>
      </c>
      <c r="P722">
        <f t="shared" si="1000"/>
        <v>0.61722488038277434</v>
      </c>
      <c r="Q722">
        <f t="shared" si="1001"/>
        <v>91514.754114832424</v>
      </c>
      <c r="R722">
        <f t="shared" si="1002"/>
        <v>3175.0768359477952</v>
      </c>
      <c r="S722">
        <f t="shared" si="1003"/>
        <v>3.1750768359477953E-2</v>
      </c>
      <c r="T722">
        <f t="shared" si="1004"/>
        <v>3.175076835947795E-5</v>
      </c>
    </row>
    <row r="723" spans="1:20" x14ac:dyDescent="0.25">
      <c r="A723" s="5">
        <v>43870</v>
      </c>
      <c r="B723">
        <v>0.30759999999999998</v>
      </c>
      <c r="C723">
        <v>0.32400000000000001</v>
      </c>
      <c r="D723">
        <v>0.307</v>
      </c>
      <c r="E723">
        <v>0.316</v>
      </c>
      <c r="F723">
        <v>155201.54</v>
      </c>
      <c r="G723">
        <v>0</v>
      </c>
      <c r="L723" t="s">
        <v>8</v>
      </c>
      <c r="M723" t="s">
        <v>7</v>
      </c>
      <c r="N723" t="s">
        <v>7</v>
      </c>
      <c r="P723">
        <f t="shared" si="1000"/>
        <v>5.8823529411764705E-2</v>
      </c>
      <c r="Q723">
        <f t="shared" si="1001"/>
        <v>9129.5023529411774</v>
      </c>
      <c r="R723">
        <f t="shared" si="1002"/>
        <v>-88339.677278884628</v>
      </c>
      <c r="S723">
        <f t="shared" si="1003"/>
        <v>-0.88339677278884632</v>
      </c>
      <c r="T723">
        <f t="shared" si="1004"/>
        <v>-8.8339677278884631E-4</v>
      </c>
    </row>
    <row r="724" spans="1:20" x14ac:dyDescent="0.25">
      <c r="A724" s="5">
        <v>43869</v>
      </c>
      <c r="B724">
        <v>0.3105</v>
      </c>
      <c r="C724">
        <v>0.32450000000000001</v>
      </c>
      <c r="D724">
        <v>0.30109999999999998</v>
      </c>
      <c r="E724">
        <v>0.30819999999999997</v>
      </c>
      <c r="F724">
        <v>237181.78</v>
      </c>
      <c r="G724">
        <v>0</v>
      </c>
      <c r="L724" t="s">
        <v>8</v>
      </c>
      <c r="M724" t="s">
        <v>7</v>
      </c>
      <c r="N724" t="s">
        <v>7</v>
      </c>
      <c r="P724">
        <f t="shared" si="1000"/>
        <v>-0.39316239316239437</v>
      </c>
      <c r="Q724">
        <f t="shared" si="1001"/>
        <v>-93250.956239316525</v>
      </c>
      <c r="R724">
        <f t="shared" si="1002"/>
        <v>-97469.179631825798</v>
      </c>
      <c r="S724">
        <f t="shared" si="1003"/>
        <v>-0.97469179631825797</v>
      </c>
      <c r="T724">
        <f t="shared" si="1004"/>
        <v>-9.7469179631825794E-4</v>
      </c>
    </row>
    <row r="725" spans="1:20" x14ac:dyDescent="0.25">
      <c r="A725" s="5">
        <v>43868</v>
      </c>
      <c r="B725">
        <v>0.29320000000000002</v>
      </c>
      <c r="C725">
        <v>0.315</v>
      </c>
      <c r="D725">
        <v>0.28960000000000002</v>
      </c>
      <c r="E725">
        <v>0.31440000000000001</v>
      </c>
      <c r="F725">
        <v>223661.11</v>
      </c>
      <c r="G725">
        <v>0</v>
      </c>
      <c r="L725" t="s">
        <v>7</v>
      </c>
      <c r="M725" t="s">
        <v>7</v>
      </c>
      <c r="N725" t="s">
        <v>7</v>
      </c>
      <c r="P725">
        <f t="shared" si="1000"/>
        <v>0.95275590551181177</v>
      </c>
      <c r="Q725">
        <f t="shared" si="1001"/>
        <v>213094.44338582692</v>
      </c>
      <c r="R725">
        <f t="shared" si="1002"/>
        <v>-4218.2233925092733</v>
      </c>
      <c r="S725">
        <f t="shared" si="1003"/>
        <v>-4.2182233925092731E-2</v>
      </c>
      <c r="T725">
        <f t="shared" si="1004"/>
        <v>-4.2182233925092733E-5</v>
      </c>
    </row>
    <row r="726" spans="1:20" x14ac:dyDescent="0.25">
      <c r="A726" s="5">
        <v>43867</v>
      </c>
      <c r="B726">
        <v>0.28360000000000002</v>
      </c>
      <c r="C726">
        <v>1</v>
      </c>
      <c r="D726">
        <v>0.28360000000000002</v>
      </c>
      <c r="E726">
        <v>0.2954</v>
      </c>
      <c r="F726">
        <v>224715.35</v>
      </c>
      <c r="G726">
        <v>0</v>
      </c>
      <c r="P726">
        <f t="shared" si="1000"/>
        <v>-0.96705750977107785</v>
      </c>
      <c r="Q726">
        <f t="shared" si="1001"/>
        <v>-217312.66677833619</v>
      </c>
      <c r="R726">
        <f t="shared" si="1002"/>
        <v>-217312.66677833619</v>
      </c>
      <c r="S726">
        <f t="shared" si="1003"/>
        <v>-2.1731266677833618</v>
      </c>
      <c r="T726">
        <f t="shared" si="1004"/>
        <v>-2.1731266677833616E-3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H545" sqref="LH54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$A$544</v>
      </c>
      <c r="D111" s="1" t="str">
        <f>ADDRESS(C121-1,D121,1,1)</f>
        <v>$LH$544</v>
      </c>
      <c r="E111"/>
    </row>
    <row r="112" spans="1:5" x14ac:dyDescent="0.25">
      <c r="A112" s="7">
        <v>12164.144957890772</v>
      </c>
      <c r="C112" s="1" t="str">
        <f>ADDRESS(C121,1,1,1)</f>
        <v>$A$545</v>
      </c>
      <c r="D112" s="1" t="str">
        <f>ADDRESS(C121,D121-1,1,1)</f>
        <v>$LG$545</v>
      </c>
      <c r="E112"/>
    </row>
    <row r="113" spans="1:5" x14ac:dyDescent="0.25">
      <c r="A113" s="7">
        <v>11925.63231165762</v>
      </c>
      <c r="C113" s="1" t="str">
        <f>ADDRESS(C121+1,1,1,1)</f>
        <v>$A$546</v>
      </c>
      <c r="D113" s="1" t="str">
        <f>ADDRESS(C121-1,D121+1,1,1)</f>
        <v>$LI$544</v>
      </c>
    </row>
    <row r="114" spans="1:5" x14ac:dyDescent="0.25">
      <c r="A114" s="7">
        <v>11691.796383978059</v>
      </c>
      <c r="C114" s="1" t="str">
        <f>ADDRESS(C121,D121,1,1)</f>
        <v>$LH$545</v>
      </c>
      <c r="D114" s="1" t="str">
        <f>ADDRESS(C121+1,D121+1,1,1)</f>
        <v>$LI$546</v>
      </c>
    </row>
    <row r="115" spans="1:5" x14ac:dyDescent="0.25">
      <c r="A115" s="7">
        <v>11462.545474488292</v>
      </c>
      <c r="C115" s="1" t="str">
        <f>ADDRESS(C121+1,D121,1,1)</f>
        <v>$LH$546</v>
      </c>
    </row>
    <row r="116" spans="1:5" x14ac:dyDescent="0.25">
      <c r="A116" s="7">
        <v>11237.789680870874</v>
      </c>
      <c r="C116" s="1">
        <f>C117-1</f>
        <v>544</v>
      </c>
    </row>
    <row r="117" spans="1:5" x14ac:dyDescent="0.25">
      <c r="A117" s="7">
        <v>11017.440863598895</v>
      </c>
      <c r="C117" s="1">
        <f>C121</f>
        <v>545</v>
      </c>
      <c r="D117" s="1">
        <f>D121</f>
        <v>320</v>
      </c>
    </row>
    <row r="118" spans="1:5" x14ac:dyDescent="0.25">
      <c r="A118" s="7">
        <v>10801.412611371465</v>
      </c>
      <c r="C118" s="1">
        <f>C117+1</f>
        <v>546</v>
      </c>
      <c r="D118" s="1">
        <f>D117+1</f>
        <v>321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545</v>
      </c>
      <c r="D121" s="19">
        <v>320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R545</v>
      </c>
      <c r="D123" s="1" t="str">
        <f>"C"&amp;D121</f>
        <v>C320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2.2972444660248938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229" x14ac:dyDescent="0.25">
      <c r="A465" s="7">
        <v>11.200075620783522</v>
      </c>
      <c r="B465"/>
      <c r="C465"/>
      <c r="D465"/>
      <c r="E465"/>
    </row>
    <row r="466" spans="1:229" x14ac:dyDescent="0.25">
      <c r="A466" s="7">
        <v>10.980466294885806</v>
      </c>
      <c r="B466"/>
      <c r="C466"/>
      <c r="D466"/>
      <c r="E466"/>
    </row>
    <row r="467" spans="1:229" x14ac:dyDescent="0.25">
      <c r="A467" s="7">
        <v>10.765163034201771</v>
      </c>
      <c r="B467"/>
      <c r="C467"/>
      <c r="D467"/>
      <c r="E467"/>
    </row>
    <row r="468" spans="1:229" x14ac:dyDescent="0.25">
      <c r="A468" s="7">
        <v>10.554081406080169</v>
      </c>
      <c r="B468"/>
      <c r="C468"/>
      <c r="D468"/>
      <c r="E468"/>
    </row>
    <row r="469" spans="1:229" x14ac:dyDescent="0.25">
      <c r="A469" s="7">
        <v>10.34713863341193</v>
      </c>
      <c r="B469"/>
      <c r="C469"/>
      <c r="D469"/>
      <c r="E469"/>
    </row>
    <row r="470" spans="1:229" x14ac:dyDescent="0.25">
      <c r="A470" s="7">
        <v>10.14425356216856</v>
      </c>
      <c r="B470"/>
      <c r="C470"/>
      <c r="D470"/>
      <c r="E470"/>
    </row>
    <row r="471" spans="1:229" x14ac:dyDescent="0.25">
      <c r="A471" s="7">
        <v>9.9453466295770188</v>
      </c>
      <c r="B471"/>
      <c r="C471"/>
      <c r="D471"/>
      <c r="E471"/>
    </row>
    <row r="472" spans="1:229" x14ac:dyDescent="0.25">
      <c r="A472" s="7">
        <v>9.7503398329186464</v>
      </c>
      <c r="B472"/>
      <c r="C472"/>
      <c r="D472"/>
      <c r="E472"/>
    </row>
    <row r="473" spans="1:229" x14ac:dyDescent="0.25">
      <c r="A473" s="7">
        <v>9.5591566989398498</v>
      </c>
      <c r="B473"/>
      <c r="C473"/>
      <c r="D473"/>
      <c r="E473"/>
    </row>
    <row r="474" spans="1:229" x14ac:dyDescent="0.25">
      <c r="A474" s="7">
        <v>9.3717222538625968</v>
      </c>
      <c r="B474"/>
      <c r="C474"/>
      <c r="D474"/>
      <c r="E474"/>
    </row>
    <row r="475" spans="1:229" x14ac:dyDescent="0.25">
      <c r="A475" s="7">
        <v>9.1879629939829375</v>
      </c>
      <c r="B475"/>
      <c r="C475"/>
      <c r="D475"/>
      <c r="E475"/>
      <c r="GQ475" s="27" t="s">
        <v>8</v>
      </c>
    </row>
    <row r="476" spans="1:229" x14ac:dyDescent="0.25">
      <c r="A476" s="7">
        <v>9.0078068568460168</v>
      </c>
      <c r="B476"/>
      <c r="C476"/>
      <c r="D476"/>
      <c r="E476"/>
      <c r="GQ476" s="27" t="s">
        <v>8</v>
      </c>
      <c r="GR476" s="27" t="s">
        <v>7</v>
      </c>
    </row>
    <row r="477" spans="1:229" x14ac:dyDescent="0.25">
      <c r="A477" s="7">
        <v>8.8311831929862912</v>
      </c>
      <c r="B477"/>
      <c r="C477"/>
      <c r="D477"/>
      <c r="E477"/>
      <c r="GQ477" s="27" t="s">
        <v>8</v>
      </c>
      <c r="GR477" s="27" t="s">
        <v>7</v>
      </c>
    </row>
    <row r="478" spans="1:229" x14ac:dyDescent="0.25">
      <c r="A478" s="7">
        <v>8.6580227382218542</v>
      </c>
      <c r="B478"/>
      <c r="C478"/>
      <c r="D478"/>
      <c r="E478"/>
      <c r="GQ478" s="27" t="s">
        <v>8</v>
      </c>
      <c r="GR478" s="27" t="s">
        <v>7</v>
      </c>
      <c r="GW478" s="27" t="s">
        <v>8</v>
      </c>
    </row>
    <row r="479" spans="1:229" x14ac:dyDescent="0.25">
      <c r="A479" s="7">
        <v>8.4882575864920131</v>
      </c>
      <c r="B479"/>
      <c r="C479"/>
      <c r="D479"/>
      <c r="E479"/>
      <c r="GQ479" s="27" t="s">
        <v>8</v>
      </c>
      <c r="GR479" s="27" t="s">
        <v>7</v>
      </c>
      <c r="GW479" s="27" t="s">
        <v>8</v>
      </c>
      <c r="GX479" s="27" t="s">
        <v>7</v>
      </c>
    </row>
    <row r="480" spans="1:229" x14ac:dyDescent="0.25">
      <c r="A480" s="7">
        <v>8.3218211632274635</v>
      </c>
      <c r="B480"/>
      <c r="C480"/>
      <c r="D480"/>
      <c r="E480"/>
      <c r="GQ480" s="27" t="s">
        <v>8</v>
      </c>
      <c r="GR480" s="27" t="s">
        <v>7</v>
      </c>
      <c r="GW480" s="27" t="s">
        <v>8</v>
      </c>
      <c r="GX480" s="27" t="s">
        <v>7</v>
      </c>
      <c r="HS480" s="27" t="s">
        <v>8</v>
      </c>
      <c r="HU480" s="27" t="s">
        <v>8</v>
      </c>
    </row>
    <row r="481" spans="1:232" x14ac:dyDescent="0.25">
      <c r="A481" s="7">
        <v>8.1586481992426112</v>
      </c>
      <c r="B481"/>
      <c r="C481"/>
      <c r="D481"/>
      <c r="E481"/>
      <c r="GQ481" s="27" t="s">
        <v>8</v>
      </c>
      <c r="GR481" s="27" t="s">
        <v>7</v>
      </c>
      <c r="GS481" s="27" t="s">
        <v>8</v>
      </c>
      <c r="GU481" s="27" t="s">
        <v>8</v>
      </c>
      <c r="GW481" s="27" t="s">
        <v>8</v>
      </c>
      <c r="GX481" s="27" t="s">
        <v>7</v>
      </c>
      <c r="HG481" s="27" t="s">
        <v>8</v>
      </c>
      <c r="HS481" s="27" t="s">
        <v>8</v>
      </c>
      <c r="HT481" s="27" t="s">
        <v>7</v>
      </c>
      <c r="HU481" s="27" t="s">
        <v>8</v>
      </c>
      <c r="HV481" s="27" t="s">
        <v>7</v>
      </c>
    </row>
    <row r="482" spans="1:232" x14ac:dyDescent="0.25">
      <c r="A482" s="7">
        <v>7.9986747051398144</v>
      </c>
      <c r="B482"/>
      <c r="C482"/>
      <c r="D482"/>
      <c r="E482"/>
      <c r="GQ482" s="27" t="s">
        <v>8</v>
      </c>
      <c r="GR482" s="27" t="s">
        <v>7</v>
      </c>
      <c r="GS482" s="27" t="s">
        <v>8</v>
      </c>
      <c r="GT482" s="27" t="s">
        <v>7</v>
      </c>
      <c r="GU482" s="27" t="s">
        <v>8</v>
      </c>
      <c r="GV482" s="27" t="s">
        <v>7</v>
      </c>
      <c r="GW482" s="27" t="s">
        <v>8</v>
      </c>
      <c r="GX482" s="27" t="s">
        <v>7</v>
      </c>
      <c r="HG482" s="27" t="s">
        <v>8</v>
      </c>
      <c r="HH482" s="27" t="s">
        <v>7</v>
      </c>
      <c r="HS482" s="27" t="s">
        <v>8</v>
      </c>
      <c r="HT482" s="27" t="s">
        <v>7</v>
      </c>
      <c r="HU482" s="27" t="s">
        <v>8</v>
      </c>
      <c r="HV482" s="27" t="s">
        <v>7</v>
      </c>
    </row>
    <row r="483" spans="1:232" x14ac:dyDescent="0.25">
      <c r="A483" s="7">
        <v>7.8418379462155041</v>
      </c>
      <c r="B483"/>
      <c r="C483"/>
      <c r="D483"/>
      <c r="E483"/>
      <c r="GQ483" s="27" t="s">
        <v>8</v>
      </c>
      <c r="GR483" s="27" t="s">
        <v>7</v>
      </c>
      <c r="GS483" s="27" t="s">
        <v>8</v>
      </c>
      <c r="GT483" s="27" t="s">
        <v>7</v>
      </c>
      <c r="GU483" s="27" t="s">
        <v>8</v>
      </c>
      <c r="GV483" s="27" t="s">
        <v>7</v>
      </c>
      <c r="GW483" s="27" t="s">
        <v>8</v>
      </c>
      <c r="GX483" s="27" t="s">
        <v>7</v>
      </c>
      <c r="GY483" s="27" t="s">
        <v>8</v>
      </c>
      <c r="HA483" s="27" t="s">
        <v>8</v>
      </c>
      <c r="HG483" s="27" t="s">
        <v>8</v>
      </c>
      <c r="HH483" s="27" t="s">
        <v>7</v>
      </c>
      <c r="HI483" s="27" t="s">
        <v>8</v>
      </c>
      <c r="HS483" s="27" t="s">
        <v>8</v>
      </c>
      <c r="HT483" s="27" t="s">
        <v>7</v>
      </c>
      <c r="HU483" s="27" t="s">
        <v>8</v>
      </c>
      <c r="HV483" s="27" t="s">
        <v>7</v>
      </c>
    </row>
    <row r="484" spans="1:232" x14ac:dyDescent="0.25">
      <c r="A484" s="7">
        <v>7.688076417858337</v>
      </c>
      <c r="B484"/>
      <c r="C484"/>
      <c r="D484"/>
      <c r="E484"/>
      <c r="GQ484" s="27" t="s">
        <v>8</v>
      </c>
      <c r="GR484" s="27" t="s">
        <v>7</v>
      </c>
      <c r="GT484" s="27" t="s">
        <v>7</v>
      </c>
      <c r="GU484" s="27" t="s">
        <v>8</v>
      </c>
      <c r="GV484" s="27" t="s">
        <v>7</v>
      </c>
      <c r="GW484" s="27" t="s">
        <v>8</v>
      </c>
      <c r="GX484" s="27" t="s">
        <v>7</v>
      </c>
      <c r="GY484" s="27" t="s">
        <v>8</v>
      </c>
      <c r="GZ484" s="27" t="s">
        <v>7</v>
      </c>
      <c r="HA484" s="27" t="s">
        <v>8</v>
      </c>
      <c r="HB484" s="27" t="s">
        <v>7</v>
      </c>
      <c r="HG484" s="27" t="s">
        <v>8</v>
      </c>
      <c r="HH484" s="27" t="s">
        <v>7</v>
      </c>
      <c r="HI484" s="27" t="s">
        <v>8</v>
      </c>
      <c r="HJ484" s="27" t="s">
        <v>7</v>
      </c>
      <c r="HS484" s="27" t="s">
        <v>8</v>
      </c>
      <c r="HT484" s="27" t="s">
        <v>7</v>
      </c>
      <c r="HU484" s="27" t="s">
        <v>8</v>
      </c>
      <c r="HV484" s="27" t="s">
        <v>7</v>
      </c>
    </row>
    <row r="485" spans="1:232" x14ac:dyDescent="0.25">
      <c r="A485" s="7">
        <v>7.5373298214297417</v>
      </c>
      <c r="B485"/>
      <c r="C485"/>
      <c r="D485"/>
      <c r="E485"/>
      <c r="GQ485" s="27" t="s">
        <v>8</v>
      </c>
      <c r="GT485" s="27" t="s">
        <v>7</v>
      </c>
      <c r="GU485" s="27" t="s">
        <v>8</v>
      </c>
      <c r="GV485" s="27" t="s">
        <v>7</v>
      </c>
      <c r="GX485" s="27" t="s">
        <v>7</v>
      </c>
      <c r="GY485" s="27" t="s">
        <v>8</v>
      </c>
      <c r="GZ485" s="27" t="s">
        <v>7</v>
      </c>
      <c r="HA485" s="27" t="s">
        <v>8</v>
      </c>
      <c r="HB485" s="27" t="s">
        <v>7</v>
      </c>
      <c r="HG485" s="27" t="s">
        <v>8</v>
      </c>
      <c r="HH485" s="27" t="s">
        <v>7</v>
      </c>
      <c r="HI485" s="27" t="s">
        <v>8</v>
      </c>
      <c r="HJ485" s="27" t="s">
        <v>7</v>
      </c>
      <c r="HS485" s="27" t="s">
        <v>8</v>
      </c>
      <c r="HT485" s="27" t="s">
        <v>7</v>
      </c>
      <c r="HU485" s="27" t="s">
        <v>8</v>
      </c>
      <c r="HV485" s="27" t="s">
        <v>7</v>
      </c>
    </row>
    <row r="486" spans="1:232" x14ac:dyDescent="0.25">
      <c r="A486" s="7">
        <v>7.389539040617394</v>
      </c>
      <c r="B486"/>
      <c r="C486"/>
      <c r="D486"/>
      <c r="E486"/>
      <c r="GQ486" s="27" t="s">
        <v>8</v>
      </c>
      <c r="GT486" s="27" t="s">
        <v>7</v>
      </c>
      <c r="GU486" s="27" t="s">
        <v>8</v>
      </c>
      <c r="GX486" s="27" t="s">
        <v>7</v>
      </c>
      <c r="GY486" s="27" t="s">
        <v>8</v>
      </c>
      <c r="GZ486" s="27" t="s">
        <v>7</v>
      </c>
      <c r="HA486" s="27" t="s">
        <v>8</v>
      </c>
      <c r="HB486" s="27" t="s">
        <v>7</v>
      </c>
      <c r="HC486" s="27" t="s">
        <v>8</v>
      </c>
      <c r="HE486" s="27" t="s">
        <v>8</v>
      </c>
      <c r="HG486" s="27" t="s">
        <v>8</v>
      </c>
      <c r="HH486" s="27" t="s">
        <v>7</v>
      </c>
      <c r="HJ486" s="27" t="s">
        <v>7</v>
      </c>
      <c r="HS486" s="27" t="s">
        <v>8</v>
      </c>
      <c r="HT486" s="27" t="s">
        <v>7</v>
      </c>
      <c r="HU486" s="27" t="s">
        <v>8</v>
      </c>
      <c r="HV486" s="27" t="s">
        <v>7</v>
      </c>
    </row>
    <row r="487" spans="1:232" x14ac:dyDescent="0.25">
      <c r="A487" s="7">
        <v>7.2446461182523469</v>
      </c>
      <c r="B487"/>
      <c r="C487"/>
      <c r="D487"/>
      <c r="E487"/>
      <c r="GQ487" s="27" t="s">
        <v>8</v>
      </c>
      <c r="GT487" s="27" t="s">
        <v>7</v>
      </c>
      <c r="GX487" s="27" t="s">
        <v>7</v>
      </c>
      <c r="GY487" s="27" t="s">
        <v>8</v>
      </c>
      <c r="GZ487" s="27" t="s">
        <v>7</v>
      </c>
      <c r="HB487" s="27" t="s">
        <v>7</v>
      </c>
      <c r="HC487" s="27" t="s">
        <v>8</v>
      </c>
      <c r="HD487" s="27" t="s">
        <v>7</v>
      </c>
      <c r="HE487" s="27" t="s">
        <v>8</v>
      </c>
      <c r="HF487" s="27" t="s">
        <v>7</v>
      </c>
      <c r="HG487" s="27" t="s">
        <v>8</v>
      </c>
      <c r="HJ487" s="27" t="s">
        <v>7</v>
      </c>
      <c r="HK487" s="27" t="s">
        <v>8</v>
      </c>
      <c r="HS487" s="27" t="s">
        <v>8</v>
      </c>
      <c r="HT487" s="27" t="s">
        <v>7</v>
      </c>
      <c r="HU487" s="27" t="s">
        <v>8</v>
      </c>
      <c r="HV487" s="27" t="s">
        <v>7</v>
      </c>
    </row>
    <row r="488" spans="1:232" x14ac:dyDescent="0.25">
      <c r="A488" s="7">
        <v>7.1025942335807324</v>
      </c>
      <c r="B488"/>
      <c r="C488"/>
      <c r="D488"/>
      <c r="E488"/>
      <c r="GQ488" s="27" t="s">
        <v>8</v>
      </c>
      <c r="GX488" s="27" t="s">
        <v>7</v>
      </c>
      <c r="GY488" s="27" t="s">
        <v>8</v>
      </c>
      <c r="HB488" s="27" t="s">
        <v>7</v>
      </c>
      <c r="HC488" s="27" t="s">
        <v>8</v>
      </c>
      <c r="HD488" s="27" t="s">
        <v>7</v>
      </c>
      <c r="HE488" s="27" t="s">
        <v>8</v>
      </c>
      <c r="HF488" s="27" t="s">
        <v>7</v>
      </c>
      <c r="HG488" s="27" t="s">
        <v>8</v>
      </c>
      <c r="HJ488" s="27" t="s">
        <v>7</v>
      </c>
      <c r="HK488" s="27" t="s">
        <v>8</v>
      </c>
      <c r="HL488" s="27" t="s">
        <v>7</v>
      </c>
      <c r="HM488" s="27" t="s">
        <v>8</v>
      </c>
      <c r="HS488" s="27" t="s">
        <v>8</v>
      </c>
      <c r="HT488" s="27" t="s">
        <v>7</v>
      </c>
      <c r="HV488" s="27" t="s">
        <v>7</v>
      </c>
    </row>
    <row r="489" spans="1:232" x14ac:dyDescent="0.25">
      <c r="A489" s="7">
        <v>6.9633276799811101</v>
      </c>
      <c r="B489"/>
      <c r="C489"/>
      <c r="D489"/>
      <c r="E489"/>
      <c r="GQ489" s="27" t="s">
        <v>8</v>
      </c>
      <c r="GX489" s="27" t="s">
        <v>7</v>
      </c>
      <c r="GY489" s="27" t="s">
        <v>8</v>
      </c>
      <c r="HB489" s="27" t="s">
        <v>7</v>
      </c>
      <c r="HD489" s="27" t="s">
        <v>7</v>
      </c>
      <c r="HF489" s="27" t="s">
        <v>7</v>
      </c>
      <c r="HG489" s="27" t="s">
        <v>8</v>
      </c>
      <c r="HJ489" s="27" t="s">
        <v>7</v>
      </c>
      <c r="HK489" s="27" t="s">
        <v>8</v>
      </c>
      <c r="HL489" s="27" t="s">
        <v>7</v>
      </c>
      <c r="HM489" s="27" t="s">
        <v>8</v>
      </c>
      <c r="HN489" s="27" t="s">
        <v>7</v>
      </c>
      <c r="HS489" s="27" t="s">
        <v>8</v>
      </c>
      <c r="HV489" s="27" t="s">
        <v>7</v>
      </c>
    </row>
    <row r="490" spans="1:232" x14ac:dyDescent="0.25">
      <c r="A490" s="7">
        <v>6.8267918431187349</v>
      </c>
      <c r="B490"/>
      <c r="C490"/>
      <c r="D490"/>
      <c r="E490"/>
      <c r="GQ490" s="27" t="s">
        <v>8</v>
      </c>
      <c r="GX490" s="27" t="s">
        <v>7</v>
      </c>
      <c r="GY490" s="27" t="s">
        <v>8</v>
      </c>
      <c r="HF490" s="27" t="s">
        <v>7</v>
      </c>
      <c r="HJ490" s="27" t="s">
        <v>7</v>
      </c>
      <c r="HK490" s="27" t="s">
        <v>8</v>
      </c>
      <c r="HL490" s="27" t="s">
        <v>7</v>
      </c>
      <c r="HM490" s="27" t="s">
        <v>8</v>
      </c>
      <c r="HN490" s="27" t="s">
        <v>7</v>
      </c>
      <c r="HQ490" s="27" t="s">
        <v>8</v>
      </c>
      <c r="HS490" s="27" t="s">
        <v>8</v>
      </c>
      <c r="HV490" s="27" t="s">
        <v>7</v>
      </c>
      <c r="HW490" s="27" t="s">
        <v>8</v>
      </c>
    </row>
    <row r="491" spans="1:232" x14ac:dyDescent="0.25">
      <c r="A491" s="7">
        <v>6.692933179528171</v>
      </c>
      <c r="B491"/>
      <c r="C491"/>
      <c r="D491"/>
      <c r="E491"/>
      <c r="GK491" s="27" t="s">
        <v>8</v>
      </c>
      <c r="GQ491" s="27" t="s">
        <v>8</v>
      </c>
      <c r="GX491" s="27" t="s">
        <v>7</v>
      </c>
      <c r="HJ491" s="27" t="s">
        <v>7</v>
      </c>
      <c r="HK491" s="27" t="s">
        <v>8</v>
      </c>
      <c r="HL491" s="27" t="s">
        <v>7</v>
      </c>
      <c r="HM491" s="27" t="s">
        <v>8</v>
      </c>
      <c r="HN491" s="27" t="s">
        <v>7</v>
      </c>
      <c r="HQ491" s="27" t="s">
        <v>8</v>
      </c>
      <c r="HR491" s="27" t="s">
        <v>7</v>
      </c>
      <c r="HS491" s="27" t="s">
        <v>8</v>
      </c>
      <c r="HV491" s="27" t="s">
        <v>7</v>
      </c>
      <c r="HW491" s="27" t="s">
        <v>8</v>
      </c>
      <c r="HX491" s="27" t="s">
        <v>7</v>
      </c>
    </row>
    <row r="492" spans="1:232" x14ac:dyDescent="0.25">
      <c r="A492" s="7">
        <v>6.5616991956158541</v>
      </c>
      <c r="B492"/>
      <c r="C492"/>
      <c r="D492"/>
      <c r="E492"/>
      <c r="GK492" s="27" t="s">
        <v>8</v>
      </c>
      <c r="GL492" s="27" t="s">
        <v>7</v>
      </c>
      <c r="GQ492" s="27" t="s">
        <v>8</v>
      </c>
      <c r="HJ492" s="27" t="s">
        <v>7</v>
      </c>
      <c r="HK492" s="27" t="s">
        <v>8</v>
      </c>
      <c r="HL492" s="27" t="s">
        <v>7</v>
      </c>
      <c r="HM492" s="27" t="s">
        <v>8</v>
      </c>
      <c r="HN492" s="27" t="s">
        <v>7</v>
      </c>
      <c r="HQ492" s="27" t="s">
        <v>8</v>
      </c>
      <c r="HR492" s="27" t="s">
        <v>7</v>
      </c>
      <c r="HS492" s="27" t="s">
        <v>8</v>
      </c>
      <c r="HV492" s="27" t="s">
        <v>7</v>
      </c>
      <c r="HW492" s="27" t="s">
        <v>8</v>
      </c>
      <c r="HX492" s="27" t="s">
        <v>7</v>
      </c>
    </row>
    <row r="493" spans="1:232" x14ac:dyDescent="0.25">
      <c r="A493" s="7">
        <v>6.4330384270743668</v>
      </c>
      <c r="B493"/>
      <c r="C493"/>
      <c r="D493"/>
      <c r="E493"/>
      <c r="GK493" s="27" t="s">
        <v>8</v>
      </c>
      <c r="GL493" s="27" t="s">
        <v>7</v>
      </c>
      <c r="GQ493" s="27" t="s">
        <v>8</v>
      </c>
      <c r="HJ493" s="27" t="s">
        <v>7</v>
      </c>
      <c r="HK493" s="27" t="s">
        <v>8</v>
      </c>
      <c r="HL493" s="27" t="s">
        <v>7</v>
      </c>
      <c r="HM493" s="27" t="s">
        <v>8</v>
      </c>
      <c r="HN493" s="27" t="s">
        <v>7</v>
      </c>
      <c r="HQ493" s="27" t="s">
        <v>8</v>
      </c>
      <c r="HR493" s="27" t="s">
        <v>7</v>
      </c>
      <c r="HV493" s="27" t="s">
        <v>7</v>
      </c>
      <c r="HW493" s="27" t="s">
        <v>8</v>
      </c>
      <c r="HX493" s="27" t="s">
        <v>7</v>
      </c>
    </row>
    <row r="494" spans="1:232" x14ac:dyDescent="0.25">
      <c r="A494" s="7">
        <v>6.3069004187003594</v>
      </c>
      <c r="B494"/>
      <c r="C494"/>
      <c r="D494"/>
      <c r="E494"/>
      <c r="GK494" s="27" t="s">
        <v>8</v>
      </c>
      <c r="GL494" s="27" t="s">
        <v>7</v>
      </c>
      <c r="GM494" s="27" t="s">
        <v>8</v>
      </c>
      <c r="GQ494" s="27" t="s">
        <v>8</v>
      </c>
      <c r="HJ494" s="27" t="s">
        <v>7</v>
      </c>
      <c r="HK494" s="27" t="s">
        <v>8</v>
      </c>
      <c r="HL494" s="27" t="s">
        <v>7</v>
      </c>
      <c r="HM494" s="27" t="s">
        <v>8</v>
      </c>
      <c r="HN494" s="27" t="s">
        <v>7</v>
      </c>
      <c r="HO494" s="27" t="s">
        <v>8</v>
      </c>
      <c r="HQ494" s="27" t="s">
        <v>8</v>
      </c>
      <c r="HV494" s="27" t="s">
        <v>7</v>
      </c>
      <c r="HW494" s="27" t="s">
        <v>8</v>
      </c>
      <c r="HX494" s="27" t="s">
        <v>7</v>
      </c>
    </row>
    <row r="495" spans="1:232" x14ac:dyDescent="0.25">
      <c r="A495" s="7">
        <v>6.1832357046081956</v>
      </c>
      <c r="B495"/>
      <c r="C495"/>
      <c r="D495"/>
      <c r="E495"/>
      <c r="GI495" s="27" t="s">
        <v>8</v>
      </c>
      <c r="GK495" s="27" t="s">
        <v>8</v>
      </c>
      <c r="GL495" s="27" t="s">
        <v>7</v>
      </c>
      <c r="GM495" s="27" t="s">
        <v>8</v>
      </c>
      <c r="GN495" s="27" t="s">
        <v>7</v>
      </c>
      <c r="GQ495" s="27" t="s">
        <v>8</v>
      </c>
      <c r="HJ495" s="27" t="s">
        <v>7</v>
      </c>
      <c r="HL495" s="27" t="s">
        <v>7</v>
      </c>
      <c r="HN495" s="27" t="s">
        <v>7</v>
      </c>
      <c r="HO495" s="27" t="s">
        <v>8</v>
      </c>
      <c r="HP495" s="27" t="s">
        <v>7</v>
      </c>
      <c r="HQ495" s="27" t="s">
        <v>8</v>
      </c>
      <c r="HV495" s="27" t="s">
        <v>7</v>
      </c>
      <c r="HW495" s="27" t="s">
        <v>8</v>
      </c>
      <c r="HX495" s="27" t="s">
        <v>7</v>
      </c>
    </row>
    <row r="496" spans="1:232" x14ac:dyDescent="0.25">
      <c r="A496" s="7">
        <v>6.0619957888315641</v>
      </c>
      <c r="B496"/>
      <c r="C496"/>
      <c r="D496"/>
      <c r="E496"/>
      <c r="GI496" s="27" t="s">
        <v>8</v>
      </c>
      <c r="GJ496" s="27" t="s">
        <v>7</v>
      </c>
      <c r="GK496" s="27" t="s">
        <v>8</v>
      </c>
      <c r="GL496" s="27" t="s">
        <v>7</v>
      </c>
      <c r="GM496" s="27" t="s">
        <v>8</v>
      </c>
      <c r="GN496" s="27" t="s">
        <v>7</v>
      </c>
      <c r="GQ496" s="27" t="s">
        <v>8</v>
      </c>
      <c r="HN496" s="27" t="s">
        <v>7</v>
      </c>
      <c r="HO496" s="27" t="s">
        <v>8</v>
      </c>
      <c r="HP496" s="27" t="s">
        <v>7</v>
      </c>
      <c r="HQ496" s="27" t="s">
        <v>8</v>
      </c>
      <c r="HV496" s="27" t="s">
        <v>7</v>
      </c>
      <c r="HX496" s="27" t="s">
        <v>7</v>
      </c>
    </row>
    <row r="497" spans="1:294" x14ac:dyDescent="0.25">
      <c r="A497" s="7">
        <v>5.9431331263054545</v>
      </c>
      <c r="B497"/>
      <c r="C497"/>
      <c r="D497"/>
      <c r="E497"/>
      <c r="GI497" s="27" t="s">
        <v>8</v>
      </c>
      <c r="GJ497" s="27" t="s">
        <v>7</v>
      </c>
      <c r="GK497" s="27" t="s">
        <v>8</v>
      </c>
      <c r="GL497" s="27" t="s">
        <v>7</v>
      </c>
      <c r="GM497" s="27" t="s">
        <v>8</v>
      </c>
      <c r="GN497" s="27" t="s">
        <v>7</v>
      </c>
      <c r="GQ497" s="27" t="s">
        <v>8</v>
      </c>
      <c r="HN497" s="27" t="s">
        <v>7</v>
      </c>
      <c r="HO497" s="27" t="s">
        <v>8</v>
      </c>
      <c r="HP497" s="27" t="s">
        <v>7</v>
      </c>
      <c r="HQ497" s="27" t="s">
        <v>8</v>
      </c>
      <c r="HX497" s="27" t="s">
        <v>7</v>
      </c>
    </row>
    <row r="498" spans="1:294" x14ac:dyDescent="0.25">
      <c r="A498" s="7">
        <v>5.8266011042210337</v>
      </c>
      <c r="B498"/>
      <c r="C498"/>
      <c r="D498"/>
      <c r="E498"/>
      <c r="GI498" s="27" t="s">
        <v>8</v>
      </c>
      <c r="GJ498" s="27" t="s">
        <v>7</v>
      </c>
      <c r="GK498" s="27" t="s">
        <v>8</v>
      </c>
      <c r="GL498" s="27" t="s">
        <v>7</v>
      </c>
      <c r="GM498" s="27" t="s">
        <v>8</v>
      </c>
      <c r="GN498" s="27" t="s">
        <v>7</v>
      </c>
      <c r="GQ498" s="27" t="s">
        <v>8</v>
      </c>
      <c r="HN498" s="27" t="s">
        <v>7</v>
      </c>
      <c r="HO498" s="27" t="s">
        <v>8</v>
      </c>
      <c r="HP498" s="27" t="s">
        <v>7</v>
      </c>
      <c r="HQ498" s="27" t="s">
        <v>8</v>
      </c>
      <c r="HX498" s="27" t="s">
        <v>7</v>
      </c>
    </row>
    <row r="499" spans="1:294" x14ac:dyDescent="0.25">
      <c r="A499" s="7">
        <v>5.7123540237461112</v>
      </c>
      <c r="B499"/>
      <c r="C499"/>
      <c r="D499"/>
      <c r="E499"/>
      <c r="GI499" s="27" t="s">
        <v>8</v>
      </c>
      <c r="GJ499" s="27" t="s">
        <v>7</v>
      </c>
      <c r="GK499" s="27" t="s">
        <v>8</v>
      </c>
      <c r="GL499" s="27" t="s">
        <v>7</v>
      </c>
      <c r="GM499" s="27" t="s">
        <v>8</v>
      </c>
      <c r="GN499" s="27" t="s">
        <v>7</v>
      </c>
      <c r="GQ499" s="27" t="s">
        <v>8</v>
      </c>
      <c r="HN499" s="27" t="s">
        <v>7</v>
      </c>
      <c r="HP499" s="27" t="s">
        <v>7</v>
      </c>
      <c r="HQ499" s="27" t="s">
        <v>8</v>
      </c>
      <c r="HX499" s="27" t="s">
        <v>7</v>
      </c>
    </row>
    <row r="500" spans="1:294" x14ac:dyDescent="0.25">
      <c r="A500" s="7">
        <v>5.6003470821040304</v>
      </c>
      <c r="B500"/>
      <c r="C500"/>
      <c r="D500"/>
      <c r="E500"/>
      <c r="GI500" s="27" t="s">
        <v>8</v>
      </c>
      <c r="GJ500" s="27" t="s">
        <v>7</v>
      </c>
      <c r="GK500" s="27" t="s">
        <v>8</v>
      </c>
      <c r="GL500" s="27" t="s">
        <v>7</v>
      </c>
      <c r="GM500" s="27" t="s">
        <v>8</v>
      </c>
      <c r="GN500" s="27" t="s">
        <v>7</v>
      </c>
      <c r="GQ500" s="27" t="s">
        <v>8</v>
      </c>
      <c r="HP500" s="27" t="s">
        <v>7</v>
      </c>
      <c r="HQ500" s="27" t="s">
        <v>8</v>
      </c>
      <c r="HX500" s="27" t="s">
        <v>7</v>
      </c>
      <c r="HY500" s="27" t="s">
        <v>8</v>
      </c>
    </row>
    <row r="501" spans="1:294" x14ac:dyDescent="0.25">
      <c r="A501" s="7">
        <v>5.4905363550039512</v>
      </c>
      <c r="B501"/>
      <c r="C501"/>
      <c r="D501"/>
      <c r="E501"/>
      <c r="GI501" s="27" t="s">
        <v>8</v>
      </c>
      <c r="GJ501" s="27" t="s">
        <v>7</v>
      </c>
      <c r="GK501" s="27" t="s">
        <v>8</v>
      </c>
      <c r="GL501" s="27" t="s">
        <v>7</v>
      </c>
      <c r="GM501" s="27" t="s">
        <v>8</v>
      </c>
      <c r="GN501" s="27" t="s">
        <v>7</v>
      </c>
      <c r="GQ501" s="27" t="s">
        <v>8</v>
      </c>
      <c r="HP501" s="27" t="s">
        <v>7</v>
      </c>
      <c r="HX501" s="27" t="s">
        <v>7</v>
      </c>
      <c r="HY501" s="27" t="s">
        <v>8</v>
      </c>
      <c r="HZ501" s="27" t="s">
        <v>7</v>
      </c>
    </row>
    <row r="502" spans="1:294" x14ac:dyDescent="0.25">
      <c r="A502" s="7">
        <v>5.3828787794156385</v>
      </c>
      <c r="B502"/>
      <c r="C502"/>
      <c r="D502"/>
      <c r="E502"/>
      <c r="GI502" s="27" t="s">
        <v>8</v>
      </c>
      <c r="GJ502" s="27" t="s">
        <v>7</v>
      </c>
      <c r="GK502" s="27" t="s">
        <v>8</v>
      </c>
      <c r="GL502" s="27" t="s">
        <v>7</v>
      </c>
      <c r="GM502" s="27" t="s">
        <v>8</v>
      </c>
      <c r="GN502" s="27" t="s">
        <v>7</v>
      </c>
      <c r="GQ502" s="27" t="s">
        <v>8</v>
      </c>
      <c r="HX502" s="27" t="s">
        <v>7</v>
      </c>
      <c r="HY502" s="27" t="s">
        <v>8</v>
      </c>
      <c r="HZ502" s="27" t="s">
        <v>7</v>
      </c>
    </row>
    <row r="503" spans="1:294" x14ac:dyDescent="0.25">
      <c r="A503" s="7">
        <v>5.2773321366819985</v>
      </c>
      <c r="B503"/>
      <c r="C503"/>
      <c r="D503"/>
      <c r="E503"/>
      <c r="GI503" s="27" t="s">
        <v>8</v>
      </c>
      <c r="GJ503" s="27" t="s">
        <v>7</v>
      </c>
      <c r="GK503" s="27" t="s">
        <v>8</v>
      </c>
      <c r="GL503" s="27" t="s">
        <v>7</v>
      </c>
      <c r="GM503" s="27" t="s">
        <v>8</v>
      </c>
      <c r="GN503" s="27" t="s">
        <v>7</v>
      </c>
      <c r="GQ503" s="27" t="s">
        <v>8</v>
      </c>
      <c r="HX503" s="27" t="s">
        <v>7</v>
      </c>
      <c r="HY503" s="27" t="s">
        <v>8</v>
      </c>
      <c r="HZ503" s="27" t="s">
        <v>7</v>
      </c>
      <c r="IC503" s="27" t="s">
        <v>8</v>
      </c>
    </row>
    <row r="504" spans="1:294" x14ac:dyDescent="0.25">
      <c r="A504" s="7">
        <v>5.1738550359627435</v>
      </c>
      <c r="B504"/>
      <c r="C504"/>
      <c r="D504"/>
      <c r="E504"/>
      <c r="GI504" s="27" t="s">
        <v>8</v>
      </c>
      <c r="GJ504" s="27" t="s">
        <v>7</v>
      </c>
      <c r="GK504" s="27" t="s">
        <v>8</v>
      </c>
      <c r="GL504" s="27" t="s">
        <v>7</v>
      </c>
      <c r="GM504" s="27" t="s">
        <v>8</v>
      </c>
      <c r="GN504" s="27" t="s">
        <v>7</v>
      </c>
      <c r="GO504" s="27" t="s">
        <v>8</v>
      </c>
      <c r="GQ504" s="27" t="s">
        <v>8</v>
      </c>
      <c r="HX504" s="27" t="s">
        <v>7</v>
      </c>
      <c r="HY504" s="27" t="s">
        <v>8</v>
      </c>
      <c r="HZ504" s="27" t="s">
        <v>7</v>
      </c>
      <c r="IC504" s="27" t="s">
        <v>8</v>
      </c>
      <c r="ID504" s="27" t="s">
        <v>7</v>
      </c>
    </row>
    <row r="505" spans="1:294" x14ac:dyDescent="0.25">
      <c r="A505" s="7">
        <v>5.07240689800269</v>
      </c>
      <c r="B505"/>
      <c r="C505"/>
      <c r="D505"/>
      <c r="E505"/>
      <c r="GI505" s="27" t="s">
        <v>8</v>
      </c>
      <c r="GJ505" s="27" t="s">
        <v>7</v>
      </c>
      <c r="GK505" s="27" t="s">
        <v>8</v>
      </c>
      <c r="GL505" s="27" t="s">
        <v>7</v>
      </c>
      <c r="GM505" s="27" t="s">
        <v>8</v>
      </c>
      <c r="GN505" s="27" t="s">
        <v>7</v>
      </c>
      <c r="GO505" s="27" t="s">
        <v>8</v>
      </c>
      <c r="GP505" s="27" t="s">
        <v>7</v>
      </c>
      <c r="GQ505" s="27" t="s">
        <v>8</v>
      </c>
      <c r="HX505" s="27" t="s">
        <v>7</v>
      </c>
      <c r="HY505" s="27" t="s">
        <v>8</v>
      </c>
      <c r="HZ505" s="27" t="s">
        <v>7</v>
      </c>
      <c r="IC505" s="27" t="s">
        <v>8</v>
      </c>
      <c r="ID505" s="27" t="s">
        <v>7</v>
      </c>
    </row>
    <row r="506" spans="1:294" x14ac:dyDescent="0.25">
      <c r="A506" s="7">
        <v>4.9729479392183231</v>
      </c>
      <c r="B506"/>
      <c r="C506"/>
      <c r="D506"/>
      <c r="E506"/>
      <c r="GI506" s="27" t="s">
        <v>8</v>
      </c>
      <c r="GJ506" s="27" t="s">
        <v>7</v>
      </c>
      <c r="GK506" s="27" t="s">
        <v>8</v>
      </c>
      <c r="GL506" s="27" t="s">
        <v>7</v>
      </c>
      <c r="GM506" s="27" t="s">
        <v>8</v>
      </c>
      <c r="GN506" s="27" t="s">
        <v>7</v>
      </c>
      <c r="GO506" s="27" t="s">
        <v>8</v>
      </c>
      <c r="GP506" s="27" t="s">
        <v>7</v>
      </c>
      <c r="GQ506" s="27" t="s">
        <v>8</v>
      </c>
      <c r="HX506" s="27" t="s">
        <v>7</v>
      </c>
      <c r="HY506" s="27" t="s">
        <v>8</v>
      </c>
      <c r="HZ506" s="27" t="s">
        <v>7</v>
      </c>
      <c r="IC506" s="27" t="s">
        <v>8</v>
      </c>
      <c r="ID506" s="27" t="s">
        <v>7</v>
      </c>
      <c r="IE506" s="27" t="s">
        <v>8</v>
      </c>
      <c r="KG506" s="27" t="s">
        <v>8</v>
      </c>
    </row>
    <row r="507" spans="1:294" x14ac:dyDescent="0.25">
      <c r="A507" s="7">
        <v>4.8754391560963954</v>
      </c>
      <c r="B507"/>
      <c r="C507"/>
      <c r="D507"/>
      <c r="E507"/>
      <c r="GI507" s="27" t="s">
        <v>8</v>
      </c>
      <c r="GJ507" s="27" t="s">
        <v>7</v>
      </c>
      <c r="GK507" s="27" t="s">
        <v>8</v>
      </c>
      <c r="GL507" s="27" t="s">
        <v>7</v>
      </c>
      <c r="GM507" s="27" t="s">
        <v>8</v>
      </c>
      <c r="GN507" s="27" t="s">
        <v>7</v>
      </c>
      <c r="GO507" s="27" t="s">
        <v>8</v>
      </c>
      <c r="GP507" s="27" t="s">
        <v>7</v>
      </c>
      <c r="GQ507" s="27" t="s">
        <v>8</v>
      </c>
      <c r="HX507" s="27" t="s">
        <v>7</v>
      </c>
      <c r="HY507" s="27" t="s">
        <v>8</v>
      </c>
      <c r="HZ507" s="27" t="s">
        <v>7</v>
      </c>
      <c r="IC507" s="27" t="s">
        <v>8</v>
      </c>
      <c r="ID507" s="27" t="s">
        <v>7</v>
      </c>
      <c r="IE507" s="27" t="s">
        <v>8</v>
      </c>
      <c r="IF507" s="27" t="s">
        <v>7</v>
      </c>
      <c r="KG507" s="27" t="s">
        <v>8</v>
      </c>
      <c r="KH507" s="27" t="s">
        <v>7</v>
      </c>
    </row>
    <row r="508" spans="1:294" x14ac:dyDescent="0.25">
      <c r="A508" s="7">
        <v>4.7798423098984264</v>
      </c>
      <c r="B508"/>
      <c r="C508"/>
      <c r="D508"/>
      <c r="E508"/>
      <c r="GI508" s="27" t="s">
        <v>8</v>
      </c>
      <c r="GJ508" s="27" t="s">
        <v>7</v>
      </c>
      <c r="GL508" s="27" t="s">
        <v>7</v>
      </c>
      <c r="GN508" s="27" t="s">
        <v>7</v>
      </c>
      <c r="GO508" s="27" t="s">
        <v>8</v>
      </c>
      <c r="GP508" s="27" t="s">
        <v>7</v>
      </c>
      <c r="GQ508" s="27" t="s">
        <v>8</v>
      </c>
      <c r="HX508" s="27" t="s">
        <v>7</v>
      </c>
      <c r="HY508" s="27" t="s">
        <v>8</v>
      </c>
      <c r="HZ508" s="27" t="s">
        <v>7</v>
      </c>
      <c r="IC508" s="27" t="s">
        <v>8</v>
      </c>
      <c r="ID508" s="27" t="s">
        <v>7</v>
      </c>
      <c r="IE508" s="27" t="s">
        <v>8</v>
      </c>
      <c r="IF508" s="27" t="s">
        <v>7</v>
      </c>
      <c r="JK508" s="27" t="s">
        <v>8</v>
      </c>
      <c r="KG508" s="27" t="s">
        <v>8</v>
      </c>
      <c r="KH508" s="27" t="s">
        <v>7</v>
      </c>
    </row>
    <row r="509" spans="1:294" x14ac:dyDescent="0.25">
      <c r="A509" s="7">
        <v>4.6861199116651235</v>
      </c>
      <c r="B509"/>
      <c r="C509"/>
      <c r="D509"/>
      <c r="E509"/>
      <c r="GI509" s="27" t="s">
        <v>8</v>
      </c>
      <c r="GN509" s="27" t="s">
        <v>7</v>
      </c>
      <c r="GP509" s="27" t="s">
        <v>7</v>
      </c>
      <c r="GQ509" s="27" t="s">
        <v>8</v>
      </c>
      <c r="HX509" s="27" t="s">
        <v>7</v>
      </c>
      <c r="HY509" s="27" t="s">
        <v>8</v>
      </c>
      <c r="HZ509" s="27" t="s">
        <v>7</v>
      </c>
      <c r="IC509" s="27" t="s">
        <v>8</v>
      </c>
      <c r="ID509" s="27" t="s">
        <v>7</v>
      </c>
      <c r="IE509" s="27" t="s">
        <v>8</v>
      </c>
      <c r="IF509" s="27" t="s">
        <v>7</v>
      </c>
      <c r="JG509" s="27" t="s">
        <v>8</v>
      </c>
      <c r="JK509" s="27" t="s">
        <v>8</v>
      </c>
      <c r="JL509" s="27" t="s">
        <v>7</v>
      </c>
      <c r="KG509" s="27" t="s">
        <v>8</v>
      </c>
      <c r="KH509" s="27" t="s">
        <v>7</v>
      </c>
    </row>
    <row r="510" spans="1:294" x14ac:dyDescent="0.25">
      <c r="A510" s="7">
        <v>4.5942352075148269</v>
      </c>
      <c r="B510"/>
      <c r="C510"/>
      <c r="D510"/>
      <c r="E510"/>
      <c r="GI510" s="27" t="s">
        <v>8</v>
      </c>
      <c r="GP510" s="27" t="s">
        <v>7</v>
      </c>
      <c r="GQ510" s="27" t="s">
        <v>8</v>
      </c>
      <c r="HX510" s="27" t="s">
        <v>7</v>
      </c>
      <c r="HY510" s="27" t="s">
        <v>8</v>
      </c>
      <c r="HZ510" s="27" t="s">
        <v>7</v>
      </c>
      <c r="IA510" s="27" t="s">
        <v>8</v>
      </c>
      <c r="IC510" s="27" t="s">
        <v>8</v>
      </c>
      <c r="ID510" s="27" t="s">
        <v>7</v>
      </c>
      <c r="IE510" s="27" t="s">
        <v>8</v>
      </c>
      <c r="IF510" s="27" t="s">
        <v>7</v>
      </c>
      <c r="JG510" s="27" t="s">
        <v>8</v>
      </c>
      <c r="JH510" s="27" t="s">
        <v>7</v>
      </c>
      <c r="JK510" s="27" t="s">
        <v>8</v>
      </c>
      <c r="JL510" s="27" t="s">
        <v>7</v>
      </c>
      <c r="KE510" s="27" t="s">
        <v>8</v>
      </c>
      <c r="KG510" s="27" t="s">
        <v>8</v>
      </c>
      <c r="KH510" s="27" t="s">
        <v>7</v>
      </c>
    </row>
    <row r="511" spans="1:294" x14ac:dyDescent="0.25">
      <c r="A511" s="7">
        <v>4.5041521642302227</v>
      </c>
      <c r="B511"/>
      <c r="C511"/>
      <c r="D511"/>
      <c r="E511"/>
      <c r="GI511" s="27" t="s">
        <v>8</v>
      </c>
      <c r="GP511" s="27" t="s">
        <v>7</v>
      </c>
      <c r="GQ511" s="27" t="s">
        <v>8</v>
      </c>
      <c r="HX511" s="27" t="s">
        <v>7</v>
      </c>
      <c r="HY511" s="27" t="s">
        <v>8</v>
      </c>
      <c r="HZ511" s="27" t="s">
        <v>7</v>
      </c>
      <c r="IA511" s="27" t="s">
        <v>8</v>
      </c>
      <c r="IB511" s="27" t="s">
        <v>7</v>
      </c>
      <c r="IC511" s="27" t="s">
        <v>8</v>
      </c>
      <c r="ID511" s="27" t="s">
        <v>7</v>
      </c>
      <c r="IE511" s="27" t="s">
        <v>8</v>
      </c>
      <c r="IF511" s="27" t="s">
        <v>7</v>
      </c>
      <c r="JG511" s="27" t="s">
        <v>8</v>
      </c>
      <c r="JH511" s="27" t="s">
        <v>7</v>
      </c>
      <c r="JI511" s="27" t="s">
        <v>8</v>
      </c>
      <c r="JK511" s="27" t="s">
        <v>8</v>
      </c>
      <c r="JL511" s="27" t="s">
        <v>7</v>
      </c>
      <c r="KE511" s="27" t="s">
        <v>8</v>
      </c>
      <c r="KF511" s="27" t="s">
        <v>7</v>
      </c>
      <c r="KG511" s="27" t="s">
        <v>8</v>
      </c>
      <c r="KH511" s="27" t="s">
        <v>7</v>
      </c>
    </row>
    <row r="512" spans="1:294" x14ac:dyDescent="0.25">
      <c r="A512" s="7">
        <v>4.4158354551276693</v>
      </c>
      <c r="B512"/>
      <c r="C512"/>
      <c r="D512"/>
      <c r="E512"/>
      <c r="GI512" s="27" t="s">
        <v>8</v>
      </c>
      <c r="GP512" s="27" t="s">
        <v>7</v>
      </c>
      <c r="HX512" s="27" t="s">
        <v>7</v>
      </c>
      <c r="HY512" s="27" t="s">
        <v>8</v>
      </c>
      <c r="HZ512" s="27" t="s">
        <v>7</v>
      </c>
      <c r="IA512" s="27" t="s">
        <v>8</v>
      </c>
      <c r="IB512" s="27" t="s">
        <v>7</v>
      </c>
      <c r="IC512" s="27" t="s">
        <v>8</v>
      </c>
      <c r="ID512" s="27" t="s">
        <v>7</v>
      </c>
      <c r="IE512" s="27" t="s">
        <v>8</v>
      </c>
      <c r="IF512" s="27" t="s">
        <v>7</v>
      </c>
      <c r="JG512" s="27" t="s">
        <v>8</v>
      </c>
      <c r="JH512" s="27" t="s">
        <v>7</v>
      </c>
      <c r="JI512" s="27" t="s">
        <v>8</v>
      </c>
      <c r="JJ512" s="27" t="s">
        <v>7</v>
      </c>
      <c r="JK512" s="27" t="s">
        <v>8</v>
      </c>
      <c r="JL512" s="27" t="s">
        <v>7</v>
      </c>
      <c r="KE512" s="27" t="s">
        <v>8</v>
      </c>
      <c r="KF512" s="27" t="s">
        <v>7</v>
      </c>
      <c r="KG512" s="27" t="s">
        <v>8</v>
      </c>
      <c r="KH512" s="27" t="s">
        <v>7</v>
      </c>
    </row>
    <row r="513" spans="1:316" x14ac:dyDescent="0.25">
      <c r="A513" s="7">
        <v>4.3292504462035977</v>
      </c>
      <c r="B513"/>
      <c r="C513"/>
      <c r="D513"/>
      <c r="E513"/>
      <c r="GI513" s="27" t="s">
        <v>8</v>
      </c>
      <c r="HX513" s="27" t="s">
        <v>7</v>
      </c>
      <c r="HY513" s="27" t="s">
        <v>8</v>
      </c>
      <c r="HZ513" s="27" t="s">
        <v>7</v>
      </c>
      <c r="IA513" s="27" t="s">
        <v>8</v>
      </c>
      <c r="IB513" s="27" t="s">
        <v>7</v>
      </c>
      <c r="IC513" s="27" t="s">
        <v>8</v>
      </c>
      <c r="ID513" s="27" t="s">
        <v>7</v>
      </c>
      <c r="IE513" s="27" t="s">
        <v>8</v>
      </c>
      <c r="IF513" s="27" t="s">
        <v>7</v>
      </c>
      <c r="II513" s="27" t="s">
        <v>8</v>
      </c>
      <c r="JE513" s="27" t="s">
        <v>8</v>
      </c>
      <c r="JG513" s="27" t="s">
        <v>8</v>
      </c>
      <c r="JH513" s="27" t="s">
        <v>7</v>
      </c>
      <c r="JI513" s="27" t="s">
        <v>8</v>
      </c>
      <c r="JJ513" s="27" t="s">
        <v>7</v>
      </c>
      <c r="JK513" s="27" t="s">
        <v>8</v>
      </c>
      <c r="JL513" s="27" t="s">
        <v>7</v>
      </c>
      <c r="JQ513" s="27" t="s">
        <v>8</v>
      </c>
      <c r="KA513" s="27" t="s">
        <v>8</v>
      </c>
      <c r="KC513" s="27" t="s">
        <v>8</v>
      </c>
      <c r="KE513" s="27" t="s">
        <v>8</v>
      </c>
      <c r="KF513" s="27" t="s">
        <v>7</v>
      </c>
      <c r="KG513" s="27" t="s">
        <v>8</v>
      </c>
      <c r="KH513" s="27" t="s">
        <v>7</v>
      </c>
    </row>
    <row r="514" spans="1:316" x14ac:dyDescent="0.25">
      <c r="A514" s="7">
        <v>4.2443631825525463</v>
      </c>
      <c r="B514"/>
      <c r="C514"/>
      <c r="D514"/>
      <c r="E514"/>
      <c r="GI514" s="27" t="s">
        <v>8</v>
      </c>
      <c r="HX514" s="27" t="s">
        <v>7</v>
      </c>
      <c r="HY514" s="27" t="s">
        <v>8</v>
      </c>
      <c r="HZ514" s="27" t="s">
        <v>7</v>
      </c>
      <c r="IA514" s="27" t="s">
        <v>8</v>
      </c>
      <c r="IB514" s="27" t="s">
        <v>7</v>
      </c>
      <c r="IC514" s="27" t="s">
        <v>8</v>
      </c>
      <c r="ID514" s="27" t="s">
        <v>7</v>
      </c>
      <c r="IE514" s="27" t="s">
        <v>8</v>
      </c>
      <c r="IF514" s="27" t="s">
        <v>7</v>
      </c>
      <c r="IG514" s="27" t="s">
        <v>8</v>
      </c>
      <c r="II514" s="27" t="s">
        <v>8</v>
      </c>
      <c r="IJ514" s="27" t="s">
        <v>7</v>
      </c>
      <c r="JA514" s="27" t="s">
        <v>8</v>
      </c>
      <c r="JE514" s="27" t="s">
        <v>8</v>
      </c>
      <c r="JF514" s="27" t="s">
        <v>7</v>
      </c>
      <c r="JG514" s="27" t="s">
        <v>8</v>
      </c>
      <c r="JH514" s="27" t="s">
        <v>7</v>
      </c>
      <c r="JI514" s="27" t="s">
        <v>8</v>
      </c>
      <c r="JJ514" s="27" t="s">
        <v>7</v>
      </c>
      <c r="JK514" s="27" t="s">
        <v>8</v>
      </c>
      <c r="JL514" s="27" t="s">
        <v>7</v>
      </c>
      <c r="JM514" s="27" t="s">
        <v>8</v>
      </c>
      <c r="JO514" s="27" t="s">
        <v>8</v>
      </c>
      <c r="JQ514" s="27" t="s">
        <v>8</v>
      </c>
      <c r="JR514" s="27" t="s">
        <v>7</v>
      </c>
      <c r="KA514" s="27" t="s">
        <v>8</v>
      </c>
      <c r="KB514" s="27" t="s">
        <v>7</v>
      </c>
      <c r="KC514" s="27" t="s">
        <v>8</v>
      </c>
      <c r="KD514" s="27" t="s">
        <v>7</v>
      </c>
      <c r="KE514" s="27" t="s">
        <v>8</v>
      </c>
      <c r="KF514" s="27" t="s">
        <v>7</v>
      </c>
      <c r="KH514" s="27" t="s">
        <v>7</v>
      </c>
      <c r="KK514" s="27" t="s">
        <v>8</v>
      </c>
      <c r="KM514" s="27" t="s">
        <v>8</v>
      </c>
    </row>
    <row r="515" spans="1:316" x14ac:dyDescent="0.25">
      <c r="A515" s="7">
        <v>4.1611403750515157</v>
      </c>
      <c r="B515"/>
      <c r="C515"/>
      <c r="D515"/>
      <c r="E515"/>
      <c r="GI515" s="27" t="s">
        <v>8</v>
      </c>
      <c r="HX515" s="27" t="s">
        <v>7</v>
      </c>
      <c r="HY515" s="27" t="s">
        <v>8</v>
      </c>
      <c r="HZ515" s="27" t="s">
        <v>7</v>
      </c>
      <c r="IA515" s="27" t="s">
        <v>8</v>
      </c>
      <c r="IB515" s="27" t="s">
        <v>7</v>
      </c>
      <c r="IC515" s="27" t="s">
        <v>8</v>
      </c>
      <c r="ID515" s="27" t="s">
        <v>7</v>
      </c>
      <c r="IE515" s="27" t="s">
        <v>8</v>
      </c>
      <c r="IF515" s="27" t="s">
        <v>7</v>
      </c>
      <c r="IG515" s="27" t="s">
        <v>8</v>
      </c>
      <c r="IH515" s="27" t="s">
        <v>7</v>
      </c>
      <c r="II515" s="27" t="s">
        <v>8</v>
      </c>
      <c r="IJ515" s="27" t="s">
        <v>7</v>
      </c>
      <c r="JA515" s="27" t="s">
        <v>8</v>
      </c>
      <c r="JB515" s="27" t="s">
        <v>7</v>
      </c>
      <c r="JC515" s="27" t="s">
        <v>8</v>
      </c>
      <c r="JE515" s="27" t="s">
        <v>8</v>
      </c>
      <c r="JF515" s="27" t="s">
        <v>7</v>
      </c>
      <c r="JG515" s="27" t="s">
        <v>8</v>
      </c>
      <c r="JH515" s="27" t="s">
        <v>7</v>
      </c>
      <c r="JJ515" s="27" t="s">
        <v>7</v>
      </c>
      <c r="JK515" s="27" t="s">
        <v>8</v>
      </c>
      <c r="JL515" s="27" t="s">
        <v>7</v>
      </c>
      <c r="JM515" s="27" t="s">
        <v>8</v>
      </c>
      <c r="JN515" s="27" t="s">
        <v>7</v>
      </c>
      <c r="JO515" s="27" t="s">
        <v>8</v>
      </c>
      <c r="JP515" s="27" t="s">
        <v>7</v>
      </c>
      <c r="JQ515" s="27" t="s">
        <v>8</v>
      </c>
      <c r="JR515" s="27" t="s">
        <v>7</v>
      </c>
      <c r="KA515" s="27" t="s">
        <v>8</v>
      </c>
      <c r="KB515" s="27" t="s">
        <v>7</v>
      </c>
      <c r="KC515" s="27" t="s">
        <v>8</v>
      </c>
      <c r="KD515" s="27" t="s">
        <v>7</v>
      </c>
      <c r="KE515" s="27" t="s">
        <v>8</v>
      </c>
      <c r="KH515" s="27" t="s">
        <v>7</v>
      </c>
      <c r="KI515" s="27" t="s">
        <v>8</v>
      </c>
      <c r="KK515" s="27" t="s">
        <v>8</v>
      </c>
      <c r="KL515" s="27" t="s">
        <v>7</v>
      </c>
      <c r="KM515" s="27" t="s">
        <v>8</v>
      </c>
      <c r="KN515" s="27" t="s">
        <v>7</v>
      </c>
    </row>
    <row r="516" spans="1:316" x14ac:dyDescent="0.25">
      <c r="A516" s="7">
        <v>4.0795493873054074</v>
      </c>
      <c r="B516"/>
      <c r="C516"/>
      <c r="D516"/>
      <c r="E516"/>
      <c r="GI516" s="27" t="s">
        <v>8</v>
      </c>
      <c r="HX516" s="27" t="s">
        <v>7</v>
      </c>
      <c r="HY516" s="27" t="s">
        <v>8</v>
      </c>
      <c r="HZ516" s="27" t="s">
        <v>7</v>
      </c>
      <c r="IB516" s="27" t="s">
        <v>7</v>
      </c>
      <c r="IC516" s="27" t="s">
        <v>8</v>
      </c>
      <c r="ID516" s="27" t="s">
        <v>7</v>
      </c>
      <c r="IE516" s="27" t="s">
        <v>8</v>
      </c>
      <c r="IF516" s="27" t="s">
        <v>7</v>
      </c>
      <c r="IG516" s="27" t="s">
        <v>8</v>
      </c>
      <c r="IH516" s="27" t="s">
        <v>7</v>
      </c>
      <c r="II516" s="27" t="s">
        <v>8</v>
      </c>
      <c r="IJ516" s="27" t="s">
        <v>7</v>
      </c>
      <c r="JA516" s="27" t="s">
        <v>8</v>
      </c>
      <c r="JB516" s="27" t="s">
        <v>7</v>
      </c>
      <c r="JC516" s="27" t="s">
        <v>8</v>
      </c>
      <c r="JD516" s="27" t="s">
        <v>7</v>
      </c>
      <c r="JE516" s="27" t="s">
        <v>8</v>
      </c>
      <c r="JF516" s="27" t="s">
        <v>7</v>
      </c>
      <c r="JG516" s="27" t="s">
        <v>8</v>
      </c>
      <c r="JJ516" s="27" t="s">
        <v>7</v>
      </c>
      <c r="JL516" s="27" t="s">
        <v>7</v>
      </c>
      <c r="JM516" s="27" t="s">
        <v>8</v>
      </c>
      <c r="JN516" s="27" t="s">
        <v>7</v>
      </c>
      <c r="JO516" s="27" t="s">
        <v>8</v>
      </c>
      <c r="JP516" s="27" t="s">
        <v>7</v>
      </c>
      <c r="JQ516" s="27" t="s">
        <v>8</v>
      </c>
      <c r="JR516" s="27" t="s">
        <v>7</v>
      </c>
      <c r="KA516" s="27" t="s">
        <v>8</v>
      </c>
      <c r="KB516" s="27" t="s">
        <v>7</v>
      </c>
      <c r="KD516" s="27" t="s">
        <v>7</v>
      </c>
      <c r="KE516" s="27" t="s">
        <v>8</v>
      </c>
      <c r="KH516" s="27" t="s">
        <v>7</v>
      </c>
      <c r="KI516" s="27" t="s">
        <v>8</v>
      </c>
      <c r="KJ516" s="27" t="s">
        <v>7</v>
      </c>
      <c r="KK516" s="27" t="s">
        <v>8</v>
      </c>
      <c r="KL516" s="27" t="s">
        <v>7</v>
      </c>
      <c r="KM516" s="27" t="s">
        <v>8</v>
      </c>
      <c r="KN516" s="27" t="s">
        <v>7</v>
      </c>
    </row>
    <row r="517" spans="1:316" x14ac:dyDescent="0.25">
      <c r="A517" s="7">
        <v>3.9995582228484383</v>
      </c>
      <c r="B517"/>
      <c r="C517"/>
      <c r="D517"/>
      <c r="E517"/>
      <c r="GI517" s="27" t="s">
        <v>8</v>
      </c>
      <c r="HX517" s="27" t="s">
        <v>7</v>
      </c>
      <c r="HY517" s="27" t="s">
        <v>8</v>
      </c>
      <c r="IB517" s="27" t="s">
        <v>7</v>
      </c>
      <c r="IC517" s="27" t="s">
        <v>8</v>
      </c>
      <c r="ID517" s="27" t="s">
        <v>7</v>
      </c>
      <c r="IE517" s="27" t="s">
        <v>8</v>
      </c>
      <c r="IF517" s="27" t="s">
        <v>7</v>
      </c>
      <c r="IG517" s="27" t="s">
        <v>8</v>
      </c>
      <c r="IH517" s="27" t="s">
        <v>7</v>
      </c>
      <c r="II517" s="27" t="s">
        <v>8</v>
      </c>
      <c r="IJ517" s="27" t="s">
        <v>7</v>
      </c>
      <c r="JA517" s="27" t="s">
        <v>8</v>
      </c>
      <c r="JB517" s="27" t="s">
        <v>7</v>
      </c>
      <c r="JC517" s="27" t="s">
        <v>8</v>
      </c>
      <c r="JD517" s="27" t="s">
        <v>7</v>
      </c>
      <c r="JE517" s="27" t="s">
        <v>8</v>
      </c>
      <c r="JF517" s="27" t="s">
        <v>7</v>
      </c>
      <c r="JG517" s="27" t="s">
        <v>8</v>
      </c>
      <c r="JL517" s="27" t="s">
        <v>7</v>
      </c>
      <c r="JM517" s="27" t="s">
        <v>8</v>
      </c>
      <c r="JN517" s="27" t="s">
        <v>7</v>
      </c>
      <c r="JO517" s="27" t="s">
        <v>8</v>
      </c>
      <c r="JP517" s="27" t="s">
        <v>7</v>
      </c>
      <c r="JQ517" s="27" t="s">
        <v>8</v>
      </c>
      <c r="JR517" s="27" t="s">
        <v>7</v>
      </c>
      <c r="JW517" s="27" t="s">
        <v>8</v>
      </c>
      <c r="JY517" s="27" t="s">
        <v>8</v>
      </c>
      <c r="KA517" s="27" t="s">
        <v>8</v>
      </c>
      <c r="KD517" s="27" t="s">
        <v>7</v>
      </c>
      <c r="KH517" s="27" t="s">
        <v>7</v>
      </c>
      <c r="KI517" s="27" t="s">
        <v>8</v>
      </c>
      <c r="KJ517" s="27" t="s">
        <v>7</v>
      </c>
      <c r="KK517" s="27" t="s">
        <v>8</v>
      </c>
      <c r="KL517" s="27" t="s">
        <v>7</v>
      </c>
      <c r="KM517" s="27" t="s">
        <v>8</v>
      </c>
      <c r="KN517" s="27" t="s">
        <v>7</v>
      </c>
    </row>
    <row r="518" spans="1:316" x14ac:dyDescent="0.25">
      <c r="A518" s="7">
        <v>3.9211355125965079</v>
      </c>
      <c r="B518"/>
      <c r="C518"/>
      <c r="D518"/>
      <c r="E518"/>
      <c r="GI518" s="27" t="s">
        <v>8</v>
      </c>
      <c r="HX518" s="27" t="s">
        <v>7</v>
      </c>
      <c r="HY518" s="27" t="s">
        <v>8</v>
      </c>
      <c r="IB518" s="27" t="s">
        <v>7</v>
      </c>
      <c r="IC518" s="27" t="s">
        <v>8</v>
      </c>
      <c r="ID518" s="27" t="s">
        <v>7</v>
      </c>
      <c r="IE518" s="27" t="s">
        <v>8</v>
      </c>
      <c r="IF518" s="27" t="s">
        <v>7</v>
      </c>
      <c r="IG518" s="27" t="s">
        <v>8</v>
      </c>
      <c r="IH518" s="27" t="s">
        <v>7</v>
      </c>
      <c r="II518" s="27" t="s">
        <v>8</v>
      </c>
      <c r="IJ518" s="27" t="s">
        <v>7</v>
      </c>
      <c r="JA518" s="27" t="s">
        <v>8</v>
      </c>
      <c r="JB518" s="27" t="s">
        <v>7</v>
      </c>
      <c r="JC518" s="27" t="s">
        <v>8</v>
      </c>
      <c r="JD518" s="27" t="s">
        <v>7</v>
      </c>
      <c r="JE518" s="27" t="s">
        <v>8</v>
      </c>
      <c r="JF518" s="27" t="s">
        <v>7</v>
      </c>
      <c r="JL518" s="27" t="s">
        <v>7</v>
      </c>
      <c r="JM518" s="27" t="s">
        <v>8</v>
      </c>
      <c r="JN518" s="27" t="s">
        <v>7</v>
      </c>
      <c r="JO518" s="27" t="s">
        <v>8</v>
      </c>
      <c r="JP518" s="27" t="s">
        <v>7</v>
      </c>
      <c r="JQ518" s="27" t="s">
        <v>8</v>
      </c>
      <c r="JR518" s="27" t="s">
        <v>7</v>
      </c>
      <c r="JW518" s="27" t="s">
        <v>8</v>
      </c>
      <c r="JX518" s="27" t="s">
        <v>7</v>
      </c>
      <c r="JY518" s="27" t="s">
        <v>8</v>
      </c>
      <c r="JZ518" s="27" t="s">
        <v>7</v>
      </c>
      <c r="KA518" s="27" t="s">
        <v>8</v>
      </c>
      <c r="KH518" s="27" t="s">
        <v>7</v>
      </c>
      <c r="KI518" s="27" t="s">
        <v>8</v>
      </c>
      <c r="KJ518" s="27" t="s">
        <v>7</v>
      </c>
      <c r="KL518" s="27" t="s">
        <v>7</v>
      </c>
      <c r="KM518" s="27" t="s">
        <v>8</v>
      </c>
      <c r="KN518" s="27" t="s">
        <v>7</v>
      </c>
    </row>
    <row r="519" spans="1:316" x14ac:dyDescent="0.25">
      <c r="A519" s="7">
        <v>3.844250502545596</v>
      </c>
      <c r="B519"/>
      <c r="C519"/>
      <c r="D519"/>
      <c r="E519"/>
      <c r="GI519" s="27" t="s">
        <v>8</v>
      </c>
      <c r="HX519" s="27" t="s">
        <v>7</v>
      </c>
      <c r="HY519" s="27" t="s">
        <v>8</v>
      </c>
      <c r="IB519" s="27" t="s">
        <v>7</v>
      </c>
      <c r="IC519" s="27" t="s">
        <v>8</v>
      </c>
      <c r="ID519" s="27" t="s">
        <v>7</v>
      </c>
      <c r="IF519" s="27" t="s">
        <v>7</v>
      </c>
      <c r="IG519" s="27" t="s">
        <v>8</v>
      </c>
      <c r="IH519" s="27" t="s">
        <v>7</v>
      </c>
      <c r="II519" s="27" t="s">
        <v>8</v>
      </c>
      <c r="IJ519" s="27" t="s">
        <v>7</v>
      </c>
      <c r="JA519" s="27" t="s">
        <v>8</v>
      </c>
      <c r="JB519" s="27" t="s">
        <v>7</v>
      </c>
      <c r="JC519" s="27" t="s">
        <v>8</v>
      </c>
      <c r="JD519" s="27" t="s">
        <v>7</v>
      </c>
      <c r="JL519" s="27" t="s">
        <v>7</v>
      </c>
      <c r="JM519" s="27" t="s">
        <v>8</v>
      </c>
      <c r="JN519" s="27" t="s">
        <v>7</v>
      </c>
      <c r="JP519" s="27" t="s">
        <v>7</v>
      </c>
      <c r="JQ519" s="27" t="s">
        <v>8</v>
      </c>
      <c r="JR519" s="27" t="s">
        <v>7</v>
      </c>
      <c r="JW519" s="27" t="s">
        <v>8</v>
      </c>
      <c r="JX519" s="27" t="s">
        <v>7</v>
      </c>
      <c r="JY519" s="27" t="s">
        <v>8</v>
      </c>
      <c r="JZ519" s="27" t="s">
        <v>7</v>
      </c>
      <c r="KA519" s="27" t="s">
        <v>8</v>
      </c>
      <c r="KH519" s="27" t="s">
        <v>7</v>
      </c>
      <c r="KL519" s="27" t="s">
        <v>7</v>
      </c>
      <c r="KM519" s="27" t="s">
        <v>8</v>
      </c>
      <c r="KN519" s="27" t="s">
        <v>7</v>
      </c>
    </row>
    <row r="520" spans="1:316" x14ac:dyDescent="0.25">
      <c r="A520" s="7">
        <v>3.7688730417113687</v>
      </c>
      <c r="B520"/>
      <c r="C520"/>
      <c r="D520"/>
      <c r="E520"/>
      <c r="GI520" s="27" t="s">
        <v>8</v>
      </c>
      <c r="HX520" s="27" t="s">
        <v>7</v>
      </c>
      <c r="IB520" s="27" t="s">
        <v>7</v>
      </c>
      <c r="IC520" s="27" t="s">
        <v>8</v>
      </c>
      <c r="IF520" s="27" t="s">
        <v>7</v>
      </c>
      <c r="IH520" s="27" t="s">
        <v>7</v>
      </c>
      <c r="II520" s="27" t="s">
        <v>8</v>
      </c>
      <c r="IJ520" s="27" t="s">
        <v>7</v>
      </c>
      <c r="JA520" s="27" t="s">
        <v>8</v>
      </c>
      <c r="JB520" s="27" t="s">
        <v>7</v>
      </c>
      <c r="JC520" s="27" t="s">
        <v>8</v>
      </c>
      <c r="JL520" s="27" t="s">
        <v>7</v>
      </c>
      <c r="JM520" s="27" t="s">
        <v>8</v>
      </c>
      <c r="JP520" s="27" t="s">
        <v>7</v>
      </c>
      <c r="JR520" s="27" t="s">
        <v>7</v>
      </c>
      <c r="JW520" s="27" t="s">
        <v>8</v>
      </c>
      <c r="JX520" s="27" t="s">
        <v>7</v>
      </c>
      <c r="JZ520" s="27" t="s">
        <v>7</v>
      </c>
      <c r="KL520" s="27" t="s">
        <v>7</v>
      </c>
      <c r="KN520" s="27" t="s">
        <v>7</v>
      </c>
    </row>
    <row r="521" spans="1:316" x14ac:dyDescent="0.25">
      <c r="A521" s="7">
        <v>3.6949735703052635</v>
      </c>
      <c r="B521"/>
      <c r="C521"/>
      <c r="D521"/>
      <c r="E521"/>
      <c r="GG521" s="27" t="s">
        <v>8</v>
      </c>
      <c r="GI521" s="27" t="s">
        <v>8</v>
      </c>
      <c r="IB521" s="27" t="s">
        <v>7</v>
      </c>
      <c r="IC521" s="27" t="s">
        <v>8</v>
      </c>
      <c r="IH521" s="27" t="s">
        <v>7</v>
      </c>
      <c r="II521" s="27" t="s">
        <v>8</v>
      </c>
      <c r="IJ521" s="27" t="s">
        <v>7</v>
      </c>
      <c r="JA521" s="27" t="s">
        <v>8</v>
      </c>
      <c r="JB521" s="27" t="s">
        <v>7</v>
      </c>
      <c r="JL521" s="27" t="s">
        <v>7</v>
      </c>
      <c r="JR521" s="27" t="s">
        <v>7</v>
      </c>
      <c r="JS521" s="27" t="s">
        <v>8</v>
      </c>
      <c r="JW521" s="27" t="s">
        <v>8</v>
      </c>
      <c r="KN521" s="27" t="s">
        <v>7</v>
      </c>
      <c r="KQ521" s="27" t="s">
        <v>8</v>
      </c>
      <c r="KW521" s="27" t="s">
        <v>8</v>
      </c>
    </row>
    <row r="522" spans="1:316" x14ac:dyDescent="0.25">
      <c r="A522" s="7">
        <v>3.6225231081424152</v>
      </c>
      <c r="B522"/>
      <c r="C522"/>
      <c r="D522"/>
      <c r="E522"/>
      <c r="GG522" s="27" t="s">
        <v>8</v>
      </c>
      <c r="GH522" s="27" t="s">
        <v>7</v>
      </c>
      <c r="GI522" s="27" t="s">
        <v>8</v>
      </c>
      <c r="IB522" s="27" t="s">
        <v>7</v>
      </c>
      <c r="IC522" s="27" t="s">
        <v>8</v>
      </c>
      <c r="IH522" s="27" t="s">
        <v>7</v>
      </c>
      <c r="IJ522" s="27" t="s">
        <v>7</v>
      </c>
      <c r="IY522" s="27" t="s">
        <v>8</v>
      </c>
      <c r="JA522" s="27" t="s">
        <v>8</v>
      </c>
      <c r="JR522" s="27" t="s">
        <v>7</v>
      </c>
      <c r="JS522" s="27" t="s">
        <v>8</v>
      </c>
      <c r="JT522" s="27" t="s">
        <v>7</v>
      </c>
      <c r="JU522" s="27" t="s">
        <v>8</v>
      </c>
      <c r="JW522" s="27" t="s">
        <v>8</v>
      </c>
      <c r="KN522" s="27" t="s">
        <v>7</v>
      </c>
      <c r="KQ522" s="27" t="s">
        <v>8</v>
      </c>
      <c r="KR522" s="27" t="s">
        <v>7</v>
      </c>
      <c r="KW522" s="27" t="s">
        <v>8</v>
      </c>
      <c r="KX522" s="27" t="s">
        <v>7</v>
      </c>
    </row>
    <row r="523" spans="1:316" x14ac:dyDescent="0.25">
      <c r="A523" s="7">
        <v>3.5514932432768775</v>
      </c>
      <c r="B523"/>
      <c r="C523"/>
      <c r="D523"/>
      <c r="E523"/>
      <c r="GG523" s="27" t="s">
        <v>8</v>
      </c>
      <c r="GH523" s="27" t="s">
        <v>7</v>
      </c>
      <c r="GI523" s="27" t="s">
        <v>8</v>
      </c>
      <c r="IB523" s="27" t="s">
        <v>7</v>
      </c>
      <c r="IC523" s="27" t="s">
        <v>8</v>
      </c>
      <c r="IJ523" s="27" t="s">
        <v>7</v>
      </c>
      <c r="IM523" s="27" t="s">
        <v>8</v>
      </c>
      <c r="IS523" s="27" t="s">
        <v>8</v>
      </c>
      <c r="IY523" s="27" t="s">
        <v>8</v>
      </c>
      <c r="IZ523" s="27" t="s">
        <v>7</v>
      </c>
      <c r="JA523" s="27" t="s">
        <v>8</v>
      </c>
      <c r="JR523" s="27" t="s">
        <v>7</v>
      </c>
      <c r="JS523" s="27" t="s">
        <v>8</v>
      </c>
      <c r="JT523" s="27" t="s">
        <v>7</v>
      </c>
      <c r="JU523" s="27" t="s">
        <v>8</v>
      </c>
      <c r="JV523" s="27" t="s">
        <v>7</v>
      </c>
      <c r="JW523" s="27" t="s">
        <v>8</v>
      </c>
      <c r="KN523" s="27" t="s">
        <v>7</v>
      </c>
      <c r="KO523" s="27" t="s">
        <v>8</v>
      </c>
      <c r="KQ523" s="27" t="s">
        <v>8</v>
      </c>
      <c r="KR523" s="27" t="s">
        <v>7</v>
      </c>
      <c r="KW523" s="27" t="s">
        <v>8</v>
      </c>
      <c r="KX523" s="27" t="s">
        <v>7</v>
      </c>
      <c r="KY523" s="27" t="s">
        <v>8</v>
      </c>
    </row>
    <row r="524" spans="1:316" x14ac:dyDescent="0.25">
      <c r="A524" s="7">
        <v>3.4818561208596837</v>
      </c>
      <c r="B524"/>
      <c r="C524"/>
      <c r="D524"/>
      <c r="E524"/>
      <c r="GG524" s="27" t="s">
        <v>8</v>
      </c>
      <c r="GH524" s="27" t="s">
        <v>7</v>
      </c>
      <c r="GI524" s="27" t="s">
        <v>8</v>
      </c>
      <c r="IB524" s="27" t="s">
        <v>7</v>
      </c>
      <c r="IC524" s="27" t="s">
        <v>8</v>
      </c>
      <c r="IJ524" s="27" t="s">
        <v>7</v>
      </c>
      <c r="IM524" s="27" t="s">
        <v>8</v>
      </c>
      <c r="IN524" s="27" t="s">
        <v>7</v>
      </c>
      <c r="IQ524" s="27" t="s">
        <v>8</v>
      </c>
      <c r="IS524" s="27" t="s">
        <v>8</v>
      </c>
      <c r="IT524" s="27" t="s">
        <v>7</v>
      </c>
      <c r="IY524" s="27" t="s">
        <v>8</v>
      </c>
      <c r="IZ524" s="27" t="s">
        <v>7</v>
      </c>
      <c r="JA524" s="27" t="s">
        <v>8</v>
      </c>
      <c r="JR524" s="27" t="s">
        <v>7</v>
      </c>
      <c r="JS524" s="27" t="s">
        <v>8</v>
      </c>
      <c r="JT524" s="27" t="s">
        <v>7</v>
      </c>
      <c r="JU524" s="27" t="s">
        <v>8</v>
      </c>
      <c r="JV524" s="27" t="s">
        <v>7</v>
      </c>
      <c r="JW524" s="27" t="s">
        <v>8</v>
      </c>
      <c r="KN524" s="27" t="s">
        <v>7</v>
      </c>
      <c r="KO524" s="27" t="s">
        <v>8</v>
      </c>
      <c r="KP524" s="27" t="s">
        <v>7</v>
      </c>
      <c r="KQ524" s="27" t="s">
        <v>8</v>
      </c>
      <c r="KR524" s="27" t="s">
        <v>7</v>
      </c>
      <c r="KW524" s="27" t="s">
        <v>8</v>
      </c>
      <c r="KX524" s="27" t="s">
        <v>7</v>
      </c>
      <c r="KY524" s="27" t="s">
        <v>8</v>
      </c>
      <c r="KZ524" s="27" t="s">
        <v>7</v>
      </c>
    </row>
    <row r="525" spans="1:316" x14ac:dyDescent="0.25">
      <c r="A525" s="7">
        <v>3.4135844322153761</v>
      </c>
      <c r="B525"/>
      <c r="C525"/>
      <c r="D525"/>
      <c r="E525"/>
      <c r="GG525" s="27" t="s">
        <v>8</v>
      </c>
      <c r="GH525" s="27" t="s">
        <v>7</v>
      </c>
      <c r="GI525" s="27" t="s">
        <v>8</v>
      </c>
      <c r="IB525" s="27" t="s">
        <v>7</v>
      </c>
      <c r="IC525" s="27" t="s">
        <v>8</v>
      </c>
      <c r="IJ525" s="27" t="s">
        <v>7</v>
      </c>
      <c r="IM525" s="27" t="s">
        <v>8</v>
      </c>
      <c r="IN525" s="27" t="s">
        <v>7</v>
      </c>
      <c r="IQ525" s="27" t="s">
        <v>8</v>
      </c>
      <c r="IR525" s="27" t="s">
        <v>7</v>
      </c>
      <c r="IS525" s="27" t="s">
        <v>8</v>
      </c>
      <c r="IT525" s="27" t="s">
        <v>7</v>
      </c>
      <c r="IW525" s="27" t="s">
        <v>8</v>
      </c>
      <c r="IY525" s="27" t="s">
        <v>8</v>
      </c>
      <c r="IZ525" s="27" t="s">
        <v>7</v>
      </c>
      <c r="JR525" s="27" t="s">
        <v>7</v>
      </c>
      <c r="JS525" s="27" t="s">
        <v>8</v>
      </c>
      <c r="JT525" s="27" t="s">
        <v>7</v>
      </c>
      <c r="JU525" s="27" t="s">
        <v>8</v>
      </c>
      <c r="JV525" s="27" t="s">
        <v>7</v>
      </c>
      <c r="JW525" s="27" t="s">
        <v>8</v>
      </c>
      <c r="KN525" s="27" t="s">
        <v>7</v>
      </c>
      <c r="KO525" s="27" t="s">
        <v>8</v>
      </c>
      <c r="KP525" s="27" t="s">
        <v>7</v>
      </c>
      <c r="KQ525" s="27" t="s">
        <v>8</v>
      </c>
      <c r="KR525" s="27" t="s">
        <v>7</v>
      </c>
      <c r="KS525" s="27" t="s">
        <v>8</v>
      </c>
      <c r="KW525" s="27" t="s">
        <v>8</v>
      </c>
      <c r="KX525" s="27" t="s">
        <v>7</v>
      </c>
      <c r="KY525" s="27" t="s">
        <v>8</v>
      </c>
      <c r="KZ525" s="27" t="s">
        <v>7</v>
      </c>
    </row>
    <row r="526" spans="1:316" x14ac:dyDescent="0.25">
      <c r="A526" s="7">
        <v>3.3466514041327216</v>
      </c>
      <c r="B526"/>
      <c r="C526"/>
      <c r="D526"/>
      <c r="E526"/>
      <c r="GG526" s="27" t="s">
        <v>8</v>
      </c>
      <c r="GH526" s="27" t="s">
        <v>7</v>
      </c>
      <c r="GI526" s="27" t="s">
        <v>8</v>
      </c>
      <c r="IB526" s="27" t="s">
        <v>7</v>
      </c>
      <c r="IC526" s="27" t="s">
        <v>8</v>
      </c>
      <c r="IJ526" s="27" t="s">
        <v>7</v>
      </c>
      <c r="IM526" s="27" t="s">
        <v>8</v>
      </c>
      <c r="IN526" s="27" t="s">
        <v>7</v>
      </c>
      <c r="IO526" s="27" t="s">
        <v>8</v>
      </c>
      <c r="IQ526" s="27" t="s">
        <v>8</v>
      </c>
      <c r="IR526" s="27" t="s">
        <v>7</v>
      </c>
      <c r="IS526" s="27" t="s">
        <v>8</v>
      </c>
      <c r="IT526" s="27" t="s">
        <v>7</v>
      </c>
      <c r="IW526" s="27" t="s">
        <v>8</v>
      </c>
      <c r="IX526" s="27" t="s">
        <v>7</v>
      </c>
      <c r="IY526" s="27" t="s">
        <v>8</v>
      </c>
      <c r="JR526" s="27" t="s">
        <v>7</v>
      </c>
      <c r="JS526" s="27" t="s">
        <v>8</v>
      </c>
      <c r="JT526" s="27" t="s">
        <v>7</v>
      </c>
      <c r="JU526" s="27" t="s">
        <v>8</v>
      </c>
      <c r="JV526" s="27" t="s">
        <v>7</v>
      </c>
      <c r="JW526" s="27" t="s">
        <v>8</v>
      </c>
      <c r="KN526" s="27" t="s">
        <v>7</v>
      </c>
      <c r="KO526" s="27" t="s">
        <v>8</v>
      </c>
      <c r="KP526" s="27" t="s">
        <v>7</v>
      </c>
      <c r="KQ526" s="27" t="s">
        <v>8</v>
      </c>
      <c r="KR526" s="27" t="s">
        <v>7</v>
      </c>
      <c r="KS526" s="27" t="s">
        <v>8</v>
      </c>
      <c r="KT526" s="27" t="s">
        <v>7</v>
      </c>
      <c r="KU526" s="27" t="s">
        <v>8</v>
      </c>
      <c r="KW526" s="27" t="s">
        <v>8</v>
      </c>
      <c r="KX526" s="27" t="s">
        <v>7</v>
      </c>
      <c r="KY526" s="27" t="s">
        <v>8</v>
      </c>
      <c r="KZ526" s="27" t="s">
        <v>7</v>
      </c>
    </row>
    <row r="527" spans="1:316" x14ac:dyDescent="0.25">
      <c r="A527" s="7">
        <v>3.2810307883654133</v>
      </c>
      <c r="B527"/>
      <c r="C527"/>
      <c r="D527"/>
      <c r="E527"/>
      <c r="GG527" s="27" t="s">
        <v>8</v>
      </c>
      <c r="GH527" s="27" t="s">
        <v>7</v>
      </c>
      <c r="GI527" s="27" t="s">
        <v>8</v>
      </c>
      <c r="IB527" s="27" t="s">
        <v>7</v>
      </c>
      <c r="IC527" s="27" t="s">
        <v>8</v>
      </c>
      <c r="IJ527" s="27" t="s">
        <v>7</v>
      </c>
      <c r="IM527" s="27" t="s">
        <v>8</v>
      </c>
      <c r="IN527" s="27" t="s">
        <v>7</v>
      </c>
      <c r="IO527" s="27" t="s">
        <v>8</v>
      </c>
      <c r="IP527" s="27" t="s">
        <v>7</v>
      </c>
      <c r="IQ527" s="27" t="s">
        <v>8</v>
      </c>
      <c r="IR527" s="27" t="s">
        <v>7</v>
      </c>
      <c r="IS527" s="27" t="s">
        <v>8</v>
      </c>
      <c r="IT527" s="27" t="s">
        <v>7</v>
      </c>
      <c r="IU527" s="27" t="s">
        <v>8</v>
      </c>
      <c r="IW527" s="27" t="s">
        <v>8</v>
      </c>
      <c r="IX527" s="27" t="s">
        <v>7</v>
      </c>
      <c r="IY527" s="27" t="s">
        <v>8</v>
      </c>
      <c r="JR527" s="27" t="s">
        <v>7</v>
      </c>
      <c r="JS527" s="27" t="s">
        <v>8</v>
      </c>
      <c r="JT527" s="27" t="s">
        <v>7</v>
      </c>
      <c r="JV527" s="27" t="s">
        <v>7</v>
      </c>
      <c r="KN527" s="27" t="s">
        <v>7</v>
      </c>
      <c r="KO527" s="27" t="s">
        <v>8</v>
      </c>
      <c r="KP527" s="27" t="s">
        <v>7</v>
      </c>
      <c r="KQ527" s="27" t="s">
        <v>8</v>
      </c>
      <c r="KR527" s="27" t="s">
        <v>7</v>
      </c>
      <c r="KS527" s="27" t="s">
        <v>8</v>
      </c>
      <c r="KT527" s="27" t="s">
        <v>7</v>
      </c>
      <c r="KU527" s="27" t="s">
        <v>8</v>
      </c>
      <c r="KV527" s="27" t="s">
        <v>7</v>
      </c>
      <c r="KW527" s="27" t="s">
        <v>8</v>
      </c>
      <c r="KX527" s="27" t="s">
        <v>7</v>
      </c>
      <c r="KY527" s="27" t="s">
        <v>8</v>
      </c>
      <c r="KZ527" s="27" t="s">
        <v>7</v>
      </c>
      <c r="LC527" s="27" t="s">
        <v>8</v>
      </c>
    </row>
    <row r="528" spans="1:316" x14ac:dyDescent="0.25">
      <c r="A528" s="7">
        <v>3.2166968513386403</v>
      </c>
      <c r="B528"/>
      <c r="C528"/>
      <c r="D528"/>
      <c r="E528"/>
      <c r="GG528" s="27" t="s">
        <v>8</v>
      </c>
      <c r="GH528" s="27" t="s">
        <v>7</v>
      </c>
      <c r="GI528" s="27" t="s">
        <v>8</v>
      </c>
      <c r="IB528" s="27" t="s">
        <v>7</v>
      </c>
      <c r="IC528" s="27" t="s">
        <v>8</v>
      </c>
      <c r="IJ528" s="27" t="s">
        <v>7</v>
      </c>
      <c r="IM528" s="27" t="s">
        <v>8</v>
      </c>
      <c r="IN528" s="27" t="s">
        <v>7</v>
      </c>
      <c r="IO528" s="27" t="s">
        <v>8</v>
      </c>
      <c r="IP528" s="27" t="s">
        <v>7</v>
      </c>
      <c r="IQ528" s="27" t="s">
        <v>8</v>
      </c>
      <c r="IR528" s="27" t="s">
        <v>7</v>
      </c>
      <c r="IT528" s="27" t="s">
        <v>7</v>
      </c>
      <c r="IU528" s="27" t="s">
        <v>8</v>
      </c>
      <c r="IV528" s="27" t="s">
        <v>7</v>
      </c>
      <c r="IW528" s="27" t="s">
        <v>8</v>
      </c>
      <c r="IX528" s="27" t="s">
        <v>7</v>
      </c>
      <c r="IY528" s="27" t="s">
        <v>8</v>
      </c>
      <c r="JR528" s="27" t="s">
        <v>7</v>
      </c>
      <c r="KN528" s="27" t="s">
        <v>7</v>
      </c>
      <c r="KO528" s="27" t="s">
        <v>8</v>
      </c>
      <c r="KP528" s="27" t="s">
        <v>7</v>
      </c>
      <c r="KR528" s="27" t="s">
        <v>7</v>
      </c>
      <c r="KT528" s="27" t="s">
        <v>7</v>
      </c>
      <c r="KU528" s="27" t="s">
        <v>8</v>
      </c>
      <c r="KV528" s="27" t="s">
        <v>7</v>
      </c>
      <c r="KW528" s="27" t="s">
        <v>8</v>
      </c>
      <c r="KX528" s="27" t="s">
        <v>7</v>
      </c>
      <c r="KZ528" s="27" t="s">
        <v>7</v>
      </c>
      <c r="LA528" s="27" t="s">
        <v>8</v>
      </c>
      <c r="LC528" s="27" t="s">
        <v>8</v>
      </c>
      <c r="LD528" s="27" t="s">
        <v>7</v>
      </c>
    </row>
    <row r="529" spans="1:320" x14ac:dyDescent="0.25">
      <c r="A529" s="7">
        <v>3.1536243640574906</v>
      </c>
      <c r="B529"/>
      <c r="C529"/>
      <c r="D529"/>
      <c r="E529"/>
      <c r="GG529" s="27" t="s">
        <v>8</v>
      </c>
      <c r="GH529" s="27" t="s">
        <v>7</v>
      </c>
      <c r="GI529" s="27" t="s">
        <v>8</v>
      </c>
      <c r="IB529" s="27" t="s">
        <v>7</v>
      </c>
      <c r="IC529" s="27" t="s">
        <v>8</v>
      </c>
      <c r="IJ529" s="27" t="s">
        <v>7</v>
      </c>
      <c r="IK529" s="27" t="s">
        <v>8</v>
      </c>
      <c r="IM529" s="27" t="s">
        <v>8</v>
      </c>
      <c r="IN529" s="27" t="s">
        <v>7</v>
      </c>
      <c r="IP529" s="27" t="s">
        <v>7</v>
      </c>
      <c r="IQ529" s="27" t="s">
        <v>8</v>
      </c>
      <c r="IT529" s="27" t="s">
        <v>7</v>
      </c>
      <c r="IU529" s="27" t="s">
        <v>8</v>
      </c>
      <c r="IV529" s="27" t="s">
        <v>7</v>
      </c>
      <c r="IW529" s="27" t="s">
        <v>8</v>
      </c>
      <c r="IX529" s="27" t="s">
        <v>7</v>
      </c>
      <c r="IY529" s="27" t="s">
        <v>8</v>
      </c>
      <c r="KN529" s="27" t="s">
        <v>7</v>
      </c>
      <c r="KO529" s="27" t="s">
        <v>8</v>
      </c>
      <c r="KT529" s="27" t="s">
        <v>7</v>
      </c>
      <c r="KU529" s="27" t="s">
        <v>8</v>
      </c>
      <c r="KV529" s="27" t="s">
        <v>7</v>
      </c>
      <c r="KW529" s="27" t="s">
        <v>8</v>
      </c>
      <c r="KZ529" s="27" t="s">
        <v>7</v>
      </c>
      <c r="LA529" s="27" t="s">
        <v>8</v>
      </c>
      <c r="LB529" s="27" t="s">
        <v>7</v>
      </c>
      <c r="LC529" s="27" t="s">
        <v>8</v>
      </c>
      <c r="LD529" s="27" t="s">
        <v>7</v>
      </c>
    </row>
    <row r="530" spans="1:320" x14ac:dyDescent="0.25">
      <c r="A530" s="7">
        <v>3.0917885922132262</v>
      </c>
      <c r="B530"/>
      <c r="C530"/>
      <c r="D530"/>
      <c r="E530"/>
      <c r="GG530" s="27" t="s">
        <v>8</v>
      </c>
      <c r="GH530" s="27" t="s">
        <v>7</v>
      </c>
      <c r="GI530" s="27" t="s">
        <v>8</v>
      </c>
      <c r="IB530" s="27" t="s">
        <v>7</v>
      </c>
      <c r="IJ530" s="27" t="s">
        <v>7</v>
      </c>
      <c r="IK530" s="27" t="s">
        <v>8</v>
      </c>
      <c r="IL530" s="27" t="s">
        <v>7</v>
      </c>
      <c r="IM530" s="27" t="s">
        <v>8</v>
      </c>
      <c r="IP530" s="27" t="s">
        <v>7</v>
      </c>
      <c r="IT530" s="27" t="s">
        <v>7</v>
      </c>
      <c r="IV530" s="27" t="s">
        <v>7</v>
      </c>
      <c r="IW530" s="27" t="s">
        <v>8</v>
      </c>
      <c r="IX530" s="27" t="s">
        <v>7</v>
      </c>
      <c r="KN530" s="27" t="s">
        <v>7</v>
      </c>
      <c r="KO530" s="27" t="s">
        <v>8</v>
      </c>
      <c r="KT530" s="27" t="s">
        <v>7</v>
      </c>
      <c r="KV530" s="27" t="s">
        <v>7</v>
      </c>
      <c r="KZ530" s="27" t="s">
        <v>7</v>
      </c>
      <c r="LA530" s="27" t="s">
        <v>8</v>
      </c>
      <c r="LB530" s="27" t="s">
        <v>7</v>
      </c>
      <c r="LC530" s="27" t="s">
        <v>8</v>
      </c>
      <c r="LD530" s="27" t="s">
        <v>7</v>
      </c>
    </row>
    <row r="531" spans="1:320" x14ac:dyDescent="0.25">
      <c r="A531" s="7">
        <v>3.0311652864835552</v>
      </c>
      <c r="B531"/>
      <c r="C531"/>
      <c r="D531"/>
      <c r="E531"/>
      <c r="GG531" s="27" t="s">
        <v>8</v>
      </c>
      <c r="GH531" s="27" t="s">
        <v>7</v>
      </c>
      <c r="GI531" s="27" t="s">
        <v>8</v>
      </c>
      <c r="IJ531" s="27" t="s">
        <v>7</v>
      </c>
      <c r="IK531" s="27" t="s">
        <v>8</v>
      </c>
      <c r="IL531" s="27" t="s">
        <v>7</v>
      </c>
      <c r="IM531" s="27" t="s">
        <v>8</v>
      </c>
      <c r="IV531" s="27" t="s">
        <v>7</v>
      </c>
      <c r="IW531" s="27" t="s">
        <v>8</v>
      </c>
      <c r="KN531" s="27" t="s">
        <v>7</v>
      </c>
      <c r="KO531" s="27" t="s">
        <v>8</v>
      </c>
      <c r="KZ531" s="27" t="s">
        <v>7</v>
      </c>
      <c r="LA531" s="27" t="s">
        <v>8</v>
      </c>
      <c r="LB531" s="27" t="s">
        <v>7</v>
      </c>
      <c r="LC531" s="27" t="s">
        <v>8</v>
      </c>
      <c r="LD531" s="27" t="s">
        <v>7</v>
      </c>
    </row>
    <row r="532" spans="1:320" x14ac:dyDescent="0.25">
      <c r="A532" s="7">
        <v>2.9717306730230932</v>
      </c>
      <c r="B532"/>
      <c r="C532"/>
      <c r="D532"/>
      <c r="E532"/>
      <c r="GG532" s="27" t="s">
        <v>8</v>
      </c>
      <c r="GH532" s="27" t="s">
        <v>7</v>
      </c>
      <c r="IJ532" s="27" t="s">
        <v>7</v>
      </c>
      <c r="IK532" s="27" t="s">
        <v>8</v>
      </c>
      <c r="IL532" s="27" t="s">
        <v>7</v>
      </c>
      <c r="IM532" s="27" t="s">
        <v>8</v>
      </c>
      <c r="IV532" s="27" t="s">
        <v>7</v>
      </c>
      <c r="IW532" s="27" t="s">
        <v>8</v>
      </c>
      <c r="KN532" s="27" t="s">
        <v>7</v>
      </c>
      <c r="KO532" s="27" t="s">
        <v>8</v>
      </c>
      <c r="KZ532" s="27" t="s">
        <v>7</v>
      </c>
      <c r="LB532" s="27" t="s">
        <v>7</v>
      </c>
      <c r="LD532" s="27" t="s">
        <v>7</v>
      </c>
    </row>
    <row r="533" spans="1:320" x14ac:dyDescent="0.25">
      <c r="A533" s="7">
        <v>2.9134614441402875</v>
      </c>
      <c r="B533"/>
      <c r="C533"/>
      <c r="D533"/>
      <c r="E533"/>
      <c r="GG533" s="27" t="s">
        <v>8</v>
      </c>
      <c r="IJ533" s="27" t="s">
        <v>7</v>
      </c>
      <c r="IK533" s="27" t="s">
        <v>8</v>
      </c>
      <c r="IL533" s="27" t="s">
        <v>7</v>
      </c>
      <c r="IM533" s="27" t="s">
        <v>8</v>
      </c>
      <c r="IV533" s="27" t="s">
        <v>7</v>
      </c>
      <c r="IW533" s="27" t="s">
        <v>8</v>
      </c>
      <c r="KN533" s="27" t="s">
        <v>7</v>
      </c>
      <c r="KO533" s="27" t="s">
        <v>8</v>
      </c>
      <c r="LD533" s="27" t="s">
        <v>7</v>
      </c>
    </row>
    <row r="534" spans="1:320" x14ac:dyDescent="0.25">
      <c r="A534" s="7">
        <v>2.8563347491571447</v>
      </c>
      <c r="B534"/>
      <c r="C534"/>
      <c r="D534"/>
      <c r="E534"/>
      <c r="GG534" s="27" t="s">
        <v>8</v>
      </c>
      <c r="IJ534" s="27" t="s">
        <v>7</v>
      </c>
      <c r="IK534" s="27" t="s">
        <v>8</v>
      </c>
      <c r="IL534" s="27" t="s">
        <v>7</v>
      </c>
      <c r="IM534" s="27" t="s">
        <v>8</v>
      </c>
      <c r="IV534" s="27" t="s">
        <v>7</v>
      </c>
      <c r="IW534" s="27" t="s">
        <v>8</v>
      </c>
      <c r="KN534" s="27" t="s">
        <v>7</v>
      </c>
      <c r="LD534" s="27" t="s">
        <v>7</v>
      </c>
    </row>
    <row r="535" spans="1:320" x14ac:dyDescent="0.25">
      <c r="A535" s="7">
        <v>2.8003281854481812</v>
      </c>
      <c r="B535"/>
      <c r="C535"/>
      <c r="D535"/>
      <c r="E535"/>
      <c r="GG535" s="27" t="s">
        <v>8</v>
      </c>
      <c r="IJ535" s="27" t="s">
        <v>7</v>
      </c>
      <c r="IK535" s="27" t="s">
        <v>8</v>
      </c>
      <c r="IL535" s="27" t="s">
        <v>7</v>
      </c>
      <c r="IM535" s="27" t="s">
        <v>8</v>
      </c>
      <c r="IV535" s="27" t="s">
        <v>7</v>
      </c>
      <c r="IW535" s="27" t="s">
        <v>8</v>
      </c>
      <c r="LD535" s="27" t="s">
        <v>7</v>
      </c>
    </row>
    <row r="536" spans="1:320" x14ac:dyDescent="0.25">
      <c r="A536" s="7">
        <v>2.7454197896550796</v>
      </c>
      <c r="B536"/>
      <c r="C536"/>
      <c r="D536"/>
      <c r="E536"/>
      <c r="CQ536" s="27" t="s">
        <v>8</v>
      </c>
      <c r="CS536" s="27" t="s">
        <v>8</v>
      </c>
      <c r="GG536" s="27" t="s">
        <v>8</v>
      </c>
      <c r="IJ536" s="27" t="s">
        <v>7</v>
      </c>
      <c r="IK536" s="27" t="s">
        <v>8</v>
      </c>
      <c r="IL536" s="27" t="s">
        <v>7</v>
      </c>
      <c r="IV536" s="27" t="s">
        <v>7</v>
      </c>
      <c r="IW536" s="27" t="s">
        <v>8</v>
      </c>
      <c r="LD536" s="27" t="s">
        <v>7</v>
      </c>
    </row>
    <row r="537" spans="1:320" x14ac:dyDescent="0.25">
      <c r="A537" s="7">
        <v>2.6915880290736074</v>
      </c>
      <c r="B537"/>
      <c r="C537"/>
      <c r="D537"/>
      <c r="E537"/>
      <c r="CQ537" s="27" t="s">
        <v>8</v>
      </c>
      <c r="CR537" s="27" t="s">
        <v>7</v>
      </c>
      <c r="CS537" s="27" t="s">
        <v>8</v>
      </c>
      <c r="CT537" s="27" t="s">
        <v>7</v>
      </c>
      <c r="GE537" s="27" t="s">
        <v>8</v>
      </c>
      <c r="GG537" s="27" t="s">
        <v>8</v>
      </c>
      <c r="IJ537" s="27" t="s">
        <v>7</v>
      </c>
      <c r="IV537" s="18" t="s">
        <v>7</v>
      </c>
      <c r="IW537" s="27" t="s">
        <v>8</v>
      </c>
      <c r="LD537" s="27" t="s">
        <v>7</v>
      </c>
    </row>
    <row r="538" spans="1:320" x14ac:dyDescent="0.25">
      <c r="A538" s="7">
        <v>2.6388117932094191</v>
      </c>
      <c r="B538"/>
      <c r="C538"/>
      <c r="D538"/>
      <c r="E538"/>
      <c r="CQ538" s="27" t="s">
        <v>8</v>
      </c>
      <c r="CR538" s="27" t="s">
        <v>7</v>
      </c>
      <c r="CS538" s="27" t="s">
        <v>8</v>
      </c>
      <c r="CT538" s="27" t="s">
        <v>7</v>
      </c>
      <c r="GE538" s="27" t="s">
        <v>8</v>
      </c>
      <c r="GF538" s="27" t="s">
        <v>7</v>
      </c>
      <c r="GG538" s="27" t="s">
        <v>8</v>
      </c>
      <c r="IV538" s="27" t="s">
        <v>7</v>
      </c>
      <c r="IW538" s="27" t="s">
        <v>8</v>
      </c>
      <c r="LD538" s="27" t="s">
        <v>7</v>
      </c>
    </row>
    <row r="539" spans="1:320" x14ac:dyDescent="0.25">
      <c r="A539" s="7">
        <v>2.5870703854994304</v>
      </c>
      <c r="B539"/>
      <c r="C539"/>
      <c r="D539"/>
      <c r="E539"/>
      <c r="CQ539" s="27" t="s">
        <v>8</v>
      </c>
      <c r="CR539" s="27" t="s">
        <v>7</v>
      </c>
      <c r="CS539" s="27" t="s">
        <v>8</v>
      </c>
      <c r="CT539" s="27" t="s">
        <v>7</v>
      </c>
      <c r="GE539" s="27" t="s">
        <v>8</v>
      </c>
      <c r="GF539" s="27" t="s">
        <v>7</v>
      </c>
      <c r="GG539" s="27" t="s">
        <v>8</v>
      </c>
      <c r="IV539" s="27" t="s">
        <v>7</v>
      </c>
      <c r="IW539" s="27" t="s">
        <v>8</v>
      </c>
      <c r="LD539" s="27" t="s">
        <v>7</v>
      </c>
    </row>
    <row r="540" spans="1:320" x14ac:dyDescent="0.25">
      <c r="A540" s="7">
        <v>2.53634351519552</v>
      </c>
      <c r="B540"/>
      <c r="C540"/>
      <c r="D540"/>
      <c r="E540"/>
      <c r="CQ540" s="27" t="s">
        <v>8</v>
      </c>
      <c r="CR540" s="27" t="s">
        <v>7</v>
      </c>
      <c r="CS540" s="27" t="s">
        <v>8</v>
      </c>
      <c r="CT540" s="27" t="s">
        <v>7</v>
      </c>
      <c r="CU540" s="27" t="s">
        <v>8</v>
      </c>
      <c r="GE540" s="27" t="s">
        <v>8</v>
      </c>
      <c r="GF540" s="27" t="s">
        <v>7</v>
      </c>
      <c r="GG540" s="27" t="s">
        <v>8</v>
      </c>
      <c r="IV540" s="27" t="s">
        <v>7</v>
      </c>
      <c r="LD540" s="27" t="s">
        <v>7</v>
      </c>
    </row>
    <row r="541" spans="1:320" x14ac:dyDescent="0.25">
      <c r="A541" s="7">
        <v>2.4866112894073726</v>
      </c>
      <c r="B541"/>
      <c r="C541"/>
      <c r="D541"/>
      <c r="E541"/>
      <c r="CQ541" s="27" t="s">
        <v>8</v>
      </c>
      <c r="CR541" s="27" t="s">
        <v>7</v>
      </c>
      <c r="CS541" s="27" t="s">
        <v>8</v>
      </c>
      <c r="CT541" s="27" t="s">
        <v>7</v>
      </c>
      <c r="CU541" s="27" t="s">
        <v>8</v>
      </c>
      <c r="CV541" s="27" t="s">
        <v>7</v>
      </c>
      <c r="GE541" s="27" t="s">
        <v>8</v>
      </c>
      <c r="GF541" s="27" t="s">
        <v>7</v>
      </c>
      <c r="GG541" s="27" t="s">
        <v>8</v>
      </c>
      <c r="LD541" s="27" t="s">
        <v>7</v>
      </c>
      <c r="LG541" s="27" t="s">
        <v>8</v>
      </c>
    </row>
    <row r="542" spans="1:320" x14ac:dyDescent="0.25">
      <c r="A542" s="7">
        <v>2.4378542053013459</v>
      </c>
      <c r="B542"/>
      <c r="C542"/>
      <c r="D542"/>
      <c r="E542"/>
      <c r="CQ542" s="27" t="s">
        <v>8</v>
      </c>
      <c r="CR542" s="27" t="s">
        <v>7</v>
      </c>
      <c r="CS542" s="27" t="s">
        <v>8</v>
      </c>
      <c r="CT542" s="27" t="s">
        <v>7</v>
      </c>
      <c r="CU542" s="27" t="s">
        <v>8</v>
      </c>
      <c r="CV542" s="27" t="s">
        <v>7</v>
      </c>
      <c r="GE542" s="27" t="s">
        <v>8</v>
      </c>
      <c r="GF542" s="27" t="s">
        <v>7</v>
      </c>
      <c r="GG542" s="27" t="s">
        <v>8</v>
      </c>
      <c r="LD542" s="27" t="s">
        <v>7</v>
      </c>
      <c r="LG542" s="27" t="s">
        <v>8</v>
      </c>
      <c r="LH542" s="27" t="s">
        <v>7</v>
      </c>
    </row>
    <row r="543" spans="1:320" x14ac:dyDescent="0.25">
      <c r="A543" s="7">
        <v>2.3900531424522997</v>
      </c>
      <c r="B543"/>
      <c r="C543"/>
      <c r="D543"/>
      <c r="E543"/>
      <c r="CQ543" s="27" t="s">
        <v>8</v>
      </c>
      <c r="CR543" s="27" t="s">
        <v>7</v>
      </c>
      <c r="CS543" s="27" t="s">
        <v>8</v>
      </c>
      <c r="CT543" s="27" t="s">
        <v>7</v>
      </c>
      <c r="CU543" s="27" t="s">
        <v>8</v>
      </c>
      <c r="CV543" s="27" t="s">
        <v>7</v>
      </c>
      <c r="CY543" s="27" t="s">
        <v>8</v>
      </c>
      <c r="GE543" s="27" t="s">
        <v>8</v>
      </c>
      <c r="GF543" s="27" t="s">
        <v>7</v>
      </c>
      <c r="GG543" s="27" t="s">
        <v>8</v>
      </c>
      <c r="LD543" s="27" t="s">
        <v>7</v>
      </c>
      <c r="LE543" s="27" t="s">
        <v>8</v>
      </c>
      <c r="LG543" s="27" t="s">
        <v>8</v>
      </c>
      <c r="LH543" s="27" t="s">
        <v>7</v>
      </c>
    </row>
    <row r="544" spans="1:320" x14ac:dyDescent="0.25">
      <c r="A544" s="7">
        <v>2.343189355345392</v>
      </c>
      <c r="B544"/>
      <c r="C544"/>
      <c r="D544"/>
      <c r="E544"/>
      <c r="CQ544" s="27" t="s">
        <v>8</v>
      </c>
      <c r="CR544" s="27" t="s">
        <v>7</v>
      </c>
      <c r="CS544" s="27" t="s">
        <v>8</v>
      </c>
      <c r="CT544" s="27" t="s">
        <v>7</v>
      </c>
      <c r="CU544" s="27" t="s">
        <v>8</v>
      </c>
      <c r="CV544" s="27" t="s">
        <v>7</v>
      </c>
      <c r="CY544" s="27" t="s">
        <v>8</v>
      </c>
      <c r="CZ544" s="27" t="s">
        <v>7</v>
      </c>
      <c r="GE544" s="27" t="s">
        <v>8</v>
      </c>
      <c r="GF544" s="27" t="s">
        <v>7</v>
      </c>
      <c r="GG544" s="27" t="s">
        <v>8</v>
      </c>
      <c r="LD544" s="27" t="s">
        <v>7</v>
      </c>
      <c r="LE544" s="27" t="s">
        <v>8</v>
      </c>
      <c r="LF544" s="27" t="s">
        <v>7</v>
      </c>
      <c r="LG544" s="27" t="s">
        <v>8</v>
      </c>
      <c r="LH544" s="27" t="s">
        <v>7</v>
      </c>
    </row>
    <row r="545" spans="1:320" x14ac:dyDescent="0.25">
      <c r="A545" s="7">
        <v>2.2972444660248938</v>
      </c>
      <c r="B545"/>
      <c r="C545"/>
      <c r="D545"/>
      <c r="E545"/>
      <c r="CQ545" s="27" t="s">
        <v>8</v>
      </c>
      <c r="CR545" s="27" t="s">
        <v>7</v>
      </c>
      <c r="CS545" s="27" t="s">
        <v>8</v>
      </c>
      <c r="CT545" s="27" t="s">
        <v>7</v>
      </c>
      <c r="CU545" s="27" t="s">
        <v>8</v>
      </c>
      <c r="CV545" s="27" t="s">
        <v>7</v>
      </c>
      <c r="CY545" s="27" t="s">
        <v>8</v>
      </c>
      <c r="CZ545" s="27" t="s">
        <v>7</v>
      </c>
      <c r="GC545" s="27" t="s">
        <v>8</v>
      </c>
      <c r="GE545" s="27" t="s">
        <v>8</v>
      </c>
      <c r="GF545" s="27" t="s">
        <v>7</v>
      </c>
      <c r="GG545" s="27" t="s">
        <v>8</v>
      </c>
      <c r="LD545" s="27" t="s">
        <v>7</v>
      </c>
      <c r="LE545" s="27" t="s">
        <v>8</v>
      </c>
      <c r="LF545" s="27" t="s">
        <v>7</v>
      </c>
      <c r="LG545" s="27" t="s">
        <v>8</v>
      </c>
      <c r="LH545" s="27" t="s">
        <v>7</v>
      </c>
    </row>
    <row r="546" spans="1:320" x14ac:dyDescent="0.25">
      <c r="A546" s="7">
        <v>2.252200456887151</v>
      </c>
      <c r="B546"/>
      <c r="C546"/>
      <c r="D546"/>
      <c r="E546"/>
      <c r="CQ546" s="27" t="s">
        <v>8</v>
      </c>
      <c r="CR546" s="27" t="s">
        <v>7</v>
      </c>
      <c r="CT546" s="27" t="s">
        <v>7</v>
      </c>
      <c r="CU546" s="27" t="s">
        <v>8</v>
      </c>
      <c r="CV546" s="27" t="s">
        <v>7</v>
      </c>
      <c r="CY546" s="27" t="s">
        <v>8</v>
      </c>
      <c r="CZ546" s="27" t="s">
        <v>7</v>
      </c>
      <c r="GC546" s="27" t="s">
        <v>8</v>
      </c>
      <c r="GD546" s="27" t="s">
        <v>7</v>
      </c>
      <c r="GE546" s="27" t="s">
        <v>8</v>
      </c>
      <c r="GF546" s="27" t="s">
        <v>7</v>
      </c>
      <c r="LD546" s="27" t="s">
        <v>7</v>
      </c>
      <c r="LE546" s="27" t="s">
        <v>8</v>
      </c>
      <c r="LF546" s="27" t="s">
        <v>7</v>
      </c>
      <c r="LG546" s="27" t="s">
        <v>8</v>
      </c>
    </row>
    <row r="547" spans="1:320" x14ac:dyDescent="0.25">
      <c r="A547" s="7">
        <v>2.208039663614854</v>
      </c>
      <c r="B547"/>
      <c r="C547"/>
      <c r="D547"/>
      <c r="E547"/>
      <c r="CQ547" s="27" t="s">
        <v>8</v>
      </c>
      <c r="CT547" s="27" t="s">
        <v>7</v>
      </c>
      <c r="CU547" s="27" t="s">
        <v>8</v>
      </c>
      <c r="CV547" s="27" t="s">
        <v>7</v>
      </c>
      <c r="CW547" s="27" t="s">
        <v>8</v>
      </c>
      <c r="CY547" s="27" t="s">
        <v>8</v>
      </c>
      <c r="CZ547" s="27" t="s">
        <v>7</v>
      </c>
      <c r="GC547" s="27" t="s">
        <v>8</v>
      </c>
      <c r="GD547" s="27" t="s">
        <v>7</v>
      </c>
      <c r="GE547" s="27" t="s">
        <v>8</v>
      </c>
      <c r="LD547" s="27" t="s">
        <v>7</v>
      </c>
      <c r="LF547" s="27" t="s">
        <v>7</v>
      </c>
      <c r="LG547" s="27" t="s">
        <v>8</v>
      </c>
    </row>
    <row r="548" spans="1:320" x14ac:dyDescent="0.25">
      <c r="A548" s="7">
        <v>2.1647447682498568</v>
      </c>
      <c r="B548"/>
      <c r="C548"/>
      <c r="D548"/>
      <c r="E548"/>
      <c r="CQ548" s="27" t="s">
        <v>8</v>
      </c>
      <c r="CT548" s="27" t="s">
        <v>7</v>
      </c>
      <c r="CU548" s="27" t="s">
        <v>8</v>
      </c>
      <c r="CV548" s="27" t="s">
        <v>7</v>
      </c>
      <c r="CW548" s="27" t="s">
        <v>8</v>
      </c>
      <c r="CX548" s="27" t="s">
        <v>7</v>
      </c>
      <c r="CY548" s="27" t="s">
        <v>8</v>
      </c>
      <c r="CZ548" s="27" t="s">
        <v>7</v>
      </c>
      <c r="GC548" s="27" t="s">
        <v>8</v>
      </c>
      <c r="GD548" s="27" t="s">
        <v>7</v>
      </c>
      <c r="GE548" s="27" t="s">
        <v>8</v>
      </c>
      <c r="LF548" s="27" t="s">
        <v>7</v>
      </c>
      <c r="LG548" s="27" t="s">
        <v>8</v>
      </c>
    </row>
    <row r="549" spans="1:320" x14ac:dyDescent="0.25">
      <c r="A549" s="7">
        <v>2.1222987924018204</v>
      </c>
      <c r="B549"/>
      <c r="C549"/>
      <c r="D549"/>
      <c r="E549"/>
      <c r="CQ549" s="27" t="s">
        <v>8</v>
      </c>
      <c r="CT549" s="27" t="s">
        <v>7</v>
      </c>
      <c r="CU549" s="27" t="s">
        <v>8</v>
      </c>
      <c r="CV549" s="27" t="s">
        <v>7</v>
      </c>
      <c r="CW549" s="27" t="s">
        <v>8</v>
      </c>
      <c r="CX549" s="27" t="s">
        <v>7</v>
      </c>
      <c r="CY549" s="27" t="s">
        <v>8</v>
      </c>
      <c r="CZ549" s="27" t="s">
        <v>7</v>
      </c>
      <c r="GC549" s="27" t="s">
        <v>8</v>
      </c>
      <c r="GD549" s="27" t="s">
        <v>7</v>
      </c>
      <c r="LF549" s="27" t="s">
        <v>7</v>
      </c>
    </row>
    <row r="550" spans="1:320" x14ac:dyDescent="0.25">
      <c r="A550" s="7">
        <v>2.0806850905900198</v>
      </c>
      <c r="B550"/>
      <c r="C550"/>
      <c r="D550"/>
      <c r="E550"/>
      <c r="CO550" s="27" t="s">
        <v>8</v>
      </c>
      <c r="CQ550" s="27" t="s">
        <v>8</v>
      </c>
      <c r="CT550" s="27" t="s">
        <v>7</v>
      </c>
      <c r="CU550" s="27" t="s">
        <v>8</v>
      </c>
      <c r="CV550" s="27" t="s">
        <v>7</v>
      </c>
      <c r="CW550" s="27" t="s">
        <v>8</v>
      </c>
      <c r="CX550" s="27" t="s">
        <v>7</v>
      </c>
      <c r="CY550" s="27" t="s">
        <v>8</v>
      </c>
      <c r="CZ550" s="27" t="s">
        <v>7</v>
      </c>
      <c r="FY550" s="27" t="s">
        <v>8</v>
      </c>
      <c r="GC550" s="27" t="s">
        <v>8</v>
      </c>
    </row>
    <row r="551" spans="1:320" x14ac:dyDescent="0.25">
      <c r="A551" s="7">
        <v>2.0398873437157055</v>
      </c>
      <c r="B551"/>
      <c r="C551"/>
      <c r="D551"/>
      <c r="E551"/>
      <c r="CO551" s="27" t="s">
        <v>8</v>
      </c>
      <c r="CP551" s="27" t="s">
        <v>7</v>
      </c>
      <c r="CQ551" s="27" t="s">
        <v>8</v>
      </c>
      <c r="CT551" s="27" t="s">
        <v>7</v>
      </c>
      <c r="CV551" s="27" t="s">
        <v>7</v>
      </c>
      <c r="CX551" s="27" t="s">
        <v>7</v>
      </c>
      <c r="CY551" s="27" t="s">
        <v>8</v>
      </c>
      <c r="CZ551" s="27" t="s">
        <v>7</v>
      </c>
      <c r="DA551" s="27" t="s">
        <v>8</v>
      </c>
      <c r="DC551" s="27" t="s">
        <v>8</v>
      </c>
      <c r="FY551" s="27" t="s">
        <v>8</v>
      </c>
      <c r="FZ551" s="27" t="s">
        <v>7</v>
      </c>
      <c r="GA551" s="27" t="s">
        <v>8</v>
      </c>
      <c r="GC551" s="27" t="s">
        <v>8</v>
      </c>
    </row>
    <row r="552" spans="1:320" x14ac:dyDescent="0.25">
      <c r="A552" s="7">
        <v>1.9998895526624565</v>
      </c>
      <c r="B552"/>
      <c r="C552"/>
      <c r="D552"/>
      <c r="E552"/>
      <c r="CO552" s="27" t="s">
        <v>8</v>
      </c>
      <c r="CP552" s="27" t="s">
        <v>7</v>
      </c>
      <c r="CQ552" s="27" t="s">
        <v>8</v>
      </c>
      <c r="CX552" s="27" t="s">
        <v>7</v>
      </c>
      <c r="CY552" s="27" t="s">
        <v>8</v>
      </c>
      <c r="CZ552" s="27" t="s">
        <v>7</v>
      </c>
      <c r="DA552" s="27" t="s">
        <v>8</v>
      </c>
      <c r="DB552" s="27" t="s">
        <v>7</v>
      </c>
      <c r="DC552" s="27" t="s">
        <v>8</v>
      </c>
      <c r="DD552" s="27" t="s">
        <v>7</v>
      </c>
      <c r="FY552" s="27" t="s">
        <v>8</v>
      </c>
      <c r="FZ552" s="27" t="s">
        <v>7</v>
      </c>
      <c r="GA552" s="27" t="s">
        <v>8</v>
      </c>
      <c r="GB552" s="27" t="s">
        <v>7</v>
      </c>
      <c r="GC552" s="27" t="s">
        <v>8</v>
      </c>
    </row>
    <row r="553" spans="1:320" x14ac:dyDescent="0.25">
      <c r="A553" s="7">
        <v>1.9606760320220162</v>
      </c>
      <c r="B553"/>
      <c r="C553"/>
      <c r="D553"/>
      <c r="E553"/>
      <c r="CO553" s="27" t="s">
        <v>8</v>
      </c>
      <c r="CP553" s="27" t="s">
        <v>7</v>
      </c>
      <c r="CQ553" s="27" t="s">
        <v>8</v>
      </c>
      <c r="CX553" s="27" t="s">
        <v>7</v>
      </c>
      <c r="CY553" s="27" t="s">
        <v>8</v>
      </c>
      <c r="CZ553" s="27" t="s">
        <v>7</v>
      </c>
      <c r="DA553" s="27" t="s">
        <v>8</v>
      </c>
      <c r="DB553" s="27" t="s">
        <v>7</v>
      </c>
      <c r="DC553" s="27" t="s">
        <v>8</v>
      </c>
      <c r="DD553" s="27" t="s">
        <v>7</v>
      </c>
      <c r="DE553" s="27" t="s">
        <v>8</v>
      </c>
      <c r="FY553" s="27" t="s">
        <v>8</v>
      </c>
      <c r="FZ553" s="27" t="s">
        <v>7</v>
      </c>
      <c r="GA553" s="27" t="s">
        <v>8</v>
      </c>
      <c r="GB553" s="27" t="s">
        <v>7</v>
      </c>
      <c r="GC553" s="27" t="s">
        <v>8</v>
      </c>
    </row>
    <row r="554" spans="1:320" x14ac:dyDescent="0.25">
      <c r="A554" s="7">
        <v>1.9222314039431532</v>
      </c>
      <c r="B554"/>
      <c r="C554"/>
      <c r="D554"/>
      <c r="E554"/>
      <c r="CM554" s="27" t="s">
        <v>8</v>
      </c>
      <c r="CO554" s="27" t="s">
        <v>8</v>
      </c>
      <c r="CP554" s="27" t="s">
        <v>7</v>
      </c>
      <c r="CX554" s="27" t="s">
        <v>7</v>
      </c>
      <c r="CY554" s="27" t="s">
        <v>8</v>
      </c>
      <c r="CZ554" s="27" t="s">
        <v>7</v>
      </c>
      <c r="DB554" s="27" t="s">
        <v>7</v>
      </c>
      <c r="DC554" s="27" t="s">
        <v>8</v>
      </c>
      <c r="DD554" s="27" t="s">
        <v>7</v>
      </c>
      <c r="DE554" s="27" t="s">
        <v>8</v>
      </c>
      <c r="DF554" s="27" t="s">
        <v>7</v>
      </c>
      <c r="FY554" s="27" t="s">
        <v>8</v>
      </c>
      <c r="FZ554" s="27" t="s">
        <v>7</v>
      </c>
      <c r="GA554" s="27" t="s">
        <v>8</v>
      </c>
      <c r="GB554" s="27" t="s">
        <v>7</v>
      </c>
      <c r="GC554" s="27" t="s">
        <v>8</v>
      </c>
    </row>
    <row r="555" spans="1:320" x14ac:dyDescent="0.25">
      <c r="A555" s="7">
        <v>1.8845405921011305</v>
      </c>
      <c r="B555"/>
      <c r="C555"/>
      <c r="D555"/>
      <c r="E555"/>
      <c r="CM555" s="27" t="s">
        <v>8</v>
      </c>
      <c r="CN555" s="27" t="s">
        <v>7</v>
      </c>
      <c r="CO555" s="27" t="s">
        <v>8</v>
      </c>
      <c r="CX555" s="27" t="s">
        <v>7</v>
      </c>
      <c r="CY555" s="27" t="s">
        <v>8</v>
      </c>
      <c r="DB555" s="27" t="s">
        <v>7</v>
      </c>
      <c r="DC555" s="27" t="s">
        <v>8</v>
      </c>
      <c r="DD555" s="27" t="s">
        <v>7</v>
      </c>
      <c r="DE555" s="27" t="s">
        <v>8</v>
      </c>
      <c r="DF555" s="27" t="s">
        <v>7</v>
      </c>
      <c r="FG555" s="27" t="s">
        <v>8</v>
      </c>
      <c r="FW555" s="27" t="s">
        <v>8</v>
      </c>
      <c r="FY555" s="27" t="s">
        <v>8</v>
      </c>
      <c r="FZ555" s="27" t="s">
        <v>7</v>
      </c>
      <c r="GA555" s="27" t="s">
        <v>8</v>
      </c>
      <c r="GB555" s="27" t="s">
        <v>7</v>
      </c>
      <c r="GC555" s="27" t="s">
        <v>8</v>
      </c>
    </row>
    <row r="556" spans="1:320" x14ac:dyDescent="0.25">
      <c r="A556" s="7">
        <v>1.8475888157854219</v>
      </c>
      <c r="B556"/>
      <c r="C556"/>
      <c r="D556"/>
      <c r="E556"/>
      <c r="CM556" s="27" t="s">
        <v>8</v>
      </c>
      <c r="CN556" s="27" t="s">
        <v>7</v>
      </c>
      <c r="CO556" s="27" t="s">
        <v>8</v>
      </c>
      <c r="CX556" s="27" t="s">
        <v>7</v>
      </c>
      <c r="CY556" s="27" t="s">
        <v>8</v>
      </c>
      <c r="DB556" s="27" t="s">
        <v>7</v>
      </c>
      <c r="DC556" s="27" t="s">
        <v>8</v>
      </c>
      <c r="DD556" s="27" t="s">
        <v>7</v>
      </c>
      <c r="DE556" s="27" t="s">
        <v>8</v>
      </c>
      <c r="DF556" s="27" t="s">
        <v>7</v>
      </c>
      <c r="FG556" s="27" t="s">
        <v>8</v>
      </c>
      <c r="FH556" s="27" t="s">
        <v>7</v>
      </c>
      <c r="FU556" s="27" t="s">
        <v>8</v>
      </c>
      <c r="FW556" s="27" t="s">
        <v>8</v>
      </c>
      <c r="FX556" s="27" t="s">
        <v>7</v>
      </c>
      <c r="FY556" s="27" t="s">
        <v>8</v>
      </c>
      <c r="FZ556" s="27" t="s">
        <v>7</v>
      </c>
      <c r="GA556" s="27" t="s">
        <v>8</v>
      </c>
      <c r="GB556" s="27" t="s">
        <v>7</v>
      </c>
    </row>
    <row r="557" spans="1:320" x14ac:dyDescent="0.25">
      <c r="A557" s="7">
        <v>1.8113615841033548</v>
      </c>
      <c r="B557"/>
      <c r="C557"/>
      <c r="D557"/>
      <c r="E557"/>
      <c r="CM557" s="27" t="s">
        <v>8</v>
      </c>
      <c r="CN557" s="27" t="s">
        <v>7</v>
      </c>
      <c r="CO557" s="27" t="s">
        <v>8</v>
      </c>
      <c r="CX557" s="27" t="s">
        <v>7</v>
      </c>
      <c r="CY557" s="27" t="s">
        <v>8</v>
      </c>
      <c r="DB557" s="27" t="s">
        <v>7</v>
      </c>
      <c r="DC557" s="27" t="s">
        <v>8</v>
      </c>
      <c r="DD557" s="27" t="s">
        <v>7</v>
      </c>
      <c r="DF557" s="27" t="s">
        <v>7</v>
      </c>
      <c r="FG557" s="27" t="s">
        <v>8</v>
      </c>
      <c r="FH557" s="27" t="s">
        <v>7</v>
      </c>
      <c r="FU557" s="27" t="s">
        <v>8</v>
      </c>
      <c r="FV557" s="27" t="s">
        <v>7</v>
      </c>
      <c r="FW557" s="27" t="s">
        <v>8</v>
      </c>
      <c r="FX557" s="27" t="s">
        <v>7</v>
      </c>
      <c r="FY557" s="27" t="s">
        <v>8</v>
      </c>
      <c r="FZ557" s="27" t="s">
        <v>7</v>
      </c>
      <c r="GA557" s="27" t="s">
        <v>8</v>
      </c>
    </row>
    <row r="558" spans="1:320" x14ac:dyDescent="0.25">
      <c r="A558" s="7">
        <v>1.7758446902974065</v>
      </c>
      <c r="B558"/>
      <c r="C558"/>
      <c r="D558"/>
      <c r="E558"/>
      <c r="CM558" s="27" t="s">
        <v>8</v>
      </c>
      <c r="CN558" s="27" t="s">
        <v>7</v>
      </c>
      <c r="CO558" s="27" t="s">
        <v>8</v>
      </c>
      <c r="CX558" s="27" t="s">
        <v>7</v>
      </c>
      <c r="CY558" s="27" t="s">
        <v>8</v>
      </c>
      <c r="DB558" s="27" t="s">
        <v>7</v>
      </c>
      <c r="DC558" s="27" t="s">
        <v>8</v>
      </c>
      <c r="DF558" s="27" t="s">
        <v>7</v>
      </c>
      <c r="FG558" s="27" t="s">
        <v>8</v>
      </c>
      <c r="FH558" s="27" t="s">
        <v>7</v>
      </c>
      <c r="FU558" s="27" t="s">
        <v>8</v>
      </c>
      <c r="FV558" s="27" t="s">
        <v>7</v>
      </c>
      <c r="FW558" s="27" t="s">
        <v>8</v>
      </c>
      <c r="FX558" s="27" t="s">
        <v>7</v>
      </c>
      <c r="FY558" s="27" t="s">
        <v>8</v>
      </c>
      <c r="FZ558" s="27" t="s">
        <v>7</v>
      </c>
      <c r="GA558" s="27" t="s">
        <v>8</v>
      </c>
    </row>
    <row r="559" spans="1:320" x14ac:dyDescent="0.25">
      <c r="A559" s="7">
        <v>1.7410242061739281</v>
      </c>
      <c r="B559"/>
      <c r="C559"/>
      <c r="D559"/>
      <c r="E559"/>
      <c r="CM559" s="27" t="s">
        <v>8</v>
      </c>
      <c r="CN559" s="27" t="s">
        <v>7</v>
      </c>
      <c r="CO559" s="27" t="s">
        <v>8</v>
      </c>
      <c r="CX559" s="27" t="s">
        <v>7</v>
      </c>
      <c r="DB559" s="27" t="s">
        <v>7</v>
      </c>
      <c r="DC559" s="27" t="s">
        <v>8</v>
      </c>
      <c r="DF559" s="27" t="s">
        <v>7</v>
      </c>
      <c r="FG559" s="27" t="s">
        <v>8</v>
      </c>
      <c r="FH559" s="27" t="s">
        <v>7</v>
      </c>
      <c r="FU559" s="27" t="s">
        <v>8</v>
      </c>
      <c r="FV559" s="27" t="s">
        <v>7</v>
      </c>
      <c r="FW559" s="27" t="s">
        <v>8</v>
      </c>
      <c r="FX559" s="27" t="s">
        <v>7</v>
      </c>
      <c r="FY559" s="27" t="s">
        <v>8</v>
      </c>
      <c r="FZ559" s="27" t="s">
        <v>7</v>
      </c>
      <c r="GA559" s="27" t="s">
        <v>8</v>
      </c>
    </row>
    <row r="560" spans="1:320" x14ac:dyDescent="0.25">
      <c r="A560" s="7">
        <v>1.7068864766411058</v>
      </c>
      <c r="B560"/>
      <c r="C560"/>
      <c r="D560"/>
      <c r="E560"/>
      <c r="CE560" s="27" t="s">
        <v>8</v>
      </c>
      <c r="CI560" s="27" t="s">
        <v>8</v>
      </c>
      <c r="CM560" s="27" t="s">
        <v>8</v>
      </c>
      <c r="CN560" s="27" t="s">
        <v>7</v>
      </c>
      <c r="CO560" s="27" t="s">
        <v>8</v>
      </c>
      <c r="DB560" s="27" t="s">
        <v>7</v>
      </c>
      <c r="DF560" s="27" t="s">
        <v>7</v>
      </c>
      <c r="FG560" s="27" t="s">
        <v>8</v>
      </c>
      <c r="FH560" s="27" t="s">
        <v>7</v>
      </c>
      <c r="FS560" s="27" t="s">
        <v>8</v>
      </c>
      <c r="FU560" s="27" t="s">
        <v>8</v>
      </c>
      <c r="FV560" s="27" t="s">
        <v>7</v>
      </c>
      <c r="FW560" s="27" t="s">
        <v>8</v>
      </c>
      <c r="FX560" s="27" t="s">
        <v>7</v>
      </c>
      <c r="FY560" s="27" t="s">
        <v>8</v>
      </c>
      <c r="FZ560" s="27" t="s">
        <v>7</v>
      </c>
      <c r="GA560" s="27" t="s">
        <v>8</v>
      </c>
    </row>
    <row r="561" spans="1:182" x14ac:dyDescent="0.25">
      <c r="A561" s="7">
        <v>1.6734181143540252</v>
      </c>
      <c r="B561"/>
      <c r="C561"/>
      <c r="D561"/>
      <c r="E561"/>
      <c r="CE561" s="27" t="s">
        <v>8</v>
      </c>
      <c r="CF561" s="27" t="s">
        <v>7</v>
      </c>
      <c r="CI561" s="27" t="s">
        <v>8</v>
      </c>
      <c r="CJ561" s="27" t="s">
        <v>7</v>
      </c>
      <c r="CK561" s="27" t="s">
        <v>8</v>
      </c>
      <c r="CM561" s="27" t="s">
        <v>8</v>
      </c>
      <c r="CN561" s="27" t="s">
        <v>7</v>
      </c>
      <c r="CO561" s="27" t="s">
        <v>8</v>
      </c>
      <c r="DF561" s="27" t="s">
        <v>7</v>
      </c>
      <c r="FG561" s="27" t="s">
        <v>8</v>
      </c>
      <c r="FH561" s="27" t="s">
        <v>7</v>
      </c>
      <c r="FQ561" s="27" t="s">
        <v>8</v>
      </c>
      <c r="FS561" s="27" t="s">
        <v>8</v>
      </c>
      <c r="FT561" s="27" t="s">
        <v>7</v>
      </c>
      <c r="FU561" s="27" t="s">
        <v>8</v>
      </c>
      <c r="FV561" s="27" t="s">
        <v>7</v>
      </c>
      <c r="FX561" s="27" t="s">
        <v>7</v>
      </c>
      <c r="FY561" s="27" t="s">
        <v>8</v>
      </c>
      <c r="FZ561" s="27" t="s">
        <v>7</v>
      </c>
    </row>
    <row r="562" spans="1:182" x14ac:dyDescent="0.25">
      <c r="A562" s="7">
        <v>1.6406059944647307</v>
      </c>
      <c r="B562"/>
      <c r="C562"/>
      <c r="D562"/>
      <c r="E562"/>
      <c r="CA562" s="27" t="s">
        <v>8</v>
      </c>
      <c r="CE562" s="27" t="s">
        <v>8</v>
      </c>
      <c r="CF562" s="27" t="s">
        <v>7</v>
      </c>
      <c r="CI562" s="27" t="s">
        <v>8</v>
      </c>
      <c r="CJ562" s="27" t="s">
        <v>7</v>
      </c>
      <c r="CK562" s="27" t="s">
        <v>8</v>
      </c>
      <c r="CL562" s="27" t="s">
        <v>7</v>
      </c>
      <c r="CM562" s="27" t="s">
        <v>8</v>
      </c>
      <c r="CN562" s="27" t="s">
        <v>7</v>
      </c>
      <c r="CO562" s="27" t="s">
        <v>8</v>
      </c>
      <c r="DF562" s="27" t="s">
        <v>7</v>
      </c>
      <c r="FG562" s="27" t="s">
        <v>8</v>
      </c>
      <c r="FH562" s="27" t="s">
        <v>7</v>
      </c>
      <c r="FQ562" s="27" t="s">
        <v>8</v>
      </c>
      <c r="FR562" s="27" t="s">
        <v>7</v>
      </c>
      <c r="FS562" s="27" t="s">
        <v>8</v>
      </c>
      <c r="FT562" s="27" t="s">
        <v>7</v>
      </c>
      <c r="FU562" s="27" t="s">
        <v>8</v>
      </c>
      <c r="FX562" s="27" t="s">
        <v>7</v>
      </c>
      <c r="FY562" s="27" t="s">
        <v>8</v>
      </c>
    </row>
    <row r="563" spans="1:182" x14ac:dyDescent="0.25">
      <c r="A563" s="7">
        <v>1.6084372494752261</v>
      </c>
      <c r="B563"/>
      <c r="C563"/>
      <c r="D563"/>
      <c r="E563"/>
      <c r="BY563" s="27" t="s">
        <v>8</v>
      </c>
      <c r="CA563" s="27" t="s">
        <v>8</v>
      </c>
      <c r="CB563" s="27" t="s">
        <v>7</v>
      </c>
      <c r="CE563" s="27" t="s">
        <v>8</v>
      </c>
      <c r="CF563" s="27" t="s">
        <v>7</v>
      </c>
      <c r="CG563" s="27" t="s">
        <v>8</v>
      </c>
      <c r="CI563" s="27" t="s">
        <v>8</v>
      </c>
      <c r="CJ563" s="27" t="s">
        <v>7</v>
      </c>
      <c r="CK563" s="27" t="s">
        <v>8</v>
      </c>
      <c r="CL563" s="27" t="s">
        <v>7</v>
      </c>
      <c r="CM563" s="27" t="s">
        <v>8</v>
      </c>
      <c r="CN563" s="27" t="s">
        <v>7</v>
      </c>
      <c r="DF563" s="27" t="s">
        <v>7</v>
      </c>
      <c r="FG563" s="27" t="s">
        <v>8</v>
      </c>
      <c r="FH563" s="27" t="s">
        <v>7</v>
      </c>
      <c r="FQ563" s="27" t="s">
        <v>8</v>
      </c>
      <c r="FR563" s="27" t="s">
        <v>7</v>
      </c>
      <c r="FS563" s="27" t="s">
        <v>8</v>
      </c>
      <c r="FT563" s="27" t="s">
        <v>7</v>
      </c>
      <c r="FU563" s="27" t="s">
        <v>8</v>
      </c>
      <c r="FX563" s="27" t="s">
        <v>7</v>
      </c>
      <c r="FY563" s="27" t="s">
        <v>8</v>
      </c>
    </row>
    <row r="564" spans="1:182" x14ac:dyDescent="0.25">
      <c r="A564" s="7">
        <v>1.5768992641913981</v>
      </c>
      <c r="B564"/>
      <c r="C564"/>
      <c r="D564"/>
      <c r="E564"/>
      <c r="BY564" s="27" t="s">
        <v>8</v>
      </c>
      <c r="BZ564" s="27" t="s">
        <v>7</v>
      </c>
      <c r="CA564" s="27" t="s">
        <v>8</v>
      </c>
      <c r="CB564" s="27" t="s">
        <v>7</v>
      </c>
      <c r="CC564" s="27" t="s">
        <v>8</v>
      </c>
      <c r="CE564" s="27" t="s">
        <v>8</v>
      </c>
      <c r="CF564" s="27" t="s">
        <v>7</v>
      </c>
      <c r="CG564" s="27" t="s">
        <v>8</v>
      </c>
      <c r="CH564" s="27" t="s">
        <v>7</v>
      </c>
      <c r="CI564" s="27" t="s">
        <v>8</v>
      </c>
      <c r="CJ564" s="27" t="s">
        <v>7</v>
      </c>
      <c r="CK564" s="27" t="s">
        <v>8</v>
      </c>
      <c r="CL564" s="27" t="s">
        <v>7</v>
      </c>
      <c r="CM564" s="27" t="s">
        <v>8</v>
      </c>
      <c r="DF564" s="27" t="s">
        <v>7</v>
      </c>
      <c r="FG564" s="27" t="s">
        <v>8</v>
      </c>
      <c r="FH564" s="27" t="s">
        <v>7</v>
      </c>
      <c r="FO564" s="27" t="s">
        <v>8</v>
      </c>
      <c r="FQ564" s="27" t="s">
        <v>8</v>
      </c>
      <c r="FR564" s="27" t="s">
        <v>7</v>
      </c>
      <c r="FS564" s="27" t="s">
        <v>8</v>
      </c>
      <c r="FT564" s="27" t="s">
        <v>7</v>
      </c>
      <c r="FU564" s="27" t="s">
        <v>8</v>
      </c>
      <c r="FX564" s="27" t="s">
        <v>7</v>
      </c>
      <c r="FY564" s="27" t="s">
        <v>8</v>
      </c>
    </row>
    <row r="565" spans="1:182" x14ac:dyDescent="0.25">
      <c r="A565" s="7">
        <v>1.5459796707758806</v>
      </c>
      <c r="B565"/>
      <c r="C565"/>
      <c r="D565"/>
      <c r="E565"/>
      <c r="BY565" s="27" t="s">
        <v>8</v>
      </c>
      <c r="BZ565" s="27" t="s">
        <v>7</v>
      </c>
      <c r="CA565" s="27" t="s">
        <v>8</v>
      </c>
      <c r="CB565" s="27" t="s">
        <v>7</v>
      </c>
      <c r="CC565" s="27" t="s">
        <v>8</v>
      </c>
      <c r="CD565" s="27" t="s">
        <v>7</v>
      </c>
      <c r="CE565" s="27" t="s">
        <v>8</v>
      </c>
      <c r="CF565" s="27" t="s">
        <v>7</v>
      </c>
      <c r="CG565" s="27" t="s">
        <v>8</v>
      </c>
      <c r="CH565" s="27" t="s">
        <v>7</v>
      </c>
      <c r="CI565" s="27" t="s">
        <v>8</v>
      </c>
      <c r="CJ565" s="27" t="s">
        <v>7</v>
      </c>
      <c r="CK565" s="27" t="s">
        <v>8</v>
      </c>
      <c r="CL565" s="27" t="s">
        <v>7</v>
      </c>
      <c r="CM565" s="27" t="s">
        <v>8</v>
      </c>
      <c r="DF565" s="27" t="s">
        <v>7</v>
      </c>
      <c r="FG565" s="27" t="s">
        <v>8</v>
      </c>
      <c r="FH565" s="27" t="s">
        <v>7</v>
      </c>
      <c r="FO565" s="27" t="s">
        <v>8</v>
      </c>
      <c r="FP565" s="27" t="s">
        <v>7</v>
      </c>
      <c r="FQ565" s="27" t="s">
        <v>8</v>
      </c>
      <c r="FR565" s="27" t="s">
        <v>7</v>
      </c>
      <c r="FS565" s="27" t="s">
        <v>8</v>
      </c>
      <c r="FT565" s="27" t="s">
        <v>7</v>
      </c>
      <c r="FU565" s="27" t="s">
        <v>8</v>
      </c>
      <c r="FX565" s="27" t="s">
        <v>7</v>
      </c>
      <c r="FY565" s="27" t="s">
        <v>8</v>
      </c>
    </row>
    <row r="566" spans="1:182" x14ac:dyDescent="0.25">
      <c r="A566" s="7">
        <v>1.5156663438979221</v>
      </c>
      <c r="B566"/>
      <c r="C566"/>
      <c r="D566"/>
      <c r="E566"/>
      <c r="BW566" s="27" t="s">
        <v>8</v>
      </c>
      <c r="BY566" s="27" t="s">
        <v>8</v>
      </c>
      <c r="BZ566" s="27" t="s">
        <v>7</v>
      </c>
      <c r="CA566" s="27" t="s">
        <v>8</v>
      </c>
      <c r="CB566" s="27" t="s">
        <v>7</v>
      </c>
      <c r="CC566" s="27" t="s">
        <v>8</v>
      </c>
      <c r="CD566" s="27" t="s">
        <v>7</v>
      </c>
      <c r="CE566" s="27" t="s">
        <v>8</v>
      </c>
      <c r="CF566" s="27" t="s">
        <v>7</v>
      </c>
      <c r="CG566" s="27" t="s">
        <v>8</v>
      </c>
      <c r="CH566" s="27" t="s">
        <v>7</v>
      </c>
      <c r="CI566" s="27" t="s">
        <v>8</v>
      </c>
      <c r="CJ566" s="27" t="s">
        <v>7</v>
      </c>
      <c r="CK566" s="27" t="s">
        <v>8</v>
      </c>
      <c r="CL566" s="27" t="s">
        <v>7</v>
      </c>
      <c r="CM566" s="27" t="s">
        <v>8</v>
      </c>
      <c r="DF566" s="27" t="s">
        <v>7</v>
      </c>
      <c r="FG566" s="27" t="s">
        <v>8</v>
      </c>
      <c r="FH566" s="27" t="s">
        <v>7</v>
      </c>
      <c r="FO566" s="27" t="s">
        <v>8</v>
      </c>
      <c r="FP566" s="27" t="s">
        <v>7</v>
      </c>
      <c r="FQ566" s="27" t="s">
        <v>8</v>
      </c>
      <c r="FR566" s="27" t="s">
        <v>7</v>
      </c>
      <c r="FS566" s="27" t="s">
        <v>8</v>
      </c>
      <c r="FT566" s="27" t="s">
        <v>7</v>
      </c>
      <c r="FU566" s="27" t="s">
        <v>8</v>
      </c>
      <c r="FX566" s="27" t="s">
        <v>7</v>
      </c>
      <c r="FY566" s="27" t="s">
        <v>8</v>
      </c>
    </row>
    <row r="567" spans="1:182" x14ac:dyDescent="0.25">
      <c r="A567" s="7">
        <v>1.4859473959783549</v>
      </c>
      <c r="B567"/>
      <c r="C567"/>
      <c r="D567"/>
      <c r="E567"/>
      <c r="BW567" s="27" t="s">
        <v>8</v>
      </c>
      <c r="BX567" s="27" t="s">
        <v>7</v>
      </c>
      <c r="BY567" s="27" t="s">
        <v>8</v>
      </c>
      <c r="BZ567" s="27" t="s">
        <v>7</v>
      </c>
      <c r="CB567" s="27" t="s">
        <v>7</v>
      </c>
      <c r="CC567" s="27" t="s">
        <v>8</v>
      </c>
      <c r="CD567" s="27" t="s">
        <v>7</v>
      </c>
      <c r="CF567" s="27" t="s">
        <v>7</v>
      </c>
      <c r="CH567" s="27" t="s">
        <v>7</v>
      </c>
      <c r="CI567" s="27" t="s">
        <v>8</v>
      </c>
      <c r="CJ567" s="27" t="s">
        <v>7</v>
      </c>
      <c r="CK567" s="27" t="s">
        <v>8</v>
      </c>
      <c r="CL567" s="27" t="s">
        <v>7</v>
      </c>
      <c r="CM567" s="27" t="s">
        <v>8</v>
      </c>
      <c r="DF567" s="27" t="s">
        <v>7</v>
      </c>
      <c r="FG567" s="27" t="s">
        <v>8</v>
      </c>
      <c r="FH567" s="27" t="s">
        <v>7</v>
      </c>
      <c r="FI567" s="27" t="s">
        <v>8</v>
      </c>
      <c r="FO567" s="27" t="s">
        <v>8</v>
      </c>
      <c r="FP567" s="27" t="s">
        <v>7</v>
      </c>
      <c r="FQ567" s="27" t="s">
        <v>8</v>
      </c>
      <c r="FR567" s="27" t="s">
        <v>7</v>
      </c>
      <c r="FS567" s="27" t="s">
        <v>8</v>
      </c>
      <c r="FT567" s="27" t="s">
        <v>7</v>
      </c>
      <c r="FU567" s="27" t="s">
        <v>8</v>
      </c>
      <c r="FX567" s="27" t="s">
        <v>7</v>
      </c>
      <c r="FY567" s="27" t="s">
        <v>8</v>
      </c>
    </row>
    <row r="568" spans="1:182" x14ac:dyDescent="0.25">
      <c r="A568" s="7">
        <v>1.4568111725277988</v>
      </c>
      <c r="B568"/>
      <c r="C568"/>
      <c r="D568"/>
      <c r="E568"/>
      <c r="BW568" s="27" t="s">
        <v>8</v>
      </c>
      <c r="BX568" s="27" t="s">
        <v>7</v>
      </c>
      <c r="BY568" s="27" t="s">
        <v>8</v>
      </c>
      <c r="CB568" s="27" t="s">
        <v>7</v>
      </c>
      <c r="CC568" s="27" t="s">
        <v>8</v>
      </c>
      <c r="CH568" s="27" t="s">
        <v>7</v>
      </c>
      <c r="CI568" s="27" t="s">
        <v>8</v>
      </c>
      <c r="CJ568" s="27" t="s">
        <v>7</v>
      </c>
      <c r="CK568" s="27" t="s">
        <v>8</v>
      </c>
      <c r="CL568" s="27" t="s">
        <v>7</v>
      </c>
      <c r="CM568" s="27" t="s">
        <v>8</v>
      </c>
      <c r="DF568" s="27" t="s">
        <v>7</v>
      </c>
      <c r="FG568" s="27" t="s">
        <v>8</v>
      </c>
      <c r="FH568" s="27" t="s">
        <v>7</v>
      </c>
      <c r="FI568" s="27" t="s">
        <v>8</v>
      </c>
      <c r="FJ568" s="27" t="s">
        <v>7</v>
      </c>
      <c r="FK568" s="27" t="s">
        <v>8</v>
      </c>
      <c r="FO568" s="27" t="s">
        <v>8</v>
      </c>
      <c r="FP568" s="27" t="s">
        <v>7</v>
      </c>
      <c r="FQ568" s="27" t="s">
        <v>8</v>
      </c>
      <c r="FR568" s="27" t="s">
        <v>7</v>
      </c>
      <c r="FS568" s="27" t="s">
        <v>8</v>
      </c>
      <c r="FT568" s="27" t="s">
        <v>7</v>
      </c>
      <c r="FU568" s="27" t="s">
        <v>8</v>
      </c>
      <c r="FX568" s="27" t="s">
        <v>7</v>
      </c>
    </row>
    <row r="569" spans="1:182" x14ac:dyDescent="0.25">
      <c r="A569" s="7">
        <v>1.4282462475762734</v>
      </c>
      <c r="B569"/>
      <c r="C569"/>
      <c r="D569"/>
      <c r="E569"/>
      <c r="BW569" s="27" t="s">
        <v>8</v>
      </c>
      <c r="BX569" s="27" t="s">
        <v>7</v>
      </c>
      <c r="BY569" s="27" t="s">
        <v>8</v>
      </c>
      <c r="CB569" s="27" t="s">
        <v>7</v>
      </c>
      <c r="CH569" s="27" t="s">
        <v>7</v>
      </c>
      <c r="CJ569" s="27" t="s">
        <v>7</v>
      </c>
      <c r="CK569" s="27" t="s">
        <v>8</v>
      </c>
      <c r="CL569" s="27" t="s">
        <v>7</v>
      </c>
      <c r="CM569" s="27" t="s">
        <v>8</v>
      </c>
      <c r="DF569" s="27" t="s">
        <v>7</v>
      </c>
      <c r="EA569" s="27" t="s">
        <v>8</v>
      </c>
      <c r="FG569" s="27" t="s">
        <v>8</v>
      </c>
      <c r="FH569" s="27" t="s">
        <v>7</v>
      </c>
      <c r="FI569" s="27" t="s">
        <v>8</v>
      </c>
      <c r="FJ569" s="27" t="s">
        <v>7</v>
      </c>
      <c r="FK569" s="27" t="s">
        <v>8</v>
      </c>
      <c r="FL569" s="27" t="s">
        <v>7</v>
      </c>
      <c r="FM569" s="27" t="s">
        <v>8</v>
      </c>
      <c r="FO569" s="27" t="s">
        <v>8</v>
      </c>
      <c r="FP569" s="27" t="s">
        <v>7</v>
      </c>
      <c r="FQ569" s="27" t="s">
        <v>8</v>
      </c>
      <c r="FR569" s="27" t="s">
        <v>7</v>
      </c>
      <c r="FT569" s="27" t="s">
        <v>7</v>
      </c>
      <c r="FU569" s="27" t="s">
        <v>8</v>
      </c>
    </row>
    <row r="570" spans="1:182" x14ac:dyDescent="0.25">
      <c r="A570" s="7">
        <v>1.4002414191924248</v>
      </c>
      <c r="B570"/>
      <c r="C570"/>
      <c r="D570"/>
      <c r="E570"/>
      <c r="BW570" s="27" t="s">
        <v>8</v>
      </c>
      <c r="BX570" s="27" t="s">
        <v>7</v>
      </c>
      <c r="BY570" s="27" t="s">
        <v>8</v>
      </c>
      <c r="CJ570" s="27" t="s">
        <v>7</v>
      </c>
      <c r="CK570" s="27" t="s">
        <v>8</v>
      </c>
      <c r="CL570" s="27" t="s">
        <v>7</v>
      </c>
      <c r="CM570" s="27" t="s">
        <v>8</v>
      </c>
      <c r="DF570" s="27" t="s">
        <v>7</v>
      </c>
      <c r="EA570" s="27" t="s">
        <v>8</v>
      </c>
      <c r="EB570" s="27" t="s">
        <v>7</v>
      </c>
      <c r="FG570" s="27" t="s">
        <v>8</v>
      </c>
      <c r="FH570" s="27" t="s">
        <v>7</v>
      </c>
      <c r="FI570" s="27" t="s">
        <v>8</v>
      </c>
      <c r="FJ570" s="27" t="s">
        <v>7</v>
      </c>
      <c r="FK570" s="27" t="s">
        <v>8</v>
      </c>
      <c r="FL570" s="27" t="s">
        <v>7</v>
      </c>
      <c r="FM570" s="27" t="s">
        <v>8</v>
      </c>
      <c r="FN570" s="27" t="s">
        <v>7</v>
      </c>
      <c r="FO570" s="27" t="s">
        <v>8</v>
      </c>
      <c r="FP570" s="27" t="s">
        <v>7</v>
      </c>
      <c r="FQ570" s="27" t="s">
        <v>8</v>
      </c>
      <c r="FT570" s="27" t="s">
        <v>7</v>
      </c>
      <c r="FU570" s="27" t="s">
        <v>8</v>
      </c>
    </row>
    <row r="571" spans="1:182" x14ac:dyDescent="0.25">
      <c r="A571" s="7">
        <v>1.3727857050906125</v>
      </c>
      <c r="B571"/>
      <c r="C571"/>
      <c r="D571"/>
      <c r="E571"/>
      <c r="BW571" s="27" t="s">
        <v>8</v>
      </c>
      <c r="BX571" s="27" t="s">
        <v>7</v>
      </c>
      <c r="BY571" s="27" t="s">
        <v>8</v>
      </c>
      <c r="CJ571" s="27" t="s">
        <v>7</v>
      </c>
      <c r="CK571" s="27" t="s">
        <v>8</v>
      </c>
      <c r="CL571" s="27" t="s">
        <v>7</v>
      </c>
      <c r="CM571" s="27" t="s">
        <v>8</v>
      </c>
      <c r="DF571" s="27" t="s">
        <v>7</v>
      </c>
      <c r="EA571" s="27" t="s">
        <v>8</v>
      </c>
      <c r="EB571" s="27" t="s">
        <v>7</v>
      </c>
      <c r="FG571" s="27" t="s">
        <v>8</v>
      </c>
      <c r="FH571" s="27" t="s">
        <v>7</v>
      </c>
      <c r="FJ571" s="27" t="s">
        <v>7</v>
      </c>
      <c r="FK571" s="27" t="s">
        <v>8</v>
      </c>
      <c r="FL571" s="27" t="s">
        <v>7</v>
      </c>
      <c r="FM571" s="27" t="s">
        <v>8</v>
      </c>
      <c r="FN571" s="27" t="s">
        <v>7</v>
      </c>
      <c r="FO571" s="27" t="s">
        <v>8</v>
      </c>
      <c r="FP571" s="27" t="s">
        <v>7</v>
      </c>
      <c r="FQ571" s="27" t="s">
        <v>8</v>
      </c>
      <c r="FT571" s="27" t="s">
        <v>7</v>
      </c>
      <c r="FU571" s="27" t="s">
        <v>8</v>
      </c>
    </row>
    <row r="572" spans="1:182" x14ac:dyDescent="0.25">
      <c r="A572" s="7">
        <v>1.3458683383241299</v>
      </c>
      <c r="B572"/>
      <c r="C572"/>
      <c r="D572"/>
      <c r="E572"/>
      <c r="BW572" s="27" t="s">
        <v>8</v>
      </c>
      <c r="BX572" s="27" t="s">
        <v>7</v>
      </c>
      <c r="BY572" s="27" t="s">
        <v>8</v>
      </c>
      <c r="CJ572" s="27" t="s">
        <v>7</v>
      </c>
      <c r="CK572" s="27" t="s">
        <v>8</v>
      </c>
      <c r="CL572" s="27" t="s">
        <v>7</v>
      </c>
      <c r="CM572" s="27" t="s">
        <v>8</v>
      </c>
      <c r="DF572" s="27" t="s">
        <v>7</v>
      </c>
      <c r="EA572" s="27" t="s">
        <v>8</v>
      </c>
      <c r="EB572" s="27" t="s">
        <v>7</v>
      </c>
      <c r="FG572" s="27" t="s">
        <v>8</v>
      </c>
      <c r="FJ572" s="27" t="s">
        <v>7</v>
      </c>
      <c r="FK572" s="27" t="s">
        <v>8</v>
      </c>
      <c r="FL572" s="27" t="s">
        <v>7</v>
      </c>
      <c r="FM572" s="27" t="s">
        <v>8</v>
      </c>
      <c r="FN572" s="27" t="s">
        <v>7</v>
      </c>
      <c r="FO572" s="27" t="s">
        <v>8</v>
      </c>
      <c r="FP572" s="27" t="s">
        <v>7</v>
      </c>
      <c r="FT572" s="27" t="s">
        <v>7</v>
      </c>
      <c r="FU572" s="27" t="s">
        <v>8</v>
      </c>
    </row>
    <row r="573" spans="1:182" x14ac:dyDescent="0.25">
      <c r="A573" s="7">
        <v>1.3194787630628724</v>
      </c>
      <c r="B573"/>
      <c r="C573"/>
      <c r="D573"/>
      <c r="E573"/>
      <c r="BW573" s="27" t="s">
        <v>8</v>
      </c>
      <c r="BX573" s="27" t="s">
        <v>7</v>
      </c>
      <c r="CJ573" s="27" t="s">
        <v>7</v>
      </c>
      <c r="CL573" s="27" t="s">
        <v>7</v>
      </c>
      <c r="CM573" s="27" t="s">
        <v>8</v>
      </c>
      <c r="DF573" s="27" t="s">
        <v>7</v>
      </c>
      <c r="EA573" s="27" t="s">
        <v>8</v>
      </c>
      <c r="EB573" s="27" t="s">
        <v>7</v>
      </c>
      <c r="FG573" s="27" t="s">
        <v>8</v>
      </c>
      <c r="FJ573" s="27" t="s">
        <v>7</v>
      </c>
      <c r="FK573" s="27" t="s">
        <v>8</v>
      </c>
      <c r="FL573" s="27" t="s">
        <v>7</v>
      </c>
      <c r="FM573" s="27" t="s">
        <v>8</v>
      </c>
      <c r="FN573" s="27" t="s">
        <v>7</v>
      </c>
      <c r="FO573" s="27" t="s">
        <v>8</v>
      </c>
      <c r="FT573" s="27" t="s">
        <v>7</v>
      </c>
      <c r="FU573" s="27" t="s">
        <v>8</v>
      </c>
    </row>
    <row r="574" spans="1:182" x14ac:dyDescent="0.25">
      <c r="A574" s="7">
        <v>1.2936066304537963</v>
      </c>
      <c r="B574"/>
      <c r="C574"/>
      <c r="D574"/>
      <c r="E574"/>
      <c r="BS574" s="27" t="s">
        <v>8</v>
      </c>
      <c r="BW574" s="27" t="s">
        <v>8</v>
      </c>
      <c r="CL574" s="27" t="s">
        <v>7</v>
      </c>
      <c r="DF574" s="27" t="s">
        <v>7</v>
      </c>
      <c r="EA574" s="27" t="s">
        <v>8</v>
      </c>
      <c r="EB574" s="27" t="s">
        <v>7</v>
      </c>
      <c r="FG574" s="27" t="s">
        <v>8</v>
      </c>
      <c r="FJ574" s="27" t="s">
        <v>7</v>
      </c>
      <c r="FK574" s="27" t="s">
        <v>8</v>
      </c>
      <c r="FL574" s="27" t="s">
        <v>7</v>
      </c>
      <c r="FM574" s="27" t="s">
        <v>8</v>
      </c>
      <c r="FN574" s="27" t="s">
        <v>7</v>
      </c>
      <c r="FO574" s="27" t="s">
        <v>8</v>
      </c>
      <c r="FT574" s="27" t="s">
        <v>7</v>
      </c>
      <c r="FU574" s="27" t="s">
        <v>8</v>
      </c>
    </row>
    <row r="575" spans="1:182" x14ac:dyDescent="0.25">
      <c r="A575" s="7">
        <v>1.2682417945625455</v>
      </c>
      <c r="B575"/>
      <c r="C575"/>
      <c r="D575"/>
      <c r="E575"/>
      <c r="BS575" s="27" t="s">
        <v>8</v>
      </c>
      <c r="BT575" s="27" t="s">
        <v>7</v>
      </c>
      <c r="BW575" s="27" t="s">
        <v>8</v>
      </c>
      <c r="DF575" s="27" t="s">
        <v>7</v>
      </c>
      <c r="DI575" s="27" t="s">
        <v>8</v>
      </c>
      <c r="EA575" s="27" t="s">
        <v>8</v>
      </c>
      <c r="EB575" s="27" t="s">
        <v>7</v>
      </c>
      <c r="FG575" s="27" t="s">
        <v>8</v>
      </c>
      <c r="FJ575" s="27" t="s">
        <v>7</v>
      </c>
      <c r="FK575" s="27" t="s">
        <v>8</v>
      </c>
      <c r="FL575" s="27" t="s">
        <v>7</v>
      </c>
      <c r="FM575" s="27" t="s">
        <v>8</v>
      </c>
      <c r="FN575" s="27" t="s">
        <v>7</v>
      </c>
      <c r="FT575" s="27" t="s">
        <v>7</v>
      </c>
      <c r="FU575" s="27" t="s">
        <v>8</v>
      </c>
    </row>
    <row r="576" spans="1:182" x14ac:dyDescent="0.25">
      <c r="A576" s="7">
        <v>1.2433743083946525</v>
      </c>
      <c r="B576"/>
      <c r="C576"/>
      <c r="D576"/>
      <c r="E576"/>
      <c r="BS576" s="27" t="s">
        <v>8</v>
      </c>
      <c r="BT576" s="27" t="s">
        <v>7</v>
      </c>
      <c r="BW576" s="27" t="s">
        <v>8</v>
      </c>
      <c r="DF576" s="27" t="s">
        <v>7</v>
      </c>
      <c r="DG576" s="27" t="s">
        <v>8</v>
      </c>
      <c r="DI576" s="27" t="s">
        <v>8</v>
      </c>
      <c r="DJ576" s="27" t="s">
        <v>7</v>
      </c>
      <c r="DK576" s="27" t="s">
        <v>8</v>
      </c>
      <c r="EA576" s="27" t="s">
        <v>8</v>
      </c>
      <c r="EB576" s="27" t="s">
        <v>7</v>
      </c>
      <c r="FG576" s="27" t="s">
        <v>8</v>
      </c>
      <c r="FJ576" s="27" t="s">
        <v>7</v>
      </c>
      <c r="FK576" s="27" t="s">
        <v>8</v>
      </c>
      <c r="FL576" s="27" t="s">
        <v>7</v>
      </c>
      <c r="FM576" s="27" t="s">
        <v>8</v>
      </c>
      <c r="FT576" s="27" t="s">
        <v>7</v>
      </c>
    </row>
    <row r="577" spans="1:169" x14ac:dyDescent="0.25">
      <c r="A577" s="7">
        <v>1.2189944199947573</v>
      </c>
      <c r="B577"/>
      <c r="C577"/>
      <c r="D577"/>
      <c r="E577"/>
      <c r="BS577" s="27" t="s">
        <v>8</v>
      </c>
      <c r="BT577" s="27" t="s">
        <v>7</v>
      </c>
      <c r="BW577" s="27" t="s">
        <v>8</v>
      </c>
      <c r="DF577" s="27" t="s">
        <v>7</v>
      </c>
      <c r="DG577" s="27" t="s">
        <v>8</v>
      </c>
      <c r="DH577" s="27" t="s">
        <v>7</v>
      </c>
      <c r="DI577" s="27" t="s">
        <v>8</v>
      </c>
      <c r="DJ577" s="27" t="s">
        <v>7</v>
      </c>
      <c r="DK577" s="27" t="s">
        <v>8</v>
      </c>
      <c r="DL577" s="27" t="s">
        <v>7</v>
      </c>
      <c r="DU577" s="27" t="s">
        <v>8</v>
      </c>
      <c r="DY577" s="27" t="s">
        <v>8</v>
      </c>
      <c r="EA577" s="27" t="s">
        <v>8</v>
      </c>
      <c r="EB577" s="27" t="s">
        <v>7</v>
      </c>
      <c r="FG577" s="27" t="s">
        <v>8</v>
      </c>
      <c r="FJ577" s="27" t="s">
        <v>7</v>
      </c>
      <c r="FL577" s="27" t="s">
        <v>7</v>
      </c>
      <c r="FM577" s="27" t="s">
        <v>8</v>
      </c>
    </row>
    <row r="578" spans="1:169" x14ac:dyDescent="0.25">
      <c r="A578" s="7">
        <v>1.1950925686223111</v>
      </c>
      <c r="B578"/>
      <c r="C578"/>
      <c r="D578"/>
      <c r="E578"/>
      <c r="BS578" s="27" t="s">
        <v>8</v>
      </c>
      <c r="BT578" s="27" t="s">
        <v>7</v>
      </c>
      <c r="BW578" s="27" t="s">
        <v>8</v>
      </c>
      <c r="DF578" s="27" t="s">
        <v>7</v>
      </c>
      <c r="DG578" s="27" t="s">
        <v>8</v>
      </c>
      <c r="DH578" s="27" t="s">
        <v>7</v>
      </c>
      <c r="DI578" s="27" t="s">
        <v>8</v>
      </c>
      <c r="DJ578" s="27" t="s">
        <v>7</v>
      </c>
      <c r="DK578" s="27" t="s">
        <v>8</v>
      </c>
      <c r="DL578" s="27" t="s">
        <v>7</v>
      </c>
      <c r="DS578" s="27" t="s">
        <v>8</v>
      </c>
      <c r="DU578" s="27" t="s">
        <v>8</v>
      </c>
      <c r="DV578" s="27" t="s">
        <v>7</v>
      </c>
      <c r="DY578" s="27" t="s">
        <v>8</v>
      </c>
      <c r="DZ578" s="27" t="s">
        <v>7</v>
      </c>
      <c r="EA578" s="27" t="s">
        <v>8</v>
      </c>
      <c r="EB578" s="27" t="s">
        <v>7</v>
      </c>
      <c r="ES578" s="27" t="s">
        <v>8</v>
      </c>
      <c r="FG578" s="27" t="s">
        <v>8</v>
      </c>
      <c r="FL578" s="27" t="s">
        <v>7</v>
      </c>
      <c r="FM578" s="27" t="s">
        <v>8</v>
      </c>
    </row>
    <row r="579" spans="1:169" x14ac:dyDescent="0.25">
      <c r="A579" s="7">
        <v>1.1716593810022657</v>
      </c>
      <c r="B579"/>
      <c r="C579"/>
      <c r="D579"/>
      <c r="E579"/>
      <c r="BS579" s="27" t="s">
        <v>8</v>
      </c>
      <c r="BT579" s="27" t="s">
        <v>7</v>
      </c>
      <c r="BW579" s="27" t="s">
        <v>8</v>
      </c>
      <c r="DF579" s="27" t="s">
        <v>7</v>
      </c>
      <c r="DG579" s="27" t="s">
        <v>8</v>
      </c>
      <c r="DH579" s="27" t="s">
        <v>7</v>
      </c>
      <c r="DI579" s="27" t="s">
        <v>8</v>
      </c>
      <c r="DJ579" s="27" t="s">
        <v>7</v>
      </c>
      <c r="DK579" s="27" t="s">
        <v>8</v>
      </c>
      <c r="DL579" s="27" t="s">
        <v>7</v>
      </c>
      <c r="DS579" s="27" t="s">
        <v>8</v>
      </c>
      <c r="DT579" s="27" t="s">
        <v>7</v>
      </c>
      <c r="DU579" s="27" t="s">
        <v>8</v>
      </c>
      <c r="DV579" s="27" t="s">
        <v>7</v>
      </c>
      <c r="DY579" s="27" t="s">
        <v>8</v>
      </c>
      <c r="DZ579" s="27" t="s">
        <v>7</v>
      </c>
      <c r="EA579" s="27" t="s">
        <v>8</v>
      </c>
      <c r="EB579" s="27" t="s">
        <v>7</v>
      </c>
      <c r="ES579" s="27" t="s">
        <v>8</v>
      </c>
      <c r="ET579" s="27" t="s">
        <v>7</v>
      </c>
      <c r="FG579" s="27" t="s">
        <v>8</v>
      </c>
      <c r="FL579" s="27" t="s">
        <v>7</v>
      </c>
      <c r="FM579" s="27" t="s">
        <v>8</v>
      </c>
    </row>
    <row r="580" spans="1:169" x14ac:dyDescent="0.25">
      <c r="A580" s="7">
        <v>1.14868566764928</v>
      </c>
      <c r="B580"/>
      <c r="C580"/>
      <c r="D580"/>
      <c r="E580"/>
      <c r="BS580" s="27" t="s">
        <v>8</v>
      </c>
      <c r="BT580" s="27" t="s">
        <v>7</v>
      </c>
      <c r="BW580" s="27" t="s">
        <v>8</v>
      </c>
      <c r="DF580" s="27" t="s">
        <v>7</v>
      </c>
      <c r="DG580" s="27" t="s">
        <v>8</v>
      </c>
      <c r="DH580" s="27" t="s">
        <v>7</v>
      </c>
      <c r="DI580" s="27" t="s">
        <v>8</v>
      </c>
      <c r="DJ580" s="27" t="s">
        <v>7</v>
      </c>
      <c r="DK580" s="27" t="s">
        <v>8</v>
      </c>
      <c r="DL580" s="27" t="s">
        <v>7</v>
      </c>
      <c r="DS580" s="27" t="s">
        <v>8</v>
      </c>
      <c r="DT580" s="27" t="s">
        <v>7</v>
      </c>
      <c r="DU580" s="27" t="s">
        <v>8</v>
      </c>
      <c r="DV580" s="27" t="s">
        <v>7</v>
      </c>
      <c r="DW580" s="27" t="s">
        <v>8</v>
      </c>
      <c r="DY580" s="27" t="s">
        <v>8</v>
      </c>
      <c r="DZ580" s="27" t="s">
        <v>7</v>
      </c>
      <c r="EA580" s="27" t="s">
        <v>8</v>
      </c>
      <c r="EB580" s="27" t="s">
        <v>7</v>
      </c>
      <c r="EC580" s="27" t="s">
        <v>8</v>
      </c>
      <c r="ES580" s="27" t="s">
        <v>8</v>
      </c>
      <c r="ET580" s="27" t="s">
        <v>7</v>
      </c>
      <c r="EU580" s="27" t="s">
        <v>8</v>
      </c>
      <c r="FG580" s="27" t="s">
        <v>8</v>
      </c>
      <c r="FL580" s="27" t="s">
        <v>7</v>
      </c>
      <c r="FM580" s="27" t="s">
        <v>8</v>
      </c>
    </row>
    <row r="581" spans="1:169" x14ac:dyDescent="0.25">
      <c r="A581" s="7">
        <v>1.1261624192640001</v>
      </c>
      <c r="B581"/>
      <c r="C581"/>
      <c r="D581"/>
      <c r="E581"/>
      <c r="BS581" s="27" t="s">
        <v>8</v>
      </c>
      <c r="BT581" s="27" t="s">
        <v>7</v>
      </c>
      <c r="BU581" s="27" t="s">
        <v>8</v>
      </c>
      <c r="BW581" s="27" t="s">
        <v>8</v>
      </c>
      <c r="DF581" s="27" t="s">
        <v>7</v>
      </c>
      <c r="DG581" s="27" t="s">
        <v>8</v>
      </c>
      <c r="DH581" s="27" t="s">
        <v>7</v>
      </c>
      <c r="DI581" s="27" t="s">
        <v>8</v>
      </c>
      <c r="DJ581" s="27" t="s">
        <v>7</v>
      </c>
      <c r="DL581" s="27" t="s">
        <v>7</v>
      </c>
      <c r="DS581" s="27" t="s">
        <v>8</v>
      </c>
      <c r="DT581" s="27" t="s">
        <v>7</v>
      </c>
      <c r="DU581" s="27" t="s">
        <v>8</v>
      </c>
      <c r="DV581" s="27" t="s">
        <v>7</v>
      </c>
      <c r="DW581" s="27" t="s">
        <v>8</v>
      </c>
      <c r="DX581" s="27" t="s">
        <v>7</v>
      </c>
      <c r="DY581" s="27" t="s">
        <v>8</v>
      </c>
      <c r="DZ581" s="27" t="s">
        <v>7</v>
      </c>
      <c r="EA581" s="27" t="s">
        <v>8</v>
      </c>
      <c r="EB581" s="27" t="s">
        <v>7</v>
      </c>
      <c r="EC581" s="27" t="s">
        <v>8</v>
      </c>
      <c r="ED581" s="27" t="s">
        <v>7</v>
      </c>
      <c r="ES581" s="27" t="s">
        <v>8</v>
      </c>
      <c r="ET581" s="27" t="s">
        <v>7</v>
      </c>
      <c r="EU581" s="27" t="s">
        <v>8</v>
      </c>
      <c r="EV581" s="27" t="s">
        <v>7</v>
      </c>
      <c r="FG581" s="27" t="s">
        <v>8</v>
      </c>
      <c r="FL581" s="27" t="s">
        <v>7</v>
      </c>
      <c r="FM581" s="27" t="s">
        <v>8</v>
      </c>
    </row>
    <row r="582" spans="1:169" x14ac:dyDescent="0.25">
      <c r="A582" s="7">
        <v>1.1040808032</v>
      </c>
      <c r="B582"/>
      <c r="C582"/>
      <c r="D582"/>
      <c r="E582"/>
      <c r="BS582" s="27" t="s">
        <v>8</v>
      </c>
      <c r="BT582" s="27" t="s">
        <v>7</v>
      </c>
      <c r="BU582" s="27" t="s">
        <v>8</v>
      </c>
      <c r="BV582" s="27" t="s">
        <v>7</v>
      </c>
      <c r="BW582" s="27" t="s">
        <v>8</v>
      </c>
      <c r="DF582" s="27" t="s">
        <v>7</v>
      </c>
      <c r="DG582" s="27" t="s">
        <v>8</v>
      </c>
      <c r="DH582" s="27" t="s">
        <v>7</v>
      </c>
      <c r="DI582" s="27" t="s">
        <v>8</v>
      </c>
      <c r="DL582" s="27" t="s">
        <v>7</v>
      </c>
      <c r="DS582" s="27" t="s">
        <v>8</v>
      </c>
      <c r="DT582" s="27" t="s">
        <v>7</v>
      </c>
      <c r="DU582" s="27" t="s">
        <v>8</v>
      </c>
      <c r="DV582" s="27" t="s">
        <v>7</v>
      </c>
      <c r="DW582" s="27" t="s">
        <v>8</v>
      </c>
      <c r="DX582" s="27" t="s">
        <v>7</v>
      </c>
      <c r="DY582" s="27" t="s">
        <v>8</v>
      </c>
      <c r="DZ582" s="27" t="s">
        <v>7</v>
      </c>
      <c r="EA582" s="27" t="s">
        <v>8</v>
      </c>
      <c r="EB582" s="27" t="s">
        <v>7</v>
      </c>
      <c r="EC582" s="27" t="s">
        <v>8</v>
      </c>
      <c r="ED582" s="27" t="s">
        <v>7</v>
      </c>
      <c r="ES582" s="27" t="s">
        <v>8</v>
      </c>
      <c r="ET582" s="27" t="s">
        <v>7</v>
      </c>
      <c r="EU582" s="27" t="s">
        <v>8</v>
      </c>
      <c r="EV582" s="27" t="s">
        <v>7</v>
      </c>
      <c r="FG582" s="27" t="s">
        <v>8</v>
      </c>
      <c r="FL582" s="27" t="s">
        <v>7</v>
      </c>
    </row>
    <row r="583" spans="1:169" x14ac:dyDescent="0.25">
      <c r="A583" s="7">
        <v>1.08243216</v>
      </c>
      <c r="B583"/>
      <c r="C583"/>
      <c r="D583"/>
      <c r="E583"/>
      <c r="BS583" s="27" t="s">
        <v>8</v>
      </c>
      <c r="BT583" s="27" t="s">
        <v>7</v>
      </c>
      <c r="BU583" s="27" t="s">
        <v>8</v>
      </c>
      <c r="BV583" s="27" t="s">
        <v>7</v>
      </c>
      <c r="BW583" s="27" t="s">
        <v>8</v>
      </c>
      <c r="DF583" s="27" t="s">
        <v>7</v>
      </c>
      <c r="DG583" s="27" t="s">
        <v>8</v>
      </c>
      <c r="DH583" s="27" t="s">
        <v>7</v>
      </c>
      <c r="DI583" s="27" t="s">
        <v>8</v>
      </c>
      <c r="DL583" s="27" t="s">
        <v>7</v>
      </c>
      <c r="DS583" s="27" t="s">
        <v>8</v>
      </c>
      <c r="DT583" s="27" t="s">
        <v>7</v>
      </c>
      <c r="DU583" s="27" t="s">
        <v>8</v>
      </c>
      <c r="DV583" s="27" t="s">
        <v>7</v>
      </c>
      <c r="DW583" s="27" t="s">
        <v>8</v>
      </c>
      <c r="DX583" s="27" t="s">
        <v>7</v>
      </c>
      <c r="DY583" s="27" t="s">
        <v>8</v>
      </c>
      <c r="DZ583" s="27" t="s">
        <v>7</v>
      </c>
      <c r="EB583" s="27" t="s">
        <v>7</v>
      </c>
      <c r="ED583" s="27" t="s">
        <v>7</v>
      </c>
      <c r="ES583" s="27" t="s">
        <v>8</v>
      </c>
      <c r="ET583" s="27" t="s">
        <v>7</v>
      </c>
      <c r="EU583" s="27" t="s">
        <v>8</v>
      </c>
      <c r="EV583" s="27" t="s">
        <v>7</v>
      </c>
      <c r="FA583" s="27" t="s">
        <v>8</v>
      </c>
      <c r="FG583" s="27" t="s">
        <v>8</v>
      </c>
    </row>
    <row r="584" spans="1:169" x14ac:dyDescent="0.25">
      <c r="A584" s="7">
        <v>1.0612079999999999</v>
      </c>
      <c r="B584"/>
      <c r="C584"/>
      <c r="D584"/>
      <c r="E584"/>
      <c r="BS584" s="27" t="s">
        <v>8</v>
      </c>
      <c r="BT584" s="27" t="s">
        <v>7</v>
      </c>
      <c r="BU584" s="27" t="s">
        <v>8</v>
      </c>
      <c r="BV584" s="27" t="s">
        <v>7</v>
      </c>
      <c r="BW584" s="27" t="s">
        <v>8</v>
      </c>
      <c r="DF584" s="27" t="s">
        <v>7</v>
      </c>
      <c r="DG584" s="27" t="s">
        <v>8</v>
      </c>
      <c r="DH584" s="27" t="s">
        <v>7</v>
      </c>
      <c r="DI584" s="27" t="s">
        <v>8</v>
      </c>
      <c r="DL584" s="27" t="s">
        <v>7</v>
      </c>
      <c r="DS584" s="27" t="s">
        <v>8</v>
      </c>
      <c r="DT584" s="27" t="s">
        <v>7</v>
      </c>
      <c r="DU584" s="27" t="s">
        <v>8</v>
      </c>
      <c r="DV584" s="27" t="s">
        <v>7</v>
      </c>
      <c r="DW584" s="27" t="s">
        <v>8</v>
      </c>
      <c r="DX584" s="27" t="s">
        <v>7</v>
      </c>
      <c r="DY584" s="27" t="s">
        <v>8</v>
      </c>
      <c r="ED584" s="27" t="s">
        <v>7</v>
      </c>
      <c r="ES584" s="27" t="s">
        <v>8</v>
      </c>
      <c r="ET584" s="27" t="s">
        <v>7</v>
      </c>
      <c r="EU584" s="27" t="s">
        <v>8</v>
      </c>
      <c r="EV584" s="27" t="s">
        <v>7</v>
      </c>
      <c r="FA584" s="27" t="s">
        <v>8</v>
      </c>
      <c r="FB584" s="27" t="s">
        <v>7</v>
      </c>
      <c r="FC584" s="27" t="s">
        <v>8</v>
      </c>
      <c r="FE584" s="27" t="s">
        <v>8</v>
      </c>
      <c r="FG584" s="27" t="s">
        <v>8</v>
      </c>
    </row>
    <row r="585" spans="1:169" x14ac:dyDescent="0.25">
      <c r="A585" s="7">
        <v>1.0404</v>
      </c>
      <c r="B585"/>
      <c r="C585"/>
      <c r="D585"/>
      <c r="E585"/>
      <c r="BS585" s="27" t="s">
        <v>8</v>
      </c>
      <c r="BT585" s="27" t="s">
        <v>7</v>
      </c>
      <c r="BU585" s="27" t="s">
        <v>8</v>
      </c>
      <c r="BV585" s="27" t="s">
        <v>7</v>
      </c>
      <c r="BW585" s="27" t="s">
        <v>8</v>
      </c>
      <c r="DF585" s="27" t="s">
        <v>7</v>
      </c>
      <c r="DG585" s="27" t="s">
        <v>8</v>
      </c>
      <c r="DH585" s="27" t="s">
        <v>7</v>
      </c>
      <c r="DI585" s="27" t="s">
        <v>8</v>
      </c>
      <c r="DL585" s="27" t="s">
        <v>7</v>
      </c>
      <c r="DQ585" s="27" t="s">
        <v>8</v>
      </c>
      <c r="DS585" s="27" t="s">
        <v>8</v>
      </c>
      <c r="DT585" s="27" t="s">
        <v>7</v>
      </c>
      <c r="DU585" s="27" t="s">
        <v>8</v>
      </c>
      <c r="DV585" s="27" t="s">
        <v>7</v>
      </c>
      <c r="DW585" s="27" t="s">
        <v>8</v>
      </c>
      <c r="DX585" s="27" t="s">
        <v>7</v>
      </c>
      <c r="ED585" s="27" t="s">
        <v>7</v>
      </c>
      <c r="EQ585" s="27" t="s">
        <v>8</v>
      </c>
      <c r="ES585" s="27" t="s">
        <v>8</v>
      </c>
      <c r="ET585" s="27" t="s">
        <v>7</v>
      </c>
      <c r="EV585" s="27" t="s">
        <v>7</v>
      </c>
      <c r="EY585" s="27" t="s">
        <v>8</v>
      </c>
      <c r="FA585" s="27" t="s">
        <v>8</v>
      </c>
      <c r="FB585" s="27" t="s">
        <v>7</v>
      </c>
      <c r="FC585" s="27" t="s">
        <v>8</v>
      </c>
      <c r="FD585" s="27" t="s">
        <v>7</v>
      </c>
      <c r="FE585" s="27" t="s">
        <v>8</v>
      </c>
      <c r="FF585" s="27" t="s">
        <v>7</v>
      </c>
      <c r="FG585" s="27" t="s">
        <v>8</v>
      </c>
    </row>
    <row r="586" spans="1:169" x14ac:dyDescent="0.25">
      <c r="A586" s="7">
        <v>1.02</v>
      </c>
      <c r="B586"/>
      <c r="C586"/>
      <c r="D586"/>
      <c r="E586"/>
      <c r="BS586" s="27" t="s">
        <v>8</v>
      </c>
      <c r="BT586" s="27" t="s">
        <v>7</v>
      </c>
      <c r="BU586" s="27" t="s">
        <v>8</v>
      </c>
      <c r="BV586" s="27" t="s">
        <v>7</v>
      </c>
      <c r="DF586" s="27" t="s">
        <v>7</v>
      </c>
      <c r="DG586" s="27" t="s">
        <v>8</v>
      </c>
      <c r="DH586" s="27" t="s">
        <v>7</v>
      </c>
      <c r="DI586" s="27" t="s">
        <v>8</v>
      </c>
      <c r="DL586" s="27" t="s">
        <v>7</v>
      </c>
      <c r="DQ586" s="27" t="s">
        <v>8</v>
      </c>
      <c r="DR586" s="27" t="s">
        <v>7</v>
      </c>
      <c r="DS586" s="27" t="s">
        <v>8</v>
      </c>
      <c r="DT586" s="27" t="s">
        <v>7</v>
      </c>
      <c r="DU586" s="27" t="s">
        <v>8</v>
      </c>
      <c r="DV586" s="27" t="s">
        <v>7</v>
      </c>
      <c r="DW586" s="27" t="s">
        <v>8</v>
      </c>
      <c r="ED586" s="27" t="s">
        <v>7</v>
      </c>
      <c r="EE586" s="27" t="s">
        <v>8</v>
      </c>
      <c r="EQ586" s="27" t="s">
        <v>8</v>
      </c>
      <c r="ER586" s="27" t="s">
        <v>7</v>
      </c>
      <c r="ES586" s="27" t="s">
        <v>8</v>
      </c>
      <c r="EV586" s="27" t="s">
        <v>7</v>
      </c>
      <c r="EW586" s="27" t="s">
        <v>8</v>
      </c>
      <c r="EY586" s="27" t="s">
        <v>8</v>
      </c>
      <c r="EZ586" s="27" t="s">
        <v>7</v>
      </c>
      <c r="FA586" s="27" t="s">
        <v>8</v>
      </c>
      <c r="FB586" s="27" t="s">
        <v>7</v>
      </c>
      <c r="FC586" s="27" t="s">
        <v>8</v>
      </c>
      <c r="FD586" s="27" t="s">
        <v>7</v>
      </c>
      <c r="FE586" s="27" t="s">
        <v>8</v>
      </c>
      <c r="FF586" s="27" t="s">
        <v>7</v>
      </c>
      <c r="FG586" s="27" t="s">
        <v>8</v>
      </c>
    </row>
    <row r="587" spans="1:169" x14ac:dyDescent="0.25">
      <c r="A587" s="7">
        <v>1</v>
      </c>
      <c r="B587"/>
      <c r="C587"/>
      <c r="D587"/>
      <c r="E587" s="29" t="s">
        <v>8</v>
      </c>
      <c r="BS587" s="27" t="s">
        <v>8</v>
      </c>
      <c r="BT587" s="27" t="s">
        <v>7</v>
      </c>
      <c r="BU587" s="27" t="s">
        <v>8</v>
      </c>
      <c r="DF587" s="27" t="s">
        <v>7</v>
      </c>
      <c r="DG587" s="27" t="s">
        <v>8</v>
      </c>
      <c r="DH587" s="27" t="s">
        <v>7</v>
      </c>
      <c r="DL587" s="27" t="s">
        <v>7</v>
      </c>
      <c r="DO587" s="27" t="s">
        <v>8</v>
      </c>
      <c r="DQ587" s="27" t="s">
        <v>8</v>
      </c>
      <c r="DR587" s="27" t="s">
        <v>7</v>
      </c>
      <c r="DS587" s="27" t="s">
        <v>8</v>
      </c>
      <c r="DT587" s="27" t="s">
        <v>7</v>
      </c>
      <c r="DU587" s="27" t="s">
        <v>8</v>
      </c>
      <c r="DV587" s="27" t="s">
        <v>7</v>
      </c>
      <c r="DW587" s="27" t="s">
        <v>8</v>
      </c>
      <c r="ED587" s="27" t="s">
        <v>7</v>
      </c>
      <c r="EE587" s="27" t="s">
        <v>8</v>
      </c>
      <c r="EF587" s="27" t="s">
        <v>7</v>
      </c>
      <c r="EQ587" s="27" t="s">
        <v>8</v>
      </c>
      <c r="ER587" s="27" t="s">
        <v>7</v>
      </c>
      <c r="ES587" s="27" t="s">
        <v>8</v>
      </c>
      <c r="EV587" s="27" t="s">
        <v>7</v>
      </c>
      <c r="EW587" s="27" t="s">
        <v>8</v>
      </c>
      <c r="EX587" s="27" t="s">
        <v>7</v>
      </c>
      <c r="EY587" s="27" t="s">
        <v>8</v>
      </c>
      <c r="EZ587" s="27" t="s">
        <v>7</v>
      </c>
      <c r="FA587" s="27" t="s">
        <v>8</v>
      </c>
      <c r="FB587" s="27" t="s">
        <v>7</v>
      </c>
      <c r="FC587" s="27" t="s">
        <v>8</v>
      </c>
      <c r="FD587" s="27" t="s">
        <v>7</v>
      </c>
      <c r="FE587" s="27" t="s">
        <v>8</v>
      </c>
      <c r="FF587" s="27" t="s">
        <v>7</v>
      </c>
      <c r="FG587" s="27" t="s">
        <v>8</v>
      </c>
    </row>
    <row r="588" spans="1:169" x14ac:dyDescent="0.25">
      <c r="A588" s="7">
        <v>0.98039215686274506</v>
      </c>
      <c r="B588"/>
      <c r="C588"/>
      <c r="D588"/>
      <c r="E588"/>
      <c r="F588" s="27" t="s">
        <v>7</v>
      </c>
      <c r="BS588" s="27" t="s">
        <v>8</v>
      </c>
      <c r="BT588" s="27" t="s">
        <v>7</v>
      </c>
      <c r="BU588" s="27" t="s">
        <v>8</v>
      </c>
      <c r="DF588" s="27" t="s">
        <v>7</v>
      </c>
      <c r="DG588" s="27" t="s">
        <v>8</v>
      </c>
      <c r="DL588" s="27" t="s">
        <v>7</v>
      </c>
      <c r="DO588" s="27" t="s">
        <v>8</v>
      </c>
      <c r="DP588" s="27" t="s">
        <v>7</v>
      </c>
      <c r="DQ588" s="27" t="s">
        <v>8</v>
      </c>
      <c r="DR588" s="27" t="s">
        <v>7</v>
      </c>
      <c r="DS588" s="27" t="s">
        <v>8</v>
      </c>
      <c r="DT588" s="27" t="s">
        <v>7</v>
      </c>
      <c r="DU588" s="27" t="s">
        <v>8</v>
      </c>
      <c r="DV588" s="27" t="s">
        <v>7</v>
      </c>
      <c r="DW588" s="27" t="s">
        <v>8</v>
      </c>
      <c r="ED588" s="27" t="s">
        <v>7</v>
      </c>
      <c r="EE588" s="27" t="s">
        <v>8</v>
      </c>
      <c r="EF588" s="27" t="s">
        <v>7</v>
      </c>
      <c r="EQ588" s="27" t="s">
        <v>8</v>
      </c>
      <c r="ER588" s="27" t="s">
        <v>7</v>
      </c>
      <c r="ES588" s="27" t="s">
        <v>8</v>
      </c>
      <c r="EV588" s="27" t="s">
        <v>7</v>
      </c>
      <c r="EW588" s="27" t="s">
        <v>8</v>
      </c>
      <c r="EX588" s="27" t="s">
        <v>7</v>
      </c>
      <c r="EY588" s="27" t="s">
        <v>8</v>
      </c>
      <c r="EZ588" s="27" t="s">
        <v>7</v>
      </c>
      <c r="FA588" s="27" t="s">
        <v>8</v>
      </c>
      <c r="FB588" s="27" t="s">
        <v>7</v>
      </c>
      <c r="FC588" s="27" t="s">
        <v>8</v>
      </c>
      <c r="FD588" s="27" t="s">
        <v>7</v>
      </c>
      <c r="FE588" s="27" t="s">
        <v>8</v>
      </c>
      <c r="FF588" s="27" t="s">
        <v>7</v>
      </c>
      <c r="FG588" s="27" t="s">
        <v>8</v>
      </c>
    </row>
    <row r="589" spans="1:169" x14ac:dyDescent="0.25">
      <c r="A589" s="7">
        <v>0.96116878123798544</v>
      </c>
      <c r="B589"/>
      <c r="C589"/>
      <c r="D589"/>
      <c r="E589"/>
      <c r="F589" s="27" t="s">
        <v>7</v>
      </c>
      <c r="BS589" s="27" t="s">
        <v>8</v>
      </c>
      <c r="BT589" s="27" t="s">
        <v>7</v>
      </c>
      <c r="BU589" s="27" t="s">
        <v>8</v>
      </c>
      <c r="DF589" s="27" t="s">
        <v>7</v>
      </c>
      <c r="DL589" s="27" t="s">
        <v>7</v>
      </c>
      <c r="DO589" s="27" t="s">
        <v>8</v>
      </c>
      <c r="DP589" s="27" t="s">
        <v>7</v>
      </c>
      <c r="DQ589" s="27" t="s">
        <v>8</v>
      </c>
      <c r="DR589" s="27" t="s">
        <v>7</v>
      </c>
      <c r="DT589" s="27" t="s">
        <v>7</v>
      </c>
      <c r="DU589" s="27" t="s">
        <v>8</v>
      </c>
      <c r="DV589" s="27" t="s">
        <v>7</v>
      </c>
      <c r="DW589" s="27" t="s">
        <v>8</v>
      </c>
      <c r="ED589" s="27" t="s">
        <v>7</v>
      </c>
      <c r="EE589" s="27" t="s">
        <v>8</v>
      </c>
      <c r="EF589" s="27" t="s">
        <v>7</v>
      </c>
      <c r="EQ589" s="27" t="s">
        <v>8</v>
      </c>
      <c r="ER589" s="27" t="s">
        <v>7</v>
      </c>
      <c r="ES589" s="27" t="s">
        <v>8</v>
      </c>
      <c r="EV589" s="27" t="s">
        <v>7</v>
      </c>
      <c r="EW589" s="27" t="s">
        <v>8</v>
      </c>
      <c r="EX589" s="27" t="s">
        <v>7</v>
      </c>
      <c r="EZ589" s="27" t="s">
        <v>7</v>
      </c>
      <c r="FB589" s="27" t="s">
        <v>7</v>
      </c>
      <c r="FD589" s="27" t="s">
        <v>7</v>
      </c>
      <c r="FE589" s="27" t="s">
        <v>8</v>
      </c>
      <c r="FF589" s="27" t="s">
        <v>7</v>
      </c>
      <c r="FG589" s="27" t="s">
        <v>8</v>
      </c>
    </row>
    <row r="590" spans="1:169" x14ac:dyDescent="0.25">
      <c r="A590" s="7">
        <v>0.94232233454704462</v>
      </c>
      <c r="B590"/>
      <c r="C590"/>
      <c r="D590"/>
      <c r="E590"/>
      <c r="F590" s="27" t="s">
        <v>7</v>
      </c>
      <c r="BS590" s="27" t="s">
        <v>8</v>
      </c>
      <c r="BT590" s="27" t="s">
        <v>7</v>
      </c>
      <c r="BU590" s="27" t="s">
        <v>8</v>
      </c>
      <c r="DL590" s="27" t="s">
        <v>7</v>
      </c>
      <c r="DO590" s="27" t="s">
        <v>8</v>
      </c>
      <c r="DP590" s="27" t="s">
        <v>7</v>
      </c>
      <c r="DQ590" s="27" t="s">
        <v>8</v>
      </c>
      <c r="DT590" s="27" t="s">
        <v>7</v>
      </c>
      <c r="DU590" s="27" t="s">
        <v>8</v>
      </c>
      <c r="DV590" s="27" t="s">
        <v>7</v>
      </c>
      <c r="DW590" s="27" t="s">
        <v>8</v>
      </c>
      <c r="ED590" s="27" t="s">
        <v>7</v>
      </c>
      <c r="EE590" s="27" t="s">
        <v>8</v>
      </c>
      <c r="EF590" s="27" t="s">
        <v>7</v>
      </c>
      <c r="EQ590" s="27" t="s">
        <v>8</v>
      </c>
      <c r="ER590" s="27" t="s">
        <v>7</v>
      </c>
      <c r="ES590" s="27" t="s">
        <v>8</v>
      </c>
      <c r="EV590" s="27" t="s">
        <v>7</v>
      </c>
      <c r="EW590" s="27" t="s">
        <v>8</v>
      </c>
      <c r="FD590" s="27" t="s">
        <v>7</v>
      </c>
      <c r="FE590" s="27" t="s">
        <v>8</v>
      </c>
      <c r="FF590" s="27" t="s">
        <v>7</v>
      </c>
      <c r="FG590" s="27" t="s">
        <v>8</v>
      </c>
    </row>
    <row r="591" spans="1:169" x14ac:dyDescent="0.25">
      <c r="A591" s="7">
        <v>0.92384542602651432</v>
      </c>
      <c r="B591"/>
      <c r="C591"/>
      <c r="D591"/>
      <c r="E591"/>
      <c r="F591" s="27" t="s">
        <v>7</v>
      </c>
      <c r="BS591" s="27" t="s">
        <v>8</v>
      </c>
      <c r="BT591" s="27" t="s">
        <v>7</v>
      </c>
      <c r="BU591" s="27" t="s">
        <v>8</v>
      </c>
      <c r="DL591" s="27" t="s">
        <v>7</v>
      </c>
      <c r="DO591" s="27" t="s">
        <v>8</v>
      </c>
      <c r="DP591" s="27" t="s">
        <v>7</v>
      </c>
      <c r="DQ591" s="27" t="s">
        <v>8</v>
      </c>
      <c r="DT591" s="27" t="s">
        <v>7</v>
      </c>
      <c r="DU591" s="27" t="s">
        <v>8</v>
      </c>
      <c r="DV591" s="27" t="s">
        <v>7</v>
      </c>
      <c r="ED591" s="27" t="s">
        <v>7</v>
      </c>
      <c r="EE591" s="27" t="s">
        <v>8</v>
      </c>
      <c r="EF591" s="27" t="s">
        <v>7</v>
      </c>
      <c r="EQ591" s="27" t="s">
        <v>8</v>
      </c>
      <c r="ER591" s="27" t="s">
        <v>7</v>
      </c>
      <c r="EV591" s="27" t="s">
        <v>7</v>
      </c>
      <c r="FD591" s="27" t="s">
        <v>7</v>
      </c>
      <c r="FF591" s="27" t="s">
        <v>7</v>
      </c>
    </row>
    <row r="592" spans="1:169" x14ac:dyDescent="0.25">
      <c r="A592" s="7">
        <v>0.90573080982991594</v>
      </c>
      <c r="B592"/>
      <c r="C592"/>
      <c r="D592"/>
      <c r="E592"/>
      <c r="F592" s="27" t="s">
        <v>7</v>
      </c>
      <c r="BO592" s="27" t="s">
        <v>8</v>
      </c>
      <c r="BS592" s="27" t="s">
        <v>8</v>
      </c>
      <c r="BT592" s="27" t="s">
        <v>7</v>
      </c>
      <c r="DL592" s="27" t="s">
        <v>7</v>
      </c>
      <c r="DO592" s="27" t="s">
        <v>8</v>
      </c>
      <c r="DP592" s="27" t="s">
        <v>7</v>
      </c>
      <c r="DQ592" s="27" t="s">
        <v>8</v>
      </c>
      <c r="DT592" s="27" t="s">
        <v>7</v>
      </c>
      <c r="ED592" s="27" t="s">
        <v>7</v>
      </c>
      <c r="EE592" s="27" t="s">
        <v>8</v>
      </c>
      <c r="EF592" s="27" t="s">
        <v>7</v>
      </c>
      <c r="EQ592" s="27" t="s">
        <v>8</v>
      </c>
    </row>
    <row r="593" spans="1:147" x14ac:dyDescent="0.25">
      <c r="A593" s="7">
        <v>0.8879713821861922</v>
      </c>
      <c r="B593"/>
      <c r="C593"/>
      <c r="D593"/>
      <c r="E593"/>
      <c r="F593" s="27" t="s">
        <v>7</v>
      </c>
      <c r="BM593" s="27" t="s">
        <v>8</v>
      </c>
      <c r="BO593" s="27" t="s">
        <v>8</v>
      </c>
      <c r="BP593" s="27" t="s">
        <v>7</v>
      </c>
      <c r="BS593" s="27" t="s">
        <v>8</v>
      </c>
      <c r="DL593" s="27" t="s">
        <v>7</v>
      </c>
      <c r="DO593" s="27" t="s">
        <v>8</v>
      </c>
      <c r="DP593" s="27" t="s">
        <v>7</v>
      </c>
      <c r="DQ593" s="27" t="s">
        <v>8</v>
      </c>
      <c r="ED593" s="27" t="s">
        <v>7</v>
      </c>
      <c r="EF593" s="27" t="s">
        <v>7</v>
      </c>
      <c r="EQ593" s="27" t="s">
        <v>8</v>
      </c>
    </row>
    <row r="594" spans="1:147" x14ac:dyDescent="0.25">
      <c r="A594" s="7">
        <v>0.87056017861391399</v>
      </c>
      <c r="B594"/>
      <c r="C594"/>
      <c r="D594"/>
      <c r="E594"/>
      <c r="F594" s="27" t="s">
        <v>7</v>
      </c>
      <c r="BM594" s="27" t="s">
        <v>8</v>
      </c>
      <c r="BN594" s="27" t="s">
        <v>7</v>
      </c>
      <c r="BO594" s="27" t="s">
        <v>8</v>
      </c>
      <c r="BP594" s="27" t="s">
        <v>7</v>
      </c>
      <c r="BQ594" s="27" t="s">
        <v>8</v>
      </c>
      <c r="BS594" s="27" t="s">
        <v>8</v>
      </c>
      <c r="DL594" s="27" t="s">
        <v>7</v>
      </c>
      <c r="DO594" s="27" t="s">
        <v>8</v>
      </c>
      <c r="DP594" s="27" t="s">
        <v>7</v>
      </c>
      <c r="EF594" s="27" t="s">
        <v>7</v>
      </c>
      <c r="EQ594" s="27" t="s">
        <v>8</v>
      </c>
    </row>
    <row r="595" spans="1:147" x14ac:dyDescent="0.25">
      <c r="A595" s="7">
        <v>0.85349037119011173</v>
      </c>
      <c r="B595"/>
      <c r="C595"/>
      <c r="D595"/>
      <c r="E595"/>
      <c r="F595" s="27" t="s">
        <v>7</v>
      </c>
      <c r="BM595" s="27" t="s">
        <v>8</v>
      </c>
      <c r="BN595" s="27" t="s">
        <v>7</v>
      </c>
      <c r="BO595" s="27" t="s">
        <v>8</v>
      </c>
      <c r="BP595" s="27" t="s">
        <v>7</v>
      </c>
      <c r="BQ595" s="27" t="s">
        <v>8</v>
      </c>
      <c r="BR595" s="27" t="s">
        <v>7</v>
      </c>
      <c r="BS595" s="27" t="s">
        <v>8</v>
      </c>
      <c r="DL595" s="27" t="s">
        <v>7</v>
      </c>
      <c r="DO595" s="27" t="s">
        <v>8</v>
      </c>
      <c r="EF595" s="27" t="s">
        <v>7</v>
      </c>
      <c r="EQ595" s="27" t="s">
        <v>8</v>
      </c>
    </row>
    <row r="596" spans="1:147" x14ac:dyDescent="0.25">
      <c r="A596" s="7">
        <v>0.83675526587265858</v>
      </c>
      <c r="B596"/>
      <c r="C596"/>
      <c r="D596"/>
      <c r="E596"/>
      <c r="F596" s="27" t="s">
        <v>7</v>
      </c>
      <c r="BM596" s="27" t="s">
        <v>8</v>
      </c>
      <c r="BN596" s="27" t="s">
        <v>7</v>
      </c>
      <c r="BO596" s="27" t="s">
        <v>8</v>
      </c>
      <c r="BP596" s="27" t="s">
        <v>7</v>
      </c>
      <c r="BQ596" s="27" t="s">
        <v>8</v>
      </c>
      <c r="BR596" s="27" t="s">
        <v>7</v>
      </c>
      <c r="BS596" s="27" t="s">
        <v>8</v>
      </c>
      <c r="DL596" s="27" t="s">
        <v>7</v>
      </c>
      <c r="DO596" s="27" t="s">
        <v>8</v>
      </c>
      <c r="EF596" s="27" t="s">
        <v>7</v>
      </c>
      <c r="EQ596" s="27" t="s">
        <v>8</v>
      </c>
    </row>
    <row r="597" spans="1:147" x14ac:dyDescent="0.25">
      <c r="A597" s="7">
        <v>0.82034829987515545</v>
      </c>
      <c r="B597"/>
      <c r="C597"/>
      <c r="D597"/>
      <c r="E597"/>
      <c r="F597" s="27" t="s">
        <v>7</v>
      </c>
      <c r="BE597" s="27" t="s">
        <v>8</v>
      </c>
      <c r="BM597" s="27" t="s">
        <v>8</v>
      </c>
      <c r="BN597" s="27" t="s">
        <v>7</v>
      </c>
      <c r="BO597" s="27" t="s">
        <v>8</v>
      </c>
      <c r="BP597" s="27" t="s">
        <v>7</v>
      </c>
      <c r="BQ597" s="27" t="s">
        <v>8</v>
      </c>
      <c r="BR597" s="27" t="s">
        <v>7</v>
      </c>
      <c r="BS597" s="27" t="s">
        <v>8</v>
      </c>
      <c r="DL597" s="27" t="s">
        <v>7</v>
      </c>
      <c r="DO597" s="27" t="s">
        <v>8</v>
      </c>
      <c r="EF597" s="27" t="s">
        <v>7</v>
      </c>
      <c r="EQ597" s="27" t="s">
        <v>8</v>
      </c>
    </row>
    <row r="598" spans="1:147" x14ac:dyDescent="0.25">
      <c r="A598" s="7">
        <v>0.80426303909328967</v>
      </c>
      <c r="B598"/>
      <c r="C598"/>
      <c r="D598"/>
      <c r="E598"/>
      <c r="F598" s="27" t="s">
        <v>7</v>
      </c>
      <c r="BE598" s="27" t="s">
        <v>8</v>
      </c>
      <c r="BF598" s="27" t="s">
        <v>7</v>
      </c>
      <c r="BK598" s="27" t="s">
        <v>8</v>
      </c>
      <c r="BM598" s="27" t="s">
        <v>8</v>
      </c>
      <c r="BN598" s="27" t="s">
        <v>7</v>
      </c>
      <c r="BO598" s="27" t="s">
        <v>8</v>
      </c>
      <c r="BP598" s="27" t="s">
        <v>7</v>
      </c>
      <c r="BQ598" s="27" t="s">
        <v>8</v>
      </c>
      <c r="BR598" s="27" t="s">
        <v>7</v>
      </c>
      <c r="BS598" s="27" t="s">
        <v>8</v>
      </c>
      <c r="DL598" s="27" t="s">
        <v>7</v>
      </c>
      <c r="DM598" s="27" t="s">
        <v>8</v>
      </c>
      <c r="DO598" s="27" t="s">
        <v>8</v>
      </c>
      <c r="EF598" s="27" t="s">
        <v>7</v>
      </c>
      <c r="EO598" s="27" t="s">
        <v>8</v>
      </c>
      <c r="EQ598" s="27" t="s">
        <v>8</v>
      </c>
    </row>
    <row r="599" spans="1:147" x14ac:dyDescent="0.25">
      <c r="A599" s="7">
        <v>0.78849317558165644</v>
      </c>
      <c r="B599"/>
      <c r="C599"/>
      <c r="D599"/>
      <c r="E599"/>
      <c r="F599" s="27" t="s">
        <v>7</v>
      </c>
      <c r="BE599" s="27" t="s">
        <v>8</v>
      </c>
      <c r="BF599" s="27" t="s">
        <v>7</v>
      </c>
      <c r="BK599" s="27" t="s">
        <v>8</v>
      </c>
      <c r="BL599" s="27" t="s">
        <v>7</v>
      </c>
      <c r="BM599" s="27" t="s">
        <v>8</v>
      </c>
      <c r="BN599" s="27" t="s">
        <v>7</v>
      </c>
      <c r="BO599" s="27" t="s">
        <v>8</v>
      </c>
      <c r="BP599" s="27" t="s">
        <v>7</v>
      </c>
      <c r="BQ599" s="27" t="s">
        <v>8</v>
      </c>
      <c r="BR599" s="27" t="s">
        <v>7</v>
      </c>
      <c r="BS599" s="27" t="s">
        <v>8</v>
      </c>
      <c r="DL599" s="27" t="s">
        <v>7</v>
      </c>
      <c r="DM599" s="27" t="s">
        <v>8</v>
      </c>
      <c r="DN599" s="27" t="s">
        <v>7</v>
      </c>
      <c r="DO599" s="27" t="s">
        <v>8</v>
      </c>
      <c r="EF599" s="27" t="s">
        <v>7</v>
      </c>
      <c r="EO599" s="27" t="s">
        <v>8</v>
      </c>
      <c r="EP599" s="27" t="s">
        <v>7</v>
      </c>
      <c r="EQ599" s="27" t="s">
        <v>8</v>
      </c>
    </row>
    <row r="600" spans="1:147" x14ac:dyDescent="0.25">
      <c r="A600" s="7">
        <v>0.77303252508005538</v>
      </c>
      <c r="B600"/>
      <c r="C600"/>
      <c r="D600"/>
      <c r="E600"/>
      <c r="F600" s="27" t="s">
        <v>7</v>
      </c>
      <c r="BE600" s="27" t="s">
        <v>8</v>
      </c>
      <c r="BF600" s="27" t="s">
        <v>7</v>
      </c>
      <c r="BK600" s="27" t="s">
        <v>8</v>
      </c>
      <c r="BL600" s="27" t="s">
        <v>7</v>
      </c>
      <c r="BM600" s="27" t="s">
        <v>8</v>
      </c>
      <c r="BN600" s="27" t="s">
        <v>7</v>
      </c>
      <c r="BO600" s="27" t="s">
        <v>8</v>
      </c>
      <c r="BP600" s="27" t="s">
        <v>7</v>
      </c>
      <c r="BQ600" s="27" t="s">
        <v>8</v>
      </c>
      <c r="BR600" s="27" t="s">
        <v>7</v>
      </c>
      <c r="BS600" s="27" t="s">
        <v>8</v>
      </c>
      <c r="DL600" s="27" t="s">
        <v>7</v>
      </c>
      <c r="DM600" s="27" t="s">
        <v>8</v>
      </c>
      <c r="DN600" s="27" t="s">
        <v>7</v>
      </c>
      <c r="DO600" s="27" t="s">
        <v>8</v>
      </c>
      <c r="EF600" s="27" t="s">
        <v>7</v>
      </c>
      <c r="EO600" s="27" t="s">
        <v>8</v>
      </c>
      <c r="EP600" s="27" t="s">
        <v>7</v>
      </c>
      <c r="EQ600" s="27" t="s">
        <v>8</v>
      </c>
    </row>
    <row r="601" spans="1:147" x14ac:dyDescent="0.25">
      <c r="A601" s="7">
        <v>0.75787502458828959</v>
      </c>
      <c r="B601"/>
      <c r="C601"/>
      <c r="D601"/>
      <c r="E601"/>
      <c r="F601" s="27" t="s">
        <v>7</v>
      </c>
      <c r="BE601" s="27" t="s">
        <v>8</v>
      </c>
      <c r="BF601" s="27" t="s">
        <v>7</v>
      </c>
      <c r="BK601" s="27" t="s">
        <v>8</v>
      </c>
      <c r="BL601" s="27" t="s">
        <v>7</v>
      </c>
      <c r="BM601" s="27" t="s">
        <v>8</v>
      </c>
      <c r="BN601" s="27" t="s">
        <v>7</v>
      </c>
      <c r="BO601" s="27" t="s">
        <v>8</v>
      </c>
      <c r="BP601" s="27" t="s">
        <v>7</v>
      </c>
      <c r="BQ601" s="27" t="s">
        <v>8</v>
      </c>
      <c r="BR601" s="27" t="s">
        <v>7</v>
      </c>
      <c r="DL601" s="27" t="s">
        <v>7</v>
      </c>
      <c r="DM601" s="27" t="s">
        <v>8</v>
      </c>
      <c r="DN601" s="27" t="s">
        <v>7</v>
      </c>
      <c r="DO601" s="27" t="s">
        <v>8</v>
      </c>
      <c r="EF601" s="27" t="s">
        <v>7</v>
      </c>
      <c r="EK601" s="27" t="s">
        <v>8</v>
      </c>
      <c r="EM601" s="27" t="s">
        <v>8</v>
      </c>
      <c r="EO601" s="27" t="s">
        <v>8</v>
      </c>
      <c r="EP601" s="27" t="s">
        <v>7</v>
      </c>
      <c r="EQ601" s="27" t="s">
        <v>8</v>
      </c>
    </row>
    <row r="602" spans="1:147" x14ac:dyDescent="0.25">
      <c r="A602" s="7">
        <v>0.74301472998851925</v>
      </c>
      <c r="B602"/>
      <c r="C602"/>
      <c r="D602"/>
      <c r="E602"/>
      <c r="F602" s="27" t="s">
        <v>7</v>
      </c>
      <c r="BE602" s="27" t="s">
        <v>8</v>
      </c>
      <c r="BF602" s="27" t="s">
        <v>7</v>
      </c>
      <c r="BK602" s="27" t="s">
        <v>8</v>
      </c>
      <c r="BL602" s="27" t="s">
        <v>7</v>
      </c>
      <c r="BM602" s="27" t="s">
        <v>8</v>
      </c>
      <c r="BN602" s="27" t="s">
        <v>7</v>
      </c>
      <c r="BP602" s="27" t="s">
        <v>7</v>
      </c>
      <c r="DL602" s="27" t="s">
        <v>7</v>
      </c>
      <c r="DM602" s="27" t="s">
        <v>8</v>
      </c>
      <c r="DN602" s="27" t="s">
        <v>7</v>
      </c>
      <c r="DO602" s="27" t="s">
        <v>8</v>
      </c>
      <c r="EF602" s="27" t="s">
        <v>7</v>
      </c>
      <c r="EK602" s="27" t="s">
        <v>8</v>
      </c>
      <c r="EL602" s="27" t="s">
        <v>7</v>
      </c>
      <c r="EM602" s="27" t="s">
        <v>8</v>
      </c>
      <c r="EN602" s="27" t="s">
        <v>7</v>
      </c>
      <c r="EO602" s="27" t="s">
        <v>8</v>
      </c>
      <c r="EP602" s="27" t="s">
        <v>7</v>
      </c>
      <c r="EQ602" s="27" t="s">
        <v>8</v>
      </c>
    </row>
    <row r="603" spans="1:147" x14ac:dyDescent="0.25">
      <c r="A603" s="7">
        <v>0.72844581371423456</v>
      </c>
      <c r="B603"/>
      <c r="C603"/>
      <c r="D603"/>
      <c r="E603"/>
      <c r="F603" s="27" t="s">
        <v>7</v>
      </c>
      <c r="BE603" s="27" t="s">
        <v>8</v>
      </c>
      <c r="BF603" s="27" t="s">
        <v>7</v>
      </c>
      <c r="BK603" s="27" t="s">
        <v>8</v>
      </c>
      <c r="BL603" s="27" t="s">
        <v>7</v>
      </c>
      <c r="BM603" s="27" t="s">
        <v>8</v>
      </c>
      <c r="DL603" s="27" t="s">
        <v>7</v>
      </c>
      <c r="DN603" s="27" t="s">
        <v>7</v>
      </c>
      <c r="DO603" s="27" t="s">
        <v>8</v>
      </c>
      <c r="EF603" s="27" t="s">
        <v>7</v>
      </c>
      <c r="EK603" s="27" t="s">
        <v>8</v>
      </c>
      <c r="EL603" s="27" t="s">
        <v>7</v>
      </c>
      <c r="EM603" s="27" t="s">
        <v>8</v>
      </c>
      <c r="EN603" s="27" t="s">
        <v>7</v>
      </c>
      <c r="EO603" s="27" t="s">
        <v>8</v>
      </c>
      <c r="EP603" s="27" t="s">
        <v>7</v>
      </c>
    </row>
    <row r="604" spans="1:147" x14ac:dyDescent="0.25">
      <c r="A604" s="7">
        <v>0.71416256246493581</v>
      </c>
      <c r="B604"/>
      <c r="C604"/>
      <c r="D604"/>
      <c r="E604"/>
      <c r="F604" s="27" t="s">
        <v>7</v>
      </c>
      <c r="BE604" s="27" t="s">
        <v>8</v>
      </c>
      <c r="BF604" s="27" t="s">
        <v>7</v>
      </c>
      <c r="BK604" s="27" t="s">
        <v>8</v>
      </c>
      <c r="BL604" s="27" t="s">
        <v>7</v>
      </c>
      <c r="BM604" s="27" t="s">
        <v>8</v>
      </c>
      <c r="DN604" s="27" t="s">
        <v>7</v>
      </c>
      <c r="EF604" s="27" t="s">
        <v>7</v>
      </c>
      <c r="EK604" s="27" t="s">
        <v>8</v>
      </c>
      <c r="EL604" s="27" t="s">
        <v>7</v>
      </c>
      <c r="EM604" s="27" t="s">
        <v>8</v>
      </c>
      <c r="EN604" s="27" t="s">
        <v>7</v>
      </c>
      <c r="EO604" s="27" t="s">
        <v>8</v>
      </c>
    </row>
    <row r="605" spans="1:147" x14ac:dyDescent="0.25">
      <c r="A605" s="7">
        <v>0.7001593749656233</v>
      </c>
      <c r="B605"/>
      <c r="C605"/>
      <c r="D605"/>
      <c r="E605"/>
      <c r="F605" s="27" t="s">
        <v>7</v>
      </c>
      <c r="BE605" s="27" t="s">
        <v>8</v>
      </c>
      <c r="BF605" s="27" t="s">
        <v>7</v>
      </c>
      <c r="BK605" s="27" t="s">
        <v>8</v>
      </c>
      <c r="BL605" s="27" t="s">
        <v>7</v>
      </c>
      <c r="EF605" s="27" t="s">
        <v>7</v>
      </c>
      <c r="EK605" s="27" t="s">
        <v>8</v>
      </c>
      <c r="EL605" s="27" t="s">
        <v>7</v>
      </c>
      <c r="EM605" s="27" t="s">
        <v>8</v>
      </c>
      <c r="EN605" s="27" t="s">
        <v>7</v>
      </c>
      <c r="EO605" s="27" t="s">
        <v>8</v>
      </c>
    </row>
    <row r="606" spans="1:147" x14ac:dyDescent="0.25">
      <c r="A606" s="7">
        <v>0.68643075977021883</v>
      </c>
      <c r="B606"/>
      <c r="C606"/>
      <c r="D606"/>
      <c r="E606"/>
      <c r="F606" s="27" t="s">
        <v>7</v>
      </c>
      <c r="BE606" s="27" t="s">
        <v>8</v>
      </c>
      <c r="BF606" s="27" t="s">
        <v>7</v>
      </c>
      <c r="BK606" s="27" t="s">
        <v>8</v>
      </c>
      <c r="EF606" s="27" t="s">
        <v>7</v>
      </c>
      <c r="EK606" s="27" t="s">
        <v>8</v>
      </c>
      <c r="EL606" s="27" t="s">
        <v>7</v>
      </c>
      <c r="EM606" s="27" t="s">
        <v>8</v>
      </c>
      <c r="EN606" s="27" t="s">
        <v>7</v>
      </c>
      <c r="EO606" s="27" t="s">
        <v>8</v>
      </c>
    </row>
    <row r="607" spans="1:147" x14ac:dyDescent="0.25">
      <c r="A607" s="7">
        <v>0.67297133310805768</v>
      </c>
      <c r="B607"/>
      <c r="C607"/>
      <c r="D607"/>
      <c r="E607"/>
      <c r="F607" s="27" t="s">
        <v>7</v>
      </c>
      <c r="BE607" s="27" t="s">
        <v>8</v>
      </c>
      <c r="BF607" s="27" t="s">
        <v>7</v>
      </c>
      <c r="BG607" s="27" t="s">
        <v>8</v>
      </c>
      <c r="BK607" s="27" t="s">
        <v>8</v>
      </c>
      <c r="EF607" s="27" t="s">
        <v>7</v>
      </c>
      <c r="EK607" s="27" t="s">
        <v>8</v>
      </c>
      <c r="EL607" s="27" t="s">
        <v>7</v>
      </c>
      <c r="EM607" s="27" t="s">
        <v>8</v>
      </c>
      <c r="EN607" s="27" t="s">
        <v>7</v>
      </c>
      <c r="EO607" s="27" t="s">
        <v>8</v>
      </c>
    </row>
    <row r="608" spans="1:147" x14ac:dyDescent="0.25">
      <c r="A608" s="7">
        <v>0.65977581677260566</v>
      </c>
      <c r="B608"/>
      <c r="C608"/>
      <c r="D608"/>
      <c r="E608"/>
      <c r="F608" s="27" t="s">
        <v>7</v>
      </c>
      <c r="BE608" s="27" t="s">
        <v>8</v>
      </c>
      <c r="BF608" s="27" t="s">
        <v>7</v>
      </c>
      <c r="BG608" s="27" t="s">
        <v>8</v>
      </c>
      <c r="BH608" s="27" t="s">
        <v>7</v>
      </c>
      <c r="BK608" s="27" t="s">
        <v>8</v>
      </c>
      <c r="EF608" s="27" t="s">
        <v>7</v>
      </c>
      <c r="EK608" s="27" t="s">
        <v>8</v>
      </c>
      <c r="EL608" s="27" t="s">
        <v>7</v>
      </c>
      <c r="EM608" s="27" t="s">
        <v>8</v>
      </c>
      <c r="EN608" s="27" t="s">
        <v>7</v>
      </c>
    </row>
    <row r="609" spans="1:143" x14ac:dyDescent="0.25">
      <c r="A609" s="7">
        <v>0.64683903605157422</v>
      </c>
      <c r="B609"/>
      <c r="C609"/>
      <c r="D609"/>
      <c r="E609"/>
      <c r="F609" s="27" t="s">
        <v>7</v>
      </c>
      <c r="BE609" s="27" t="s">
        <v>8</v>
      </c>
      <c r="BF609" s="27" t="s">
        <v>7</v>
      </c>
      <c r="BG609" s="27" t="s">
        <v>8</v>
      </c>
      <c r="BH609" s="27" t="s">
        <v>7</v>
      </c>
      <c r="BK609" s="27" t="s">
        <v>8</v>
      </c>
      <c r="EF609" s="27" t="s">
        <v>7</v>
      </c>
      <c r="EK609" s="27" t="s">
        <v>8</v>
      </c>
      <c r="EL609" s="27" t="s">
        <v>7</v>
      </c>
      <c r="EM609" s="27" t="s">
        <v>8</v>
      </c>
    </row>
    <row r="610" spans="1:143" x14ac:dyDescent="0.25">
      <c r="A610" s="7">
        <v>0.63415591769762181</v>
      </c>
      <c r="B610"/>
      <c r="C610"/>
      <c r="D610"/>
      <c r="E610"/>
      <c r="F610" s="27" t="s">
        <v>7</v>
      </c>
      <c r="BE610" s="27" t="s">
        <v>8</v>
      </c>
      <c r="BF610" s="27" t="s">
        <v>7</v>
      </c>
      <c r="BG610" s="27" t="s">
        <v>8</v>
      </c>
      <c r="BH610" s="27" t="s">
        <v>7</v>
      </c>
      <c r="BK610" s="27" t="s">
        <v>8</v>
      </c>
      <c r="EF610" s="27" t="s">
        <v>7</v>
      </c>
      <c r="EI610" s="27" t="s">
        <v>8</v>
      </c>
      <c r="EK610" s="27" t="s">
        <v>8</v>
      </c>
      <c r="EL610" s="27" t="s">
        <v>7</v>
      </c>
    </row>
    <row r="611" spans="1:143" x14ac:dyDescent="0.25">
      <c r="A611" s="7">
        <v>0.62172148793884496</v>
      </c>
      <c r="B611"/>
      <c r="C611"/>
      <c r="D611"/>
      <c r="E611"/>
      <c r="F611" s="27" t="s">
        <v>7</v>
      </c>
      <c r="BE611" s="27" t="s">
        <v>8</v>
      </c>
      <c r="BF611" s="27" t="s">
        <v>7</v>
      </c>
      <c r="BG611" s="27" t="s">
        <v>8</v>
      </c>
      <c r="BH611" s="27" t="s">
        <v>7</v>
      </c>
      <c r="BI611" s="27" t="s">
        <v>8</v>
      </c>
      <c r="BK611" s="27" t="s">
        <v>8</v>
      </c>
      <c r="EF611" s="27" t="s">
        <v>7</v>
      </c>
      <c r="EI611" s="27" t="s">
        <v>8</v>
      </c>
      <c r="EJ611" s="27" t="s">
        <v>7</v>
      </c>
      <c r="EK611" s="27" t="s">
        <v>8</v>
      </c>
    </row>
    <row r="612" spans="1:143" x14ac:dyDescent="0.25">
      <c r="A612" s="7">
        <v>0.60953087052827937</v>
      </c>
      <c r="B612"/>
      <c r="C612"/>
      <c r="D612"/>
      <c r="E612"/>
      <c r="F612" s="27" t="s">
        <v>7</v>
      </c>
      <c r="BE612" s="27" t="s">
        <v>8</v>
      </c>
      <c r="BF612" s="27" t="s">
        <v>7</v>
      </c>
      <c r="BG612" s="27" t="s">
        <v>8</v>
      </c>
      <c r="BH612" s="27" t="s">
        <v>7</v>
      </c>
      <c r="BI612" s="27" t="s">
        <v>8</v>
      </c>
      <c r="BJ612" s="27" t="s">
        <v>7</v>
      </c>
      <c r="BK612" s="27" t="s">
        <v>8</v>
      </c>
      <c r="EF612" s="27" t="s">
        <v>7</v>
      </c>
      <c r="EG612" s="27" t="s">
        <v>8</v>
      </c>
      <c r="EI612" s="27" t="s">
        <v>8</v>
      </c>
      <c r="EJ612" s="27" t="s">
        <v>7</v>
      </c>
      <c r="EK612" s="27" t="s">
        <v>8</v>
      </c>
    </row>
    <row r="613" spans="1:143" x14ac:dyDescent="0.25">
      <c r="A613" s="7">
        <v>0.59757928483164646</v>
      </c>
      <c r="B613"/>
      <c r="C613"/>
      <c r="D613"/>
      <c r="E613"/>
      <c r="F613" s="27" t="s">
        <v>7</v>
      </c>
      <c r="BE613" s="27" t="s">
        <v>8</v>
      </c>
      <c r="BF613" s="27" t="s">
        <v>7</v>
      </c>
      <c r="BG613" s="27" t="s">
        <v>8</v>
      </c>
      <c r="BH613" s="27" t="s">
        <v>7</v>
      </c>
      <c r="BI613" s="27" t="s">
        <v>8</v>
      </c>
      <c r="BJ613" s="27" t="s">
        <v>7</v>
      </c>
      <c r="BK613" s="27" t="s">
        <v>8</v>
      </c>
      <c r="EF613" s="27" t="s">
        <v>7</v>
      </c>
      <c r="EG613" s="27" t="s">
        <v>8</v>
      </c>
      <c r="EH613" s="27" t="s">
        <v>7</v>
      </c>
      <c r="EI613" s="27" t="s">
        <v>8</v>
      </c>
      <c r="EJ613" s="27" t="s">
        <v>7</v>
      </c>
      <c r="EK613" s="27" t="s">
        <v>8</v>
      </c>
    </row>
    <row r="614" spans="1:143" x14ac:dyDescent="0.25">
      <c r="A614" s="7">
        <v>0.58586204395259456</v>
      </c>
      <c r="B614"/>
      <c r="C614"/>
      <c r="D614"/>
      <c r="E614"/>
      <c r="F614" s="27" t="s">
        <v>7</v>
      </c>
      <c r="BE614" s="27" t="s">
        <v>8</v>
      </c>
      <c r="BF614" s="27" t="s">
        <v>7</v>
      </c>
      <c r="BG614" s="27" t="s">
        <v>8</v>
      </c>
      <c r="BH614" s="27" t="s">
        <v>7</v>
      </c>
      <c r="BI614" s="27" t="s">
        <v>8</v>
      </c>
      <c r="BJ614" s="27" t="s">
        <v>7</v>
      </c>
      <c r="BK614" s="27" t="s">
        <v>8</v>
      </c>
      <c r="EF614" s="27" t="s">
        <v>7</v>
      </c>
      <c r="EG614" s="27" t="s">
        <v>8</v>
      </c>
      <c r="EH614" s="27" t="s">
        <v>7</v>
      </c>
      <c r="EI614" s="27" t="s">
        <v>8</v>
      </c>
      <c r="EJ614" s="27" t="s">
        <v>7</v>
      </c>
      <c r="EK614" s="27" t="s">
        <v>8</v>
      </c>
    </row>
    <row r="615" spans="1:143" x14ac:dyDescent="0.25">
      <c r="A615" s="7">
        <v>0.57437455289470052</v>
      </c>
      <c r="B615"/>
      <c r="C615"/>
      <c r="D615"/>
      <c r="E615"/>
      <c r="F615" s="27" t="s">
        <v>7</v>
      </c>
      <c r="BE615" s="27" t="s">
        <v>8</v>
      </c>
      <c r="BF615" s="27" t="s">
        <v>7</v>
      </c>
      <c r="BG615" s="27" t="s">
        <v>8</v>
      </c>
      <c r="BH615" s="27" t="s">
        <v>7</v>
      </c>
      <c r="BI615" s="27" t="s">
        <v>8</v>
      </c>
      <c r="BJ615" s="27" t="s">
        <v>7</v>
      </c>
      <c r="EF615" s="27" t="s">
        <v>7</v>
      </c>
      <c r="EG615" s="27" t="s">
        <v>8</v>
      </c>
      <c r="EH615" s="27" t="s">
        <v>7</v>
      </c>
      <c r="EJ615" s="27" t="s">
        <v>7</v>
      </c>
      <c r="EK615" s="27" t="s">
        <v>8</v>
      </c>
    </row>
    <row r="616" spans="1:143" x14ac:dyDescent="0.25">
      <c r="A616" s="7">
        <v>0.56311230675951029</v>
      </c>
      <c r="B616"/>
      <c r="C616"/>
      <c r="D616"/>
      <c r="E616"/>
      <c r="F616" s="27" t="s">
        <v>7</v>
      </c>
      <c r="BE616" s="27" t="s">
        <v>8</v>
      </c>
      <c r="BF616" s="27" t="s">
        <v>7</v>
      </c>
      <c r="BG616" s="27" t="s">
        <v>8</v>
      </c>
      <c r="BH616" s="27" t="s">
        <v>7</v>
      </c>
      <c r="BI616" s="27" t="s">
        <v>8</v>
      </c>
      <c r="EF616" s="27" t="s">
        <v>7</v>
      </c>
      <c r="EG616" s="27" t="s">
        <v>8</v>
      </c>
      <c r="EJ616" s="27" t="s">
        <v>7</v>
      </c>
      <c r="EK616" s="27" t="s">
        <v>8</v>
      </c>
    </row>
    <row r="617" spans="1:143" x14ac:dyDescent="0.25">
      <c r="A617" s="7">
        <v>0.55207088897991208</v>
      </c>
      <c r="B617"/>
      <c r="C617"/>
      <c r="D617"/>
      <c r="E617"/>
      <c r="F617" s="27" t="s">
        <v>7</v>
      </c>
      <c r="BE617" s="27" t="s">
        <v>8</v>
      </c>
      <c r="BF617" s="27" t="s">
        <v>7</v>
      </c>
      <c r="BH617" s="27" t="s">
        <v>7</v>
      </c>
      <c r="BI617" s="27" t="s">
        <v>8</v>
      </c>
      <c r="EF617" s="27" t="s">
        <v>7</v>
      </c>
      <c r="EJ617" s="27" t="s">
        <v>7</v>
      </c>
      <c r="EK617" s="27" t="s">
        <v>8</v>
      </c>
    </row>
    <row r="618" spans="1:143" x14ac:dyDescent="0.25">
      <c r="A618" s="7">
        <v>0.54124596958814908</v>
      </c>
      <c r="B618"/>
      <c r="C618"/>
      <c r="D618"/>
      <c r="E618"/>
      <c r="F618" s="27" t="s">
        <v>7</v>
      </c>
      <c r="BE618" s="27" t="s">
        <v>8</v>
      </c>
      <c r="BH618" s="27" t="s">
        <v>7</v>
      </c>
      <c r="BI618" s="27" t="s">
        <v>8</v>
      </c>
      <c r="EJ618" s="27" t="s">
        <v>7</v>
      </c>
      <c r="EK618" s="27" t="s">
        <v>8</v>
      </c>
    </row>
    <row r="619" spans="1:143" x14ac:dyDescent="0.25">
      <c r="A619" s="7">
        <v>0.53063330351779314</v>
      </c>
      <c r="B619"/>
      <c r="C619"/>
      <c r="D619"/>
      <c r="E619"/>
      <c r="F619" s="27" t="s">
        <v>7</v>
      </c>
      <c r="BE619" s="27" t="s">
        <v>8</v>
      </c>
      <c r="BH619" s="27" t="s">
        <v>7</v>
      </c>
      <c r="BI619" s="27" t="s">
        <v>8</v>
      </c>
      <c r="EJ619" s="27" t="s">
        <v>7</v>
      </c>
      <c r="EK619" s="27" t="s">
        <v>8</v>
      </c>
    </row>
    <row r="620" spans="1:143" x14ac:dyDescent="0.25">
      <c r="A620" s="7">
        <v>0.52022872893901284</v>
      </c>
      <c r="B620"/>
      <c r="C620"/>
      <c r="D620"/>
      <c r="E620"/>
      <c r="F620" s="27" t="s">
        <v>7</v>
      </c>
      <c r="BE620" s="27" t="s">
        <v>8</v>
      </c>
      <c r="BH620" s="27" t="s">
        <v>7</v>
      </c>
      <c r="BI620" s="27" t="s">
        <v>8</v>
      </c>
      <c r="EJ620" s="27" t="s">
        <v>7</v>
      </c>
    </row>
    <row r="621" spans="1:143" x14ac:dyDescent="0.25">
      <c r="A621" s="7">
        <v>0.51002816562648323</v>
      </c>
      <c r="B621"/>
      <c r="C621"/>
      <c r="D621"/>
      <c r="E621"/>
      <c r="F621" s="27" t="s">
        <v>7</v>
      </c>
      <c r="BE621" s="27" t="s">
        <v>8</v>
      </c>
      <c r="BH621" s="27" t="s">
        <v>7</v>
      </c>
      <c r="BI621" s="27" t="s">
        <v>8</v>
      </c>
    </row>
    <row r="622" spans="1:143" x14ac:dyDescent="0.25">
      <c r="A622" s="7">
        <v>0.50002761335929735</v>
      </c>
      <c r="B622"/>
      <c r="C622"/>
      <c r="D622"/>
      <c r="E622"/>
      <c r="F622" s="27" t="s">
        <v>7</v>
      </c>
      <c r="BE622" s="27" t="s">
        <v>8</v>
      </c>
      <c r="BH622" s="27" t="s">
        <v>7</v>
      </c>
      <c r="BI622" s="27" t="s">
        <v>8</v>
      </c>
    </row>
    <row r="623" spans="1:143" x14ac:dyDescent="0.25">
      <c r="A623" s="7">
        <v>0.49022315035225228</v>
      </c>
      <c r="B623"/>
      <c r="C623"/>
      <c r="D623"/>
      <c r="E623"/>
      <c r="F623" s="27" t="s">
        <v>7</v>
      </c>
      <c r="BE623" s="27" t="s">
        <v>8</v>
      </c>
      <c r="BH623" s="27" t="s">
        <v>7</v>
      </c>
      <c r="BI623" s="27" t="s">
        <v>8</v>
      </c>
    </row>
    <row r="624" spans="1:143" x14ac:dyDescent="0.25">
      <c r="A624" s="7">
        <v>0.48061093171789437</v>
      </c>
      <c r="B624"/>
      <c r="C624"/>
      <c r="D624"/>
      <c r="E624"/>
      <c r="F624" s="27" t="s">
        <v>7</v>
      </c>
      <c r="BE624" s="27" t="s">
        <v>8</v>
      </c>
      <c r="BH624" s="27" t="s">
        <v>7</v>
      </c>
      <c r="BI624" s="27" t="s">
        <v>8</v>
      </c>
    </row>
    <row r="625" spans="1:61" x14ac:dyDescent="0.25">
      <c r="A625" s="7">
        <v>0.47118718795871994</v>
      </c>
      <c r="B625"/>
      <c r="C625"/>
      <c r="D625"/>
      <c r="E625"/>
      <c r="F625" s="27" t="s">
        <v>7</v>
      </c>
      <c r="BE625" s="27" t="s">
        <v>8</v>
      </c>
      <c r="BH625" s="27" t="s">
        <v>7</v>
      </c>
      <c r="BI625" s="27" t="s">
        <v>8</v>
      </c>
    </row>
    <row r="626" spans="1:61" x14ac:dyDescent="0.25">
      <c r="A626" s="7">
        <v>0.46194822348894116</v>
      </c>
      <c r="B626"/>
      <c r="C626"/>
      <c r="D626"/>
      <c r="E626"/>
      <c r="F626" s="27" t="s">
        <v>7</v>
      </c>
      <c r="BC626" s="27" t="s">
        <v>8</v>
      </c>
      <c r="BE626" s="27" t="s">
        <v>8</v>
      </c>
      <c r="BH626" s="27" t="s">
        <v>7</v>
      </c>
    </row>
    <row r="627" spans="1:61" x14ac:dyDescent="0.25">
      <c r="A627" s="7">
        <v>0.45289041518523643</v>
      </c>
      <c r="B627"/>
      <c r="C627"/>
      <c r="D627"/>
      <c r="E627"/>
      <c r="F627" s="27" t="s">
        <v>7</v>
      </c>
      <c r="BC627" s="27" t="s">
        <v>8</v>
      </c>
      <c r="BD627" s="27" t="s">
        <v>7</v>
      </c>
      <c r="BE627" s="27" t="s">
        <v>8</v>
      </c>
    </row>
    <row r="628" spans="1:61" x14ac:dyDescent="0.25">
      <c r="A628" s="7">
        <v>0.44401021096591808</v>
      </c>
      <c r="B628"/>
      <c r="C628"/>
      <c r="D628"/>
      <c r="E628"/>
      <c r="F628" s="27" t="s">
        <v>7</v>
      </c>
      <c r="BC628" s="27" t="s">
        <v>8</v>
      </c>
      <c r="BD628" s="27" t="s">
        <v>7</v>
      </c>
      <c r="BE628" s="27" t="s">
        <v>8</v>
      </c>
    </row>
    <row r="629" spans="1:61" x14ac:dyDescent="0.25">
      <c r="A629" s="7">
        <v>0.4353041283979589</v>
      </c>
      <c r="B629"/>
      <c r="C629"/>
      <c r="D629"/>
      <c r="E629"/>
      <c r="F629" s="27" t="s">
        <v>7</v>
      </c>
      <c r="BC629" s="27" t="s">
        <v>8</v>
      </c>
      <c r="BD629" s="27" t="s">
        <v>7</v>
      </c>
      <c r="BE629" s="27" t="s">
        <v>8</v>
      </c>
    </row>
    <row r="630" spans="1:61" x14ac:dyDescent="0.25">
      <c r="A630" s="7">
        <v>0.4267687533313323</v>
      </c>
      <c r="B630"/>
      <c r="C630"/>
      <c r="D630"/>
      <c r="E630"/>
      <c r="F630" s="27" t="s">
        <v>7</v>
      </c>
      <c r="BC630" s="27" t="s">
        <v>8</v>
      </c>
      <c r="BD630" s="27" t="s">
        <v>7</v>
      </c>
      <c r="BE630" s="27" t="s">
        <v>8</v>
      </c>
    </row>
    <row r="631" spans="1:61" x14ac:dyDescent="0.25">
      <c r="A631" s="7">
        <v>0.41840073856012971</v>
      </c>
      <c r="B631"/>
      <c r="C631"/>
      <c r="D631"/>
      <c r="E631"/>
      <c r="F631" s="27" t="s">
        <v>7</v>
      </c>
      <c r="BC631" s="27" t="s">
        <v>8</v>
      </c>
      <c r="BD631" s="27" t="s">
        <v>7</v>
      </c>
      <c r="BE631" s="27" t="s">
        <v>8</v>
      </c>
    </row>
    <row r="632" spans="1:61" x14ac:dyDescent="0.25">
      <c r="A632" s="7">
        <v>0.41019680250993112</v>
      </c>
      <c r="B632"/>
      <c r="C632"/>
      <c r="D632"/>
      <c r="E632"/>
      <c r="F632" s="27" t="s">
        <v>7</v>
      </c>
      <c r="BC632" s="27" t="s">
        <v>8</v>
      </c>
      <c r="BD632" s="27" t="s">
        <v>7</v>
      </c>
      <c r="BE632" s="27" t="s">
        <v>8</v>
      </c>
    </row>
    <row r="633" spans="1:61" x14ac:dyDescent="0.25">
      <c r="A633" s="7">
        <v>0.40215372795091286</v>
      </c>
      <c r="B633"/>
      <c r="C633"/>
      <c r="D633"/>
      <c r="E633"/>
      <c r="F633" s="27" t="s">
        <v>7</v>
      </c>
      <c r="BC633" s="27" t="s">
        <v>8</v>
      </c>
      <c r="BD633" s="27" t="s">
        <v>7</v>
      </c>
      <c r="BE633" s="27" t="s">
        <v>8</v>
      </c>
    </row>
    <row r="634" spans="1:61" x14ac:dyDescent="0.25">
      <c r="A634" s="7">
        <v>0.39426836073618904</v>
      </c>
      <c r="B634"/>
      <c r="C634"/>
      <c r="D634"/>
      <c r="E634"/>
      <c r="F634" s="27" t="s">
        <v>7</v>
      </c>
      <c r="BC634" s="27" t="s">
        <v>8</v>
      </c>
      <c r="BD634" s="27" t="s">
        <v>7</v>
      </c>
      <c r="BE634" s="27" t="s">
        <v>8</v>
      </c>
    </row>
    <row r="635" spans="1:61" x14ac:dyDescent="0.25">
      <c r="A635" s="7">
        <v>0.38653760856489122</v>
      </c>
      <c r="B635"/>
      <c r="C635"/>
      <c r="D635"/>
      <c r="E635"/>
      <c r="F635" s="27" t="s">
        <v>7</v>
      </c>
      <c r="BC635" s="27" t="s">
        <v>8</v>
      </c>
      <c r="BD635" s="27" t="s">
        <v>7</v>
      </c>
    </row>
    <row r="636" spans="1:61" x14ac:dyDescent="0.25">
      <c r="A636" s="7">
        <v>0.37895843976950117</v>
      </c>
      <c r="B636"/>
      <c r="C636"/>
      <c r="D636"/>
      <c r="E636"/>
      <c r="F636" s="27" t="s">
        <v>7</v>
      </c>
      <c r="BC636" s="27" t="s">
        <v>8</v>
      </c>
    </row>
    <row r="637" spans="1:61" x14ac:dyDescent="0.25">
      <c r="A637" s="7">
        <v>0.37152788212696197</v>
      </c>
      <c r="B637"/>
      <c r="C637"/>
      <c r="D637"/>
      <c r="E637"/>
      <c r="F637" s="27" t="s">
        <v>7</v>
      </c>
      <c r="M637" s="27" t="s">
        <v>8</v>
      </c>
      <c r="BC637" s="27" t="s">
        <v>8</v>
      </c>
    </row>
    <row r="638" spans="1:61" x14ac:dyDescent="0.25">
      <c r="A638" s="7">
        <v>0.36424302169310002</v>
      </c>
      <c r="B638"/>
      <c r="C638"/>
      <c r="D638"/>
      <c r="E638"/>
      <c r="F638" s="27" t="s">
        <v>7</v>
      </c>
      <c r="I638" s="27" t="s">
        <v>8</v>
      </c>
      <c r="M638" s="27" t="s">
        <v>8</v>
      </c>
      <c r="N638" s="27" t="s">
        <v>7</v>
      </c>
      <c r="BC638" s="27" t="s">
        <v>8</v>
      </c>
    </row>
    <row r="639" spans="1:61" x14ac:dyDescent="0.25">
      <c r="A639" s="7">
        <v>0.35710100165990194</v>
      </c>
      <c r="B639"/>
      <c r="C639"/>
      <c r="D639"/>
      <c r="E639"/>
      <c r="F639" s="27" t="s">
        <v>7</v>
      </c>
      <c r="I639" s="27" t="s">
        <v>8</v>
      </c>
      <c r="J639" s="27" t="s">
        <v>7</v>
      </c>
      <c r="K639" s="27" t="s">
        <v>8</v>
      </c>
      <c r="M639" s="27" t="s">
        <v>8</v>
      </c>
      <c r="N639" s="27" t="s">
        <v>7</v>
      </c>
      <c r="BA639" s="27" t="s">
        <v>8</v>
      </c>
      <c r="BC639" s="27" t="s">
        <v>8</v>
      </c>
    </row>
    <row r="640" spans="1:61" x14ac:dyDescent="0.25">
      <c r="A640" s="7">
        <v>0.35009902123519804</v>
      </c>
      <c r="B640"/>
      <c r="C640"/>
      <c r="D640"/>
      <c r="E640"/>
      <c r="F640" s="27" t="s">
        <v>7</v>
      </c>
      <c r="I640" s="27" t="s">
        <v>8</v>
      </c>
      <c r="J640" s="27" t="s">
        <v>7</v>
      </c>
      <c r="K640" s="27" t="s">
        <v>8</v>
      </c>
      <c r="L640" s="27" t="s">
        <v>7</v>
      </c>
      <c r="M640" s="27" t="s">
        <v>8</v>
      </c>
      <c r="N640" s="27" t="s">
        <v>7</v>
      </c>
      <c r="O640" s="27" t="s">
        <v>8</v>
      </c>
      <c r="BA640" s="27" t="s">
        <v>8</v>
      </c>
      <c r="BB640" s="27" t="s">
        <v>7</v>
      </c>
      <c r="BC640" s="27" t="s">
        <v>8</v>
      </c>
    </row>
    <row r="641" spans="1:55" x14ac:dyDescent="0.25">
      <c r="A641" s="7">
        <v>0.34323433454431179</v>
      </c>
      <c r="B641"/>
      <c r="C641"/>
      <c r="D641"/>
      <c r="E641"/>
      <c r="F641" s="27" t="s">
        <v>7</v>
      </c>
      <c r="I641" s="27" t="s">
        <v>8</v>
      </c>
      <c r="J641" s="27" t="s">
        <v>7</v>
      </c>
      <c r="K641" s="27" t="s">
        <v>8</v>
      </c>
      <c r="L641" s="27" t="s">
        <v>7</v>
      </c>
      <c r="M641" s="27" t="s">
        <v>8</v>
      </c>
      <c r="N641" s="27" t="s">
        <v>7</v>
      </c>
      <c r="O641" s="27" t="s">
        <v>8</v>
      </c>
      <c r="P641" s="27" t="s">
        <v>7</v>
      </c>
      <c r="BA641" s="27" t="s">
        <v>8</v>
      </c>
      <c r="BB641" s="27" t="s">
        <v>7</v>
      </c>
      <c r="BC641" s="27" t="s">
        <v>8</v>
      </c>
    </row>
    <row r="642" spans="1:55" x14ac:dyDescent="0.25">
      <c r="A642" s="7">
        <v>0.33650424955324681</v>
      </c>
      <c r="B642"/>
      <c r="C642"/>
      <c r="D642"/>
      <c r="E642"/>
      <c r="F642" s="27" t="s">
        <v>7</v>
      </c>
      <c r="I642" s="27" t="s">
        <v>8</v>
      </c>
      <c r="J642" s="27" t="s">
        <v>7</v>
      </c>
      <c r="K642" s="27" t="s">
        <v>8</v>
      </c>
      <c r="L642" s="27" t="s">
        <v>7</v>
      </c>
      <c r="M642" s="27" t="s">
        <v>8</v>
      </c>
      <c r="N642" s="27" t="s">
        <v>7</v>
      </c>
      <c r="O642" s="27" t="s">
        <v>8</v>
      </c>
      <c r="P642" s="27" t="s">
        <v>7</v>
      </c>
      <c r="BA642" s="27" t="s">
        <v>8</v>
      </c>
      <c r="BB642" s="27" t="s">
        <v>7</v>
      </c>
      <c r="BC642" s="27" t="s">
        <v>8</v>
      </c>
    </row>
    <row r="643" spans="1:55" x14ac:dyDescent="0.25">
      <c r="A643" s="7">
        <v>0.3299061270129871</v>
      </c>
      <c r="B643"/>
      <c r="C643"/>
      <c r="D643"/>
      <c r="E643"/>
      <c r="F643" s="27" t="s">
        <v>7</v>
      </c>
      <c r="I643" s="27" t="s">
        <v>8</v>
      </c>
      <c r="J643" s="27" t="s">
        <v>7</v>
      </c>
      <c r="K643" s="27" t="s">
        <v>8</v>
      </c>
      <c r="L643" s="27" t="s">
        <v>7</v>
      </c>
      <c r="M643" s="27" t="s">
        <v>8</v>
      </c>
      <c r="N643" s="27" t="s">
        <v>7</v>
      </c>
      <c r="O643" s="27" t="s">
        <v>8</v>
      </c>
      <c r="P643" s="27" t="s">
        <v>7</v>
      </c>
      <c r="BA643" s="27" t="s">
        <v>8</v>
      </c>
      <c r="BB643" s="27" t="s">
        <v>7</v>
      </c>
      <c r="BC643" s="27" t="s">
        <v>8</v>
      </c>
    </row>
    <row r="644" spans="1:55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I644" s="27" t="s">
        <v>8</v>
      </c>
      <c r="J644" s="27" t="s">
        <v>7</v>
      </c>
      <c r="L644" s="27" t="s">
        <v>7</v>
      </c>
      <c r="M644" s="27" t="s">
        <v>8</v>
      </c>
      <c r="N644" s="27" t="s">
        <v>7</v>
      </c>
      <c r="O644" s="27" t="s">
        <v>8</v>
      </c>
      <c r="P644" s="27" t="s">
        <v>7</v>
      </c>
      <c r="BA644" s="27" t="s">
        <v>8</v>
      </c>
      <c r="BB644" s="27" t="s">
        <v>7</v>
      </c>
      <c r="BC644" s="27" t="s">
        <v>8</v>
      </c>
    </row>
    <row r="645" spans="1:55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I645" s="27" t="s">
        <v>8</v>
      </c>
      <c r="L645" s="27" t="s">
        <v>7</v>
      </c>
      <c r="M645" s="27" t="s">
        <v>8</v>
      </c>
      <c r="N645" s="27" t="s">
        <v>7</v>
      </c>
      <c r="P645" s="27" t="s">
        <v>7</v>
      </c>
      <c r="BA645" s="27" t="s">
        <v>8</v>
      </c>
      <c r="BB645" s="27" t="s">
        <v>7</v>
      </c>
      <c r="BC645" s="27" t="s">
        <v>8</v>
      </c>
    </row>
    <row r="646" spans="1:55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  <c r="L646" s="27" t="s">
        <v>7</v>
      </c>
      <c r="M646" s="27" t="s">
        <v>8</v>
      </c>
      <c r="P646" s="27" t="s">
        <v>7</v>
      </c>
      <c r="BA646" s="27" t="s">
        <v>8</v>
      </c>
      <c r="BB646" s="27" t="s">
        <v>7</v>
      </c>
      <c r="BC646" s="27" t="s">
        <v>8</v>
      </c>
    </row>
    <row r="647" spans="1:55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L647" s="27" t="s">
        <v>7</v>
      </c>
      <c r="M647" s="27" t="s">
        <v>8</v>
      </c>
      <c r="P647" s="27" t="s">
        <v>7</v>
      </c>
      <c r="U647" s="27" t="s">
        <v>8</v>
      </c>
      <c r="BA647" s="27" t="s">
        <v>8</v>
      </c>
      <c r="BB647" s="27" t="s">
        <v>7</v>
      </c>
      <c r="BC647" s="27" t="s">
        <v>8</v>
      </c>
    </row>
    <row r="648" spans="1:55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L648" s="27" t="s">
        <v>7</v>
      </c>
      <c r="M648" s="27" t="s">
        <v>8</v>
      </c>
      <c r="P648" s="27" t="s">
        <v>7</v>
      </c>
      <c r="U648" s="27" t="s">
        <v>8</v>
      </c>
      <c r="V648" s="27" t="s">
        <v>7</v>
      </c>
      <c r="BA648" s="27" t="s">
        <v>8</v>
      </c>
      <c r="BB648" s="27" t="s">
        <v>7</v>
      </c>
      <c r="BC648" s="27" t="s">
        <v>8</v>
      </c>
    </row>
    <row r="649" spans="1:55" x14ac:dyDescent="0.25">
      <c r="A649" s="7">
        <v>0.2929471995954156</v>
      </c>
      <c r="B649"/>
      <c r="C649"/>
      <c r="D649"/>
      <c r="E649"/>
      <c r="F649" s="27" t="s">
        <v>7</v>
      </c>
      <c r="L649" s="27" t="s">
        <v>7</v>
      </c>
      <c r="M649" s="27" t="s">
        <v>8</v>
      </c>
      <c r="P649" s="27" t="s">
        <v>7</v>
      </c>
      <c r="U649" s="27" t="s">
        <v>8</v>
      </c>
      <c r="V649" s="27" t="s">
        <v>7</v>
      </c>
      <c r="BA649" s="27" t="s">
        <v>8</v>
      </c>
      <c r="BB649" s="27" t="s">
        <v>7</v>
      </c>
      <c r="BC649" s="27" t="s">
        <v>8</v>
      </c>
    </row>
    <row r="650" spans="1:55" x14ac:dyDescent="0.25">
      <c r="A650" s="7">
        <v>0.28720313685825055</v>
      </c>
      <c r="B650"/>
      <c r="C650"/>
      <c r="D650"/>
      <c r="E650"/>
      <c r="L650" s="27" t="s">
        <v>7</v>
      </c>
      <c r="P650" s="27" t="s">
        <v>7</v>
      </c>
      <c r="Q650" s="27" t="s">
        <v>8</v>
      </c>
      <c r="U650" s="27" t="s">
        <v>8</v>
      </c>
      <c r="V650" s="27" t="s">
        <v>7</v>
      </c>
      <c r="BA650" s="27" t="s">
        <v>8</v>
      </c>
      <c r="BB650" s="27" t="s">
        <v>7</v>
      </c>
      <c r="BC650" s="27" t="s">
        <v>8</v>
      </c>
    </row>
    <row r="651" spans="1:55" x14ac:dyDescent="0.25">
      <c r="A651" s="7">
        <v>0.28157170280220645</v>
      </c>
      <c r="B651"/>
      <c r="C651"/>
      <c r="D651"/>
      <c r="E651"/>
      <c r="P651" s="27" t="s">
        <v>7</v>
      </c>
      <c r="Q651" s="27" t="s">
        <v>8</v>
      </c>
      <c r="R651" s="27" t="s">
        <v>7</v>
      </c>
      <c r="S651" s="27" t="s">
        <v>8</v>
      </c>
      <c r="U651" s="27" t="s">
        <v>8</v>
      </c>
      <c r="V651" s="27" t="s">
        <v>7</v>
      </c>
      <c r="BA651" s="27" t="s">
        <v>8</v>
      </c>
      <c r="BB651" s="27" t="s">
        <v>7</v>
      </c>
      <c r="BC651" s="27" t="s">
        <v>8</v>
      </c>
    </row>
    <row r="652" spans="1:55" x14ac:dyDescent="0.25">
      <c r="A652" s="7">
        <v>0.27605068902177105</v>
      </c>
      <c r="B652"/>
      <c r="C652"/>
      <c r="D652"/>
      <c r="E652"/>
      <c r="P652" s="27" t="s">
        <v>7</v>
      </c>
      <c r="Q652" s="27" t="s">
        <v>8</v>
      </c>
      <c r="R652" s="27" t="s">
        <v>7</v>
      </c>
      <c r="S652" s="27" t="s">
        <v>8</v>
      </c>
      <c r="T652" s="27" t="s">
        <v>7</v>
      </c>
      <c r="U652" s="27" t="s">
        <v>8</v>
      </c>
      <c r="V652" s="27" t="s">
        <v>7</v>
      </c>
      <c r="BA652" s="27" t="s">
        <v>8</v>
      </c>
      <c r="BB652" s="27" t="s">
        <v>7</v>
      </c>
      <c r="BC652" s="27" t="s">
        <v>8</v>
      </c>
    </row>
    <row r="653" spans="1:55" x14ac:dyDescent="0.25">
      <c r="A653" s="7">
        <v>0.27063793041350104</v>
      </c>
      <c r="B653"/>
      <c r="C653"/>
      <c r="D653"/>
      <c r="E653"/>
      <c r="P653" s="27" t="s">
        <v>7</v>
      </c>
      <c r="Q653" s="27" t="s">
        <v>8</v>
      </c>
      <c r="R653" s="27" t="s">
        <v>7</v>
      </c>
      <c r="S653" s="27" t="s">
        <v>8</v>
      </c>
      <c r="T653" s="27" t="s">
        <v>7</v>
      </c>
      <c r="U653" s="27" t="s">
        <v>8</v>
      </c>
      <c r="V653" s="27" t="s">
        <v>7</v>
      </c>
      <c r="BA653" s="27" t="s">
        <v>8</v>
      </c>
      <c r="BB653" s="27" t="s">
        <v>7</v>
      </c>
      <c r="BC653" s="27" t="s">
        <v>8</v>
      </c>
    </row>
    <row r="654" spans="1:55" x14ac:dyDescent="0.25">
      <c r="A654" s="7">
        <v>0.26533130432696184</v>
      </c>
      <c r="B654"/>
      <c r="C654"/>
      <c r="D654"/>
      <c r="E654"/>
      <c r="P654" s="27" t="s">
        <v>7</v>
      </c>
      <c r="Q654" s="27" t="s">
        <v>8</v>
      </c>
      <c r="R654" s="27" t="s">
        <v>7</v>
      </c>
      <c r="T654" s="27" t="s">
        <v>7</v>
      </c>
      <c r="V654" s="27" t="s">
        <v>7</v>
      </c>
      <c r="BA654" s="27" t="s">
        <v>8</v>
      </c>
      <c r="BB654" s="27" t="s">
        <v>7</v>
      </c>
      <c r="BC654" s="27" t="s">
        <v>8</v>
      </c>
    </row>
    <row r="655" spans="1:55" x14ac:dyDescent="0.25">
      <c r="A655" s="7">
        <v>0.26012872973231554</v>
      </c>
      <c r="B655"/>
      <c r="C655"/>
      <c r="D655"/>
      <c r="E655"/>
      <c r="P655" s="27" t="s">
        <v>7</v>
      </c>
      <c r="V655" s="27" t="s">
        <v>7</v>
      </c>
      <c r="BA655" s="27" t="s">
        <v>8</v>
      </c>
      <c r="BB655" s="27" t="s">
        <v>7</v>
      </c>
      <c r="BC655" s="27" t="s">
        <v>8</v>
      </c>
    </row>
    <row r="656" spans="1:55" x14ac:dyDescent="0.25">
      <c r="A656" s="7">
        <v>0.25502816640423093</v>
      </c>
      <c r="B656"/>
      <c r="C656"/>
      <c r="D656"/>
      <c r="E656"/>
      <c r="V656" s="27" t="s">
        <v>7</v>
      </c>
      <c r="BA656" s="27" t="s">
        <v>8</v>
      </c>
      <c r="BB656" s="27" t="s">
        <v>7</v>
      </c>
      <c r="BC656" s="27" t="s">
        <v>8</v>
      </c>
    </row>
    <row r="657" spans="1:54" x14ac:dyDescent="0.25">
      <c r="A657" s="7">
        <v>0.25002761412179503</v>
      </c>
      <c r="B657"/>
      <c r="C657"/>
      <c r="D657"/>
      <c r="E657"/>
      <c r="V657" s="27" t="s">
        <v>7</v>
      </c>
      <c r="W657" s="27" t="s">
        <v>8</v>
      </c>
      <c r="BA657" s="27" t="s">
        <v>8</v>
      </c>
      <c r="BB657" s="27" t="s">
        <v>7</v>
      </c>
    </row>
    <row r="658" spans="1:54" x14ac:dyDescent="0.25">
      <c r="A658" s="7">
        <v>0.24512511188411276</v>
      </c>
      <c r="B658"/>
      <c r="C658"/>
      <c r="D658"/>
      <c r="E658"/>
      <c r="V658" s="27" t="s">
        <v>7</v>
      </c>
      <c r="W658" s="27" t="s">
        <v>8</v>
      </c>
      <c r="X658" s="27" t="s">
        <v>7</v>
      </c>
      <c r="BA658" s="27" t="s">
        <v>8</v>
      </c>
    </row>
    <row r="659" spans="1:54" x14ac:dyDescent="0.25">
      <c r="A659" s="7">
        <v>0.24031873714128701</v>
      </c>
      <c r="B659"/>
      <c r="C659"/>
      <c r="D659"/>
      <c r="E659"/>
      <c r="V659" s="27" t="s">
        <v>7</v>
      </c>
      <c r="W659" s="27" t="s">
        <v>8</v>
      </c>
      <c r="X659" s="27" t="s">
        <v>7</v>
      </c>
      <c r="AQ659" s="27" t="s">
        <v>8</v>
      </c>
      <c r="BA659" s="27" t="s">
        <v>8</v>
      </c>
    </row>
    <row r="660" spans="1:54" x14ac:dyDescent="0.25">
      <c r="A660" s="7">
        <v>0.23560660504047748</v>
      </c>
      <c r="B660"/>
      <c r="C660"/>
      <c r="D660"/>
      <c r="E660"/>
      <c r="V660" s="27" t="s">
        <v>7</v>
      </c>
      <c r="X660" s="27" t="s">
        <v>7</v>
      </c>
      <c r="AQ660" s="27" t="s">
        <v>8</v>
      </c>
      <c r="AR660" s="27" t="s">
        <v>7</v>
      </c>
      <c r="BA660" s="27" t="s">
        <v>8</v>
      </c>
    </row>
    <row r="661" spans="1:54" x14ac:dyDescent="0.25">
      <c r="A661" s="7">
        <v>0.23098686768674265</v>
      </c>
      <c r="B661"/>
      <c r="C661"/>
      <c r="D661"/>
      <c r="E661"/>
      <c r="X661" s="27" t="s">
        <v>7</v>
      </c>
      <c r="AQ661" s="27" t="s">
        <v>8</v>
      </c>
      <c r="AR661" s="27" t="s">
        <v>7</v>
      </c>
      <c r="BA661" s="27" t="s">
        <v>8</v>
      </c>
    </row>
    <row r="662" spans="1:54" x14ac:dyDescent="0.25">
      <c r="A662" s="7">
        <v>0.22645771341837515</v>
      </c>
      <c r="B662"/>
      <c r="C662"/>
      <c r="D662"/>
      <c r="E662"/>
      <c r="X662" s="27" t="s">
        <v>7</v>
      </c>
      <c r="AQ662" s="27" t="s">
        <v>8</v>
      </c>
      <c r="AR662" s="27" t="s">
        <v>7</v>
      </c>
      <c r="AS662" s="27" t="s">
        <v>8</v>
      </c>
      <c r="BA662" s="27" t="s">
        <v>8</v>
      </c>
    </row>
    <row r="663" spans="1:54" x14ac:dyDescent="0.25">
      <c r="A663" s="7">
        <v>0.22201736609644623</v>
      </c>
      <c r="B663"/>
      <c r="C663"/>
      <c r="D663"/>
      <c r="E663"/>
      <c r="X663" s="27" t="s">
        <v>7</v>
      </c>
      <c r="AQ663" s="27" t="s">
        <v>8</v>
      </c>
      <c r="AR663" s="27" t="s">
        <v>7</v>
      </c>
      <c r="AS663" s="27" t="s">
        <v>8</v>
      </c>
      <c r="AT663" s="27" t="s">
        <v>7</v>
      </c>
      <c r="BA663" s="27" t="s">
        <v>8</v>
      </c>
    </row>
    <row r="664" spans="1:54" x14ac:dyDescent="0.25">
      <c r="A664" s="7">
        <v>0.21766408440828061</v>
      </c>
      <c r="B664"/>
      <c r="C664"/>
      <c r="D664"/>
      <c r="E664"/>
      <c r="X664" s="27" t="s">
        <v>7</v>
      </c>
      <c r="AQ664" s="27" t="s">
        <v>8</v>
      </c>
      <c r="AR664" s="27" t="s">
        <v>7</v>
      </c>
      <c r="AS664" s="27" t="s">
        <v>8</v>
      </c>
      <c r="AT664" s="27" t="s">
        <v>7</v>
      </c>
      <c r="AU664" s="27" t="s">
        <v>8</v>
      </c>
      <c r="AY664" s="27" t="s">
        <v>8</v>
      </c>
      <c r="BA664" s="27" t="s">
        <v>8</v>
      </c>
    </row>
    <row r="665" spans="1:54" x14ac:dyDescent="0.25">
      <c r="A665" s="7">
        <v>0.21339616118458882</v>
      </c>
      <c r="B665"/>
      <c r="C665"/>
      <c r="D665"/>
      <c r="E665"/>
      <c r="X665" s="27" t="s">
        <v>7</v>
      </c>
      <c r="AK665" s="27" t="s">
        <v>8</v>
      </c>
      <c r="AQ665" s="27" t="s">
        <v>8</v>
      </c>
      <c r="AR665" s="27" t="s">
        <v>7</v>
      </c>
      <c r="AS665" s="27" t="s">
        <v>8</v>
      </c>
      <c r="AT665" s="27" t="s">
        <v>7</v>
      </c>
      <c r="AU665" s="27" t="s">
        <v>8</v>
      </c>
      <c r="AV665" s="27" t="s">
        <v>7</v>
      </c>
      <c r="AY665" s="27" t="s">
        <v>8</v>
      </c>
      <c r="AZ665" s="27" t="s">
        <v>7</v>
      </c>
      <c r="BA665" s="27" t="s">
        <v>8</v>
      </c>
    </row>
    <row r="666" spans="1:54" x14ac:dyDescent="0.25">
      <c r="A666" s="7">
        <v>0.20921192272998904</v>
      </c>
      <c r="B666"/>
      <c r="C666"/>
      <c r="D666"/>
      <c r="E666"/>
      <c r="X666" s="27" t="s">
        <v>7</v>
      </c>
      <c r="AK666" s="27" t="s">
        <v>8</v>
      </c>
      <c r="AL666" s="27" t="s">
        <v>7</v>
      </c>
      <c r="AQ666" s="27" t="s">
        <v>8</v>
      </c>
      <c r="AR666" s="27" t="s">
        <v>7</v>
      </c>
      <c r="AS666" s="27" t="s">
        <v>8</v>
      </c>
      <c r="AT666" s="27" t="s">
        <v>7</v>
      </c>
      <c r="AU666" s="27" t="s">
        <v>8</v>
      </c>
      <c r="AV666" s="27" t="s">
        <v>7</v>
      </c>
      <c r="AW666" s="27" t="s">
        <v>8</v>
      </c>
      <c r="AY666" s="27" t="s">
        <v>8</v>
      </c>
      <c r="AZ666" s="27" t="s">
        <v>7</v>
      </c>
      <c r="BA666" s="27" t="s">
        <v>8</v>
      </c>
    </row>
    <row r="667" spans="1:54" x14ac:dyDescent="0.25">
      <c r="A667" s="7">
        <v>0.20510972816665593</v>
      </c>
      <c r="B667"/>
      <c r="C667"/>
      <c r="D667"/>
      <c r="E667"/>
      <c r="X667" s="27" t="s">
        <v>7</v>
      </c>
      <c r="AK667" s="27" t="s">
        <v>8</v>
      </c>
      <c r="AL667" s="27" t="s">
        <v>7</v>
      </c>
      <c r="AQ667" s="27" t="s">
        <v>8</v>
      </c>
      <c r="AR667" s="27" t="s">
        <v>7</v>
      </c>
      <c r="AS667" s="27" t="s">
        <v>8</v>
      </c>
      <c r="AT667" s="27" t="s">
        <v>7</v>
      </c>
      <c r="AV667" s="27" t="s">
        <v>7</v>
      </c>
      <c r="AW667" s="27" t="s">
        <v>8</v>
      </c>
      <c r="AX667" s="27" t="s">
        <v>7</v>
      </c>
      <c r="AY667" s="27" t="s">
        <v>8</v>
      </c>
      <c r="AZ667" s="27" t="s">
        <v>7</v>
      </c>
      <c r="BA667" s="27" t="s">
        <v>8</v>
      </c>
    </row>
    <row r="668" spans="1:54" x14ac:dyDescent="0.25">
      <c r="A668" s="7">
        <v>0.20108796879083912</v>
      </c>
      <c r="B668"/>
      <c r="C668"/>
      <c r="D668"/>
      <c r="E668"/>
      <c r="X668" s="27" t="s">
        <v>7</v>
      </c>
      <c r="AK668" s="27" t="s">
        <v>8</v>
      </c>
      <c r="AL668" s="27" t="s">
        <v>7</v>
      </c>
      <c r="AQ668" s="27" t="s">
        <v>8</v>
      </c>
      <c r="AR668" s="27" t="s">
        <v>7</v>
      </c>
      <c r="AS668" s="27" t="s">
        <v>8</v>
      </c>
      <c r="AV668" s="27" t="s">
        <v>7</v>
      </c>
      <c r="AW668" s="27" t="s">
        <v>8</v>
      </c>
      <c r="AX668" s="27" t="s">
        <v>7</v>
      </c>
      <c r="AY668" s="27" t="s">
        <v>8</v>
      </c>
      <c r="AZ668" s="27" t="s">
        <v>7</v>
      </c>
      <c r="BA668" s="27" t="s">
        <v>8</v>
      </c>
    </row>
    <row r="669" spans="1:54" x14ac:dyDescent="0.25">
      <c r="A669" s="7">
        <v>0.19714506744199917</v>
      </c>
      <c r="B669"/>
      <c r="C669"/>
      <c r="D669"/>
      <c r="E669"/>
      <c r="X669" s="27" t="s">
        <v>7</v>
      </c>
      <c r="AC669" s="27" t="s">
        <v>8</v>
      </c>
      <c r="AI669" s="27" t="s">
        <v>8</v>
      </c>
      <c r="AK669" s="27" t="s">
        <v>8</v>
      </c>
      <c r="AL669" s="27" t="s">
        <v>7</v>
      </c>
      <c r="AO669" s="27" t="s">
        <v>8</v>
      </c>
      <c r="AQ669" s="27" t="s">
        <v>8</v>
      </c>
      <c r="AR669" s="27" t="s">
        <v>7</v>
      </c>
      <c r="AV669" s="27" t="s">
        <v>7</v>
      </c>
      <c r="AW669" s="27" t="s">
        <v>8</v>
      </c>
      <c r="AX669" s="27" t="s">
        <v>7</v>
      </c>
      <c r="AY669" s="27" t="s">
        <v>8</v>
      </c>
      <c r="AZ669" s="27" t="s">
        <v>7</v>
      </c>
    </row>
    <row r="670" spans="1:54" x14ac:dyDescent="0.25">
      <c r="A670" s="7">
        <v>0.19327947788431293</v>
      </c>
      <c r="B670"/>
      <c r="C670"/>
      <c r="D670"/>
      <c r="E670"/>
      <c r="X670" s="27" t="s">
        <v>7</v>
      </c>
      <c r="AC670" s="27" t="s">
        <v>8</v>
      </c>
      <c r="AD670" s="27" t="s">
        <v>7</v>
      </c>
      <c r="AI670" s="27" t="s">
        <v>8</v>
      </c>
      <c r="AJ670" s="27" t="s">
        <v>7</v>
      </c>
      <c r="AK670" s="27" t="s">
        <v>8</v>
      </c>
      <c r="AL670" s="27" t="s">
        <v>7</v>
      </c>
      <c r="AM670" s="27" t="s">
        <v>8</v>
      </c>
      <c r="AO670" s="27" t="s">
        <v>8</v>
      </c>
      <c r="AP670" s="27" t="s">
        <v>7</v>
      </c>
      <c r="AQ670" s="27" t="s">
        <v>8</v>
      </c>
      <c r="AV670" s="27" t="s">
        <v>7</v>
      </c>
      <c r="AX670" s="27" t="s">
        <v>7</v>
      </c>
      <c r="AY670" s="27" t="s">
        <v>8</v>
      </c>
    </row>
    <row r="671" spans="1:54" x14ac:dyDescent="0.25">
      <c r="A671" s="7">
        <v>0.18948968420030682</v>
      </c>
      <c r="B671"/>
      <c r="C671"/>
      <c r="D671"/>
      <c r="E671"/>
      <c r="X671" s="27" t="s">
        <v>7</v>
      </c>
      <c r="AC671" s="27" t="s">
        <v>8</v>
      </c>
      <c r="AD671" s="27" t="s">
        <v>7</v>
      </c>
      <c r="AI671" s="27" t="s">
        <v>8</v>
      </c>
      <c r="AJ671" s="27" t="s">
        <v>7</v>
      </c>
      <c r="AK671" s="27" t="s">
        <v>8</v>
      </c>
      <c r="AL671" s="27" t="s">
        <v>7</v>
      </c>
      <c r="AM671" s="27" t="s">
        <v>8</v>
      </c>
      <c r="AN671" s="27" t="s">
        <v>7</v>
      </c>
      <c r="AO671" s="27" t="s">
        <v>8</v>
      </c>
      <c r="AP671" s="27" t="s">
        <v>7</v>
      </c>
      <c r="AQ671" s="27" t="s">
        <v>8</v>
      </c>
      <c r="AX671" s="27" t="s">
        <v>7</v>
      </c>
      <c r="AY671" s="27" t="s">
        <v>8</v>
      </c>
    </row>
    <row r="672" spans="1:54" x14ac:dyDescent="0.25">
      <c r="A672" s="7">
        <v>0.18577420019637925</v>
      </c>
      <c r="B672"/>
      <c r="C672"/>
      <c r="D672"/>
      <c r="E672"/>
      <c r="X672" s="27" t="s">
        <v>7</v>
      </c>
      <c r="AC672" s="27" t="s">
        <v>8</v>
      </c>
      <c r="AD672" s="27" t="s">
        <v>7</v>
      </c>
      <c r="AG672" s="27" t="s">
        <v>8</v>
      </c>
      <c r="AI672" s="27" t="s">
        <v>8</v>
      </c>
      <c r="AJ672" s="27" t="s">
        <v>7</v>
      </c>
      <c r="AK672" s="27" t="s">
        <v>8</v>
      </c>
      <c r="AL672" s="27" t="s">
        <v>7</v>
      </c>
      <c r="AM672" s="27" t="s">
        <v>8</v>
      </c>
      <c r="AN672" s="27" t="s">
        <v>7</v>
      </c>
      <c r="AO672" s="27" t="s">
        <v>8</v>
      </c>
      <c r="AP672" s="27" t="s">
        <v>7</v>
      </c>
      <c r="AQ672" s="27" t="s">
        <v>8</v>
      </c>
      <c r="AX672" s="27" t="s">
        <v>7</v>
      </c>
      <c r="AY672" s="27" t="s">
        <v>8</v>
      </c>
    </row>
    <row r="673" spans="1:51" x14ac:dyDescent="0.25">
      <c r="A673" s="7">
        <v>0.18213156881997963</v>
      </c>
      <c r="B673"/>
      <c r="C673"/>
      <c r="D673"/>
      <c r="E673"/>
      <c r="X673" s="27" t="s">
        <v>7</v>
      </c>
      <c r="AC673" s="27" t="s">
        <v>8</v>
      </c>
      <c r="AD673" s="27" t="s">
        <v>7</v>
      </c>
      <c r="AE673" s="27" t="s">
        <v>8</v>
      </c>
      <c r="AG673" s="27" t="s">
        <v>8</v>
      </c>
      <c r="AH673" s="27" t="s">
        <v>7</v>
      </c>
      <c r="AI673" s="27" t="s">
        <v>8</v>
      </c>
      <c r="AJ673" s="27" t="s">
        <v>7</v>
      </c>
      <c r="AL673" s="27" t="s">
        <v>7</v>
      </c>
      <c r="AM673" s="27" t="s">
        <v>8</v>
      </c>
      <c r="AN673" s="27" t="s">
        <v>7</v>
      </c>
      <c r="AP673" s="27" t="s">
        <v>7</v>
      </c>
      <c r="AX673" s="27" t="s">
        <v>7</v>
      </c>
      <c r="AY673" s="27" t="s">
        <v>8</v>
      </c>
    </row>
    <row r="674" spans="1:51" x14ac:dyDescent="0.25">
      <c r="A674" s="7">
        <v>0.17856036158821534</v>
      </c>
      <c r="B674"/>
      <c r="C674"/>
      <c r="D674"/>
      <c r="E674"/>
      <c r="X674" s="27" t="s">
        <v>7</v>
      </c>
      <c r="AC674" s="27" t="s">
        <v>8</v>
      </c>
      <c r="AD674" s="27" t="s">
        <v>7</v>
      </c>
      <c r="AE674" s="27" t="s">
        <v>8</v>
      </c>
      <c r="AF674" s="27" t="s">
        <v>7</v>
      </c>
      <c r="AG674" s="27" t="s">
        <v>8</v>
      </c>
      <c r="AH674" s="27" t="s">
        <v>7</v>
      </c>
      <c r="AI674" s="27" t="s">
        <v>8</v>
      </c>
      <c r="AL674" s="27" t="s">
        <v>7</v>
      </c>
      <c r="AM674" s="27" t="s">
        <v>8</v>
      </c>
      <c r="AX674" s="27" t="s">
        <v>7</v>
      </c>
      <c r="AY674" s="27" t="s">
        <v>8</v>
      </c>
    </row>
    <row r="675" spans="1:51" x14ac:dyDescent="0.25">
      <c r="A675" s="7">
        <v>0.17505917802766208</v>
      </c>
      <c r="B675"/>
      <c r="C675"/>
      <c r="D675"/>
      <c r="E675"/>
      <c r="X675" s="27" t="s">
        <v>7</v>
      </c>
      <c r="AC675" s="27" t="s">
        <v>8</v>
      </c>
      <c r="AD675" s="27" t="s">
        <v>7</v>
      </c>
      <c r="AE675" s="27" t="s">
        <v>8</v>
      </c>
      <c r="AF675" s="27" t="s">
        <v>7</v>
      </c>
      <c r="AG675" s="27" t="s">
        <v>8</v>
      </c>
      <c r="AH675" s="27" t="s">
        <v>7</v>
      </c>
      <c r="AI675" s="27" t="s">
        <v>8</v>
      </c>
      <c r="AL675" s="27" t="s">
        <v>7</v>
      </c>
      <c r="AM675" s="27" t="s">
        <v>8</v>
      </c>
      <c r="AX675" s="27" t="s">
        <v>7</v>
      </c>
    </row>
    <row r="676" spans="1:51" x14ac:dyDescent="0.25">
      <c r="A676" s="7">
        <v>0.17162664512515888</v>
      </c>
      <c r="B676"/>
      <c r="C676"/>
      <c r="D676"/>
      <c r="E676"/>
      <c r="X676" s="27" t="s">
        <v>7</v>
      </c>
      <c r="AC676" s="27" t="s">
        <v>8</v>
      </c>
      <c r="AD676" s="27" t="s">
        <v>7</v>
      </c>
      <c r="AE676" s="27" t="s">
        <v>8</v>
      </c>
      <c r="AF676" s="27" t="s">
        <v>7</v>
      </c>
      <c r="AH676" s="27" t="s">
        <v>7</v>
      </c>
      <c r="AI676" s="27" t="s">
        <v>8</v>
      </c>
      <c r="AL676" s="27" t="s">
        <v>7</v>
      </c>
    </row>
    <row r="677" spans="1:51" x14ac:dyDescent="0.25">
      <c r="A677" s="7">
        <v>0.16826141678937145</v>
      </c>
      <c r="B677"/>
      <c r="C677"/>
      <c r="D677"/>
      <c r="E677"/>
      <c r="X677" s="27" t="s">
        <v>7</v>
      </c>
      <c r="AC677" s="27" t="s">
        <v>8</v>
      </c>
      <c r="AD677" s="27" t="s">
        <v>7</v>
      </c>
      <c r="AE677" s="27" t="s">
        <v>8</v>
      </c>
      <c r="AH677" s="27" t="s">
        <v>7</v>
      </c>
      <c r="AI677" s="27" t="s">
        <v>8</v>
      </c>
    </row>
    <row r="678" spans="1:51" x14ac:dyDescent="0.25">
      <c r="A678" s="7">
        <v>0.16496217332291319</v>
      </c>
      <c r="B678"/>
      <c r="C678"/>
      <c r="D678"/>
      <c r="E678"/>
      <c r="X678" s="27" t="s">
        <v>7</v>
      </c>
      <c r="AC678" s="27" t="s">
        <v>8</v>
      </c>
      <c r="AD678" s="27" t="s">
        <v>7</v>
      </c>
      <c r="AE678" s="27" t="s">
        <v>8</v>
      </c>
      <c r="AH678" s="27" t="s">
        <v>7</v>
      </c>
      <c r="AI678" s="27" t="s">
        <v>8</v>
      </c>
    </row>
    <row r="679" spans="1:51" x14ac:dyDescent="0.25">
      <c r="A679" s="7">
        <v>0.16172762090481685</v>
      </c>
      <c r="B679"/>
      <c r="C679"/>
      <c r="D679"/>
      <c r="E679"/>
      <c r="X679" s="27" t="s">
        <v>7</v>
      </c>
      <c r="Y679" s="27" t="s">
        <v>8</v>
      </c>
      <c r="AA679" s="27" t="s">
        <v>8</v>
      </c>
      <c r="AC679" s="27" t="s">
        <v>8</v>
      </c>
      <c r="AD679" s="27" t="s">
        <v>7</v>
      </c>
      <c r="AE679" s="27" t="s">
        <v>8</v>
      </c>
      <c r="AH679" s="27" t="s">
        <v>7</v>
      </c>
    </row>
    <row r="680" spans="1:51" x14ac:dyDescent="0.25">
      <c r="A680" s="7">
        <v>0.15855649108315376</v>
      </c>
      <c r="B680"/>
      <c r="C680"/>
      <c r="D680"/>
      <c r="E680"/>
      <c r="X680" s="27" t="s">
        <v>7</v>
      </c>
      <c r="Y680" s="27" t="s">
        <v>8</v>
      </c>
      <c r="Z680" s="27" t="s">
        <v>7</v>
      </c>
      <c r="AA680" s="27" t="s">
        <v>8</v>
      </c>
      <c r="AB680" s="27" t="s">
        <v>7</v>
      </c>
      <c r="AC680" s="27" t="s">
        <v>8</v>
      </c>
      <c r="AD680" s="27" t="s">
        <v>7</v>
      </c>
      <c r="AE680" s="27" t="s">
        <v>8</v>
      </c>
    </row>
    <row r="681" spans="1:51" x14ac:dyDescent="0.25">
      <c r="A681" s="7">
        <v>0.15544754027760171</v>
      </c>
      <c r="B681"/>
      <c r="C681"/>
      <c r="D681"/>
      <c r="E681"/>
      <c r="X681" s="27" t="s">
        <v>7</v>
      </c>
      <c r="Y681" s="27" t="s">
        <v>8</v>
      </c>
      <c r="Z681" s="27" t="s">
        <v>7</v>
      </c>
      <c r="AA681" s="27" t="s">
        <v>8</v>
      </c>
      <c r="AB681" s="27" t="s">
        <v>7</v>
      </c>
      <c r="AC681" s="27" t="s">
        <v>8</v>
      </c>
      <c r="AD681" s="27" t="s">
        <v>7</v>
      </c>
    </row>
    <row r="682" spans="1:51" x14ac:dyDescent="0.25">
      <c r="A682" s="7">
        <v>0.15239954929176638</v>
      </c>
      <c r="B682"/>
      <c r="C682"/>
      <c r="D682"/>
      <c r="E682"/>
      <c r="X682" s="27" t="s">
        <v>7</v>
      </c>
      <c r="Y682" s="27" t="s">
        <v>8</v>
      </c>
      <c r="Z682" s="27" t="s">
        <v>7</v>
      </c>
      <c r="AA682" s="27" t="s">
        <v>8</v>
      </c>
      <c r="AB682" s="27" t="s">
        <v>7</v>
      </c>
      <c r="AC682" s="27" t="s">
        <v>8</v>
      </c>
    </row>
    <row r="683" spans="1:51" x14ac:dyDescent="0.25">
      <c r="A683" s="7">
        <v>0.14941132283506509</v>
      </c>
      <c r="B683"/>
      <c r="C683"/>
      <c r="D683"/>
      <c r="E683"/>
      <c r="X683" s="27" t="s">
        <v>7</v>
      </c>
      <c r="Y683" s="27" t="s">
        <v>8</v>
      </c>
      <c r="Z683" s="27" t="s">
        <v>7</v>
      </c>
      <c r="AA683" s="27" t="s">
        <v>8</v>
      </c>
      <c r="AB683" s="27" t="s">
        <v>7</v>
      </c>
      <c r="AC683" s="27" t="s">
        <v>8</v>
      </c>
    </row>
    <row r="684" spans="1:51" x14ac:dyDescent="0.25">
      <c r="A684" s="7">
        <v>0.14648168905398537</v>
      </c>
      <c r="B684"/>
      <c r="C684"/>
      <c r="D684"/>
      <c r="E684"/>
      <c r="X684" s="27" t="s">
        <v>7</v>
      </c>
      <c r="Y684" s="27" t="s">
        <v>8</v>
      </c>
      <c r="Z684" s="27" t="s">
        <v>7</v>
      </c>
      <c r="AA684" s="27" t="s">
        <v>8</v>
      </c>
      <c r="AB684" s="27" t="s">
        <v>7</v>
      </c>
      <c r="AC684" s="27" t="s">
        <v>8</v>
      </c>
    </row>
    <row r="685" spans="1:51" x14ac:dyDescent="0.25">
      <c r="A685" s="7">
        <v>0.14360949907253467</v>
      </c>
      <c r="B685"/>
      <c r="C685"/>
      <c r="D685"/>
      <c r="E685"/>
      <c r="X685" s="27" t="s">
        <v>7</v>
      </c>
      <c r="Y685" s="27" t="s">
        <v>8</v>
      </c>
      <c r="Z685" s="27" t="s">
        <v>7</v>
      </c>
      <c r="AA685" s="27" t="s">
        <v>8</v>
      </c>
      <c r="AB685" s="27" t="s">
        <v>7</v>
      </c>
      <c r="AC685" s="27" t="s">
        <v>8</v>
      </c>
    </row>
    <row r="686" spans="1:51" x14ac:dyDescent="0.25">
      <c r="A686" s="7">
        <v>0.14079362654170066</v>
      </c>
      <c r="B686"/>
      <c r="C686"/>
      <c r="D686"/>
      <c r="E686"/>
      <c r="X686" s="27" t="s">
        <v>7</v>
      </c>
      <c r="Y686" s="27" t="s">
        <v>8</v>
      </c>
      <c r="Z686" s="27" t="s">
        <v>7</v>
      </c>
      <c r="AA686" s="27" t="s">
        <v>8</v>
      </c>
      <c r="AB686" s="27" t="s">
        <v>7</v>
      </c>
    </row>
    <row r="687" spans="1:51" x14ac:dyDescent="0.25">
      <c r="A687" s="7">
        <v>0.13803296719774574</v>
      </c>
      <c r="B687"/>
      <c r="C687"/>
      <c r="D687"/>
      <c r="E687"/>
      <c r="X687" s="27" t="s">
        <v>7</v>
      </c>
      <c r="Y687" s="27" t="s">
        <v>8</v>
      </c>
      <c r="Z687" s="27" t="s">
        <v>7</v>
      </c>
      <c r="AA687" s="27" t="s">
        <v>8</v>
      </c>
    </row>
    <row r="688" spans="1:51" x14ac:dyDescent="0.25">
      <c r="A688" s="7">
        <v>0.1353264384291625</v>
      </c>
      <c r="B688"/>
      <c r="C688"/>
      <c r="D688"/>
      <c r="E688"/>
      <c r="X688" s="27" t="s">
        <v>7</v>
      </c>
      <c r="Y688" s="27" t="s">
        <v>8</v>
      </c>
      <c r="Z688" s="27" t="s">
        <v>7</v>
      </c>
      <c r="AA688" s="27" t="s">
        <v>8</v>
      </c>
    </row>
    <row r="689" spans="1:27" x14ac:dyDescent="0.25">
      <c r="A689" s="7">
        <v>0.13267297885212009</v>
      </c>
      <c r="B689"/>
      <c r="C689"/>
      <c r="D689"/>
      <c r="E689"/>
      <c r="X689" s="27" t="s">
        <v>7</v>
      </c>
      <c r="Y689" s="27" t="s">
        <v>8</v>
      </c>
      <c r="Z689" s="27" t="s">
        <v>7</v>
      </c>
      <c r="AA689" s="27" t="s">
        <v>8</v>
      </c>
    </row>
    <row r="690" spans="1:27" x14ac:dyDescent="0.25">
      <c r="A690" s="7">
        <v>0.13007154789423539</v>
      </c>
      <c r="B690"/>
      <c r="C690"/>
      <c r="D690"/>
      <c r="E690"/>
      <c r="X690" s="27" t="s">
        <v>7</v>
      </c>
      <c r="Y690" s="27" t="s">
        <v>8</v>
      </c>
      <c r="Z690" s="27" t="s">
        <v>7</v>
      </c>
      <c r="AA690" s="27" t="s">
        <v>8</v>
      </c>
    </row>
    <row r="691" spans="1:27" x14ac:dyDescent="0.25">
      <c r="A691" s="7">
        <v>0.12752112538650529</v>
      </c>
      <c r="B691"/>
      <c r="C691"/>
      <c r="D691"/>
      <c r="E691"/>
      <c r="X691" s="27" t="s">
        <v>7</v>
      </c>
      <c r="Y691" s="27" t="s">
        <v>8</v>
      </c>
      <c r="Z691" s="27" t="s">
        <v>7</v>
      </c>
    </row>
    <row r="692" spans="1:27" x14ac:dyDescent="0.25">
      <c r="A692" s="7">
        <v>0.12502071116324048</v>
      </c>
      <c r="B692"/>
      <c r="C692"/>
      <c r="D692"/>
      <c r="E692"/>
      <c r="X692" s="27" t="s">
        <v>7</v>
      </c>
      <c r="Y692" s="27" t="s">
        <v>8</v>
      </c>
    </row>
    <row r="693" spans="1:27" x14ac:dyDescent="0.25">
      <c r="A693" s="7">
        <v>0.1225693246698436</v>
      </c>
      <c r="B693"/>
      <c r="C693"/>
      <c r="D693"/>
      <c r="E693"/>
      <c r="X693" s="27" t="s">
        <v>7</v>
      </c>
      <c r="Y693" s="27" t="s">
        <v>8</v>
      </c>
    </row>
    <row r="694" spans="1:27" x14ac:dyDescent="0.25">
      <c r="A694" s="7">
        <v>0.12016600457827803</v>
      </c>
      <c r="B694"/>
      <c r="C694"/>
      <c r="D694"/>
      <c r="E694"/>
      <c r="X694" s="27" t="s">
        <v>7</v>
      </c>
      <c r="Y694" s="27" t="s">
        <v>8</v>
      </c>
    </row>
    <row r="695" spans="1:27" x14ac:dyDescent="0.25">
      <c r="A695" s="7">
        <v>0.1178098084100765</v>
      </c>
      <c r="B695"/>
      <c r="C695"/>
      <c r="D695"/>
      <c r="E695"/>
      <c r="X695" s="27" t="s">
        <v>7</v>
      </c>
      <c r="Y695" s="27" t="s">
        <v>8</v>
      </c>
    </row>
    <row r="696" spans="1:27" x14ac:dyDescent="0.25">
      <c r="A696" s="7">
        <v>0.11549981216674166</v>
      </c>
      <c r="B696"/>
      <c r="C696"/>
      <c r="D696"/>
      <c r="E696"/>
      <c r="X696" s="27" t="s">
        <v>7</v>
      </c>
      <c r="Y696" s="27" t="s">
        <v>8</v>
      </c>
    </row>
    <row r="697" spans="1:27" x14ac:dyDescent="0.25">
      <c r="A697" s="7">
        <v>0.11323510996739378</v>
      </c>
      <c r="B697"/>
      <c r="C697"/>
      <c r="D697"/>
      <c r="E697"/>
      <c r="X697" s="27" t="s">
        <v>7</v>
      </c>
    </row>
    <row r="698" spans="1:27" x14ac:dyDescent="0.25">
      <c r="A698" s="7">
        <v>0.11101481369352331</v>
      </c>
      <c r="B698"/>
      <c r="C698"/>
      <c r="D698"/>
      <c r="E698"/>
    </row>
    <row r="699" spans="1:27" x14ac:dyDescent="0.25">
      <c r="A699" s="7">
        <v>0.10883805264070913</v>
      </c>
      <c r="B699"/>
      <c r="C699"/>
      <c r="D699"/>
      <c r="E699"/>
    </row>
    <row r="700" spans="1:27" x14ac:dyDescent="0.25">
      <c r="A700" s="7">
        <v>0.10670397317716582</v>
      </c>
      <c r="B700"/>
      <c r="C700"/>
      <c r="D700"/>
      <c r="E700"/>
    </row>
    <row r="701" spans="1:27" x14ac:dyDescent="0.25">
      <c r="A701" s="7">
        <v>0.1046117384089861</v>
      </c>
      <c r="B701"/>
      <c r="C701"/>
      <c r="D701"/>
      <c r="E701"/>
    </row>
    <row r="702" spans="1:27" x14ac:dyDescent="0.25">
      <c r="A702" s="7">
        <v>0.10256052785194716</v>
      </c>
      <c r="B702"/>
      <c r="C702"/>
      <c r="D702"/>
      <c r="E702"/>
    </row>
    <row r="703" spans="1:27" x14ac:dyDescent="0.25">
      <c r="A703" s="7">
        <v>0.10054953710975212</v>
      </c>
      <c r="B703"/>
      <c r="C703"/>
      <c r="D703"/>
      <c r="E703"/>
    </row>
    <row r="704" spans="1:27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27" operator="equal">
      <formula>$U$1</formula>
    </cfRule>
    <cfRule type="cellIs" dxfId="89" priority="1128" operator="equal">
      <formula>$S$1</formula>
    </cfRule>
  </conditionalFormatting>
  <conditionalFormatting sqref="D27">
    <cfRule type="cellIs" dxfId="88" priority="1125" operator="equal">
      <formula>$S$1</formula>
    </cfRule>
    <cfRule type="cellIs" dxfId="87" priority="1126" operator="equal">
      <formula>$U$1</formula>
    </cfRule>
  </conditionalFormatting>
  <conditionalFormatting sqref="C164">
    <cfRule type="cellIs" dxfId="86" priority="1123" operator="equal">
      <formula>$U$1</formula>
    </cfRule>
    <cfRule type="cellIs" dxfId="85" priority="1124" operator="equal">
      <formula>$S$1</formula>
    </cfRule>
  </conditionalFormatting>
  <conditionalFormatting sqref="D164">
    <cfRule type="cellIs" dxfId="84" priority="1121" operator="equal">
      <formula>$S$1</formula>
    </cfRule>
    <cfRule type="cellIs" dxfId="83" priority="1122" operator="equal">
      <formula>$U$1</formula>
    </cfRule>
  </conditionalFormatting>
  <conditionalFormatting sqref="C55">
    <cfRule type="cellIs" dxfId="82" priority="1119" operator="equal">
      <formula>$U$1</formula>
    </cfRule>
    <cfRule type="cellIs" dxfId="81" priority="1120" operator="equal">
      <formula>$S$1</formula>
    </cfRule>
  </conditionalFormatting>
  <conditionalFormatting sqref="D55">
    <cfRule type="cellIs" dxfId="80" priority="1117" operator="equal">
      <formula>$S$1</formula>
    </cfRule>
    <cfRule type="cellIs" dxfId="79" priority="1118" operator="equal">
      <formula>$U$1</formula>
    </cfRule>
  </conditionalFormatting>
  <conditionalFormatting sqref="C89">
    <cfRule type="cellIs" dxfId="78" priority="1115" operator="equal">
      <formula>$U$1</formula>
    </cfRule>
    <cfRule type="cellIs" dxfId="77" priority="1116" operator="equal">
      <formula>$S$1</formula>
    </cfRule>
  </conditionalFormatting>
  <conditionalFormatting sqref="D89">
    <cfRule type="cellIs" dxfId="76" priority="1113" operator="equal">
      <formula>$S$1</formula>
    </cfRule>
    <cfRule type="cellIs" dxfId="75" priority="1114" operator="equal">
      <formula>$U$1</formula>
    </cfRule>
  </conditionalFormatting>
  <conditionalFormatting sqref="C136">
    <cfRule type="cellIs" dxfId="74" priority="1111" operator="equal">
      <formula>$U$1</formula>
    </cfRule>
    <cfRule type="cellIs" dxfId="73" priority="1112" operator="equal">
      <formula>$S$1</formula>
    </cfRule>
  </conditionalFormatting>
  <conditionalFormatting sqref="D136">
    <cfRule type="cellIs" dxfId="72" priority="1109" operator="equal">
      <formula>$S$1</formula>
    </cfRule>
    <cfRule type="cellIs" dxfId="71" priority="1110" operator="equal">
      <formula>$U$1</formula>
    </cfRule>
  </conditionalFormatting>
  <conditionalFormatting sqref="C1">
    <cfRule type="cellIs" dxfId="70" priority="110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9" zoomScale="90" zoomScaleNormal="90" workbookViewId="0">
      <pane xSplit="4" topLeftCell="BN1" activePane="topRight" state="frozen"/>
      <selection activeCell="A109" sqref="A109"/>
      <selection pane="topRight" activeCell="DR224" sqref="DR22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$A$223</v>
      </c>
      <c r="D111" s="1" t="str">
        <f>ADDRESS(C121-1,D121,1,1)</f>
        <v>$DR$223</v>
      </c>
      <c r="E111"/>
    </row>
    <row r="112" spans="1:5" x14ac:dyDescent="0.25">
      <c r="A112" s="30">
        <v>515.50191262726139</v>
      </c>
      <c r="C112" s="1" t="str">
        <f>ADDRESS(C121,1,1,1)</f>
        <v>$A$224</v>
      </c>
      <c r="D112" s="1" t="str">
        <f>ADDRESS(C121,D121-1,1,1)</f>
        <v>$DQ$224</v>
      </c>
      <c r="E112"/>
    </row>
    <row r="113" spans="1:5" x14ac:dyDescent="0.25">
      <c r="A113" s="30">
        <v>490.95420250215363</v>
      </c>
      <c r="C113" s="1" t="str">
        <f>ADDRESS(C121+1,1,1,1)</f>
        <v>$A$225</v>
      </c>
      <c r="D113" s="1" t="str">
        <f>ADDRESS(C121-1,D121+1,1,1)</f>
        <v>$DS$223</v>
      </c>
    </row>
    <row r="114" spans="1:5" x14ac:dyDescent="0.25">
      <c r="A114" s="30">
        <v>467.57543095443202</v>
      </c>
      <c r="C114" s="1" t="str">
        <f>ADDRESS(C121,D121,1,1)</f>
        <v>$DR$224</v>
      </c>
      <c r="D114" s="1" t="str">
        <f>ADDRESS(C121+1,D121+1,1,1)</f>
        <v>$DS$225</v>
      </c>
    </row>
    <row r="115" spans="1:5" x14ac:dyDescent="0.25">
      <c r="A115" s="30">
        <v>445.30993424231622</v>
      </c>
      <c r="C115" s="1" t="str">
        <f>ADDRESS(C121+1,D121,1,1)</f>
        <v>$DR$225</v>
      </c>
    </row>
    <row r="116" spans="1:5" x14ac:dyDescent="0.25">
      <c r="A116" s="30">
        <v>424.10469927839637</v>
      </c>
      <c r="C116" s="1">
        <f>C117-1</f>
        <v>223</v>
      </c>
    </row>
    <row r="117" spans="1:5" x14ac:dyDescent="0.25">
      <c r="A117" s="30">
        <v>403.9092374079965</v>
      </c>
      <c r="C117" s="1">
        <f>C121</f>
        <v>224</v>
      </c>
      <c r="D117" s="1">
        <f>D121</f>
        <v>122</v>
      </c>
    </row>
    <row r="118" spans="1:5" x14ac:dyDescent="0.25">
      <c r="A118" s="30">
        <v>384.6754641980919</v>
      </c>
      <c r="C118" s="1">
        <f>C117+1</f>
        <v>225</v>
      </c>
      <c r="D118" s="1">
        <f>D117+1</f>
        <v>123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224</v>
      </c>
      <c r="D121" s="19">
        <v>122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R224</v>
      </c>
      <c r="D123" s="1" t="str">
        <f>"C"&amp;D121</f>
        <v>C122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2.1828745883819374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18" x14ac:dyDescent="0.25">
      <c r="A193" s="30">
        <v>9.9059710923258422</v>
      </c>
      <c r="E193"/>
    </row>
    <row r="194" spans="1:118" x14ac:dyDescent="0.25">
      <c r="A194" s="30">
        <v>9.4342581831674686</v>
      </c>
      <c r="E194"/>
    </row>
    <row r="195" spans="1:118" x14ac:dyDescent="0.25">
      <c r="A195" s="30">
        <v>8.9850077934928265</v>
      </c>
      <c r="E195"/>
      <c r="CM195" s="27" t="s">
        <v>8</v>
      </c>
    </row>
    <row r="196" spans="1:118" x14ac:dyDescent="0.25">
      <c r="A196" s="30">
        <v>8.5571502795169767</v>
      </c>
      <c r="E196"/>
      <c r="CM196" s="27" t="s">
        <v>8</v>
      </c>
      <c r="CN196" s="27" t="s">
        <v>7</v>
      </c>
      <c r="CO196" s="27" t="s">
        <v>8</v>
      </c>
    </row>
    <row r="197" spans="1:118" x14ac:dyDescent="0.25">
      <c r="A197" s="30">
        <v>8.1496669328733109</v>
      </c>
      <c r="E197"/>
      <c r="CM197" s="27" t="s">
        <v>8</v>
      </c>
      <c r="CN197" s="27" t="s">
        <v>7</v>
      </c>
      <c r="CO197" s="27" t="s">
        <v>8</v>
      </c>
      <c r="CP197" s="27" t="s">
        <v>7</v>
      </c>
      <c r="CQ197" s="34" t="s">
        <v>8</v>
      </c>
      <c r="CS197" s="34" t="s">
        <v>8</v>
      </c>
    </row>
    <row r="198" spans="1:118" x14ac:dyDescent="0.25">
      <c r="A198" s="30">
        <v>7.7615875551174378</v>
      </c>
      <c r="E198"/>
      <c r="CM198" s="27" t="s">
        <v>8</v>
      </c>
      <c r="CN198" s="27" t="s">
        <v>7</v>
      </c>
      <c r="CO198" s="27" t="s">
        <v>8</v>
      </c>
      <c r="CP198" s="27" t="s">
        <v>7</v>
      </c>
      <c r="CQ198" s="27" t="s">
        <v>8</v>
      </c>
      <c r="CR198" s="27" t="s">
        <v>7</v>
      </c>
      <c r="CS198" s="27" t="s">
        <v>8</v>
      </c>
      <c r="CT198" s="27" t="s">
        <v>7</v>
      </c>
      <c r="CU198" s="31" t="s">
        <v>8</v>
      </c>
    </row>
    <row r="199" spans="1:118" x14ac:dyDescent="0.25">
      <c r="A199" s="30">
        <v>7.3919881477308929</v>
      </c>
      <c r="E199"/>
      <c r="CM199" s="27" t="s">
        <v>8</v>
      </c>
      <c r="CN199" s="27" t="s">
        <v>7</v>
      </c>
      <c r="CP199" s="27" t="s">
        <v>7</v>
      </c>
      <c r="CQ199" s="27" t="s">
        <v>8</v>
      </c>
      <c r="CR199" s="27" t="s">
        <v>7</v>
      </c>
      <c r="CS199" s="27" t="s">
        <v>8</v>
      </c>
      <c r="CT199" s="27" t="s">
        <v>7</v>
      </c>
      <c r="CU199" s="27" t="s">
        <v>8</v>
      </c>
      <c r="CV199" s="31" t="s">
        <v>7</v>
      </c>
    </row>
    <row r="200" spans="1:118" x14ac:dyDescent="0.25">
      <c r="A200" s="30">
        <v>7.0399887121246598</v>
      </c>
      <c r="E200"/>
      <c r="CM200" s="27" t="s">
        <v>8</v>
      </c>
      <c r="CP200" s="33" t="s">
        <v>7</v>
      </c>
      <c r="CQ200" s="27" t="s">
        <v>8</v>
      </c>
      <c r="CR200" s="27" t="s">
        <v>7</v>
      </c>
      <c r="CS200" s="27" t="s">
        <v>8</v>
      </c>
      <c r="CT200" s="27" t="s">
        <v>7</v>
      </c>
      <c r="CU200" s="27" t="s">
        <v>8</v>
      </c>
      <c r="CV200" s="27" t="s">
        <v>7</v>
      </c>
      <c r="CW200" s="31"/>
    </row>
    <row r="201" spans="1:118" x14ac:dyDescent="0.25">
      <c r="A201" s="30">
        <v>6.7047511544044376</v>
      </c>
      <c r="E201"/>
      <c r="CI201" s="27" t="s">
        <v>8</v>
      </c>
      <c r="CM201" s="32" t="s">
        <v>8</v>
      </c>
      <c r="CP201" s="27" t="s">
        <v>7</v>
      </c>
      <c r="CR201" s="27" t="s">
        <v>7</v>
      </c>
      <c r="CS201" s="27" t="s">
        <v>8</v>
      </c>
      <c r="CT201" s="27" t="s">
        <v>7</v>
      </c>
      <c r="CV201" s="27" t="s">
        <v>7</v>
      </c>
      <c r="CX201" s="31"/>
    </row>
    <row r="202" spans="1:118" x14ac:dyDescent="0.25">
      <c r="A202" s="30">
        <v>6.3854772899089882</v>
      </c>
      <c r="E202"/>
      <c r="CI202" s="27" t="s">
        <v>8</v>
      </c>
      <c r="CJ202" s="27" t="s">
        <v>7</v>
      </c>
      <c r="CK202" s="27" t="s">
        <v>8</v>
      </c>
      <c r="CM202" s="27" t="s">
        <v>8</v>
      </c>
      <c r="CR202" s="27" t="s">
        <v>7</v>
      </c>
      <c r="CS202" s="27" t="s">
        <v>8</v>
      </c>
      <c r="CV202" s="27" t="s">
        <v>7</v>
      </c>
      <c r="CY202" s="31"/>
    </row>
    <row r="203" spans="1:118" x14ac:dyDescent="0.25">
      <c r="A203" s="30">
        <v>6.0814069427704647</v>
      </c>
      <c r="C203" s="7"/>
      <c r="D203"/>
      <c r="E203"/>
      <c r="CG203" s="27" t="s">
        <v>8</v>
      </c>
      <c r="CI203" s="27" t="s">
        <v>8</v>
      </c>
      <c r="CJ203" s="27" t="s">
        <v>7</v>
      </c>
      <c r="CK203" s="27" t="s">
        <v>8</v>
      </c>
      <c r="CL203" s="27" t="s">
        <v>7</v>
      </c>
      <c r="CM203" s="27" t="s">
        <v>8</v>
      </c>
      <c r="CR203" s="27" t="s">
        <v>7</v>
      </c>
      <c r="CS203" s="27" t="s">
        <v>8</v>
      </c>
      <c r="CV203" s="27" t="s">
        <v>7</v>
      </c>
      <c r="CZ203" s="31"/>
    </row>
    <row r="204" spans="1:118" x14ac:dyDescent="0.25">
      <c r="A204" s="30">
        <v>5.7918161359718709</v>
      </c>
      <c r="E204"/>
      <c r="CG204" s="27" t="s">
        <v>8</v>
      </c>
      <c r="CH204" s="27" t="s">
        <v>7</v>
      </c>
      <c r="CI204" s="27" t="s">
        <v>8</v>
      </c>
      <c r="CJ204" s="27" t="s">
        <v>7</v>
      </c>
      <c r="CK204" s="27" t="s">
        <v>8</v>
      </c>
      <c r="CL204" s="27" t="s">
        <v>7</v>
      </c>
      <c r="CM204" s="27" t="s">
        <v>8</v>
      </c>
      <c r="CR204" s="27" t="s">
        <v>7</v>
      </c>
      <c r="CS204" s="27" t="s">
        <v>8</v>
      </c>
      <c r="CV204" s="27" t="s">
        <v>7</v>
      </c>
      <c r="DA204" s="31"/>
    </row>
    <row r="205" spans="1:118" x14ac:dyDescent="0.25">
      <c r="A205" s="30">
        <v>5.5160153675922574</v>
      </c>
      <c r="E205"/>
      <c r="CG205" s="27" t="s">
        <v>8</v>
      </c>
      <c r="CH205" s="27" t="s">
        <v>7</v>
      </c>
      <c r="CI205" s="27" t="s">
        <v>8</v>
      </c>
      <c r="CJ205" s="27" t="s">
        <v>7</v>
      </c>
      <c r="CK205" s="27" t="s">
        <v>8</v>
      </c>
      <c r="CL205" s="27" t="s">
        <v>7</v>
      </c>
      <c r="CM205" s="27" t="s">
        <v>8</v>
      </c>
      <c r="CR205" s="27" t="s">
        <v>7</v>
      </c>
      <c r="CV205" s="27" t="s">
        <v>7</v>
      </c>
      <c r="CW205" s="27" t="s">
        <v>8</v>
      </c>
      <c r="DB205" s="31"/>
    </row>
    <row r="206" spans="1:118" x14ac:dyDescent="0.25">
      <c r="A206" s="30">
        <v>5.2533479691354827</v>
      </c>
      <c r="C206"/>
      <c r="D206"/>
      <c r="E206"/>
      <c r="CG206" s="27" t="s">
        <v>8</v>
      </c>
      <c r="CH206" s="27" t="s">
        <v>7</v>
      </c>
      <c r="CI206" s="27" t="s">
        <v>8</v>
      </c>
      <c r="CJ206" s="27" t="s">
        <v>7</v>
      </c>
      <c r="CK206" s="27" t="s">
        <v>8</v>
      </c>
      <c r="CL206" s="27" t="s">
        <v>7</v>
      </c>
      <c r="CM206" s="27" t="s">
        <v>8</v>
      </c>
      <c r="CV206" s="27" t="s">
        <v>7</v>
      </c>
      <c r="CW206" s="27" t="s">
        <v>8</v>
      </c>
      <c r="CX206" s="27" t="s">
        <v>7</v>
      </c>
      <c r="CY206" s="27" t="s">
        <v>8</v>
      </c>
      <c r="DC206" s="31"/>
    </row>
    <row r="207" spans="1:118" x14ac:dyDescent="0.25">
      <c r="A207" s="30">
        <v>5.0031885420337927</v>
      </c>
      <c r="E207"/>
      <c r="CG207" s="27" t="s">
        <v>8</v>
      </c>
      <c r="CH207" s="34" t="s">
        <v>7</v>
      </c>
      <c r="CJ207" s="34" t="s">
        <v>7</v>
      </c>
      <c r="CL207" s="27" t="s">
        <v>7</v>
      </c>
      <c r="CM207" s="27" t="s">
        <v>8</v>
      </c>
      <c r="CV207" s="27" t="s">
        <v>7</v>
      </c>
      <c r="CW207" s="27" t="s">
        <v>8</v>
      </c>
      <c r="CX207" s="27" t="s">
        <v>7</v>
      </c>
      <c r="CY207" s="27" t="s">
        <v>8</v>
      </c>
      <c r="CZ207" s="27" t="s">
        <v>7</v>
      </c>
      <c r="DD207" s="31"/>
      <c r="DM207" s="27" t="s">
        <v>8</v>
      </c>
    </row>
    <row r="208" spans="1:118" x14ac:dyDescent="0.25">
      <c r="A208" s="30">
        <v>4.7649414686036122</v>
      </c>
      <c r="E208"/>
      <c r="CG208" s="27" t="s">
        <v>8</v>
      </c>
      <c r="CL208" s="33" t="s">
        <v>7</v>
      </c>
      <c r="CM208" s="27" t="s">
        <v>8</v>
      </c>
      <c r="CV208" s="27" t="s">
        <v>7</v>
      </c>
      <c r="CW208" s="27" t="s">
        <v>8</v>
      </c>
      <c r="CX208" s="27" t="s">
        <v>7</v>
      </c>
      <c r="CY208" s="27" t="s">
        <v>8</v>
      </c>
      <c r="CZ208" s="27" t="s">
        <v>7</v>
      </c>
      <c r="DA208" s="27" t="s">
        <v>8</v>
      </c>
      <c r="DE208" s="31"/>
      <c r="DG208" s="27" t="s">
        <v>8</v>
      </c>
      <c r="DI208" s="27" t="s">
        <v>8</v>
      </c>
      <c r="DM208" s="27" t="s">
        <v>8</v>
      </c>
      <c r="DN208" s="27" t="s">
        <v>7</v>
      </c>
    </row>
    <row r="209" spans="1:122" x14ac:dyDescent="0.25">
      <c r="A209" s="30">
        <v>4.5380394939082018</v>
      </c>
      <c r="E209"/>
      <c r="CG209" s="27" t="s">
        <v>8</v>
      </c>
      <c r="CL209" s="27" t="s">
        <v>7</v>
      </c>
      <c r="CV209" s="27" t="s">
        <v>7</v>
      </c>
      <c r="CW209" s="27" t="s">
        <v>8</v>
      </c>
      <c r="CX209" s="27" t="s">
        <v>7</v>
      </c>
      <c r="CY209" s="27" t="s">
        <v>8</v>
      </c>
      <c r="CZ209" s="27" t="s">
        <v>7</v>
      </c>
      <c r="DA209" s="27" t="s">
        <v>8</v>
      </c>
      <c r="DB209" s="27" t="s">
        <v>7</v>
      </c>
      <c r="DF209" s="31"/>
      <c r="DG209" s="27" t="s">
        <v>8</v>
      </c>
      <c r="DH209" s="27" t="s">
        <v>7</v>
      </c>
      <c r="DI209" s="27" t="s">
        <v>8</v>
      </c>
      <c r="DJ209" s="27" t="s">
        <v>7</v>
      </c>
      <c r="DM209" s="27" t="s">
        <v>8</v>
      </c>
      <c r="DN209" s="27" t="s">
        <v>7</v>
      </c>
    </row>
    <row r="210" spans="1:122" x14ac:dyDescent="0.25">
      <c r="A210" s="30">
        <v>4.3219423751506678</v>
      </c>
      <c r="C210"/>
      <c r="E210"/>
      <c r="CG210" s="27" t="s">
        <v>8</v>
      </c>
      <c r="CV210" s="27" t="s">
        <v>7</v>
      </c>
      <c r="CW210" s="27" t="s">
        <v>8</v>
      </c>
      <c r="CX210" s="27" t="s">
        <v>7</v>
      </c>
      <c r="CY210" s="27" t="s">
        <v>8</v>
      </c>
      <c r="CZ210" s="27" t="s">
        <v>7</v>
      </c>
      <c r="DA210" s="27" t="s">
        <v>8</v>
      </c>
      <c r="DB210" s="27" t="s">
        <v>7</v>
      </c>
      <c r="DC210" s="27" t="s">
        <v>8</v>
      </c>
      <c r="DG210" s="31" t="s">
        <v>8</v>
      </c>
      <c r="DH210" s="27" t="s">
        <v>7</v>
      </c>
      <c r="DI210" s="27" t="s">
        <v>8</v>
      </c>
      <c r="DJ210" s="27" t="s">
        <v>7</v>
      </c>
      <c r="DK210" s="27" t="s">
        <v>8</v>
      </c>
      <c r="DM210" s="27" t="s">
        <v>8</v>
      </c>
      <c r="DN210" s="27" t="s">
        <v>7</v>
      </c>
    </row>
    <row r="211" spans="1:122" x14ac:dyDescent="0.25">
      <c r="A211" s="30">
        <v>4.1161355953815884</v>
      </c>
      <c r="E211"/>
      <c r="CG211" s="27" t="s">
        <v>8</v>
      </c>
      <c r="CV211" s="27" t="s">
        <v>7</v>
      </c>
      <c r="CW211" s="27" t="s">
        <v>8</v>
      </c>
      <c r="CX211" s="27" t="s">
        <v>7</v>
      </c>
      <c r="CY211" s="27" t="s">
        <v>8</v>
      </c>
      <c r="CZ211" s="27" t="s">
        <v>7</v>
      </c>
      <c r="DA211" s="27" t="s">
        <v>8</v>
      </c>
      <c r="DB211" s="27" t="s">
        <v>7</v>
      </c>
      <c r="DC211" s="27" t="s">
        <v>8</v>
      </c>
      <c r="DD211" s="27" t="s">
        <v>7</v>
      </c>
      <c r="DG211" s="27" t="s">
        <v>8</v>
      </c>
      <c r="DH211" s="31" t="s">
        <v>7</v>
      </c>
      <c r="DI211" s="27" t="s">
        <v>8</v>
      </c>
      <c r="DJ211" s="27" t="s">
        <v>7</v>
      </c>
      <c r="DK211" s="27" t="s">
        <v>8</v>
      </c>
      <c r="DL211" s="27" t="s">
        <v>7</v>
      </c>
      <c r="DM211" s="27" t="s">
        <v>8</v>
      </c>
      <c r="DN211" s="27" t="s">
        <v>7</v>
      </c>
    </row>
    <row r="212" spans="1:122" x14ac:dyDescent="0.25">
      <c r="A212" s="30">
        <v>3.9201291384586554</v>
      </c>
      <c r="E212"/>
      <c r="CG212" s="27" t="s">
        <v>8</v>
      </c>
      <c r="CV212" s="27" t="s">
        <v>7</v>
      </c>
      <c r="CW212" s="27" t="s">
        <v>8</v>
      </c>
      <c r="CX212" s="27" t="s">
        <v>7</v>
      </c>
      <c r="CY212" s="27" t="s">
        <v>8</v>
      </c>
      <c r="CZ212" s="27" t="s">
        <v>7</v>
      </c>
      <c r="DB212" s="27" t="s">
        <v>7</v>
      </c>
      <c r="DC212" s="31" t="s">
        <v>8</v>
      </c>
      <c r="DD212" s="27" t="s">
        <v>7</v>
      </c>
      <c r="DG212" s="27" t="s">
        <v>8</v>
      </c>
      <c r="DH212" s="27" t="s">
        <v>7</v>
      </c>
      <c r="DI212" s="31"/>
      <c r="DJ212" s="27" t="s">
        <v>7</v>
      </c>
      <c r="DK212" s="27" t="s">
        <v>8</v>
      </c>
      <c r="DL212" s="27" t="s">
        <v>7</v>
      </c>
      <c r="DM212" s="27" t="s">
        <v>8</v>
      </c>
      <c r="DN212" s="27" t="s">
        <v>7</v>
      </c>
    </row>
    <row r="213" spans="1:122" x14ac:dyDescent="0.25">
      <c r="A213" s="30">
        <v>3.7334563223415764</v>
      </c>
      <c r="E213"/>
      <c r="CE213" s="27" t="s">
        <v>8</v>
      </c>
      <c r="CG213" s="27" t="s">
        <v>8</v>
      </c>
      <c r="CV213" s="27" t="s">
        <v>7</v>
      </c>
      <c r="CX213" s="27" t="s">
        <v>7</v>
      </c>
      <c r="CY213" s="27" t="s">
        <v>8</v>
      </c>
      <c r="DB213" s="31" t="s">
        <v>7</v>
      </c>
      <c r="DD213" s="27" t="s">
        <v>7</v>
      </c>
      <c r="DG213" s="27" t="s">
        <v>8</v>
      </c>
      <c r="DJ213" s="27" t="s">
        <v>7</v>
      </c>
      <c r="DL213" s="27" t="s">
        <v>7</v>
      </c>
      <c r="DM213" s="27" t="s">
        <v>8</v>
      </c>
      <c r="DN213" s="27" t="s">
        <v>7</v>
      </c>
      <c r="DQ213" s="27" t="s">
        <v>8</v>
      </c>
    </row>
    <row r="214" spans="1:122" x14ac:dyDescent="0.25">
      <c r="A214" s="30">
        <v>3.5556726879443583</v>
      </c>
      <c r="E214"/>
      <c r="CE214" s="27" t="s">
        <v>8</v>
      </c>
      <c r="CF214" s="27" t="s">
        <v>7</v>
      </c>
      <c r="CG214" s="27" t="s">
        <v>8</v>
      </c>
      <c r="CX214" s="27" t="s">
        <v>7</v>
      </c>
      <c r="CY214" s="27" t="s">
        <v>8</v>
      </c>
      <c r="DA214" s="31"/>
      <c r="DD214" s="27" t="s">
        <v>7</v>
      </c>
      <c r="DG214" s="32" t="s">
        <v>8</v>
      </c>
      <c r="DL214" s="27" t="s">
        <v>7</v>
      </c>
      <c r="DM214" s="27" t="s">
        <v>8</v>
      </c>
      <c r="DN214" s="27" t="s">
        <v>7</v>
      </c>
      <c r="DO214" s="27" t="s">
        <v>8</v>
      </c>
      <c r="DQ214" s="27" t="s">
        <v>8</v>
      </c>
      <c r="DR214" s="27" t="s">
        <v>7</v>
      </c>
    </row>
    <row r="215" spans="1:122" x14ac:dyDescent="0.25">
      <c r="A215" s="30">
        <v>3.3863549408993889</v>
      </c>
      <c r="E215"/>
      <c r="CE215" s="27" t="s">
        <v>8</v>
      </c>
      <c r="CF215" s="27" t="s">
        <v>7</v>
      </c>
      <c r="CG215" s="27" t="s">
        <v>8</v>
      </c>
      <c r="CX215" s="27" t="s">
        <v>7</v>
      </c>
      <c r="CY215" s="27" t="s">
        <v>8</v>
      </c>
      <c r="CZ215" s="31"/>
      <c r="DD215" s="27" t="s">
        <v>7</v>
      </c>
      <c r="DE215" s="27" t="s">
        <v>8</v>
      </c>
      <c r="DG215" s="27" t="s">
        <v>8</v>
      </c>
      <c r="DL215" s="31" t="s">
        <v>7</v>
      </c>
      <c r="DM215" s="27" t="s">
        <v>8</v>
      </c>
      <c r="DN215" s="27" t="s">
        <v>7</v>
      </c>
      <c r="DO215" s="27" t="s">
        <v>8</v>
      </c>
      <c r="DP215" s="27" t="s">
        <v>7</v>
      </c>
      <c r="DQ215" s="27" t="s">
        <v>8</v>
      </c>
      <c r="DR215" s="27" t="s">
        <v>7</v>
      </c>
    </row>
    <row r="216" spans="1:122" x14ac:dyDescent="0.25">
      <c r="A216" s="30">
        <v>3.2250999437137038</v>
      </c>
      <c r="E216"/>
      <c r="CE216" s="27" t="s">
        <v>8</v>
      </c>
      <c r="CF216" s="27" t="s">
        <v>7</v>
      </c>
      <c r="CG216" s="27" t="s">
        <v>8</v>
      </c>
      <c r="CX216" s="27" t="s">
        <v>7</v>
      </c>
      <c r="CY216" s="31" t="s">
        <v>8</v>
      </c>
      <c r="DD216" s="27" t="s">
        <v>7</v>
      </c>
      <c r="DE216" s="27" t="s">
        <v>8</v>
      </c>
      <c r="DF216" s="27" t="s">
        <v>7</v>
      </c>
      <c r="DG216" s="27" t="s">
        <v>8</v>
      </c>
      <c r="DK216" s="31"/>
      <c r="DL216" s="27" t="s">
        <v>7</v>
      </c>
      <c r="DN216" s="27" t="s">
        <v>7</v>
      </c>
      <c r="DO216" s="27" t="s">
        <v>8</v>
      </c>
      <c r="DP216" s="27" t="s">
        <v>7</v>
      </c>
      <c r="DQ216" s="27" t="s">
        <v>8</v>
      </c>
      <c r="DR216" s="27" t="s">
        <v>7</v>
      </c>
    </row>
    <row r="217" spans="1:122" x14ac:dyDescent="0.25">
      <c r="A217" s="30">
        <v>3.0715237559178128</v>
      </c>
      <c r="E217"/>
      <c r="CE217" s="27" t="s">
        <v>8</v>
      </c>
      <c r="CF217" s="27" t="s">
        <v>7</v>
      </c>
      <c r="CG217" s="27" t="s">
        <v>8</v>
      </c>
      <c r="CX217" s="31" t="s">
        <v>7</v>
      </c>
      <c r="DD217" s="27" t="s">
        <v>7</v>
      </c>
      <c r="DE217" s="27" t="s">
        <v>8</v>
      </c>
      <c r="DF217" s="27" t="s">
        <v>7</v>
      </c>
      <c r="DG217" s="27" t="s">
        <v>8</v>
      </c>
      <c r="DJ217" s="31"/>
      <c r="DN217" s="27" t="s">
        <v>7</v>
      </c>
      <c r="DO217" s="27" t="s">
        <v>8</v>
      </c>
      <c r="DP217" s="27" t="s">
        <v>7</v>
      </c>
      <c r="DR217" s="27" t="s">
        <v>7</v>
      </c>
    </row>
    <row r="218" spans="1:122" x14ac:dyDescent="0.25">
      <c r="A218" s="30">
        <v>2.9252607199217264</v>
      </c>
      <c r="E218"/>
      <c r="CE218" s="27" t="s">
        <v>8</v>
      </c>
      <c r="CF218" s="27" t="s">
        <v>7</v>
      </c>
      <c r="CW218" s="31"/>
      <c r="DD218" s="27" t="s">
        <v>7</v>
      </c>
      <c r="DE218" s="27" t="s">
        <v>8</v>
      </c>
      <c r="DF218" s="27" t="s">
        <v>7</v>
      </c>
      <c r="DG218" s="27" t="s">
        <v>8</v>
      </c>
      <c r="DI218" s="31"/>
      <c r="DN218" s="27" t="s">
        <v>7</v>
      </c>
      <c r="DR218" s="27" t="s">
        <v>7</v>
      </c>
    </row>
    <row r="219" spans="1:122" x14ac:dyDescent="0.25">
      <c r="A219" s="30">
        <v>2.7859625904016441</v>
      </c>
      <c r="E219"/>
      <c r="AS219" s="27" t="s">
        <v>8</v>
      </c>
      <c r="CE219" s="27" t="s">
        <v>8</v>
      </c>
      <c r="CV219" s="31"/>
      <c r="DD219" s="27" t="s">
        <v>7</v>
      </c>
      <c r="DF219" s="18" t="s">
        <v>7</v>
      </c>
      <c r="DG219" s="27" t="s">
        <v>8</v>
      </c>
      <c r="DH219" s="31"/>
      <c r="DR219" s="27" t="s">
        <v>7</v>
      </c>
    </row>
    <row r="220" spans="1:122" x14ac:dyDescent="0.25">
      <c r="A220" s="30">
        <v>2.6532977051444226</v>
      </c>
      <c r="E220"/>
      <c r="AQ220" s="27" t="s">
        <v>8</v>
      </c>
      <c r="AS220" s="27" t="s">
        <v>8</v>
      </c>
      <c r="AT220" s="27" t="s">
        <v>7</v>
      </c>
      <c r="CC220" s="27" t="s">
        <v>8</v>
      </c>
      <c r="CE220" s="27" t="s">
        <v>8</v>
      </c>
      <c r="CU220" s="31"/>
      <c r="DF220" s="27" t="s">
        <v>7</v>
      </c>
      <c r="DG220" s="31" t="s">
        <v>8</v>
      </c>
      <c r="DR220" s="27" t="s">
        <v>7</v>
      </c>
    </row>
    <row r="221" spans="1:122" x14ac:dyDescent="0.25">
      <c r="A221" s="30">
        <v>2.5269501953756404</v>
      </c>
      <c r="E221"/>
      <c r="AQ221" s="27" t="s">
        <v>8</v>
      </c>
      <c r="AR221" s="27" t="s">
        <v>7</v>
      </c>
      <c r="AS221" s="27" t="s">
        <v>8</v>
      </c>
      <c r="AT221" s="27" t="s">
        <v>7</v>
      </c>
      <c r="AU221" s="27" t="s">
        <v>8</v>
      </c>
      <c r="CC221" s="27" t="s">
        <v>8</v>
      </c>
      <c r="CD221" s="27" t="s">
        <v>7</v>
      </c>
      <c r="CE221" s="27" t="s">
        <v>8</v>
      </c>
      <c r="CT221" s="31"/>
      <c r="DF221" s="31" t="s">
        <v>7</v>
      </c>
      <c r="DR221" s="27" t="s">
        <v>7</v>
      </c>
    </row>
    <row r="222" spans="1:122" x14ac:dyDescent="0.25">
      <c r="A222" s="30">
        <v>2.4066192336910861</v>
      </c>
      <c r="E222"/>
      <c r="AQ222" s="27" t="s">
        <v>8</v>
      </c>
      <c r="AR222" s="27" t="s">
        <v>7</v>
      </c>
      <c r="AS222" s="27" t="s">
        <v>8</v>
      </c>
      <c r="AT222" s="27" t="s">
        <v>7</v>
      </c>
      <c r="AU222" s="27" t="s">
        <v>8</v>
      </c>
      <c r="AV222" s="27" t="s">
        <v>7</v>
      </c>
      <c r="AW222" s="27" t="s">
        <v>8</v>
      </c>
      <c r="CC222" s="27" t="s">
        <v>8</v>
      </c>
      <c r="CD222" s="27" t="s">
        <v>7</v>
      </c>
      <c r="CE222" s="27" t="s">
        <v>8</v>
      </c>
      <c r="CS222" s="31"/>
      <c r="DR222" s="27" t="s">
        <v>7</v>
      </c>
    </row>
    <row r="223" spans="1:122" x14ac:dyDescent="0.25">
      <c r="A223" s="30">
        <v>2.2920183178010345</v>
      </c>
      <c r="E223"/>
      <c r="AQ223" s="27" t="s">
        <v>8</v>
      </c>
      <c r="AR223" s="27" t="s">
        <v>7</v>
      </c>
      <c r="AT223" s="27" t="s">
        <v>7</v>
      </c>
      <c r="AU223" s="27" t="s">
        <v>8</v>
      </c>
      <c r="AV223" s="27" t="s">
        <v>7</v>
      </c>
      <c r="AW223" s="27" t="s">
        <v>8</v>
      </c>
      <c r="AX223" s="27" t="s">
        <v>7</v>
      </c>
      <c r="CC223" s="27" t="s">
        <v>8</v>
      </c>
      <c r="CD223" s="27" t="s">
        <v>7</v>
      </c>
      <c r="CR223" s="31"/>
      <c r="DR223" s="27" t="s">
        <v>7</v>
      </c>
    </row>
    <row r="224" spans="1:122" x14ac:dyDescent="0.25">
      <c r="A224" s="30">
        <v>2.1828745883819374</v>
      </c>
      <c r="E224"/>
      <c r="AQ224" s="27" t="s">
        <v>8</v>
      </c>
      <c r="AT224" s="27" t="s">
        <v>7</v>
      </c>
      <c r="AU224" s="27" t="s">
        <v>8</v>
      </c>
      <c r="AV224" s="27" t="s">
        <v>7</v>
      </c>
      <c r="AW224" s="27" t="s">
        <v>8</v>
      </c>
      <c r="AX224" s="27" t="s">
        <v>7</v>
      </c>
      <c r="CC224" s="27" t="s">
        <v>8</v>
      </c>
      <c r="CQ224" s="31"/>
      <c r="DR224" s="27" t="s">
        <v>7</v>
      </c>
    </row>
    <row r="225" spans="1:94" x14ac:dyDescent="0.25">
      <c r="A225" s="30">
        <v>2.0789281794113688</v>
      </c>
      <c r="E225"/>
      <c r="AQ225" s="27" t="s">
        <v>8</v>
      </c>
      <c r="AT225" s="27" t="s">
        <v>7</v>
      </c>
      <c r="AV225" s="27" t="s">
        <v>7</v>
      </c>
      <c r="AW225" s="27" t="s">
        <v>8</v>
      </c>
      <c r="AX225" s="27" t="s">
        <v>7</v>
      </c>
      <c r="CA225" s="27" t="s">
        <v>8</v>
      </c>
      <c r="CC225" s="27" t="s">
        <v>8</v>
      </c>
      <c r="CP225" s="31"/>
    </row>
    <row r="226" spans="1:94" x14ac:dyDescent="0.25">
      <c r="A226" s="30">
        <v>1.9799315994393987</v>
      </c>
      <c r="E226"/>
      <c r="AQ226" s="27" t="s">
        <v>8</v>
      </c>
      <c r="AV226" s="27" t="s">
        <v>7</v>
      </c>
      <c r="AW226" s="27" t="s">
        <v>8</v>
      </c>
      <c r="AX226" s="27" t="s">
        <v>7</v>
      </c>
      <c r="AY226" s="27" t="s">
        <v>8</v>
      </c>
      <c r="CA226" s="27" t="s">
        <v>8</v>
      </c>
      <c r="CB226" s="27" t="s">
        <v>7</v>
      </c>
      <c r="CC226" s="27" t="s">
        <v>8</v>
      </c>
      <c r="CO226" s="31"/>
    </row>
    <row r="227" spans="1:94" x14ac:dyDescent="0.25">
      <c r="A227" s="30">
        <v>1.8856491423232367</v>
      </c>
      <c r="E227"/>
      <c r="AO227" s="27" t="s">
        <v>8</v>
      </c>
      <c r="AQ227" s="27" t="s">
        <v>8</v>
      </c>
      <c r="AV227" s="27" t="s">
        <v>7</v>
      </c>
      <c r="AW227" s="27" t="s">
        <v>8</v>
      </c>
      <c r="AX227" s="27" t="s">
        <v>7</v>
      </c>
      <c r="AY227" s="27" t="s">
        <v>8</v>
      </c>
      <c r="AZ227" s="27" t="s">
        <v>7</v>
      </c>
      <c r="BS227" s="27" t="s">
        <v>8</v>
      </c>
      <c r="BY227" s="27" t="s">
        <v>8</v>
      </c>
      <c r="CA227" s="27" t="s">
        <v>8</v>
      </c>
      <c r="CB227" s="27" t="s">
        <v>7</v>
      </c>
      <c r="CC227" s="27" t="s">
        <v>8</v>
      </c>
      <c r="CN227" s="31"/>
    </row>
    <row r="228" spans="1:94" x14ac:dyDescent="0.25">
      <c r="A228" s="30">
        <v>1.7958563260221301</v>
      </c>
      <c r="C228" s="7"/>
      <c r="D228"/>
      <c r="E228"/>
      <c r="AO228" s="27" t="s">
        <v>8</v>
      </c>
      <c r="AP228" s="27" t="s">
        <v>7</v>
      </c>
      <c r="AQ228" s="27" t="s">
        <v>8</v>
      </c>
      <c r="AV228" s="27" t="s">
        <v>7</v>
      </c>
      <c r="AX228" s="27" t="s">
        <v>7</v>
      </c>
      <c r="AY228" s="27" t="s">
        <v>8</v>
      </c>
      <c r="AZ228" s="27" t="s">
        <v>7</v>
      </c>
      <c r="BS228" s="27" t="s">
        <v>8</v>
      </c>
      <c r="BT228" s="27" t="s">
        <v>7</v>
      </c>
      <c r="BY228" s="32" t="s">
        <v>8</v>
      </c>
      <c r="BZ228" s="27" t="s">
        <v>7</v>
      </c>
      <c r="CA228" s="27" t="s">
        <v>8</v>
      </c>
      <c r="CB228" s="27" t="s">
        <v>7</v>
      </c>
      <c r="CC228" s="27" t="s">
        <v>8</v>
      </c>
      <c r="CM228" s="31"/>
    </row>
    <row r="229" spans="1:94" x14ac:dyDescent="0.25">
      <c r="A229" s="30">
        <v>1.7103393581163142</v>
      </c>
      <c r="E229"/>
      <c r="AK229" s="27" t="s">
        <v>8</v>
      </c>
      <c r="AM229" s="27" t="s">
        <v>8</v>
      </c>
      <c r="AO229" s="27" t="s">
        <v>8</v>
      </c>
      <c r="AP229" s="27" t="s">
        <v>7</v>
      </c>
      <c r="AQ229" s="27" t="s">
        <v>8</v>
      </c>
      <c r="AX229" s="27" t="s">
        <v>7</v>
      </c>
      <c r="AZ229" s="27" t="s">
        <v>7</v>
      </c>
      <c r="BS229" s="27" t="s">
        <v>8</v>
      </c>
      <c r="BT229" s="27" t="s">
        <v>7</v>
      </c>
      <c r="BW229" s="27" t="s">
        <v>8</v>
      </c>
      <c r="BY229" s="27" t="s">
        <v>8</v>
      </c>
      <c r="BZ229" s="27" t="s">
        <v>7</v>
      </c>
      <c r="CA229" s="27" t="s">
        <v>8</v>
      </c>
      <c r="CB229" s="27" t="s">
        <v>7</v>
      </c>
      <c r="CL229" s="31"/>
    </row>
    <row r="230" spans="1:94" x14ac:dyDescent="0.25">
      <c r="A230" s="30">
        <v>1.628894626777442</v>
      </c>
      <c r="E230"/>
      <c r="AK230" s="27" t="s">
        <v>8</v>
      </c>
      <c r="AL230" s="27" t="s">
        <v>7</v>
      </c>
      <c r="AM230" s="27" t="s">
        <v>8</v>
      </c>
      <c r="AN230" s="27" t="s">
        <v>7</v>
      </c>
      <c r="AO230" s="27" t="s">
        <v>8</v>
      </c>
      <c r="AP230" s="27" t="s">
        <v>7</v>
      </c>
      <c r="AZ230" s="27" t="s">
        <v>7</v>
      </c>
      <c r="BS230" s="27" t="s">
        <v>8</v>
      </c>
      <c r="BT230" s="27" t="s">
        <v>7</v>
      </c>
      <c r="BW230" s="27" t="s">
        <v>8</v>
      </c>
      <c r="BX230" s="27" t="s">
        <v>7</v>
      </c>
      <c r="BY230" s="27" t="s">
        <v>8</v>
      </c>
      <c r="BZ230" s="27" t="s">
        <v>7</v>
      </c>
      <c r="CA230" s="27" t="s">
        <v>8</v>
      </c>
      <c r="CK230" s="31"/>
    </row>
    <row r="231" spans="1:94" x14ac:dyDescent="0.25">
      <c r="A231" s="30">
        <v>1.5513282159785162</v>
      </c>
      <c r="C231"/>
      <c r="D231"/>
      <c r="E231"/>
      <c r="AK231" s="27" t="s">
        <v>8</v>
      </c>
      <c r="AL231" s="27" t="s">
        <v>7</v>
      </c>
      <c r="AM231" s="27" t="s">
        <v>8</v>
      </c>
      <c r="AN231" s="27" t="s">
        <v>7</v>
      </c>
      <c r="AO231" s="27" t="s">
        <v>8</v>
      </c>
      <c r="AZ231" s="27" t="s">
        <v>7</v>
      </c>
      <c r="BS231" s="27" t="s">
        <v>8</v>
      </c>
      <c r="BT231" s="27" t="s">
        <v>7</v>
      </c>
      <c r="BU231" s="27" t="s">
        <v>8</v>
      </c>
      <c r="BW231" s="27" t="s">
        <v>8</v>
      </c>
      <c r="BX231" s="27" t="s">
        <v>7</v>
      </c>
      <c r="BY231" s="27" t="s">
        <v>8</v>
      </c>
      <c r="BZ231" s="27" t="s">
        <v>7</v>
      </c>
      <c r="CA231" s="27" t="s">
        <v>8</v>
      </c>
      <c r="CJ231" s="31"/>
    </row>
    <row r="232" spans="1:94" x14ac:dyDescent="0.25">
      <c r="A232" s="30">
        <v>1.477455443789063</v>
      </c>
      <c r="E232"/>
      <c r="AK232" s="27" t="s">
        <v>8</v>
      </c>
      <c r="AL232" s="27" t="s">
        <v>7</v>
      </c>
      <c r="AN232" s="27" t="s">
        <v>7</v>
      </c>
      <c r="AO232" s="27" t="s">
        <v>8</v>
      </c>
      <c r="AZ232" s="27" t="s">
        <v>7</v>
      </c>
      <c r="BS232" s="27" t="s">
        <v>8</v>
      </c>
      <c r="BT232" s="27" t="s">
        <v>7</v>
      </c>
      <c r="BU232" s="27" t="s">
        <v>8</v>
      </c>
      <c r="BV232" s="27" t="s">
        <v>7</v>
      </c>
      <c r="BW232" s="27" t="s">
        <v>8</v>
      </c>
      <c r="BX232" s="27" t="s">
        <v>7</v>
      </c>
      <c r="BY232" s="27" t="s">
        <v>8</v>
      </c>
      <c r="BZ232" s="27" t="s">
        <v>7</v>
      </c>
      <c r="CI232" s="31"/>
    </row>
    <row r="233" spans="1:94" x14ac:dyDescent="0.25">
      <c r="A233" s="30">
        <v>1.4071004226562505</v>
      </c>
      <c r="E233"/>
      <c r="AK233" s="27" t="s">
        <v>8</v>
      </c>
      <c r="AN233" s="27" t="s">
        <v>7</v>
      </c>
      <c r="AO233" s="27" t="s">
        <v>8</v>
      </c>
      <c r="AZ233" s="27" t="s">
        <v>7</v>
      </c>
      <c r="BK233" s="27" t="s">
        <v>8</v>
      </c>
      <c r="BS233" s="27" t="s">
        <v>8</v>
      </c>
      <c r="BT233" s="27" t="s">
        <v>7</v>
      </c>
      <c r="BU233" s="27" t="s">
        <v>8</v>
      </c>
      <c r="BV233" s="27" t="s">
        <v>7</v>
      </c>
      <c r="BW233" s="27" t="s">
        <v>8</v>
      </c>
      <c r="BX233" s="27" t="s">
        <v>7</v>
      </c>
      <c r="BY233" s="27" t="s">
        <v>8</v>
      </c>
      <c r="CH233" s="31"/>
    </row>
    <row r="234" spans="1:94" x14ac:dyDescent="0.25">
      <c r="A234" s="30">
        <v>1.3400956406250004</v>
      </c>
      <c r="E234"/>
      <c r="AK234" s="27" t="s">
        <v>8</v>
      </c>
      <c r="AN234" s="27" t="s">
        <v>7</v>
      </c>
      <c r="AO234" s="27" t="s">
        <v>8</v>
      </c>
      <c r="AZ234" s="27" t="s">
        <v>7</v>
      </c>
      <c r="BK234" s="27" t="s">
        <v>8</v>
      </c>
      <c r="BL234" s="27" t="s">
        <v>7</v>
      </c>
      <c r="BS234" s="27" t="s">
        <v>8</v>
      </c>
      <c r="BT234" s="27" t="s">
        <v>7</v>
      </c>
      <c r="BU234" s="27" t="s">
        <v>8</v>
      </c>
      <c r="BV234" s="27" t="s">
        <v>7</v>
      </c>
      <c r="BX234" s="27" t="s">
        <v>7</v>
      </c>
      <c r="BY234" s="27" t="s">
        <v>8</v>
      </c>
      <c r="CG234" s="31"/>
    </row>
    <row r="235" spans="1:94" x14ac:dyDescent="0.25">
      <c r="A235" s="30">
        <v>1.2762815625000004</v>
      </c>
      <c r="C235"/>
      <c r="E235"/>
      <c r="AI235" s="27" t="s">
        <v>8</v>
      </c>
      <c r="AK235" s="27" t="s">
        <v>8</v>
      </c>
      <c r="AN235" s="27" t="s">
        <v>7</v>
      </c>
      <c r="AO235" s="27" t="s">
        <v>8</v>
      </c>
      <c r="AZ235" s="27" t="s">
        <v>7</v>
      </c>
      <c r="BC235" s="27" t="s">
        <v>8</v>
      </c>
      <c r="BK235" s="27" t="s">
        <v>8</v>
      </c>
      <c r="BL235" s="27" t="s">
        <v>7</v>
      </c>
      <c r="BS235" s="27" t="s">
        <v>8</v>
      </c>
      <c r="BT235" s="27" t="s">
        <v>7</v>
      </c>
      <c r="BU235" s="27" t="s">
        <v>8</v>
      </c>
      <c r="BX235" s="33" t="s">
        <v>7</v>
      </c>
      <c r="CF235" s="31"/>
    </row>
    <row r="236" spans="1:94" x14ac:dyDescent="0.25">
      <c r="A236" s="30">
        <v>1.2155062500000002</v>
      </c>
      <c r="E236"/>
      <c r="AI236" s="27" t="s">
        <v>8</v>
      </c>
      <c r="AJ236" s="27" t="s">
        <v>7</v>
      </c>
      <c r="AK236" s="27" t="s">
        <v>8</v>
      </c>
      <c r="AN236" s="27" t="s">
        <v>7</v>
      </c>
      <c r="AZ236" s="27" t="s">
        <v>7</v>
      </c>
      <c r="BA236" s="27" t="s">
        <v>8</v>
      </c>
      <c r="BC236" s="27" t="s">
        <v>8</v>
      </c>
      <c r="BD236" s="27" t="s">
        <v>7</v>
      </c>
      <c r="BI236" s="27" t="s">
        <v>8</v>
      </c>
      <c r="BK236" s="27" t="s">
        <v>8</v>
      </c>
      <c r="BL236" s="27" t="s">
        <v>7</v>
      </c>
      <c r="BS236" s="27" t="s">
        <v>8</v>
      </c>
      <c r="BT236" s="27" t="s">
        <v>7</v>
      </c>
      <c r="BU236" s="27" t="s">
        <v>8</v>
      </c>
      <c r="CE236" s="31"/>
    </row>
    <row r="237" spans="1:9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I237" s="27" t="s">
        <v>8</v>
      </c>
      <c r="AJ237" s="27" t="s">
        <v>7</v>
      </c>
      <c r="AK237" s="27" t="s">
        <v>8</v>
      </c>
      <c r="AZ237" s="27" t="s">
        <v>7</v>
      </c>
      <c r="BA237" s="27" t="s">
        <v>8</v>
      </c>
      <c r="BB237" s="27" t="s">
        <v>7</v>
      </c>
      <c r="BC237" s="27" t="s">
        <v>8</v>
      </c>
      <c r="BD237" s="27" t="s">
        <v>7</v>
      </c>
      <c r="BG237" s="27" t="s">
        <v>8</v>
      </c>
      <c r="BI237" s="27" t="s">
        <v>8</v>
      </c>
      <c r="BJ237" s="27" t="s">
        <v>7</v>
      </c>
      <c r="BK237" s="27" t="s">
        <v>8</v>
      </c>
      <c r="BL237" s="27" t="s">
        <v>7</v>
      </c>
      <c r="BQ237" s="27" t="s">
        <v>8</v>
      </c>
      <c r="BS237" s="27" t="s">
        <v>8</v>
      </c>
      <c r="BT237" s="27" t="s">
        <v>7</v>
      </c>
      <c r="BU237" s="27" t="s">
        <v>8</v>
      </c>
      <c r="CD237" s="31"/>
    </row>
    <row r="238" spans="1:94" x14ac:dyDescent="0.25">
      <c r="A238" s="30">
        <v>1.1025</v>
      </c>
      <c r="E238"/>
      <c r="AI238" s="27" t="s">
        <v>8</v>
      </c>
      <c r="AJ238" s="27" t="s">
        <v>7</v>
      </c>
      <c r="AK238" s="27" t="s">
        <v>8</v>
      </c>
      <c r="AZ238" s="27" t="s">
        <v>7</v>
      </c>
      <c r="BA238" s="27" t="s">
        <v>8</v>
      </c>
      <c r="BB238" s="27" t="s">
        <v>7</v>
      </c>
      <c r="BC238" s="27" t="s">
        <v>8</v>
      </c>
      <c r="BD238" s="27" t="s">
        <v>7</v>
      </c>
      <c r="BG238" s="27" t="s">
        <v>8</v>
      </c>
      <c r="BH238" s="27" t="s">
        <v>7</v>
      </c>
      <c r="BI238" s="27" t="s">
        <v>8</v>
      </c>
      <c r="BJ238" s="27" t="s">
        <v>7</v>
      </c>
      <c r="BK238" s="27" t="s">
        <v>8</v>
      </c>
      <c r="BL238" s="27" t="s">
        <v>7</v>
      </c>
      <c r="BQ238" s="27" t="s">
        <v>8</v>
      </c>
      <c r="BR238" s="27" t="s">
        <v>7</v>
      </c>
      <c r="BS238" s="27" t="s">
        <v>8</v>
      </c>
      <c r="BT238" s="27" t="s">
        <v>7</v>
      </c>
      <c r="CC238" s="31"/>
    </row>
    <row r="239" spans="1:94" x14ac:dyDescent="0.25">
      <c r="A239" s="30">
        <v>1.05</v>
      </c>
      <c r="E239"/>
      <c r="AI239" s="27" t="s">
        <v>8</v>
      </c>
      <c r="AJ239" s="27" t="s">
        <v>7</v>
      </c>
      <c r="AK239" s="27" t="s">
        <v>8</v>
      </c>
      <c r="AZ239" s="27" t="s">
        <v>7</v>
      </c>
      <c r="BA239" s="27" t="s">
        <v>8</v>
      </c>
      <c r="BB239" s="27" t="s">
        <v>7</v>
      </c>
      <c r="BC239" s="27" t="s">
        <v>8</v>
      </c>
      <c r="BD239" s="27" t="s">
        <v>7</v>
      </c>
      <c r="BG239" s="27" t="s">
        <v>8</v>
      </c>
      <c r="BH239" s="27" t="s">
        <v>7</v>
      </c>
      <c r="BI239" s="27" t="s">
        <v>8</v>
      </c>
      <c r="BJ239" s="27" t="s">
        <v>7</v>
      </c>
      <c r="BK239" s="27" t="s">
        <v>8</v>
      </c>
      <c r="BL239" s="27" t="s">
        <v>7</v>
      </c>
      <c r="BQ239" s="27" t="s">
        <v>8</v>
      </c>
      <c r="BR239" s="27" t="s">
        <v>7</v>
      </c>
      <c r="BS239" s="27" t="s">
        <v>8</v>
      </c>
      <c r="CB239" s="31"/>
    </row>
    <row r="240" spans="1:94" x14ac:dyDescent="0.25">
      <c r="A240" s="30">
        <v>1</v>
      </c>
      <c r="E240" s="29" t="s">
        <v>8</v>
      </c>
      <c r="AI240" s="27" t="s">
        <v>8</v>
      </c>
      <c r="AJ240" s="27" t="s">
        <v>7</v>
      </c>
      <c r="AK240" s="27" t="s">
        <v>8</v>
      </c>
      <c r="AZ240" s="27" t="s">
        <v>7</v>
      </c>
      <c r="BA240" s="27" t="s">
        <v>8</v>
      </c>
      <c r="BB240" s="27" t="s">
        <v>7</v>
      </c>
      <c r="BD240" s="27" t="s">
        <v>7</v>
      </c>
      <c r="BE240" s="27" t="s">
        <v>8</v>
      </c>
      <c r="BG240" s="27" t="s">
        <v>8</v>
      </c>
      <c r="BH240" s="27" t="s">
        <v>7</v>
      </c>
      <c r="BI240" s="27" t="s">
        <v>8</v>
      </c>
      <c r="BJ240" s="27" t="s">
        <v>7</v>
      </c>
      <c r="BK240" s="27" t="s">
        <v>8</v>
      </c>
      <c r="BL240" s="27" t="s">
        <v>7</v>
      </c>
      <c r="BQ240" s="27" t="s">
        <v>8</v>
      </c>
      <c r="BR240" s="27" t="s">
        <v>7</v>
      </c>
      <c r="BS240" s="27" t="s">
        <v>8</v>
      </c>
      <c r="CA240" s="31"/>
    </row>
    <row r="241" spans="1:78" x14ac:dyDescent="0.25">
      <c r="A241" s="30">
        <v>0.952380952380952</v>
      </c>
      <c r="B241"/>
      <c r="C241"/>
      <c r="D241"/>
      <c r="E241"/>
      <c r="F241" s="27" t="s">
        <v>7</v>
      </c>
      <c r="AI241" s="27" t="s">
        <v>8</v>
      </c>
      <c r="AJ241" s="27" t="s">
        <v>7</v>
      </c>
      <c r="AK241" s="27" t="s">
        <v>8</v>
      </c>
      <c r="AZ241" s="27" t="s">
        <v>7</v>
      </c>
      <c r="BD241" s="27" t="s">
        <v>7</v>
      </c>
      <c r="BE241" s="27" t="s">
        <v>8</v>
      </c>
      <c r="BF241" s="27" t="s">
        <v>7</v>
      </c>
      <c r="BG241" s="27" t="s">
        <v>8</v>
      </c>
      <c r="BH241" s="27" t="s">
        <v>7</v>
      </c>
      <c r="BI241" s="27" t="s">
        <v>8</v>
      </c>
      <c r="BJ241" s="27" t="s">
        <v>7</v>
      </c>
      <c r="BK241" s="27" t="s">
        <v>8</v>
      </c>
      <c r="BL241" s="27" t="s">
        <v>7</v>
      </c>
      <c r="BQ241" s="27" t="s">
        <v>8</v>
      </c>
      <c r="BR241" s="27" t="s">
        <v>7</v>
      </c>
      <c r="BS241" s="27" t="s">
        <v>8</v>
      </c>
      <c r="BZ241" s="31"/>
    </row>
    <row r="242" spans="1:78" x14ac:dyDescent="0.25">
      <c r="A242" s="30">
        <v>0.90702947845804915</v>
      </c>
      <c r="B242"/>
      <c r="C242"/>
      <c r="D242"/>
      <c r="E242"/>
      <c r="F242" s="27" t="s">
        <v>7</v>
      </c>
      <c r="AG242" s="27" t="s">
        <v>8</v>
      </c>
      <c r="AI242" s="27" t="s">
        <v>8</v>
      </c>
      <c r="AJ242" s="27" t="s">
        <v>7</v>
      </c>
      <c r="BD242" s="27" t="s">
        <v>7</v>
      </c>
      <c r="BE242" s="27" t="s">
        <v>8</v>
      </c>
      <c r="BF242" s="27" t="s">
        <v>7</v>
      </c>
      <c r="BG242" s="27" t="s">
        <v>8</v>
      </c>
      <c r="BH242" s="34" t="s">
        <v>7</v>
      </c>
      <c r="BJ242" s="34" t="s">
        <v>7</v>
      </c>
      <c r="BL242" s="27" t="s">
        <v>7</v>
      </c>
      <c r="BQ242" s="27" t="s">
        <v>8</v>
      </c>
      <c r="BR242" s="27" t="s">
        <v>7</v>
      </c>
      <c r="BY242" s="31"/>
    </row>
    <row r="243" spans="1:78" x14ac:dyDescent="0.25">
      <c r="A243" s="30">
        <v>0.86383759853147501</v>
      </c>
      <c r="B243"/>
      <c r="C243"/>
      <c r="D243"/>
      <c r="E243"/>
      <c r="F243" s="27" t="s">
        <v>7</v>
      </c>
      <c r="AE243" s="27" t="s">
        <v>8</v>
      </c>
      <c r="AG243" s="27" t="s">
        <v>8</v>
      </c>
      <c r="AH243" s="27" t="s">
        <v>7</v>
      </c>
      <c r="AI243" s="27" t="s">
        <v>8</v>
      </c>
      <c r="BD243" s="27" t="s">
        <v>7</v>
      </c>
      <c r="BE243" s="27" t="s">
        <v>8</v>
      </c>
      <c r="BF243" s="27" t="s">
        <v>7</v>
      </c>
      <c r="BL243" s="27" t="s">
        <v>7</v>
      </c>
      <c r="BQ243" s="27" t="s">
        <v>8</v>
      </c>
      <c r="BX243" s="31"/>
    </row>
    <row r="244" spans="1:78" x14ac:dyDescent="0.25">
      <c r="A244" s="30">
        <v>0.82270247479188063</v>
      </c>
      <c r="B244"/>
      <c r="C244"/>
      <c r="D244"/>
      <c r="E244"/>
      <c r="F244" s="27" t="s">
        <v>7</v>
      </c>
      <c r="AA244" s="27" t="s">
        <v>8</v>
      </c>
      <c r="AE244" s="27" t="s">
        <v>8</v>
      </c>
      <c r="AF244" s="27" t="s">
        <v>7</v>
      </c>
      <c r="AG244" s="27" t="s">
        <v>8</v>
      </c>
      <c r="AH244" s="27" t="s">
        <v>7</v>
      </c>
      <c r="AI244" s="27" t="s">
        <v>8</v>
      </c>
      <c r="BD244" s="27" t="s">
        <v>7</v>
      </c>
      <c r="BE244" s="27" t="s">
        <v>8</v>
      </c>
      <c r="BL244" s="27" t="s">
        <v>7</v>
      </c>
      <c r="BQ244" s="27" t="s">
        <v>8</v>
      </c>
      <c r="BW244" s="31"/>
    </row>
    <row r="245" spans="1:78" x14ac:dyDescent="0.25">
      <c r="A245" s="30">
        <v>0.78352616646845741</v>
      </c>
      <c r="B245"/>
      <c r="C245"/>
      <c r="D245"/>
      <c r="E245"/>
      <c r="F245" s="27" t="s">
        <v>7</v>
      </c>
      <c r="AA245" s="27" t="s">
        <v>8</v>
      </c>
      <c r="AB245" s="27" t="s">
        <v>7</v>
      </c>
      <c r="AE245" s="27" t="s">
        <v>8</v>
      </c>
      <c r="AF245" s="27" t="s">
        <v>7</v>
      </c>
      <c r="AG245" s="27" t="s">
        <v>8</v>
      </c>
      <c r="AH245" s="27" t="s">
        <v>7</v>
      </c>
      <c r="AI245" s="27" t="s">
        <v>8</v>
      </c>
      <c r="BD245" s="27" t="s">
        <v>7</v>
      </c>
      <c r="BE245" s="27" t="s">
        <v>8</v>
      </c>
      <c r="BL245" s="27" t="s">
        <v>7</v>
      </c>
      <c r="BQ245" s="27" t="s">
        <v>8</v>
      </c>
      <c r="BV245" s="31"/>
    </row>
    <row r="246" spans="1:78" x14ac:dyDescent="0.25">
      <c r="A246" s="30">
        <v>0.74621539663662584</v>
      </c>
      <c r="B246"/>
      <c r="C246"/>
      <c r="D246"/>
      <c r="E246"/>
      <c r="F246" s="27" t="s">
        <v>7</v>
      </c>
      <c r="AA246" s="27" t="s">
        <v>8</v>
      </c>
      <c r="AB246" s="27" t="s">
        <v>7</v>
      </c>
      <c r="AE246" s="27" t="s">
        <v>8</v>
      </c>
      <c r="AF246" s="27" t="s">
        <v>7</v>
      </c>
      <c r="AG246" s="27" t="s">
        <v>8</v>
      </c>
      <c r="AH246" s="27" t="s">
        <v>7</v>
      </c>
      <c r="BD246" s="27" t="s">
        <v>7</v>
      </c>
      <c r="BL246" s="27" t="s">
        <v>7</v>
      </c>
      <c r="BO246" s="27" t="s">
        <v>8</v>
      </c>
      <c r="BQ246" s="27" t="s">
        <v>8</v>
      </c>
      <c r="BU246" s="31"/>
    </row>
    <row r="247" spans="1:78" x14ac:dyDescent="0.25">
      <c r="A247" s="30">
        <v>0.71068133013011958</v>
      </c>
      <c r="B247"/>
      <c r="C247"/>
      <c r="D247"/>
      <c r="E247"/>
      <c r="F247" s="27" t="s">
        <v>7</v>
      </c>
      <c r="AA247" s="27" t="s">
        <v>8</v>
      </c>
      <c r="AB247" s="27" t="s">
        <v>7</v>
      </c>
      <c r="AE247" s="27" t="s">
        <v>8</v>
      </c>
      <c r="AF247" s="27" t="s">
        <v>7</v>
      </c>
      <c r="BL247" s="27" t="s">
        <v>7</v>
      </c>
      <c r="BO247" s="27" t="s">
        <v>8</v>
      </c>
      <c r="BP247" s="27" t="s">
        <v>7</v>
      </c>
      <c r="BQ247" s="27" t="s">
        <v>8</v>
      </c>
      <c r="BT247" s="31"/>
    </row>
    <row r="248" spans="1:78" x14ac:dyDescent="0.25">
      <c r="A248" s="30">
        <v>0.676839362028685</v>
      </c>
      <c r="B248"/>
      <c r="C248"/>
      <c r="D248"/>
      <c r="E248"/>
      <c r="F248" s="27" t="s">
        <v>7</v>
      </c>
      <c r="AA248" s="27" t="s">
        <v>8</v>
      </c>
      <c r="AB248" s="27" t="s">
        <v>7</v>
      </c>
      <c r="AE248" s="27" t="s">
        <v>8</v>
      </c>
      <c r="BL248" s="27" t="s">
        <v>7</v>
      </c>
      <c r="BO248" s="32" t="s">
        <v>8</v>
      </c>
      <c r="BP248" s="27" t="s">
        <v>7</v>
      </c>
      <c r="BQ248" s="27" t="s">
        <v>8</v>
      </c>
      <c r="BS248" s="31"/>
    </row>
    <row r="249" spans="1:78" x14ac:dyDescent="0.25">
      <c r="A249" s="30">
        <v>0.64460891621779492</v>
      </c>
      <c r="B249"/>
      <c r="C249"/>
      <c r="D249"/>
      <c r="E249"/>
      <c r="F249" s="27" t="s">
        <v>7</v>
      </c>
      <c r="AA249" s="27" t="s">
        <v>8</v>
      </c>
      <c r="AB249" s="27" t="s">
        <v>7</v>
      </c>
      <c r="AC249" s="27" t="s">
        <v>8</v>
      </c>
      <c r="AE249" s="27" t="s">
        <v>8</v>
      </c>
      <c r="BL249" s="27" t="s">
        <v>7</v>
      </c>
      <c r="BM249" s="27" t="s">
        <v>8</v>
      </c>
      <c r="BO249" s="27" t="s">
        <v>8</v>
      </c>
      <c r="BP249" s="27" t="s">
        <v>7</v>
      </c>
      <c r="BR249" s="31"/>
    </row>
    <row r="250" spans="1:78" x14ac:dyDescent="0.25">
      <c r="A250" s="30">
        <v>0.61391325354075688</v>
      </c>
      <c r="B250"/>
      <c r="C250"/>
      <c r="D250"/>
      <c r="E250"/>
      <c r="F250" s="27" t="s">
        <v>7</v>
      </c>
      <c r="AA250" s="27" t="s">
        <v>8</v>
      </c>
      <c r="AB250" s="27" t="s">
        <v>7</v>
      </c>
      <c r="AC250" s="27" t="s">
        <v>8</v>
      </c>
      <c r="AD250" s="27" t="s">
        <v>7</v>
      </c>
      <c r="AE250" s="27" t="s">
        <v>8</v>
      </c>
      <c r="BL250" s="27" t="s">
        <v>7</v>
      </c>
      <c r="BM250" s="27" t="s">
        <v>8</v>
      </c>
      <c r="BN250" s="27" t="s">
        <v>7</v>
      </c>
      <c r="BO250" s="27" t="s">
        <v>8</v>
      </c>
      <c r="BQ250" s="31"/>
    </row>
    <row r="251" spans="1:78" x14ac:dyDescent="0.25">
      <c r="A251" s="30">
        <v>0.58467928908643485</v>
      </c>
      <c r="B251"/>
      <c r="C251"/>
      <c r="D251"/>
      <c r="E251"/>
      <c r="F251" s="27" t="s">
        <v>7</v>
      </c>
      <c r="AA251" s="27" t="s">
        <v>8</v>
      </c>
      <c r="AB251" s="27" t="s">
        <v>7</v>
      </c>
      <c r="AC251" s="27" t="s">
        <v>8</v>
      </c>
      <c r="AD251" s="27" t="s">
        <v>7</v>
      </c>
      <c r="AE251" s="27" t="s">
        <v>8</v>
      </c>
      <c r="BL251" s="27" t="s">
        <v>7</v>
      </c>
      <c r="BM251" s="27" t="s">
        <v>8</v>
      </c>
      <c r="BN251" s="27" t="s">
        <v>7</v>
      </c>
      <c r="BO251" s="27" t="s">
        <v>8</v>
      </c>
      <c r="BP251" s="31"/>
    </row>
    <row r="252" spans="1:78" x14ac:dyDescent="0.25">
      <c r="A252" s="30">
        <v>0.55683741817755672</v>
      </c>
      <c r="B252"/>
      <c r="C252"/>
      <c r="D252"/>
      <c r="E252"/>
      <c r="F252" s="27" t="s">
        <v>7</v>
      </c>
      <c r="AA252" s="27" t="s">
        <v>8</v>
      </c>
      <c r="AB252" s="27" t="s">
        <v>7</v>
      </c>
      <c r="AD252" s="27" t="s">
        <v>7</v>
      </c>
      <c r="AE252" s="27" t="s">
        <v>8</v>
      </c>
      <c r="BL252" s="27" t="s">
        <v>7</v>
      </c>
      <c r="BN252" s="27" t="s">
        <v>7</v>
      </c>
      <c r="BO252" s="31" t="s">
        <v>8</v>
      </c>
    </row>
    <row r="253" spans="1:78" x14ac:dyDescent="0.25">
      <c r="A253" s="30">
        <v>0.53032135064529184</v>
      </c>
      <c r="B253"/>
      <c r="C253"/>
      <c r="D253"/>
      <c r="E253"/>
      <c r="F253" s="27" t="s">
        <v>7</v>
      </c>
      <c r="AA253" s="27" t="s">
        <v>8</v>
      </c>
      <c r="AD253" s="27" t="s">
        <v>7</v>
      </c>
      <c r="AE253" s="27" t="s">
        <v>8</v>
      </c>
      <c r="BN253" s="31" t="s">
        <v>7</v>
      </c>
    </row>
    <row r="254" spans="1:78" x14ac:dyDescent="0.25">
      <c r="A254" s="30">
        <v>0.50506795299551588</v>
      </c>
      <c r="B254"/>
      <c r="C254"/>
      <c r="D254"/>
      <c r="E254"/>
      <c r="F254" s="27" t="s">
        <v>7</v>
      </c>
      <c r="AA254" s="27" t="s">
        <v>8</v>
      </c>
      <c r="AD254" s="27" t="s">
        <v>7</v>
      </c>
      <c r="AE254" s="27" t="s">
        <v>8</v>
      </c>
    </row>
    <row r="255" spans="1:78" x14ac:dyDescent="0.25">
      <c r="A255" s="30">
        <v>0.48101709809096732</v>
      </c>
      <c r="E255"/>
      <c r="F255" s="27" t="s">
        <v>7</v>
      </c>
      <c r="AA255" s="27" t="s">
        <v>8</v>
      </c>
      <c r="AD255" s="27" t="s">
        <v>7</v>
      </c>
    </row>
    <row r="256" spans="1:78" x14ac:dyDescent="0.25">
      <c r="A256" s="30">
        <v>0.45811152199139726</v>
      </c>
      <c r="E256"/>
      <c r="F256" s="27" t="s">
        <v>7</v>
      </c>
      <c r="Y256" s="27" t="s">
        <v>8</v>
      </c>
      <c r="AA256" s="27" t="s">
        <v>8</v>
      </c>
    </row>
    <row r="257" spans="1:27" x14ac:dyDescent="0.25">
      <c r="A257" s="30">
        <v>0.43629668761085438</v>
      </c>
      <c r="B257"/>
      <c r="C257"/>
      <c r="D257"/>
      <c r="E257"/>
      <c r="F257" s="27" t="s">
        <v>7</v>
      </c>
      <c r="Y257" s="27" t="s">
        <v>8</v>
      </c>
      <c r="Z257" s="27" t="s">
        <v>7</v>
      </c>
      <c r="AA257" s="27" t="s">
        <v>8</v>
      </c>
    </row>
    <row r="258" spans="1:27" x14ac:dyDescent="0.25">
      <c r="A258" s="30">
        <v>0.41552065486748019</v>
      </c>
      <c r="B258"/>
      <c r="C258"/>
      <c r="D258"/>
      <c r="E258"/>
      <c r="F258" s="27" t="s">
        <v>7</v>
      </c>
      <c r="Y258" s="27" t="s">
        <v>8</v>
      </c>
      <c r="Z258" s="27" t="s">
        <v>7</v>
      </c>
      <c r="AA258" s="27" t="s">
        <v>8</v>
      </c>
    </row>
    <row r="259" spans="1:27" x14ac:dyDescent="0.25">
      <c r="A259" s="30">
        <v>0.39573395701664765</v>
      </c>
      <c r="B259"/>
      <c r="C259"/>
      <c r="D259"/>
      <c r="E259"/>
      <c r="F259" s="27" t="s">
        <v>7</v>
      </c>
      <c r="Y259" s="27" t="s">
        <v>8</v>
      </c>
      <c r="Z259" s="27" t="s">
        <v>7</v>
      </c>
    </row>
    <row r="260" spans="1:27" x14ac:dyDescent="0.25">
      <c r="A260" s="30">
        <v>0.37688948287299762</v>
      </c>
      <c r="B260"/>
      <c r="C260"/>
      <c r="D260"/>
      <c r="E260"/>
      <c r="F260" s="27" t="s">
        <v>7</v>
      </c>
      <c r="Y260" s="27" t="s">
        <v>8</v>
      </c>
    </row>
    <row r="261" spans="1:27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I261" s="27" t="s">
        <v>8</v>
      </c>
      <c r="W261" s="27" t="s">
        <v>8</v>
      </c>
      <c r="Y261" s="27" t="s">
        <v>8</v>
      </c>
    </row>
    <row r="262" spans="1:27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H262" s="27" t="s">
        <v>7</v>
      </c>
      <c r="I262" s="27" t="s">
        <v>8</v>
      </c>
      <c r="J262" s="27" t="s">
        <v>7</v>
      </c>
      <c r="W262" s="27" t="s">
        <v>8</v>
      </c>
      <c r="X262" s="27" t="s">
        <v>7</v>
      </c>
      <c r="Y262" s="27" t="s">
        <v>8</v>
      </c>
    </row>
    <row r="263" spans="1:27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H263" s="27" t="s">
        <v>7</v>
      </c>
      <c r="I263" s="27" t="s">
        <v>8</v>
      </c>
      <c r="J263" s="27" t="s">
        <v>7</v>
      </c>
      <c r="W263" s="27" t="s">
        <v>8</v>
      </c>
      <c r="X263" s="27" t="s">
        <v>7</v>
      </c>
      <c r="Y263" s="27" t="s">
        <v>8</v>
      </c>
    </row>
    <row r="264" spans="1:27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  <c r="I264" s="27" t="s">
        <v>8</v>
      </c>
      <c r="J264" s="27" t="s">
        <v>7</v>
      </c>
      <c r="W264" s="27" t="s">
        <v>8</v>
      </c>
      <c r="X264" s="27" t="s">
        <v>7</v>
      </c>
      <c r="Y264" s="27" t="s">
        <v>8</v>
      </c>
    </row>
    <row r="265" spans="1:27" x14ac:dyDescent="0.25">
      <c r="A265" s="30">
        <v>0.2953027716977592</v>
      </c>
      <c r="B265"/>
      <c r="C265"/>
      <c r="D265"/>
      <c r="E265"/>
      <c r="F265" s="27" t="s">
        <v>7</v>
      </c>
      <c r="H265" s="27" t="s">
        <v>7</v>
      </c>
      <c r="J265" s="27" t="s">
        <v>7</v>
      </c>
      <c r="W265" s="27" t="s">
        <v>8</v>
      </c>
      <c r="X265" s="27" t="s">
        <v>7</v>
      </c>
      <c r="Y265" s="27" t="s">
        <v>8</v>
      </c>
    </row>
    <row r="266" spans="1:27" x14ac:dyDescent="0.25">
      <c r="A266" s="30">
        <v>0.28124073495024676</v>
      </c>
      <c r="B266"/>
      <c r="C266"/>
      <c r="D266"/>
      <c r="E266"/>
      <c r="J266" s="27" t="s">
        <v>7</v>
      </c>
      <c r="W266" s="27" t="s">
        <v>8</v>
      </c>
      <c r="X266" s="27" t="s">
        <v>7</v>
      </c>
      <c r="Y266" s="27" t="s">
        <v>8</v>
      </c>
    </row>
    <row r="267" spans="1:27" x14ac:dyDescent="0.25">
      <c r="A267" s="30">
        <v>0.26784831900023492</v>
      </c>
      <c r="B267"/>
      <c r="C267"/>
      <c r="D267"/>
      <c r="E267"/>
      <c r="J267" s="27" t="s">
        <v>7</v>
      </c>
      <c r="W267" s="27" t="s">
        <v>8</v>
      </c>
      <c r="X267" s="27" t="s">
        <v>7</v>
      </c>
      <c r="Y267" s="27" t="s">
        <v>8</v>
      </c>
    </row>
    <row r="268" spans="1:27" x14ac:dyDescent="0.25">
      <c r="A268" s="30">
        <v>0.25509363714308075</v>
      </c>
      <c r="B268"/>
      <c r="C268"/>
      <c r="D268"/>
      <c r="E268"/>
      <c r="J268" s="27" t="s">
        <v>7</v>
      </c>
      <c r="W268" s="27" t="s">
        <v>8</v>
      </c>
      <c r="X268" s="27" t="s">
        <v>7</v>
      </c>
    </row>
    <row r="269" spans="1:27" x14ac:dyDescent="0.25">
      <c r="A269" s="30">
        <v>0.24294632108864825</v>
      </c>
      <c r="B269"/>
      <c r="C269"/>
      <c r="D269"/>
      <c r="E269"/>
      <c r="J269" s="27" t="s">
        <v>7</v>
      </c>
      <c r="W269" s="27" t="s">
        <v>8</v>
      </c>
    </row>
    <row r="270" spans="1:27" x14ac:dyDescent="0.25">
      <c r="A270" s="30">
        <v>0.23137744865585538</v>
      </c>
      <c r="B270"/>
      <c r="C270"/>
      <c r="D270"/>
      <c r="E270"/>
      <c r="J270" s="27" t="s">
        <v>7</v>
      </c>
      <c r="U270" s="27" t="s">
        <v>8</v>
      </c>
      <c r="W270" s="27" t="s">
        <v>8</v>
      </c>
    </row>
    <row r="271" spans="1:27" x14ac:dyDescent="0.25">
      <c r="A271" s="30">
        <v>0.22035947491033836</v>
      </c>
      <c r="B271"/>
      <c r="C271"/>
      <c r="D271"/>
      <c r="E271"/>
      <c r="J271" s="27" t="s">
        <v>7</v>
      </c>
      <c r="U271" s="27" t="s">
        <v>8</v>
      </c>
      <c r="V271" s="27" t="s">
        <v>7</v>
      </c>
      <c r="W271" s="27" t="s">
        <v>8</v>
      </c>
    </row>
    <row r="272" spans="1:27" x14ac:dyDescent="0.25">
      <c r="A272" s="30">
        <v>0.20986616658127455</v>
      </c>
      <c r="B272"/>
      <c r="C272"/>
      <c r="D272"/>
      <c r="E272"/>
      <c r="J272" s="27" t="s">
        <v>7</v>
      </c>
      <c r="S272" s="27" t="s">
        <v>8</v>
      </c>
      <c r="U272" s="27" t="s">
        <v>8</v>
      </c>
      <c r="V272" s="27" t="s">
        <v>7</v>
      </c>
      <c r="W272" s="27" t="s">
        <v>8</v>
      </c>
    </row>
    <row r="273" spans="1:23" x14ac:dyDescent="0.25">
      <c r="A273" s="30">
        <v>0.19987253960121379</v>
      </c>
      <c r="B273"/>
      <c r="C273"/>
      <c r="D273"/>
      <c r="E273"/>
      <c r="J273" s="27" t="s">
        <v>7</v>
      </c>
      <c r="O273" s="27" t="s">
        <v>8</v>
      </c>
      <c r="Q273" s="27" t="s">
        <v>8</v>
      </c>
      <c r="S273" s="27" t="s">
        <v>8</v>
      </c>
      <c r="T273" s="27" t="s">
        <v>7</v>
      </c>
      <c r="U273" s="27" t="s">
        <v>8</v>
      </c>
      <c r="V273" s="27" t="s">
        <v>7</v>
      </c>
      <c r="W273" s="27" t="s">
        <v>8</v>
      </c>
    </row>
    <row r="274" spans="1:23" x14ac:dyDescent="0.25">
      <c r="A274" s="30">
        <v>0.19035479962020352</v>
      </c>
      <c r="B274"/>
      <c r="C274"/>
      <c r="D274"/>
      <c r="E274"/>
      <c r="J274" s="27" t="s">
        <v>7</v>
      </c>
      <c r="O274" s="27" t="s">
        <v>8</v>
      </c>
      <c r="P274" s="27" t="s">
        <v>7</v>
      </c>
      <c r="Q274" s="27" t="s">
        <v>8</v>
      </c>
      <c r="R274" s="27" t="s">
        <v>7</v>
      </c>
      <c r="S274" s="27" t="s">
        <v>8</v>
      </c>
      <c r="T274" s="27" t="s">
        <v>7</v>
      </c>
      <c r="U274" s="27" t="s">
        <v>8</v>
      </c>
      <c r="V274" s="27" t="s">
        <v>7</v>
      </c>
      <c r="W274" s="27" t="s">
        <v>8</v>
      </c>
    </row>
    <row r="275" spans="1:23" x14ac:dyDescent="0.25">
      <c r="A275" s="30">
        <v>0.18129028535257471</v>
      </c>
      <c r="B275"/>
      <c r="C275"/>
      <c r="D275"/>
      <c r="E275"/>
      <c r="J275" s="27" t="s">
        <v>7</v>
      </c>
      <c r="O275" s="27" t="s">
        <v>8</v>
      </c>
      <c r="P275" s="27" t="s">
        <v>7</v>
      </c>
      <c r="Q275" s="27" t="s">
        <v>8</v>
      </c>
      <c r="R275" s="27" t="s">
        <v>7</v>
      </c>
      <c r="S275" s="27" t="s">
        <v>8</v>
      </c>
      <c r="T275" s="27" t="s">
        <v>7</v>
      </c>
      <c r="U275" s="27" t="s">
        <v>8</v>
      </c>
      <c r="V275" s="27" t="s">
        <v>7</v>
      </c>
    </row>
    <row r="276" spans="1:23" x14ac:dyDescent="0.25">
      <c r="A276" s="30">
        <v>0.17265741462149967</v>
      </c>
      <c r="B276"/>
      <c r="C276"/>
      <c r="D276"/>
      <c r="E276"/>
      <c r="J276" s="27" t="s">
        <v>7</v>
      </c>
      <c r="O276" s="27" t="s">
        <v>8</v>
      </c>
      <c r="P276" s="27" t="s">
        <v>7</v>
      </c>
      <c r="Q276" s="27" t="s">
        <v>8</v>
      </c>
      <c r="R276" s="27" t="s">
        <v>7</v>
      </c>
      <c r="S276" s="27" t="s">
        <v>8</v>
      </c>
      <c r="T276" s="27" t="s">
        <v>7</v>
      </c>
    </row>
    <row r="277" spans="1:23" x14ac:dyDescent="0.25">
      <c r="A277" s="30">
        <v>0.16443563297285677</v>
      </c>
      <c r="B277"/>
      <c r="C277"/>
      <c r="D277"/>
      <c r="E277"/>
      <c r="J277" s="27" t="s">
        <v>7</v>
      </c>
      <c r="K277" s="27" t="s">
        <v>8</v>
      </c>
      <c r="M277" s="27" t="s">
        <v>8</v>
      </c>
      <c r="O277" s="27" t="s">
        <v>8</v>
      </c>
      <c r="P277" s="27" t="s">
        <v>7</v>
      </c>
      <c r="R277" s="27" t="s">
        <v>7</v>
      </c>
      <c r="S277" s="27" t="s">
        <v>8</v>
      </c>
    </row>
    <row r="278" spans="1:23" x14ac:dyDescent="0.25">
      <c r="A278" s="30">
        <v>0.15660536473605399</v>
      </c>
      <c r="B278"/>
      <c r="C278"/>
      <c r="D278"/>
      <c r="E278"/>
      <c r="J278" s="27" t="s">
        <v>7</v>
      </c>
      <c r="K278" s="27" t="s">
        <v>8</v>
      </c>
      <c r="L278" s="27" t="s">
        <v>7</v>
      </c>
      <c r="M278" s="27" t="s">
        <v>8</v>
      </c>
      <c r="N278" s="27" t="s">
        <v>7</v>
      </c>
      <c r="O278" s="27" t="s">
        <v>8</v>
      </c>
      <c r="R278" s="27" t="s">
        <v>7</v>
      </c>
    </row>
    <row r="279" spans="1:23" x14ac:dyDescent="0.25">
      <c r="A279" s="30">
        <v>0.14914796641528946</v>
      </c>
      <c r="B279"/>
      <c r="C279"/>
      <c r="D279"/>
      <c r="E279"/>
      <c r="J279" s="27" t="s">
        <v>7</v>
      </c>
      <c r="K279" s="27" t="s">
        <v>8</v>
      </c>
      <c r="L279" s="27" t="s">
        <v>7</v>
      </c>
      <c r="M279" s="27" t="s">
        <v>8</v>
      </c>
      <c r="N279" s="27" t="s">
        <v>7</v>
      </c>
      <c r="O279" s="27" t="s">
        <v>8</v>
      </c>
    </row>
    <row r="280" spans="1:23" x14ac:dyDescent="0.25">
      <c r="A280" s="30">
        <v>0.14204568230027562</v>
      </c>
      <c r="B280"/>
      <c r="C280"/>
      <c r="D280"/>
      <c r="E280"/>
      <c r="J280" s="27" t="s">
        <v>7</v>
      </c>
      <c r="K280" s="27" t="s">
        <v>8</v>
      </c>
      <c r="L280" s="27" t="s">
        <v>7</v>
      </c>
      <c r="M280" s="27" t="s">
        <v>8</v>
      </c>
      <c r="N280" s="27" t="s">
        <v>7</v>
      </c>
    </row>
    <row r="281" spans="1:23" x14ac:dyDescent="0.25">
      <c r="A281" s="30">
        <v>0.13528160219073862</v>
      </c>
      <c r="B281"/>
      <c r="C281"/>
      <c r="D281"/>
      <c r="E281"/>
      <c r="J281" s="27" t="s">
        <v>7</v>
      </c>
      <c r="K281" s="27" t="s">
        <v>8</v>
      </c>
      <c r="L281" s="27" t="s">
        <v>7</v>
      </c>
      <c r="M281" s="27" t="s">
        <v>8</v>
      </c>
    </row>
    <row r="282" spans="1:23" x14ac:dyDescent="0.25">
      <c r="A282" s="30">
        <v>0.12883962113403674</v>
      </c>
      <c r="B282"/>
      <c r="C282"/>
      <c r="D282"/>
      <c r="E282"/>
      <c r="J282" s="27" t="s">
        <v>7</v>
      </c>
      <c r="K282" s="27" t="s">
        <v>8</v>
      </c>
      <c r="L282" s="27" t="s">
        <v>7</v>
      </c>
    </row>
    <row r="283" spans="1:23" x14ac:dyDescent="0.25">
      <c r="A283" s="30">
        <v>0.12270440108003494</v>
      </c>
      <c r="B283"/>
      <c r="C283"/>
      <c r="D283"/>
      <c r="E283"/>
      <c r="J283" s="27" t="s">
        <v>7</v>
      </c>
      <c r="K283" s="27" t="s">
        <v>8</v>
      </c>
    </row>
    <row r="284" spans="1:23" x14ac:dyDescent="0.25">
      <c r="A284" s="30">
        <v>0.11686133436193799</v>
      </c>
      <c r="B284"/>
      <c r="C284"/>
      <c r="D284"/>
      <c r="E284"/>
      <c r="J284" s="27" t="s">
        <v>7</v>
      </c>
    </row>
    <row r="285" spans="1:23" x14ac:dyDescent="0.25">
      <c r="A285" s="30">
        <v>0.11129650891613138</v>
      </c>
      <c r="B285"/>
      <c r="C285"/>
      <c r="D285"/>
      <c r="E285"/>
    </row>
    <row r="286" spans="1:23" x14ac:dyDescent="0.25">
      <c r="A286" s="30">
        <v>0.10599667515822032</v>
      </c>
      <c r="B286"/>
      <c r="C286"/>
      <c r="D286"/>
      <c r="E286"/>
    </row>
    <row r="287" spans="1:23" x14ac:dyDescent="0.25">
      <c r="A287" s="30">
        <v>0.10094921443640027</v>
      </c>
      <c r="B287"/>
      <c r="C287"/>
      <c r="D287"/>
      <c r="E287"/>
    </row>
    <row r="288" spans="1:23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42" operator="equal">
      <formula>$U$1</formula>
    </cfRule>
    <cfRule type="cellIs" dxfId="67" priority="1143" operator="equal">
      <formula>$S$1</formula>
    </cfRule>
  </conditionalFormatting>
  <conditionalFormatting sqref="D136">
    <cfRule type="cellIs" dxfId="66" priority="1140" operator="equal">
      <formula>$S$1</formula>
    </cfRule>
    <cfRule type="cellIs" dxfId="65" priority="1141" operator="equal">
      <formula>$U$1</formula>
    </cfRule>
  </conditionalFormatting>
  <conditionalFormatting sqref="C162">
    <cfRule type="cellIs" dxfId="64" priority="1138" operator="equal">
      <formula>$U$1</formula>
    </cfRule>
    <cfRule type="cellIs" dxfId="63" priority="1139" operator="equal">
      <formula>$S$1</formula>
    </cfRule>
  </conditionalFormatting>
  <conditionalFormatting sqref="D162">
    <cfRule type="cellIs" dxfId="62" priority="1136" operator="equal">
      <formula>$S$1</formula>
    </cfRule>
    <cfRule type="cellIs" dxfId="61" priority="1137" operator="equal">
      <formula>$U$1</formula>
    </cfRule>
  </conditionalFormatting>
  <conditionalFormatting sqref="C187">
    <cfRule type="cellIs" dxfId="60" priority="1134" operator="equal">
      <formula>$U$1</formula>
    </cfRule>
    <cfRule type="cellIs" dxfId="59" priority="1135" operator="equal">
      <formula>$S$1</formula>
    </cfRule>
  </conditionalFormatting>
  <conditionalFormatting sqref="D187">
    <cfRule type="cellIs" dxfId="58" priority="1132" operator="equal">
      <formula>$S$1</formula>
    </cfRule>
    <cfRule type="cellIs" dxfId="57" priority="1133" operator="equal">
      <formula>$U$1</formula>
    </cfRule>
  </conditionalFormatting>
  <conditionalFormatting sqref="C212">
    <cfRule type="cellIs" dxfId="56" priority="1130" operator="equal">
      <formula>$U$1</formula>
    </cfRule>
    <cfRule type="cellIs" dxfId="55" priority="1131" operator="equal">
      <formula>$S$1</formula>
    </cfRule>
  </conditionalFormatting>
  <conditionalFormatting sqref="D212">
    <cfRule type="cellIs" dxfId="54" priority="1128" operator="equal">
      <formula>$S$1</formula>
    </cfRule>
    <cfRule type="cellIs" dxfId="53" priority="1129" operator="equal">
      <formula>$U$1</formula>
    </cfRule>
  </conditionalFormatting>
  <conditionalFormatting sqref="C237">
    <cfRule type="cellIs" dxfId="52" priority="1126" operator="equal">
      <formula>$U$1</formula>
    </cfRule>
    <cfRule type="cellIs" dxfId="51" priority="1127" operator="equal">
      <formula>$S$1</formula>
    </cfRule>
  </conditionalFormatting>
  <conditionalFormatting sqref="D237">
    <cfRule type="cellIs" dxfId="50" priority="1124" operator="equal">
      <formula>$S$1</formula>
    </cfRule>
    <cfRule type="cellIs" dxfId="49" priority="1125" operator="equal">
      <formula>$U$1</formula>
    </cfRule>
  </conditionalFormatting>
  <conditionalFormatting sqref="C106">
    <cfRule type="cellIs" dxfId="48" priority="1122" operator="equal">
      <formula>$U$1</formula>
    </cfRule>
    <cfRule type="cellIs" dxfId="47" priority="1123" operator="equal">
      <formula>$S$1</formula>
    </cfRule>
  </conditionalFormatting>
  <conditionalFormatting sqref="D106">
    <cfRule type="cellIs" dxfId="46" priority="1120" operator="equal">
      <formula>$S$1</formula>
    </cfRule>
    <cfRule type="cellIs" dxfId="45" priority="1121" operator="equal">
      <formula>$U$1</formula>
    </cfRule>
  </conditionalFormatting>
  <conditionalFormatting sqref="C81">
    <cfRule type="cellIs" dxfId="44" priority="1118" operator="equal">
      <formula>$U$1</formula>
    </cfRule>
    <cfRule type="cellIs" dxfId="43" priority="1119" operator="equal">
      <formula>$S$1</formula>
    </cfRule>
  </conditionalFormatting>
  <conditionalFormatting sqref="D81">
    <cfRule type="cellIs" dxfId="42" priority="1116" operator="equal">
      <formula>$S$1</formula>
    </cfRule>
    <cfRule type="cellIs" dxfId="41" priority="1117" operator="equal">
      <formula>$U$1</formula>
    </cfRule>
  </conditionalFormatting>
  <conditionalFormatting sqref="C56">
    <cfRule type="cellIs" dxfId="40" priority="1114" operator="equal">
      <formula>$U$1</formula>
    </cfRule>
    <cfRule type="cellIs" dxfId="39" priority="1115" operator="equal">
      <formula>$S$1</formula>
    </cfRule>
  </conditionalFormatting>
  <conditionalFormatting sqref="D56">
    <cfRule type="cellIs" dxfId="38" priority="1112" operator="equal">
      <formula>$S$1</formula>
    </cfRule>
    <cfRule type="cellIs" dxfId="37" priority="1113" operator="equal">
      <formula>$U$1</formula>
    </cfRule>
  </conditionalFormatting>
  <conditionalFormatting sqref="C31">
    <cfRule type="cellIs" dxfId="36" priority="1110" operator="equal">
      <formula>$U$1</formula>
    </cfRule>
    <cfRule type="cellIs" dxfId="35" priority="1111" operator="equal">
      <formula>$S$1</formula>
    </cfRule>
  </conditionalFormatting>
  <conditionalFormatting sqref="D31">
    <cfRule type="cellIs" dxfId="34" priority="1108" operator="equal">
      <formula>$S$1</formula>
    </cfRule>
    <cfRule type="cellIs" dxfId="33" priority="110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0" zoomScale="90" zoomScaleNormal="90" workbookViewId="0">
      <pane xSplit="4" topLeftCell="G1" activePane="topRight" state="frozen"/>
      <selection activeCell="A109" sqref="A109"/>
      <selection pane="topRight" activeCell="AL113" sqref="AL11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8" x14ac:dyDescent="0.25">
      <c r="A97" s="30">
        <v>9.849732675807628</v>
      </c>
      <c r="E97"/>
    </row>
    <row r="98" spans="1:38" x14ac:dyDescent="0.25">
      <c r="A98" s="30">
        <v>8.9543024325523888</v>
      </c>
      <c r="C98" s="1" t="s">
        <v>13</v>
      </c>
      <c r="E98"/>
      <c r="AA98" s="27" t="s">
        <v>8</v>
      </c>
    </row>
    <row r="99" spans="1:38" x14ac:dyDescent="0.25">
      <c r="A99" s="30">
        <v>8.140274938683989</v>
      </c>
      <c r="C99" s="1">
        <f>C88</f>
        <v>0</v>
      </c>
      <c r="E99"/>
      <c r="AA99" s="27" t="s">
        <v>8</v>
      </c>
      <c r="AB99" s="27" t="s">
        <v>7</v>
      </c>
      <c r="AC99" s="31" t="s">
        <v>8</v>
      </c>
    </row>
    <row r="100" spans="1:38" x14ac:dyDescent="0.25">
      <c r="A100" s="30">
        <v>7.4002499442581717</v>
      </c>
      <c r="C100"/>
      <c r="D100"/>
      <c r="E100"/>
      <c r="AA100" s="27" t="s">
        <v>8</v>
      </c>
      <c r="AB100" s="27" t="s">
        <v>7</v>
      </c>
      <c r="AC100" s="27" t="s">
        <v>8</v>
      </c>
      <c r="AD100" s="31" t="s">
        <v>7</v>
      </c>
    </row>
    <row r="101" spans="1:38" x14ac:dyDescent="0.25">
      <c r="A101" s="30">
        <v>6.72749994932561</v>
      </c>
      <c r="C101" s="1" t="s">
        <v>14</v>
      </c>
      <c r="E101"/>
      <c r="Y101" s="27" t="s">
        <v>8</v>
      </c>
      <c r="AA101" s="27" t="s">
        <v>8</v>
      </c>
      <c r="AB101" s="27" t="s">
        <v>7</v>
      </c>
      <c r="AC101" s="27" t="s">
        <v>8</v>
      </c>
      <c r="AD101" s="27" t="s">
        <v>7</v>
      </c>
      <c r="AE101" s="31"/>
    </row>
    <row r="102" spans="1:3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Y102" s="27" t="s">
        <v>8</v>
      </c>
      <c r="Z102" s="27" t="s">
        <v>7</v>
      </c>
      <c r="AA102" s="27" t="s">
        <v>8</v>
      </c>
      <c r="AB102" s="27" t="s">
        <v>7</v>
      </c>
      <c r="AC102" s="27" t="s">
        <v>8</v>
      </c>
      <c r="AD102" s="27" t="s">
        <v>7</v>
      </c>
      <c r="AF102" s="31"/>
    </row>
    <row r="103" spans="1:38" x14ac:dyDescent="0.25">
      <c r="A103" s="30">
        <v>5.5599173134922388</v>
      </c>
      <c r="E103"/>
      <c r="Y103" s="27" t="s">
        <v>8</v>
      </c>
      <c r="Z103" s="27" t="s">
        <v>7</v>
      </c>
      <c r="AA103" s="27" t="s">
        <v>8</v>
      </c>
      <c r="AB103" s="27" t="s">
        <v>7</v>
      </c>
      <c r="AD103" s="27" t="s">
        <v>7</v>
      </c>
      <c r="AE103" s="27" t="s">
        <v>8</v>
      </c>
      <c r="AG103" s="31"/>
    </row>
    <row r="104" spans="1:38" x14ac:dyDescent="0.25">
      <c r="A104" s="30">
        <v>5.0544702849929442</v>
      </c>
      <c r="E104"/>
      <c r="Y104" s="27" t="s">
        <v>8</v>
      </c>
      <c r="Z104" s="27" t="s">
        <v>7</v>
      </c>
      <c r="AA104" s="27" t="s">
        <v>8</v>
      </c>
      <c r="AD104" s="33" t="s">
        <v>7</v>
      </c>
      <c r="AE104" s="27" t="s">
        <v>8</v>
      </c>
      <c r="AF104" s="27" t="s">
        <v>7</v>
      </c>
      <c r="AG104" s="27" t="s">
        <v>8</v>
      </c>
      <c r="AH104" s="31"/>
    </row>
    <row r="105" spans="1:38" x14ac:dyDescent="0.25">
      <c r="A105" s="30">
        <v>4.594972986357222</v>
      </c>
      <c r="E105"/>
      <c r="Y105" s="27" t="s">
        <v>8</v>
      </c>
      <c r="Z105" s="27" t="s">
        <v>7</v>
      </c>
      <c r="AD105" s="27" t="s">
        <v>7</v>
      </c>
      <c r="AE105" s="27" t="s">
        <v>8</v>
      </c>
      <c r="AF105" s="27" t="s">
        <v>7</v>
      </c>
      <c r="AG105" s="27" t="s">
        <v>8</v>
      </c>
      <c r="AH105" s="27" t="s">
        <v>7</v>
      </c>
      <c r="AI105" s="31" t="s">
        <v>8</v>
      </c>
      <c r="AK105" s="27" t="s">
        <v>8</v>
      </c>
    </row>
    <row r="106" spans="1:38" x14ac:dyDescent="0.25">
      <c r="A106" s="30">
        <v>4.1772481694156562</v>
      </c>
      <c r="E106"/>
      <c r="Y106" s="27" t="s">
        <v>8</v>
      </c>
      <c r="AD106" s="27" t="s">
        <v>7</v>
      </c>
      <c r="AE106" s="27" t="s">
        <v>8</v>
      </c>
      <c r="AF106" s="27" t="s">
        <v>7</v>
      </c>
      <c r="AG106" s="27" t="s">
        <v>8</v>
      </c>
      <c r="AH106" s="27" t="s">
        <v>7</v>
      </c>
      <c r="AI106" s="27" t="s">
        <v>8</v>
      </c>
      <c r="AJ106" s="31" t="s">
        <v>7</v>
      </c>
      <c r="AK106" s="27" t="s">
        <v>8</v>
      </c>
      <c r="AL106" s="27" t="s">
        <v>7</v>
      </c>
    </row>
    <row r="107" spans="1:38" x14ac:dyDescent="0.25">
      <c r="A107" s="30">
        <v>3.7974983358324148</v>
      </c>
      <c r="E107"/>
      <c r="Y107" s="27" t="s">
        <v>8</v>
      </c>
      <c r="AD107" s="27" t="s">
        <v>7</v>
      </c>
      <c r="AF107" s="27" t="s">
        <v>7</v>
      </c>
      <c r="AG107" s="27" t="s">
        <v>8</v>
      </c>
      <c r="AH107" s="27" t="s">
        <v>7</v>
      </c>
      <c r="AI107" s="27" t="s">
        <v>8</v>
      </c>
      <c r="AJ107" s="27" t="s">
        <v>7</v>
      </c>
      <c r="AK107" s="31" t="s">
        <v>8</v>
      </c>
      <c r="AL107" s="27" t="s">
        <v>7</v>
      </c>
    </row>
    <row r="108" spans="1:38" x14ac:dyDescent="0.25">
      <c r="A108" s="30">
        <v>3.4522712143931042</v>
      </c>
      <c r="E108"/>
      <c r="Y108" s="27" t="s">
        <v>8</v>
      </c>
      <c r="AF108" s="27" t="s">
        <v>7</v>
      </c>
      <c r="AG108" s="27" t="s">
        <v>8</v>
      </c>
      <c r="AH108" s="27" t="s">
        <v>7</v>
      </c>
      <c r="AI108" s="27" t="s">
        <v>8</v>
      </c>
      <c r="AJ108" s="27" t="s">
        <v>7</v>
      </c>
      <c r="AL108" s="27" t="s">
        <v>7</v>
      </c>
    </row>
    <row r="109" spans="1:38" x14ac:dyDescent="0.25">
      <c r="A109" s="30">
        <v>3.1384283767210035</v>
      </c>
      <c r="E109"/>
      <c r="Y109" s="27" t="s">
        <v>8</v>
      </c>
      <c r="AF109" s="27" t="s">
        <v>7</v>
      </c>
      <c r="AH109" s="27" t="s">
        <v>7</v>
      </c>
      <c r="AI109" s="27" t="s">
        <v>8</v>
      </c>
      <c r="AL109" s="27" t="s">
        <v>7</v>
      </c>
    </row>
    <row r="110" spans="1:38" x14ac:dyDescent="0.25">
      <c r="A110" s="30">
        <v>2.8531167061100029</v>
      </c>
      <c r="E110"/>
      <c r="Y110" s="27" t="s">
        <v>8</v>
      </c>
      <c r="AH110" s="18" t="s">
        <v>7</v>
      </c>
      <c r="AI110" s="27" t="s">
        <v>8</v>
      </c>
      <c r="AL110" s="27" t="s">
        <v>7</v>
      </c>
    </row>
    <row r="111" spans="1:38" x14ac:dyDescent="0.25">
      <c r="A111" s="30">
        <v>2.5937424601000023</v>
      </c>
      <c r="C111" s="1" t="str">
        <f>ADDRESS(C121-1,1,1,1)</f>
        <v>$A$112</v>
      </c>
      <c r="D111" s="1" t="str">
        <f>ADDRESS(C121-1,D121,1,1)</f>
        <v>$AL$112</v>
      </c>
      <c r="E111"/>
      <c r="O111" s="27" t="s">
        <v>8</v>
      </c>
      <c r="Y111" s="27" t="s">
        <v>8</v>
      </c>
      <c r="AH111" s="27" t="s">
        <v>7</v>
      </c>
      <c r="AL111" s="27" t="s">
        <v>7</v>
      </c>
    </row>
    <row r="112" spans="1:38" x14ac:dyDescent="0.25">
      <c r="A112" s="30">
        <v>2.3579476910000019</v>
      </c>
      <c r="C112" s="1" t="str">
        <f>ADDRESS(C121,1,1,1)</f>
        <v>$A$113</v>
      </c>
      <c r="D112" s="1" t="str">
        <f>ADDRESS(C121,D121-1,1,1)</f>
        <v>$AK$113</v>
      </c>
      <c r="E112"/>
      <c r="O112" s="27" t="s">
        <v>8</v>
      </c>
      <c r="P112" s="27" t="s">
        <v>7</v>
      </c>
      <c r="Q112" s="27" t="s">
        <v>8</v>
      </c>
      <c r="Y112" s="27" t="s">
        <v>8</v>
      </c>
      <c r="AL112" s="27" t="s">
        <v>7</v>
      </c>
    </row>
    <row r="113" spans="1:38" x14ac:dyDescent="0.25">
      <c r="A113" s="30">
        <v>2.1435888100000016</v>
      </c>
      <c r="C113" s="1" t="str">
        <f>ADDRESS(C121+1,1,1,1)</f>
        <v>$A$114</v>
      </c>
      <c r="D113" s="1" t="str">
        <f>ADDRESS(C121-1,D121+1,1,1)</f>
        <v>$AM$112</v>
      </c>
      <c r="O113" s="27" t="s">
        <v>8</v>
      </c>
      <c r="P113" s="27" t="s">
        <v>7</v>
      </c>
      <c r="Q113" s="27" t="s">
        <v>8</v>
      </c>
      <c r="R113" s="27" t="s">
        <v>7</v>
      </c>
      <c r="Y113" s="27" t="s">
        <v>8</v>
      </c>
      <c r="AJ113" s="31"/>
      <c r="AL113" s="27" t="s">
        <v>7</v>
      </c>
    </row>
    <row r="114" spans="1:38" x14ac:dyDescent="0.25">
      <c r="A114" s="30">
        <v>1.9487171000000014</v>
      </c>
      <c r="C114" s="1" t="str">
        <f>ADDRESS(C121,D121,1,1)</f>
        <v>$AL$113</v>
      </c>
      <c r="D114" s="1" t="str">
        <f>ADDRESS(C121+1,D121+1,1,1)</f>
        <v>$AM$114</v>
      </c>
      <c r="O114" s="27" t="s">
        <v>8</v>
      </c>
      <c r="P114" s="27" t="s">
        <v>7</v>
      </c>
      <c r="Q114" s="27" t="s">
        <v>8</v>
      </c>
      <c r="R114" s="27" t="s">
        <v>7</v>
      </c>
      <c r="Y114" s="27" t="s">
        <v>8</v>
      </c>
      <c r="AI114" s="31"/>
    </row>
    <row r="115" spans="1:38" x14ac:dyDescent="0.25">
      <c r="A115" s="30">
        <v>1.7715610000000011</v>
      </c>
      <c r="C115" s="1" t="str">
        <f>ADDRESS(C121+1,D121,1,1)</f>
        <v>$AL$114</v>
      </c>
      <c r="O115" s="27" t="s">
        <v>8</v>
      </c>
      <c r="P115" s="27" t="s">
        <v>7</v>
      </c>
      <c r="R115" s="27" t="s">
        <v>7</v>
      </c>
      <c r="W115" s="27" t="s">
        <v>8</v>
      </c>
      <c r="Y115" s="27" t="s">
        <v>8</v>
      </c>
      <c r="AH115" s="31"/>
    </row>
    <row r="116" spans="1:38" x14ac:dyDescent="0.25">
      <c r="A116" s="30">
        <v>1.6105100000000008</v>
      </c>
      <c r="C116" s="1">
        <f>C117-1</f>
        <v>112</v>
      </c>
      <c r="O116" s="27" t="s">
        <v>8</v>
      </c>
      <c r="R116" s="27" t="s">
        <v>7</v>
      </c>
      <c r="W116" s="27" t="s">
        <v>8</v>
      </c>
      <c r="X116" s="27" t="s">
        <v>7</v>
      </c>
      <c r="Y116" s="27" t="s">
        <v>8</v>
      </c>
      <c r="AG116" s="31"/>
    </row>
    <row r="117" spans="1:38" x14ac:dyDescent="0.25">
      <c r="A117" s="30">
        <v>1.4641000000000006</v>
      </c>
      <c r="C117" s="1">
        <f>C121</f>
        <v>113</v>
      </c>
      <c r="D117" s="1">
        <f>D121</f>
        <v>38</v>
      </c>
      <c r="O117" s="27" t="s">
        <v>8</v>
      </c>
      <c r="R117" s="27" t="s">
        <v>7</v>
      </c>
      <c r="W117" s="32" t="s">
        <v>8</v>
      </c>
      <c r="X117" s="27" t="s">
        <v>7</v>
      </c>
      <c r="Y117" s="27" t="s">
        <v>8</v>
      </c>
      <c r="AF117" s="31"/>
    </row>
    <row r="118" spans="1:38" x14ac:dyDescent="0.25">
      <c r="A118" s="30">
        <v>1.3310000000000004</v>
      </c>
      <c r="C118" s="1">
        <f>C117+1</f>
        <v>114</v>
      </c>
      <c r="D118" s="1">
        <f>D117+1</f>
        <v>39</v>
      </c>
      <c r="O118" s="27" t="s">
        <v>8</v>
      </c>
      <c r="R118" s="27" t="s">
        <v>7</v>
      </c>
      <c r="U118" s="32" t="s">
        <v>8</v>
      </c>
      <c r="W118" s="27" t="s">
        <v>8</v>
      </c>
      <c r="X118" s="27" t="s">
        <v>7</v>
      </c>
      <c r="Y118" s="27" t="s">
        <v>8</v>
      </c>
      <c r="AE118" s="31"/>
    </row>
    <row r="119" spans="1:38" x14ac:dyDescent="0.25">
      <c r="A119" s="30">
        <v>1.2100000000000002</v>
      </c>
      <c r="M119" s="27" t="s">
        <v>8</v>
      </c>
      <c r="O119" s="27" t="s">
        <v>8</v>
      </c>
      <c r="R119" s="27" t="s">
        <v>7</v>
      </c>
      <c r="S119" s="27" t="s">
        <v>8</v>
      </c>
      <c r="U119" s="27" t="s">
        <v>8</v>
      </c>
      <c r="V119" s="27" t="s">
        <v>7</v>
      </c>
      <c r="W119" s="27" t="s">
        <v>8</v>
      </c>
      <c r="X119" s="27" t="s">
        <v>7</v>
      </c>
      <c r="Y119" s="27" t="s">
        <v>8</v>
      </c>
      <c r="AD119" s="31"/>
    </row>
    <row r="120" spans="1:38" x14ac:dyDescent="0.25">
      <c r="A120" s="30">
        <v>1.1000000000000001</v>
      </c>
      <c r="C120" s="1" t="s">
        <v>9</v>
      </c>
      <c r="M120" s="27" t="s">
        <v>8</v>
      </c>
      <c r="N120" s="27" t="s">
        <v>7</v>
      </c>
      <c r="O120" s="27" t="s">
        <v>8</v>
      </c>
      <c r="R120" s="27" t="s">
        <v>7</v>
      </c>
      <c r="S120" s="27" t="s">
        <v>8</v>
      </c>
      <c r="T120" s="27" t="s">
        <v>7</v>
      </c>
      <c r="U120" s="27" t="s">
        <v>8</v>
      </c>
      <c r="V120" s="27" t="s">
        <v>7</v>
      </c>
      <c r="W120" s="27" t="s">
        <v>8</v>
      </c>
      <c r="X120" s="27" t="s">
        <v>7</v>
      </c>
      <c r="AC120" s="31"/>
    </row>
    <row r="121" spans="1:38" x14ac:dyDescent="0.25">
      <c r="A121" s="30">
        <v>1</v>
      </c>
      <c r="C121" s="18">
        <v>113</v>
      </c>
      <c r="D121" s="19">
        <v>38</v>
      </c>
      <c r="E121" s="18" t="s">
        <v>8</v>
      </c>
      <c r="M121" s="27" t="s">
        <v>8</v>
      </c>
      <c r="N121" s="27" t="s">
        <v>7</v>
      </c>
      <c r="O121" s="27" t="s">
        <v>8</v>
      </c>
      <c r="R121" s="27" t="s">
        <v>7</v>
      </c>
      <c r="S121" s="27" t="s">
        <v>8</v>
      </c>
      <c r="T121" s="27" t="s">
        <v>7</v>
      </c>
      <c r="U121" s="27" t="s">
        <v>8</v>
      </c>
      <c r="V121" s="27" t="s">
        <v>7</v>
      </c>
      <c r="W121" s="27" t="s">
        <v>8</v>
      </c>
      <c r="AB121" s="31"/>
    </row>
    <row r="122" spans="1:38" x14ac:dyDescent="0.25">
      <c r="A122" s="30">
        <v>0.90909090909090895</v>
      </c>
      <c r="C122" s="1" t="str">
        <f>INDEX(1:1048576,C117,D117)</f>
        <v>O</v>
      </c>
      <c r="F122" s="27" t="s">
        <v>7</v>
      </c>
      <c r="M122" s="27" t="s">
        <v>8</v>
      </c>
      <c r="N122" s="27" t="s">
        <v>7</v>
      </c>
      <c r="R122" s="27" t="s">
        <v>7</v>
      </c>
      <c r="S122" s="27" t="s">
        <v>8</v>
      </c>
      <c r="T122" s="27" t="s">
        <v>7</v>
      </c>
      <c r="V122" s="27" t="s">
        <v>7</v>
      </c>
      <c r="W122" s="27" t="s">
        <v>8</v>
      </c>
      <c r="AA122" s="31"/>
    </row>
    <row r="123" spans="1:38" x14ac:dyDescent="0.25">
      <c r="A123" s="30">
        <v>0.82644628099173523</v>
      </c>
      <c r="C123" s="1" t="str">
        <f>"R"&amp;C121</f>
        <v>R113</v>
      </c>
      <c r="D123" s="1" t="str">
        <f>"C"&amp;D121</f>
        <v>C38</v>
      </c>
      <c r="F123" s="27" t="s">
        <v>7</v>
      </c>
      <c r="K123" s="27" t="s">
        <v>8</v>
      </c>
      <c r="M123" s="27" t="s">
        <v>8</v>
      </c>
      <c r="R123" s="27" t="s">
        <v>7</v>
      </c>
      <c r="S123" s="27" t="s">
        <v>8</v>
      </c>
      <c r="V123" s="33" t="s">
        <v>7</v>
      </c>
      <c r="W123" s="27" t="s">
        <v>8</v>
      </c>
      <c r="Z123" s="31"/>
    </row>
    <row r="124" spans="1:3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K124" s="27" t="s">
        <v>8</v>
      </c>
      <c r="L124" s="27" t="s">
        <v>7</v>
      </c>
      <c r="M124" s="27" t="s">
        <v>8</v>
      </c>
      <c r="R124" s="27" t="s">
        <v>7</v>
      </c>
      <c r="V124" s="27" t="s">
        <v>7</v>
      </c>
      <c r="W124" s="27" t="s">
        <v>8</v>
      </c>
      <c r="Y124" s="31"/>
    </row>
    <row r="125" spans="1:38" x14ac:dyDescent="0.25">
      <c r="A125" s="30">
        <v>0.68301345536507019</v>
      </c>
      <c r="F125" s="27" t="s">
        <v>7</v>
      </c>
      <c r="K125" s="27" t="s">
        <v>8</v>
      </c>
      <c r="L125" s="27" t="s">
        <v>7</v>
      </c>
      <c r="M125" s="27" t="s">
        <v>8</v>
      </c>
      <c r="V125" s="27" t="s">
        <v>7</v>
      </c>
      <c r="W125" s="27" t="s">
        <v>8</v>
      </c>
      <c r="X125" s="31"/>
    </row>
    <row r="126" spans="1:38" x14ac:dyDescent="0.25">
      <c r="A126" s="30">
        <v>0.6209213230591546</v>
      </c>
      <c r="C126" s="1" t="s">
        <v>10</v>
      </c>
      <c r="F126" s="27" t="s">
        <v>7</v>
      </c>
      <c r="K126" s="27" t="s">
        <v>8</v>
      </c>
      <c r="L126" s="27" t="s">
        <v>7</v>
      </c>
      <c r="M126" s="27" t="s">
        <v>8</v>
      </c>
      <c r="V126" s="27" t="s">
        <v>7</v>
      </c>
      <c r="W126" s="31" t="s">
        <v>8</v>
      </c>
    </row>
    <row r="127" spans="1:38" x14ac:dyDescent="0.25">
      <c r="A127" s="30">
        <v>0.56447393005377677</v>
      </c>
      <c r="C127" s="30">
        <v>2.1435888100000016</v>
      </c>
      <c r="D127"/>
      <c r="F127" s="27" t="s">
        <v>7</v>
      </c>
      <c r="K127" s="27" t="s">
        <v>8</v>
      </c>
      <c r="L127" s="27" t="s">
        <v>7</v>
      </c>
      <c r="M127" s="27" t="s">
        <v>8</v>
      </c>
      <c r="V127" s="31" t="s">
        <v>7</v>
      </c>
    </row>
    <row r="128" spans="1:38" x14ac:dyDescent="0.25">
      <c r="A128" s="30">
        <v>0.51315811823070612</v>
      </c>
      <c r="F128" s="27" t="s">
        <v>7</v>
      </c>
      <c r="K128" s="27" t="s">
        <v>8</v>
      </c>
      <c r="L128" s="27" t="s">
        <v>7</v>
      </c>
      <c r="M128" s="27" t="s">
        <v>8</v>
      </c>
    </row>
    <row r="129" spans="1:1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K129" s="27" t="s">
        <v>8</v>
      </c>
      <c r="L129" s="27" t="s">
        <v>7</v>
      </c>
    </row>
    <row r="130" spans="1:12" x14ac:dyDescent="0.25">
      <c r="A130" s="30">
        <v>0.42409761837248428</v>
      </c>
      <c r="C130" s="6"/>
      <c r="D130" s="6"/>
      <c r="E130"/>
      <c r="F130" s="27" t="s">
        <v>7</v>
      </c>
      <c r="K130" s="27" t="s">
        <v>8</v>
      </c>
    </row>
    <row r="131" spans="1:12" x14ac:dyDescent="0.25">
      <c r="A131" s="30">
        <v>0.38554328942953109</v>
      </c>
      <c r="E131"/>
      <c r="F131" s="27" t="s">
        <v>7</v>
      </c>
      <c r="K131" s="27" t="s">
        <v>8</v>
      </c>
    </row>
    <row r="132" spans="1:12" x14ac:dyDescent="0.25">
      <c r="A132" s="30">
        <v>0.35049389948139187</v>
      </c>
      <c r="C132" s="1" t="s">
        <v>13</v>
      </c>
      <c r="E132"/>
      <c r="F132" s="27" t="s">
        <v>7</v>
      </c>
      <c r="I132" s="27" t="s">
        <v>8</v>
      </c>
      <c r="K132" s="27" t="s">
        <v>8</v>
      </c>
    </row>
    <row r="133" spans="1:12" x14ac:dyDescent="0.25">
      <c r="A133" s="30">
        <v>0.31863081771035617</v>
      </c>
      <c r="C133" s="1" t="str">
        <f>C122</f>
        <v>O</v>
      </c>
      <c r="E133"/>
      <c r="F133" s="27" t="s">
        <v>7</v>
      </c>
      <c r="I133" s="27" t="s">
        <v>8</v>
      </c>
      <c r="J133" s="27" t="s">
        <v>7</v>
      </c>
      <c r="K133" s="27" t="s">
        <v>8</v>
      </c>
    </row>
    <row r="134" spans="1:12" x14ac:dyDescent="0.25">
      <c r="A134" s="30">
        <v>0.28966437973668741</v>
      </c>
      <c r="C134"/>
      <c r="D134"/>
      <c r="E134"/>
      <c r="F134" s="27" t="s">
        <v>7</v>
      </c>
      <c r="I134" s="27" t="s">
        <v>8</v>
      </c>
      <c r="J134" s="27" t="s">
        <v>7</v>
      </c>
      <c r="K134" s="27" t="s">
        <v>8</v>
      </c>
    </row>
    <row r="135" spans="1:12" x14ac:dyDescent="0.25">
      <c r="A135" s="30">
        <v>0.2633312543060794</v>
      </c>
      <c r="C135" s="1" t="s">
        <v>14</v>
      </c>
      <c r="E135"/>
      <c r="F135" s="27" t="s">
        <v>7</v>
      </c>
      <c r="I135" s="27" t="s">
        <v>8</v>
      </c>
      <c r="J135" s="27" t="s">
        <v>7</v>
      </c>
    </row>
    <row r="136" spans="1:1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I136" s="27" t="s">
        <v>8</v>
      </c>
    </row>
    <row r="137" spans="1:12" x14ac:dyDescent="0.25">
      <c r="A137" s="30">
        <v>0.2176291357901482</v>
      </c>
      <c r="E137"/>
      <c r="F137" s="27" t="s">
        <v>7</v>
      </c>
      <c r="G137" s="27" t="s">
        <v>8</v>
      </c>
      <c r="H137" s="27" t="s">
        <v>7</v>
      </c>
      <c r="I137" s="27" t="s">
        <v>8</v>
      </c>
    </row>
    <row r="138" spans="1:1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H138" s="27" t="s">
        <v>7</v>
      </c>
      <c r="I138" s="27" t="s">
        <v>8</v>
      </c>
    </row>
    <row r="139" spans="1:12" x14ac:dyDescent="0.25">
      <c r="A139" s="30">
        <v>0.17985878990921333</v>
      </c>
      <c r="E139"/>
      <c r="F139" s="27" t="s">
        <v>7</v>
      </c>
      <c r="G139" s="27" t="s">
        <v>8</v>
      </c>
      <c r="H139" s="27" t="s">
        <v>7</v>
      </c>
    </row>
    <row r="140" spans="1:12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</row>
    <row r="141" spans="1:12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</row>
    <row r="142" spans="1:12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</row>
    <row r="143" spans="1:12" x14ac:dyDescent="0.25">
      <c r="A143" s="30">
        <v>0.12284597357367205</v>
      </c>
      <c r="C143" s="1">
        <v>3</v>
      </c>
      <c r="E143"/>
      <c r="F143" s="27" t="s">
        <v>7</v>
      </c>
    </row>
    <row r="144" spans="1:12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26" operator="equal">
      <formula>$U$1</formula>
    </cfRule>
    <cfRule type="cellIs" dxfId="30" priority="1127" operator="equal">
      <formula>$S$1</formula>
    </cfRule>
  </conditionalFormatting>
  <conditionalFormatting sqref="D136">
    <cfRule type="cellIs" dxfId="29" priority="1124" operator="equal">
      <formula>$S$1</formula>
    </cfRule>
    <cfRule type="cellIs" dxfId="28" priority="1125" operator="equal">
      <formula>$U$1</formula>
    </cfRule>
  </conditionalFormatting>
  <conditionalFormatting sqref="C102">
    <cfRule type="cellIs" dxfId="27" priority="1122" operator="equal">
      <formula>$U$1</formula>
    </cfRule>
    <cfRule type="cellIs" dxfId="26" priority="1123" operator="equal">
      <formula>$S$1</formula>
    </cfRule>
  </conditionalFormatting>
  <conditionalFormatting sqref="D102">
    <cfRule type="cellIs" dxfId="25" priority="1120" operator="equal">
      <formula>$S$1</formula>
    </cfRule>
    <cfRule type="cellIs" dxfId="24" priority="1121" operator="equal">
      <formula>$U$1</formula>
    </cfRule>
  </conditionalFormatting>
  <conditionalFormatting sqref="C77">
    <cfRule type="cellIs" dxfId="23" priority="1118" operator="equal">
      <formula>$U$1</formula>
    </cfRule>
    <cfRule type="cellIs" dxfId="22" priority="1119" operator="equal">
      <formula>$S$1</formula>
    </cfRule>
  </conditionalFormatting>
  <conditionalFormatting sqref="D77">
    <cfRule type="cellIs" dxfId="21" priority="1116" operator="equal">
      <formula>$S$1</formula>
    </cfRule>
    <cfRule type="cellIs" dxfId="20" priority="1117" operator="equal">
      <formula>$U$1</formula>
    </cfRule>
  </conditionalFormatting>
  <conditionalFormatting sqref="C52">
    <cfRule type="cellIs" dxfId="19" priority="1114" operator="equal">
      <formula>$U$1</formula>
    </cfRule>
    <cfRule type="cellIs" dxfId="18" priority="1115" operator="equal">
      <formula>$S$1</formula>
    </cfRule>
  </conditionalFormatting>
  <conditionalFormatting sqref="D52">
    <cfRule type="cellIs" dxfId="17" priority="1112" operator="equal">
      <formula>$S$1</formula>
    </cfRule>
    <cfRule type="cellIs" dxfId="16" priority="1113" operator="equal">
      <formula>$U$1</formula>
    </cfRule>
  </conditionalFormatting>
  <conditionalFormatting sqref="C26">
    <cfRule type="cellIs" dxfId="15" priority="1110" operator="equal">
      <formula>$U$1</formula>
    </cfRule>
    <cfRule type="cellIs" dxfId="14" priority="1111" operator="equal">
      <formula>$S$1</formula>
    </cfRule>
  </conditionalFormatting>
  <conditionalFormatting sqref="D26">
    <cfRule type="cellIs" dxfId="13" priority="1108" operator="equal">
      <formula>$S$1</formula>
    </cfRule>
    <cfRule type="cellIs" dxfId="12" priority="110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2022-01-28T01:14:33Z</dcterms:modified>
</cp:coreProperties>
</file>