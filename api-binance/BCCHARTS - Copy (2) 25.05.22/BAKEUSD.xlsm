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AA527C1-0621-488F-9F01-7252717F61B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5"/>
  <c r="C122" i="5"/>
  <c r="C133" i="5" s="1"/>
  <c r="C136" i="5" s="1"/>
  <c r="C116" i="4"/>
  <c r="C118" i="4"/>
  <c r="R765" i="1"/>
  <c r="C122" i="3"/>
  <c r="C133" i="3" s="1"/>
  <c r="C136" i="3" s="1"/>
  <c r="C118" i="3"/>
  <c r="D136" i="4" l="1"/>
  <c r="C138" i="4" s="1"/>
  <c r="D136" i="5"/>
  <c r="C138" i="5" s="1"/>
  <c r="R764" i="1"/>
  <c r="S765" i="1"/>
  <c r="T765" i="1" s="1"/>
  <c r="D136" i="3"/>
  <c r="C138" i="3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S760" i="1" l="1"/>
  <c r="T760" i="1" s="1"/>
  <c r="R759" i="1"/>
  <c r="R758" i="1" l="1"/>
  <c r="S759" i="1"/>
  <c r="T759" i="1" s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R723" i="1" l="1"/>
  <c r="S724" i="1"/>
  <c r="T724" i="1" s="1"/>
  <c r="S723" i="1" l="1"/>
  <c r="T723" i="1" s="1"/>
  <c r="R722" i="1"/>
  <c r="S722" i="1" l="1"/>
  <c r="T722" i="1" s="1"/>
  <c r="R721" i="1"/>
  <c r="S721" i="1" l="1"/>
  <c r="T721" i="1" s="1"/>
  <c r="R720" i="1"/>
  <c r="R719" i="1" l="1"/>
  <c r="S720" i="1"/>
  <c r="T720" i="1" s="1"/>
  <c r="S719" i="1" l="1"/>
  <c r="T719" i="1" s="1"/>
  <c r="R718" i="1"/>
  <c r="S718" i="1" l="1"/>
  <c r="T718" i="1" s="1"/>
  <c r="R717" i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S687" i="1" l="1"/>
  <c r="T687" i="1" s="1"/>
  <c r="R686" i="1"/>
  <c r="S686" i="1" l="1"/>
  <c r="T686" i="1" s="1"/>
  <c r="R685" i="1"/>
  <c r="R684" i="1" l="1"/>
  <c r="S685" i="1"/>
  <c r="T685" i="1" s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S667" i="1" l="1"/>
  <c r="T667" i="1" s="1"/>
  <c r="R666" i="1"/>
  <c r="S666" i="1" l="1"/>
  <c r="T666" i="1" s="1"/>
  <c r="R665" i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S659" i="1" l="1"/>
  <c r="T659" i="1" s="1"/>
  <c r="R658" i="1"/>
  <c r="S658" i="1" l="1"/>
  <c r="T658" i="1" s="1"/>
  <c r="R657" i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R599" i="1" l="1"/>
  <c r="S600" i="1"/>
  <c r="T600" i="1" s="1"/>
  <c r="R598" i="1" l="1"/>
  <c r="S599" i="1"/>
  <c r="T599" i="1" s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S594" i="1" l="1"/>
  <c r="T594" i="1" s="1"/>
  <c r="R593" i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S586" i="1" l="1"/>
  <c r="T586" i="1" s="1"/>
  <c r="R585" i="1"/>
  <c r="S585" i="1" l="1"/>
  <c r="T585" i="1" s="1"/>
  <c r="R584" i="1"/>
  <c r="S584" i="1" l="1"/>
  <c r="T584" i="1" s="1"/>
  <c r="R583" i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R564" i="1" l="1"/>
  <c r="S565" i="1"/>
  <c r="T565" i="1" s="1"/>
  <c r="S564" i="1" l="1"/>
  <c r="T564" i="1" s="1"/>
  <c r="R563" i="1"/>
  <c r="R562" i="1" l="1"/>
  <c r="S563" i="1"/>
  <c r="T563" i="1" s="1"/>
  <c r="S562" i="1" l="1"/>
  <c r="T562" i="1" s="1"/>
  <c r="R561" i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S556" i="1" l="1"/>
  <c r="T556" i="1" s="1"/>
  <c r="R555" i="1"/>
  <c r="S555" i="1" l="1"/>
  <c r="T555" i="1" s="1"/>
  <c r="R554" i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S498" i="1" l="1"/>
  <c r="T498" i="1" s="1"/>
  <c r="R497" i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S453" i="1" l="1"/>
  <c r="T453" i="1" s="1"/>
  <c r="R452" i="1"/>
  <c r="R451" i="1" l="1"/>
  <c r="S452" i="1"/>
  <c r="T452" i="1" s="1"/>
  <c r="S451" i="1" l="1"/>
  <c r="T451" i="1" s="1"/>
  <c r="R450" i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S446" i="1" l="1"/>
  <c r="T446" i="1" s="1"/>
  <c r="R445" i="1"/>
  <c r="S445" i="1" l="1"/>
  <c r="T445" i="1" s="1"/>
  <c r="R444" i="1"/>
  <c r="R443" i="1" l="1"/>
  <c r="S444" i="1"/>
  <c r="T444" i="1" s="1"/>
  <c r="S443" i="1" l="1"/>
  <c r="T443" i="1" s="1"/>
  <c r="R442" i="1"/>
  <c r="S442" i="1" l="1"/>
  <c r="T442" i="1" s="1"/>
  <c r="R441" i="1"/>
  <c r="S441" i="1" l="1"/>
  <c r="T441" i="1" s="1"/>
  <c r="R440" i="1"/>
  <c r="S440" i="1" l="1"/>
  <c r="T440" i="1" s="1"/>
  <c r="R439" i="1"/>
  <c r="S439" i="1" l="1"/>
  <c r="T439" i="1" s="1"/>
  <c r="R438" i="1"/>
  <c r="R437" i="1" l="1"/>
  <c r="S438" i="1"/>
  <c r="T438" i="1" s="1"/>
  <c r="S437" i="1" l="1"/>
  <c r="T437" i="1" s="1"/>
  <c r="R436" i="1"/>
  <c r="R435" i="1" l="1"/>
  <c r="S436" i="1"/>
  <c r="T436" i="1" s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S431" i="1" l="1"/>
  <c r="T431" i="1" s="1"/>
  <c r="R430" i="1"/>
  <c r="S430" i="1" l="1"/>
  <c r="T430" i="1" s="1"/>
  <c r="R429" i="1"/>
  <c r="S429" i="1" l="1"/>
  <c r="T429" i="1" s="1"/>
  <c r="R428" i="1"/>
  <c r="S428" i="1" l="1"/>
  <c r="T428" i="1" s="1"/>
  <c r="R427" i="1"/>
  <c r="S427" i="1" l="1"/>
  <c r="T427" i="1" s="1"/>
  <c r="R426" i="1"/>
  <c r="R425" i="1" l="1"/>
  <c r="S426" i="1"/>
  <c r="T426" i="1" s="1"/>
  <c r="S425" i="1" l="1"/>
  <c r="T425" i="1" s="1"/>
  <c r="R424" i="1"/>
  <c r="S424" i="1" l="1"/>
  <c r="T424" i="1" s="1"/>
  <c r="R423" i="1"/>
  <c r="S423" i="1" l="1"/>
  <c r="T423" i="1" s="1"/>
  <c r="R422" i="1"/>
  <c r="S422" i="1" l="1"/>
  <c r="T422" i="1" s="1"/>
  <c r="R421" i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S386" i="1" l="1"/>
  <c r="T386" i="1" s="1"/>
  <c r="R385" i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R378" i="1" l="1"/>
  <c r="S379" i="1"/>
  <c r="T379" i="1" s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S362" i="1" l="1"/>
  <c r="T362" i="1" s="1"/>
  <c r="R361" i="1"/>
  <c r="R360" i="1" l="1"/>
  <c r="S361" i="1"/>
  <c r="T361" i="1" s="1"/>
  <c r="S360" i="1" l="1"/>
  <c r="T360" i="1" s="1"/>
  <c r="R359" i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S353" i="1" l="1"/>
  <c r="T353" i="1" s="1"/>
  <c r="R352" i="1"/>
  <c r="S352" i="1" l="1"/>
  <c r="T352" i="1" s="1"/>
  <c r="R351" i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S347" i="1" l="1"/>
  <c r="T347" i="1" s="1"/>
  <c r="R346" i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S314" i="1" l="1"/>
  <c r="T314" i="1" s="1"/>
  <c r="R313" i="1"/>
  <c r="R312" i="1" l="1"/>
  <c r="S313" i="1"/>
  <c r="T313" i="1" s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S302" i="1" l="1"/>
  <c r="T302" i="1" s="1"/>
  <c r="R301" i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S275" i="1" l="1"/>
  <c r="T275" i="1" s="1"/>
  <c r="R274" i="1"/>
  <c r="S274" i="1" l="1"/>
  <c r="T274" i="1" s="1"/>
  <c r="R273" i="1"/>
  <c r="S273" i="1" l="1"/>
  <c r="T273" i="1" s="1"/>
  <c r="R272" i="1"/>
  <c r="R271" i="1" l="1"/>
  <c r="S272" i="1"/>
  <c r="T272" i="1" s="1"/>
  <c r="S271" i="1" l="1"/>
  <c r="T271" i="1" s="1"/>
  <c r="R270" i="1"/>
  <c r="S270" i="1" l="1"/>
  <c r="T270" i="1" s="1"/>
  <c r="R269" i="1"/>
  <c r="S269" i="1" l="1"/>
  <c r="T269" i="1" s="1"/>
  <c r="R268" i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R261" i="1" l="1"/>
  <c r="S262" i="1"/>
  <c r="T262" i="1" s="1"/>
  <c r="S261" i="1" l="1"/>
  <c r="T261" i="1" s="1"/>
  <c r="R260" i="1"/>
  <c r="R259" i="1" l="1"/>
  <c r="S260" i="1"/>
  <c r="T260" i="1" s="1"/>
  <c r="R258" i="1" l="1"/>
  <c r="S259" i="1"/>
  <c r="T259" i="1" s="1"/>
  <c r="S258" i="1" l="1"/>
  <c r="T258" i="1" s="1"/>
  <c r="R257" i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S253" i="1" l="1"/>
  <c r="T253" i="1" s="1"/>
  <c r="R252" i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R244" i="1" l="1"/>
  <c r="S245" i="1"/>
  <c r="T245" i="1" s="1"/>
  <c r="S244" i="1" l="1"/>
  <c r="T244" i="1" s="1"/>
  <c r="R243" i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S170" i="1" l="1"/>
  <c r="T170" i="1" s="1"/>
  <c r="R169" i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S111" i="1" l="1"/>
  <c r="T111" i="1" s="1"/>
  <c r="R110" i="1"/>
  <c r="S110" i="1" l="1"/>
  <c r="T110" i="1" s="1"/>
  <c r="R109" i="1"/>
  <c r="S109" i="1" l="1"/>
  <c r="T109" i="1" s="1"/>
  <c r="R108" i="1"/>
  <c r="R107" i="1" l="1"/>
  <c r="S108" i="1"/>
  <c r="T108" i="1" s="1"/>
  <c r="R106" i="1" l="1"/>
  <c r="S107" i="1"/>
  <c r="T107" i="1" s="1"/>
  <c r="S106" i="1" l="1"/>
  <c r="T106" i="1" s="1"/>
  <c r="R105" i="1"/>
  <c r="R104" i="1" l="1"/>
  <c r="S105" i="1"/>
  <c r="T105" i="1" s="1"/>
  <c r="S104" i="1" l="1"/>
  <c r="T104" i="1" s="1"/>
  <c r="R103" i="1"/>
  <c r="S103" i="1" l="1"/>
  <c r="T103" i="1" s="1"/>
  <c r="R102" i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R75" i="1" l="1"/>
  <c r="S76" i="1"/>
  <c r="T76" i="1" s="1"/>
  <c r="S75" i="1" l="1"/>
  <c r="T75" i="1" s="1"/>
  <c r="R74" i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R52" i="1" l="1"/>
  <c r="S53" i="1"/>
  <c r="T53" i="1" s="1"/>
  <c r="S52" i="1" l="1"/>
  <c r="T52" i="1" s="1"/>
  <c r="R51" i="1"/>
  <c r="R50" i="1" l="1"/>
  <c r="S51" i="1"/>
  <c r="T51" i="1" s="1"/>
  <c r="S50" i="1" l="1"/>
  <c r="T50" i="1" s="1"/>
  <c r="R49" i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S45" i="1" l="1"/>
  <c r="T45" i="1" s="1"/>
  <c r="R44" i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<sst xmlns="http://schemas.openxmlformats.org/spreadsheetml/2006/main" count="3166" uniqueCount="34">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</sst>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0.6</c:v>
                </c:pt>
                <c:pt idx="1">
                  <c:v>0.61299999999999999</c:v>
                </c:pt>
                <c:pt idx="2">
                  <c:v>0.61399999999999999</c:v>
                </c:pt>
                <c:pt idx="3">
                  <c:v>0.58399999999999996</c:v>
                </c:pt>
                <c:pt idx="4">
                  <c:v>0.61699999999999999</c:v>
                </c:pt>
                <c:pt idx="5">
                  <c:v>0.60399999999999998</c:v>
                </c:pt>
                <c:pt idx="6">
                  <c:v>0.69699999999999995</c:v>
                </c:pt>
                <c:pt idx="7">
                  <c:v>0.82099999999999995</c:v>
                </c:pt>
                <c:pt idx="8">
                  <c:v>0.86699999999999999</c:v>
                </c:pt>
                <c:pt idx="9">
                  <c:v>0.89600000000000002</c:v>
                </c:pt>
                <c:pt idx="10">
                  <c:v>0.91500000000000004</c:v>
                </c:pt>
                <c:pt idx="11">
                  <c:v>0.97299999999999998</c:v>
                </c:pt>
                <c:pt idx="12">
                  <c:v>0.98299999999999998</c:v>
                </c:pt>
                <c:pt idx="13">
                  <c:v>0.99299999999999999</c:v>
                </c:pt>
                <c:pt idx="14">
                  <c:v>0.94199999999999995</c:v>
                </c:pt>
                <c:pt idx="15">
                  <c:v>0.97299999999999998</c:v>
                </c:pt>
                <c:pt idx="16">
                  <c:v>0.91500000000000004</c:v>
                </c:pt>
                <c:pt idx="17">
                  <c:v>0.877</c:v>
                </c:pt>
                <c:pt idx="18">
                  <c:v>0.92600000000000005</c:v>
                </c:pt>
                <c:pt idx="19">
                  <c:v>0.91600000000000004</c:v>
                </c:pt>
                <c:pt idx="20">
                  <c:v>0.96299999999999997</c:v>
                </c:pt>
                <c:pt idx="21">
                  <c:v>1.0509999999999999</c:v>
                </c:pt>
                <c:pt idx="22">
                  <c:v>1.0580000000000001</c:v>
                </c:pt>
                <c:pt idx="23">
                  <c:v>1.1439999999999999</c:v>
                </c:pt>
                <c:pt idx="24">
                  <c:v>1.1319999999999999</c:v>
                </c:pt>
                <c:pt idx="25">
                  <c:v>1.1359999999999999</c:v>
                </c:pt>
                <c:pt idx="26">
                  <c:v>1.127</c:v>
                </c:pt>
                <c:pt idx="27">
                  <c:v>1.0649999999999999</c:v>
                </c:pt>
                <c:pt idx="28">
                  <c:v>1.0840000000000001</c:v>
                </c:pt>
                <c:pt idx="29">
                  <c:v>1.0580000000000001</c:v>
                </c:pt>
                <c:pt idx="30">
                  <c:v>1.101</c:v>
                </c:pt>
                <c:pt idx="31">
                  <c:v>1.2270000000000001</c:v>
                </c:pt>
                <c:pt idx="32">
                  <c:v>1.2330000000000001</c:v>
                </c:pt>
                <c:pt idx="33">
                  <c:v>1.1850000000000001</c:v>
                </c:pt>
                <c:pt idx="34">
                  <c:v>1.157</c:v>
                </c:pt>
                <c:pt idx="35">
                  <c:v>1.2</c:v>
                </c:pt>
                <c:pt idx="36">
                  <c:v>1.1140000000000001</c:v>
                </c:pt>
                <c:pt idx="37">
                  <c:v>1.077</c:v>
                </c:pt>
                <c:pt idx="38">
                  <c:v>1.038</c:v>
                </c:pt>
                <c:pt idx="39">
                  <c:v>1.0780000000000001</c:v>
                </c:pt>
                <c:pt idx="40">
                  <c:v>1.1000000000000001</c:v>
                </c:pt>
                <c:pt idx="41">
                  <c:v>1.073</c:v>
                </c:pt>
                <c:pt idx="42">
                  <c:v>1.0960000000000001</c:v>
                </c:pt>
                <c:pt idx="43">
                  <c:v>1.117</c:v>
                </c:pt>
                <c:pt idx="44">
                  <c:v>1.0960000000000001</c:v>
                </c:pt>
                <c:pt idx="45">
                  <c:v>1.069</c:v>
                </c:pt>
                <c:pt idx="46">
                  <c:v>1.214</c:v>
                </c:pt>
                <c:pt idx="47">
                  <c:v>1.1559999999999999</c:v>
                </c:pt>
                <c:pt idx="48">
                  <c:v>1.151</c:v>
                </c:pt>
                <c:pt idx="49">
                  <c:v>1.2070000000000001</c:v>
                </c:pt>
                <c:pt idx="50">
                  <c:v>1.321</c:v>
                </c:pt>
                <c:pt idx="51">
                  <c:v>1.2809999999999999</c:v>
                </c:pt>
                <c:pt idx="52">
                  <c:v>1.2809999999999999</c:v>
                </c:pt>
                <c:pt idx="53">
                  <c:v>1.2470000000000001</c:v>
                </c:pt>
                <c:pt idx="54">
                  <c:v>1.3560000000000001</c:v>
                </c:pt>
                <c:pt idx="55">
                  <c:v>1.7330000000000001</c:v>
                </c:pt>
                <c:pt idx="56">
                  <c:v>1.704</c:v>
                </c:pt>
                <c:pt idx="57">
                  <c:v>1.742</c:v>
                </c:pt>
                <c:pt idx="58">
                  <c:v>1.7270000000000001</c:v>
                </c:pt>
                <c:pt idx="59">
                  <c:v>1.76</c:v>
                </c:pt>
                <c:pt idx="60">
                  <c:v>1.746</c:v>
                </c:pt>
                <c:pt idx="61">
                  <c:v>1.768</c:v>
                </c:pt>
                <c:pt idx="62">
                  <c:v>1.716</c:v>
                </c:pt>
                <c:pt idx="63">
                  <c:v>1.907</c:v>
                </c:pt>
                <c:pt idx="64">
                  <c:v>1.88</c:v>
                </c:pt>
                <c:pt idx="65">
                  <c:v>1.9019999999999999</c:v>
                </c:pt>
                <c:pt idx="66">
                  <c:v>1.87</c:v>
                </c:pt>
                <c:pt idx="67">
                  <c:v>1.9950000000000001</c:v>
                </c:pt>
                <c:pt idx="68">
                  <c:v>2.044</c:v>
                </c:pt>
                <c:pt idx="69">
                  <c:v>1.9690000000000001</c:v>
                </c:pt>
                <c:pt idx="70">
                  <c:v>1.9119999999999999</c:v>
                </c:pt>
                <c:pt idx="71">
                  <c:v>1.9470000000000001</c:v>
                </c:pt>
                <c:pt idx="72">
                  <c:v>1.883</c:v>
                </c:pt>
                <c:pt idx="73">
                  <c:v>2.1059999999999999</c:v>
                </c:pt>
                <c:pt idx="74">
                  <c:v>2.19</c:v>
                </c:pt>
                <c:pt idx="75">
                  <c:v>2.1509999999999998</c:v>
                </c:pt>
                <c:pt idx="76">
                  <c:v>2.0739999999999998</c:v>
                </c:pt>
                <c:pt idx="77">
                  <c:v>2.13</c:v>
                </c:pt>
                <c:pt idx="78">
                  <c:v>2.0630000000000002</c:v>
                </c:pt>
                <c:pt idx="79">
                  <c:v>2.173</c:v>
                </c:pt>
                <c:pt idx="80">
                  <c:v>2.1030000000000002</c:v>
                </c:pt>
                <c:pt idx="81">
                  <c:v>2.1</c:v>
                </c:pt>
                <c:pt idx="82">
                  <c:v>2.0550000000000002</c:v>
                </c:pt>
                <c:pt idx="83">
                  <c:v>2.0939999999999999</c:v>
                </c:pt>
                <c:pt idx="84">
                  <c:v>2.0699999999999998</c:v>
                </c:pt>
                <c:pt idx="85">
                  <c:v>2.1349999999999998</c:v>
                </c:pt>
                <c:pt idx="86">
                  <c:v>2.1819999999999999</c:v>
                </c:pt>
                <c:pt idx="87">
                  <c:v>2.0640000000000001</c:v>
                </c:pt>
                <c:pt idx="88">
                  <c:v>2.0019999999999998</c:v>
                </c:pt>
                <c:pt idx="89">
                  <c:v>2.0779999999999998</c:v>
                </c:pt>
                <c:pt idx="90">
                  <c:v>1.9159999999999999</c:v>
                </c:pt>
                <c:pt idx="91">
                  <c:v>1.8360000000000001</c:v>
                </c:pt>
                <c:pt idx="92">
                  <c:v>1.75</c:v>
                </c:pt>
                <c:pt idx="93">
                  <c:v>2.032</c:v>
                </c:pt>
                <c:pt idx="94">
                  <c:v>2.06</c:v>
                </c:pt>
                <c:pt idx="95">
                  <c:v>1.986</c:v>
                </c:pt>
                <c:pt idx="96">
                  <c:v>2.0569999999999999</c:v>
                </c:pt>
                <c:pt idx="97">
                  <c:v>2.0510000000000002</c:v>
                </c:pt>
                <c:pt idx="98">
                  <c:v>2.028</c:v>
                </c:pt>
                <c:pt idx="99">
                  <c:v>2.133</c:v>
                </c:pt>
                <c:pt idx="100">
                  <c:v>2.0110000000000001</c:v>
                </c:pt>
                <c:pt idx="101">
                  <c:v>2.036</c:v>
                </c:pt>
                <c:pt idx="102">
                  <c:v>1.992</c:v>
                </c:pt>
                <c:pt idx="103">
                  <c:v>2.0590000000000002</c:v>
                </c:pt>
                <c:pt idx="104">
                  <c:v>2.09</c:v>
                </c:pt>
                <c:pt idx="105">
                  <c:v>2.1440000000000001</c:v>
                </c:pt>
                <c:pt idx="106">
                  <c:v>1.913</c:v>
                </c:pt>
                <c:pt idx="107">
                  <c:v>1.897</c:v>
                </c:pt>
                <c:pt idx="108">
                  <c:v>1.8009999999999999</c:v>
                </c:pt>
                <c:pt idx="109">
                  <c:v>1.8160000000000001</c:v>
                </c:pt>
                <c:pt idx="110">
                  <c:v>1.96</c:v>
                </c:pt>
                <c:pt idx="111">
                  <c:v>1.9319999999999999</c:v>
                </c:pt>
                <c:pt idx="112">
                  <c:v>1.9830000000000001</c:v>
                </c:pt>
                <c:pt idx="113">
                  <c:v>1.9</c:v>
                </c:pt>
                <c:pt idx="114">
                  <c:v>1.8029999999999999</c:v>
                </c:pt>
                <c:pt idx="115">
                  <c:v>1.744</c:v>
                </c:pt>
                <c:pt idx="116">
                  <c:v>1.806</c:v>
                </c:pt>
                <c:pt idx="117">
                  <c:v>1.8180000000000001</c:v>
                </c:pt>
                <c:pt idx="118">
                  <c:v>1.829</c:v>
                </c:pt>
                <c:pt idx="119">
                  <c:v>1.714</c:v>
                </c:pt>
                <c:pt idx="120">
                  <c:v>1.6479999999999999</c:v>
                </c:pt>
                <c:pt idx="121">
                  <c:v>1.595</c:v>
                </c:pt>
                <c:pt idx="122">
                  <c:v>1.57</c:v>
                </c:pt>
                <c:pt idx="123">
                  <c:v>1.5389999999999999</c:v>
                </c:pt>
                <c:pt idx="124">
                  <c:v>1.5649999999999999</c:v>
                </c:pt>
                <c:pt idx="125">
                  <c:v>1.581</c:v>
                </c:pt>
                <c:pt idx="126">
                  <c:v>1.7310000000000001</c:v>
                </c:pt>
                <c:pt idx="127">
                  <c:v>1.7230000000000001</c:v>
                </c:pt>
                <c:pt idx="128">
                  <c:v>1.5409999999999999</c:v>
                </c:pt>
                <c:pt idx="129">
                  <c:v>1.7849999999999999</c:v>
                </c:pt>
                <c:pt idx="130">
                  <c:v>1.946</c:v>
                </c:pt>
                <c:pt idx="131">
                  <c:v>2.0129999999999999</c:v>
                </c:pt>
                <c:pt idx="132">
                  <c:v>1.974</c:v>
                </c:pt>
                <c:pt idx="133">
                  <c:v>2.056</c:v>
                </c:pt>
                <c:pt idx="134">
                  <c:v>2.149</c:v>
                </c:pt>
                <c:pt idx="135">
                  <c:v>2.0099999999999998</c:v>
                </c:pt>
                <c:pt idx="136">
                  <c:v>1.909</c:v>
                </c:pt>
                <c:pt idx="137">
                  <c:v>2.0430000000000001</c:v>
                </c:pt>
                <c:pt idx="138">
                  <c:v>1.964</c:v>
                </c:pt>
                <c:pt idx="139">
                  <c:v>1.94</c:v>
                </c:pt>
                <c:pt idx="140">
                  <c:v>2.0760000000000001</c:v>
                </c:pt>
                <c:pt idx="141">
                  <c:v>2.0409999999999999</c:v>
                </c:pt>
                <c:pt idx="142">
                  <c:v>2.1030000000000002</c:v>
                </c:pt>
                <c:pt idx="143">
                  <c:v>2.8769999999999998</c:v>
                </c:pt>
                <c:pt idx="144">
                  <c:v>2.9569999999999999</c:v>
                </c:pt>
                <c:pt idx="145">
                  <c:v>2.8690000000000002</c:v>
                </c:pt>
                <c:pt idx="146">
                  <c:v>2.8639999999999999</c:v>
                </c:pt>
                <c:pt idx="147">
                  <c:v>2.82</c:v>
                </c:pt>
                <c:pt idx="148">
                  <c:v>2.875</c:v>
                </c:pt>
                <c:pt idx="149">
                  <c:v>2.63</c:v>
                </c:pt>
                <c:pt idx="150">
                  <c:v>2.6930000000000001</c:v>
                </c:pt>
                <c:pt idx="151">
                  <c:v>2.7989999999999999</c:v>
                </c:pt>
                <c:pt idx="152">
                  <c:v>2.7519999999999998</c:v>
                </c:pt>
                <c:pt idx="153">
                  <c:v>2.88</c:v>
                </c:pt>
                <c:pt idx="154">
                  <c:v>2.6859999999999999</c:v>
                </c:pt>
                <c:pt idx="155">
                  <c:v>2.9420999999999999</c:v>
                </c:pt>
                <c:pt idx="156">
                  <c:v>2.7875000000000001</c:v>
                </c:pt>
                <c:pt idx="157">
                  <c:v>3.1332</c:v>
                </c:pt>
                <c:pt idx="158">
                  <c:v>2.9529999999999998</c:v>
                </c:pt>
                <c:pt idx="159">
                  <c:v>2.6107</c:v>
                </c:pt>
                <c:pt idx="160">
                  <c:v>2.6371000000000002</c:v>
                </c:pt>
                <c:pt idx="161">
                  <c:v>2.6191</c:v>
                </c:pt>
                <c:pt idx="162">
                  <c:v>2.3690000000000002</c:v>
                </c:pt>
                <c:pt idx="163">
                  <c:v>2.46</c:v>
                </c:pt>
                <c:pt idx="164">
                  <c:v>2.6126</c:v>
                </c:pt>
                <c:pt idx="165">
                  <c:v>2.6718999999999999</c:v>
                </c:pt>
                <c:pt idx="166">
                  <c:v>2.6823000000000001</c:v>
                </c:pt>
                <c:pt idx="167">
                  <c:v>2.5848</c:v>
                </c:pt>
                <c:pt idx="168">
                  <c:v>2.3832</c:v>
                </c:pt>
                <c:pt idx="169">
                  <c:v>2.5</c:v>
                </c:pt>
                <c:pt idx="170">
                  <c:v>2.4647000000000001</c:v>
                </c:pt>
                <c:pt idx="171">
                  <c:v>2.3351000000000002</c:v>
                </c:pt>
                <c:pt idx="172">
                  <c:v>2.1593</c:v>
                </c:pt>
                <c:pt idx="173">
                  <c:v>2.3513999999999999</c:v>
                </c:pt>
                <c:pt idx="174">
                  <c:v>2.2385000000000002</c:v>
                </c:pt>
                <c:pt idx="175">
                  <c:v>2.1516999999999999</c:v>
                </c:pt>
                <c:pt idx="176">
                  <c:v>2.0487000000000002</c:v>
                </c:pt>
                <c:pt idx="177">
                  <c:v>1.9227000000000001</c:v>
                </c:pt>
                <c:pt idx="178">
                  <c:v>1.9990000000000001</c:v>
                </c:pt>
                <c:pt idx="179">
                  <c:v>2.0034999999999998</c:v>
                </c:pt>
                <c:pt idx="180">
                  <c:v>2.0131999999999999</c:v>
                </c:pt>
                <c:pt idx="181">
                  <c:v>1.9557</c:v>
                </c:pt>
                <c:pt idx="182">
                  <c:v>1.9140999999999999</c:v>
                </c:pt>
                <c:pt idx="183">
                  <c:v>1.9152</c:v>
                </c:pt>
                <c:pt idx="184">
                  <c:v>1.9593</c:v>
                </c:pt>
                <c:pt idx="185">
                  <c:v>1.9175</c:v>
                </c:pt>
                <c:pt idx="186">
                  <c:v>1.9779</c:v>
                </c:pt>
                <c:pt idx="187">
                  <c:v>1.9463999999999999</c:v>
                </c:pt>
                <c:pt idx="188">
                  <c:v>1.8341000000000001</c:v>
                </c:pt>
                <c:pt idx="189">
                  <c:v>1.7233000000000001</c:v>
                </c:pt>
                <c:pt idx="190">
                  <c:v>1.702</c:v>
                </c:pt>
                <c:pt idx="191">
                  <c:v>1.5733999999999999</c:v>
                </c:pt>
                <c:pt idx="192">
                  <c:v>1.6761999999999999</c:v>
                </c:pt>
                <c:pt idx="193">
                  <c:v>1.8592</c:v>
                </c:pt>
                <c:pt idx="194">
                  <c:v>1.8765000000000001</c:v>
                </c:pt>
                <c:pt idx="195">
                  <c:v>1.9406000000000001</c:v>
                </c:pt>
                <c:pt idx="196">
                  <c:v>2.2471999999999999</c:v>
                </c:pt>
                <c:pt idx="197">
                  <c:v>1.8957999999999999</c:v>
                </c:pt>
                <c:pt idx="198">
                  <c:v>1.9096</c:v>
                </c:pt>
                <c:pt idx="199">
                  <c:v>1.9726999999999999</c:v>
                </c:pt>
                <c:pt idx="200">
                  <c:v>2.0135999999999998</c:v>
                </c:pt>
                <c:pt idx="201">
                  <c:v>1.9934000000000001</c:v>
                </c:pt>
                <c:pt idx="202">
                  <c:v>2.0798999999999999</c:v>
                </c:pt>
                <c:pt idx="203">
                  <c:v>1.9958</c:v>
                </c:pt>
                <c:pt idx="204">
                  <c:v>2.1945000000000001</c:v>
                </c:pt>
                <c:pt idx="205">
                  <c:v>2.0146999999999999</c:v>
                </c:pt>
                <c:pt idx="206">
                  <c:v>1.8484</c:v>
                </c:pt>
                <c:pt idx="207">
                  <c:v>2.0143</c:v>
                </c:pt>
                <c:pt idx="208">
                  <c:v>1.8224</c:v>
                </c:pt>
                <c:pt idx="209">
                  <c:v>1.7566999999999999</c:v>
                </c:pt>
                <c:pt idx="210">
                  <c:v>1.8026</c:v>
                </c:pt>
                <c:pt idx="211">
                  <c:v>1.9390000000000001</c:v>
                </c:pt>
                <c:pt idx="212">
                  <c:v>2.0255000000000001</c:v>
                </c:pt>
                <c:pt idx="213">
                  <c:v>1.8582000000000001</c:v>
                </c:pt>
                <c:pt idx="214">
                  <c:v>1.9372</c:v>
                </c:pt>
                <c:pt idx="215">
                  <c:v>1.8504</c:v>
                </c:pt>
                <c:pt idx="216">
                  <c:v>1.9158999999999999</c:v>
                </c:pt>
                <c:pt idx="217">
                  <c:v>2.2403</c:v>
                </c:pt>
                <c:pt idx="218">
                  <c:v>2.5194999999999999</c:v>
                </c:pt>
                <c:pt idx="219">
                  <c:v>1.8339000000000001</c:v>
                </c:pt>
                <c:pt idx="220">
                  <c:v>2.0781999999999998</c:v>
                </c:pt>
                <c:pt idx="221">
                  <c:v>2.8403</c:v>
                </c:pt>
                <c:pt idx="222">
                  <c:v>2.8677999999999999</c:v>
                </c:pt>
                <c:pt idx="223">
                  <c:v>2.9226000000000001</c:v>
                </c:pt>
                <c:pt idx="224">
                  <c:v>3.1200999999999999</c:v>
                </c:pt>
                <c:pt idx="225">
                  <c:v>3.0251000000000001</c:v>
                </c:pt>
                <c:pt idx="226">
                  <c:v>3.2519999999999998</c:v>
                </c:pt>
                <c:pt idx="227">
                  <c:v>3.3464999999999998</c:v>
                </c:pt>
                <c:pt idx="228">
                  <c:v>3.1913999999999998</c:v>
                </c:pt>
                <c:pt idx="229">
                  <c:v>3.0068999999999999</c:v>
                </c:pt>
                <c:pt idx="230">
                  <c:v>3.1848999999999998</c:v>
                </c:pt>
                <c:pt idx="231">
                  <c:v>2.9476</c:v>
                </c:pt>
                <c:pt idx="232">
                  <c:v>3.2919999999999998</c:v>
                </c:pt>
                <c:pt idx="233">
                  <c:v>3.0204</c:v>
                </c:pt>
                <c:pt idx="234">
                  <c:v>3.2627999999999999</c:v>
                </c:pt>
                <c:pt idx="235">
                  <c:v>3.7656999999999998</c:v>
                </c:pt>
                <c:pt idx="236">
                  <c:v>3.8026</c:v>
                </c:pt>
                <c:pt idx="237">
                  <c:v>3.8967999999999998</c:v>
                </c:pt>
                <c:pt idx="238">
                  <c:v>4.4913999999999996</c:v>
                </c:pt>
                <c:pt idx="239">
                  <c:v>4.1851000000000003</c:v>
                </c:pt>
                <c:pt idx="240">
                  <c:v>4.0503999999999998</c:v>
                </c:pt>
                <c:pt idx="241">
                  <c:v>4.1433999999999997</c:v>
                </c:pt>
                <c:pt idx="242">
                  <c:v>4.0717999999999996</c:v>
                </c:pt>
                <c:pt idx="243">
                  <c:v>4.0864000000000003</c:v>
                </c:pt>
                <c:pt idx="244">
                  <c:v>4.4550000000000001</c:v>
                </c:pt>
                <c:pt idx="245">
                  <c:v>4.8303000000000003</c:v>
                </c:pt>
                <c:pt idx="246">
                  <c:v>4.4428000000000001</c:v>
                </c:pt>
                <c:pt idx="247">
                  <c:v>3.5207999999999999</c:v>
                </c:pt>
                <c:pt idx="248">
                  <c:v>3.3247</c:v>
                </c:pt>
                <c:pt idx="249">
                  <c:v>2.355</c:v>
                </c:pt>
                <c:pt idx="250">
                  <c:v>3.0756000000000001</c:v>
                </c:pt>
                <c:pt idx="251">
                  <c:v>3.6871999999999998</c:v>
                </c:pt>
                <c:pt idx="252">
                  <c:v>4.9089</c:v>
                </c:pt>
                <c:pt idx="253">
                  <c:v>4.0438999999999998</c:v>
                </c:pt>
                <c:pt idx="254">
                  <c:v>6.5350000000000001</c:v>
                </c:pt>
                <c:pt idx="255">
                  <c:v>6.7209000000000003</c:v>
                </c:pt>
                <c:pt idx="256">
                  <c:v>7.2356999999999996</c:v>
                </c:pt>
                <c:pt idx="257">
                  <c:v>5.71</c:v>
                </c:pt>
                <c:pt idx="258">
                  <c:v>5.7218999999999998</c:v>
                </c:pt>
                <c:pt idx="259">
                  <c:v>4.88</c:v>
                </c:pt>
                <c:pt idx="260">
                  <c:v>4.6939000000000002</c:v>
                </c:pt>
                <c:pt idx="261">
                  <c:v>6.05</c:v>
                </c:pt>
                <c:pt idx="262">
                  <c:v>5.3830999999999998</c:v>
                </c:pt>
                <c:pt idx="263">
                  <c:v>6.1246999999999998</c:v>
                </c:pt>
                <c:pt idx="264">
                  <c:v>6.4318</c:v>
                </c:pt>
                <c:pt idx="265">
                  <c:v>6.2625999999999999</c:v>
                </c:pt>
                <c:pt idx="266">
                  <c:v>5.7510000000000003</c:v>
                </c:pt>
                <c:pt idx="267">
                  <c:v>6.1635999999999997</c:v>
                </c:pt>
                <c:pt idx="268">
                  <c:v>6.0285000000000002</c:v>
                </c:pt>
                <c:pt idx="269">
                  <c:v>6.8289999999999997</c:v>
                </c:pt>
                <c:pt idx="270">
                  <c:v>8.1395999999999997</c:v>
                </c:pt>
                <c:pt idx="271">
                  <c:v>6.5454999999999997</c:v>
                </c:pt>
                <c:pt idx="272">
                  <c:v>4.3026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7-4379-BD2D-7C106B4A74D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-0.95146685479229365</c:v>
                </c:pt>
                <c:pt idx="1">
                  <c:v>-0.9476649595922938</c:v>
                </c:pt>
                <c:pt idx="2">
                  <c:v>-0.89073461254311348</c:v>
                </c:pt>
                <c:pt idx="3">
                  <c:v>-0.93606683134311341</c:v>
                </c:pt>
                <c:pt idx="4">
                  <c:v>-0.97365954064837645</c:v>
                </c:pt>
                <c:pt idx="5">
                  <c:v>-0.98141435798170984</c:v>
                </c:pt>
                <c:pt idx="6">
                  <c:v>-0.90505448798170973</c:v>
                </c:pt>
                <c:pt idx="7">
                  <c:v>-0.79625168939837621</c:v>
                </c:pt>
                <c:pt idx="8">
                  <c:v>-0.75681383088674825</c:v>
                </c:pt>
                <c:pt idx="9">
                  <c:v>-0.74456807468674824</c:v>
                </c:pt>
                <c:pt idx="10">
                  <c:v>-0.74645849450213275</c:v>
                </c:pt>
                <c:pt idx="11">
                  <c:v>-0.7210222334231855</c:v>
                </c:pt>
                <c:pt idx="12">
                  <c:v>-0.72918545915291522</c:v>
                </c:pt>
                <c:pt idx="13">
                  <c:v>-0.72023458911291527</c:v>
                </c:pt>
                <c:pt idx="14">
                  <c:v>-0.76422348225577252</c:v>
                </c:pt>
                <c:pt idx="15">
                  <c:v>-0.72767108102935718</c:v>
                </c:pt>
                <c:pt idx="16">
                  <c:v>-0.76653737808818068</c:v>
                </c:pt>
                <c:pt idx="17">
                  <c:v>-0.7887150370881808</c:v>
                </c:pt>
                <c:pt idx="18">
                  <c:v>-0.77701475494532357</c:v>
                </c:pt>
                <c:pt idx="19">
                  <c:v>-0.77452998070042578</c:v>
                </c:pt>
                <c:pt idx="20">
                  <c:v>-0.74426425488489178</c:v>
                </c:pt>
                <c:pt idx="21">
                  <c:v>-0.68203917559285643</c:v>
                </c:pt>
                <c:pt idx="22">
                  <c:v>-0.71595677309285644</c:v>
                </c:pt>
                <c:pt idx="23">
                  <c:v>-0.59603927976110316</c:v>
                </c:pt>
                <c:pt idx="24">
                  <c:v>-0.59384216210320817</c:v>
                </c:pt>
                <c:pt idx="25">
                  <c:v>-0.57295980710320782</c:v>
                </c:pt>
                <c:pt idx="26">
                  <c:v>-0.58702259974471704</c:v>
                </c:pt>
                <c:pt idx="27">
                  <c:v>-0.62488312639260424</c:v>
                </c:pt>
                <c:pt idx="28">
                  <c:v>-0.61261882345414265</c:v>
                </c:pt>
                <c:pt idx="29">
                  <c:v>-0.61953728753106585</c:v>
                </c:pt>
                <c:pt idx="30">
                  <c:v>-0.58580300691341902</c:v>
                </c:pt>
                <c:pt idx="31">
                  <c:v>-0.50155799950740376</c:v>
                </c:pt>
                <c:pt idx="32">
                  <c:v>-0.44020545802255534</c:v>
                </c:pt>
                <c:pt idx="33">
                  <c:v>-0.45314840739674894</c:v>
                </c:pt>
                <c:pt idx="34">
                  <c:v>-0.47321739376038552</c:v>
                </c:pt>
                <c:pt idx="35">
                  <c:v>-0.50400820737359309</c:v>
                </c:pt>
                <c:pt idx="36">
                  <c:v>-0.55162261839990867</c:v>
                </c:pt>
                <c:pt idx="37">
                  <c:v>-0.58122317047398309</c:v>
                </c:pt>
                <c:pt idx="38">
                  <c:v>-0.61118704397398305</c:v>
                </c:pt>
                <c:pt idx="39">
                  <c:v>-0.6082218512092773</c:v>
                </c:pt>
                <c:pt idx="40">
                  <c:v>-0.58865392469075883</c:v>
                </c:pt>
                <c:pt idx="41">
                  <c:v>-0.6130427760240923</c:v>
                </c:pt>
                <c:pt idx="42">
                  <c:v>-0.61176490732964772</c:v>
                </c:pt>
                <c:pt idx="43">
                  <c:v>-0.58311866032964776</c:v>
                </c:pt>
                <c:pt idx="44">
                  <c:v>-0.62196456290762958</c:v>
                </c:pt>
                <c:pt idx="45">
                  <c:v>-0.66090246587059276</c:v>
                </c:pt>
                <c:pt idx="46">
                  <c:v>-0.60620755827282746</c:v>
                </c:pt>
                <c:pt idx="47">
                  <c:v>-0.61297605465120564</c:v>
                </c:pt>
                <c:pt idx="48">
                  <c:v>-0.61738558048453895</c:v>
                </c:pt>
                <c:pt idx="49">
                  <c:v>-0.54621012622647447</c:v>
                </c:pt>
                <c:pt idx="50">
                  <c:v>-0.48432253867251768</c:v>
                </c:pt>
                <c:pt idx="51">
                  <c:v>-0.5801231692607528</c:v>
                </c:pt>
                <c:pt idx="52">
                  <c:v>-0.50336958744257077</c:v>
                </c:pt>
                <c:pt idx="53">
                  <c:v>-0.57471854586029214</c:v>
                </c:pt>
                <c:pt idx="54">
                  <c:v>-0.51882491247878948</c:v>
                </c:pt>
                <c:pt idx="55">
                  <c:v>-0.49925773000730134</c:v>
                </c:pt>
                <c:pt idx="56">
                  <c:v>-0.49689096348838269</c:v>
                </c:pt>
                <c:pt idx="57">
                  <c:v>-0.49820914309303388</c:v>
                </c:pt>
                <c:pt idx="58">
                  <c:v>-0.47486012313954545</c:v>
                </c:pt>
                <c:pt idx="59">
                  <c:v>-0.44162004520204567</c:v>
                </c:pt>
                <c:pt idx="60">
                  <c:v>-0.45979206790474841</c:v>
                </c:pt>
                <c:pt idx="61">
                  <c:v>-0.52061888006642509</c:v>
                </c:pt>
                <c:pt idx="62">
                  <c:v>-0.5184517283437361</c:v>
                </c:pt>
                <c:pt idx="63">
                  <c:v>-0.41725968488773602</c:v>
                </c:pt>
                <c:pt idx="64">
                  <c:v>-0.4477313521709218</c:v>
                </c:pt>
                <c:pt idx="65">
                  <c:v>-0.44254160261536613</c:v>
                </c:pt>
                <c:pt idx="66">
                  <c:v>-0.48347651782328666</c:v>
                </c:pt>
                <c:pt idx="67">
                  <c:v>-0.41870642506571115</c:v>
                </c:pt>
                <c:pt idx="68">
                  <c:v>-0.33553024651015573</c:v>
                </c:pt>
                <c:pt idx="69">
                  <c:v>-0.36655906931148013</c:v>
                </c:pt>
                <c:pt idx="70">
                  <c:v>-0.40699886317112949</c:v>
                </c:pt>
                <c:pt idx="71">
                  <c:v>-0.4604798410822406</c:v>
                </c:pt>
                <c:pt idx="72">
                  <c:v>-0.52947024578224067</c:v>
                </c:pt>
                <c:pt idx="73">
                  <c:v>-0.48125401412229823</c:v>
                </c:pt>
                <c:pt idx="74">
                  <c:v>-0.43676984440801231</c:v>
                </c:pt>
                <c:pt idx="75">
                  <c:v>-0.4486874428587167</c:v>
                </c:pt>
                <c:pt idx="76">
                  <c:v>-0.49512834853613585</c:v>
                </c:pt>
                <c:pt idx="77">
                  <c:v>-0.45536237353613584</c:v>
                </c:pt>
                <c:pt idx="78">
                  <c:v>-0.50084617222363581</c:v>
                </c:pt>
                <c:pt idx="79">
                  <c:v>-0.41641312101575867</c:v>
                </c:pt>
                <c:pt idx="80">
                  <c:v>-0.42932421074874288</c:v>
                </c:pt>
                <c:pt idx="81">
                  <c:v>-0.47361668263109602</c:v>
                </c:pt>
                <c:pt idx="82">
                  <c:v>-0.46623184031109599</c:v>
                </c:pt>
                <c:pt idx="83">
                  <c:v>-0.48230419577352379</c:v>
                </c:pt>
                <c:pt idx="84">
                  <c:v>-0.42231329299574594</c:v>
                </c:pt>
                <c:pt idx="85">
                  <c:v>-0.4121430611877458</c:v>
                </c:pt>
                <c:pt idx="86">
                  <c:v>-0.37923867164742298</c:v>
                </c:pt>
                <c:pt idx="87">
                  <c:v>-0.42513300296449602</c:v>
                </c:pt>
                <c:pt idx="88">
                  <c:v>-0.4894367703195257</c:v>
                </c:pt>
                <c:pt idx="89">
                  <c:v>-0.4459800665850121</c:v>
                </c:pt>
                <c:pt idx="90">
                  <c:v>-0.58637864931708739</c:v>
                </c:pt>
                <c:pt idx="91">
                  <c:v>-0.61454391484993387</c:v>
                </c:pt>
                <c:pt idx="92">
                  <c:v>-0.66032357731568747</c:v>
                </c:pt>
                <c:pt idx="93">
                  <c:v>-0.51087994227043854</c:v>
                </c:pt>
                <c:pt idx="94">
                  <c:v>-0.45889553400956906</c:v>
                </c:pt>
                <c:pt idx="95">
                  <c:v>-0.49196416674641141</c:v>
                </c:pt>
                <c:pt idx="96">
                  <c:v>-0.47363439661654133</c:v>
                </c:pt>
                <c:pt idx="97">
                  <c:v>-0.49616327399749344</c:v>
                </c:pt>
                <c:pt idx="98">
                  <c:v>-0.49008868627472141</c:v>
                </c:pt>
                <c:pt idx="99">
                  <c:v>-0.41064309441964897</c:v>
                </c:pt>
                <c:pt idx="100">
                  <c:v>-0.46458872360684117</c:v>
                </c:pt>
                <c:pt idx="101">
                  <c:v>-0.45617788390436192</c:v>
                </c:pt>
                <c:pt idx="102">
                  <c:v>-0.52949844617102892</c:v>
                </c:pt>
                <c:pt idx="103">
                  <c:v>-0.52568746283769552</c:v>
                </c:pt>
                <c:pt idx="104">
                  <c:v>-0.46599551976920267</c:v>
                </c:pt>
                <c:pt idx="105">
                  <c:v>-0.45171487658170223</c:v>
                </c:pt>
                <c:pt idx="106">
                  <c:v>-0.36647140341048218</c:v>
                </c:pt>
                <c:pt idx="107">
                  <c:v>-0.38697370481048232</c:v>
                </c:pt>
                <c:pt idx="108">
                  <c:v>-0.5190750906208913</c:v>
                </c:pt>
                <c:pt idx="109">
                  <c:v>-0.50370557026268237</c:v>
                </c:pt>
                <c:pt idx="110">
                  <c:v>-0.45468581550808118</c:v>
                </c:pt>
                <c:pt idx="111">
                  <c:v>-0.42807526084141434</c:v>
                </c:pt>
                <c:pt idx="112">
                  <c:v>-0.34383842531200254</c:v>
                </c:pt>
                <c:pt idx="113">
                  <c:v>-0.3225630214748525</c:v>
                </c:pt>
                <c:pt idx="114">
                  <c:v>-0.43427127013178657</c:v>
                </c:pt>
                <c:pt idx="115">
                  <c:v>-0.47732335241480545</c:v>
                </c:pt>
                <c:pt idx="116">
                  <c:v>-0.48185949848147208</c:v>
                </c:pt>
                <c:pt idx="117">
                  <c:v>-0.46803128836099023</c:v>
                </c:pt>
                <c:pt idx="118">
                  <c:v>-0.42458988716099039</c:v>
                </c:pt>
                <c:pt idx="119">
                  <c:v>-0.51015706331483646</c:v>
                </c:pt>
                <c:pt idx="120">
                  <c:v>-0.56453813296483657</c:v>
                </c:pt>
                <c:pt idx="121">
                  <c:v>-0.49118311592135805</c:v>
                </c:pt>
                <c:pt idx="122">
                  <c:v>-0.42393723032533154</c:v>
                </c:pt>
                <c:pt idx="123">
                  <c:v>-0.31025703529744331</c:v>
                </c:pt>
                <c:pt idx="124">
                  <c:v>-0.37167533336448233</c:v>
                </c:pt>
                <c:pt idx="125">
                  <c:v>-0.38541687458187363</c:v>
                </c:pt>
                <c:pt idx="126">
                  <c:v>-0.35951526655037747</c:v>
                </c:pt>
                <c:pt idx="127">
                  <c:v>-0.40287251973681826</c:v>
                </c:pt>
                <c:pt idx="128">
                  <c:v>-0.44696835878559887</c:v>
                </c:pt>
                <c:pt idx="129">
                  <c:v>-0.37102252744614922</c:v>
                </c:pt>
                <c:pt idx="130">
                  <c:v>-0.33315158409961454</c:v>
                </c:pt>
                <c:pt idx="131">
                  <c:v>-0.30511886301340757</c:v>
                </c:pt>
                <c:pt idx="132">
                  <c:v>-0.30257078533898879</c:v>
                </c:pt>
                <c:pt idx="133">
                  <c:v>-0.26531102283898883</c:v>
                </c:pt>
                <c:pt idx="134">
                  <c:v>-0.22928269243639149</c:v>
                </c:pt>
                <c:pt idx="135">
                  <c:v>-0.31383383469381732</c:v>
                </c:pt>
                <c:pt idx="136">
                  <c:v>-0.36481722164118568</c:v>
                </c:pt>
                <c:pt idx="137">
                  <c:v>-0.34462385362609133</c:v>
                </c:pt>
                <c:pt idx="138">
                  <c:v>-0.3828865176260916</c:v>
                </c:pt>
                <c:pt idx="139">
                  <c:v>-0.35783753538924939</c:v>
                </c:pt>
                <c:pt idx="140">
                  <c:v>-0.27381803754752287</c:v>
                </c:pt>
                <c:pt idx="141">
                  <c:v>-0.2738180375475231</c:v>
                </c:pt>
                <c:pt idx="142">
                  <c:v>-0.2876394941589881</c:v>
                </c:pt>
                <c:pt idx="143">
                  <c:v>-5.6505608862545624E-2</c:v>
                </c:pt>
                <c:pt idx="144">
                  <c:v>-3.8406436708699213E-2</c:v>
                </c:pt>
                <c:pt idx="145">
                  <c:v>-7.1741431946794373E-2</c:v>
                </c:pt>
                <c:pt idx="146">
                  <c:v>-2.3051688081626307E-2</c:v>
                </c:pt>
                <c:pt idx="147">
                  <c:v>-6.7108005413423488E-2</c:v>
                </c:pt>
                <c:pt idx="148">
                  <c:v>3.5276028318420319E-2</c:v>
                </c:pt>
                <c:pt idx="149">
                  <c:v>-0.10363079457046874</c:v>
                </c:pt>
                <c:pt idx="150">
                  <c:v>-5.4574683659899696E-2</c:v>
                </c:pt>
                <c:pt idx="151">
                  <c:v>0.1207837186573418</c:v>
                </c:pt>
                <c:pt idx="152">
                  <c:v>7.8168234264484673E-2</c:v>
                </c:pt>
                <c:pt idx="153">
                  <c:v>0.1540143753126777</c:v>
                </c:pt>
                <c:pt idx="154">
                  <c:v>-3.563389737735901E-2</c:v>
                </c:pt>
                <c:pt idx="155">
                  <c:v>0.20980603830240996</c:v>
                </c:pt>
                <c:pt idx="156">
                  <c:v>3.9535727123949344E-2</c:v>
                </c:pt>
                <c:pt idx="157">
                  <c:v>0.24053613643814875</c:v>
                </c:pt>
                <c:pt idx="158">
                  <c:v>0.26603268878766995</c:v>
                </c:pt>
                <c:pt idx="159">
                  <c:v>0.12771870363560117</c:v>
                </c:pt>
                <c:pt idx="160">
                  <c:v>0.14693125496219758</c:v>
                </c:pt>
                <c:pt idx="161">
                  <c:v>0.11043762279219037</c:v>
                </c:pt>
                <c:pt idx="162">
                  <c:v>-8.4758329745237851E-2</c:v>
                </c:pt>
                <c:pt idx="163">
                  <c:v>-4.4885521815005804E-2</c:v>
                </c:pt>
                <c:pt idx="164">
                  <c:v>9.4459590365204044E-2</c:v>
                </c:pt>
                <c:pt idx="165">
                  <c:v>0.23755184900855131</c:v>
                </c:pt>
                <c:pt idx="166">
                  <c:v>0.25075185028491659</c:v>
                </c:pt>
                <c:pt idx="167">
                  <c:v>2.5150197755115403E-2</c:v>
                </c:pt>
                <c:pt idx="168">
                  <c:v>-0.11260464508279219</c:v>
                </c:pt>
                <c:pt idx="169">
                  <c:v>-3.9669417025417202E-2</c:v>
                </c:pt>
                <c:pt idx="170">
                  <c:v>0.14665594549714112</c:v>
                </c:pt>
                <c:pt idx="171">
                  <c:v>-1.0313694787424802E-2</c:v>
                </c:pt>
                <c:pt idx="172">
                  <c:v>-0.12678929719259749</c:v>
                </c:pt>
                <c:pt idx="173">
                  <c:v>1.3005278971665465E-2</c:v>
                </c:pt>
                <c:pt idx="174">
                  <c:v>-0.10607374770963623</c:v>
                </c:pt>
                <c:pt idx="175">
                  <c:v>-0.3086390936900284</c:v>
                </c:pt>
                <c:pt idx="176">
                  <c:v>-0.46881050905337229</c:v>
                </c:pt>
                <c:pt idx="177">
                  <c:v>-0.60575957082791787</c:v>
                </c:pt>
                <c:pt idx="178">
                  <c:v>-0.55544961084771982</c:v>
                </c:pt>
                <c:pt idx="179">
                  <c:v>-0.58124910823762188</c:v>
                </c:pt>
                <c:pt idx="180">
                  <c:v>-0.35025578513345484</c:v>
                </c:pt>
                <c:pt idx="181">
                  <c:v>-0.41658040807290764</c:v>
                </c:pt>
                <c:pt idx="182">
                  <c:v>-0.51975292384742344</c:v>
                </c:pt>
                <c:pt idx="183">
                  <c:v>-0.55333206730600903</c:v>
                </c:pt>
                <c:pt idx="184">
                  <c:v>-0.47550474527876097</c:v>
                </c:pt>
                <c:pt idx="185">
                  <c:v>-0.63079986357892148</c:v>
                </c:pt>
                <c:pt idx="186">
                  <c:v>-0.29649733275739254</c:v>
                </c:pt>
                <c:pt idx="187">
                  <c:v>-0.35613843049958033</c:v>
                </c:pt>
                <c:pt idx="188">
                  <c:v>-0.4032126676956585</c:v>
                </c:pt>
                <c:pt idx="189">
                  <c:v>-0.54765721269853629</c:v>
                </c:pt>
                <c:pt idx="190">
                  <c:v>-0.59238000194991003</c:v>
                </c:pt>
                <c:pt idx="191">
                  <c:v>-0.67861825700052547</c:v>
                </c:pt>
                <c:pt idx="192">
                  <c:v>-0.68133154905811288</c:v>
                </c:pt>
                <c:pt idx="193">
                  <c:v>-0.59885119856123892</c:v>
                </c:pt>
                <c:pt idx="194">
                  <c:v>-0.53196953099300059</c:v>
                </c:pt>
                <c:pt idx="195">
                  <c:v>-0.4938863852755121</c:v>
                </c:pt>
                <c:pt idx="196">
                  <c:v>1.2221440613255724E-2</c:v>
                </c:pt>
                <c:pt idx="197">
                  <c:v>-0.34857593042195117</c:v>
                </c:pt>
                <c:pt idx="198">
                  <c:v>-0.42036060880027531</c:v>
                </c:pt>
                <c:pt idx="199">
                  <c:v>-0.37944971535654132</c:v>
                </c:pt>
                <c:pt idx="200">
                  <c:v>-0.28266617425413626</c:v>
                </c:pt>
                <c:pt idx="201">
                  <c:v>-0.31149398761734354</c:v>
                </c:pt>
                <c:pt idx="202">
                  <c:v>-0.17758622250614783</c:v>
                </c:pt>
                <c:pt idx="203">
                  <c:v>-0.31432685797448451</c:v>
                </c:pt>
                <c:pt idx="204">
                  <c:v>0.16027640854447409</c:v>
                </c:pt>
                <c:pt idx="205">
                  <c:v>0.18154669059667453</c:v>
                </c:pt>
                <c:pt idx="206">
                  <c:v>3.5050684751341474E-2</c:v>
                </c:pt>
                <c:pt idx="207">
                  <c:v>0.15134104332062964</c:v>
                </c:pt>
                <c:pt idx="208">
                  <c:v>0.11645898011876156</c:v>
                </c:pt>
                <c:pt idx="209">
                  <c:v>9.3624327701261612E-2</c:v>
                </c:pt>
                <c:pt idx="210">
                  <c:v>8.1677402006314653E-2</c:v>
                </c:pt>
                <c:pt idx="211">
                  <c:v>0.1498072775655663</c:v>
                </c:pt>
                <c:pt idx="212">
                  <c:v>0.143844702636512</c:v>
                </c:pt>
                <c:pt idx="213">
                  <c:v>0.12480568134530294</c:v>
                </c:pt>
                <c:pt idx="214">
                  <c:v>0.15536228668347241</c:v>
                </c:pt>
                <c:pt idx="215">
                  <c:v>-1.8260697152257557E-2</c:v>
                </c:pt>
                <c:pt idx="216">
                  <c:v>-4.354407912726771E-2</c:v>
                </c:pt>
                <c:pt idx="217">
                  <c:v>0.14104112174544239</c:v>
                </c:pt>
                <c:pt idx="218">
                  <c:v>0.42835057725203274</c:v>
                </c:pt>
                <c:pt idx="219">
                  <c:v>2.1800169706782568E-2</c:v>
                </c:pt>
                <c:pt idx="220">
                  <c:v>0.1661392464974801</c:v>
                </c:pt>
                <c:pt idx="221">
                  <c:v>0.42235925756741433</c:v>
                </c:pt>
                <c:pt idx="222">
                  <c:v>0.35608219883344816</c:v>
                </c:pt>
                <c:pt idx="223">
                  <c:v>0.37147317915897243</c:v>
                </c:pt>
                <c:pt idx="224">
                  <c:v>0.42072986428593662</c:v>
                </c:pt>
                <c:pt idx="225">
                  <c:v>0.42226394293150632</c:v>
                </c:pt>
                <c:pt idx="226">
                  <c:v>0.48804643562958194</c:v>
                </c:pt>
                <c:pt idx="227">
                  <c:v>0.552623374547767</c:v>
                </c:pt>
                <c:pt idx="228">
                  <c:v>0.4536709636448617</c:v>
                </c:pt>
                <c:pt idx="229">
                  <c:v>0.39814030600312778</c:v>
                </c:pt>
                <c:pt idx="230">
                  <c:v>0.4191731398064395</c:v>
                </c:pt>
                <c:pt idx="231">
                  <c:v>0.48068412514788322</c:v>
                </c:pt>
                <c:pt idx="232">
                  <c:v>0.56194907659449966</c:v>
                </c:pt>
                <c:pt idx="233">
                  <c:v>0.32047398960977763</c:v>
                </c:pt>
                <c:pt idx="234">
                  <c:v>0.34511304737738724</c:v>
                </c:pt>
                <c:pt idx="235">
                  <c:v>0.50165495773725144</c:v>
                </c:pt>
                <c:pt idx="236">
                  <c:v>0.47669196420924215</c:v>
                </c:pt>
                <c:pt idx="237">
                  <c:v>0.5472069696824482</c:v>
                </c:pt>
                <c:pt idx="238">
                  <c:v>0.6365464801902373</c:v>
                </c:pt>
                <c:pt idx="239">
                  <c:v>0.54822631875238625</c:v>
                </c:pt>
                <c:pt idx="240">
                  <c:v>0.53664122171700146</c:v>
                </c:pt>
                <c:pt idx="241">
                  <c:v>0.62412444020016411</c:v>
                </c:pt>
                <c:pt idx="242">
                  <c:v>0.42759814130064139</c:v>
                </c:pt>
                <c:pt idx="243">
                  <c:v>0.3452355262079031</c:v>
                </c:pt>
                <c:pt idx="244">
                  <c:v>0.4545809367981859</c:v>
                </c:pt>
                <c:pt idx="245">
                  <c:v>0.52141313902427278</c:v>
                </c:pt>
                <c:pt idx="246">
                  <c:v>0.27526777537518926</c:v>
                </c:pt>
                <c:pt idx="247">
                  <c:v>-7.3094565419031796E-2</c:v>
                </c:pt>
                <c:pt idx="248">
                  <c:v>-0.18584457757414899</c:v>
                </c:pt>
                <c:pt idx="249">
                  <c:v>-0.54643363652391319</c:v>
                </c:pt>
                <c:pt idx="250">
                  <c:v>-0.41570130510712366</c:v>
                </c:pt>
                <c:pt idx="251">
                  <c:v>-0.21071240198521907</c:v>
                </c:pt>
                <c:pt idx="252">
                  <c:v>-6.2017302414699826E-2</c:v>
                </c:pt>
                <c:pt idx="253">
                  <c:v>-0.23516867565323374</c:v>
                </c:pt>
                <c:pt idx="254">
                  <c:v>-4.586224102422409E-4</c:v>
                </c:pt>
                <c:pt idx="255">
                  <c:v>3.6769907327315249E-2</c:v>
                </c:pt>
                <c:pt idx="256">
                  <c:v>6.7262787527455029E-2</c:v>
                </c:pt>
                <c:pt idx="257">
                  <c:v>-0.10715279177440926</c:v>
                </c:pt>
                <c:pt idx="258">
                  <c:v>3.9387726926864403E-2</c:v>
                </c:pt>
                <c:pt idx="259">
                  <c:v>-5.7930154497076926E-2</c:v>
                </c:pt>
                <c:pt idx="260">
                  <c:v>-2.8676850509192813E-2</c:v>
                </c:pt>
                <c:pt idx="261">
                  <c:v>0.12166836382264064</c:v>
                </c:pt>
                <c:pt idx="262">
                  <c:v>1.4706674203593154E-2</c:v>
                </c:pt>
                <c:pt idx="263">
                  <c:v>0.14821585734049417</c:v>
                </c:pt>
                <c:pt idx="264">
                  <c:v>0.23500456878012396</c:v>
                </c:pt>
                <c:pt idx="265">
                  <c:v>0.36238555679146894</c:v>
                </c:pt>
                <c:pt idx="266">
                  <c:v>0.1593456228888023</c:v>
                </c:pt>
                <c:pt idx="267">
                  <c:v>0.26197009307062036</c:v>
                </c:pt>
                <c:pt idx="268">
                  <c:v>0.33666565525243863</c:v>
                </c:pt>
                <c:pt idx="269">
                  <c:v>0.51805393281036105</c:v>
                </c:pt>
                <c:pt idx="270">
                  <c:v>0.75189617895971439</c:v>
                </c:pt>
                <c:pt idx="271">
                  <c:v>0.21888604609426146</c:v>
                </c:pt>
                <c:pt idx="272">
                  <c:v>-6.2890749219668252E-2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7-4379-BD2D-7C106B4A7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573903"/>
        <c:axId val="1338291855"/>
      </c:lineChart>
      <c:dateAx>
        <c:axId val="1547573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291855"/>
        <c:crosses val="autoZero"/>
        <c:auto val="1"/>
        <c:lblOffset val="100"/>
        <c:baseTimeUnit val="days"/>
      </c:dateAx>
      <c:valAx>
        <c:axId val="133829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7573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70C059-4E87-4B6A-8017-79D3E3789EB4}">
  <sheetPr codeName="Chart1"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427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96C8ED-CC3B-4F91-9A1D-031D7784277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8.4870000000000001</v>
      </c>
      <c r="D2" s="4">
        <f>MIN(D3:D1912)</f>
        <v>0.52100000000000002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0.61299999999999999</v>
      </c>
      <c r="C5">
        <v>0.61899999999999999</v>
      </c>
      <c r="D5">
        <v>0.59899999999999998</v>
      </c>
      <c r="E5">
        <v>0.6</v>
      </c>
      <c r="F5">
        <v>422432.8</v>
      </c>
      <c r="G5">
        <v>0.6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</v>
      </c>
      <c r="Q5">
        <f t="shared" ref="Q5" si="1">F5*P5</f>
        <v>-380189.52</v>
      </c>
      <c r="R5">
        <f t="shared" ref="R5" si="2">R6+Q5</f>
        <v>-95146685.479229376</v>
      </c>
      <c r="S5">
        <f t="shared" ref="S5" si="3">R5/100000</f>
        <v>-951.4668547922937</v>
      </c>
      <c r="T5">
        <f t="shared" ref="T5" si="4">S5/1000</f>
        <v>-0.95146685479229365</v>
      </c>
    </row>
    <row r="6" spans="1:20" x14ac:dyDescent="0.25">
      <c r="A6" s="5">
        <v>44587</v>
      </c>
      <c r="B6">
        <v>0.61499999999999999</v>
      </c>
      <c r="C6">
        <v>0.66100000000000003</v>
      </c>
      <c r="D6">
        <v>0.6</v>
      </c>
      <c r="E6">
        <v>0.61299999999999999</v>
      </c>
      <c r="F6">
        <v>9922146.1999999993</v>
      </c>
      <c r="G6">
        <v>0.61299999999999999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-0.57377049180327866</v>
      </c>
      <c r="Q6">
        <f t="shared" ref="Q6" si="6">F6*P6</f>
        <v>-5693034.7049180325</v>
      </c>
      <c r="R6">
        <f t="shared" ref="R6" si="7">R7+Q6</f>
        <v>-94766495.95922938</v>
      </c>
      <c r="S6">
        <f t="shared" ref="S6" si="8">R6/100000</f>
        <v>-947.66495959229383</v>
      </c>
      <c r="T6">
        <f t="shared" ref="T6" si="9">S6/1000</f>
        <v>-0.9476649595922938</v>
      </c>
    </row>
    <row r="7" spans="1:20" x14ac:dyDescent="0.25">
      <c r="A7" s="5">
        <v>44586</v>
      </c>
      <c r="B7">
        <v>0.58499999999999996</v>
      </c>
      <c r="C7">
        <v>0.626</v>
      </c>
      <c r="D7">
        <v>0.56599999999999995</v>
      </c>
      <c r="E7">
        <v>0.61399999999999999</v>
      </c>
      <c r="F7">
        <v>7555369.7999999998</v>
      </c>
      <c r="G7">
        <v>0.61399999999999999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0.6</v>
      </c>
      <c r="Q7">
        <f t="shared" ref="Q7" si="11">F7*P7</f>
        <v>4533221.88</v>
      </c>
      <c r="R7">
        <f t="shared" ref="R7" si="12">R8+Q7</f>
        <v>-89073461.254311353</v>
      </c>
      <c r="S7">
        <f t="shared" ref="S7" si="13">R7/100000</f>
        <v>-890.73461254311349</v>
      </c>
      <c r="T7">
        <f t="shared" ref="T7" si="14">S7/1000</f>
        <v>-0.89073461254311348</v>
      </c>
    </row>
    <row r="8" spans="1:20" x14ac:dyDescent="0.25">
      <c r="A8" s="5">
        <v>44585</v>
      </c>
      <c r="B8">
        <v>0.61599999999999999</v>
      </c>
      <c r="C8">
        <v>0.61599999999999999</v>
      </c>
      <c r="D8">
        <v>0.52100000000000002</v>
      </c>
      <c r="E8">
        <v>0.58399999999999996</v>
      </c>
      <c r="F8">
        <v>11520346.4</v>
      </c>
      <c r="G8">
        <v>0.58399999999999996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0.32631578947368345</v>
      </c>
      <c r="Q8">
        <f t="shared" ref="Q8" si="16">F8*P8</f>
        <v>3759270.9305263073</v>
      </c>
      <c r="R8">
        <f t="shared" ref="R8" si="17">R9+Q8</f>
        <v>-93606683.134311348</v>
      </c>
      <c r="S8">
        <f t="shared" ref="S8" si="18">R8/100000</f>
        <v>-936.06683134311345</v>
      </c>
      <c r="T8">
        <f t="shared" ref="T8" si="19">S8/1000</f>
        <v>-0.93606683134311341</v>
      </c>
    </row>
    <row r="9" spans="1:20" x14ac:dyDescent="0.25">
      <c r="A9" s="5">
        <v>44584</v>
      </c>
      <c r="B9">
        <v>0.60399999999999998</v>
      </c>
      <c r="C9">
        <v>0.64100000000000001</v>
      </c>
      <c r="D9">
        <v>0.58699999999999997</v>
      </c>
      <c r="E9">
        <v>0.61699999999999999</v>
      </c>
      <c r="F9">
        <v>6979335.5999999996</v>
      </c>
      <c r="G9">
        <v>0.61699999999999999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0.1111111111111111</v>
      </c>
      <c r="Q9">
        <f t="shared" ref="Q9" si="21">F9*P9</f>
        <v>775481.73333333328</v>
      </c>
      <c r="R9">
        <f t="shared" ref="R9" si="22">R10+Q9</f>
        <v>-97365954.064837649</v>
      </c>
      <c r="S9">
        <f t="shared" ref="S9" si="23">R9/100000</f>
        <v>-973.65954064837649</v>
      </c>
      <c r="T9">
        <f t="shared" ref="T9" si="24">S9/1000</f>
        <v>-0.97365954064837645</v>
      </c>
    </row>
    <row r="10" spans="1:20" x14ac:dyDescent="0.25">
      <c r="A10" s="5">
        <v>44583</v>
      </c>
      <c r="B10">
        <v>0.69699999999999995</v>
      </c>
      <c r="C10">
        <v>0.70699999999999996</v>
      </c>
      <c r="D10">
        <v>0.56100000000000005</v>
      </c>
      <c r="E10">
        <v>0.60399999999999998</v>
      </c>
      <c r="F10">
        <v>18580901.699999999</v>
      </c>
      <c r="G10">
        <v>0.60399999999999998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-0.41095890410958968</v>
      </c>
      <c r="Q10">
        <f t="shared" ref="Q10" si="26">F10*P10</f>
        <v>-7635987.0000000121</v>
      </c>
      <c r="R10">
        <f t="shared" ref="R10" si="27">R11+Q10</f>
        <v>-98141435.798170984</v>
      </c>
      <c r="S10">
        <f t="shared" ref="S10" si="28">R10/100000</f>
        <v>-981.41435798170983</v>
      </c>
      <c r="T10">
        <f t="shared" ref="T10" si="29">S10/1000</f>
        <v>-0.98141435798170984</v>
      </c>
    </row>
    <row r="11" spans="1:20" x14ac:dyDescent="0.25">
      <c r="A11" s="5">
        <v>44582</v>
      </c>
      <c r="B11">
        <v>0.82</v>
      </c>
      <c r="C11">
        <v>0.82599999999999996</v>
      </c>
      <c r="D11">
        <v>0.68200000000000005</v>
      </c>
      <c r="E11">
        <v>0.69699999999999995</v>
      </c>
      <c r="F11">
        <v>13743511.4</v>
      </c>
      <c r="G11">
        <v>0.69699999999999995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-0.79166666666666785</v>
      </c>
      <c r="Q11">
        <f t="shared" ref="Q11" si="31">F11*P11</f>
        <v>-10880279.858333349</v>
      </c>
      <c r="R11">
        <f t="shared" ref="R11" si="32">R12+Q11</f>
        <v>-90505448.798170969</v>
      </c>
      <c r="S11">
        <f t="shared" ref="S11" si="33">R11/100000</f>
        <v>-905.05448798170971</v>
      </c>
      <c r="T11">
        <f t="shared" ref="T11" si="34">S11/1000</f>
        <v>-0.90505448798170973</v>
      </c>
    </row>
    <row r="12" spans="1:20" x14ac:dyDescent="0.25">
      <c r="A12" s="5">
        <v>44581</v>
      </c>
      <c r="B12">
        <v>0.86799999999999999</v>
      </c>
      <c r="C12">
        <v>0.9</v>
      </c>
      <c r="D12">
        <v>0.81399999999999995</v>
      </c>
      <c r="E12">
        <v>0.82099999999999995</v>
      </c>
      <c r="F12">
        <v>4710633.0999999996</v>
      </c>
      <c r="G12">
        <v>0.82099999999999995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-0.83720930232558144</v>
      </c>
      <c r="Q12">
        <f t="shared" ref="Q12" si="36">F12*P12</f>
        <v>-3943785.8511627908</v>
      </c>
      <c r="R12">
        <f t="shared" ref="R12" si="37">R13+Q12</f>
        <v>-79625168.93983762</v>
      </c>
      <c r="S12">
        <f t="shared" ref="S12" si="38">R12/100000</f>
        <v>-796.25168939837624</v>
      </c>
      <c r="T12">
        <f t="shared" ref="T12" si="39">S12/1000</f>
        <v>-0.79625168939837621</v>
      </c>
    </row>
    <row r="13" spans="1:20" x14ac:dyDescent="0.25">
      <c r="A13" s="5">
        <v>44580</v>
      </c>
      <c r="B13">
        <v>0.89500000000000002</v>
      </c>
      <c r="C13">
        <v>0.89800000000000002</v>
      </c>
      <c r="D13">
        <v>0.85299999999999998</v>
      </c>
      <c r="E13">
        <v>0.86699999999999999</v>
      </c>
      <c r="F13">
        <v>3241523.7</v>
      </c>
      <c r="G13">
        <v>0.86699999999999999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-0.37777777777777777</v>
      </c>
      <c r="Q13">
        <f t="shared" ref="Q13" si="41">F13*P13</f>
        <v>-1224575.6200000001</v>
      </c>
      <c r="R13">
        <f t="shared" ref="R13" si="42">R14+Q13</f>
        <v>-75681383.088674828</v>
      </c>
      <c r="S13">
        <f t="shared" ref="S13" si="43">R13/100000</f>
        <v>-756.81383088674829</v>
      </c>
      <c r="T13">
        <f t="shared" ref="T13" si="44">S13/1000</f>
        <v>-0.75681383088674825</v>
      </c>
    </row>
    <row r="14" spans="1:20" x14ac:dyDescent="0.25">
      <c r="A14" s="5">
        <v>44579</v>
      </c>
      <c r="B14">
        <v>0.91700000000000004</v>
      </c>
      <c r="C14">
        <v>0.92700000000000005</v>
      </c>
      <c r="D14">
        <v>0.86199999999999999</v>
      </c>
      <c r="E14">
        <v>0.89600000000000002</v>
      </c>
      <c r="F14">
        <v>4095909.6</v>
      </c>
      <c r="G14">
        <v>0.89600000000000002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4.6153846153846156E-2</v>
      </c>
      <c r="Q14">
        <f t="shared" ref="Q14" si="46">F14*P14</f>
        <v>189041.98153846155</v>
      </c>
      <c r="R14">
        <f t="shared" ref="R14" si="47">R15+Q14</f>
        <v>-74456807.468674824</v>
      </c>
      <c r="S14">
        <f t="shared" ref="S14" si="48">R14/100000</f>
        <v>-744.56807468674822</v>
      </c>
      <c r="T14">
        <f t="shared" ref="T14" si="49">S14/1000</f>
        <v>-0.74456807468674824</v>
      </c>
    </row>
    <row r="15" spans="1:20" x14ac:dyDescent="0.25">
      <c r="A15" s="5">
        <v>44578</v>
      </c>
      <c r="B15">
        <v>0.97299999999999998</v>
      </c>
      <c r="C15">
        <v>0.97599999999999998</v>
      </c>
      <c r="D15">
        <v>0.9</v>
      </c>
      <c r="E15">
        <v>0.91500000000000004</v>
      </c>
      <c r="F15">
        <v>4202512.7</v>
      </c>
      <c r="G15">
        <v>0.91500000000000004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-0.60526315789473628</v>
      </c>
      <c r="Q15">
        <f t="shared" ref="Q15" si="51">F15*P15</f>
        <v>-2543626.1078947345</v>
      </c>
      <c r="R15">
        <f t="shared" ref="R15" si="52">R16+Q15</f>
        <v>-74645849.450213283</v>
      </c>
      <c r="S15">
        <f t="shared" ref="S15" si="53">R15/100000</f>
        <v>-746.45849450213279</v>
      </c>
      <c r="T15">
        <f t="shared" ref="T15" si="54">S15/1000</f>
        <v>-0.74645849450213275</v>
      </c>
    </row>
    <row r="16" spans="1:20" x14ac:dyDescent="0.25">
      <c r="A16" s="5">
        <v>44577</v>
      </c>
      <c r="B16">
        <v>0.98199999999999998</v>
      </c>
      <c r="C16">
        <v>0.98699999999999999</v>
      </c>
      <c r="D16">
        <v>0.95</v>
      </c>
      <c r="E16">
        <v>0.97299999999999998</v>
      </c>
      <c r="F16">
        <v>3355992.8</v>
      </c>
      <c r="G16">
        <v>0.97299999999999998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0.24324324324324326</v>
      </c>
      <c r="Q16">
        <f t="shared" ref="Q16" si="56">F16*P16</f>
        <v>816322.57297297299</v>
      </c>
      <c r="R16">
        <f t="shared" ref="R16" si="57">R17+Q16</f>
        <v>-72102223.34231855</v>
      </c>
      <c r="S16">
        <f t="shared" ref="S16" si="58">R16/100000</f>
        <v>-721.02223342318553</v>
      </c>
      <c r="T16">
        <f t="shared" ref="T16" si="59">S16/1000</f>
        <v>-0.7210222334231855</v>
      </c>
    </row>
    <row r="17" spans="1:20" x14ac:dyDescent="0.25">
      <c r="A17" s="5">
        <v>44576</v>
      </c>
      <c r="B17">
        <v>0.99299999999999999</v>
      </c>
      <c r="C17">
        <v>0.999</v>
      </c>
      <c r="D17">
        <v>0.97399999999999998</v>
      </c>
      <c r="E17">
        <v>0.98299999999999998</v>
      </c>
      <c r="F17">
        <v>3196739.3</v>
      </c>
      <c r="G17">
        <v>0.98299999999999998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-0.28000000000000003</v>
      </c>
      <c r="Q17">
        <f t="shared" ref="Q17" si="61">F17*P17</f>
        <v>-895087.00400000007</v>
      </c>
      <c r="R17">
        <f t="shared" ref="R17" si="62">R18+Q17</f>
        <v>-72918545.915291518</v>
      </c>
      <c r="S17">
        <f t="shared" ref="S17" si="63">R17/100000</f>
        <v>-729.1854591529152</v>
      </c>
      <c r="T17">
        <f t="shared" ref="T17" si="64">S17/1000</f>
        <v>-0.72918545915291522</v>
      </c>
    </row>
    <row r="18" spans="1:20" x14ac:dyDescent="0.25">
      <c r="A18" s="5">
        <v>44575</v>
      </c>
      <c r="B18">
        <v>0.94199999999999995</v>
      </c>
      <c r="C18">
        <v>1.0049999999999999</v>
      </c>
      <c r="D18">
        <v>0.93500000000000005</v>
      </c>
      <c r="E18">
        <v>0.99299999999999999</v>
      </c>
      <c r="F18">
        <v>6693962</v>
      </c>
      <c r="G18">
        <v>0.99299999999999999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0.65714285714285925</v>
      </c>
      <c r="Q18">
        <f t="shared" ref="Q18" si="66">F18*P18</f>
        <v>4398889.3142857281</v>
      </c>
      <c r="R18">
        <f t="shared" ref="R18" si="67">R19+Q18</f>
        <v>-72023458.911291525</v>
      </c>
      <c r="S18">
        <f t="shared" ref="S18" si="68">R18/100000</f>
        <v>-720.23458911291527</v>
      </c>
      <c r="T18">
        <f t="shared" ref="T18" si="69">S18/1000</f>
        <v>-0.72023458911291527</v>
      </c>
    </row>
    <row r="19" spans="1:20" x14ac:dyDescent="0.25">
      <c r="A19" s="5">
        <v>44574</v>
      </c>
      <c r="B19">
        <v>0.97299999999999998</v>
      </c>
      <c r="C19">
        <v>0.98599999999999999</v>
      </c>
      <c r="D19">
        <v>0.93300000000000005</v>
      </c>
      <c r="E19">
        <v>0.94199999999999995</v>
      </c>
      <c r="F19">
        <v>5535077.9000000004</v>
      </c>
      <c r="G19">
        <v>0.94199999999999995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-0.66037735849056955</v>
      </c>
      <c r="Q19">
        <f t="shared" ref="Q19" si="71">F19*P19</f>
        <v>-3655240.122641529</v>
      </c>
      <c r="R19">
        <f t="shared" ref="R19" si="72">R20+Q19</f>
        <v>-76422348.22557725</v>
      </c>
      <c r="S19">
        <f t="shared" ref="S19" si="73">R19/100000</f>
        <v>-764.22348225577252</v>
      </c>
      <c r="T19">
        <f t="shared" ref="T19" si="74">S19/1000</f>
        <v>-0.76422348225577252</v>
      </c>
    </row>
    <row r="20" spans="1:20" x14ac:dyDescent="0.25">
      <c r="A20" s="5">
        <v>44573</v>
      </c>
      <c r="B20">
        <v>0.91500000000000004</v>
      </c>
      <c r="C20">
        <v>0.97699999999999998</v>
      </c>
      <c r="D20">
        <v>0.90900000000000003</v>
      </c>
      <c r="E20">
        <v>0.97299999999999998</v>
      </c>
      <c r="F20">
        <v>4404847</v>
      </c>
      <c r="G20">
        <v>0.97299999999999998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0.88235294117647045</v>
      </c>
      <c r="Q20">
        <f t="shared" ref="Q20" si="76">F20*P20</f>
        <v>3886629.7058823523</v>
      </c>
      <c r="R20">
        <f t="shared" ref="R20" si="77">R21+Q20</f>
        <v>-72767108.102935717</v>
      </c>
      <c r="S20">
        <f t="shared" ref="S20" si="78">R20/100000</f>
        <v>-727.6710810293572</v>
      </c>
      <c r="T20">
        <f t="shared" ref="T20" si="79">S20/1000</f>
        <v>-0.72767108102935718</v>
      </c>
    </row>
    <row r="21" spans="1:20" x14ac:dyDescent="0.25">
      <c r="A21" s="5">
        <v>44572</v>
      </c>
      <c r="B21">
        <v>0.878</v>
      </c>
      <c r="C21">
        <v>0.93100000000000005</v>
      </c>
      <c r="D21">
        <v>0.86699999999999999</v>
      </c>
      <c r="E21">
        <v>0.91500000000000004</v>
      </c>
      <c r="F21">
        <v>4435531.8</v>
      </c>
      <c r="G21">
        <v>0.91500000000000004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</v>
      </c>
      <c r="Q21">
        <f t="shared" ref="Q21" si="81">F21*P21</f>
        <v>2217765.9</v>
      </c>
      <c r="R21">
        <f t="shared" ref="R21" si="82">R22+Q21</f>
        <v>-76653737.808818072</v>
      </c>
      <c r="S21">
        <f t="shared" ref="S21" si="83">R21/100000</f>
        <v>-766.53737808818073</v>
      </c>
      <c r="T21">
        <f t="shared" ref="T21" si="84">S21/1000</f>
        <v>-0.76653737808818068</v>
      </c>
    </row>
    <row r="22" spans="1:20" x14ac:dyDescent="0.25">
      <c r="A22" s="5">
        <v>44571</v>
      </c>
      <c r="B22">
        <v>0.92500000000000004</v>
      </c>
      <c r="C22">
        <v>0.93700000000000006</v>
      </c>
      <c r="D22">
        <v>0.83199999999999996</v>
      </c>
      <c r="E22">
        <v>0.877</v>
      </c>
      <c r="F22">
        <v>8190197.5</v>
      </c>
      <c r="G22">
        <v>0.877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-0.14285714285714285</v>
      </c>
      <c r="Q22">
        <f t="shared" ref="Q22" si="86">F22*P22</f>
        <v>-1170028.2142857143</v>
      </c>
      <c r="R22">
        <f t="shared" ref="R22" si="87">R23+Q22</f>
        <v>-78871503.708818078</v>
      </c>
      <c r="S22">
        <f t="shared" ref="S22" si="88">R22/100000</f>
        <v>-788.71503708818079</v>
      </c>
      <c r="T22">
        <f t="shared" ref="T22" si="89">S22/1000</f>
        <v>-0.7887150370881808</v>
      </c>
    </row>
    <row r="23" spans="1:20" x14ac:dyDescent="0.25">
      <c r="A23" s="5">
        <v>44570</v>
      </c>
      <c r="B23">
        <v>0.91500000000000004</v>
      </c>
      <c r="C23">
        <v>0.95199999999999996</v>
      </c>
      <c r="D23">
        <v>0.90300000000000002</v>
      </c>
      <c r="E23">
        <v>0.92600000000000005</v>
      </c>
      <c r="F23">
        <v>4058464.6</v>
      </c>
      <c r="G23">
        <v>0.92600000000000005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-6.1224489795916243E-2</v>
      </c>
      <c r="Q23">
        <f t="shared" ref="Q23" si="91">F23*P23</f>
        <v>-248477.42448978731</v>
      </c>
      <c r="R23">
        <f t="shared" ref="R23" si="92">R24+Q23</f>
        <v>-77701475.494532362</v>
      </c>
      <c r="S23">
        <f t="shared" ref="S23" si="93">R23/100000</f>
        <v>-777.0147549453236</v>
      </c>
      <c r="T23">
        <f t="shared" ref="T23" si="94">S23/1000</f>
        <v>-0.77701475494532357</v>
      </c>
    </row>
    <row r="24" spans="1:20" x14ac:dyDescent="0.25">
      <c r="A24" s="5">
        <v>44569</v>
      </c>
      <c r="B24">
        <v>0.96499999999999997</v>
      </c>
      <c r="C24">
        <v>0.99199999999999999</v>
      </c>
      <c r="D24">
        <v>0.88900000000000001</v>
      </c>
      <c r="E24">
        <v>0.91600000000000004</v>
      </c>
      <c r="F24">
        <v>6361979.0999999996</v>
      </c>
      <c r="G24">
        <v>0.91600000000000004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-0.47572815533980528</v>
      </c>
      <c r="Q24">
        <f t="shared" ref="Q24" si="96">F24*P24</f>
        <v>-3026572.5815533944</v>
      </c>
      <c r="R24">
        <f t="shared" ref="R24" si="97">R25+Q24</f>
        <v>-77452998.07004258</v>
      </c>
      <c r="S24">
        <f t="shared" ref="S24" si="98">R24/100000</f>
        <v>-774.52998070042577</v>
      </c>
      <c r="T24">
        <f t="shared" ref="T24" si="99">S24/1000</f>
        <v>-0.77452998070042578</v>
      </c>
    </row>
    <row r="25" spans="1:20" x14ac:dyDescent="0.25">
      <c r="A25" s="5">
        <v>44568</v>
      </c>
      <c r="B25">
        <v>1.05</v>
      </c>
      <c r="C25">
        <v>1.054</v>
      </c>
      <c r="D25">
        <v>0.94099999999999995</v>
      </c>
      <c r="E25">
        <v>0.96299999999999997</v>
      </c>
      <c r="F25">
        <v>10190484</v>
      </c>
      <c r="G25">
        <v>0.96299999999999997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-0.61061946902654862</v>
      </c>
      <c r="Q25">
        <f t="shared" ref="Q25" si="101">F25*P25</f>
        <v>-6222507.9292035392</v>
      </c>
      <c r="R25">
        <f t="shared" ref="R25" si="102">R26+Q25</f>
        <v>-74426425.488489181</v>
      </c>
      <c r="S25">
        <f t="shared" ref="S25" si="103">R25/100000</f>
        <v>-744.26425488489178</v>
      </c>
      <c r="T25">
        <f t="shared" ref="T25" si="104">S25/1000</f>
        <v>-0.74426425488489178</v>
      </c>
    </row>
    <row r="26" spans="1:20" x14ac:dyDescent="0.25">
      <c r="A26" s="5">
        <v>44567</v>
      </c>
      <c r="B26">
        <v>1.0589999999999999</v>
      </c>
      <c r="C26">
        <v>1.0649999999999999</v>
      </c>
      <c r="D26">
        <v>1.0089999999999999</v>
      </c>
      <c r="E26">
        <v>1.0509999999999999</v>
      </c>
      <c r="F26">
        <v>6783519.5</v>
      </c>
      <c r="G26">
        <v>1.0509999999999999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0.5</v>
      </c>
      <c r="Q26">
        <f t="shared" ref="Q26" si="106">F26*P26</f>
        <v>3391759.75</v>
      </c>
      <c r="R26">
        <f t="shared" ref="R26" si="107">R27+Q26</f>
        <v>-68203917.559285641</v>
      </c>
      <c r="S26">
        <f t="shared" ref="S26" si="108">R26/100000</f>
        <v>-682.0391755928564</v>
      </c>
      <c r="T26">
        <f t="shared" ref="T26" si="109">S26/1000</f>
        <v>-0.68203917559285643</v>
      </c>
    </row>
    <row r="27" spans="1:20" x14ac:dyDescent="0.25">
      <c r="A27" s="5">
        <v>44566</v>
      </c>
      <c r="B27">
        <v>1.143</v>
      </c>
      <c r="C27">
        <v>1.228</v>
      </c>
      <c r="D27">
        <v>1.0169999999999999</v>
      </c>
      <c r="E27">
        <v>1.0580000000000001</v>
      </c>
      <c r="F27">
        <v>19614411.699999999</v>
      </c>
      <c r="G27">
        <v>1.0580000000000001</v>
      </c>
      <c r="L27" t="s">
        <v>8</v>
      </c>
      <c r="M27" t="s">
        <v>8</v>
      </c>
      <c r="N27" t="s">
        <v>7</v>
      </c>
      <c r="P27">
        <f t="shared" ref="P27" si="110">IF(C27=D27,0,((E27-D27)-(C27-E27))/(C27-D27))</f>
        <v>-0.61137440758293715</v>
      </c>
      <c r="Q27">
        <f t="shared" ref="Q27" si="111">F27*P27</f>
        <v>-11991749.333175331</v>
      </c>
      <c r="R27">
        <f t="shared" ref="R27" si="112">R28+Q27</f>
        <v>-71595677.309285641</v>
      </c>
      <c r="S27">
        <f t="shared" ref="S27" si="113">R27/100000</f>
        <v>-715.95677309285645</v>
      </c>
      <c r="T27">
        <f t="shared" ref="T27" si="114">S27/1000</f>
        <v>-0.71595677309285644</v>
      </c>
    </row>
    <row r="28" spans="1:20" x14ac:dyDescent="0.25">
      <c r="A28" s="5">
        <v>44565</v>
      </c>
      <c r="B28">
        <v>1.1319999999999999</v>
      </c>
      <c r="C28">
        <v>1.1830000000000001</v>
      </c>
      <c r="D28">
        <v>1.107</v>
      </c>
      <c r="E28">
        <v>1.1439999999999999</v>
      </c>
      <c r="F28">
        <v>8349047.0999999996</v>
      </c>
      <c r="G28">
        <v>1.1439999999999999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-2.6315789473687134E-2</v>
      </c>
      <c r="Q28">
        <f t="shared" ref="Q28" si="116">F28*P28</f>
        <v>-219711.76578949808</v>
      </c>
      <c r="R28">
        <f t="shared" ref="R28" si="117">R29+Q28</f>
        <v>-59603927.976110309</v>
      </c>
      <c r="S28">
        <f t="shared" ref="S28" si="118">R28/100000</f>
        <v>-596.0392797611031</v>
      </c>
      <c r="T28">
        <f t="shared" ref="T28" si="119">S28/1000</f>
        <v>-0.59603927976110316</v>
      </c>
    </row>
    <row r="29" spans="1:20" x14ac:dyDescent="0.25">
      <c r="A29" s="5">
        <v>44564</v>
      </c>
      <c r="B29">
        <v>1.135</v>
      </c>
      <c r="C29">
        <v>1.1739999999999999</v>
      </c>
      <c r="D29">
        <v>1.1080000000000001</v>
      </c>
      <c r="E29">
        <v>1.1319999999999999</v>
      </c>
      <c r="F29">
        <v>7656863.5</v>
      </c>
      <c r="G29">
        <v>1.1319999999999999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-0.27272727272727698</v>
      </c>
      <c r="Q29">
        <f t="shared" ref="Q29" si="121">F29*P29</f>
        <v>-2088235.5000000326</v>
      </c>
      <c r="R29">
        <f t="shared" ref="R29" si="122">R30+Q29</f>
        <v>-59384216.210320808</v>
      </c>
      <c r="S29">
        <f t="shared" ref="S29" si="123">R29/100000</f>
        <v>-593.84216210320812</v>
      </c>
      <c r="T29">
        <f t="shared" ref="T29" si="124">S29/1000</f>
        <v>-0.59384216210320817</v>
      </c>
    </row>
    <row r="30" spans="1:20" x14ac:dyDescent="0.25">
      <c r="A30" s="5">
        <v>44563</v>
      </c>
      <c r="B30">
        <v>1.1279999999999999</v>
      </c>
      <c r="C30">
        <v>1.155</v>
      </c>
      <c r="D30">
        <v>1.1020000000000001</v>
      </c>
      <c r="E30">
        <v>1.1359999999999999</v>
      </c>
      <c r="F30">
        <v>4968853.4000000004</v>
      </c>
      <c r="G30">
        <v>1.1359999999999999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0.28301886792452263</v>
      </c>
      <c r="Q30">
        <f t="shared" ref="Q30" si="126">F30*P30</f>
        <v>1406279.2641509154</v>
      </c>
      <c r="R30">
        <f t="shared" ref="R30" si="127">R31+Q30</f>
        <v>-57295980.710320778</v>
      </c>
      <c r="S30">
        <f t="shared" ref="S30" si="128">R30/100000</f>
        <v>-572.95980710320782</v>
      </c>
      <c r="T30">
        <f t="shared" ref="T30" si="129">S30/1000</f>
        <v>-0.57295980710320782</v>
      </c>
    </row>
    <row r="31" spans="1:20" x14ac:dyDescent="0.25">
      <c r="A31" s="5">
        <v>44562</v>
      </c>
      <c r="B31">
        <v>1.0660000000000001</v>
      </c>
      <c r="C31">
        <v>1.137</v>
      </c>
      <c r="D31">
        <v>1.0660000000000001</v>
      </c>
      <c r="E31">
        <v>1.127</v>
      </c>
      <c r="F31">
        <v>5270779.2</v>
      </c>
      <c r="G31">
        <v>1.127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0.71830985915492918</v>
      </c>
      <c r="Q31">
        <f t="shared" ref="Q31" si="131">F31*P31</f>
        <v>3786052.6647887304</v>
      </c>
      <c r="R31">
        <f t="shared" ref="R31" si="132">R32+Q31</f>
        <v>-58702259.974471696</v>
      </c>
      <c r="S31">
        <f t="shared" ref="S31" si="133">R31/100000</f>
        <v>-587.02259974471701</v>
      </c>
      <c r="T31">
        <f t="shared" ref="T31" si="134">S31/1000</f>
        <v>-0.58702259974471704</v>
      </c>
    </row>
    <row r="32" spans="1:20" x14ac:dyDescent="0.25">
      <c r="A32" s="5">
        <v>44561</v>
      </c>
      <c r="B32">
        <v>1.083</v>
      </c>
      <c r="C32">
        <v>1.1060000000000001</v>
      </c>
      <c r="D32">
        <v>1.0409999999999999</v>
      </c>
      <c r="E32">
        <v>1.0649999999999999</v>
      </c>
      <c r="F32">
        <v>4689292.3</v>
      </c>
      <c r="G32">
        <v>1.0649999999999999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-0.26153846153846277</v>
      </c>
      <c r="Q32">
        <f t="shared" ref="Q32" si="136">F32*P32</f>
        <v>-1226430.2938461597</v>
      </c>
      <c r="R32">
        <f t="shared" ref="R32" si="137">R33+Q32</f>
        <v>-62488312.639260426</v>
      </c>
      <c r="S32">
        <f t="shared" ref="S32" si="138">R32/100000</f>
        <v>-624.88312639260425</v>
      </c>
      <c r="T32">
        <f t="shared" ref="T32" si="139">S32/1000</f>
        <v>-0.62488312639260424</v>
      </c>
    </row>
    <row r="33" spans="1:20" x14ac:dyDescent="0.25">
      <c r="A33" s="5">
        <v>44560</v>
      </c>
      <c r="B33">
        <v>1.0589999999999999</v>
      </c>
      <c r="C33">
        <v>1.125</v>
      </c>
      <c r="D33">
        <v>1.034</v>
      </c>
      <c r="E33">
        <v>1.0840000000000001</v>
      </c>
      <c r="F33">
        <v>6995335.9000000004</v>
      </c>
      <c r="G33">
        <v>1.0840000000000001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9.8901098901100243E-2</v>
      </c>
      <c r="Q33">
        <f t="shared" ref="Q33" si="141">F33*P33</f>
        <v>691846.40769231715</v>
      </c>
      <c r="R33">
        <f t="shared" ref="R33" si="142">R34+Q33</f>
        <v>-61261882.345414266</v>
      </c>
      <c r="S33">
        <f t="shared" ref="S33" si="143">R33/100000</f>
        <v>-612.61882345414267</v>
      </c>
      <c r="T33">
        <f t="shared" ref="T33" si="144">S33/1000</f>
        <v>-0.61261882345414265</v>
      </c>
    </row>
    <row r="34" spans="1:20" x14ac:dyDescent="0.25">
      <c r="A34" s="5">
        <v>44559</v>
      </c>
      <c r="B34">
        <v>1.1000000000000001</v>
      </c>
      <c r="C34">
        <v>1.115</v>
      </c>
      <c r="D34">
        <v>1.0469999999999999</v>
      </c>
      <c r="E34">
        <v>1.0580000000000001</v>
      </c>
      <c r="F34">
        <v>4986806.7</v>
      </c>
      <c r="G34">
        <v>1.0580000000000001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-0.67647058823529083</v>
      </c>
      <c r="Q34">
        <f t="shared" ref="Q34" si="146">F34*P34</f>
        <v>-3373428.0617646896</v>
      </c>
      <c r="R34">
        <f t="shared" ref="R34" si="147">R35+Q34</f>
        <v>-61953728.753106587</v>
      </c>
      <c r="S34">
        <f t="shared" ref="S34" si="148">R34/100000</f>
        <v>-619.53728753106589</v>
      </c>
      <c r="T34">
        <f t="shared" ref="T34" si="149">S34/1000</f>
        <v>-0.61953728753106585</v>
      </c>
    </row>
    <row r="35" spans="1:20" x14ac:dyDescent="0.25">
      <c r="A35" s="5">
        <v>44558</v>
      </c>
      <c r="B35">
        <v>1.2270000000000001</v>
      </c>
      <c r="C35">
        <v>1.2290000000000001</v>
      </c>
      <c r="D35">
        <v>1.0960000000000001</v>
      </c>
      <c r="E35">
        <v>1.101</v>
      </c>
      <c r="F35">
        <v>9109419.5</v>
      </c>
      <c r="G35">
        <v>1.101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-0.92481203007518953</v>
      </c>
      <c r="Q35">
        <f t="shared" ref="Q35" si="151">F35*P35</f>
        <v>-8424500.7406015173</v>
      </c>
      <c r="R35">
        <f t="shared" ref="R35" si="152">R36+Q35</f>
        <v>-58580300.691341899</v>
      </c>
      <c r="S35">
        <f t="shared" ref="S35" si="153">R35/100000</f>
        <v>-585.80300691341904</v>
      </c>
      <c r="T35">
        <f t="shared" ref="T35" si="154">S35/1000</f>
        <v>-0.58580300691341902</v>
      </c>
    </row>
    <row r="36" spans="1:20" x14ac:dyDescent="0.25">
      <c r="A36" s="5">
        <v>44557</v>
      </c>
      <c r="B36">
        <v>1.2350000000000001</v>
      </c>
      <c r="C36">
        <v>1.32</v>
      </c>
      <c r="D36">
        <v>1.2210000000000001</v>
      </c>
      <c r="E36">
        <v>1.2270000000000001</v>
      </c>
      <c r="F36">
        <v>6981496.0999999996</v>
      </c>
      <c r="G36">
        <v>1.2270000000000001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-0.87878787878787867</v>
      </c>
      <c r="Q36">
        <f t="shared" ref="Q36" si="156">F36*P36</f>
        <v>-6135254.1484848475</v>
      </c>
      <c r="R36">
        <f t="shared" ref="R36" si="157">R37+Q36</f>
        <v>-50155799.950740382</v>
      </c>
      <c r="S36">
        <f t="shared" ref="S36" si="158">R36/100000</f>
        <v>-501.55799950740379</v>
      </c>
      <c r="T36">
        <f t="shared" ref="T36" si="159">S36/1000</f>
        <v>-0.50155799950740376</v>
      </c>
    </row>
    <row r="37" spans="1:20" x14ac:dyDescent="0.25">
      <c r="A37" s="5">
        <v>44556</v>
      </c>
      <c r="B37">
        <v>1.1850000000000001</v>
      </c>
      <c r="C37">
        <v>1.3</v>
      </c>
      <c r="D37">
        <v>1.145</v>
      </c>
      <c r="E37">
        <v>1.2330000000000001</v>
      </c>
      <c r="F37">
        <v>9553129.3000000007</v>
      </c>
      <c r="G37">
        <v>1.2330000000000001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0.13548387096774275</v>
      </c>
      <c r="Q37">
        <f t="shared" ref="Q37" si="161">F37*P37</f>
        <v>1294294.9374193628</v>
      </c>
      <c r="R37">
        <f t="shared" ref="R37" si="162">R38+Q37</f>
        <v>-44020545.802255534</v>
      </c>
      <c r="S37">
        <f t="shared" ref="S37" si="163">R37/100000</f>
        <v>-440.20545802255532</v>
      </c>
      <c r="T37">
        <f t="shared" ref="T37" si="164">S37/1000</f>
        <v>-0.44020545802255534</v>
      </c>
    </row>
    <row r="38" spans="1:20" x14ac:dyDescent="0.25">
      <c r="A38" s="5">
        <v>44555</v>
      </c>
      <c r="B38">
        <v>1.157</v>
      </c>
      <c r="C38">
        <v>1.194</v>
      </c>
      <c r="D38">
        <v>1.1499999999999999</v>
      </c>
      <c r="E38">
        <v>1.1850000000000001</v>
      </c>
      <c r="F38">
        <v>3396290</v>
      </c>
      <c r="G38">
        <v>1.1850000000000001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0.59090909090909594</v>
      </c>
      <c r="Q38">
        <f t="shared" ref="Q38" si="166">F38*P38</f>
        <v>2006898.6363636535</v>
      </c>
      <c r="R38">
        <f t="shared" ref="R38" si="167">R39+Q38</f>
        <v>-45314840.739674896</v>
      </c>
      <c r="S38">
        <f t="shared" ref="S38" si="168">R38/100000</f>
        <v>-453.14840739674895</v>
      </c>
      <c r="T38">
        <f t="shared" ref="T38" si="169">S38/1000</f>
        <v>-0.45314840739674894</v>
      </c>
    </row>
    <row r="39" spans="1:20" x14ac:dyDescent="0.25">
      <c r="A39" s="5">
        <v>44554</v>
      </c>
      <c r="B39">
        <v>1.2</v>
      </c>
      <c r="C39">
        <v>1.212</v>
      </c>
      <c r="D39">
        <v>1</v>
      </c>
      <c r="E39">
        <v>1.157</v>
      </c>
      <c r="F39">
        <v>6399659.2999999998</v>
      </c>
      <c r="G39">
        <v>1.157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0.48113207547169862</v>
      </c>
      <c r="Q39">
        <f t="shared" ref="Q39" si="171">F39*P39</f>
        <v>3079081.3613207578</v>
      </c>
      <c r="R39">
        <f t="shared" ref="R39" si="172">R40+Q39</f>
        <v>-47321739.376038551</v>
      </c>
      <c r="S39">
        <f t="shared" ref="S39" si="173">R39/100000</f>
        <v>-473.21739376038551</v>
      </c>
      <c r="T39">
        <f t="shared" ref="T39" si="174">S39/1000</f>
        <v>-0.47321739376038552</v>
      </c>
    </row>
    <row r="40" spans="1:20" x14ac:dyDescent="0.25">
      <c r="A40" s="5">
        <v>44553</v>
      </c>
      <c r="B40">
        <v>1.1140000000000001</v>
      </c>
      <c r="C40">
        <v>1.2390000000000001</v>
      </c>
      <c r="D40">
        <v>1.087</v>
      </c>
      <c r="E40">
        <v>1.2</v>
      </c>
      <c r="F40">
        <v>9780257.4000000004</v>
      </c>
      <c r="G40">
        <v>1.2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0.48684210526315641</v>
      </c>
      <c r="Q40">
        <f t="shared" ref="Q40" si="176">F40*P40</f>
        <v>4761441.1026315643</v>
      </c>
      <c r="R40">
        <f t="shared" ref="R40" si="177">R41+Q40</f>
        <v>-50400820.737359308</v>
      </c>
      <c r="S40">
        <f t="shared" ref="S40" si="178">R40/100000</f>
        <v>-504.00820737359305</v>
      </c>
      <c r="T40">
        <f t="shared" ref="T40" si="179">S40/1000</f>
        <v>-0.50400820737359309</v>
      </c>
    </row>
    <row r="41" spans="1:20" x14ac:dyDescent="0.25">
      <c r="A41" s="5">
        <v>44552</v>
      </c>
      <c r="B41">
        <v>1.077</v>
      </c>
      <c r="C41">
        <v>1.127</v>
      </c>
      <c r="D41">
        <v>1.073</v>
      </c>
      <c r="E41">
        <v>1.1140000000000001</v>
      </c>
      <c r="F41">
        <v>5708677.9000000004</v>
      </c>
      <c r="G41">
        <v>1.1140000000000001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0.5185185185185226</v>
      </c>
      <c r="Q41">
        <f t="shared" ref="Q41" si="181">F41*P41</f>
        <v>2960055.2074074307</v>
      </c>
      <c r="R41">
        <f t="shared" ref="R41" si="182">R42+Q41</f>
        <v>-55162261.839990869</v>
      </c>
      <c r="S41">
        <f t="shared" ref="S41" si="183">R41/100000</f>
        <v>-551.62261839990867</v>
      </c>
      <c r="T41">
        <f t="shared" ref="T41" si="184">S41/1000</f>
        <v>-0.55162261839990867</v>
      </c>
    </row>
    <row r="42" spans="1:20" x14ac:dyDescent="0.25">
      <c r="A42" s="5">
        <v>44551</v>
      </c>
      <c r="B42">
        <v>1.0389999999999999</v>
      </c>
      <c r="C42">
        <v>1.083</v>
      </c>
      <c r="D42">
        <v>1.0269999999999999</v>
      </c>
      <c r="E42">
        <v>1.077</v>
      </c>
      <c r="F42">
        <v>3813583.9</v>
      </c>
      <c r="G42">
        <v>1.077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0.7857142857142857</v>
      </c>
      <c r="Q42">
        <f t="shared" ref="Q42" si="186">F42*P42</f>
        <v>2996387.35</v>
      </c>
      <c r="R42">
        <f t="shared" ref="R42" si="187">R43+Q42</f>
        <v>-58122317.047398299</v>
      </c>
      <c r="S42">
        <f t="shared" ref="S42" si="188">R42/100000</f>
        <v>-581.22317047398303</v>
      </c>
      <c r="T42">
        <f t="shared" ref="T42" si="189">S42/1000</f>
        <v>-0.58122317047398309</v>
      </c>
    </row>
    <row r="43" spans="1:20" x14ac:dyDescent="0.25">
      <c r="A43" s="5">
        <v>44550</v>
      </c>
      <c r="B43">
        <v>1.0760000000000001</v>
      </c>
      <c r="C43">
        <v>1.083</v>
      </c>
      <c r="D43">
        <v>0.998</v>
      </c>
      <c r="E43">
        <v>1.038</v>
      </c>
      <c r="F43">
        <v>5040827.7</v>
      </c>
      <c r="G43">
        <v>1.038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-5.8823529411763477E-2</v>
      </c>
      <c r="Q43">
        <f t="shared" ref="Q43" si="191">F43*P43</f>
        <v>-296519.27647058206</v>
      </c>
      <c r="R43">
        <f t="shared" ref="R43" si="192">R44+Q43</f>
        <v>-61118704.3973983</v>
      </c>
      <c r="S43">
        <f t="shared" ref="S43" si="193">R43/100000</f>
        <v>-611.18704397398301</v>
      </c>
      <c r="T43">
        <f t="shared" ref="T43" si="194">S43/1000</f>
        <v>-0.61118704397398305</v>
      </c>
    </row>
    <row r="44" spans="1:20" x14ac:dyDescent="0.25">
      <c r="A44" s="5">
        <v>44549</v>
      </c>
      <c r="B44">
        <v>1.099</v>
      </c>
      <c r="C44">
        <v>1.121</v>
      </c>
      <c r="D44">
        <v>1.0669999999999999</v>
      </c>
      <c r="E44">
        <v>1.0780000000000001</v>
      </c>
      <c r="F44">
        <v>3302087.6</v>
      </c>
      <c r="G44">
        <v>1.0780000000000001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-0.59259259259258845</v>
      </c>
      <c r="Q44">
        <f t="shared" ref="Q44" si="196">F44*P44</f>
        <v>-1956792.6518518382</v>
      </c>
      <c r="R44">
        <f t="shared" ref="R44" si="197">R45+Q44</f>
        <v>-60822185.120927721</v>
      </c>
      <c r="S44">
        <f t="shared" ref="S44" si="198">R44/100000</f>
        <v>-608.22185120927725</v>
      </c>
      <c r="T44">
        <f t="shared" ref="T44" si="199">S44/1000</f>
        <v>-0.6082218512092773</v>
      </c>
    </row>
    <row r="45" spans="1:20" x14ac:dyDescent="0.25">
      <c r="A45" s="5">
        <v>44548</v>
      </c>
      <c r="B45">
        <v>1.073</v>
      </c>
      <c r="C45">
        <v>1.109</v>
      </c>
      <c r="D45">
        <v>1.0549999999999999</v>
      </c>
      <c r="E45">
        <v>1.1000000000000001</v>
      </c>
      <c r="F45">
        <v>3658327.7</v>
      </c>
      <c r="G45">
        <v>1.1000000000000001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0.66666666666667074</v>
      </c>
      <c r="Q45">
        <f t="shared" ref="Q45" si="201">F45*P45</f>
        <v>2438885.1333333482</v>
      </c>
      <c r="R45">
        <f t="shared" ref="R45" si="202">R46+Q45</f>
        <v>-58865392.469075881</v>
      </c>
      <c r="S45">
        <f t="shared" ref="S45" si="203">R45/100000</f>
        <v>-588.6539246907588</v>
      </c>
      <c r="T45">
        <f t="shared" ref="T45" si="204">S45/1000</f>
        <v>-0.58865392469075883</v>
      </c>
    </row>
    <row r="46" spans="1:20" x14ac:dyDescent="0.25">
      <c r="A46" s="5">
        <v>44547</v>
      </c>
      <c r="B46">
        <v>1.0960000000000001</v>
      </c>
      <c r="C46">
        <v>1.1100000000000001</v>
      </c>
      <c r="D46">
        <v>1.038</v>
      </c>
      <c r="E46">
        <v>1.073</v>
      </c>
      <c r="F46">
        <v>4600327.3</v>
      </c>
      <c r="G46">
        <v>1.073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-2.7777777777780861E-2</v>
      </c>
      <c r="Q46">
        <f t="shared" ref="Q46" si="206">F46*P46</f>
        <v>-127786.86944445861</v>
      </c>
      <c r="R46">
        <f t="shared" ref="R46" si="207">R47+Q46</f>
        <v>-61304277.602409229</v>
      </c>
      <c r="S46">
        <f t="shared" ref="S46" si="208">R46/100000</f>
        <v>-613.04277602409229</v>
      </c>
      <c r="T46">
        <f t="shared" ref="T46" si="209">S46/1000</f>
        <v>-0.6130427760240923</v>
      </c>
    </row>
    <row r="47" spans="1:20" x14ac:dyDescent="0.25">
      <c r="A47" s="5">
        <v>44546</v>
      </c>
      <c r="B47">
        <v>1.117</v>
      </c>
      <c r="C47">
        <v>1.143</v>
      </c>
      <c r="D47">
        <v>1.091</v>
      </c>
      <c r="E47">
        <v>1.0960000000000001</v>
      </c>
      <c r="F47">
        <v>3546678.2</v>
      </c>
      <c r="G47">
        <v>1.0960000000000001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-0.80769230769230338</v>
      </c>
      <c r="Q47">
        <f t="shared" ref="Q47" si="211">F47*P47</f>
        <v>-2864624.6999999848</v>
      </c>
      <c r="R47">
        <f t="shared" ref="R47" si="212">R48+Q47</f>
        <v>-61176490.732964769</v>
      </c>
      <c r="S47">
        <f t="shared" ref="S47" si="213">R47/100000</f>
        <v>-611.76490732964771</v>
      </c>
      <c r="T47">
        <f t="shared" ref="T47" si="214">S47/1000</f>
        <v>-0.61176490732964772</v>
      </c>
    </row>
    <row r="48" spans="1:20" x14ac:dyDescent="0.25">
      <c r="A48" s="5">
        <v>44545</v>
      </c>
      <c r="B48">
        <v>1.095</v>
      </c>
      <c r="C48">
        <v>1.1419999999999999</v>
      </c>
      <c r="D48">
        <v>1.0329999999999999</v>
      </c>
      <c r="E48">
        <v>1.117</v>
      </c>
      <c r="F48">
        <v>7176615.9000000004</v>
      </c>
      <c r="G48">
        <v>1.117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0.5412844036697263</v>
      </c>
      <c r="Q48">
        <f t="shared" ref="Q48" si="216">F48*P48</f>
        <v>3884590.2577981763</v>
      </c>
      <c r="R48">
        <f t="shared" ref="R48" si="217">R49+Q48</f>
        <v>-58311866.032964781</v>
      </c>
      <c r="S48">
        <f t="shared" ref="S48" si="218">R48/100000</f>
        <v>-583.11866032964781</v>
      </c>
      <c r="T48">
        <f t="shared" ref="T48" si="219">S48/1000</f>
        <v>-0.58311866032964776</v>
      </c>
    </row>
    <row r="49" spans="1:20" x14ac:dyDescent="0.25">
      <c r="A49" s="5">
        <v>44544</v>
      </c>
      <c r="B49">
        <v>1.07</v>
      </c>
      <c r="C49">
        <v>1.103</v>
      </c>
      <c r="D49">
        <v>1.0489999999999999</v>
      </c>
      <c r="E49">
        <v>1.0960000000000001</v>
      </c>
      <c r="F49">
        <v>5256616.9000000004</v>
      </c>
      <c r="G49">
        <v>1.0960000000000001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0.74074074074074481</v>
      </c>
      <c r="Q49">
        <f t="shared" ref="Q49" si="221">F49*P49</f>
        <v>3893790.2962963181</v>
      </c>
      <c r="R49">
        <f t="shared" ref="R49" si="222">R50+Q49</f>
        <v>-62196456.290762953</v>
      </c>
      <c r="S49">
        <f t="shared" ref="S49" si="223">R49/100000</f>
        <v>-621.96456290762956</v>
      </c>
      <c r="T49">
        <f t="shared" ref="T49" si="224">S49/1000</f>
        <v>-0.62196456290762958</v>
      </c>
    </row>
    <row r="50" spans="1:20" x14ac:dyDescent="0.25">
      <c r="A50" s="5">
        <v>44543</v>
      </c>
      <c r="B50">
        <v>1.214</v>
      </c>
      <c r="C50">
        <v>1.226</v>
      </c>
      <c r="D50">
        <v>1.0469999999999999</v>
      </c>
      <c r="E50">
        <v>1.069</v>
      </c>
      <c r="F50">
        <v>7252139.5999999996</v>
      </c>
      <c r="G50">
        <v>1.069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-0.75418994413407803</v>
      </c>
      <c r="Q50">
        <f t="shared" ref="Q50" si="226">F50*P50</f>
        <v>-5469490.7597765345</v>
      </c>
      <c r="R50">
        <f t="shared" ref="R50" si="227">R51+Q50</f>
        <v>-66090246.587059274</v>
      </c>
      <c r="S50">
        <f t="shared" ref="S50" si="228">R50/100000</f>
        <v>-660.90246587059278</v>
      </c>
      <c r="T50">
        <f t="shared" ref="T50" si="229">S50/1000</f>
        <v>-0.66090246587059276</v>
      </c>
    </row>
    <row r="51" spans="1:20" x14ac:dyDescent="0.25">
      <c r="A51" s="5">
        <v>44542</v>
      </c>
      <c r="B51">
        <v>1.2190000000000001</v>
      </c>
      <c r="C51">
        <v>1.2290000000000001</v>
      </c>
      <c r="D51">
        <v>1.1919999999999999</v>
      </c>
      <c r="E51">
        <v>1.214</v>
      </c>
      <c r="F51">
        <v>3577633.8</v>
      </c>
      <c r="G51">
        <v>1.214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0.18918918918918562</v>
      </c>
      <c r="Q51">
        <f t="shared" ref="Q51" si="231">F51*P51</f>
        <v>676849.63783782499</v>
      </c>
      <c r="R51">
        <f t="shared" ref="R51" si="232">R52+Q51</f>
        <v>-60620755.827282742</v>
      </c>
      <c r="S51">
        <f t="shared" ref="S51" si="233">R51/100000</f>
        <v>-606.20755827282744</v>
      </c>
      <c r="T51">
        <f t="shared" ref="T51" si="234">S51/1000</f>
        <v>-0.60620755827282746</v>
      </c>
    </row>
    <row r="52" spans="1:20" x14ac:dyDescent="0.25">
      <c r="A52" s="5">
        <v>44541</v>
      </c>
      <c r="B52">
        <v>1.149</v>
      </c>
      <c r="C52">
        <v>1.159</v>
      </c>
      <c r="D52">
        <v>1.123</v>
      </c>
      <c r="E52">
        <v>1.1559999999999999</v>
      </c>
      <c r="F52">
        <v>529143.1</v>
      </c>
      <c r="G52">
        <v>1.1559999999999999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0.83333333333332715</v>
      </c>
      <c r="Q52">
        <f t="shared" ref="Q52" si="236">F52*P52</f>
        <v>440952.58333333005</v>
      </c>
      <c r="R52">
        <f t="shared" ref="R52" si="237">R53+Q52</f>
        <v>-61297605.465120569</v>
      </c>
      <c r="S52">
        <f t="shared" ref="S52" si="238">R52/100000</f>
        <v>-612.97605465120569</v>
      </c>
      <c r="T52">
        <f t="shared" ref="T52" si="239">S52/1000</f>
        <v>-0.61297605465120564</v>
      </c>
    </row>
    <row r="53" spans="1:20" x14ac:dyDescent="0.25">
      <c r="A53" s="5">
        <v>44540</v>
      </c>
      <c r="B53">
        <v>1.206</v>
      </c>
      <c r="C53">
        <v>1.238</v>
      </c>
      <c r="D53">
        <v>1.145</v>
      </c>
      <c r="E53">
        <v>1.151</v>
      </c>
      <c r="F53">
        <v>8171996.5999999996</v>
      </c>
      <c r="G53">
        <v>1.151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-0.87096774193548376</v>
      </c>
      <c r="Q53">
        <f t="shared" ref="Q53" si="241">F53*P53</f>
        <v>-7117545.4258064507</v>
      </c>
      <c r="R53">
        <f t="shared" ref="R53" si="242">R54+Q53</f>
        <v>-61738558.048453897</v>
      </c>
      <c r="S53">
        <f t="shared" ref="S53" si="243">R53/100000</f>
        <v>-617.38558048453899</v>
      </c>
      <c r="T53">
        <f t="shared" ref="T53" si="244">S53/1000</f>
        <v>-0.61738558048453895</v>
      </c>
    </row>
    <row r="54" spans="1:20" x14ac:dyDescent="0.25">
      <c r="A54" s="5">
        <v>44539</v>
      </c>
      <c r="B54">
        <v>1.321</v>
      </c>
      <c r="C54">
        <v>1.3340000000000001</v>
      </c>
      <c r="D54">
        <v>1.1950000000000001</v>
      </c>
      <c r="E54">
        <v>1.2070000000000001</v>
      </c>
      <c r="F54">
        <v>7480325.7999999998</v>
      </c>
      <c r="G54">
        <v>1.2070000000000001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-0.82733812949640273</v>
      </c>
      <c r="Q54">
        <f t="shared" ref="Q54" si="246">F54*P54</f>
        <v>-6188758.7553956825</v>
      </c>
      <c r="R54">
        <f t="shared" ref="R54" si="247">R55+Q54</f>
        <v>-54621012.622647449</v>
      </c>
      <c r="S54">
        <f t="shared" ref="S54" si="248">R54/100000</f>
        <v>-546.21012622647447</v>
      </c>
      <c r="T54">
        <f t="shared" ref="T54" si="249">S54/1000</f>
        <v>-0.54621012622647447</v>
      </c>
    </row>
    <row r="55" spans="1:20" x14ac:dyDescent="0.25">
      <c r="A55" s="5">
        <v>44538</v>
      </c>
      <c r="B55">
        <v>1.2809999999999999</v>
      </c>
      <c r="C55">
        <v>1.3240000000000001</v>
      </c>
      <c r="D55">
        <v>1.222</v>
      </c>
      <c r="E55">
        <v>1.321</v>
      </c>
      <c r="F55">
        <v>10178817</v>
      </c>
      <c r="G55">
        <v>1.321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0.94117647058823317</v>
      </c>
      <c r="Q55">
        <f t="shared" ref="Q55" si="251">F55*P55</f>
        <v>9580063.0588235073</v>
      </c>
      <c r="R55">
        <f t="shared" ref="R55" si="252">R56+Q55</f>
        <v>-48432253.867251769</v>
      </c>
      <c r="S55">
        <f t="shared" ref="S55" si="253">R55/100000</f>
        <v>-484.32253867251768</v>
      </c>
      <c r="T55">
        <f t="shared" ref="T55" si="254">S55/1000</f>
        <v>-0.48432253867251768</v>
      </c>
    </row>
    <row r="56" spans="1:20" x14ac:dyDescent="0.25">
      <c r="A56" s="5">
        <v>44537</v>
      </c>
      <c r="B56">
        <v>1.28</v>
      </c>
      <c r="C56">
        <v>1.377</v>
      </c>
      <c r="D56">
        <v>1.256</v>
      </c>
      <c r="E56">
        <v>1.2809999999999999</v>
      </c>
      <c r="F56">
        <v>13080540</v>
      </c>
      <c r="G56">
        <v>1.2809999999999999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-0.58677685950413372</v>
      </c>
      <c r="Q56">
        <f t="shared" ref="Q56" si="256">F56*P56</f>
        <v>-7675358.1818182012</v>
      </c>
      <c r="R56">
        <f t="shared" ref="R56" si="257">R57+Q56</f>
        <v>-58012316.926075272</v>
      </c>
      <c r="S56">
        <f t="shared" ref="S56" si="258">R56/100000</f>
        <v>-580.12316926075277</v>
      </c>
      <c r="T56">
        <f t="shared" ref="T56" si="259">S56/1000</f>
        <v>-0.5801231692607528</v>
      </c>
    </row>
    <row r="57" spans="1:20" x14ac:dyDescent="0.25">
      <c r="A57" s="5">
        <v>44536</v>
      </c>
      <c r="B57">
        <v>1.2470000000000001</v>
      </c>
      <c r="C57">
        <v>1.353</v>
      </c>
      <c r="D57">
        <v>1.1160000000000001</v>
      </c>
      <c r="E57">
        <v>1.2809999999999999</v>
      </c>
      <c r="F57">
        <v>18182476.5</v>
      </c>
      <c r="G57">
        <v>1.2809999999999999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0.39240506329113839</v>
      </c>
      <c r="Q57">
        <f t="shared" ref="Q57" si="261">F57*P57</f>
        <v>7134895.8417721363</v>
      </c>
      <c r="R57">
        <f t="shared" ref="R57" si="262">R58+Q57</f>
        <v>-50336958.74425707</v>
      </c>
      <c r="S57">
        <f t="shared" ref="S57" si="263">R57/100000</f>
        <v>-503.36958744257072</v>
      </c>
      <c r="T57">
        <f t="shared" ref="T57" si="264">S57/1000</f>
        <v>-0.50336958744257077</v>
      </c>
    </row>
    <row r="58" spans="1:20" x14ac:dyDescent="0.25">
      <c r="A58" s="5">
        <v>44535</v>
      </c>
      <c r="B58">
        <v>1.357</v>
      </c>
      <c r="C58">
        <v>1.379</v>
      </c>
      <c r="D58">
        <v>1.206</v>
      </c>
      <c r="E58">
        <v>1.2470000000000001</v>
      </c>
      <c r="F58">
        <v>10625932.5</v>
      </c>
      <c r="G58">
        <v>1.2470000000000001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-0.52601156069364008</v>
      </c>
      <c r="Q58">
        <f t="shared" ref="Q58" si="266">F58*P58</f>
        <v>-5589363.3381502731</v>
      </c>
      <c r="R58">
        <f t="shared" ref="R58" si="267">R59+Q58</f>
        <v>-57471854.586029209</v>
      </c>
      <c r="S58">
        <f t="shared" ref="S58" si="268">R58/100000</f>
        <v>-574.71854586029212</v>
      </c>
      <c r="T58">
        <f t="shared" ref="T58" si="269">S58/1000</f>
        <v>-0.57471854586029214</v>
      </c>
    </row>
    <row r="59" spans="1:20" x14ac:dyDescent="0.25">
      <c r="A59" s="5">
        <v>44534</v>
      </c>
      <c r="B59">
        <v>1.7310000000000001</v>
      </c>
      <c r="C59">
        <v>1.74</v>
      </c>
      <c r="D59">
        <v>1.0209999999999999</v>
      </c>
      <c r="E59">
        <v>1.3560000000000001</v>
      </c>
      <c r="F59">
        <v>28711845.300000001</v>
      </c>
      <c r="G59">
        <v>1.3560000000000001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-6.8150208623087211E-2</v>
      </c>
      <c r="Q59">
        <f t="shared" ref="Q59" si="271">F59*P59</f>
        <v>-1956718.247148806</v>
      </c>
      <c r="R59">
        <f t="shared" ref="R59" si="272">R60+Q59</f>
        <v>-51882491.247878939</v>
      </c>
      <c r="S59">
        <f t="shared" ref="S59" si="273">R59/100000</f>
        <v>-518.82491247878943</v>
      </c>
      <c r="T59">
        <f t="shared" ref="T59" si="274">S59/1000</f>
        <v>-0.51882491247878948</v>
      </c>
    </row>
    <row r="60" spans="1:20" x14ac:dyDescent="0.25">
      <c r="A60" s="5">
        <v>44533</v>
      </c>
      <c r="B60">
        <v>1.704</v>
      </c>
      <c r="C60">
        <v>1.827</v>
      </c>
      <c r="D60">
        <v>1.6419999999999999</v>
      </c>
      <c r="E60">
        <v>1.7330000000000001</v>
      </c>
      <c r="F60">
        <v>14595060.199999999</v>
      </c>
      <c r="G60">
        <v>1.7330000000000001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-1.6216216216214427E-2</v>
      </c>
      <c r="Q60">
        <f t="shared" ref="Q60" si="276">F60*P60</f>
        <v>-236676.65189186577</v>
      </c>
      <c r="R60">
        <f t="shared" ref="R60" si="277">R61+Q60</f>
        <v>-49925773.000730135</v>
      </c>
      <c r="S60">
        <f t="shared" ref="S60" si="278">R60/100000</f>
        <v>-499.25773000730135</v>
      </c>
      <c r="T60">
        <f t="shared" ref="T60" si="279">S60/1000</f>
        <v>-0.49925773000730134</v>
      </c>
    </row>
    <row r="61" spans="1:20" x14ac:dyDescent="0.25">
      <c r="A61" s="5">
        <v>44532</v>
      </c>
      <c r="B61">
        <v>1.7410000000000001</v>
      </c>
      <c r="C61">
        <v>1.746</v>
      </c>
      <c r="D61">
        <v>1.66</v>
      </c>
      <c r="E61">
        <v>1.704</v>
      </c>
      <c r="F61">
        <v>5668172.2999999998</v>
      </c>
      <c r="G61">
        <v>1.704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2.3255813953488372E-2</v>
      </c>
      <c r="Q61">
        <f t="shared" ref="Q61" si="281">F61*P61</f>
        <v>131817.96046511628</v>
      </c>
      <c r="R61">
        <f t="shared" ref="R61" si="282">R62+Q61</f>
        <v>-49689096.34883827</v>
      </c>
      <c r="S61">
        <f t="shared" ref="S61" si="283">R61/100000</f>
        <v>-496.89096348838268</v>
      </c>
      <c r="T61">
        <f t="shared" ref="T61" si="284">S61/1000</f>
        <v>-0.49689096348838269</v>
      </c>
    </row>
    <row r="62" spans="1:20" x14ac:dyDescent="0.25">
      <c r="A62" s="5">
        <v>44531</v>
      </c>
      <c r="B62">
        <v>1.728</v>
      </c>
      <c r="C62">
        <v>1.7989999999999999</v>
      </c>
      <c r="D62">
        <v>1.7130000000000001</v>
      </c>
      <c r="E62">
        <v>1.742</v>
      </c>
      <c r="F62">
        <v>7171484.7000000002</v>
      </c>
      <c r="G62">
        <v>1.742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-0.32558139534883807</v>
      </c>
      <c r="Q62">
        <f t="shared" ref="Q62" si="286">F62*P62</f>
        <v>-2334901.9953488433</v>
      </c>
      <c r="R62">
        <f t="shared" ref="R62" si="287">R63+Q62</f>
        <v>-49820914.309303388</v>
      </c>
      <c r="S62">
        <f t="shared" ref="S62" si="288">R62/100000</f>
        <v>-498.2091430930339</v>
      </c>
      <c r="T62">
        <f t="shared" ref="T62" si="289">S62/1000</f>
        <v>-0.49820914309303388</v>
      </c>
    </row>
    <row r="63" spans="1:20" x14ac:dyDescent="0.25">
      <c r="A63" s="5">
        <v>44530</v>
      </c>
      <c r="B63">
        <v>1.7589999999999999</v>
      </c>
      <c r="C63">
        <v>1.796</v>
      </c>
      <c r="D63">
        <v>1.7</v>
      </c>
      <c r="E63">
        <v>1.7270000000000001</v>
      </c>
      <c r="F63">
        <v>7597732.0999999996</v>
      </c>
      <c r="G63">
        <v>1.7270000000000001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-0.43749999999999767</v>
      </c>
      <c r="Q63">
        <f t="shared" ref="Q63" si="291">F63*P63</f>
        <v>-3324007.793749982</v>
      </c>
      <c r="R63">
        <f t="shared" ref="R63" si="292">R64+Q63</f>
        <v>-47486012.313954547</v>
      </c>
      <c r="S63">
        <f t="shared" ref="S63" si="293">R63/100000</f>
        <v>-474.86012313954546</v>
      </c>
      <c r="T63">
        <f t="shared" ref="T63" si="294">S63/1000</f>
        <v>-0.47486012313954545</v>
      </c>
    </row>
    <row r="64" spans="1:20" x14ac:dyDescent="0.25">
      <c r="A64" s="5">
        <v>44529</v>
      </c>
      <c r="B64">
        <v>1.7470000000000001</v>
      </c>
      <c r="C64">
        <v>1.7869999999999999</v>
      </c>
      <c r="D64">
        <v>1.7130000000000001</v>
      </c>
      <c r="E64">
        <v>1.76</v>
      </c>
      <c r="F64">
        <v>6723648.4000000004</v>
      </c>
      <c r="G64">
        <v>1.76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0.27027027027027106</v>
      </c>
      <c r="Q64">
        <f t="shared" ref="Q64" si="296">F64*P64</f>
        <v>1817202.2702702757</v>
      </c>
      <c r="R64">
        <f t="shared" ref="R64" si="297">R65+Q64</f>
        <v>-44162004.520204566</v>
      </c>
      <c r="S64">
        <f t="shared" ref="S64" si="298">R64/100000</f>
        <v>-441.62004520204567</v>
      </c>
      <c r="T64">
        <f t="shared" ref="T64" si="299">S64/1000</f>
        <v>-0.44162004520204567</v>
      </c>
    </row>
    <row r="65" spans="1:20" x14ac:dyDescent="0.25">
      <c r="A65" s="5">
        <v>44528</v>
      </c>
      <c r="B65">
        <v>1.7669999999999999</v>
      </c>
      <c r="C65">
        <v>1.768</v>
      </c>
      <c r="D65">
        <v>1.601</v>
      </c>
      <c r="E65">
        <v>1.746</v>
      </c>
      <c r="F65">
        <v>8258599.7000000002</v>
      </c>
      <c r="G65">
        <v>1.746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0.73652694610778424</v>
      </c>
      <c r="Q65">
        <f t="shared" ref="Q65" si="301">F65*P65</f>
        <v>6082681.2161676632</v>
      </c>
      <c r="R65">
        <f t="shared" ref="R65" si="302">R66+Q65</f>
        <v>-45979206.79047484</v>
      </c>
      <c r="S65">
        <f t="shared" ref="S65" si="303">R65/100000</f>
        <v>-459.79206790474842</v>
      </c>
      <c r="T65">
        <f t="shared" ref="T65" si="304">S65/1000</f>
        <v>-0.45979206790474841</v>
      </c>
    </row>
    <row r="66" spans="1:20" x14ac:dyDescent="0.25">
      <c r="A66" s="5">
        <v>44527</v>
      </c>
      <c r="B66">
        <v>1.716</v>
      </c>
      <c r="C66">
        <v>1.829</v>
      </c>
      <c r="D66">
        <v>1.71</v>
      </c>
      <c r="E66">
        <v>1.768</v>
      </c>
      <c r="F66">
        <v>8596368.5</v>
      </c>
      <c r="G66">
        <v>1.768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-2.5210084033612537E-2</v>
      </c>
      <c r="Q66">
        <f t="shared" ref="Q66" si="306">F66*P66</f>
        <v>-216715.17226889977</v>
      </c>
      <c r="R66">
        <f t="shared" ref="R66" si="307">R67+Q66</f>
        <v>-52061888.006642506</v>
      </c>
      <c r="S66">
        <f t="shared" ref="S66" si="308">R66/100000</f>
        <v>-520.61888006642505</v>
      </c>
      <c r="T66">
        <f t="shared" ref="T66" si="309">S66/1000</f>
        <v>-0.52061888006642509</v>
      </c>
    </row>
    <row r="67" spans="1:20" x14ac:dyDescent="0.25">
      <c r="A67" s="5">
        <v>44526</v>
      </c>
      <c r="B67">
        <v>1.9059999999999999</v>
      </c>
      <c r="C67">
        <v>1.9390000000000001</v>
      </c>
      <c r="D67">
        <v>1.6890000000000001</v>
      </c>
      <c r="E67">
        <v>1.716</v>
      </c>
      <c r="F67">
        <v>12907148.4</v>
      </c>
      <c r="G67">
        <v>1.716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-0.7840000000000007</v>
      </c>
      <c r="Q67">
        <f t="shared" ref="Q67" si="311">F67*P67</f>
        <v>-10119204.345600009</v>
      </c>
      <c r="R67">
        <f t="shared" ref="R67" si="312">R68+Q67</f>
        <v>-51845172.834373608</v>
      </c>
      <c r="S67">
        <f t="shared" ref="S67" si="313">R67/100000</f>
        <v>-518.45172834373614</v>
      </c>
      <c r="T67">
        <f t="shared" ref="T67" si="314">S67/1000</f>
        <v>-0.5184517283437361</v>
      </c>
    </row>
    <row r="68" spans="1:20" x14ac:dyDescent="0.25">
      <c r="A68" s="5">
        <v>44525</v>
      </c>
      <c r="B68">
        <v>1.847</v>
      </c>
      <c r="C68">
        <v>1.9450000000000001</v>
      </c>
      <c r="D68">
        <v>1.8320000000000001</v>
      </c>
      <c r="E68">
        <v>1.907</v>
      </c>
      <c r="F68">
        <v>9306211.9000000004</v>
      </c>
      <c r="G68">
        <v>1.907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0.32743362831858341</v>
      </c>
      <c r="Q68">
        <f t="shared" ref="Q68" si="316">F68*P68</f>
        <v>3047166.7283185781</v>
      </c>
      <c r="R68">
        <f t="shared" ref="R68" si="317">R69+Q68</f>
        <v>-41725968.488773599</v>
      </c>
      <c r="S68">
        <f t="shared" ref="S68" si="318">R68/100000</f>
        <v>-417.259684887736</v>
      </c>
      <c r="T68">
        <f t="shared" ref="T68" si="319">S68/1000</f>
        <v>-0.41725968488773602</v>
      </c>
    </row>
    <row r="69" spans="1:20" x14ac:dyDescent="0.25">
      <c r="A69" s="5">
        <v>44524</v>
      </c>
      <c r="B69">
        <v>1.9019999999999999</v>
      </c>
      <c r="C69">
        <v>1.913</v>
      </c>
      <c r="D69">
        <v>1.859</v>
      </c>
      <c r="E69">
        <v>1.88</v>
      </c>
      <c r="F69">
        <v>2335387.2999999998</v>
      </c>
      <c r="G69">
        <v>1.88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-0.22222222222222635</v>
      </c>
      <c r="Q69">
        <f t="shared" ref="Q69" si="321">F69*P69</f>
        <v>-518974.95555556513</v>
      </c>
      <c r="R69">
        <f t="shared" ref="R69" si="322">R70+Q69</f>
        <v>-44773135.217092179</v>
      </c>
      <c r="S69">
        <f t="shared" ref="S69" si="323">R69/100000</f>
        <v>-447.73135217092181</v>
      </c>
      <c r="T69">
        <f t="shared" ref="T69" si="324">S69/1000</f>
        <v>-0.4477313521709218</v>
      </c>
    </row>
    <row r="70" spans="1:20" x14ac:dyDescent="0.25">
      <c r="A70" s="5">
        <v>44523</v>
      </c>
      <c r="B70">
        <v>1.87</v>
      </c>
      <c r="C70">
        <v>1.931</v>
      </c>
      <c r="D70">
        <v>1.83</v>
      </c>
      <c r="E70">
        <v>1.9019999999999999</v>
      </c>
      <c r="F70">
        <v>9614945.1999999993</v>
      </c>
      <c r="G70">
        <v>1.9019999999999999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0.4257425742574229</v>
      </c>
      <c r="Q70">
        <f t="shared" ref="Q70" si="326">F70*P70</f>
        <v>4093491.5207920517</v>
      </c>
      <c r="R70">
        <f t="shared" ref="R70" si="327">R71+Q70</f>
        <v>-44254160.261536613</v>
      </c>
      <c r="S70">
        <f t="shared" ref="S70" si="328">R70/100000</f>
        <v>-442.54160261536612</v>
      </c>
      <c r="T70">
        <f t="shared" ref="T70" si="329">S70/1000</f>
        <v>-0.44254160261536613</v>
      </c>
    </row>
    <row r="71" spans="1:20" x14ac:dyDescent="0.25">
      <c r="A71" s="5">
        <v>44522</v>
      </c>
      <c r="B71">
        <v>1.9950000000000001</v>
      </c>
      <c r="C71">
        <v>2.0059999999999998</v>
      </c>
      <c r="D71">
        <v>1.841</v>
      </c>
      <c r="E71">
        <v>1.87</v>
      </c>
      <c r="F71">
        <v>9987911.5</v>
      </c>
      <c r="G71">
        <v>1.87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-0.64848484848484644</v>
      </c>
      <c r="Q71">
        <f t="shared" ref="Q71" si="331">F71*P71</f>
        <v>-6477009.2757575549</v>
      </c>
      <c r="R71">
        <f t="shared" ref="R71" si="332">R72+Q71</f>
        <v>-48347651.782328665</v>
      </c>
      <c r="S71">
        <f t="shared" ref="S71" si="333">R71/100000</f>
        <v>-483.47651782328666</v>
      </c>
      <c r="T71">
        <f t="shared" ref="T71" si="334">S71/1000</f>
        <v>-0.48347651782328666</v>
      </c>
    </row>
    <row r="72" spans="1:20" x14ac:dyDescent="0.25">
      <c r="A72" s="5">
        <v>44521</v>
      </c>
      <c r="B72">
        <v>2.0430000000000001</v>
      </c>
      <c r="C72">
        <v>2.0830000000000002</v>
      </c>
      <c r="D72">
        <v>1.984</v>
      </c>
      <c r="E72">
        <v>1.9950000000000001</v>
      </c>
      <c r="F72">
        <v>10694080.1</v>
      </c>
      <c r="G72">
        <v>1.9950000000000001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-0.77777777777777579</v>
      </c>
      <c r="Q72">
        <f t="shared" ref="Q72" si="336">F72*P72</f>
        <v>-8317617.8555555344</v>
      </c>
      <c r="R72">
        <f t="shared" ref="R72" si="337">R73+Q72</f>
        <v>-41870642.506571114</v>
      </c>
      <c r="S72">
        <f t="shared" ref="S72" si="338">R72/100000</f>
        <v>-418.70642506571113</v>
      </c>
      <c r="T72">
        <f t="shared" ref="T72" si="339">S72/1000</f>
        <v>-0.41870642506571115</v>
      </c>
    </row>
    <row r="73" spans="1:20" x14ac:dyDescent="0.25">
      <c r="A73" s="5">
        <v>44520</v>
      </c>
      <c r="B73">
        <v>1.97</v>
      </c>
      <c r="C73">
        <v>2.1030000000000002</v>
      </c>
      <c r="D73">
        <v>1.952</v>
      </c>
      <c r="E73">
        <v>2.044</v>
      </c>
      <c r="F73">
        <v>14198037.1</v>
      </c>
      <c r="G73">
        <v>2.044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0.21854304635761501</v>
      </c>
      <c r="Q73">
        <f t="shared" ref="Q73" si="341">F73*P73</f>
        <v>3102882.2801324376</v>
      </c>
      <c r="R73">
        <f t="shared" ref="R73" si="342">R74+Q73</f>
        <v>-33553024.651015576</v>
      </c>
      <c r="S73">
        <f t="shared" ref="S73" si="343">R73/100000</f>
        <v>-335.53024651015573</v>
      </c>
      <c r="T73">
        <f t="shared" ref="T73" si="344">S73/1000</f>
        <v>-0.33553024651015573</v>
      </c>
    </row>
    <row r="74" spans="1:20" x14ac:dyDescent="0.25">
      <c r="A74" s="5">
        <v>44519</v>
      </c>
      <c r="B74">
        <v>1.9119999999999999</v>
      </c>
      <c r="C74">
        <v>2.0289999999999999</v>
      </c>
      <c r="D74">
        <v>1.8580000000000001</v>
      </c>
      <c r="E74">
        <v>1.9690000000000001</v>
      </c>
      <c r="F74">
        <v>13559225</v>
      </c>
      <c r="G74">
        <v>1.9690000000000001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0.29824561403508892</v>
      </c>
      <c r="Q74">
        <f t="shared" ref="Q74" si="346">F74*P74</f>
        <v>4043979.3859649287</v>
      </c>
      <c r="R74">
        <f t="shared" ref="R74" si="347">R75+Q74</f>
        <v>-36655906.931148015</v>
      </c>
      <c r="S74">
        <f t="shared" ref="S74" si="348">R74/100000</f>
        <v>-366.55906931148013</v>
      </c>
      <c r="T74">
        <f t="shared" ref="T74" si="349">S74/1000</f>
        <v>-0.36655906931148013</v>
      </c>
    </row>
    <row r="75" spans="1:20" x14ac:dyDescent="0.25">
      <c r="A75" s="5">
        <v>44518</v>
      </c>
      <c r="B75">
        <v>1.946</v>
      </c>
      <c r="C75">
        <v>2.0659999999999998</v>
      </c>
      <c r="D75">
        <v>1.706</v>
      </c>
      <c r="E75">
        <v>1.9119999999999999</v>
      </c>
      <c r="F75">
        <v>37025292.399999999</v>
      </c>
      <c r="G75">
        <v>1.9119999999999999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0.14444444444444463</v>
      </c>
      <c r="Q75">
        <f t="shared" ref="Q75" si="351">F75*P75</f>
        <v>5348097.7911111172</v>
      </c>
      <c r="R75">
        <f t="shared" ref="R75" si="352">R76+Q75</f>
        <v>-40699886.317112945</v>
      </c>
      <c r="S75">
        <f t="shared" ref="S75" si="353">R75/100000</f>
        <v>-406.99886317112947</v>
      </c>
      <c r="T75">
        <f t="shared" ref="T75" si="354">S75/1000</f>
        <v>-0.40699886317112949</v>
      </c>
    </row>
    <row r="76" spans="1:20" x14ac:dyDescent="0.25">
      <c r="A76" s="5">
        <v>44517</v>
      </c>
      <c r="B76">
        <v>1.883</v>
      </c>
      <c r="C76">
        <v>1.974</v>
      </c>
      <c r="D76">
        <v>1.794</v>
      </c>
      <c r="E76">
        <v>1.9470000000000001</v>
      </c>
      <c r="F76">
        <v>9855772.0999999996</v>
      </c>
      <c r="G76">
        <v>1.9470000000000001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0.70000000000000084</v>
      </c>
      <c r="Q76">
        <f t="shared" ref="Q76" si="356">F76*P76</f>
        <v>6899040.4700000081</v>
      </c>
      <c r="R76">
        <f t="shared" ref="R76" si="357">R77+Q76</f>
        <v>-46047984.108224064</v>
      </c>
      <c r="S76">
        <f t="shared" ref="S76" si="358">R76/100000</f>
        <v>-460.47984108224063</v>
      </c>
      <c r="T76">
        <f t="shared" ref="T76" si="359">S76/1000</f>
        <v>-0.4604798410822406</v>
      </c>
    </row>
    <row r="77" spans="1:20" x14ac:dyDescent="0.25">
      <c r="A77" s="5">
        <v>44516</v>
      </c>
      <c r="B77">
        <v>2.1059999999999999</v>
      </c>
      <c r="C77">
        <v>2.1070000000000002</v>
      </c>
      <c r="D77">
        <v>1.76</v>
      </c>
      <c r="E77">
        <v>1.883</v>
      </c>
      <c r="F77">
        <v>16565378.6</v>
      </c>
      <c r="G77">
        <v>1.883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-0.29106628242074967</v>
      </c>
      <c r="Q77">
        <f t="shared" ref="Q77" si="361">F77*P77</f>
        <v>-4821623.1659942428</v>
      </c>
      <c r="R77">
        <f t="shared" ref="R77" si="362">R78+Q77</f>
        <v>-52947024.57822407</v>
      </c>
      <c r="S77">
        <f t="shared" ref="S77" si="363">R77/100000</f>
        <v>-529.47024578224068</v>
      </c>
      <c r="T77">
        <f t="shared" ref="T77" si="364">S77/1000</f>
        <v>-0.52947024578224067</v>
      </c>
    </row>
    <row r="78" spans="1:20" x14ac:dyDescent="0.25">
      <c r="A78" s="5">
        <v>44515</v>
      </c>
      <c r="B78">
        <v>2.1909999999999998</v>
      </c>
      <c r="C78">
        <v>2.2200000000000002</v>
      </c>
      <c r="D78">
        <v>2.08</v>
      </c>
      <c r="E78">
        <v>2.1059999999999999</v>
      </c>
      <c r="F78">
        <v>7077027</v>
      </c>
      <c r="G78">
        <v>2.1059999999999999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-0.62857142857143178</v>
      </c>
      <c r="Q78">
        <f t="shared" ref="Q78" si="366">F78*P78</f>
        <v>-4448416.9714285946</v>
      </c>
      <c r="R78">
        <f t="shared" ref="R78" si="367">R79+Q78</f>
        <v>-48125401.412229829</v>
      </c>
      <c r="S78">
        <f t="shared" ref="S78" si="368">R78/100000</f>
        <v>-481.25401412229826</v>
      </c>
      <c r="T78">
        <f t="shared" ref="T78" si="369">S78/1000</f>
        <v>-0.48125401412229823</v>
      </c>
    </row>
    <row r="79" spans="1:20" x14ac:dyDescent="0.25">
      <c r="A79" s="5">
        <v>44514</v>
      </c>
      <c r="B79">
        <v>2.1509999999999998</v>
      </c>
      <c r="C79">
        <v>2.2519999999999998</v>
      </c>
      <c r="D79">
        <v>2.11</v>
      </c>
      <c r="E79">
        <v>2.19</v>
      </c>
      <c r="F79">
        <v>9401661</v>
      </c>
      <c r="G79">
        <v>2.19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0.12676056338028346</v>
      </c>
      <c r="Q79">
        <f t="shared" ref="Q79" si="371">F79*P79</f>
        <v>1191759.8450704392</v>
      </c>
      <c r="R79">
        <f t="shared" ref="R79" si="372">R80+Q79</f>
        <v>-43676984.440801233</v>
      </c>
      <c r="S79">
        <f t="shared" ref="S79" si="373">R79/100000</f>
        <v>-436.76984440801232</v>
      </c>
      <c r="T79">
        <f t="shared" ref="T79" si="374">S79/1000</f>
        <v>-0.43676984440801231</v>
      </c>
    </row>
    <row r="80" spans="1:20" x14ac:dyDescent="0.25">
      <c r="A80" s="5">
        <v>44513</v>
      </c>
      <c r="B80">
        <v>2.0739999999999998</v>
      </c>
      <c r="C80">
        <v>2.19</v>
      </c>
      <c r="D80">
        <v>2.0350000000000001</v>
      </c>
      <c r="E80">
        <v>2.1509999999999998</v>
      </c>
      <c r="F80">
        <v>9348494</v>
      </c>
      <c r="G80">
        <v>2.1509999999999998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0.49677419354838459</v>
      </c>
      <c r="Q80">
        <f t="shared" ref="Q80" si="376">F80*P80</f>
        <v>4644090.5677419119</v>
      </c>
      <c r="R80">
        <f t="shared" ref="R80" si="377">R81+Q80</f>
        <v>-44868744.28587167</v>
      </c>
      <c r="S80">
        <f t="shared" ref="S80" si="378">R80/100000</f>
        <v>-448.68744285871668</v>
      </c>
      <c r="T80">
        <f t="shared" ref="T80" si="379">S80/1000</f>
        <v>-0.4486874428587167</v>
      </c>
    </row>
    <row r="81" spans="1:20" x14ac:dyDescent="0.25">
      <c r="A81" s="5">
        <v>44512</v>
      </c>
      <c r="B81">
        <v>2.129</v>
      </c>
      <c r="C81">
        <v>2.21</v>
      </c>
      <c r="D81">
        <v>2.0059999999999998</v>
      </c>
      <c r="E81">
        <v>2.0739999999999998</v>
      </c>
      <c r="F81">
        <v>11929792.5</v>
      </c>
      <c r="G81">
        <v>2.0739999999999998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-0.33333333333333331</v>
      </c>
      <c r="Q81">
        <f t="shared" ref="Q81" si="381">F81*P81</f>
        <v>-3976597.5</v>
      </c>
      <c r="R81">
        <f t="shared" ref="R81" si="382">R82+Q81</f>
        <v>-49512834.853613585</v>
      </c>
      <c r="S81">
        <f t="shared" ref="S81" si="383">R81/100000</f>
        <v>-495.12834853613583</v>
      </c>
      <c r="T81">
        <f t="shared" ref="T81" si="384">S81/1000</f>
        <v>-0.49512834853613585</v>
      </c>
    </row>
    <row r="82" spans="1:20" x14ac:dyDescent="0.25">
      <c r="A82" s="5">
        <v>44511</v>
      </c>
      <c r="B82">
        <v>2.0630000000000002</v>
      </c>
      <c r="C82">
        <v>2.1789999999999998</v>
      </c>
      <c r="D82">
        <v>2.0190000000000001</v>
      </c>
      <c r="E82">
        <v>2.13</v>
      </c>
      <c r="F82">
        <v>11737754.5</v>
      </c>
      <c r="G82">
        <v>2.13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0.38749999999999968</v>
      </c>
      <c r="Q82">
        <f t="shared" ref="Q82" si="386">F82*P82</f>
        <v>4548379.8687499966</v>
      </c>
      <c r="R82">
        <f t="shared" ref="R82" si="387">R83+Q82</f>
        <v>-45536237.353613585</v>
      </c>
      <c r="S82">
        <f t="shared" ref="S82" si="388">R82/100000</f>
        <v>-455.36237353613586</v>
      </c>
      <c r="T82">
        <f t="shared" ref="T82" si="389">S82/1000</f>
        <v>-0.45536237353613584</v>
      </c>
    </row>
    <row r="83" spans="1:20" x14ac:dyDescent="0.25">
      <c r="A83" s="5">
        <v>44510</v>
      </c>
      <c r="B83">
        <v>2.1739999999999999</v>
      </c>
      <c r="C83">
        <v>2.3559999999999999</v>
      </c>
      <c r="D83">
        <v>1.899</v>
      </c>
      <c r="E83">
        <v>2.0630000000000002</v>
      </c>
      <c r="F83">
        <v>29911553.800000001</v>
      </c>
      <c r="G83">
        <v>2.0630000000000002</v>
      </c>
      <c r="L83" t="s">
        <v>8</v>
      </c>
      <c r="M83" t="s">
        <v>8</v>
      </c>
      <c r="N83" t="s">
        <v>7</v>
      </c>
      <c r="P83">
        <f t="shared" ref="P83" si="390">IF(C83=D83,0,((E83-D83)-(C83-E83))/(C83-D83))</f>
        <v>-0.28227571115973654</v>
      </c>
      <c r="Q83">
        <f t="shared" ref="Q83" si="391">F83*P83</f>
        <v>-8443305.1207877193</v>
      </c>
      <c r="R83">
        <f t="shared" ref="R83" si="392">R84+Q83</f>
        <v>-50084617.222363584</v>
      </c>
      <c r="S83">
        <f t="shared" ref="S83" si="393">R83/100000</f>
        <v>-500.84617222363585</v>
      </c>
      <c r="T83">
        <f t="shared" ref="T83" si="394">S83/1000</f>
        <v>-0.50084617222363581</v>
      </c>
    </row>
    <row r="84" spans="1:20" x14ac:dyDescent="0.25">
      <c r="A84" s="5">
        <v>44509</v>
      </c>
      <c r="B84">
        <v>2.1040000000000001</v>
      </c>
      <c r="C84">
        <v>2.262</v>
      </c>
      <c r="D84">
        <v>2.0710000000000002</v>
      </c>
      <c r="E84">
        <v>2.173</v>
      </c>
      <c r="F84">
        <v>18969370.300000001</v>
      </c>
      <c r="G84">
        <v>2.173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6.8062827225130421E-2</v>
      </c>
      <c r="Q84">
        <f t="shared" ref="Q84" si="396">F84*P84</f>
        <v>1291108.9732984204</v>
      </c>
      <c r="R84">
        <f t="shared" ref="R84" si="397">R85+Q84</f>
        <v>-41641312.101575866</v>
      </c>
      <c r="S84">
        <f t="shared" ref="S84" si="398">R84/100000</f>
        <v>-416.41312101575869</v>
      </c>
      <c r="T84">
        <f t="shared" ref="T84" si="399">S84/1000</f>
        <v>-0.41641312101575867</v>
      </c>
    </row>
    <row r="85" spans="1:20" x14ac:dyDescent="0.25">
      <c r="A85" s="5">
        <v>44508</v>
      </c>
      <c r="B85">
        <v>2.1019999999999999</v>
      </c>
      <c r="C85">
        <v>2.1230000000000002</v>
      </c>
      <c r="D85">
        <v>2.0379999999999998</v>
      </c>
      <c r="E85">
        <v>2.1030000000000002</v>
      </c>
      <c r="F85">
        <v>8366355.7999999998</v>
      </c>
      <c r="G85">
        <v>2.1030000000000002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0.52941176470588425</v>
      </c>
      <c r="Q85">
        <f t="shared" ref="Q85" si="401">F85*P85</f>
        <v>4429247.1882353099</v>
      </c>
      <c r="R85">
        <f t="shared" ref="R85" si="402">R86+Q85</f>
        <v>-42932421.074874289</v>
      </c>
      <c r="S85">
        <f t="shared" ref="S85" si="403">R85/100000</f>
        <v>-429.32421074874287</v>
      </c>
      <c r="T85">
        <f t="shared" ref="T85" si="404">S85/1000</f>
        <v>-0.42932421074874288</v>
      </c>
    </row>
    <row r="86" spans="1:20" x14ac:dyDescent="0.25">
      <c r="A86" s="5">
        <v>44507</v>
      </c>
      <c r="B86">
        <v>2.0579999999999998</v>
      </c>
      <c r="C86">
        <v>2.181</v>
      </c>
      <c r="D86">
        <v>2.0310000000000001</v>
      </c>
      <c r="E86">
        <v>2.1</v>
      </c>
      <c r="F86">
        <v>9231052.9000000004</v>
      </c>
      <c r="G86">
        <v>2.1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-8.0000000000000113E-2</v>
      </c>
      <c r="Q86">
        <f t="shared" ref="Q86" si="406">F86*P86</f>
        <v>-738484.23200000112</v>
      </c>
      <c r="R86">
        <f t="shared" ref="R86" si="407">R87+Q86</f>
        <v>-47361668.263109602</v>
      </c>
      <c r="S86">
        <f t="shared" ref="S86" si="408">R86/100000</f>
        <v>-473.61668263109601</v>
      </c>
      <c r="T86">
        <f t="shared" ref="T86" si="409">S86/1000</f>
        <v>-0.47361668263109602</v>
      </c>
    </row>
    <row r="87" spans="1:20" x14ac:dyDescent="0.25">
      <c r="A87" s="5">
        <v>44506</v>
      </c>
      <c r="B87">
        <v>2.0939999999999999</v>
      </c>
      <c r="C87">
        <v>2.1240000000000001</v>
      </c>
      <c r="D87">
        <v>1.9510000000000001</v>
      </c>
      <c r="E87">
        <v>2.0550000000000002</v>
      </c>
      <c r="F87">
        <v>7944335.7000000002</v>
      </c>
      <c r="G87">
        <v>2.0550000000000002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0.20231213872832446</v>
      </c>
      <c r="Q87">
        <f t="shared" ref="Q87" si="411">F87*P87</f>
        <v>1607235.5462427808</v>
      </c>
      <c r="R87">
        <f t="shared" ref="R87" si="412">R88+Q87</f>
        <v>-46623184.031109601</v>
      </c>
      <c r="S87">
        <f t="shared" ref="S87" si="413">R87/100000</f>
        <v>-466.23184031109599</v>
      </c>
      <c r="T87">
        <f t="shared" ref="T87" si="414">S87/1000</f>
        <v>-0.46623184031109599</v>
      </c>
    </row>
    <row r="88" spans="1:20" x14ac:dyDescent="0.25">
      <c r="A88" s="5">
        <v>44505</v>
      </c>
      <c r="B88">
        <v>2.0699999999999998</v>
      </c>
      <c r="C88">
        <v>2.226</v>
      </c>
      <c r="D88">
        <v>2.0369999999999999</v>
      </c>
      <c r="E88">
        <v>2.0939999999999999</v>
      </c>
      <c r="F88">
        <v>15117707.5</v>
      </c>
      <c r="G88">
        <v>2.0939999999999999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-0.39682539682539764</v>
      </c>
      <c r="Q88">
        <f t="shared" ref="Q88" si="416">F88*P88</f>
        <v>-5999090.2777777901</v>
      </c>
      <c r="R88">
        <f t="shared" ref="R88" si="417">R89+Q88</f>
        <v>-48230419.577352382</v>
      </c>
      <c r="S88">
        <f t="shared" ref="S88" si="418">R88/100000</f>
        <v>-482.30419577352382</v>
      </c>
      <c r="T88">
        <f t="shared" ref="T88" si="419">S88/1000</f>
        <v>-0.48230419577352379</v>
      </c>
    </row>
    <row r="89" spans="1:20" x14ac:dyDescent="0.25">
      <c r="A89" s="5">
        <v>44504</v>
      </c>
      <c r="B89">
        <v>2.1349999999999998</v>
      </c>
      <c r="C89">
        <v>2.1379999999999999</v>
      </c>
      <c r="D89">
        <v>2.0129999999999999</v>
      </c>
      <c r="E89">
        <v>2.0699999999999998</v>
      </c>
      <c r="F89">
        <v>11557081.6</v>
      </c>
      <c r="G89">
        <v>2.0699999999999998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-8.8000000000000966E-2</v>
      </c>
      <c r="Q89">
        <f t="shared" ref="Q89" si="421">F89*P89</f>
        <v>-1017023.1808000111</v>
      </c>
      <c r="R89">
        <f t="shared" ref="R89" si="422">R90+Q89</f>
        <v>-42231329.299574591</v>
      </c>
      <c r="S89">
        <f t="shared" ref="S89" si="423">R89/100000</f>
        <v>-422.31329299574594</v>
      </c>
      <c r="T89">
        <f t="shared" ref="T89" si="424">S89/1000</f>
        <v>-0.42231329299574594</v>
      </c>
    </row>
    <row r="90" spans="1:20" x14ac:dyDescent="0.25">
      <c r="A90" s="5">
        <v>44503</v>
      </c>
      <c r="B90">
        <v>2.1829999999999998</v>
      </c>
      <c r="C90">
        <v>2.278</v>
      </c>
      <c r="D90">
        <v>2.0299999999999998</v>
      </c>
      <c r="E90">
        <v>2.1349999999999998</v>
      </c>
      <c r="F90">
        <v>21474443.699999999</v>
      </c>
      <c r="G90">
        <v>2.1349999999999998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-0.15322580645161379</v>
      </c>
      <c r="Q90">
        <f t="shared" ref="Q90" si="426">F90*P90</f>
        <v>-3290438.9540322772</v>
      </c>
      <c r="R90">
        <f t="shared" ref="R90" si="427">R91+Q90</f>
        <v>-41214306.118774578</v>
      </c>
      <c r="S90">
        <f t="shared" ref="S90" si="428">R90/100000</f>
        <v>-412.14306118774579</v>
      </c>
      <c r="T90">
        <f t="shared" ref="T90" si="429">S90/1000</f>
        <v>-0.4121430611877458</v>
      </c>
    </row>
    <row r="91" spans="1:20" x14ac:dyDescent="0.25">
      <c r="A91" s="5">
        <v>44502</v>
      </c>
      <c r="B91">
        <v>2.0640000000000001</v>
      </c>
      <c r="C91">
        <v>2.2970000000000002</v>
      </c>
      <c r="D91">
        <v>2.0099999999999998</v>
      </c>
      <c r="E91">
        <v>2.1819999999999999</v>
      </c>
      <c r="F91">
        <v>23108198.399999999</v>
      </c>
      <c r="G91">
        <v>2.1819999999999999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0.19860627177700302</v>
      </c>
      <c r="Q91">
        <f t="shared" ref="Q91" si="431">F91*P91</f>
        <v>4589433.131707306</v>
      </c>
      <c r="R91">
        <f t="shared" ref="R91" si="432">R92+Q91</f>
        <v>-37923867.164742298</v>
      </c>
      <c r="S91">
        <f t="shared" ref="S91" si="433">R91/100000</f>
        <v>-379.23867164742296</v>
      </c>
      <c r="T91">
        <f t="shared" ref="T91" si="434">S91/1000</f>
        <v>-0.37923867164742298</v>
      </c>
    </row>
    <row r="92" spans="1:20" x14ac:dyDescent="0.25">
      <c r="A92" s="5">
        <v>44501</v>
      </c>
      <c r="B92">
        <v>2.004</v>
      </c>
      <c r="C92">
        <v>2.089</v>
      </c>
      <c r="D92">
        <v>1.92</v>
      </c>
      <c r="E92">
        <v>2.0640000000000001</v>
      </c>
      <c r="F92">
        <v>9132215.6999999993</v>
      </c>
      <c r="G92">
        <v>2.0640000000000001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0.70414201183432068</v>
      </c>
      <c r="Q92">
        <f t="shared" ref="Q92" si="436">F92*P92</f>
        <v>6430376.7355029685</v>
      </c>
      <c r="R92">
        <f t="shared" ref="R92" si="437">R93+Q92</f>
        <v>-42513300.296449602</v>
      </c>
      <c r="S92">
        <f t="shared" ref="S92" si="438">R92/100000</f>
        <v>-425.13300296449603</v>
      </c>
      <c r="T92">
        <f t="shared" ref="T92" si="439">S92/1000</f>
        <v>-0.42513300296449602</v>
      </c>
    </row>
    <row r="93" spans="1:20" x14ac:dyDescent="0.25">
      <c r="A93" s="5">
        <v>44500</v>
      </c>
      <c r="B93">
        <v>2.077</v>
      </c>
      <c r="C93">
        <v>2.149</v>
      </c>
      <c r="D93">
        <v>1.923</v>
      </c>
      <c r="E93">
        <v>2.0019999999999998</v>
      </c>
      <c r="F93">
        <v>14442963.300000001</v>
      </c>
      <c r="G93">
        <v>2.0019999999999998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-0.30088495575221463</v>
      </c>
      <c r="Q93">
        <f t="shared" ref="Q93" si="441">F93*P93</f>
        <v>-4345670.3734513605</v>
      </c>
      <c r="R93">
        <f t="shared" ref="R93" si="442">R94+Q93</f>
        <v>-48943677.031952567</v>
      </c>
      <c r="S93">
        <f t="shared" ref="S93" si="443">R93/100000</f>
        <v>-489.43677031952569</v>
      </c>
      <c r="T93">
        <f t="shared" ref="T93" si="444">S93/1000</f>
        <v>-0.4894367703195257</v>
      </c>
    </row>
    <row r="94" spans="1:20" x14ac:dyDescent="0.25">
      <c r="A94" s="5">
        <v>44499</v>
      </c>
      <c r="B94">
        <v>1.915</v>
      </c>
      <c r="C94">
        <v>2.101</v>
      </c>
      <c r="D94">
        <v>1.8360000000000001</v>
      </c>
      <c r="E94">
        <v>2.0779999999999998</v>
      </c>
      <c r="F94">
        <v>16988869.600000001</v>
      </c>
      <c r="G94">
        <v>2.0779999999999998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0.82641509433962157</v>
      </c>
      <c r="Q94">
        <f t="shared" ref="Q94" si="446">F94*P94</f>
        <v>14039858.27320753</v>
      </c>
      <c r="R94">
        <f t="shared" ref="R94" si="447">R95+Q94</f>
        <v>-44598006.658501208</v>
      </c>
      <c r="S94">
        <f t="shared" ref="S94" si="448">R94/100000</f>
        <v>-445.98006658501208</v>
      </c>
      <c r="T94">
        <f t="shared" ref="T94" si="449">S94/1000</f>
        <v>-0.4459800665850121</v>
      </c>
    </row>
    <row r="95" spans="1:20" x14ac:dyDescent="0.25">
      <c r="A95" s="5">
        <v>44498</v>
      </c>
      <c r="B95">
        <v>1.839</v>
      </c>
      <c r="C95">
        <v>1.9630000000000001</v>
      </c>
      <c r="D95">
        <v>1.8260000000000001</v>
      </c>
      <c r="E95">
        <v>1.9159999999999999</v>
      </c>
      <c r="F95">
        <v>8973584.5999999996</v>
      </c>
      <c r="G95">
        <v>1.9159999999999999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0.31386861313868397</v>
      </c>
      <c r="Q95">
        <f t="shared" ref="Q95" si="451">F95*P95</f>
        <v>2816526.5532846521</v>
      </c>
      <c r="R95">
        <f t="shared" ref="R95" si="452">R96+Q95</f>
        <v>-58637864.931708738</v>
      </c>
      <c r="S95">
        <f t="shared" ref="S95" si="453">R95/100000</f>
        <v>-586.37864931708737</v>
      </c>
      <c r="T95">
        <f t="shared" ref="T95" si="454">S95/1000</f>
        <v>-0.58637864931708739</v>
      </c>
    </row>
    <row r="96" spans="1:20" x14ac:dyDescent="0.25">
      <c r="A96" s="5">
        <v>44497</v>
      </c>
      <c r="B96">
        <v>1.7509999999999999</v>
      </c>
      <c r="C96">
        <v>1.877</v>
      </c>
      <c r="D96">
        <v>1.7310000000000001</v>
      </c>
      <c r="E96">
        <v>1.8360000000000001</v>
      </c>
      <c r="F96">
        <v>10443485.5</v>
      </c>
      <c r="G96">
        <v>1.8360000000000001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0.43835616438356229</v>
      </c>
      <c r="Q96">
        <f t="shared" ref="Q96" si="456">F96*P96</f>
        <v>4577966.246575349</v>
      </c>
      <c r="R96">
        <f t="shared" ref="R96" si="457">R97+Q96</f>
        <v>-61454391.484993391</v>
      </c>
      <c r="S96">
        <f t="shared" ref="S96" si="458">R96/100000</f>
        <v>-614.54391484993391</v>
      </c>
      <c r="T96">
        <f t="shared" ref="T96" si="459">S96/1000</f>
        <v>-0.61454391484993387</v>
      </c>
    </row>
    <row r="97" spans="1:20" x14ac:dyDescent="0.25">
      <c r="A97" s="5">
        <v>44496</v>
      </c>
      <c r="B97">
        <v>2.032</v>
      </c>
      <c r="C97">
        <v>2.1440000000000001</v>
      </c>
      <c r="D97">
        <v>1.702</v>
      </c>
      <c r="E97">
        <v>1.75</v>
      </c>
      <c r="F97">
        <v>19090776.5</v>
      </c>
      <c r="G97">
        <v>1.75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-0.78280542986425328</v>
      </c>
      <c r="Q97">
        <f t="shared" ref="Q97" si="461">F97*P97</f>
        <v>-14944363.504524885</v>
      </c>
      <c r="R97">
        <f t="shared" ref="R97" si="462">R98+Q97</f>
        <v>-66032357.731568739</v>
      </c>
      <c r="S97">
        <f t="shared" ref="S97" si="463">R97/100000</f>
        <v>-660.32357731568743</v>
      </c>
      <c r="T97">
        <f t="shared" ref="T97" si="464">S97/1000</f>
        <v>-0.66032357731568747</v>
      </c>
    </row>
    <row r="98" spans="1:20" x14ac:dyDescent="0.25">
      <c r="A98" s="5">
        <v>44495</v>
      </c>
      <c r="B98">
        <v>2.06</v>
      </c>
      <c r="C98">
        <v>2.1269999999999998</v>
      </c>
      <c r="D98">
        <v>2.012</v>
      </c>
      <c r="E98">
        <v>2.032</v>
      </c>
      <c r="F98">
        <v>7970942.5999999996</v>
      </c>
      <c r="G98">
        <v>2.032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-0.65217391304347727</v>
      </c>
      <c r="Q98">
        <f t="shared" ref="Q98" si="466">F98*P98</f>
        <v>-5198440.8260869486</v>
      </c>
      <c r="R98">
        <f t="shared" ref="R98" si="467">R99+Q98</f>
        <v>-51087994.227043852</v>
      </c>
      <c r="S98">
        <f t="shared" ref="S98" si="468">R98/100000</f>
        <v>-510.87994227043851</v>
      </c>
      <c r="T98">
        <f t="shared" ref="T98" si="469">S98/1000</f>
        <v>-0.51087994227043854</v>
      </c>
    </row>
    <row r="99" spans="1:20" x14ac:dyDescent="0.25">
      <c r="A99" s="5">
        <v>44494</v>
      </c>
      <c r="B99">
        <v>1.9850000000000001</v>
      </c>
      <c r="C99">
        <v>2.09</v>
      </c>
      <c r="D99">
        <v>1.976</v>
      </c>
      <c r="E99">
        <v>2.06</v>
      </c>
      <c r="F99">
        <v>6981155.7999999998</v>
      </c>
      <c r="G99">
        <v>2.06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0.47368421052631865</v>
      </c>
      <c r="Q99">
        <f t="shared" ref="Q99" si="471">F99*P99</f>
        <v>3306863.2736842306</v>
      </c>
      <c r="R99">
        <f t="shared" ref="R99" si="472">R100+Q99</f>
        <v>-45889553.400956906</v>
      </c>
      <c r="S99">
        <f t="shared" ref="S99" si="473">R99/100000</f>
        <v>-458.89553400956908</v>
      </c>
      <c r="T99">
        <f t="shared" ref="T99" si="474">S99/1000</f>
        <v>-0.45889553400956906</v>
      </c>
    </row>
    <row r="100" spans="1:20" x14ac:dyDescent="0.25">
      <c r="A100" s="5">
        <v>44493</v>
      </c>
      <c r="B100">
        <v>2.0590000000000002</v>
      </c>
      <c r="C100">
        <v>2.0880000000000001</v>
      </c>
      <c r="D100">
        <v>1.9339999999999999</v>
      </c>
      <c r="E100">
        <v>1.986</v>
      </c>
      <c r="F100">
        <v>5645569.2000000002</v>
      </c>
      <c r="G100">
        <v>1.986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-0.32467532467532467</v>
      </c>
      <c r="Q100">
        <f t="shared" ref="Q100" si="476">F100*P100</f>
        <v>-1832977.012987013</v>
      </c>
      <c r="R100">
        <f t="shared" ref="R100" si="477">R101+Q100</f>
        <v>-49196416.67464114</v>
      </c>
      <c r="S100">
        <f t="shared" ref="S100" si="478">R100/100000</f>
        <v>-491.96416674641142</v>
      </c>
      <c r="T100">
        <f t="shared" ref="T100" si="479">S100/1000</f>
        <v>-0.49196416674641141</v>
      </c>
    </row>
    <row r="101" spans="1:20" x14ac:dyDescent="0.25">
      <c r="A101" s="5">
        <v>44492</v>
      </c>
      <c r="B101">
        <v>2.052</v>
      </c>
      <c r="C101">
        <v>2.0670000000000002</v>
      </c>
      <c r="D101">
        <v>2.004</v>
      </c>
      <c r="E101">
        <v>2.0569999999999999</v>
      </c>
      <c r="F101">
        <v>3300742.5</v>
      </c>
      <c r="G101">
        <v>2.0569999999999999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0.68253968253967601</v>
      </c>
      <c r="Q101">
        <f t="shared" ref="Q101" si="481">F101*P101</f>
        <v>2252887.7380952165</v>
      </c>
      <c r="R101">
        <f t="shared" ref="R101" si="482">R102+Q101</f>
        <v>-47363439.66165413</v>
      </c>
      <c r="S101">
        <f t="shared" ref="S101" si="483">R101/100000</f>
        <v>-473.63439661654132</v>
      </c>
      <c r="T101">
        <f t="shared" ref="T101" si="484">S101/1000</f>
        <v>-0.47363439661654133</v>
      </c>
    </row>
    <row r="102" spans="1:20" x14ac:dyDescent="0.25">
      <c r="A102" s="5">
        <v>44491</v>
      </c>
      <c r="B102">
        <v>2.0270000000000001</v>
      </c>
      <c r="C102">
        <v>2.1070000000000002</v>
      </c>
      <c r="D102">
        <v>2.0059999999999998</v>
      </c>
      <c r="E102">
        <v>2.0510000000000002</v>
      </c>
      <c r="F102">
        <v>5577576</v>
      </c>
      <c r="G102">
        <v>2.0510000000000002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-0.10891089108910526</v>
      </c>
      <c r="Q102">
        <f t="shared" ref="Q102" si="486">F102*P102</f>
        <v>-607458.77227720735</v>
      </c>
      <c r="R102">
        <f t="shared" ref="R102" si="487">R103+Q102</f>
        <v>-49616327.399749346</v>
      </c>
      <c r="S102">
        <f t="shared" ref="S102" si="488">R102/100000</f>
        <v>-496.16327399749343</v>
      </c>
      <c r="T102">
        <f t="shared" ref="T102" si="489">S102/1000</f>
        <v>-0.49616327399749344</v>
      </c>
    </row>
    <row r="103" spans="1:20" x14ac:dyDescent="0.25">
      <c r="A103" s="5">
        <v>44490</v>
      </c>
      <c r="B103">
        <v>2.1339999999999999</v>
      </c>
      <c r="C103">
        <v>2.1930000000000001</v>
      </c>
      <c r="D103">
        <v>1.986</v>
      </c>
      <c r="E103">
        <v>2.028</v>
      </c>
      <c r="F103">
        <v>13370111.800000001</v>
      </c>
      <c r="G103">
        <v>2.028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-0.59420289855072439</v>
      </c>
      <c r="Q103">
        <f t="shared" ref="Q103" si="491">F103*P103</f>
        <v>-7944559.1855072435</v>
      </c>
      <c r="R103">
        <f t="shared" ref="R103" si="492">R104+Q103</f>
        <v>-49008868.62747214</v>
      </c>
      <c r="S103">
        <f t="shared" ref="S103" si="493">R103/100000</f>
        <v>-490.0886862747214</v>
      </c>
      <c r="T103">
        <f t="shared" ref="T103" si="494">S103/1000</f>
        <v>-0.49008868627472141</v>
      </c>
    </row>
    <row r="104" spans="1:20" x14ac:dyDescent="0.25">
      <c r="A104" s="5">
        <v>44489</v>
      </c>
      <c r="B104">
        <v>2.0139999999999998</v>
      </c>
      <c r="C104">
        <v>2.19</v>
      </c>
      <c r="D104">
        <v>1.9870000000000001</v>
      </c>
      <c r="E104">
        <v>2.133</v>
      </c>
      <c r="F104">
        <v>12304452.5</v>
      </c>
      <c r="G104">
        <v>2.133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0.43842364532019723</v>
      </c>
      <c r="Q104">
        <f t="shared" ref="Q104" si="496">F104*P104</f>
        <v>5394562.9187192144</v>
      </c>
      <c r="R104">
        <f t="shared" ref="R104" si="497">R105+Q104</f>
        <v>-41064309.441964895</v>
      </c>
      <c r="S104">
        <f t="shared" ref="S104" si="498">R104/100000</f>
        <v>-410.64309441964895</v>
      </c>
      <c r="T104">
        <f t="shared" ref="T104" si="499">S104/1000</f>
        <v>-0.41064309441964897</v>
      </c>
    </row>
    <row r="105" spans="1:20" x14ac:dyDescent="0.25">
      <c r="A105" s="5">
        <v>44488</v>
      </c>
      <c r="B105">
        <v>2.0350000000000001</v>
      </c>
      <c r="C105">
        <v>2.0779999999999998</v>
      </c>
      <c r="D105">
        <v>1.9570000000000001</v>
      </c>
      <c r="E105">
        <v>2.0110000000000001</v>
      </c>
      <c r="F105">
        <v>7828550.7999999998</v>
      </c>
      <c r="G105">
        <v>2.0110000000000001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-0.10743801652892317</v>
      </c>
      <c r="Q105">
        <f t="shared" ref="Q105" si="501">F105*P105</f>
        <v>-841083.97024791467</v>
      </c>
      <c r="R105">
        <f t="shared" ref="R105" si="502">R106+Q105</f>
        <v>-46458872.360684112</v>
      </c>
      <c r="S105">
        <f t="shared" ref="S105" si="503">R105/100000</f>
        <v>-464.58872360684114</v>
      </c>
      <c r="T105">
        <f t="shared" ref="T105" si="504">S105/1000</f>
        <v>-0.46458872360684117</v>
      </c>
    </row>
    <row r="106" spans="1:20" x14ac:dyDescent="0.25">
      <c r="A106" s="5">
        <v>44487</v>
      </c>
      <c r="B106">
        <v>1.9910000000000001</v>
      </c>
      <c r="C106">
        <v>2.0499999999999998</v>
      </c>
      <c r="D106">
        <v>1.93</v>
      </c>
      <c r="E106">
        <v>2.036</v>
      </c>
      <c r="F106">
        <v>9563551.5999999996</v>
      </c>
      <c r="G106">
        <v>2.036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0.76666666666666994</v>
      </c>
      <c r="Q106">
        <f t="shared" ref="Q106" si="506">F106*P106</f>
        <v>7332056.2266666973</v>
      </c>
      <c r="R106">
        <f t="shared" ref="R106" si="507">R107+Q106</f>
        <v>-45617788.390436195</v>
      </c>
      <c r="S106">
        <f t="shared" ref="S106" si="508">R106/100000</f>
        <v>-456.17788390436192</v>
      </c>
      <c r="T106">
        <f t="shared" ref="T106" si="509">S106/1000</f>
        <v>-0.45617788390436192</v>
      </c>
    </row>
    <row r="107" spans="1:20" x14ac:dyDescent="0.25">
      <c r="A107" s="5">
        <v>44486</v>
      </c>
      <c r="B107">
        <v>2.0590000000000002</v>
      </c>
      <c r="C107">
        <v>2.0920000000000001</v>
      </c>
      <c r="D107">
        <v>1.9</v>
      </c>
      <c r="E107">
        <v>1.992</v>
      </c>
      <c r="F107">
        <v>9146360</v>
      </c>
      <c r="G107">
        <v>1.992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-4.1666666666666664E-2</v>
      </c>
      <c r="Q107">
        <f t="shared" ref="Q107" si="511">F107*P107</f>
        <v>-381098.33333333331</v>
      </c>
      <c r="R107">
        <f t="shared" ref="R107" si="512">R108+Q107</f>
        <v>-52949844.617102891</v>
      </c>
      <c r="S107">
        <f t="shared" ref="S107" si="513">R107/100000</f>
        <v>-529.49844617102895</v>
      </c>
      <c r="T107">
        <f t="shared" ref="T107" si="514">S107/1000</f>
        <v>-0.52949844617102892</v>
      </c>
    </row>
    <row r="108" spans="1:20" x14ac:dyDescent="0.25">
      <c r="A108" s="5">
        <v>44485</v>
      </c>
      <c r="B108">
        <v>2.0910000000000002</v>
      </c>
      <c r="C108">
        <v>2.1739999999999999</v>
      </c>
      <c r="D108">
        <v>2.028</v>
      </c>
      <c r="E108">
        <v>2.0590000000000002</v>
      </c>
      <c r="F108">
        <v>10375028.199999999</v>
      </c>
      <c r="G108">
        <v>2.0590000000000002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-0.57534246575342252</v>
      </c>
      <c r="Q108">
        <f t="shared" ref="Q108" si="516">F108*P108</f>
        <v>-5969194.3068492925</v>
      </c>
      <c r="R108">
        <f t="shared" ref="R108" si="517">R109+Q108</f>
        <v>-52568746.283769555</v>
      </c>
      <c r="S108">
        <f t="shared" ref="S108" si="518">R108/100000</f>
        <v>-525.68746283769553</v>
      </c>
      <c r="T108">
        <f t="shared" ref="T108" si="519">S108/1000</f>
        <v>-0.52568746283769552</v>
      </c>
    </row>
    <row r="109" spans="1:20" x14ac:dyDescent="0.25">
      <c r="A109" s="5">
        <v>44484</v>
      </c>
      <c r="B109">
        <v>2.1440000000000001</v>
      </c>
      <c r="C109">
        <v>2.1749999999999998</v>
      </c>
      <c r="D109">
        <v>2.0150000000000001</v>
      </c>
      <c r="E109">
        <v>2.09</v>
      </c>
      <c r="F109">
        <v>22849029.100000001</v>
      </c>
      <c r="G109">
        <v>2.09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-6.2500000000001554E-2</v>
      </c>
      <c r="Q109">
        <f t="shared" ref="Q109" si="521">F109*P109</f>
        <v>-1428064.3187500357</v>
      </c>
      <c r="R109">
        <f t="shared" ref="R109" si="522">R110+Q109</f>
        <v>-46599551.976920262</v>
      </c>
      <c r="S109">
        <f t="shared" ref="S109" si="523">R109/100000</f>
        <v>-465.99551976920264</v>
      </c>
      <c r="T109">
        <f t="shared" ref="T109" si="524">S109/1000</f>
        <v>-0.46599551976920267</v>
      </c>
    </row>
    <row r="110" spans="1:20" x14ac:dyDescent="0.25">
      <c r="A110" s="5">
        <v>44483</v>
      </c>
      <c r="B110">
        <v>1.913</v>
      </c>
      <c r="C110">
        <v>2.4550000000000001</v>
      </c>
      <c r="D110">
        <v>1.9059999999999999</v>
      </c>
      <c r="E110">
        <v>2.1440000000000001</v>
      </c>
      <c r="F110">
        <v>64107762.700000003</v>
      </c>
      <c r="G110">
        <v>2.1440000000000001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-0.13296903460837833</v>
      </c>
      <c r="Q110">
        <f t="shared" ref="Q110" si="526">F110*P110</f>
        <v>-8524347.3171220068</v>
      </c>
      <c r="R110">
        <f t="shared" ref="R110" si="527">R111+Q110</f>
        <v>-45171487.658170223</v>
      </c>
      <c r="S110">
        <f t="shared" ref="S110" si="528">R110/100000</f>
        <v>-451.71487658170224</v>
      </c>
      <c r="T110">
        <f t="shared" ref="T110" si="529">S110/1000</f>
        <v>-0.45171487658170223</v>
      </c>
    </row>
    <row r="111" spans="1:20" x14ac:dyDescent="0.25">
      <c r="A111" s="5">
        <v>44482</v>
      </c>
      <c r="B111">
        <v>1.8959999999999999</v>
      </c>
      <c r="C111">
        <v>2</v>
      </c>
      <c r="D111">
        <v>1.8049999999999999</v>
      </c>
      <c r="E111">
        <v>1.913</v>
      </c>
      <c r="F111">
        <v>19037851.300000001</v>
      </c>
      <c r="G111">
        <v>1.913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0.10769230769230832</v>
      </c>
      <c r="Q111">
        <f t="shared" ref="Q111" si="531">F111*P111</f>
        <v>2050230.140000012</v>
      </c>
      <c r="R111">
        <f t="shared" ref="R111" si="532">R112+Q111</f>
        <v>-36647140.341048218</v>
      </c>
      <c r="S111">
        <f t="shared" ref="S111" si="533">R111/100000</f>
        <v>-366.4714034104822</v>
      </c>
      <c r="T111">
        <f t="shared" ref="T111" si="534">S111/1000</f>
        <v>-0.36647140341048218</v>
      </c>
    </row>
    <row r="112" spans="1:20" x14ac:dyDescent="0.25">
      <c r="A112" s="5">
        <v>44481</v>
      </c>
      <c r="B112">
        <v>1.8</v>
      </c>
      <c r="C112">
        <v>1.9419999999999999</v>
      </c>
      <c r="D112">
        <v>1.673</v>
      </c>
      <c r="E112">
        <v>1.897</v>
      </c>
      <c r="F112">
        <v>19852107.699999999</v>
      </c>
      <c r="G112">
        <v>1.897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0.66542750929368066</v>
      </c>
      <c r="Q112">
        <f t="shared" ref="Q112" si="536">F112*P112</f>
        <v>13210138.581040898</v>
      </c>
      <c r="R112">
        <f t="shared" ref="R112" si="537">R113+Q112</f>
        <v>-38697370.481048234</v>
      </c>
      <c r="S112">
        <f t="shared" ref="S112" si="538">R112/100000</f>
        <v>-386.97370481048233</v>
      </c>
      <c r="T112">
        <f t="shared" ref="T112" si="539">S112/1000</f>
        <v>-0.38697370481048232</v>
      </c>
    </row>
    <row r="113" spans="1:20" x14ac:dyDescent="0.25">
      <c r="A113" s="5">
        <v>44480</v>
      </c>
      <c r="B113">
        <v>1.8149999999999999</v>
      </c>
      <c r="C113">
        <v>1.885</v>
      </c>
      <c r="D113">
        <v>1.7509999999999999</v>
      </c>
      <c r="E113">
        <v>1.8009999999999999</v>
      </c>
      <c r="F113">
        <v>6057399.2000000002</v>
      </c>
      <c r="G113">
        <v>1.8009999999999999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-0.2537313432835821</v>
      </c>
      <c r="Q113">
        <f t="shared" ref="Q113" si="541">F113*P113</f>
        <v>-1536952.0358208956</v>
      </c>
      <c r="R113">
        <f t="shared" ref="R113" si="542">R114+Q113</f>
        <v>-51907509.06208913</v>
      </c>
      <c r="S113">
        <f t="shared" ref="S113" si="543">R113/100000</f>
        <v>-519.07509062089127</v>
      </c>
      <c r="T113">
        <f t="shared" ref="T113" si="544">S113/1000</f>
        <v>-0.5190750906208913</v>
      </c>
    </row>
    <row r="114" spans="1:20" x14ac:dyDescent="0.25">
      <c r="A114" s="5">
        <v>44479</v>
      </c>
      <c r="B114">
        <v>1.962</v>
      </c>
      <c r="C114">
        <v>1.9650000000000001</v>
      </c>
      <c r="D114">
        <v>1.802</v>
      </c>
      <c r="E114">
        <v>1.8160000000000001</v>
      </c>
      <c r="F114">
        <v>5918681.5</v>
      </c>
      <c r="G114">
        <v>1.8160000000000001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-0.8282208588957054</v>
      </c>
      <c r="Q114">
        <f t="shared" ref="Q114" si="546">F114*P114</f>
        <v>-4901975.4754601223</v>
      </c>
      <c r="R114">
        <f t="shared" ref="R114" si="547">R115+Q114</f>
        <v>-50370557.026268236</v>
      </c>
      <c r="S114">
        <f t="shared" ref="S114" si="548">R114/100000</f>
        <v>-503.70557026268239</v>
      </c>
      <c r="T114">
        <f t="shared" ref="T114" si="549">S114/1000</f>
        <v>-0.50370557026268237</v>
      </c>
    </row>
    <row r="115" spans="1:20" x14ac:dyDescent="0.25">
      <c r="A115" s="5">
        <v>44478</v>
      </c>
      <c r="B115">
        <v>1.9319999999999999</v>
      </c>
      <c r="C115">
        <v>2.0550000000000002</v>
      </c>
      <c r="D115">
        <v>1.905</v>
      </c>
      <c r="E115">
        <v>1.96</v>
      </c>
      <c r="F115">
        <v>9978958</v>
      </c>
      <c r="G115">
        <v>1.96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-0.26666666666666816</v>
      </c>
      <c r="Q115">
        <f t="shared" ref="Q115" si="551">F115*P115</f>
        <v>-2661055.4666666817</v>
      </c>
      <c r="R115">
        <f t="shared" ref="R115" si="552">R116+Q115</f>
        <v>-45468581.550808117</v>
      </c>
      <c r="S115">
        <f t="shared" ref="S115" si="553">R115/100000</f>
        <v>-454.68581550808119</v>
      </c>
      <c r="T115">
        <f t="shared" ref="T115" si="554">S115/1000</f>
        <v>-0.45468581550808118</v>
      </c>
    </row>
    <row r="116" spans="1:20" x14ac:dyDescent="0.25">
      <c r="A116" s="5">
        <v>44477</v>
      </c>
      <c r="B116">
        <v>1.9830000000000001</v>
      </c>
      <c r="C116">
        <v>2.048</v>
      </c>
      <c r="D116">
        <v>1.9119999999999999</v>
      </c>
      <c r="E116">
        <v>1.9319999999999999</v>
      </c>
      <c r="F116">
        <v>11933551.699999999</v>
      </c>
      <c r="G116">
        <v>1.9319999999999999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-0.70588235294117652</v>
      </c>
      <c r="Q116">
        <f t="shared" ref="Q116" si="556">F116*P116</f>
        <v>-8423683.552941177</v>
      </c>
      <c r="R116">
        <f t="shared" ref="R116" si="557">R117+Q116</f>
        <v>-42807526.084141433</v>
      </c>
      <c r="S116">
        <f t="shared" ref="S116" si="558">R116/100000</f>
        <v>-428.07526084141432</v>
      </c>
      <c r="T116">
        <f t="shared" ref="T116" si="559">S116/1000</f>
        <v>-0.42807526084141434</v>
      </c>
    </row>
    <row r="117" spans="1:20" x14ac:dyDescent="0.25">
      <c r="A117" s="5">
        <v>44476</v>
      </c>
      <c r="B117">
        <v>1.899</v>
      </c>
      <c r="C117">
        <v>2.1890000000000001</v>
      </c>
      <c r="D117">
        <v>1.796</v>
      </c>
      <c r="E117">
        <v>1.9830000000000001</v>
      </c>
      <c r="F117">
        <v>44006493.200000003</v>
      </c>
      <c r="G117">
        <v>1.9830000000000001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-4.8346055979643525E-2</v>
      </c>
      <c r="Q117">
        <f t="shared" ref="Q117" si="561">F117*P117</f>
        <v>-2127540.3837150023</v>
      </c>
      <c r="R117">
        <f t="shared" ref="R117" si="562">R118+Q117</f>
        <v>-34383842.531200252</v>
      </c>
      <c r="S117">
        <f t="shared" ref="S117" si="563">R117/100000</f>
        <v>-343.83842531200253</v>
      </c>
      <c r="T117">
        <f t="shared" ref="T117" si="564">S117/1000</f>
        <v>-0.34383842531200254</v>
      </c>
    </row>
    <row r="118" spans="1:20" x14ac:dyDescent="0.25">
      <c r="A118" s="5">
        <v>44475</v>
      </c>
      <c r="B118">
        <v>1.804</v>
      </c>
      <c r="C118">
        <v>1.9550000000000001</v>
      </c>
      <c r="D118">
        <v>1.681</v>
      </c>
      <c r="E118">
        <v>1.9</v>
      </c>
      <c r="F118">
        <v>18663451.300000001</v>
      </c>
      <c r="G118">
        <v>1.9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0.59854014598540028</v>
      </c>
      <c r="Q118">
        <f t="shared" ref="Q118" si="566">F118*P118</f>
        <v>11170824.865693409</v>
      </c>
      <c r="R118">
        <f t="shared" ref="R118" si="567">R119+Q118</f>
        <v>-32256302.147485252</v>
      </c>
      <c r="S118">
        <f t="shared" ref="S118" si="568">R118/100000</f>
        <v>-322.56302147485252</v>
      </c>
      <c r="T118">
        <f t="shared" ref="T118" si="569">S118/1000</f>
        <v>-0.3225630214748525</v>
      </c>
    </row>
    <row r="119" spans="1:20" x14ac:dyDescent="0.25">
      <c r="A119" s="5">
        <v>44474</v>
      </c>
      <c r="B119">
        <v>1.7490000000000001</v>
      </c>
      <c r="C119">
        <v>1.829</v>
      </c>
      <c r="D119">
        <v>1.7230000000000001</v>
      </c>
      <c r="E119">
        <v>1.8029999999999999</v>
      </c>
      <c r="F119">
        <v>8450964.3000000007</v>
      </c>
      <c r="G119">
        <v>1.8029999999999999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0.50943396226414994</v>
      </c>
      <c r="Q119">
        <f t="shared" ref="Q119" si="571">F119*P119</f>
        <v>4305208.228301879</v>
      </c>
      <c r="R119">
        <f t="shared" ref="R119" si="572">R120+Q119</f>
        <v>-43427127.013178661</v>
      </c>
      <c r="S119">
        <f t="shared" ref="S119" si="573">R119/100000</f>
        <v>-434.27127013178659</v>
      </c>
      <c r="T119">
        <f t="shared" ref="T119" si="574">S119/1000</f>
        <v>-0.43427127013178657</v>
      </c>
    </row>
    <row r="120" spans="1:20" x14ac:dyDescent="0.25">
      <c r="A120" s="5">
        <v>44473</v>
      </c>
      <c r="B120">
        <v>1.8080000000000001</v>
      </c>
      <c r="C120">
        <v>1.8080000000000001</v>
      </c>
      <c r="D120">
        <v>1.673</v>
      </c>
      <c r="E120">
        <v>1.744</v>
      </c>
      <c r="F120">
        <v>8748281.6999999993</v>
      </c>
      <c r="G120">
        <v>1.744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5.1851851851851073E-2</v>
      </c>
      <c r="Q120">
        <f t="shared" ref="Q120" si="576">F120*P120</f>
        <v>453614.60666665982</v>
      </c>
      <c r="R120">
        <f t="shared" ref="R120" si="577">R121+Q120</f>
        <v>-47732335.241480544</v>
      </c>
      <c r="S120">
        <f t="shared" ref="S120" si="578">R120/100000</f>
        <v>-477.32335241480547</v>
      </c>
      <c r="T120">
        <f t="shared" ref="T120" si="579">S120/1000</f>
        <v>-0.47732335241480545</v>
      </c>
    </row>
    <row r="121" spans="1:20" x14ac:dyDescent="0.25">
      <c r="A121" s="5">
        <v>44472</v>
      </c>
      <c r="B121">
        <v>1.8180000000000001</v>
      </c>
      <c r="C121">
        <v>1.855</v>
      </c>
      <c r="D121">
        <v>1.772</v>
      </c>
      <c r="E121">
        <v>1.806</v>
      </c>
      <c r="F121">
        <v>7651609.5999999996</v>
      </c>
      <c r="G121">
        <v>1.806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-0.18072289156626398</v>
      </c>
      <c r="Q121">
        <f t="shared" ref="Q121" si="581">F121*P121</f>
        <v>-1382821.0120481844</v>
      </c>
      <c r="R121">
        <f t="shared" ref="R121" si="582">R122+Q121</f>
        <v>-48185949.848147206</v>
      </c>
      <c r="S121">
        <f t="shared" ref="S121" si="583">R121/100000</f>
        <v>-481.85949848147209</v>
      </c>
      <c r="T121">
        <f t="shared" ref="T121" si="584">S121/1000</f>
        <v>-0.48185949848147208</v>
      </c>
    </row>
    <row r="122" spans="1:20" x14ac:dyDescent="0.25">
      <c r="A122" s="5">
        <v>44471</v>
      </c>
      <c r="B122">
        <v>1.827</v>
      </c>
      <c r="C122">
        <v>1.909</v>
      </c>
      <c r="D122">
        <v>1.7789999999999999</v>
      </c>
      <c r="E122">
        <v>1.8180000000000001</v>
      </c>
      <c r="F122">
        <v>10860350.300000001</v>
      </c>
      <c r="G122">
        <v>1.8180000000000001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-0.3999999999999983</v>
      </c>
      <c r="Q122">
        <f t="shared" ref="Q122" si="586">F122*P122</f>
        <v>-4344140.1199999815</v>
      </c>
      <c r="R122">
        <f t="shared" ref="R122" si="587">R123+Q122</f>
        <v>-46803128.836099021</v>
      </c>
      <c r="S122">
        <f t="shared" ref="S122" si="588">R122/100000</f>
        <v>-468.03128836099023</v>
      </c>
      <c r="T122">
        <f t="shared" ref="T122" si="589">S122/1000</f>
        <v>-0.46803128836099023</v>
      </c>
    </row>
    <row r="123" spans="1:20" x14ac:dyDescent="0.25">
      <c r="A123" s="5">
        <v>44470</v>
      </c>
      <c r="B123">
        <v>1.7150000000000001</v>
      </c>
      <c r="C123">
        <v>1.847</v>
      </c>
      <c r="D123">
        <v>1.6910000000000001</v>
      </c>
      <c r="E123">
        <v>1.829</v>
      </c>
      <c r="F123">
        <v>11123732.9</v>
      </c>
      <c r="G123">
        <v>1.829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0.76923076923076894</v>
      </c>
      <c r="Q123">
        <f t="shared" ref="Q123" si="591">F123*P123</f>
        <v>8556717.6153846122</v>
      </c>
      <c r="R123">
        <f t="shared" ref="R123" si="592">R124+Q123</f>
        <v>-42458988.716099039</v>
      </c>
      <c r="S123">
        <f t="shared" ref="S123" si="593">R123/100000</f>
        <v>-424.58988716099037</v>
      </c>
      <c r="T123">
        <f t="shared" ref="T123" si="594">S123/1000</f>
        <v>-0.42458988716099039</v>
      </c>
    </row>
    <row r="124" spans="1:20" x14ac:dyDescent="0.25">
      <c r="A124" s="5">
        <v>44469</v>
      </c>
      <c r="B124">
        <v>1.647</v>
      </c>
      <c r="C124">
        <v>1.72</v>
      </c>
      <c r="D124">
        <v>1.64</v>
      </c>
      <c r="E124">
        <v>1.714</v>
      </c>
      <c r="F124">
        <v>6397772.9000000004</v>
      </c>
      <c r="G124">
        <v>1.714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0.85</v>
      </c>
      <c r="Q124">
        <f t="shared" ref="Q124" si="596">F124*P124</f>
        <v>5438106.9649999999</v>
      </c>
      <c r="R124">
        <f t="shared" ref="R124" si="597">R125+Q124</f>
        <v>-51015706.331483647</v>
      </c>
      <c r="S124">
        <f t="shared" ref="S124" si="598">R124/100000</f>
        <v>-510.15706331483648</v>
      </c>
      <c r="T124">
        <f t="shared" ref="T124" si="599">S124/1000</f>
        <v>-0.51015706331483646</v>
      </c>
    </row>
    <row r="125" spans="1:20" x14ac:dyDescent="0.25">
      <c r="A125" s="5">
        <v>44468</v>
      </c>
      <c r="B125">
        <v>1.595</v>
      </c>
      <c r="C125">
        <v>1.8180000000000001</v>
      </c>
      <c r="D125">
        <v>1.5880000000000001</v>
      </c>
      <c r="E125">
        <v>1.6479999999999999</v>
      </c>
      <c r="F125">
        <v>15337867.199999999</v>
      </c>
      <c r="G125">
        <v>1.6479999999999999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-0.47826086956521879</v>
      </c>
      <c r="Q125">
        <f t="shared" ref="Q125" si="601">F125*P125</f>
        <v>-7335501.704347847</v>
      </c>
      <c r="R125">
        <f t="shared" ref="R125" si="602">R126+Q125</f>
        <v>-56453813.296483651</v>
      </c>
      <c r="S125">
        <f t="shared" ref="S125" si="603">R125/100000</f>
        <v>-564.53813296483656</v>
      </c>
      <c r="T125">
        <f t="shared" ref="T125" si="604">S125/1000</f>
        <v>-0.56453813296483657</v>
      </c>
    </row>
    <row r="126" spans="1:20" x14ac:dyDescent="0.25">
      <c r="A126" s="5">
        <v>44467</v>
      </c>
      <c r="B126">
        <v>1.571</v>
      </c>
      <c r="C126">
        <v>1.708</v>
      </c>
      <c r="D126">
        <v>1.5569999999999999</v>
      </c>
      <c r="E126">
        <v>1.595</v>
      </c>
      <c r="F126">
        <v>13538838.300000001</v>
      </c>
      <c r="G126">
        <v>1.595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-0.49668874172185395</v>
      </c>
      <c r="Q126">
        <f t="shared" ref="Q126" si="606">F126*P126</f>
        <v>-6724588.5596026443</v>
      </c>
      <c r="R126">
        <f t="shared" ref="R126" si="607">R127+Q126</f>
        <v>-49118311.592135802</v>
      </c>
      <c r="S126">
        <f t="shared" ref="S126" si="608">R126/100000</f>
        <v>-491.18311592135802</v>
      </c>
      <c r="T126">
        <f t="shared" ref="T126" si="609">S126/1000</f>
        <v>-0.49118311592135805</v>
      </c>
    </row>
    <row r="127" spans="1:20" x14ac:dyDescent="0.25">
      <c r="A127" s="5">
        <v>44466</v>
      </c>
      <c r="B127">
        <v>1.5389999999999999</v>
      </c>
      <c r="C127">
        <v>1.766</v>
      </c>
      <c r="D127">
        <v>1.5149999999999999</v>
      </c>
      <c r="E127">
        <v>1.57</v>
      </c>
      <c r="F127">
        <v>20236687.199999999</v>
      </c>
      <c r="G127">
        <v>1.57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-0.56175298804780771</v>
      </c>
      <c r="Q127">
        <f t="shared" ref="Q127" si="611">F127*P127</f>
        <v>-11368019.502788823</v>
      </c>
      <c r="R127">
        <f t="shared" ref="R127" si="612">R128+Q127</f>
        <v>-42393723.032533154</v>
      </c>
      <c r="S127">
        <f t="shared" ref="S127" si="613">R127/100000</f>
        <v>-423.93723032533154</v>
      </c>
      <c r="T127">
        <f t="shared" ref="T127" si="614">S127/1000</f>
        <v>-0.42393723032533154</v>
      </c>
    </row>
    <row r="128" spans="1:20" x14ac:dyDescent="0.25">
      <c r="A128" s="5">
        <v>44465</v>
      </c>
      <c r="B128">
        <v>1.5649999999999999</v>
      </c>
      <c r="C128">
        <v>1.579</v>
      </c>
      <c r="D128">
        <v>1.4</v>
      </c>
      <c r="E128">
        <v>1.5389999999999999</v>
      </c>
      <c r="F128">
        <v>11104924.6</v>
      </c>
      <c r="G128">
        <v>1.5389999999999999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0.55307262569832372</v>
      </c>
      <c r="Q128">
        <f t="shared" ref="Q128" si="616">F128*P128</f>
        <v>6141829.8067039074</v>
      </c>
      <c r="R128">
        <f t="shared" ref="R128" si="617">R129+Q128</f>
        <v>-31025703.529744331</v>
      </c>
      <c r="S128">
        <f t="shared" ref="S128" si="618">R128/100000</f>
        <v>-310.25703529744328</v>
      </c>
      <c r="T128">
        <f t="shared" ref="T128" si="619">S128/1000</f>
        <v>-0.31025703529744331</v>
      </c>
    </row>
    <row r="129" spans="1:20" x14ac:dyDescent="0.25">
      <c r="A129" s="5">
        <v>44464</v>
      </c>
      <c r="B129">
        <v>1.581</v>
      </c>
      <c r="C129">
        <v>1.599</v>
      </c>
      <c r="D129">
        <v>1.5069999999999999</v>
      </c>
      <c r="E129">
        <v>1.5649999999999999</v>
      </c>
      <c r="F129">
        <v>5267590.8</v>
      </c>
      <c r="G129">
        <v>1.5649999999999999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0.2608695652173913</v>
      </c>
      <c r="Q129">
        <f t="shared" ref="Q129" si="621">F129*P129</f>
        <v>1374154.1217391302</v>
      </c>
      <c r="R129">
        <f t="shared" ref="R129" si="622">R130+Q129</f>
        <v>-37167533.336448237</v>
      </c>
      <c r="S129">
        <f t="shared" ref="S129" si="623">R129/100000</f>
        <v>-371.67533336448236</v>
      </c>
      <c r="T129">
        <f t="shared" ref="T129" si="624">S129/1000</f>
        <v>-0.37167533336448233</v>
      </c>
    </row>
    <row r="130" spans="1:20" x14ac:dyDescent="0.25">
      <c r="A130" s="5">
        <v>44463</v>
      </c>
      <c r="B130">
        <v>1.7330000000000001</v>
      </c>
      <c r="C130">
        <v>1.7370000000000001</v>
      </c>
      <c r="D130">
        <v>1.4830000000000001</v>
      </c>
      <c r="E130">
        <v>1.581</v>
      </c>
      <c r="F130">
        <v>11343118</v>
      </c>
      <c r="G130">
        <v>1.581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-0.22834645669291445</v>
      </c>
      <c r="Q130">
        <f t="shared" ref="Q130" si="626">F130*P130</f>
        <v>-2590160.8031496182</v>
      </c>
      <c r="R130">
        <f t="shared" ref="R130" si="627">R131+Q130</f>
        <v>-38541687.458187364</v>
      </c>
      <c r="S130">
        <f t="shared" ref="S130" si="628">R130/100000</f>
        <v>-385.41687458187363</v>
      </c>
      <c r="T130">
        <f t="shared" ref="T130" si="629">S130/1000</f>
        <v>-0.38541687458187363</v>
      </c>
    </row>
    <row r="131" spans="1:20" x14ac:dyDescent="0.25">
      <c r="A131" s="5">
        <v>44462</v>
      </c>
      <c r="B131">
        <v>1.7210000000000001</v>
      </c>
      <c r="C131">
        <v>1.764</v>
      </c>
      <c r="D131">
        <v>1.6459999999999999</v>
      </c>
      <c r="E131">
        <v>1.7310000000000001</v>
      </c>
      <c r="F131">
        <v>9838761.3000000007</v>
      </c>
      <c r="G131">
        <v>1.7310000000000001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0.44067796610169679</v>
      </c>
      <c r="Q131">
        <f t="shared" ref="Q131" si="631">F131*P131</f>
        <v>4335725.3186440868</v>
      </c>
      <c r="R131">
        <f t="shared" ref="R131" si="632">R132+Q131</f>
        <v>-35951526.655037746</v>
      </c>
      <c r="S131">
        <f t="shared" ref="S131" si="633">R131/100000</f>
        <v>-359.51526655037748</v>
      </c>
      <c r="T131">
        <f t="shared" ref="T131" si="634">S131/1000</f>
        <v>-0.35951526655037747</v>
      </c>
    </row>
    <row r="132" spans="1:20" x14ac:dyDescent="0.25">
      <c r="A132" s="5">
        <v>44461</v>
      </c>
      <c r="B132">
        <v>1.542</v>
      </c>
      <c r="C132">
        <v>1.8</v>
      </c>
      <c r="D132">
        <v>1.5129999999999999</v>
      </c>
      <c r="E132">
        <v>1.7230000000000001</v>
      </c>
      <c r="F132">
        <v>9515417.9000000004</v>
      </c>
      <c r="G132">
        <v>1.7230000000000001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0.46341463414634204</v>
      </c>
      <c r="Q132">
        <f t="shared" ref="Q132" si="636">F132*P132</f>
        <v>4409583.9048780547</v>
      </c>
      <c r="R132">
        <f t="shared" ref="R132" si="637">R133+Q132</f>
        <v>-40287251.97368183</v>
      </c>
      <c r="S132">
        <f t="shared" ref="S132" si="638">R132/100000</f>
        <v>-402.87251973681828</v>
      </c>
      <c r="T132">
        <f t="shared" ref="T132" si="639">S132/1000</f>
        <v>-0.40287251973681826</v>
      </c>
    </row>
    <row r="133" spans="1:20" x14ac:dyDescent="0.25">
      <c r="A133" s="5">
        <v>44460</v>
      </c>
      <c r="B133">
        <v>1.6619999999999999</v>
      </c>
      <c r="C133">
        <v>1.714</v>
      </c>
      <c r="D133">
        <v>1.496</v>
      </c>
      <c r="E133">
        <v>1.5409999999999999</v>
      </c>
      <c r="F133">
        <v>12934524.4</v>
      </c>
      <c r="G133">
        <v>1.5409999999999999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-0.58715596330275288</v>
      </c>
      <c r="Q133">
        <f t="shared" ref="Q133" si="641">F133*P133</f>
        <v>-7594583.1339449622</v>
      </c>
      <c r="R133">
        <f t="shared" ref="R133" si="642">R134+Q133</f>
        <v>-44696835.878559887</v>
      </c>
      <c r="S133">
        <f t="shared" ref="S133" si="643">R133/100000</f>
        <v>-446.96835878559887</v>
      </c>
      <c r="T133">
        <f t="shared" ref="T133" si="644">S133/1000</f>
        <v>-0.44696835878559887</v>
      </c>
    </row>
    <row r="134" spans="1:20" x14ac:dyDescent="0.25">
      <c r="A134" s="5">
        <v>44459</v>
      </c>
      <c r="B134">
        <v>1.9470000000000001</v>
      </c>
      <c r="C134">
        <v>1.9530000000000001</v>
      </c>
      <c r="D134">
        <v>1.7509999999999999</v>
      </c>
      <c r="E134">
        <v>1.7849999999999999</v>
      </c>
      <c r="F134">
        <v>5708903.4000000004</v>
      </c>
      <c r="G134">
        <v>1.7849999999999999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-0.6633663366336634</v>
      </c>
      <c r="Q134">
        <f t="shared" ref="Q134" si="646">F134*P134</f>
        <v>-3787094.334653466</v>
      </c>
      <c r="R134">
        <f t="shared" ref="R134" si="647">R135+Q134</f>
        <v>-37102252.744614922</v>
      </c>
      <c r="S134">
        <f t="shared" ref="S134" si="648">R134/100000</f>
        <v>-371.02252744614924</v>
      </c>
      <c r="T134">
        <f t="shared" ref="T134" si="649">S134/1000</f>
        <v>-0.37102252744614922</v>
      </c>
    </row>
    <row r="135" spans="1:20" x14ac:dyDescent="0.25">
      <c r="A135" s="5">
        <v>44458</v>
      </c>
      <c r="B135">
        <v>2.0150000000000001</v>
      </c>
      <c r="C135">
        <v>2.0369999999999999</v>
      </c>
      <c r="D135">
        <v>1.921</v>
      </c>
      <c r="E135">
        <v>1.946</v>
      </c>
      <c r="F135">
        <v>4926963.0999999996</v>
      </c>
      <c r="G135">
        <v>1.946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-0.56896551724138045</v>
      </c>
      <c r="Q135">
        <f t="shared" ref="Q135" si="651">F135*P135</f>
        <v>-2803272.1086206948</v>
      </c>
      <c r="R135">
        <f t="shared" ref="R135" si="652">R136+Q135</f>
        <v>-33315158.409961455</v>
      </c>
      <c r="S135">
        <f t="shared" ref="S135" si="653">R135/100000</f>
        <v>-333.15158409961452</v>
      </c>
      <c r="T135">
        <f t="shared" ref="T135" si="654">S135/1000</f>
        <v>-0.33315158409961454</v>
      </c>
    </row>
    <row r="136" spans="1:20" x14ac:dyDescent="0.25">
      <c r="A136" s="5">
        <v>44457</v>
      </c>
      <c r="B136">
        <v>1.974</v>
      </c>
      <c r="C136">
        <v>2.08</v>
      </c>
      <c r="D136">
        <v>1.9510000000000001</v>
      </c>
      <c r="E136">
        <v>2.0129999999999999</v>
      </c>
      <c r="F136">
        <v>6574040.4000000004</v>
      </c>
      <c r="G136">
        <v>2.0129999999999999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-3.8759689922483236E-2</v>
      </c>
      <c r="Q136">
        <f t="shared" ref="Q136" si="656">F136*P136</f>
        <v>-254807.76744187769</v>
      </c>
      <c r="R136">
        <f t="shared" ref="R136" si="657">R137+Q136</f>
        <v>-30511886.301340759</v>
      </c>
      <c r="S136">
        <f t="shared" ref="S136" si="658">R136/100000</f>
        <v>-305.11886301340758</v>
      </c>
      <c r="T136">
        <f t="shared" ref="T136" si="659">S136/1000</f>
        <v>-0.30511886301340757</v>
      </c>
    </row>
    <row r="137" spans="1:20" x14ac:dyDescent="0.25">
      <c r="A137" s="5">
        <v>44456</v>
      </c>
      <c r="B137">
        <v>2.056</v>
      </c>
      <c r="C137">
        <v>2.1</v>
      </c>
      <c r="D137">
        <v>1.9319999999999999</v>
      </c>
      <c r="E137">
        <v>1.974</v>
      </c>
      <c r="F137">
        <v>7451952.5</v>
      </c>
      <c r="G137">
        <v>1.974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</v>
      </c>
      <c r="Q137">
        <f t="shared" ref="Q137" si="661">F137*P137</f>
        <v>-3725976.25</v>
      </c>
      <c r="R137">
        <f t="shared" ref="R137" si="662">R138+Q137</f>
        <v>-30257078.533898883</v>
      </c>
      <c r="S137">
        <f t="shared" ref="S137" si="663">R137/100000</f>
        <v>-302.5707853389888</v>
      </c>
      <c r="T137">
        <f t="shared" ref="T137" si="664">S137/1000</f>
        <v>-0.30257078533898879</v>
      </c>
    </row>
    <row r="138" spans="1:20" x14ac:dyDescent="0.25">
      <c r="A138" s="5">
        <v>44455</v>
      </c>
      <c r="B138">
        <v>2.1480000000000001</v>
      </c>
      <c r="C138">
        <v>2.1619999999999999</v>
      </c>
      <c r="D138">
        <v>2.008</v>
      </c>
      <c r="E138">
        <v>2.056</v>
      </c>
      <c r="F138">
        <v>9566142.9000000004</v>
      </c>
      <c r="G138">
        <v>2.056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-0.37662337662337575</v>
      </c>
      <c r="Q138">
        <f t="shared" ref="Q138" si="666">F138*P138</f>
        <v>-3602833.0402597319</v>
      </c>
      <c r="R138">
        <f t="shared" ref="R138" si="667">R139+Q138</f>
        <v>-26531102.283898883</v>
      </c>
      <c r="S138">
        <f t="shared" ref="S138" si="668">R138/100000</f>
        <v>-265.31102283898883</v>
      </c>
      <c r="T138">
        <f t="shared" ref="T138" si="669">S138/1000</f>
        <v>-0.26531102283898883</v>
      </c>
    </row>
    <row r="139" spans="1:20" x14ac:dyDescent="0.25">
      <c r="A139" s="5">
        <v>44454</v>
      </c>
      <c r="B139">
        <v>2.0099999999999998</v>
      </c>
      <c r="C139">
        <v>2.198</v>
      </c>
      <c r="D139">
        <v>1.996</v>
      </c>
      <c r="E139">
        <v>2.149</v>
      </c>
      <c r="F139">
        <v>16422433.4</v>
      </c>
      <c r="G139">
        <v>2.149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0.51485148514851542</v>
      </c>
      <c r="Q139">
        <f t="shared" ref="Q139" si="671">F139*P139</f>
        <v>8455114.2257425841</v>
      </c>
      <c r="R139">
        <f t="shared" ref="R139" si="672">R140+Q139</f>
        <v>-22928269.243639149</v>
      </c>
      <c r="S139">
        <f t="shared" ref="S139" si="673">R139/100000</f>
        <v>-229.2826924363915</v>
      </c>
      <c r="T139">
        <f t="shared" ref="T139" si="674">S139/1000</f>
        <v>-0.22928269243639149</v>
      </c>
    </row>
    <row r="140" spans="1:20" x14ac:dyDescent="0.25">
      <c r="A140" s="5">
        <v>44453</v>
      </c>
      <c r="B140">
        <v>1.909</v>
      </c>
      <c r="C140">
        <v>2.0379999999999998</v>
      </c>
      <c r="D140">
        <v>1.8859999999999999</v>
      </c>
      <c r="E140">
        <v>2.0099999999999998</v>
      </c>
      <c r="F140">
        <v>8072369.5999999996</v>
      </c>
      <c r="G140">
        <v>2.0099999999999998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0.63157894736842046</v>
      </c>
      <c r="Q140">
        <f t="shared" ref="Q140" si="676">F140*P140</f>
        <v>5098338.6947368374</v>
      </c>
      <c r="R140">
        <f t="shared" ref="R140" si="677">R141+Q140</f>
        <v>-31383383.469381735</v>
      </c>
      <c r="S140">
        <f t="shared" ref="S140" si="678">R140/100000</f>
        <v>-313.83383469381732</v>
      </c>
      <c r="T140">
        <f t="shared" ref="T140" si="679">S140/1000</f>
        <v>-0.31383383469381732</v>
      </c>
    </row>
    <row r="141" spans="1:20" x14ac:dyDescent="0.25">
      <c r="A141" s="5">
        <v>44452</v>
      </c>
      <c r="B141">
        <v>2.0430000000000001</v>
      </c>
      <c r="C141">
        <v>2.0670000000000002</v>
      </c>
      <c r="D141">
        <v>1.802</v>
      </c>
      <c r="E141">
        <v>1.909</v>
      </c>
      <c r="F141">
        <v>10492632.4</v>
      </c>
      <c r="G141">
        <v>1.909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-0.19245283018867976</v>
      </c>
      <c r="Q141">
        <f t="shared" ref="Q141" si="681">F141*P141</f>
        <v>-2019336.8015094395</v>
      </c>
      <c r="R141">
        <f t="shared" ref="R141" si="682">R142+Q141</f>
        <v>-36481722.164118573</v>
      </c>
      <c r="S141">
        <f t="shared" ref="S141" si="683">R141/100000</f>
        <v>-364.81722164118571</v>
      </c>
      <c r="T141">
        <f t="shared" ref="T141" si="684">S141/1000</f>
        <v>-0.36481722164118568</v>
      </c>
    </row>
    <row r="142" spans="1:20" x14ac:dyDescent="0.25">
      <c r="A142" s="5">
        <v>44451</v>
      </c>
      <c r="B142">
        <v>1.964</v>
      </c>
      <c r="C142">
        <v>2.0939999999999999</v>
      </c>
      <c r="D142">
        <v>1.9239999999999999</v>
      </c>
      <c r="E142">
        <v>2.0430000000000001</v>
      </c>
      <c r="F142">
        <v>9565666</v>
      </c>
      <c r="G142">
        <v>2.0430000000000001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0.40000000000000313</v>
      </c>
      <c r="Q142">
        <f t="shared" ref="Q142" si="686">F142*P142</f>
        <v>3826266.4000000302</v>
      </c>
      <c r="R142">
        <f t="shared" ref="R142" si="687">R143+Q142</f>
        <v>-34462385.362609133</v>
      </c>
      <c r="S142">
        <f t="shared" ref="S142" si="688">R142/100000</f>
        <v>-344.62385362609132</v>
      </c>
      <c r="T142">
        <f t="shared" ref="T142" si="689">S142/1000</f>
        <v>-0.34462385362609133</v>
      </c>
    </row>
    <row r="143" spans="1:20" x14ac:dyDescent="0.25">
      <c r="A143" s="5">
        <v>44450</v>
      </c>
      <c r="B143">
        <v>1.9390000000000001</v>
      </c>
      <c r="C143">
        <v>2.0630000000000002</v>
      </c>
      <c r="D143">
        <v>1.911</v>
      </c>
      <c r="E143">
        <v>1.964</v>
      </c>
      <c r="F143">
        <v>8277055</v>
      </c>
      <c r="G143">
        <v>1.964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-0.30263157894736986</v>
      </c>
      <c r="Q143">
        <f t="shared" ref="Q143" si="691">F143*P143</f>
        <v>-2504898.2236842224</v>
      </c>
      <c r="R143">
        <f t="shared" ref="R143" si="692">R144+Q143</f>
        <v>-38288651.762609161</v>
      </c>
      <c r="S143">
        <f t="shared" ref="S143" si="693">R143/100000</f>
        <v>-382.88651762609163</v>
      </c>
      <c r="T143">
        <f t="shared" ref="T143" si="694">S143/1000</f>
        <v>-0.3828865176260916</v>
      </c>
    </row>
    <row r="144" spans="1:20" x14ac:dyDescent="0.25">
      <c r="A144" s="5">
        <v>44449</v>
      </c>
      <c r="B144">
        <v>2.0750000000000002</v>
      </c>
      <c r="C144">
        <v>2.1539999999999999</v>
      </c>
      <c r="D144">
        <v>1.8759999999999999</v>
      </c>
      <c r="E144">
        <v>1.94</v>
      </c>
      <c r="F144">
        <v>15571613.6</v>
      </c>
      <c r="G144">
        <v>1.94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-0.53956834532374065</v>
      </c>
      <c r="Q144">
        <f t="shared" ref="Q144" si="696">F144*P144</f>
        <v>-8401949.784172656</v>
      </c>
      <c r="R144">
        <f t="shared" ref="R144" si="697">R145+Q144</f>
        <v>-35783753.53892494</v>
      </c>
      <c r="S144">
        <f t="shared" ref="S144" si="698">R144/100000</f>
        <v>-357.83753538924941</v>
      </c>
      <c r="T144">
        <f t="shared" ref="T144" si="699">S144/1000</f>
        <v>-0.35783753538924939</v>
      </c>
    </row>
    <row r="145" spans="1:20" x14ac:dyDescent="0.25">
      <c r="A145" s="5">
        <v>44448</v>
      </c>
      <c r="B145">
        <v>2.0419999999999998</v>
      </c>
      <c r="C145">
        <v>2.1659999999999999</v>
      </c>
      <c r="D145">
        <v>1.986</v>
      </c>
      <c r="E145">
        <v>2.0760000000000001</v>
      </c>
      <c r="F145">
        <v>18165171.699999999</v>
      </c>
      <c r="G145">
        <v>2.0760000000000001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1.2335811384723965E-15</v>
      </c>
      <c r="Q145">
        <f t="shared" ref="Q145" si="701">F145*P145</f>
        <v>2.2408213186232558E-8</v>
      </c>
      <c r="R145">
        <f t="shared" ref="R145" si="702">R146+Q145</f>
        <v>-27381803.754752286</v>
      </c>
      <c r="S145">
        <f t="shared" ref="S145" si="703">R145/100000</f>
        <v>-273.81803754752286</v>
      </c>
      <c r="T145">
        <f t="shared" ref="T145" si="704">S145/1000</f>
        <v>-0.27381803754752287</v>
      </c>
    </row>
    <row r="146" spans="1:20" x14ac:dyDescent="0.25">
      <c r="A146" s="5">
        <v>44447</v>
      </c>
      <c r="B146">
        <v>2.1030000000000002</v>
      </c>
      <c r="C146">
        <v>2.19</v>
      </c>
      <c r="D146">
        <v>1.8759999999999999</v>
      </c>
      <c r="E146">
        <v>2.0409999999999999</v>
      </c>
      <c r="F146">
        <v>27124608.600000001</v>
      </c>
      <c r="G146">
        <v>2.0409999999999999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5.0955414012738891E-2</v>
      </c>
      <c r="Q146">
        <f t="shared" ref="Q146" si="706">F146*P146</f>
        <v>1382145.6611464978</v>
      </c>
      <c r="R146">
        <f t="shared" ref="R146" si="707">R147+Q146</f>
        <v>-27381803.754752308</v>
      </c>
      <c r="S146">
        <f t="shared" ref="S146" si="708">R146/100000</f>
        <v>-273.81803754752309</v>
      </c>
      <c r="T146">
        <f t="shared" ref="T146" si="709">S146/1000</f>
        <v>-0.2738180375475231</v>
      </c>
    </row>
    <row r="147" spans="1:20" x14ac:dyDescent="0.25">
      <c r="A147" s="5">
        <v>44446</v>
      </c>
      <c r="B147">
        <v>2.8769999999999998</v>
      </c>
      <c r="C147">
        <v>2.8919999999999999</v>
      </c>
      <c r="D147">
        <v>1.88</v>
      </c>
      <c r="E147">
        <v>2.1030000000000002</v>
      </c>
      <c r="F147">
        <v>41326412</v>
      </c>
      <c r="G147">
        <v>2.1030000000000002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-0.55928853754940655</v>
      </c>
      <c r="Q147">
        <f t="shared" ref="Q147" si="711">F147*P147</f>
        <v>-23113388.529644247</v>
      </c>
      <c r="R147">
        <f t="shared" ref="R147" si="712">R148+Q147</f>
        <v>-28763949.415898807</v>
      </c>
      <c r="S147">
        <f t="shared" ref="S147" si="713">R147/100000</f>
        <v>-287.6394941589881</v>
      </c>
      <c r="T147">
        <f t="shared" ref="T147" si="714">S147/1000</f>
        <v>-0.2876394941589881</v>
      </c>
    </row>
    <row r="148" spans="1:20" x14ac:dyDescent="0.25">
      <c r="A148" s="5">
        <v>44445</v>
      </c>
      <c r="B148">
        <v>2.9550000000000001</v>
      </c>
      <c r="C148">
        <v>3.09</v>
      </c>
      <c r="D148">
        <v>2.7</v>
      </c>
      <c r="E148">
        <v>2.8769999999999998</v>
      </c>
      <c r="F148">
        <v>19607436.5</v>
      </c>
      <c r="G148">
        <v>2.8769999999999998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-9.2307692307693603E-2</v>
      </c>
      <c r="Q148">
        <f t="shared" ref="Q148" si="716">F148*P148</f>
        <v>-1809917.2153846407</v>
      </c>
      <c r="R148">
        <f t="shared" ref="R148" si="717">R149+Q148</f>
        <v>-5650560.8862545621</v>
      </c>
      <c r="S148">
        <f t="shared" ref="S148" si="718">R148/100000</f>
        <v>-56.505608862545621</v>
      </c>
      <c r="T148">
        <f t="shared" ref="T148" si="719">S148/1000</f>
        <v>-5.6505608862545624E-2</v>
      </c>
    </row>
    <row r="149" spans="1:20" x14ac:dyDescent="0.25">
      <c r="A149" s="5">
        <v>44444</v>
      </c>
      <c r="B149">
        <v>2.87</v>
      </c>
      <c r="C149">
        <v>3.0179999999999998</v>
      </c>
      <c r="D149">
        <v>2.85</v>
      </c>
      <c r="E149">
        <v>2.9569999999999999</v>
      </c>
      <c r="F149">
        <v>12174520</v>
      </c>
      <c r="G149">
        <v>2.9569999999999999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0.27380952380952323</v>
      </c>
      <c r="Q149">
        <f t="shared" ref="Q149" si="721">F149*P149</f>
        <v>3333499.5238095168</v>
      </c>
      <c r="R149">
        <f t="shared" ref="R149" si="722">R150+Q149</f>
        <v>-3840643.6708699213</v>
      </c>
      <c r="S149">
        <f t="shared" ref="S149" si="723">R149/100000</f>
        <v>-38.406436708699211</v>
      </c>
      <c r="T149">
        <f t="shared" ref="T149" si="724">S149/1000</f>
        <v>-3.8406436708699213E-2</v>
      </c>
    </row>
    <row r="150" spans="1:20" x14ac:dyDescent="0.25">
      <c r="A150" s="5">
        <v>44443</v>
      </c>
      <c r="B150">
        <v>2.8650000000000002</v>
      </c>
      <c r="C150">
        <v>2.9889999999999999</v>
      </c>
      <c r="D150">
        <v>2.8109999999999999</v>
      </c>
      <c r="E150">
        <v>2.8690000000000002</v>
      </c>
      <c r="F150">
        <v>13978668.4</v>
      </c>
      <c r="G150">
        <v>2.8690000000000002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-0.34831460674156972</v>
      </c>
      <c r="Q150">
        <f t="shared" ref="Q150" si="726">F150*P150</f>
        <v>-4868974.3865168076</v>
      </c>
      <c r="R150">
        <f t="shared" ref="R150" si="727">R151+Q150</f>
        <v>-7174143.1946794381</v>
      </c>
      <c r="S150">
        <f t="shared" ref="S150" si="728">R150/100000</f>
        <v>-71.741431946794378</v>
      </c>
      <c r="T150">
        <f t="shared" ref="T150" si="729">S150/1000</f>
        <v>-7.1741431946794373E-2</v>
      </c>
    </row>
    <row r="151" spans="1:20" x14ac:dyDescent="0.25">
      <c r="A151" s="5">
        <v>44442</v>
      </c>
      <c r="B151">
        <v>2.8180000000000001</v>
      </c>
      <c r="C151">
        <v>2.944</v>
      </c>
      <c r="D151">
        <v>2.7269999999999999</v>
      </c>
      <c r="E151">
        <v>2.8639999999999999</v>
      </c>
      <c r="F151">
        <v>16772317.300000001</v>
      </c>
      <c r="G151">
        <v>2.8639999999999999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0.26267281105990747</v>
      </c>
      <c r="Q151">
        <f t="shared" ref="Q151" si="731">F151*P151</f>
        <v>4405631.7331797173</v>
      </c>
      <c r="R151">
        <f t="shared" ref="R151" si="732">R152+Q151</f>
        <v>-2305168.8081626305</v>
      </c>
      <c r="S151">
        <f t="shared" ref="S151" si="733">R151/100000</f>
        <v>-23.051688081626306</v>
      </c>
      <c r="T151">
        <f t="shared" ref="T151" si="734">S151/1000</f>
        <v>-2.3051688081626307E-2</v>
      </c>
    </row>
    <row r="152" spans="1:20" x14ac:dyDescent="0.25">
      <c r="A152" s="5">
        <v>44441</v>
      </c>
      <c r="B152">
        <v>2.875</v>
      </c>
      <c r="C152">
        <v>2.97</v>
      </c>
      <c r="D152">
        <v>2.7909999999999999</v>
      </c>
      <c r="E152">
        <v>2.82</v>
      </c>
      <c r="F152">
        <v>15146067.800000001</v>
      </c>
      <c r="G152">
        <v>2.82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-0.67597765363128637</v>
      </c>
      <c r="Q152">
        <f t="shared" ref="Q152" si="736">F152*P152</f>
        <v>-10238403.373184379</v>
      </c>
      <c r="R152">
        <f t="shared" ref="R152" si="737">R153+Q152</f>
        <v>-6710800.5413423479</v>
      </c>
      <c r="S152">
        <f t="shared" ref="S152" si="738">R152/100000</f>
        <v>-67.108005413423484</v>
      </c>
      <c r="T152">
        <f t="shared" ref="T152" si="739">S152/1000</f>
        <v>-6.7108005413423488E-2</v>
      </c>
    </row>
    <row r="153" spans="1:20" x14ac:dyDescent="0.25">
      <c r="A153" s="5">
        <v>44440</v>
      </c>
      <c r="B153">
        <v>2.63</v>
      </c>
      <c r="C153">
        <v>2.9249999999999998</v>
      </c>
      <c r="D153">
        <v>2.5649999999999999</v>
      </c>
      <c r="E153">
        <v>2.875</v>
      </c>
      <c r="F153">
        <v>19233252.399999999</v>
      </c>
      <c r="G153">
        <v>2.875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0.7222222222222231</v>
      </c>
      <c r="Q153">
        <f t="shared" ref="Q153" si="741">F153*P153</f>
        <v>13890682.288888905</v>
      </c>
      <c r="R153">
        <f t="shared" ref="R153" si="742">R154+Q153</f>
        <v>3527602.8318420313</v>
      </c>
      <c r="S153">
        <f t="shared" ref="S153" si="743">R153/100000</f>
        <v>35.276028318420316</v>
      </c>
      <c r="T153">
        <f t="shared" ref="T153" si="744">S153/1000</f>
        <v>3.5276028318420319E-2</v>
      </c>
    </row>
    <row r="154" spans="1:20" x14ac:dyDescent="0.25">
      <c r="A154" s="5">
        <v>44439</v>
      </c>
      <c r="B154">
        <v>2.6930000000000001</v>
      </c>
      <c r="C154">
        <v>2.8</v>
      </c>
      <c r="D154">
        <v>2.5539999999999998</v>
      </c>
      <c r="E154">
        <v>2.63</v>
      </c>
      <c r="F154">
        <v>12838088.6</v>
      </c>
      <c r="G154">
        <v>2.63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-0.38211382113821085</v>
      </c>
      <c r="Q154">
        <f t="shared" ref="Q154" si="746">F154*P154</f>
        <v>-4905611.0910569038</v>
      </c>
      <c r="R154">
        <f t="shared" ref="R154" si="747">R155+Q154</f>
        <v>-10363079.457046874</v>
      </c>
      <c r="S154">
        <f t="shared" ref="S154" si="748">R154/100000</f>
        <v>-103.63079457046874</v>
      </c>
      <c r="T154">
        <f t="shared" ref="T154" si="749">S154/1000</f>
        <v>-0.10363079457046874</v>
      </c>
    </row>
    <row r="155" spans="1:20" x14ac:dyDescent="0.25">
      <c r="A155" s="5">
        <v>44438</v>
      </c>
      <c r="B155">
        <v>2.7989999999999999</v>
      </c>
      <c r="C155">
        <v>2.95</v>
      </c>
      <c r="D155">
        <v>2.66</v>
      </c>
      <c r="E155">
        <v>2.6930000000000001</v>
      </c>
      <c r="F155">
        <v>22702650.300000001</v>
      </c>
      <c r="G155">
        <v>2.6930000000000001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-0.77241379310344882</v>
      </c>
      <c r="Q155">
        <f t="shared" ref="Q155" si="751">F155*P155</f>
        <v>-17535840.23172415</v>
      </c>
      <c r="R155">
        <f t="shared" ref="R155" si="752">R156+Q155</f>
        <v>-5457468.36598997</v>
      </c>
      <c r="S155">
        <f t="shared" ref="S155" si="753">R155/100000</f>
        <v>-54.574683659899698</v>
      </c>
      <c r="T155">
        <f t="shared" ref="T155" si="754">S155/1000</f>
        <v>-5.4574683659899696E-2</v>
      </c>
    </row>
    <row r="156" spans="1:20" x14ac:dyDescent="0.25">
      <c r="A156" s="5">
        <v>44437</v>
      </c>
      <c r="B156">
        <v>2.7530000000000001</v>
      </c>
      <c r="C156">
        <v>2.875</v>
      </c>
      <c r="D156">
        <v>2.6509999999999998</v>
      </c>
      <c r="E156">
        <v>2.7989999999999999</v>
      </c>
      <c r="F156">
        <v>13258150.699999999</v>
      </c>
      <c r="G156">
        <v>2.7989999999999999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0.32142857142857145</v>
      </c>
      <c r="Q156">
        <f t="shared" ref="Q156" si="756">F156*P156</f>
        <v>4261548.4392857142</v>
      </c>
      <c r="R156">
        <f t="shared" ref="R156" si="757">R157+Q156</f>
        <v>12078371.86573418</v>
      </c>
      <c r="S156">
        <f t="shared" ref="S156" si="758">R156/100000</f>
        <v>120.78371865734181</v>
      </c>
      <c r="T156">
        <f t="shared" ref="T156" si="759">S156/1000</f>
        <v>0.1207837186573418</v>
      </c>
    </row>
    <row r="157" spans="1:20" x14ac:dyDescent="0.25">
      <c r="A157" s="5">
        <v>44436</v>
      </c>
      <c r="B157">
        <v>2.88</v>
      </c>
      <c r="C157">
        <v>2.8879999999999999</v>
      </c>
      <c r="D157">
        <v>2.722</v>
      </c>
      <c r="E157">
        <v>2.7519999999999998</v>
      </c>
      <c r="F157">
        <v>11877791.9</v>
      </c>
      <c r="G157">
        <v>2.7519999999999998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-0.63855421686747205</v>
      </c>
      <c r="Q157">
        <f t="shared" ref="Q157" si="761">F157*P157</f>
        <v>-7584614.1048193034</v>
      </c>
      <c r="R157">
        <f t="shared" ref="R157" si="762">R158+Q157</f>
        <v>7816823.4264484663</v>
      </c>
      <c r="S157">
        <f t="shared" ref="S157" si="763">R157/100000</f>
        <v>78.168234264484667</v>
      </c>
      <c r="T157">
        <f t="shared" ref="T157" si="764">S157/1000</f>
        <v>7.8168234264484673E-2</v>
      </c>
    </row>
    <row r="158" spans="1:20" x14ac:dyDescent="0.25">
      <c r="A158" s="5">
        <v>44435</v>
      </c>
      <c r="B158">
        <v>2.6869999999999998</v>
      </c>
      <c r="C158">
        <v>2.887</v>
      </c>
      <c r="D158">
        <v>2.6160000000000001</v>
      </c>
      <c r="E158">
        <v>2.88</v>
      </c>
      <c r="F158">
        <v>19997930.699999999</v>
      </c>
      <c r="G158">
        <v>2.88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0.94833948339483309</v>
      </c>
      <c r="Q158">
        <f t="shared" ref="Q158" si="766">F158*P158</f>
        <v>18964827.269003671</v>
      </c>
      <c r="R158">
        <f t="shared" ref="R158" si="767">R159+Q158</f>
        <v>15401437.53126777</v>
      </c>
      <c r="S158">
        <f t="shared" ref="S158" si="768">R158/100000</f>
        <v>154.01437531267769</v>
      </c>
      <c r="T158">
        <f t="shared" ref="T158" si="769">S158/1000</f>
        <v>0.1540143753126777</v>
      </c>
    </row>
    <row r="159" spans="1:20" x14ac:dyDescent="0.25">
      <c r="A159" s="5">
        <v>44434</v>
      </c>
      <c r="B159">
        <v>2.9430999999999998</v>
      </c>
      <c r="C159">
        <v>3.0644999999999998</v>
      </c>
      <c r="D159">
        <v>2.6320000000000001</v>
      </c>
      <c r="E159">
        <v>2.6859999999999999</v>
      </c>
      <c r="F159">
        <v>32712718.699999999</v>
      </c>
      <c r="G159">
        <v>2.6859999999999999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-0.75028901734104103</v>
      </c>
      <c r="Q159">
        <f t="shared" ref="Q159" si="771">F159*P159</f>
        <v>-24543993.567976896</v>
      </c>
      <c r="R159">
        <f t="shared" ref="R159" si="772">R160+Q159</f>
        <v>-3563389.737735901</v>
      </c>
      <c r="S159">
        <f t="shared" ref="S159" si="773">R159/100000</f>
        <v>-35.633897377359013</v>
      </c>
      <c r="T159">
        <f t="shared" ref="T159" si="774">S159/1000</f>
        <v>-3.563389737735901E-2</v>
      </c>
    </row>
    <row r="160" spans="1:20" x14ac:dyDescent="0.25">
      <c r="A160" s="5">
        <v>44433</v>
      </c>
      <c r="B160">
        <v>2.7863000000000002</v>
      </c>
      <c r="C160">
        <v>2.9857</v>
      </c>
      <c r="D160">
        <v>2.6309999999999998</v>
      </c>
      <c r="E160">
        <v>2.9420999999999999</v>
      </c>
      <c r="F160">
        <v>22577525</v>
      </c>
      <c r="G160">
        <v>2.9420999999999999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0.75415844375528585</v>
      </c>
      <c r="Q160">
        <f t="shared" ref="Q160" si="776">F160*P160</f>
        <v>17027031.117846061</v>
      </c>
      <c r="R160">
        <f t="shared" ref="R160" si="777">R161+Q160</f>
        <v>20980603.830240995</v>
      </c>
      <c r="S160">
        <f t="shared" ref="S160" si="778">R160/100000</f>
        <v>209.80603830240995</v>
      </c>
      <c r="T160">
        <f t="shared" ref="T160" si="779">S160/1000</f>
        <v>0.20980603830240996</v>
      </c>
    </row>
    <row r="161" spans="1:20" x14ac:dyDescent="0.25">
      <c r="A161" s="5">
        <v>44432</v>
      </c>
      <c r="B161">
        <v>3.1318000000000001</v>
      </c>
      <c r="C161">
        <v>3.1762999999999999</v>
      </c>
      <c r="D161">
        <v>2.7791000000000001</v>
      </c>
      <c r="E161">
        <v>2.7875000000000001</v>
      </c>
      <c r="F161">
        <v>20987739.899999999</v>
      </c>
      <c r="G161">
        <v>2.7875000000000001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-0.95770392749244726</v>
      </c>
      <c r="Q161">
        <f t="shared" ref="Q161" si="781">F161*P161</f>
        <v>-20100040.931419943</v>
      </c>
      <c r="R161">
        <f t="shared" ref="R161" si="782">R162+Q161</f>
        <v>3953572.7123949341</v>
      </c>
      <c r="S161">
        <f t="shared" ref="S161" si="783">R161/100000</f>
        <v>39.535727123949343</v>
      </c>
      <c r="T161">
        <f t="shared" ref="T161" si="784">S161/1000</f>
        <v>3.9535727123949344E-2</v>
      </c>
    </row>
    <row r="162" spans="1:20" x14ac:dyDescent="0.25">
      <c r="A162" s="5">
        <v>44431</v>
      </c>
      <c r="B162">
        <v>3.1583000000000001</v>
      </c>
      <c r="C162">
        <v>3.2938999999999998</v>
      </c>
      <c r="D162">
        <v>3.0015000000000001</v>
      </c>
      <c r="E162">
        <v>3.1332</v>
      </c>
      <c r="F162">
        <v>25707558.300000001</v>
      </c>
      <c r="G162">
        <v>3.1332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-9.9179206566347253E-2</v>
      </c>
      <c r="Q162">
        <f t="shared" ref="Q162" si="786">F162*P162</f>
        <v>-2549655.234952115</v>
      </c>
      <c r="R162">
        <f t="shared" ref="R162" si="787">R163+Q162</f>
        <v>24053613.643814877</v>
      </c>
      <c r="S162">
        <f t="shared" ref="S162" si="788">R162/100000</f>
        <v>240.53613643814876</v>
      </c>
      <c r="T162">
        <f t="shared" ref="T162" si="789">S162/1000</f>
        <v>0.24053613643814875</v>
      </c>
    </row>
    <row r="163" spans="1:20" x14ac:dyDescent="0.25">
      <c r="A163" s="5">
        <v>44430</v>
      </c>
      <c r="B163">
        <v>2.6101999999999999</v>
      </c>
      <c r="C163">
        <v>2.9729999999999999</v>
      </c>
      <c r="D163">
        <v>2.6008</v>
      </c>
      <c r="E163">
        <v>2.9529999999999998</v>
      </c>
      <c r="F163">
        <v>15496828.800000001</v>
      </c>
      <c r="G163">
        <v>2.9529999999999998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0.89253089736700686</v>
      </c>
      <c r="Q163">
        <f t="shared" ref="Q163" si="791">F163*P163</f>
        <v>13831398.515206877</v>
      </c>
      <c r="R163">
        <f t="shared" ref="R163" si="792">R164+Q163</f>
        <v>26603268.878766991</v>
      </c>
      <c r="S163">
        <f t="shared" ref="S163" si="793">R163/100000</f>
        <v>266.03268878766994</v>
      </c>
      <c r="T163">
        <f t="shared" ref="T163" si="794">S163/1000</f>
        <v>0.26603268878766995</v>
      </c>
    </row>
    <row r="164" spans="1:20" x14ac:dyDescent="0.25">
      <c r="A164" s="5">
        <v>44429</v>
      </c>
      <c r="B164">
        <v>2.6362000000000001</v>
      </c>
      <c r="C164">
        <v>2.68</v>
      </c>
      <c r="D164">
        <v>2.5562999999999998</v>
      </c>
      <c r="E164">
        <v>2.6107</v>
      </c>
      <c r="F164">
        <v>15950285.9</v>
      </c>
      <c r="G164">
        <v>2.6107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-0.12045270816491406</v>
      </c>
      <c r="Q164">
        <f t="shared" ref="Q164" si="796">F164*P164</f>
        <v>-1921255.1326596437</v>
      </c>
      <c r="R164">
        <f t="shared" ref="R164" si="797">R165+Q164</f>
        <v>12771870.363560116</v>
      </c>
      <c r="S164">
        <f t="shared" ref="S164" si="798">R164/100000</f>
        <v>127.71870363560116</v>
      </c>
      <c r="T164">
        <f t="shared" ref="T164" si="799">S164/1000</f>
        <v>0.12771870363560117</v>
      </c>
    </row>
    <row r="165" spans="1:20" x14ac:dyDescent="0.25">
      <c r="A165" s="5">
        <v>44428</v>
      </c>
      <c r="B165">
        <v>2.6198999999999999</v>
      </c>
      <c r="C165">
        <v>2.6949999999999998</v>
      </c>
      <c r="D165">
        <v>2.5402999999999998</v>
      </c>
      <c r="E165">
        <v>2.6371000000000002</v>
      </c>
      <c r="F165">
        <v>14513020.300000001</v>
      </c>
      <c r="G165">
        <v>2.6371000000000002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0.25145442792502137</v>
      </c>
      <c r="Q165">
        <f t="shared" ref="Q165" si="801">F165*P165</f>
        <v>3649363.2170007224</v>
      </c>
      <c r="R165">
        <f t="shared" ref="R165" si="802">R166+Q165</f>
        <v>14693125.49621976</v>
      </c>
      <c r="S165">
        <f t="shared" ref="S165" si="803">R165/100000</f>
        <v>146.93125496219758</v>
      </c>
      <c r="T165">
        <f t="shared" ref="T165" si="804">S165/1000</f>
        <v>0.14693125496219758</v>
      </c>
    </row>
    <row r="166" spans="1:20" x14ac:dyDescent="0.25">
      <c r="A166" s="5">
        <v>44427</v>
      </c>
      <c r="B166">
        <v>2.3687999999999998</v>
      </c>
      <c r="C166">
        <v>2.6484999999999999</v>
      </c>
      <c r="D166">
        <v>2.2837999999999998</v>
      </c>
      <c r="E166">
        <v>2.6191</v>
      </c>
      <c r="F166">
        <v>23271645.600000001</v>
      </c>
      <c r="G166">
        <v>2.6191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0.83877159309021188</v>
      </c>
      <c r="Q166">
        <f t="shared" ref="Q166" si="806">F166*P166</f>
        <v>19519595.253742822</v>
      </c>
      <c r="R166">
        <f t="shared" ref="R166" si="807">R167+Q166</f>
        <v>11043762.279219037</v>
      </c>
      <c r="S166">
        <f t="shared" ref="S166" si="808">R166/100000</f>
        <v>110.43762279219037</v>
      </c>
      <c r="T166">
        <f t="shared" ref="T166" si="809">S166/1000</f>
        <v>0.11043762279219037</v>
      </c>
    </row>
    <row r="167" spans="1:20" x14ac:dyDescent="0.25">
      <c r="A167" s="5">
        <v>44426</v>
      </c>
      <c r="B167">
        <v>2.4573</v>
      </c>
      <c r="C167">
        <v>2.4973999999999998</v>
      </c>
      <c r="D167">
        <v>2.2909999999999999</v>
      </c>
      <c r="E167">
        <v>2.3690000000000002</v>
      </c>
      <c r="F167">
        <v>16328864.199999999</v>
      </c>
      <c r="G167">
        <v>2.3690000000000002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-0.24418604651162479</v>
      </c>
      <c r="Q167">
        <f t="shared" ref="Q167" si="811">F167*P167</f>
        <v>-3987280.7930232049</v>
      </c>
      <c r="R167">
        <f t="shared" ref="R167" si="812">R168+Q167</f>
        <v>-8475832.9745237846</v>
      </c>
      <c r="S167">
        <f t="shared" ref="S167" si="813">R167/100000</f>
        <v>-84.758329745237845</v>
      </c>
      <c r="T167">
        <f t="shared" ref="T167" si="814">S167/1000</f>
        <v>-8.4758329745237851E-2</v>
      </c>
    </row>
    <row r="168" spans="1:20" x14ac:dyDescent="0.25">
      <c r="A168" s="5">
        <v>44425</v>
      </c>
      <c r="B168">
        <v>2.6109</v>
      </c>
      <c r="C168">
        <v>2.7299000000000002</v>
      </c>
      <c r="D168">
        <v>2.4247000000000001</v>
      </c>
      <c r="E168">
        <v>2.46</v>
      </c>
      <c r="F168">
        <v>18127931.899999999</v>
      </c>
      <c r="G168">
        <v>2.46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-0.76867627785059067</v>
      </c>
      <c r="Q168">
        <f t="shared" ref="Q168" si="816">F168*P168</f>
        <v>-13934511.218020985</v>
      </c>
      <c r="R168">
        <f t="shared" ref="R168" si="817">R169+Q168</f>
        <v>-4488552.1815005802</v>
      </c>
      <c r="S168">
        <f t="shared" ref="S168" si="818">R168/100000</f>
        <v>-44.885521815005802</v>
      </c>
      <c r="T168">
        <f t="shared" ref="T168" si="819">S168/1000</f>
        <v>-4.4885521815005804E-2</v>
      </c>
    </row>
    <row r="169" spans="1:20" x14ac:dyDescent="0.25">
      <c r="A169" s="5">
        <v>44424</v>
      </c>
      <c r="B169">
        <v>2.6720000000000002</v>
      </c>
      <c r="C169">
        <v>2.7955999999999999</v>
      </c>
      <c r="D169">
        <v>2.5769000000000002</v>
      </c>
      <c r="E169">
        <v>2.6126</v>
      </c>
      <c r="F169">
        <v>21245266.100000001</v>
      </c>
      <c r="G169">
        <v>2.6126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-0.6735253772290819</v>
      </c>
      <c r="Q169">
        <f t="shared" ref="Q169" si="821">F169*P169</f>
        <v>-14309225.864334727</v>
      </c>
      <c r="R169">
        <f t="shared" ref="R169" si="822">R170+Q169</f>
        <v>9445959.0365204047</v>
      </c>
      <c r="S169">
        <f t="shared" ref="S169" si="823">R169/100000</f>
        <v>94.45959036520405</v>
      </c>
      <c r="T169">
        <f t="shared" ref="T169" si="824">S169/1000</f>
        <v>9.4459590365204044E-2</v>
      </c>
    </row>
    <row r="170" spans="1:20" x14ac:dyDescent="0.25">
      <c r="A170" s="5">
        <v>44423</v>
      </c>
      <c r="B170">
        <v>2.6823000000000001</v>
      </c>
      <c r="C170">
        <v>2.7982</v>
      </c>
      <c r="D170">
        <v>2.5583</v>
      </c>
      <c r="E170">
        <v>2.6718999999999999</v>
      </c>
      <c r="F170">
        <v>24934490.600000001</v>
      </c>
      <c r="G170">
        <v>2.6718999999999999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-5.2938724468529201E-2</v>
      </c>
      <c r="Q170">
        <f t="shared" ref="Q170" si="826">F170*P170</f>
        <v>-1320000.1276365314</v>
      </c>
      <c r="R170">
        <f t="shared" ref="R170" si="827">R171+Q170</f>
        <v>23755184.900855131</v>
      </c>
      <c r="S170">
        <f t="shared" ref="S170" si="828">R170/100000</f>
        <v>237.5518490085513</v>
      </c>
      <c r="T170">
        <f t="shared" ref="T170" si="829">S170/1000</f>
        <v>0.23755184900855131</v>
      </c>
    </row>
    <row r="171" spans="1:20" x14ac:dyDescent="0.25">
      <c r="A171" s="5">
        <v>44422</v>
      </c>
      <c r="B171">
        <v>2.5848</v>
      </c>
      <c r="C171">
        <v>2.6956000000000002</v>
      </c>
      <c r="D171">
        <v>2.4087000000000001</v>
      </c>
      <c r="E171">
        <v>2.6823000000000001</v>
      </c>
      <c r="F171">
        <v>24865583.600000001</v>
      </c>
      <c r="G171">
        <v>2.6823000000000001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0.90728476821191995</v>
      </c>
      <c r="Q171">
        <f t="shared" ref="Q171" si="831">F171*P171</f>
        <v>22560165.25298012</v>
      </c>
      <c r="R171">
        <f t="shared" ref="R171" si="832">R172+Q171</f>
        <v>25075185.028491661</v>
      </c>
      <c r="S171">
        <f t="shared" ref="S171" si="833">R171/100000</f>
        <v>250.7518502849166</v>
      </c>
      <c r="T171">
        <f t="shared" ref="T171" si="834">S171/1000</f>
        <v>0.25075185028491659</v>
      </c>
    </row>
    <row r="172" spans="1:20" x14ac:dyDescent="0.25">
      <c r="A172" s="5">
        <v>44421</v>
      </c>
      <c r="B172">
        <v>2.3822999999999999</v>
      </c>
      <c r="C172">
        <v>2.5964999999999998</v>
      </c>
      <c r="D172">
        <v>2.3633000000000002</v>
      </c>
      <c r="E172">
        <v>2.5848</v>
      </c>
      <c r="F172">
        <v>15311930.1</v>
      </c>
      <c r="G172">
        <v>2.5848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0.89965694682675956</v>
      </c>
      <c r="Q172">
        <f t="shared" ref="Q172" si="836">F172*P172</f>
        <v>13775484.28379076</v>
      </c>
      <c r="R172">
        <f t="shared" ref="R172" si="837">R173+Q172</f>
        <v>2515019.7755115405</v>
      </c>
      <c r="S172">
        <f t="shared" ref="S172" si="838">R172/100000</f>
        <v>25.150197755115403</v>
      </c>
      <c r="T172">
        <f t="shared" ref="T172" si="839">S172/1000</f>
        <v>2.5150197755115403E-2</v>
      </c>
    </row>
    <row r="173" spans="1:20" x14ac:dyDescent="0.25">
      <c r="A173" s="5">
        <v>44420</v>
      </c>
      <c r="B173">
        <v>2.5</v>
      </c>
      <c r="C173">
        <v>2.6198000000000001</v>
      </c>
      <c r="D173">
        <v>2.2625000000000002</v>
      </c>
      <c r="E173">
        <v>2.3832</v>
      </c>
      <c r="F173">
        <v>22484691.100000001</v>
      </c>
      <c r="G173">
        <v>2.3832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-0.32437727399944122</v>
      </c>
      <c r="Q173">
        <f t="shared" ref="Q173" si="841">F173*P173</f>
        <v>-7293522.8057374982</v>
      </c>
      <c r="R173">
        <f t="shared" ref="R173" si="842">R174+Q173</f>
        <v>-11260464.508279219</v>
      </c>
      <c r="S173">
        <f t="shared" ref="S173" si="843">R173/100000</f>
        <v>-112.60464508279219</v>
      </c>
      <c r="T173">
        <f t="shared" ref="T173" si="844">S173/1000</f>
        <v>-0.11260464508279219</v>
      </c>
    </row>
    <row r="174" spans="1:20" x14ac:dyDescent="0.25">
      <c r="A174" s="5">
        <v>44419</v>
      </c>
      <c r="B174">
        <v>2.4649999999999999</v>
      </c>
      <c r="C174">
        <v>2.6850000000000001</v>
      </c>
      <c r="D174">
        <v>2.4567000000000001</v>
      </c>
      <c r="E174">
        <v>2.5</v>
      </c>
      <c r="F174">
        <v>30019816.699999999</v>
      </c>
      <c r="G174">
        <v>2.5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-0.62067455102934821</v>
      </c>
      <c r="Q174">
        <f t="shared" ref="Q174" si="846">F174*P174</f>
        <v>-18632536.252255831</v>
      </c>
      <c r="R174">
        <f t="shared" ref="R174" si="847">R175+Q174</f>
        <v>-3966941.7025417201</v>
      </c>
      <c r="S174">
        <f t="shared" ref="S174" si="848">R174/100000</f>
        <v>-39.669417025417204</v>
      </c>
      <c r="T174">
        <f t="shared" ref="T174" si="849">S174/1000</f>
        <v>-3.9669417025417202E-2</v>
      </c>
    </row>
    <row r="175" spans="1:20" x14ac:dyDescent="0.25">
      <c r="A175" s="5">
        <v>44418</v>
      </c>
      <c r="B175">
        <v>2.3342000000000001</v>
      </c>
      <c r="C175">
        <v>2.5289000000000001</v>
      </c>
      <c r="D175">
        <v>2.2801</v>
      </c>
      <c r="E175">
        <v>2.4647000000000001</v>
      </c>
      <c r="F175">
        <v>32436915.699999999</v>
      </c>
      <c r="G175">
        <v>2.4647000000000001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0.48392282958199356</v>
      </c>
      <c r="Q175">
        <f t="shared" ref="Q175" si="851">F175*P175</f>
        <v>15696964.028456591</v>
      </c>
      <c r="R175">
        <f t="shared" ref="R175" si="852">R176+Q175</f>
        <v>14665594.549714111</v>
      </c>
      <c r="S175">
        <f t="shared" ref="S175" si="853">R175/100000</f>
        <v>146.65594549714112</v>
      </c>
      <c r="T175">
        <f t="shared" ref="T175" si="854">S175/1000</f>
        <v>0.14665594549714112</v>
      </c>
    </row>
    <row r="176" spans="1:20" x14ac:dyDescent="0.25">
      <c r="A176" s="5">
        <v>44417</v>
      </c>
      <c r="B176">
        <v>2.1608999999999998</v>
      </c>
      <c r="C176">
        <v>2.4140999999999999</v>
      </c>
      <c r="D176">
        <v>2.0893000000000002</v>
      </c>
      <c r="E176">
        <v>2.3351000000000002</v>
      </c>
      <c r="F176">
        <v>22680620.899999999</v>
      </c>
      <c r="G176">
        <v>2.3351000000000002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0.51354679802955794</v>
      </c>
      <c r="Q176">
        <f t="shared" ref="Q176" si="856">F176*P176</f>
        <v>11647560.24051727</v>
      </c>
      <c r="R176">
        <f t="shared" ref="R176" si="857">R177+Q176</f>
        <v>-1031369.4787424803</v>
      </c>
      <c r="S176">
        <f t="shared" ref="S176" si="858">R176/100000</f>
        <v>-10.313694787424803</v>
      </c>
      <c r="T176">
        <f t="shared" ref="T176" si="859">S176/1000</f>
        <v>-1.0313694787424802E-2</v>
      </c>
    </row>
    <row r="177" spans="1:20" x14ac:dyDescent="0.25">
      <c r="A177" s="5">
        <v>44416</v>
      </c>
      <c r="B177">
        <v>2.3513000000000002</v>
      </c>
      <c r="C177">
        <v>2.3959999999999999</v>
      </c>
      <c r="D177">
        <v>2.1116999999999999</v>
      </c>
      <c r="E177">
        <v>2.1593</v>
      </c>
      <c r="F177">
        <v>21017238.5</v>
      </c>
      <c r="G177">
        <v>2.1593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-0.66514245515300674</v>
      </c>
      <c r="Q177">
        <f t="shared" ref="Q177" si="861">F177*P177</f>
        <v>-13979457.616426297</v>
      </c>
      <c r="R177">
        <f t="shared" ref="R177" si="862">R178+Q177</f>
        <v>-12678929.71925975</v>
      </c>
      <c r="S177">
        <f t="shared" ref="S177" si="863">R177/100000</f>
        <v>-126.7892971925975</v>
      </c>
      <c r="T177">
        <f t="shared" ref="T177" si="864">S177/1000</f>
        <v>-0.12678929719259749</v>
      </c>
    </row>
    <row r="178" spans="1:20" x14ac:dyDescent="0.25">
      <c r="A178" s="5">
        <v>44415</v>
      </c>
      <c r="B178">
        <v>2.2397999999999998</v>
      </c>
      <c r="C178">
        <v>2.4342000000000001</v>
      </c>
      <c r="D178">
        <v>2.17</v>
      </c>
      <c r="E178">
        <v>2.3513999999999999</v>
      </c>
      <c r="F178">
        <v>31907382.199999999</v>
      </c>
      <c r="G178">
        <v>2.3513999999999999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0.37320211960635774</v>
      </c>
      <c r="Q178">
        <f t="shared" ref="Q178" si="866">F178*P178</f>
        <v>11907902.668130171</v>
      </c>
      <c r="R178">
        <f t="shared" ref="R178" si="867">R179+Q178</f>
        <v>1300527.8971665464</v>
      </c>
      <c r="S178">
        <f t="shared" ref="S178" si="868">R178/100000</f>
        <v>13.005278971665465</v>
      </c>
      <c r="T178">
        <f t="shared" ref="T178" si="869">S178/1000</f>
        <v>1.3005278971665465E-2</v>
      </c>
    </row>
    <row r="179" spans="1:20" x14ac:dyDescent="0.25">
      <c r="A179" s="5">
        <v>44414</v>
      </c>
      <c r="B179">
        <v>2.1516000000000002</v>
      </c>
      <c r="C179">
        <v>2.2745000000000002</v>
      </c>
      <c r="D179">
        <v>2.0449999999999999</v>
      </c>
      <c r="E179">
        <v>2.2385000000000002</v>
      </c>
      <c r="F179">
        <v>29516664.699999999</v>
      </c>
      <c r="G179">
        <v>2.2385000000000002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0.68627450980392168</v>
      </c>
      <c r="Q179">
        <f t="shared" ref="Q179" si="871">F179*P179</f>
        <v>20256534.598039217</v>
      </c>
      <c r="R179">
        <f t="shared" ref="R179" si="872">R180+Q179</f>
        <v>-10607374.770963624</v>
      </c>
      <c r="S179">
        <f t="shared" ref="S179" si="873">R179/100000</f>
        <v>-106.07374770963624</v>
      </c>
      <c r="T179">
        <f t="shared" ref="T179" si="874">S179/1000</f>
        <v>-0.10607374770963623</v>
      </c>
    </row>
    <row r="180" spans="1:20" x14ac:dyDescent="0.25">
      <c r="A180" s="5">
        <v>44413</v>
      </c>
      <c r="B180">
        <v>2.0497000000000001</v>
      </c>
      <c r="C180">
        <v>2.1909000000000001</v>
      </c>
      <c r="D180">
        <v>1.9420999999999999</v>
      </c>
      <c r="E180">
        <v>2.1516999999999999</v>
      </c>
      <c r="F180">
        <v>23386530.600000001</v>
      </c>
      <c r="G180">
        <v>2.1516999999999999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0.68488745980707311</v>
      </c>
      <c r="Q180">
        <f t="shared" ref="Q180" si="876">F180*P180</f>
        <v>16017141.536334386</v>
      </c>
      <c r="R180">
        <f t="shared" ref="R180" si="877">R181+Q180</f>
        <v>-30863909.369002841</v>
      </c>
      <c r="S180">
        <f t="shared" ref="S180" si="878">R180/100000</f>
        <v>-308.6390936900284</v>
      </c>
      <c r="T180">
        <f t="shared" ref="T180" si="879">S180/1000</f>
        <v>-0.3086390936900284</v>
      </c>
    </row>
    <row r="181" spans="1:20" x14ac:dyDescent="0.25">
      <c r="A181" s="5">
        <v>44412</v>
      </c>
      <c r="B181">
        <v>1.9227000000000001</v>
      </c>
      <c r="C181">
        <v>2.0550000000000002</v>
      </c>
      <c r="D181">
        <v>1.89</v>
      </c>
      <c r="E181">
        <v>2.0487000000000002</v>
      </c>
      <c r="F181">
        <v>14827162.199999999</v>
      </c>
      <c r="G181">
        <v>2.0487000000000002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0.92363636363636414</v>
      </c>
      <c r="Q181">
        <f t="shared" ref="Q181" si="881">F181*P181</f>
        <v>13694906.177454552</v>
      </c>
      <c r="R181">
        <f t="shared" ref="R181" si="882">R182+Q181</f>
        <v>-46881050.905337229</v>
      </c>
      <c r="S181">
        <f t="shared" ref="S181" si="883">R181/100000</f>
        <v>-468.8105090533723</v>
      </c>
      <c r="T181">
        <f t="shared" ref="T181" si="884">S181/1000</f>
        <v>-0.46881050905337229</v>
      </c>
    </row>
    <row r="182" spans="1:20" x14ac:dyDescent="0.25">
      <c r="A182" s="5">
        <v>44411</v>
      </c>
      <c r="B182">
        <v>1.9978</v>
      </c>
      <c r="C182">
        <v>2.0379</v>
      </c>
      <c r="D182">
        <v>1.8763000000000001</v>
      </c>
      <c r="E182">
        <v>1.9227000000000001</v>
      </c>
      <c r="F182">
        <v>11816990.6</v>
      </c>
      <c r="G182">
        <v>1.9227000000000001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-0.42574257425742568</v>
      </c>
      <c r="Q182">
        <f t="shared" ref="Q182" si="886">F182*P182</f>
        <v>-5030995.9980198015</v>
      </c>
      <c r="R182">
        <f t="shared" ref="R182" si="887">R183+Q182</f>
        <v>-60575957.082791783</v>
      </c>
      <c r="S182">
        <f t="shared" ref="S182" si="888">R182/100000</f>
        <v>-605.75957082791786</v>
      </c>
      <c r="T182">
        <f t="shared" ref="T182" si="889">S182/1000</f>
        <v>-0.60575957082791787</v>
      </c>
    </row>
    <row r="183" spans="1:20" x14ac:dyDescent="0.25">
      <c r="A183" s="5">
        <v>44410</v>
      </c>
      <c r="B183">
        <v>2.0047000000000001</v>
      </c>
      <c r="C183">
        <v>2.0596000000000001</v>
      </c>
      <c r="D183">
        <v>1.917</v>
      </c>
      <c r="E183">
        <v>1.9990000000000001</v>
      </c>
      <c r="F183">
        <v>17191627.699999999</v>
      </c>
      <c r="G183">
        <v>1.9990000000000001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0.15007012622720953</v>
      </c>
      <c r="Q183">
        <f t="shared" ref="Q183" si="891">F183*P183</f>
        <v>2579949.7389901918</v>
      </c>
      <c r="R183">
        <f t="shared" ref="R183" si="892">R184+Q183</f>
        <v>-55544961.084771983</v>
      </c>
      <c r="S183">
        <f t="shared" ref="S183" si="893">R183/100000</f>
        <v>-555.44961084771978</v>
      </c>
      <c r="T183">
        <f t="shared" ref="T183" si="894">S183/1000</f>
        <v>-0.55544961084771982</v>
      </c>
    </row>
    <row r="184" spans="1:20" x14ac:dyDescent="0.25">
      <c r="A184" s="5">
        <v>44409</v>
      </c>
      <c r="B184">
        <v>2.0156999999999998</v>
      </c>
      <c r="C184">
        <v>2.21</v>
      </c>
      <c r="D184">
        <v>1.97</v>
      </c>
      <c r="E184">
        <v>2.0034999999999998</v>
      </c>
      <c r="F184">
        <v>32045316.5</v>
      </c>
      <c r="G184">
        <v>2.0034999999999998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-0.72083333333333444</v>
      </c>
      <c r="Q184">
        <f t="shared" ref="Q184" si="896">F184*P184</f>
        <v>-23099332.310416702</v>
      </c>
      <c r="R184">
        <f t="shared" ref="R184" si="897">R185+Q184</f>
        <v>-58124910.823762178</v>
      </c>
      <c r="S184">
        <f t="shared" ref="S184" si="898">R184/100000</f>
        <v>-581.24910823762184</v>
      </c>
      <c r="T184">
        <f t="shared" ref="T184" si="899">S184/1000</f>
        <v>-0.58124910823762188</v>
      </c>
    </row>
    <row r="185" spans="1:20" x14ac:dyDescent="0.25">
      <c r="A185" s="5">
        <v>44408</v>
      </c>
      <c r="B185">
        <v>1.9557</v>
      </c>
      <c r="C185">
        <v>2.085</v>
      </c>
      <c r="D185">
        <v>1.8802000000000001</v>
      </c>
      <c r="E185">
        <v>2.0131999999999999</v>
      </c>
      <c r="F185">
        <v>22194906.5</v>
      </c>
      <c r="G185">
        <v>2.0131999999999999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0.29882812499999872</v>
      </c>
      <c r="Q185">
        <f t="shared" ref="Q185" si="901">F185*P185</f>
        <v>6632462.2939452846</v>
      </c>
      <c r="R185">
        <f t="shared" ref="R185" si="902">R186+Q185</f>
        <v>-35025578.51334548</v>
      </c>
      <c r="S185">
        <f t="shared" ref="S185" si="903">R185/100000</f>
        <v>-350.25578513345482</v>
      </c>
      <c r="T185">
        <f t="shared" ref="T185" si="904">S185/1000</f>
        <v>-0.35025578513345484</v>
      </c>
    </row>
    <row r="186" spans="1:20" x14ac:dyDescent="0.25">
      <c r="A186" s="5">
        <v>44407</v>
      </c>
      <c r="B186">
        <v>1.9148000000000001</v>
      </c>
      <c r="C186">
        <v>1.9750000000000001</v>
      </c>
      <c r="D186">
        <v>1.8149</v>
      </c>
      <c r="E186">
        <v>1.9557</v>
      </c>
      <c r="F186">
        <v>13594995.699999999</v>
      </c>
      <c r="G186">
        <v>1.9557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0.75890068707057989</v>
      </c>
      <c r="Q186">
        <f t="shared" ref="Q186" si="906">F186*P186</f>
        <v>10317251.577451579</v>
      </c>
      <c r="R186">
        <f t="shared" ref="R186" si="907">R187+Q186</f>
        <v>-41658040.807290763</v>
      </c>
      <c r="S186">
        <f t="shared" ref="S186" si="908">R186/100000</f>
        <v>-416.58040807290763</v>
      </c>
      <c r="T186">
        <f t="shared" ref="T186" si="909">S186/1000</f>
        <v>-0.41658040807290764</v>
      </c>
    </row>
    <row r="187" spans="1:20" x14ac:dyDescent="0.25">
      <c r="A187" s="5">
        <v>44406</v>
      </c>
      <c r="B187">
        <v>1.9157999999999999</v>
      </c>
      <c r="C187">
        <v>1.9514</v>
      </c>
      <c r="D187">
        <v>1.8524</v>
      </c>
      <c r="E187">
        <v>1.9140999999999999</v>
      </c>
      <c r="F187">
        <v>13624324.6</v>
      </c>
      <c r="G187">
        <v>1.9140999999999999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0.24646464646464405</v>
      </c>
      <c r="Q187">
        <f t="shared" ref="Q187" si="911">F187*P187</f>
        <v>3357914.345858553</v>
      </c>
      <c r="R187">
        <f t="shared" ref="R187" si="912">R188+Q187</f>
        <v>-51975292.384742342</v>
      </c>
      <c r="S187">
        <f t="shared" ref="S187" si="913">R187/100000</f>
        <v>-519.7529238474234</v>
      </c>
      <c r="T187">
        <f t="shared" ref="T187" si="914">S187/1000</f>
        <v>-0.51975292384742344</v>
      </c>
    </row>
    <row r="188" spans="1:20" x14ac:dyDescent="0.25">
      <c r="A188" s="5">
        <v>44405</v>
      </c>
      <c r="B188">
        <v>1.9593</v>
      </c>
      <c r="C188">
        <v>2.0198</v>
      </c>
      <c r="D188">
        <v>1.873</v>
      </c>
      <c r="E188">
        <v>1.9152</v>
      </c>
      <c r="F188">
        <v>18309376.399999999</v>
      </c>
      <c r="G188">
        <v>1.9152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-0.42506811989100812</v>
      </c>
      <c r="Q188">
        <f t="shared" ref="Q188" si="916">F188*P188</f>
        <v>-7782732.2027247939</v>
      </c>
      <c r="R188">
        <f t="shared" ref="R188" si="917">R189+Q188</f>
        <v>-55333206.730600893</v>
      </c>
      <c r="S188">
        <f t="shared" ref="S188" si="918">R188/100000</f>
        <v>-553.33206730600898</v>
      </c>
      <c r="T188">
        <f t="shared" ref="T188" si="919">S188/1000</f>
        <v>-0.55333206730600903</v>
      </c>
    </row>
    <row r="189" spans="1:20" x14ac:dyDescent="0.25">
      <c r="A189" s="5">
        <v>44404</v>
      </c>
      <c r="B189">
        <v>1.9174</v>
      </c>
      <c r="C189">
        <v>1.9851000000000001</v>
      </c>
      <c r="D189">
        <v>1.7982</v>
      </c>
      <c r="E189">
        <v>1.9593</v>
      </c>
      <c r="F189">
        <v>21452075.100000001</v>
      </c>
      <c r="G189">
        <v>1.9593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0.72391653290529656</v>
      </c>
      <c r="Q189">
        <f t="shared" ref="Q189" si="921">F189*P189</f>
        <v>15529511.830016045</v>
      </c>
      <c r="R189">
        <f t="shared" ref="R189" si="922">R190+Q189</f>
        <v>-47550474.527876101</v>
      </c>
      <c r="S189">
        <f t="shared" ref="S189" si="923">R189/100000</f>
        <v>-475.50474527876099</v>
      </c>
      <c r="T189">
        <f t="shared" ref="T189" si="924">S189/1000</f>
        <v>-0.47550474527876097</v>
      </c>
    </row>
    <row r="190" spans="1:20" x14ac:dyDescent="0.25">
      <c r="A190" s="5">
        <v>44403</v>
      </c>
      <c r="B190">
        <v>1.9779</v>
      </c>
      <c r="C190">
        <v>2.2193999999999998</v>
      </c>
      <c r="D190">
        <v>1.8989</v>
      </c>
      <c r="E190">
        <v>1.9175</v>
      </c>
      <c r="F190">
        <v>37819965.100000001</v>
      </c>
      <c r="G190">
        <v>1.9175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-0.8839313572542904</v>
      </c>
      <c r="Q190">
        <f t="shared" ref="Q190" si="926">F190*P190</f>
        <v>-33430253.082152896</v>
      </c>
      <c r="R190">
        <f t="shared" ref="R190" si="927">R191+Q190</f>
        <v>-63079986.357892148</v>
      </c>
      <c r="S190">
        <f t="shared" ref="S190" si="928">R190/100000</f>
        <v>-630.79986357892153</v>
      </c>
      <c r="T190">
        <f t="shared" ref="T190" si="929">S190/1000</f>
        <v>-0.63079986357892148</v>
      </c>
    </row>
    <row r="191" spans="1:20" x14ac:dyDescent="0.25">
      <c r="A191" s="5">
        <v>44402</v>
      </c>
      <c r="B191">
        <v>1.9469000000000001</v>
      </c>
      <c r="C191">
        <v>2.0699999999999998</v>
      </c>
      <c r="D191">
        <v>1.8395999999999999</v>
      </c>
      <c r="E191">
        <v>1.9779</v>
      </c>
      <c r="F191">
        <v>29743092.899999999</v>
      </c>
      <c r="G191">
        <v>1.9779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0.20052083333333443</v>
      </c>
      <c r="Q191">
        <f t="shared" ref="Q191" si="931">F191*P191</f>
        <v>5964109.7742187819</v>
      </c>
      <c r="R191">
        <f t="shared" ref="R191" si="932">R192+Q191</f>
        <v>-29649733.275739253</v>
      </c>
      <c r="S191">
        <f t="shared" ref="S191" si="933">R191/100000</f>
        <v>-296.49733275739254</v>
      </c>
      <c r="T191">
        <f t="shared" ref="T191" si="934">S191/1000</f>
        <v>-0.29649733275739254</v>
      </c>
    </row>
    <row r="192" spans="1:20" x14ac:dyDescent="0.25">
      <c r="A192" s="5">
        <v>44401</v>
      </c>
      <c r="B192">
        <v>1.8342000000000001</v>
      </c>
      <c r="C192">
        <v>2.0737000000000001</v>
      </c>
      <c r="D192">
        <v>1.7829999999999999</v>
      </c>
      <c r="E192">
        <v>1.9463999999999999</v>
      </c>
      <c r="F192">
        <v>37907148.899999999</v>
      </c>
      <c r="G192">
        <v>1.9463999999999999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0.12418300653594694</v>
      </c>
      <c r="Q192">
        <f t="shared" ref="Q192" si="936">F192*P192</f>
        <v>4707423.7196078133</v>
      </c>
      <c r="R192">
        <f t="shared" ref="R192" si="937">R193+Q192</f>
        <v>-35613843.049958035</v>
      </c>
      <c r="S192">
        <f t="shared" ref="S192" si="938">R192/100000</f>
        <v>-356.13843049958035</v>
      </c>
      <c r="T192">
        <f t="shared" ref="T192:T197" si="939">S192/1000</f>
        <v>-0.35613843049958033</v>
      </c>
    </row>
    <row r="193" spans="1:20" x14ac:dyDescent="0.25">
      <c r="A193" s="5">
        <v>44400</v>
      </c>
      <c r="B193">
        <v>1.7233000000000001</v>
      </c>
      <c r="C193">
        <v>1.855</v>
      </c>
      <c r="D193">
        <v>1.6465000000000001</v>
      </c>
      <c r="E193">
        <v>1.8341000000000001</v>
      </c>
      <c r="F193">
        <v>18066399.300000001</v>
      </c>
      <c r="G193">
        <v>1.8341000000000001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0.79952038369304623</v>
      </c>
      <c r="Q193">
        <f t="shared" ref="Q193" si="941">F193*P193</f>
        <v>14444454.500287782</v>
      </c>
      <c r="R193">
        <f t="shared" ref="R193" si="942">R194+Q193</f>
        <v>-40321266.76956585</v>
      </c>
      <c r="S193">
        <f t="shared" ref="S193" si="943">R193/100000</f>
        <v>-403.21266769565852</v>
      </c>
      <c r="T193">
        <f t="shared" si="939"/>
        <v>-0.4032126676956585</v>
      </c>
    </row>
    <row r="194" spans="1:20" x14ac:dyDescent="0.25">
      <c r="A194" s="5">
        <v>44399</v>
      </c>
      <c r="B194">
        <v>1.7028000000000001</v>
      </c>
      <c r="C194">
        <v>1.7794000000000001</v>
      </c>
      <c r="D194">
        <v>1.6337999999999999</v>
      </c>
      <c r="E194">
        <v>1.7233000000000001</v>
      </c>
      <c r="F194">
        <v>19495922.5</v>
      </c>
      <c r="G194">
        <v>1.7233000000000001</v>
      </c>
      <c r="L194" t="s">
        <v>8</v>
      </c>
      <c r="M194" t="s">
        <v>8</v>
      </c>
      <c r="N194" t="s">
        <v>7</v>
      </c>
      <c r="P194">
        <f t="shared" ref="P194" si="944">IF(C194=D194,0,((E194-D194)-(C194-E194))/(C194-D194))</f>
        <v>0.22939560439560477</v>
      </c>
      <c r="Q194">
        <f t="shared" ref="Q194" si="945">F194*P194</f>
        <v>4472278.9251373699</v>
      </c>
      <c r="R194">
        <f t="shared" ref="R194" si="946">R195+Q194</f>
        <v>-54765721.269853629</v>
      </c>
      <c r="S194">
        <f t="shared" ref="S194" si="947">R194/100000</f>
        <v>-547.65721269853634</v>
      </c>
      <c r="T194">
        <f t="shared" si="939"/>
        <v>-0.54765721269853629</v>
      </c>
    </row>
    <row r="195" spans="1:20" x14ac:dyDescent="0.25">
      <c r="A195" s="5">
        <v>44398</v>
      </c>
      <c r="B195">
        <v>1.5745</v>
      </c>
      <c r="C195">
        <v>1.7533000000000001</v>
      </c>
      <c r="D195">
        <v>1.534</v>
      </c>
      <c r="E195">
        <v>1.702</v>
      </c>
      <c r="F195">
        <v>16205697.800000001</v>
      </c>
      <c r="G195">
        <v>1.702</v>
      </c>
      <c r="L195" t="s">
        <v>8</v>
      </c>
      <c r="M195" t="s">
        <v>8</v>
      </c>
      <c r="N195" t="s">
        <v>7</v>
      </c>
      <c r="P195">
        <f t="shared" ref="P195" si="948">IF(C195=D195,0,((E195-D195)-(C195-E195))/(C195-D195))</f>
        <v>0.53214774281805644</v>
      </c>
      <c r="Q195">
        <f t="shared" ref="Q195" si="949">F195*P195</f>
        <v>8623825.5050615426</v>
      </c>
      <c r="R195">
        <f t="shared" ref="R195" si="950">R196+Q195</f>
        <v>-59238000.194991</v>
      </c>
      <c r="S195">
        <f t="shared" ref="S195" si="951">R195/100000</f>
        <v>-592.38000194991002</v>
      </c>
      <c r="T195">
        <f t="shared" si="939"/>
        <v>-0.59238000194991003</v>
      </c>
    </row>
    <row r="196" spans="1:20" x14ac:dyDescent="0.25">
      <c r="A196" s="5">
        <v>44397</v>
      </c>
      <c r="B196">
        <v>1.6775</v>
      </c>
      <c r="C196">
        <v>1.7</v>
      </c>
      <c r="D196">
        <v>1.4430000000000001</v>
      </c>
      <c r="E196">
        <v>1.5733999999999999</v>
      </c>
      <c r="F196">
        <v>18350422.600000001</v>
      </c>
      <c r="G196">
        <v>1.5733999999999999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1.4785992217898074E-2</v>
      </c>
      <c r="Q196">
        <f t="shared" ref="Q196" si="953">F196*P196</f>
        <v>271329.20575874095</v>
      </c>
      <c r="R196">
        <f t="shared" ref="R196" si="954">R197+Q196</f>
        <v>-67861825.700052544</v>
      </c>
      <c r="S196">
        <f t="shared" ref="S196" si="955">R196/100000</f>
        <v>-678.61825700052543</v>
      </c>
      <c r="T196">
        <f t="shared" si="939"/>
        <v>-0.67861825700052547</v>
      </c>
    </row>
    <row r="197" spans="1:20" x14ac:dyDescent="0.25">
      <c r="A197" s="5">
        <v>44396</v>
      </c>
      <c r="B197">
        <v>1.8585</v>
      </c>
      <c r="C197">
        <v>1.87</v>
      </c>
      <c r="D197">
        <v>1.6301000000000001</v>
      </c>
      <c r="E197">
        <v>1.6761999999999999</v>
      </c>
      <c r="F197">
        <v>13396774.6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-0.61567319716548718</v>
      </c>
      <c r="Q197">
        <f t="shared" ref="Q197" si="957">F197*P197</f>
        <v>-8248035.0496873902</v>
      </c>
      <c r="R197">
        <f t="shared" ref="R197" si="958">R198+Q197</f>
        <v>-68133154.90581128</v>
      </c>
      <c r="S197">
        <f t="shared" ref="S197" si="959">R197/100000</f>
        <v>-681.33154905811284</v>
      </c>
      <c r="T197">
        <f t="shared" si="939"/>
        <v>-0.68133154905811288</v>
      </c>
    </row>
    <row r="198" spans="1:20" x14ac:dyDescent="0.25">
      <c r="A198" s="5">
        <v>44395</v>
      </c>
      <c r="B198">
        <v>1.8769</v>
      </c>
      <c r="C198">
        <v>1.9778</v>
      </c>
      <c r="D198">
        <v>1.8166</v>
      </c>
      <c r="E198">
        <v>1.8592</v>
      </c>
      <c r="F198">
        <v>14185953.699999999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60">IF(C198=D198,0,((E198-D198)-(C198-E198))/(C198-D198))</f>
        <v>-0.47146401985111702</v>
      </c>
      <c r="Q198">
        <f t="shared" ref="Q198:Q261" si="961">F198*P198</f>
        <v>-6688166.7568238266</v>
      </c>
      <c r="R198">
        <f t="shared" ref="R198:R261" si="962">R199+Q198</f>
        <v>-59885119.856123894</v>
      </c>
      <c r="S198">
        <f t="shared" ref="S198:S261" si="963">R198/100000</f>
        <v>-598.8511985612389</v>
      </c>
      <c r="T198">
        <f t="shared" ref="T198:T261" si="964">S198/1000</f>
        <v>-0.59885119856123892</v>
      </c>
    </row>
    <row r="199" spans="1:20" x14ac:dyDescent="0.25">
      <c r="A199" s="5">
        <v>44394</v>
      </c>
      <c r="B199">
        <v>1.9411</v>
      </c>
      <c r="C199">
        <v>1.9696</v>
      </c>
      <c r="D199">
        <v>1.8134999999999999</v>
      </c>
      <c r="E199">
        <v>1.8765000000000001</v>
      </c>
      <c r="F199">
        <v>19750096.5</v>
      </c>
      <c r="G199">
        <v>0</v>
      </c>
      <c r="L199" t="s">
        <v>7</v>
      </c>
      <c r="M199" t="s">
        <v>7</v>
      </c>
      <c r="N199" t="s">
        <v>8</v>
      </c>
      <c r="P199">
        <f t="shared" si="960"/>
        <v>-0.19282511210762185</v>
      </c>
      <c r="Q199">
        <f t="shared" si="961"/>
        <v>-3808314.5717488499</v>
      </c>
      <c r="R199">
        <f t="shared" si="962"/>
        <v>-53196953.099300064</v>
      </c>
      <c r="S199">
        <f t="shared" si="963"/>
        <v>-531.9695309930006</v>
      </c>
      <c r="T199">
        <f t="shared" si="964"/>
        <v>-0.53196953099300059</v>
      </c>
    </row>
    <row r="200" spans="1:20" x14ac:dyDescent="0.25">
      <c r="A200" s="5">
        <v>44393</v>
      </c>
      <c r="B200">
        <v>2.2440000000000002</v>
      </c>
      <c r="C200">
        <v>2.3904000000000001</v>
      </c>
      <c r="D200">
        <v>1.9300999999999999</v>
      </c>
      <c r="E200">
        <v>1.9406000000000001</v>
      </c>
      <c r="F200">
        <v>53030146.200000003</v>
      </c>
      <c r="G200">
        <v>0</v>
      </c>
      <c r="L200" t="s">
        <v>8</v>
      </c>
      <c r="M200" t="s">
        <v>7</v>
      </c>
      <c r="N200" t="s">
        <v>8</v>
      </c>
      <c r="P200">
        <f t="shared" si="960"/>
        <v>-0.95437757983923455</v>
      </c>
      <c r="Q200">
        <f t="shared" si="961"/>
        <v>-50610782.588876784</v>
      </c>
      <c r="R200">
        <f t="shared" si="962"/>
        <v>-49388638.527551211</v>
      </c>
      <c r="S200">
        <f t="shared" si="963"/>
        <v>-493.88638527551211</v>
      </c>
      <c r="T200">
        <f t="shared" si="964"/>
        <v>-0.4938863852755121</v>
      </c>
    </row>
    <row r="201" spans="1:20" x14ac:dyDescent="0.25">
      <c r="A201" s="5">
        <v>44392</v>
      </c>
      <c r="B201">
        <v>1.8946000000000001</v>
      </c>
      <c r="C201">
        <v>2.3898999999999999</v>
      </c>
      <c r="D201">
        <v>1.89</v>
      </c>
      <c r="E201">
        <v>2.2471999999999999</v>
      </c>
      <c r="F201">
        <v>84085130.900000006</v>
      </c>
      <c r="G201">
        <v>0</v>
      </c>
      <c r="L201" t="s">
        <v>8</v>
      </c>
      <c r="M201" t="s">
        <v>8</v>
      </c>
      <c r="N201" t="s">
        <v>8</v>
      </c>
      <c r="P201">
        <f t="shared" si="960"/>
        <v>0.42908581716343253</v>
      </c>
      <c r="Q201">
        <f t="shared" si="961"/>
        <v>36079737.103520691</v>
      </c>
      <c r="R201">
        <f t="shared" si="962"/>
        <v>1222144.0613255724</v>
      </c>
      <c r="S201">
        <f t="shared" si="963"/>
        <v>12.221440613255725</v>
      </c>
      <c r="T201">
        <f t="shared" si="964"/>
        <v>1.2221440613255724E-2</v>
      </c>
    </row>
    <row r="202" spans="1:20" x14ac:dyDescent="0.25">
      <c r="A202" s="5">
        <v>44391</v>
      </c>
      <c r="B202">
        <v>1.9098999999999999</v>
      </c>
      <c r="C202">
        <v>1.9500999999999999</v>
      </c>
      <c r="D202">
        <v>1.7507999999999999</v>
      </c>
      <c r="E202">
        <v>1.8957999999999999</v>
      </c>
      <c r="F202">
        <v>15773634.4</v>
      </c>
      <c r="G202">
        <v>0</v>
      </c>
      <c r="L202" t="s">
        <v>7</v>
      </c>
      <c r="M202" t="s">
        <v>7</v>
      </c>
      <c r="N202" t="s">
        <v>7</v>
      </c>
      <c r="P202">
        <f t="shared" si="960"/>
        <v>0.45509282488710479</v>
      </c>
      <c r="Q202">
        <f t="shared" si="961"/>
        <v>7178467.8378324127</v>
      </c>
      <c r="R202">
        <f t="shared" si="962"/>
        <v>-34857593.042195119</v>
      </c>
      <c r="S202">
        <f t="shared" si="963"/>
        <v>-348.57593042195117</v>
      </c>
      <c r="T202">
        <f t="shared" si="964"/>
        <v>-0.34857593042195117</v>
      </c>
    </row>
    <row r="203" spans="1:20" x14ac:dyDescent="0.25">
      <c r="A203" s="5">
        <v>44390</v>
      </c>
      <c r="B203">
        <v>1.9741</v>
      </c>
      <c r="C203">
        <v>2.0179</v>
      </c>
      <c r="D203">
        <v>1.8614999999999999</v>
      </c>
      <c r="E203">
        <v>1.9096</v>
      </c>
      <c r="F203">
        <v>10628677.300000001</v>
      </c>
      <c r="G203">
        <v>0</v>
      </c>
      <c r="L203" t="s">
        <v>7</v>
      </c>
      <c r="M203" t="s">
        <v>7</v>
      </c>
      <c r="N203" t="s">
        <v>8</v>
      </c>
      <c r="P203">
        <f t="shared" si="960"/>
        <v>-0.3849104859335038</v>
      </c>
      <c r="Q203">
        <f t="shared" si="961"/>
        <v>-4091089.3443734013</v>
      </c>
      <c r="R203">
        <f t="shared" si="962"/>
        <v>-42036060.880027533</v>
      </c>
      <c r="S203">
        <f t="shared" si="963"/>
        <v>-420.36060880027532</v>
      </c>
      <c r="T203">
        <f t="shared" si="964"/>
        <v>-0.42036060880027531</v>
      </c>
    </row>
    <row r="204" spans="1:20" x14ac:dyDescent="0.25">
      <c r="A204" s="5">
        <v>44389</v>
      </c>
      <c r="B204">
        <v>2.0139999999999998</v>
      </c>
      <c r="C204">
        <v>2.1699000000000002</v>
      </c>
      <c r="D204">
        <v>1.9120999999999999</v>
      </c>
      <c r="E204">
        <v>1.9726999999999999</v>
      </c>
      <c r="F204">
        <v>18265590.699999999</v>
      </c>
      <c r="G204">
        <v>0</v>
      </c>
      <c r="L204" t="s">
        <v>8</v>
      </c>
      <c r="M204" t="s">
        <v>8</v>
      </c>
      <c r="N204" t="s">
        <v>8</v>
      </c>
      <c r="P204">
        <f t="shared" si="960"/>
        <v>-0.5298681148176887</v>
      </c>
      <c r="Q204">
        <f t="shared" si="961"/>
        <v>-9678354.110240506</v>
      </c>
      <c r="R204">
        <f t="shared" si="962"/>
        <v>-37944971.535654135</v>
      </c>
      <c r="S204">
        <f t="shared" si="963"/>
        <v>-379.44971535654133</v>
      </c>
      <c r="T204">
        <f t="shared" si="964"/>
        <v>-0.37944971535654132</v>
      </c>
    </row>
    <row r="205" spans="1:20" x14ac:dyDescent="0.25">
      <c r="A205" s="5">
        <v>44388</v>
      </c>
      <c r="B205">
        <v>1.9945999999999999</v>
      </c>
      <c r="C205">
        <v>2.0796000000000001</v>
      </c>
      <c r="D205">
        <v>1.91</v>
      </c>
      <c r="E205">
        <v>2.0135999999999998</v>
      </c>
      <c r="F205">
        <v>13003183.9</v>
      </c>
      <c r="G205">
        <v>0</v>
      </c>
      <c r="L205" t="s">
        <v>7</v>
      </c>
      <c r="M205" t="s">
        <v>8</v>
      </c>
      <c r="N205" t="s">
        <v>8</v>
      </c>
      <c r="P205">
        <f t="shared" si="960"/>
        <v>0.22169811320754476</v>
      </c>
      <c r="Q205">
        <f t="shared" si="961"/>
        <v>2882781.3363207234</v>
      </c>
      <c r="R205">
        <f t="shared" si="962"/>
        <v>-28266617.425413627</v>
      </c>
      <c r="S205">
        <f t="shared" si="963"/>
        <v>-282.66617425413625</v>
      </c>
      <c r="T205">
        <f t="shared" si="964"/>
        <v>-0.28266617425413626</v>
      </c>
    </row>
    <row r="206" spans="1:20" x14ac:dyDescent="0.25">
      <c r="A206" s="5">
        <v>44387</v>
      </c>
      <c r="B206">
        <v>2.0781000000000001</v>
      </c>
      <c r="C206">
        <v>2.1978</v>
      </c>
      <c r="D206">
        <v>1.9352</v>
      </c>
      <c r="E206">
        <v>1.9934000000000001</v>
      </c>
      <c r="F206">
        <v>24052106.100000001</v>
      </c>
      <c r="G206">
        <v>0</v>
      </c>
      <c r="L206" t="s">
        <v>8</v>
      </c>
      <c r="M206" t="s">
        <v>8</v>
      </c>
      <c r="N206" t="s">
        <v>8</v>
      </c>
      <c r="P206">
        <f t="shared" si="960"/>
        <v>-0.55674028941355647</v>
      </c>
      <c r="Q206">
        <f t="shared" si="961"/>
        <v>-13390776.511119567</v>
      </c>
      <c r="R206">
        <f t="shared" si="962"/>
        <v>-31149398.761734352</v>
      </c>
      <c r="S206">
        <f t="shared" si="963"/>
        <v>-311.49398761734352</v>
      </c>
      <c r="T206">
        <f t="shared" si="964"/>
        <v>-0.31149398761734354</v>
      </c>
    </row>
    <row r="207" spans="1:20" x14ac:dyDescent="0.25">
      <c r="A207" s="5">
        <v>44386</v>
      </c>
      <c r="B207">
        <v>1.9965999999999999</v>
      </c>
      <c r="C207">
        <v>2.1452</v>
      </c>
      <c r="D207">
        <v>1.8577999999999999</v>
      </c>
      <c r="E207">
        <v>2.0798999999999999</v>
      </c>
      <c r="F207">
        <v>25063302.699999999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0.54558107167710435</v>
      </c>
      <c r="Q207">
        <f t="shared" si="961"/>
        <v>13674063.546833662</v>
      </c>
      <c r="R207">
        <f t="shared" si="962"/>
        <v>-17758622.250614785</v>
      </c>
      <c r="S207">
        <f t="shared" si="963"/>
        <v>-177.58622250614783</v>
      </c>
      <c r="T207">
        <f t="shared" si="964"/>
        <v>-0.17758622250614783</v>
      </c>
    </row>
    <row r="208" spans="1:20" x14ac:dyDescent="0.25">
      <c r="A208" s="5">
        <v>44385</v>
      </c>
      <c r="B208">
        <v>2.1968000000000001</v>
      </c>
      <c r="C208">
        <v>2.4049</v>
      </c>
      <c r="D208">
        <v>1.9671000000000001</v>
      </c>
      <c r="E208">
        <v>1.9958</v>
      </c>
      <c r="F208">
        <v>54621795.5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-0.8688899040657837</v>
      </c>
      <c r="Q208">
        <f t="shared" si="961"/>
        <v>-47460326.651895858</v>
      </c>
      <c r="R208">
        <f t="shared" si="962"/>
        <v>-31432685.797448449</v>
      </c>
      <c r="S208">
        <f t="shared" si="963"/>
        <v>-314.32685797448448</v>
      </c>
      <c r="T208">
        <f t="shared" si="964"/>
        <v>-0.31432685797448451</v>
      </c>
    </row>
    <row r="209" spans="1:20" x14ac:dyDescent="0.25">
      <c r="A209" s="5">
        <v>44384</v>
      </c>
      <c r="B209">
        <v>2.0135000000000001</v>
      </c>
      <c r="C209">
        <v>2.4485000000000001</v>
      </c>
      <c r="D209">
        <v>1.96</v>
      </c>
      <c r="E209">
        <v>2.1945000000000001</v>
      </c>
      <c r="F209">
        <v>53284783.5</v>
      </c>
      <c r="G209">
        <v>0</v>
      </c>
      <c r="L209" t="s">
        <v>8</v>
      </c>
      <c r="M209" t="s">
        <v>8</v>
      </c>
      <c r="N209" t="s">
        <v>8</v>
      </c>
      <c r="P209">
        <f t="shared" si="960"/>
        <v>-3.9918116683725371E-2</v>
      </c>
      <c r="Q209">
        <f t="shared" si="961"/>
        <v>-2127028.2052200446</v>
      </c>
      <c r="R209">
        <f t="shared" si="962"/>
        <v>16027640.85444741</v>
      </c>
      <c r="S209">
        <f t="shared" si="963"/>
        <v>160.27640854447409</v>
      </c>
      <c r="T209">
        <f t="shared" si="964"/>
        <v>0.16027640854447409</v>
      </c>
    </row>
    <row r="210" spans="1:20" x14ac:dyDescent="0.25">
      <c r="A210" s="5">
        <v>44383</v>
      </c>
      <c r="B210">
        <v>1.8496999999999999</v>
      </c>
      <c r="C210">
        <v>2.0680000000000001</v>
      </c>
      <c r="D210">
        <v>1.843</v>
      </c>
      <c r="E210">
        <v>2.0146999999999999</v>
      </c>
      <c r="F210">
        <v>27839190.300000001</v>
      </c>
      <c r="G210">
        <v>0</v>
      </c>
      <c r="L210" t="s">
        <v>8</v>
      </c>
      <c r="M210" t="s">
        <v>8</v>
      </c>
      <c r="N210" t="s">
        <v>7</v>
      </c>
      <c r="P210">
        <f t="shared" si="960"/>
        <v>0.52622222222222126</v>
      </c>
      <c r="Q210">
        <f t="shared" si="961"/>
        <v>14649600.584533308</v>
      </c>
      <c r="R210">
        <f t="shared" si="962"/>
        <v>18154669.059667453</v>
      </c>
      <c r="S210">
        <f t="shared" si="963"/>
        <v>181.54669059667452</v>
      </c>
      <c r="T210">
        <f t="shared" si="964"/>
        <v>0.18154669059667453</v>
      </c>
    </row>
    <row r="211" spans="1:20" x14ac:dyDescent="0.25">
      <c r="A211" s="5">
        <v>44382</v>
      </c>
      <c r="B211">
        <v>2.0167999999999999</v>
      </c>
      <c r="C211">
        <v>2.0167999999999999</v>
      </c>
      <c r="D211">
        <v>1.8031999999999999</v>
      </c>
      <c r="E211">
        <v>1.8484</v>
      </c>
      <c r="F211">
        <v>20162029.699999999</v>
      </c>
      <c r="G211">
        <v>0</v>
      </c>
      <c r="L211" t="s">
        <v>7</v>
      </c>
      <c r="M211" t="s">
        <v>8</v>
      </c>
      <c r="N211" t="s">
        <v>7</v>
      </c>
      <c r="P211">
        <f t="shared" si="960"/>
        <v>-0.57677902621722732</v>
      </c>
      <c r="Q211">
        <f t="shared" si="961"/>
        <v>-11629035.856928816</v>
      </c>
      <c r="R211">
        <f t="shared" si="962"/>
        <v>3505068.4751341473</v>
      </c>
      <c r="S211">
        <f t="shared" si="963"/>
        <v>35.050684751341471</v>
      </c>
      <c r="T211">
        <f t="shared" si="964"/>
        <v>3.5050684751341474E-2</v>
      </c>
    </row>
    <row r="212" spans="1:20" x14ac:dyDescent="0.25">
      <c r="A212" s="5">
        <v>44381</v>
      </c>
      <c r="B212">
        <v>1.8205</v>
      </c>
      <c r="C212">
        <v>2.1800000000000002</v>
      </c>
      <c r="D212">
        <v>1.7946</v>
      </c>
      <c r="E212">
        <v>2.0143</v>
      </c>
      <c r="F212">
        <v>24895457.699999999</v>
      </c>
      <c r="G212">
        <v>0</v>
      </c>
      <c r="L212" t="s">
        <v>8</v>
      </c>
      <c r="M212" t="s">
        <v>8</v>
      </c>
      <c r="N212" t="s">
        <v>7</v>
      </c>
      <c r="P212">
        <f t="shared" si="960"/>
        <v>0.14011416709911728</v>
      </c>
      <c r="Q212">
        <f t="shared" si="961"/>
        <v>3488206.3201868059</v>
      </c>
      <c r="R212">
        <f t="shared" si="962"/>
        <v>15134104.332062963</v>
      </c>
      <c r="S212">
        <f t="shared" si="963"/>
        <v>151.34104332062964</v>
      </c>
      <c r="T212">
        <f t="shared" si="964"/>
        <v>0.15134104332062964</v>
      </c>
    </row>
    <row r="213" spans="1:20" x14ac:dyDescent="0.25">
      <c r="A213" s="5">
        <v>44380</v>
      </c>
      <c r="B213">
        <v>1.7565</v>
      </c>
      <c r="C213">
        <v>1.887</v>
      </c>
      <c r="D213">
        <v>1.7270000000000001</v>
      </c>
      <c r="E213">
        <v>1.8224</v>
      </c>
      <c r="F213">
        <v>11862157.1</v>
      </c>
      <c r="G213">
        <v>0</v>
      </c>
      <c r="L213" t="s">
        <v>8</v>
      </c>
      <c r="M213" t="s">
        <v>7</v>
      </c>
      <c r="N213" t="s">
        <v>7</v>
      </c>
      <c r="P213">
        <f t="shared" si="960"/>
        <v>0.1924999999999997</v>
      </c>
      <c r="Q213">
        <f t="shared" si="961"/>
        <v>2283465.2417499963</v>
      </c>
      <c r="R213">
        <f t="shared" si="962"/>
        <v>11645898.011876157</v>
      </c>
      <c r="S213">
        <f t="shared" si="963"/>
        <v>116.45898011876156</v>
      </c>
      <c r="T213">
        <f t="shared" si="964"/>
        <v>0.11645898011876156</v>
      </c>
    </row>
    <row r="214" spans="1:20" x14ac:dyDescent="0.25">
      <c r="A214" s="5">
        <v>44379</v>
      </c>
      <c r="B214">
        <v>1.8011999999999999</v>
      </c>
      <c r="C214">
        <v>1.8274999999999999</v>
      </c>
      <c r="D214">
        <v>1.6672</v>
      </c>
      <c r="E214">
        <v>1.7566999999999999</v>
      </c>
      <c r="F214">
        <v>10241134.699999999</v>
      </c>
      <c r="G214">
        <v>0</v>
      </c>
      <c r="L214" t="s">
        <v>7</v>
      </c>
      <c r="M214" t="s">
        <v>7</v>
      </c>
      <c r="N214" t="s">
        <v>7</v>
      </c>
      <c r="P214">
        <f t="shared" si="960"/>
        <v>0.11665626949469714</v>
      </c>
      <c r="Q214">
        <f t="shared" si="961"/>
        <v>1194692.5694946942</v>
      </c>
      <c r="R214">
        <f t="shared" si="962"/>
        <v>9362432.7701261602</v>
      </c>
      <c r="S214">
        <f t="shared" si="963"/>
        <v>93.624327701261606</v>
      </c>
      <c r="T214">
        <f t="shared" si="964"/>
        <v>9.3624327701261612E-2</v>
      </c>
    </row>
    <row r="215" spans="1:20" x14ac:dyDescent="0.25">
      <c r="A215" s="5">
        <v>44378</v>
      </c>
      <c r="B215">
        <v>1.9373</v>
      </c>
      <c r="C215">
        <v>1.95</v>
      </c>
      <c r="D215">
        <v>1.7576000000000001</v>
      </c>
      <c r="E215">
        <v>1.8026</v>
      </c>
      <c r="F215">
        <v>12800964.9</v>
      </c>
      <c r="G215">
        <v>0</v>
      </c>
      <c r="L215" t="s">
        <v>7</v>
      </c>
      <c r="M215" t="s">
        <v>7</v>
      </c>
      <c r="N215" t="s">
        <v>7</v>
      </c>
      <c r="P215">
        <f t="shared" si="960"/>
        <v>-0.5322245322245327</v>
      </c>
      <c r="Q215">
        <f t="shared" si="961"/>
        <v>-6812987.5559251625</v>
      </c>
      <c r="R215">
        <f t="shared" si="962"/>
        <v>8167740.2006314658</v>
      </c>
      <c r="S215">
        <f t="shared" si="963"/>
        <v>81.677402006314651</v>
      </c>
      <c r="T215">
        <f t="shared" si="964"/>
        <v>8.1677402006314653E-2</v>
      </c>
    </row>
    <row r="216" spans="1:20" x14ac:dyDescent="0.25">
      <c r="A216" s="5">
        <v>44377</v>
      </c>
      <c r="B216">
        <v>2.0265</v>
      </c>
      <c r="C216">
        <v>2.0535999999999999</v>
      </c>
      <c r="D216">
        <v>1.8168</v>
      </c>
      <c r="E216">
        <v>1.9390000000000001</v>
      </c>
      <c r="F216">
        <v>18578128.199999999</v>
      </c>
      <c r="G216">
        <v>0</v>
      </c>
      <c r="L216" t="s">
        <v>7</v>
      </c>
      <c r="M216" t="s">
        <v>7</v>
      </c>
      <c r="N216" t="s">
        <v>7</v>
      </c>
      <c r="P216">
        <f t="shared" si="960"/>
        <v>3.2094594594595759E-2</v>
      </c>
      <c r="Q216">
        <f t="shared" si="961"/>
        <v>596257.492905427</v>
      </c>
      <c r="R216">
        <f t="shared" si="962"/>
        <v>14980727.756556628</v>
      </c>
      <c r="S216">
        <f t="shared" si="963"/>
        <v>149.8072775655663</v>
      </c>
      <c r="T216">
        <f t="shared" si="964"/>
        <v>0.1498072775655663</v>
      </c>
    </row>
    <row r="217" spans="1:20" x14ac:dyDescent="0.25">
      <c r="A217" s="5">
        <v>44376</v>
      </c>
      <c r="B217">
        <v>1.8579000000000001</v>
      </c>
      <c r="C217">
        <v>2.1949999999999998</v>
      </c>
      <c r="D217">
        <v>1.831</v>
      </c>
      <c r="E217">
        <v>2.0255000000000001</v>
      </c>
      <c r="F217">
        <v>27720815</v>
      </c>
      <c r="G217">
        <v>0</v>
      </c>
      <c r="L217" t="s">
        <v>8</v>
      </c>
      <c r="M217" t="s">
        <v>8</v>
      </c>
      <c r="N217" t="s">
        <v>7</v>
      </c>
      <c r="P217">
        <f t="shared" si="960"/>
        <v>6.8681318681319686E-2</v>
      </c>
      <c r="Q217">
        <f t="shared" si="961"/>
        <v>1903902.129120907</v>
      </c>
      <c r="R217">
        <f t="shared" si="962"/>
        <v>14384470.263651202</v>
      </c>
      <c r="S217">
        <f t="shared" si="963"/>
        <v>143.84470263651201</v>
      </c>
      <c r="T217">
        <f t="shared" si="964"/>
        <v>0.143844702636512</v>
      </c>
    </row>
    <row r="218" spans="1:20" x14ac:dyDescent="0.25">
      <c r="A218" s="5">
        <v>44375</v>
      </c>
      <c r="B218">
        <v>1.9395</v>
      </c>
      <c r="C218">
        <v>1.9617</v>
      </c>
      <c r="D218">
        <v>1.7825</v>
      </c>
      <c r="E218">
        <v>1.8582000000000001</v>
      </c>
      <c r="F218">
        <v>19696919.699999999</v>
      </c>
      <c r="G218">
        <v>0</v>
      </c>
      <c r="L218" t="s">
        <v>8</v>
      </c>
      <c r="M218" t="s">
        <v>7</v>
      </c>
      <c r="N218" t="s">
        <v>7</v>
      </c>
      <c r="P218">
        <f t="shared" si="960"/>
        <v>-0.15513392857142758</v>
      </c>
      <c r="Q218">
        <f t="shared" si="961"/>
        <v>-3055660.5338169443</v>
      </c>
      <c r="R218">
        <f t="shared" si="962"/>
        <v>12480568.134530295</v>
      </c>
      <c r="S218">
        <f t="shared" si="963"/>
        <v>124.80568134530294</v>
      </c>
      <c r="T218">
        <f t="shared" si="964"/>
        <v>0.12480568134530294</v>
      </c>
    </row>
    <row r="219" spans="1:20" x14ac:dyDescent="0.25">
      <c r="A219" s="5">
        <v>44374</v>
      </c>
      <c r="B219">
        <v>1.8523000000000001</v>
      </c>
      <c r="C219">
        <v>1.9598</v>
      </c>
      <c r="D219">
        <v>1.7302999999999999</v>
      </c>
      <c r="E219">
        <v>1.9372</v>
      </c>
      <c r="F219">
        <v>21620442.100000001</v>
      </c>
      <c r="G219">
        <v>0</v>
      </c>
      <c r="L219" t="s">
        <v>8</v>
      </c>
      <c r="M219" t="s">
        <v>7</v>
      </c>
      <c r="N219" t="s">
        <v>7</v>
      </c>
      <c r="P219">
        <f t="shared" si="960"/>
        <v>0.80305010893246231</v>
      </c>
      <c r="Q219">
        <f t="shared" si="961"/>
        <v>17362298.383572996</v>
      </c>
      <c r="R219">
        <f t="shared" si="962"/>
        <v>15536228.668347239</v>
      </c>
      <c r="S219">
        <f t="shared" si="963"/>
        <v>155.36228668347241</v>
      </c>
      <c r="T219">
        <f t="shared" si="964"/>
        <v>0.15536228668347241</v>
      </c>
    </row>
    <row r="220" spans="1:20" x14ac:dyDescent="0.25">
      <c r="A220" s="5">
        <v>44373</v>
      </c>
      <c r="B220">
        <v>1.9131</v>
      </c>
      <c r="C220">
        <v>1.9589000000000001</v>
      </c>
      <c r="D220">
        <v>1.7148000000000001</v>
      </c>
      <c r="E220">
        <v>1.8504</v>
      </c>
      <c r="F220">
        <v>22773703.100000001</v>
      </c>
      <c r="G220">
        <v>0</v>
      </c>
      <c r="L220" t="s">
        <v>7</v>
      </c>
      <c r="M220" t="s">
        <v>7</v>
      </c>
      <c r="N220" t="s">
        <v>7</v>
      </c>
      <c r="P220">
        <f t="shared" si="960"/>
        <v>0.11102007374026998</v>
      </c>
      <c r="Q220">
        <f t="shared" si="961"/>
        <v>2528338.1975010154</v>
      </c>
      <c r="R220">
        <f t="shared" si="962"/>
        <v>-1826069.7152257557</v>
      </c>
      <c r="S220">
        <f t="shared" si="963"/>
        <v>-18.260697152257556</v>
      </c>
      <c r="T220">
        <f t="shared" si="964"/>
        <v>-1.8260697152257557E-2</v>
      </c>
    </row>
    <row r="221" spans="1:20" x14ac:dyDescent="0.25">
      <c r="A221" s="5">
        <v>44372</v>
      </c>
      <c r="B221">
        <v>2.2404999999999999</v>
      </c>
      <c r="C221">
        <v>2.3384999999999998</v>
      </c>
      <c r="D221">
        <v>1.8089999999999999</v>
      </c>
      <c r="E221">
        <v>1.9158999999999999</v>
      </c>
      <c r="F221">
        <v>30959095.300000001</v>
      </c>
      <c r="G221">
        <v>0</v>
      </c>
      <c r="L221" t="s">
        <v>7</v>
      </c>
      <c r="M221" t="s">
        <v>7</v>
      </c>
      <c r="N221" t="s">
        <v>7</v>
      </c>
      <c r="P221">
        <f t="shared" si="960"/>
        <v>-0.59622285174693102</v>
      </c>
      <c r="Q221">
        <f t="shared" si="961"/>
        <v>-18458520.087271009</v>
      </c>
      <c r="R221">
        <f t="shared" si="962"/>
        <v>-4354407.9127267711</v>
      </c>
      <c r="S221">
        <f t="shared" si="963"/>
        <v>-43.544079127267707</v>
      </c>
      <c r="T221">
        <f t="shared" si="964"/>
        <v>-4.354407912726771E-2</v>
      </c>
    </row>
    <row r="222" spans="1:20" x14ac:dyDescent="0.25">
      <c r="A222" s="5">
        <v>44371</v>
      </c>
      <c r="B222">
        <v>2.5203000000000002</v>
      </c>
      <c r="C222">
        <v>2.69</v>
      </c>
      <c r="D222">
        <v>2.1665000000000001</v>
      </c>
      <c r="E222">
        <v>2.2403</v>
      </c>
      <c r="F222">
        <v>40012370.299999997</v>
      </c>
      <c r="G222">
        <v>0</v>
      </c>
      <c r="L222" t="s">
        <v>8</v>
      </c>
      <c r="M222" t="s">
        <v>8</v>
      </c>
      <c r="N222" t="s">
        <v>8</v>
      </c>
      <c r="P222">
        <f t="shared" si="960"/>
        <v>-0.71805157593123248</v>
      </c>
      <c r="Q222">
        <f t="shared" si="961"/>
        <v>-28730945.550659038</v>
      </c>
      <c r="R222">
        <f t="shared" si="962"/>
        <v>14104112.174544238</v>
      </c>
      <c r="S222">
        <f t="shared" si="963"/>
        <v>141.04112174544238</v>
      </c>
      <c r="T222">
        <f t="shared" si="964"/>
        <v>0.14104112174544239</v>
      </c>
    </row>
    <row r="223" spans="1:20" x14ac:dyDescent="0.25">
      <c r="A223" s="5">
        <v>44370</v>
      </c>
      <c r="B223">
        <v>1.8355999999999999</v>
      </c>
      <c r="C223">
        <v>2.5550000000000002</v>
      </c>
      <c r="D223">
        <v>1.7527999999999999</v>
      </c>
      <c r="E223">
        <v>2.5194999999999999</v>
      </c>
      <c r="F223">
        <v>44602671.899999999</v>
      </c>
      <c r="G223">
        <v>0</v>
      </c>
      <c r="L223" t="s">
        <v>8</v>
      </c>
      <c r="M223" t="s">
        <v>8</v>
      </c>
      <c r="N223" t="s">
        <v>8</v>
      </c>
      <c r="P223">
        <f t="shared" si="960"/>
        <v>0.91149339316878508</v>
      </c>
      <c r="Q223">
        <f t="shared" si="961"/>
        <v>40655040.754525021</v>
      </c>
      <c r="R223">
        <f t="shared" si="962"/>
        <v>42835057.725203276</v>
      </c>
      <c r="S223">
        <f t="shared" si="963"/>
        <v>428.35057725203274</v>
      </c>
      <c r="T223">
        <f t="shared" si="964"/>
        <v>0.42835057725203274</v>
      </c>
    </row>
    <row r="224" spans="1:20" x14ac:dyDescent="0.25">
      <c r="A224" s="5">
        <v>44369</v>
      </c>
      <c r="B224">
        <v>2.0796000000000001</v>
      </c>
      <c r="C224">
        <v>2.3378999999999999</v>
      </c>
      <c r="D224">
        <v>1.5639000000000001</v>
      </c>
      <c r="E224">
        <v>1.8339000000000001</v>
      </c>
      <c r="F224">
        <v>47742925.399999999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-0.3023255813953486</v>
      </c>
      <c r="Q224">
        <f t="shared" si="961"/>
        <v>-14433907.679069756</v>
      </c>
      <c r="R224">
        <f t="shared" si="962"/>
        <v>2180016.9706782568</v>
      </c>
      <c r="S224">
        <f t="shared" si="963"/>
        <v>21.800169706782569</v>
      </c>
      <c r="T224">
        <f t="shared" si="964"/>
        <v>2.1800169706782568E-2</v>
      </c>
    </row>
    <row r="225" spans="1:20" x14ac:dyDescent="0.25">
      <c r="A225" s="5">
        <v>44368</v>
      </c>
      <c r="B225">
        <v>2.8447</v>
      </c>
      <c r="C225">
        <v>2.8666999999999998</v>
      </c>
      <c r="D225">
        <v>2.0301999999999998</v>
      </c>
      <c r="E225">
        <v>2.0781999999999998</v>
      </c>
      <c r="F225">
        <v>28943692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-0.88523610280932452</v>
      </c>
      <c r="Q225">
        <f t="shared" si="961"/>
        <v>-25622001.106993422</v>
      </c>
      <c r="R225">
        <f t="shared" si="962"/>
        <v>16613924.649748012</v>
      </c>
      <c r="S225">
        <f t="shared" si="963"/>
        <v>166.13924649748012</v>
      </c>
      <c r="T225">
        <f t="shared" si="964"/>
        <v>0.1661392464974801</v>
      </c>
    </row>
    <row r="226" spans="1:20" x14ac:dyDescent="0.25">
      <c r="A226" s="5">
        <v>44367</v>
      </c>
      <c r="B226">
        <v>2.8691</v>
      </c>
      <c r="C226">
        <v>2.9279999999999999</v>
      </c>
      <c r="D226">
        <v>2.5802999999999998</v>
      </c>
      <c r="E226">
        <v>2.8403</v>
      </c>
      <c r="F226">
        <v>13374656.6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0.49554213402358438</v>
      </c>
      <c r="Q226">
        <f t="shared" si="961"/>
        <v>6627705.8733966174</v>
      </c>
      <c r="R226">
        <f t="shared" si="962"/>
        <v>42235925.756741434</v>
      </c>
      <c r="S226">
        <f t="shared" si="963"/>
        <v>422.35925756741432</v>
      </c>
      <c r="T226">
        <f t="shared" si="964"/>
        <v>0.42235925756741433</v>
      </c>
    </row>
    <row r="227" spans="1:20" x14ac:dyDescent="0.25">
      <c r="A227" s="5">
        <v>44366</v>
      </c>
      <c r="B227">
        <v>2.9199000000000002</v>
      </c>
      <c r="C227">
        <v>2.9632000000000001</v>
      </c>
      <c r="D227">
        <v>2.8010000000000002</v>
      </c>
      <c r="E227">
        <v>2.8677999999999999</v>
      </c>
      <c r="F227">
        <v>8728730.8000000007</v>
      </c>
      <c r="G227">
        <v>0</v>
      </c>
      <c r="L227" t="s">
        <v>7</v>
      </c>
      <c r="M227" t="s">
        <v>7</v>
      </c>
      <c r="N227" t="s">
        <v>7</v>
      </c>
      <c r="P227">
        <f t="shared" si="960"/>
        <v>-0.17632552404439222</v>
      </c>
      <c r="Q227">
        <f t="shared" si="961"/>
        <v>-1539098.0325524271</v>
      </c>
      <c r="R227">
        <f t="shared" si="962"/>
        <v>35608219.883344814</v>
      </c>
      <c r="S227">
        <f t="shared" si="963"/>
        <v>356.08219883344816</v>
      </c>
      <c r="T227">
        <f t="shared" si="964"/>
        <v>0.35608219883344816</v>
      </c>
    </row>
    <row r="228" spans="1:20" x14ac:dyDescent="0.25">
      <c r="A228" s="5">
        <v>44365</v>
      </c>
      <c r="B228">
        <v>3.1242000000000001</v>
      </c>
      <c r="C228">
        <v>3.19</v>
      </c>
      <c r="D228">
        <v>2.7890999999999999</v>
      </c>
      <c r="E228">
        <v>2.9226000000000001</v>
      </c>
      <c r="F228">
        <v>14747576.6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-0.33399850336742248</v>
      </c>
      <c r="Q228">
        <f t="shared" si="961"/>
        <v>-4925668.5126964208</v>
      </c>
      <c r="R228">
        <f t="shared" si="962"/>
        <v>37147317.915897243</v>
      </c>
      <c r="S228">
        <f t="shared" si="963"/>
        <v>371.47317915897241</v>
      </c>
      <c r="T228">
        <f t="shared" si="964"/>
        <v>0.37147317915897243</v>
      </c>
    </row>
    <row r="229" spans="1:20" x14ac:dyDescent="0.25">
      <c r="A229" s="5">
        <v>44364</v>
      </c>
      <c r="B229">
        <v>3.0232999999999999</v>
      </c>
      <c r="C229">
        <v>3.2321</v>
      </c>
      <c r="D229">
        <v>3.0108999999999999</v>
      </c>
      <c r="E229">
        <v>3.1200999999999999</v>
      </c>
      <c r="F229">
        <v>12119221.300000001</v>
      </c>
      <c r="G229">
        <v>0</v>
      </c>
      <c r="L229" t="s">
        <v>8</v>
      </c>
      <c r="M229" t="s">
        <v>8</v>
      </c>
      <c r="N229" t="s">
        <v>7</v>
      </c>
      <c r="P229">
        <f t="shared" si="960"/>
        <v>-1.2658227848101876E-2</v>
      </c>
      <c r="Q229">
        <f t="shared" si="961"/>
        <v>-153407.86455696943</v>
      </c>
      <c r="R229">
        <f t="shared" si="962"/>
        <v>42072986.428593665</v>
      </c>
      <c r="S229">
        <f t="shared" si="963"/>
        <v>420.72986428593663</v>
      </c>
      <c r="T229">
        <f t="shared" si="964"/>
        <v>0.42072986428593662</v>
      </c>
    </row>
    <row r="230" spans="1:20" x14ac:dyDescent="0.25">
      <c r="A230" s="5">
        <v>44363</v>
      </c>
      <c r="B230">
        <v>3.2513999999999998</v>
      </c>
      <c r="C230">
        <v>3.2513999999999998</v>
      </c>
      <c r="D230">
        <v>2.95</v>
      </c>
      <c r="E230">
        <v>3.0251000000000001</v>
      </c>
      <c r="F230">
        <v>13112991.6</v>
      </c>
      <c r="G230">
        <v>0</v>
      </c>
      <c r="L230" t="s">
        <v>7</v>
      </c>
      <c r="M230" t="s">
        <v>8</v>
      </c>
      <c r="N230" t="s">
        <v>7</v>
      </c>
      <c r="P230">
        <f t="shared" si="960"/>
        <v>-0.50165892501658904</v>
      </c>
      <c r="Q230">
        <f t="shared" si="961"/>
        <v>-6578249.2698075622</v>
      </c>
      <c r="R230">
        <f t="shared" si="962"/>
        <v>42226394.293150634</v>
      </c>
      <c r="S230">
        <f t="shared" si="963"/>
        <v>422.26394293150634</v>
      </c>
      <c r="T230">
        <f t="shared" si="964"/>
        <v>0.42226394293150632</v>
      </c>
    </row>
    <row r="231" spans="1:20" x14ac:dyDescent="0.25">
      <c r="A231" s="5">
        <v>44362</v>
      </c>
      <c r="B231">
        <v>3.3426</v>
      </c>
      <c r="C231">
        <v>3.4847000000000001</v>
      </c>
      <c r="D231">
        <v>3.1718000000000002</v>
      </c>
      <c r="E231">
        <v>3.2519999999999998</v>
      </c>
      <c r="F231">
        <v>13249917.5</v>
      </c>
      <c r="G231">
        <v>0</v>
      </c>
      <c r="L231" t="s">
        <v>8</v>
      </c>
      <c r="M231" t="s">
        <v>8</v>
      </c>
      <c r="N231" t="s">
        <v>7</v>
      </c>
      <c r="P231">
        <f t="shared" si="960"/>
        <v>-0.48737615851710059</v>
      </c>
      <c r="Q231">
        <f t="shared" si="961"/>
        <v>-6457693.8918185048</v>
      </c>
      <c r="R231">
        <f t="shared" si="962"/>
        <v>48804643.562958196</v>
      </c>
      <c r="S231">
        <f t="shared" si="963"/>
        <v>488.04643562958194</v>
      </c>
      <c r="T231">
        <f t="shared" si="964"/>
        <v>0.48804643562958194</v>
      </c>
    </row>
    <row r="232" spans="1:20" x14ac:dyDescent="0.25">
      <c r="A232" s="5">
        <v>44361</v>
      </c>
      <c r="B232">
        <v>3.1909000000000001</v>
      </c>
      <c r="C232">
        <v>3.3952</v>
      </c>
      <c r="D232">
        <v>3.1233</v>
      </c>
      <c r="E232">
        <v>3.3464999999999998</v>
      </c>
      <c r="F232">
        <v>15418430.1</v>
      </c>
      <c r="G232">
        <v>0</v>
      </c>
      <c r="L232" t="s">
        <v>8</v>
      </c>
      <c r="M232" t="s">
        <v>8</v>
      </c>
      <c r="N232" t="s">
        <v>7</v>
      </c>
      <c r="P232">
        <f t="shared" si="960"/>
        <v>0.64178006620080774</v>
      </c>
      <c r="Q232">
        <f t="shared" si="961"/>
        <v>9895241.0902905259</v>
      </c>
      <c r="R232">
        <f t="shared" si="962"/>
        <v>55262337.454776697</v>
      </c>
      <c r="S232">
        <f t="shared" si="963"/>
        <v>552.62337454776696</v>
      </c>
      <c r="T232">
        <f t="shared" si="964"/>
        <v>0.552623374547767</v>
      </c>
    </row>
    <row r="233" spans="1:20" x14ac:dyDescent="0.25">
      <c r="A233" s="5">
        <v>44360</v>
      </c>
      <c r="B233">
        <v>3.01</v>
      </c>
      <c r="C233">
        <v>3.3260000000000001</v>
      </c>
      <c r="D233">
        <v>2.9062000000000001</v>
      </c>
      <c r="E233">
        <v>3.1913999999999998</v>
      </c>
      <c r="F233">
        <v>15479263</v>
      </c>
      <c r="G233">
        <v>0</v>
      </c>
      <c r="L233" t="s">
        <v>8</v>
      </c>
      <c r="M233" t="s">
        <v>7</v>
      </c>
      <c r="N233" t="s">
        <v>7</v>
      </c>
      <c r="P233">
        <f t="shared" si="960"/>
        <v>0.35874225821819777</v>
      </c>
      <c r="Q233">
        <f t="shared" si="961"/>
        <v>5553065.764173395</v>
      </c>
      <c r="R233">
        <f t="shared" si="962"/>
        <v>45367096.364486173</v>
      </c>
      <c r="S233">
        <f t="shared" si="963"/>
        <v>453.67096364486173</v>
      </c>
      <c r="T233">
        <f t="shared" si="964"/>
        <v>0.4536709636448617</v>
      </c>
    </row>
    <row r="234" spans="1:20" x14ac:dyDescent="0.25">
      <c r="A234" s="5">
        <v>44359</v>
      </c>
      <c r="B234">
        <v>3.1827999999999999</v>
      </c>
      <c r="C234">
        <v>3.2216999999999998</v>
      </c>
      <c r="D234">
        <v>2.8231000000000002</v>
      </c>
      <c r="E234">
        <v>3.0068999999999999</v>
      </c>
      <c r="F234">
        <v>27044153.399999999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-7.7772202709483609E-2</v>
      </c>
      <c r="Q234">
        <f t="shared" si="961"/>
        <v>-2103283.3803311703</v>
      </c>
      <c r="R234">
        <f t="shared" si="962"/>
        <v>39814030.600312777</v>
      </c>
      <c r="S234">
        <f t="shared" si="963"/>
        <v>398.14030600312776</v>
      </c>
      <c r="T234">
        <f t="shared" si="964"/>
        <v>0.39814030600312778</v>
      </c>
    </row>
    <row r="235" spans="1:20" x14ac:dyDescent="0.25">
      <c r="A235" s="5">
        <v>44358</v>
      </c>
      <c r="B235">
        <v>2.9485000000000001</v>
      </c>
      <c r="C235">
        <v>3.6730999999999998</v>
      </c>
      <c r="D235">
        <v>2.81</v>
      </c>
      <c r="E235">
        <v>3.1848999999999998</v>
      </c>
      <c r="F235">
        <v>46858015.399999999</v>
      </c>
      <c r="G235">
        <v>0</v>
      </c>
      <c r="L235" t="s">
        <v>8</v>
      </c>
      <c r="M235" t="s">
        <v>8</v>
      </c>
      <c r="N235" t="s">
        <v>7</v>
      </c>
      <c r="P235">
        <f t="shared" si="960"/>
        <v>-0.13127099988413882</v>
      </c>
      <c r="Q235">
        <f t="shared" si="961"/>
        <v>-6151098.5341443745</v>
      </c>
      <c r="R235">
        <f t="shared" si="962"/>
        <v>41917313.98064395</v>
      </c>
      <c r="S235">
        <f t="shared" si="963"/>
        <v>419.17313980643951</v>
      </c>
      <c r="T235">
        <f t="shared" si="964"/>
        <v>0.4191731398064395</v>
      </c>
    </row>
    <row r="236" spans="1:20" x14ac:dyDescent="0.25">
      <c r="A236" s="5">
        <v>44357</v>
      </c>
      <c r="B236">
        <v>3.2938999999999998</v>
      </c>
      <c r="C236">
        <v>3.3319999999999999</v>
      </c>
      <c r="D236">
        <v>2.8</v>
      </c>
      <c r="E236">
        <v>2.9476</v>
      </c>
      <c r="F236">
        <v>18257159.699999999</v>
      </c>
      <c r="G236">
        <v>0</v>
      </c>
      <c r="L236" t="s">
        <v>7</v>
      </c>
      <c r="M236" t="s">
        <v>8</v>
      </c>
      <c r="N236" t="s">
        <v>7</v>
      </c>
      <c r="P236">
        <f t="shared" si="960"/>
        <v>-0.44511278195488657</v>
      </c>
      <c r="Q236">
        <f t="shared" si="961"/>
        <v>-8126495.1446616417</v>
      </c>
      <c r="R236">
        <f t="shared" si="962"/>
        <v>48068412.514788322</v>
      </c>
      <c r="S236">
        <f t="shared" si="963"/>
        <v>480.68412514788321</v>
      </c>
      <c r="T236">
        <f t="shared" si="964"/>
        <v>0.48068412514788322</v>
      </c>
    </row>
    <row r="237" spans="1:20" x14ac:dyDescent="0.25">
      <c r="A237" s="5">
        <v>44356</v>
      </c>
      <c r="B237">
        <v>3.0205000000000002</v>
      </c>
      <c r="C237">
        <v>3.3246000000000002</v>
      </c>
      <c r="D237">
        <v>2.8075000000000001</v>
      </c>
      <c r="E237">
        <v>3.2919999999999998</v>
      </c>
      <c r="F237">
        <v>27631504.199999999</v>
      </c>
      <c r="G237">
        <v>0</v>
      </c>
      <c r="L237" t="s">
        <v>8</v>
      </c>
      <c r="M237" t="s">
        <v>8</v>
      </c>
      <c r="N237" t="s">
        <v>7</v>
      </c>
      <c r="P237">
        <f t="shared" si="960"/>
        <v>0.87391220266872793</v>
      </c>
      <c r="Q237">
        <f t="shared" si="961"/>
        <v>24147508.698472206</v>
      </c>
      <c r="R237">
        <f t="shared" si="962"/>
        <v>56194907.659449965</v>
      </c>
      <c r="S237">
        <f t="shared" si="963"/>
        <v>561.94907659449962</v>
      </c>
      <c r="T237">
        <f t="shared" si="964"/>
        <v>0.56194907659449966</v>
      </c>
    </row>
    <row r="238" spans="1:20" x14ac:dyDescent="0.25">
      <c r="A238" s="5">
        <v>44355</v>
      </c>
      <c r="B238">
        <v>3.2627999999999999</v>
      </c>
      <c r="C238">
        <v>3.41</v>
      </c>
      <c r="D238">
        <v>2.6888000000000001</v>
      </c>
      <c r="E238">
        <v>3.0204</v>
      </c>
      <c r="F238">
        <v>30637393.899999999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-8.0421519689406917E-2</v>
      </c>
      <c r="Q238">
        <f t="shared" si="961"/>
        <v>-2463905.7767609651</v>
      </c>
      <c r="R238">
        <f t="shared" si="962"/>
        <v>32047398.960977763</v>
      </c>
      <c r="S238">
        <f t="shared" si="963"/>
        <v>320.47398960977762</v>
      </c>
      <c r="T238">
        <f t="shared" si="964"/>
        <v>0.32047398960977763</v>
      </c>
    </row>
    <row r="239" spans="1:20" x14ac:dyDescent="0.25">
      <c r="A239" s="5">
        <v>44354</v>
      </c>
      <c r="B239">
        <v>3.7614999999999998</v>
      </c>
      <c r="C239">
        <v>4</v>
      </c>
      <c r="D239">
        <v>3.2046999999999999</v>
      </c>
      <c r="E239">
        <v>3.2627999999999999</v>
      </c>
      <c r="F239">
        <v>18332761.199999999</v>
      </c>
      <c r="G239">
        <v>0</v>
      </c>
      <c r="L239" t="s">
        <v>7</v>
      </c>
      <c r="M239" t="s">
        <v>7</v>
      </c>
      <c r="N239" t="s">
        <v>7</v>
      </c>
      <c r="P239">
        <f t="shared" si="960"/>
        <v>-0.85389161322771279</v>
      </c>
      <c r="Q239">
        <f t="shared" si="961"/>
        <v>-15654191.03598642</v>
      </c>
      <c r="R239">
        <f t="shared" si="962"/>
        <v>34511304.737738729</v>
      </c>
      <c r="S239">
        <f t="shared" si="963"/>
        <v>345.11304737738726</v>
      </c>
      <c r="T239">
        <f t="shared" si="964"/>
        <v>0.34511304737738724</v>
      </c>
    </row>
    <row r="240" spans="1:20" x14ac:dyDescent="0.25">
      <c r="A240" s="5">
        <v>44353</v>
      </c>
      <c r="B240">
        <v>3.8050999999999999</v>
      </c>
      <c r="C240">
        <v>3.8921000000000001</v>
      </c>
      <c r="D240">
        <v>3.5565000000000002</v>
      </c>
      <c r="E240">
        <v>3.7656999999999998</v>
      </c>
      <c r="F240">
        <v>10117851</v>
      </c>
      <c r="G240">
        <v>0</v>
      </c>
      <c r="L240" t="s">
        <v>7</v>
      </c>
      <c r="M240" t="s">
        <v>7</v>
      </c>
      <c r="N240" t="s">
        <v>7</v>
      </c>
      <c r="P240">
        <f t="shared" si="960"/>
        <v>0.24672228843861543</v>
      </c>
      <c r="Q240">
        <f t="shared" si="961"/>
        <v>2496299.3528009336</v>
      </c>
      <c r="R240">
        <f t="shared" si="962"/>
        <v>50165495.773725152</v>
      </c>
      <c r="S240">
        <f t="shared" si="963"/>
        <v>501.65495773725149</v>
      </c>
      <c r="T240">
        <f t="shared" si="964"/>
        <v>0.50165495773725144</v>
      </c>
    </row>
    <row r="241" spans="1:20" x14ac:dyDescent="0.25">
      <c r="A241" s="5">
        <v>44352</v>
      </c>
      <c r="B241">
        <v>3.8881000000000001</v>
      </c>
      <c r="C241">
        <v>4.1993</v>
      </c>
      <c r="D241">
        <v>3.66</v>
      </c>
      <c r="E241">
        <v>3.8026</v>
      </c>
      <c r="F241">
        <v>14966053.699999999</v>
      </c>
      <c r="G241">
        <v>0</v>
      </c>
      <c r="L241" t="s">
        <v>7</v>
      </c>
      <c r="M241" t="s">
        <v>7</v>
      </c>
      <c r="N241" t="s">
        <v>7</v>
      </c>
      <c r="P241">
        <f t="shared" si="960"/>
        <v>-0.4711663267198225</v>
      </c>
      <c r="Q241">
        <f t="shared" si="961"/>
        <v>-7051500.547320608</v>
      </c>
      <c r="R241">
        <f t="shared" si="962"/>
        <v>47669196.420924217</v>
      </c>
      <c r="S241">
        <f t="shared" si="963"/>
        <v>476.69196420924214</v>
      </c>
      <c r="T241">
        <f t="shared" si="964"/>
        <v>0.47669196420924215</v>
      </c>
    </row>
    <row r="242" spans="1:20" x14ac:dyDescent="0.25">
      <c r="A242" s="5">
        <v>44351</v>
      </c>
      <c r="B242">
        <v>4.4960000000000004</v>
      </c>
      <c r="C242">
        <v>4.5281000000000002</v>
      </c>
      <c r="D242">
        <v>3.7</v>
      </c>
      <c r="E242">
        <v>3.8967999999999998</v>
      </c>
      <c r="F242">
        <v>17026938.699999999</v>
      </c>
      <c r="G242">
        <v>0</v>
      </c>
      <c r="L242" t="s">
        <v>7</v>
      </c>
      <c r="M242" t="s">
        <v>7</v>
      </c>
      <c r="N242" t="s">
        <v>7</v>
      </c>
      <c r="P242">
        <f t="shared" si="960"/>
        <v>-0.52469508513464647</v>
      </c>
      <c r="Q242">
        <f t="shared" si="961"/>
        <v>-8933951.0507789068</v>
      </c>
      <c r="R242">
        <f t="shared" si="962"/>
        <v>54720696.968244821</v>
      </c>
      <c r="S242">
        <f t="shared" si="963"/>
        <v>547.20696968244818</v>
      </c>
      <c r="T242">
        <f t="shared" si="964"/>
        <v>0.5472069696824482</v>
      </c>
    </row>
    <row r="243" spans="1:20" x14ac:dyDescent="0.25">
      <c r="A243" s="5">
        <v>44350</v>
      </c>
      <c r="B243">
        <v>4.1898</v>
      </c>
      <c r="C243">
        <v>4.6100000000000003</v>
      </c>
      <c r="D243">
        <v>4.1296999999999997</v>
      </c>
      <c r="E243">
        <v>4.4913999999999996</v>
      </c>
      <c r="F243">
        <v>17449680.600000001</v>
      </c>
      <c r="G243">
        <v>0</v>
      </c>
      <c r="L243" t="s">
        <v>8</v>
      </c>
      <c r="M243" t="s">
        <v>8</v>
      </c>
      <c r="N243" t="s">
        <v>7</v>
      </c>
      <c r="P243">
        <f t="shared" si="960"/>
        <v>0.50614199458671438</v>
      </c>
      <c r="Q243">
        <f t="shared" si="961"/>
        <v>8832016.1437850948</v>
      </c>
      <c r="R243">
        <f t="shared" si="962"/>
        <v>63654648.019023731</v>
      </c>
      <c r="S243">
        <f t="shared" si="963"/>
        <v>636.54648019023728</v>
      </c>
      <c r="T243">
        <f t="shared" si="964"/>
        <v>0.6365464801902373</v>
      </c>
    </row>
    <row r="244" spans="1:20" x14ac:dyDescent="0.25">
      <c r="A244" s="5">
        <v>44349</v>
      </c>
      <c r="B244">
        <v>4.0505000000000004</v>
      </c>
      <c r="C244">
        <v>4.43</v>
      </c>
      <c r="D244">
        <v>3.91</v>
      </c>
      <c r="E244">
        <v>4.1851000000000003</v>
      </c>
      <c r="F244">
        <v>19947849.199999999</v>
      </c>
      <c r="G244">
        <v>0</v>
      </c>
      <c r="L244" t="s">
        <v>7</v>
      </c>
      <c r="M244" t="s">
        <v>8</v>
      </c>
      <c r="N244" t="s">
        <v>7</v>
      </c>
      <c r="P244">
        <f t="shared" si="960"/>
        <v>5.8076923076924414E-2</v>
      </c>
      <c r="Q244">
        <f t="shared" si="961"/>
        <v>1158509.7035384881</v>
      </c>
      <c r="R244">
        <f t="shared" si="962"/>
        <v>54822631.875238635</v>
      </c>
      <c r="S244">
        <f t="shared" si="963"/>
        <v>548.22631875238631</v>
      </c>
      <c r="T244">
        <f t="shared" si="964"/>
        <v>0.54822631875238625</v>
      </c>
    </row>
    <row r="245" spans="1:20" x14ac:dyDescent="0.25">
      <c r="A245" s="5">
        <v>44348</v>
      </c>
      <c r="B245">
        <v>4.1433999999999997</v>
      </c>
      <c r="C245">
        <v>4.45</v>
      </c>
      <c r="D245">
        <v>3.9036</v>
      </c>
      <c r="E245">
        <v>4.0503999999999998</v>
      </c>
      <c r="F245">
        <v>18908556.399999999</v>
      </c>
      <c r="G245">
        <v>0</v>
      </c>
      <c r="L245" t="s">
        <v>8</v>
      </c>
      <c r="M245" t="s">
        <v>8</v>
      </c>
      <c r="N245" t="s">
        <v>7</v>
      </c>
      <c r="P245">
        <f t="shared" si="960"/>
        <v>-0.46266471449487645</v>
      </c>
      <c r="Q245">
        <f t="shared" si="961"/>
        <v>-8748321.848316269</v>
      </c>
      <c r="R245">
        <f t="shared" si="962"/>
        <v>53664122.17170015</v>
      </c>
      <c r="S245">
        <f t="shared" si="963"/>
        <v>536.64122171700149</v>
      </c>
      <c r="T245">
        <f t="shared" si="964"/>
        <v>0.53664122171700146</v>
      </c>
    </row>
    <row r="246" spans="1:20" x14ac:dyDescent="0.25">
      <c r="A246" s="5">
        <v>44347</v>
      </c>
      <c r="B246">
        <v>4.0693000000000001</v>
      </c>
      <c r="C246">
        <v>4.2290000000000001</v>
      </c>
      <c r="D246">
        <v>3.6</v>
      </c>
      <c r="E246">
        <v>4.1433999999999997</v>
      </c>
      <c r="F246">
        <v>27001975.100000001</v>
      </c>
      <c r="G246">
        <v>0</v>
      </c>
      <c r="L246" t="s">
        <v>7</v>
      </c>
      <c r="M246" t="s">
        <v>7</v>
      </c>
      <c r="N246" t="s">
        <v>7</v>
      </c>
      <c r="P246">
        <f t="shared" si="960"/>
        <v>0.72782193958664443</v>
      </c>
      <c r="Q246">
        <f t="shared" si="961"/>
        <v>19652629.88995228</v>
      </c>
      <c r="R246">
        <f t="shared" si="962"/>
        <v>62412444.020016417</v>
      </c>
      <c r="S246">
        <f t="shared" si="963"/>
        <v>624.12444020016414</v>
      </c>
      <c r="T246">
        <f t="shared" si="964"/>
        <v>0.62412444020016411</v>
      </c>
    </row>
    <row r="247" spans="1:20" x14ac:dyDescent="0.25">
      <c r="A247" s="5">
        <v>44346</v>
      </c>
      <c r="B247">
        <v>4.0865</v>
      </c>
      <c r="C247">
        <v>4.2972000000000001</v>
      </c>
      <c r="D247">
        <v>3.6760999999999999</v>
      </c>
      <c r="E247">
        <v>4.0717999999999996</v>
      </c>
      <c r="F247">
        <v>30038414.699999999</v>
      </c>
      <c r="G247">
        <v>0</v>
      </c>
      <c r="L247" t="s">
        <v>7</v>
      </c>
      <c r="M247" t="s">
        <v>7</v>
      </c>
      <c r="N247" t="s">
        <v>7</v>
      </c>
      <c r="P247">
        <f t="shared" si="960"/>
        <v>0.27419095153759326</v>
      </c>
      <c r="Q247">
        <f t="shared" si="961"/>
        <v>8236261.5092738289</v>
      </c>
      <c r="R247">
        <f t="shared" si="962"/>
        <v>42759814.130064137</v>
      </c>
      <c r="S247">
        <f t="shared" si="963"/>
        <v>427.59814130064137</v>
      </c>
      <c r="T247">
        <f t="shared" si="964"/>
        <v>0.42759814130064139</v>
      </c>
    </row>
    <row r="248" spans="1:20" x14ac:dyDescent="0.25">
      <c r="A248" s="5">
        <v>44345</v>
      </c>
      <c r="B248">
        <v>4.4554</v>
      </c>
      <c r="C248">
        <v>4.7888999999999999</v>
      </c>
      <c r="D248">
        <v>3.7145000000000001</v>
      </c>
      <c r="E248">
        <v>4.0864000000000003</v>
      </c>
      <c r="F248">
        <v>35535604.700000003</v>
      </c>
      <c r="G248">
        <v>0</v>
      </c>
      <c r="L248" t="s">
        <v>7</v>
      </c>
      <c r="M248" t="s">
        <v>7</v>
      </c>
      <c r="N248" t="s">
        <v>7</v>
      </c>
      <c r="P248">
        <f t="shared" si="960"/>
        <v>-0.30770662695457895</v>
      </c>
      <c r="Q248">
        <f t="shared" si="961"/>
        <v>-10934541.059028283</v>
      </c>
      <c r="R248">
        <f t="shared" si="962"/>
        <v>34523552.62079031</v>
      </c>
      <c r="S248">
        <f t="shared" si="963"/>
        <v>345.23552620790309</v>
      </c>
      <c r="T248">
        <f t="shared" si="964"/>
        <v>0.3452355262079031</v>
      </c>
    </row>
    <row r="249" spans="1:20" x14ac:dyDescent="0.25">
      <c r="A249" s="5">
        <v>44344</v>
      </c>
      <c r="B249">
        <v>4.8303000000000003</v>
      </c>
      <c r="C249">
        <v>5.0999999999999996</v>
      </c>
      <c r="D249">
        <v>3.95</v>
      </c>
      <c r="E249">
        <v>4.4550000000000001</v>
      </c>
      <c r="F249">
        <v>54897880.399999999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-0.12173913043478239</v>
      </c>
      <c r="Q249">
        <f t="shared" si="961"/>
        <v>-6683220.2226086836</v>
      </c>
      <c r="R249">
        <f t="shared" si="962"/>
        <v>45458093.679818593</v>
      </c>
      <c r="S249">
        <f t="shared" si="963"/>
        <v>454.58093679818592</v>
      </c>
      <c r="T249">
        <f t="shared" si="964"/>
        <v>0.4545809367981859</v>
      </c>
    </row>
    <row r="250" spans="1:20" x14ac:dyDescent="0.25">
      <c r="A250" s="5">
        <v>44343</v>
      </c>
      <c r="B250">
        <v>4.4443999999999999</v>
      </c>
      <c r="C250">
        <v>5.15</v>
      </c>
      <c r="D250">
        <v>3.7206000000000001</v>
      </c>
      <c r="E250">
        <v>4.8303000000000003</v>
      </c>
      <c r="F250">
        <v>44536732</v>
      </c>
      <c r="G250">
        <v>0</v>
      </c>
      <c r="L250" t="s">
        <v>8</v>
      </c>
      <c r="M250" t="s">
        <v>8</v>
      </c>
      <c r="N250" t="s">
        <v>8</v>
      </c>
      <c r="P250">
        <f t="shared" si="960"/>
        <v>0.55267944592136553</v>
      </c>
      <c r="Q250">
        <f t="shared" si="961"/>
        <v>24614536.364908349</v>
      </c>
      <c r="R250">
        <f t="shared" si="962"/>
        <v>52141313.902427278</v>
      </c>
      <c r="S250">
        <f t="shared" si="963"/>
        <v>521.41313902427282</v>
      </c>
      <c r="T250">
        <f t="shared" si="964"/>
        <v>0.52141313902427278</v>
      </c>
    </row>
    <row r="251" spans="1:20" x14ac:dyDescent="0.25">
      <c r="A251" s="5">
        <v>44342</v>
      </c>
      <c r="B251">
        <v>3.5129999999999999</v>
      </c>
      <c r="C251">
        <v>4.4443999999999999</v>
      </c>
      <c r="D251">
        <v>3.42</v>
      </c>
      <c r="E251">
        <v>4.4428000000000001</v>
      </c>
      <c r="F251">
        <v>34945395.799999997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0.99687622022647437</v>
      </c>
      <c r="Q251">
        <f t="shared" si="961"/>
        <v>34836234.079422109</v>
      </c>
      <c r="R251">
        <f t="shared" si="962"/>
        <v>27526777.53751893</v>
      </c>
      <c r="S251">
        <f t="shared" si="963"/>
        <v>275.26777537518927</v>
      </c>
      <c r="T251">
        <f t="shared" si="964"/>
        <v>0.27526777537518926</v>
      </c>
    </row>
    <row r="252" spans="1:20" x14ac:dyDescent="0.25">
      <c r="A252" s="5">
        <v>44341</v>
      </c>
      <c r="B252">
        <v>3.3235000000000001</v>
      </c>
      <c r="C252">
        <v>3.82</v>
      </c>
      <c r="D252">
        <v>3.0089999999999999</v>
      </c>
      <c r="E252">
        <v>3.5207999999999999</v>
      </c>
      <c r="F252">
        <v>43010470.299999997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0.26214549938347737</v>
      </c>
      <c r="Q252">
        <f t="shared" si="961"/>
        <v>11275001.215511721</v>
      </c>
      <c r="R252">
        <f t="shared" si="962"/>
        <v>-7309456.5419031791</v>
      </c>
      <c r="S252">
        <f t="shared" si="963"/>
        <v>-73.094565419031795</v>
      </c>
      <c r="T252">
        <f t="shared" si="964"/>
        <v>-7.3094565419031796E-2</v>
      </c>
    </row>
    <row r="253" spans="1:20" x14ac:dyDescent="0.25">
      <c r="A253" s="5">
        <v>44340</v>
      </c>
      <c r="B253">
        <v>2.3588</v>
      </c>
      <c r="C253">
        <v>3.5470000000000002</v>
      </c>
      <c r="D253">
        <v>2.3168000000000002</v>
      </c>
      <c r="E253">
        <v>3.3247</v>
      </c>
      <c r="F253">
        <v>56465970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0.63859535034953641</v>
      </c>
      <c r="Q253">
        <f t="shared" si="961"/>
        <v>36058905.894976415</v>
      </c>
      <c r="R253">
        <f t="shared" si="962"/>
        <v>-18584457.7574149</v>
      </c>
      <c r="S253">
        <f t="shared" si="963"/>
        <v>-185.84457757414899</v>
      </c>
      <c r="T253">
        <f t="shared" si="964"/>
        <v>-0.18584457757414899</v>
      </c>
    </row>
    <row r="254" spans="1:20" x14ac:dyDescent="0.25">
      <c r="A254" s="5">
        <v>44339</v>
      </c>
      <c r="B254">
        <v>3.0809000000000002</v>
      </c>
      <c r="C254">
        <v>3.218</v>
      </c>
      <c r="D254">
        <v>1.86</v>
      </c>
      <c r="E254">
        <v>2.355</v>
      </c>
      <c r="F254">
        <v>48243072.299999997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-0.27098674521354943</v>
      </c>
      <c r="Q254">
        <f t="shared" si="961"/>
        <v>-13073233.141678942</v>
      </c>
      <c r="R254">
        <f t="shared" si="962"/>
        <v>-54643363.652391315</v>
      </c>
      <c r="S254">
        <f t="shared" si="963"/>
        <v>-546.43363652391315</v>
      </c>
      <c r="T254">
        <f t="shared" si="964"/>
        <v>-0.54643363652391319</v>
      </c>
    </row>
    <row r="255" spans="1:20" x14ac:dyDescent="0.25">
      <c r="A255" s="5">
        <v>44338</v>
      </c>
      <c r="B255">
        <v>3.6871</v>
      </c>
      <c r="C255">
        <v>3.85</v>
      </c>
      <c r="D255">
        <v>3.01</v>
      </c>
      <c r="E255">
        <v>3.0756000000000001</v>
      </c>
      <c r="F255">
        <v>24293267.300000001</v>
      </c>
      <c r="G255">
        <v>0</v>
      </c>
      <c r="L255" t="s">
        <v>8</v>
      </c>
      <c r="M255" t="s">
        <v>8</v>
      </c>
      <c r="N255" t="s">
        <v>7</v>
      </c>
      <c r="P255">
        <f t="shared" si="960"/>
        <v>-0.84380952380952312</v>
      </c>
      <c r="Q255">
        <f t="shared" si="961"/>
        <v>-20498890.312190462</v>
      </c>
      <c r="R255">
        <f t="shared" si="962"/>
        <v>-41570130.51071237</v>
      </c>
      <c r="S255">
        <f t="shared" si="963"/>
        <v>-415.70130510712369</v>
      </c>
      <c r="T255">
        <f t="shared" si="964"/>
        <v>-0.41570130510712366</v>
      </c>
    </row>
    <row r="256" spans="1:20" x14ac:dyDescent="0.25">
      <c r="A256" s="5">
        <v>44337</v>
      </c>
      <c r="B256">
        <v>4.9128999999999996</v>
      </c>
      <c r="C256">
        <v>5.2240000000000002</v>
      </c>
      <c r="D256">
        <v>2.9933999999999998</v>
      </c>
      <c r="E256">
        <v>3.6871999999999998</v>
      </c>
      <c r="F256">
        <v>39345111.399999999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-0.37792522191338668</v>
      </c>
      <c r="Q256">
        <f t="shared" si="961"/>
        <v>-14869509.95705192</v>
      </c>
      <c r="R256">
        <f t="shared" si="962"/>
        <v>-21071240.198521905</v>
      </c>
      <c r="S256">
        <f t="shared" si="963"/>
        <v>-210.71240198521906</v>
      </c>
      <c r="T256">
        <f t="shared" si="964"/>
        <v>-0.21071240198521907</v>
      </c>
    </row>
    <row r="257" spans="1:20" x14ac:dyDescent="0.25">
      <c r="A257" s="5">
        <v>44336</v>
      </c>
      <c r="B257">
        <v>4.0437000000000003</v>
      </c>
      <c r="C257">
        <v>5.4394999999999998</v>
      </c>
      <c r="D257">
        <v>3.3332999999999999</v>
      </c>
      <c r="E257">
        <v>4.9089</v>
      </c>
      <c r="F257">
        <v>34898700.700000003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0.4961542113759379</v>
      </c>
      <c r="Q257">
        <f t="shared" si="961"/>
        <v>17315137.323853392</v>
      </c>
      <c r="R257">
        <f t="shared" si="962"/>
        <v>-6201730.241469983</v>
      </c>
      <c r="S257">
        <f t="shared" si="963"/>
        <v>-62.017302414699827</v>
      </c>
      <c r="T257">
        <f t="shared" si="964"/>
        <v>-6.2017302414699826E-2</v>
      </c>
    </row>
    <row r="258" spans="1:20" x14ac:dyDescent="0.25">
      <c r="A258" s="5">
        <v>44335</v>
      </c>
      <c r="B258">
        <v>6.5400999999999998</v>
      </c>
      <c r="C258">
        <v>6.6494999999999997</v>
      </c>
      <c r="D258">
        <v>3.3</v>
      </c>
      <c r="E258">
        <v>4.0438999999999998</v>
      </c>
      <c r="F258">
        <v>42228142.200000003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-0.55581430064188686</v>
      </c>
      <c r="Q258">
        <f t="shared" si="961"/>
        <v>-23471005.324299153</v>
      </c>
      <c r="R258">
        <f t="shared" si="962"/>
        <v>-23516867.565323375</v>
      </c>
      <c r="S258">
        <f t="shared" si="963"/>
        <v>-235.16867565323375</v>
      </c>
      <c r="T258">
        <f t="shared" si="964"/>
        <v>-0.23516867565323374</v>
      </c>
    </row>
    <row r="259" spans="1:20" x14ac:dyDescent="0.25">
      <c r="A259" s="5">
        <v>44334</v>
      </c>
      <c r="B259">
        <v>6.7152000000000003</v>
      </c>
      <c r="C259">
        <v>7.27</v>
      </c>
      <c r="D259">
        <v>5.9901</v>
      </c>
      <c r="E259">
        <v>6.5350000000000001</v>
      </c>
      <c r="F259">
        <v>25065121.100000001</v>
      </c>
      <c r="G259">
        <v>0</v>
      </c>
      <c r="L259" t="s">
        <v>7</v>
      </c>
      <c r="M259" t="s">
        <v>8</v>
      </c>
      <c r="N259" t="s">
        <v>8</v>
      </c>
      <c r="P259">
        <f t="shared" si="960"/>
        <v>-0.14852722868974086</v>
      </c>
      <c r="Q259">
        <f t="shared" si="961"/>
        <v>-3722852.9737557494</v>
      </c>
      <c r="R259">
        <f t="shared" si="962"/>
        <v>-45862.241024224088</v>
      </c>
      <c r="S259">
        <f t="shared" si="963"/>
        <v>-0.45862241024224087</v>
      </c>
      <c r="T259">
        <f t="shared" si="964"/>
        <v>-4.586224102422409E-4</v>
      </c>
    </row>
    <row r="260" spans="1:20" x14ac:dyDescent="0.25">
      <c r="A260" s="5">
        <v>44333</v>
      </c>
      <c r="B260">
        <v>7.2382999999999997</v>
      </c>
      <c r="C260">
        <v>7.5</v>
      </c>
      <c r="D260">
        <v>6.07</v>
      </c>
      <c r="E260">
        <v>6.7209000000000003</v>
      </c>
      <c r="F260">
        <v>34013119.100000001</v>
      </c>
      <c r="G260">
        <v>0</v>
      </c>
      <c r="L260" t="s">
        <v>7</v>
      </c>
      <c r="M260" t="s">
        <v>7</v>
      </c>
      <c r="N260" t="s">
        <v>8</v>
      </c>
      <c r="P260">
        <f t="shared" si="960"/>
        <v>-8.9650349650349417E-2</v>
      </c>
      <c r="Q260">
        <f t="shared" si="961"/>
        <v>-3049288.0200139782</v>
      </c>
      <c r="R260">
        <f t="shared" si="962"/>
        <v>3676990.7327315253</v>
      </c>
      <c r="S260">
        <f t="shared" si="963"/>
        <v>36.769907327315252</v>
      </c>
      <c r="T260">
        <f t="shared" si="964"/>
        <v>3.6769907327315249E-2</v>
      </c>
    </row>
    <row r="261" spans="1:20" x14ac:dyDescent="0.25">
      <c r="A261" s="5">
        <v>44332</v>
      </c>
      <c r="B261">
        <v>5.6901000000000002</v>
      </c>
      <c r="C261">
        <v>7.97</v>
      </c>
      <c r="D261">
        <v>5.61</v>
      </c>
      <c r="E261">
        <v>7.2356999999999996</v>
      </c>
      <c r="F261">
        <v>46176886.600000001</v>
      </c>
      <c r="G261">
        <v>0</v>
      </c>
      <c r="L261" t="s">
        <v>8</v>
      </c>
      <c r="M261" t="s">
        <v>8</v>
      </c>
      <c r="N261" t="s">
        <v>8</v>
      </c>
      <c r="P261">
        <f t="shared" si="960"/>
        <v>0.37771186440677934</v>
      </c>
      <c r="Q261">
        <f t="shared" si="961"/>
        <v>17441557.930186428</v>
      </c>
      <c r="R261">
        <f t="shared" si="962"/>
        <v>6726278.7527455036</v>
      </c>
      <c r="S261">
        <f t="shared" si="963"/>
        <v>67.262787527455032</v>
      </c>
      <c r="T261">
        <f t="shared" si="964"/>
        <v>6.7262787527455029E-2</v>
      </c>
    </row>
    <row r="262" spans="1:20" x14ac:dyDescent="0.25">
      <c r="A262" s="5">
        <v>44331</v>
      </c>
      <c r="B262">
        <v>5.7218999999999998</v>
      </c>
      <c r="C262">
        <v>6.62</v>
      </c>
      <c r="D262">
        <v>5.4343000000000004</v>
      </c>
      <c r="E262">
        <v>5.71</v>
      </c>
      <c r="F262">
        <v>27392888.699999999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5">IF(C262=D262,0,((E262-D262)-(C262-E262))/(C262-D262))</f>
        <v>-0.53495825250906692</v>
      </c>
      <c r="Q262">
        <f t="shared" ref="Q262:Q325" si="966">F262*P262</f>
        <v>-14654051.870127365</v>
      </c>
      <c r="R262">
        <f t="shared" ref="R262:R325" si="967">R263+Q262</f>
        <v>-10715279.177440925</v>
      </c>
      <c r="S262">
        <f t="shared" ref="S262:S325" si="968">R262/100000</f>
        <v>-107.15279177440925</v>
      </c>
      <c r="T262">
        <f t="shared" ref="T262:T325" si="969">S262/1000</f>
        <v>-0.10715279177440926</v>
      </c>
    </row>
    <row r="263" spans="1:20" x14ac:dyDescent="0.25">
      <c r="A263" s="5">
        <v>44330</v>
      </c>
      <c r="B263">
        <v>4.88</v>
      </c>
      <c r="C263">
        <v>6.05</v>
      </c>
      <c r="D263">
        <v>4.8220000000000001</v>
      </c>
      <c r="E263">
        <v>5.7218999999999998</v>
      </c>
      <c r="F263">
        <v>20900027.699999999</v>
      </c>
      <c r="G263">
        <v>0</v>
      </c>
      <c r="L263" t="s">
        <v>8</v>
      </c>
      <c r="M263" t="s">
        <v>8</v>
      </c>
      <c r="N263" t="s">
        <v>7</v>
      </c>
      <c r="P263">
        <f t="shared" si="965"/>
        <v>0.46563517915309427</v>
      </c>
      <c r="Q263">
        <f t="shared" si="966"/>
        <v>9731788.1423941329</v>
      </c>
      <c r="R263">
        <f t="shared" si="967"/>
        <v>3938772.6926864404</v>
      </c>
      <c r="S263">
        <f t="shared" si="968"/>
        <v>39.387726926864403</v>
      </c>
      <c r="T263">
        <f t="shared" si="969"/>
        <v>3.9387726926864403E-2</v>
      </c>
    </row>
    <row r="264" spans="1:20" x14ac:dyDescent="0.25">
      <c r="A264" s="5">
        <v>44329</v>
      </c>
      <c r="B264">
        <v>4.7</v>
      </c>
      <c r="C264">
        <v>5.4244000000000003</v>
      </c>
      <c r="D264">
        <v>4.5</v>
      </c>
      <c r="E264">
        <v>4.88</v>
      </c>
      <c r="F264">
        <v>16448755.6</v>
      </c>
      <c r="G264">
        <v>0</v>
      </c>
      <c r="L264" t="s">
        <v>7</v>
      </c>
      <c r="M264" t="s">
        <v>7</v>
      </c>
      <c r="N264" t="s">
        <v>7</v>
      </c>
      <c r="P264">
        <f t="shared" si="965"/>
        <v>-0.17784508870618831</v>
      </c>
      <c r="Q264">
        <f t="shared" si="966"/>
        <v>-2925330.3987884116</v>
      </c>
      <c r="R264">
        <f t="shared" si="967"/>
        <v>-5793015.4497076925</v>
      </c>
      <c r="S264">
        <f t="shared" si="968"/>
        <v>-57.930154497076927</v>
      </c>
      <c r="T264">
        <f t="shared" si="969"/>
        <v>-5.7930154497076926E-2</v>
      </c>
    </row>
    <row r="265" spans="1:20" x14ac:dyDescent="0.25">
      <c r="A265" s="5">
        <v>44328</v>
      </c>
      <c r="B265">
        <v>6.0529999999999999</v>
      </c>
      <c r="C265">
        <v>6.4</v>
      </c>
      <c r="D265">
        <v>4.6219999999999999</v>
      </c>
      <c r="E265">
        <v>4.6939000000000002</v>
      </c>
      <c r="F265">
        <v>16357471</v>
      </c>
      <c r="G265">
        <v>0</v>
      </c>
      <c r="L265" t="s">
        <v>7</v>
      </c>
      <c r="M265" t="s">
        <v>7</v>
      </c>
      <c r="N265" t="s">
        <v>7</v>
      </c>
      <c r="P265">
        <f t="shared" si="965"/>
        <v>-0.91912260967379045</v>
      </c>
      <c r="Q265">
        <f t="shared" si="966"/>
        <v>-15034521.433183346</v>
      </c>
      <c r="R265">
        <f t="shared" si="967"/>
        <v>-2867685.0509192813</v>
      </c>
      <c r="S265">
        <f t="shared" si="968"/>
        <v>-28.676850509192814</v>
      </c>
      <c r="T265">
        <f t="shared" si="969"/>
        <v>-2.8676850509192813E-2</v>
      </c>
    </row>
    <row r="266" spans="1:20" x14ac:dyDescent="0.25">
      <c r="A266" s="5">
        <v>44327</v>
      </c>
      <c r="B266">
        <v>5.3832000000000004</v>
      </c>
      <c r="C266">
        <v>6.15</v>
      </c>
      <c r="D266">
        <v>5.0999999999999996</v>
      </c>
      <c r="E266">
        <v>6.05</v>
      </c>
      <c r="F266">
        <v>13212914.6</v>
      </c>
      <c r="G266">
        <v>0</v>
      </c>
      <c r="L266" t="s">
        <v>7</v>
      </c>
      <c r="M266" t="s">
        <v>7</v>
      </c>
      <c r="N266" t="s">
        <v>8</v>
      </c>
      <c r="P266">
        <f t="shared" si="965"/>
        <v>0.80952380952380865</v>
      </c>
      <c r="Q266">
        <f t="shared" si="966"/>
        <v>10696168.961904749</v>
      </c>
      <c r="R266">
        <f t="shared" si="967"/>
        <v>12166836.382264065</v>
      </c>
      <c r="S266">
        <f t="shared" si="968"/>
        <v>121.66836382264064</v>
      </c>
      <c r="T266">
        <f t="shared" si="969"/>
        <v>0.12166836382264064</v>
      </c>
    </row>
    <row r="267" spans="1:20" x14ac:dyDescent="0.25">
      <c r="A267" s="5">
        <v>44326</v>
      </c>
      <c r="B267">
        <v>6.1154999999999999</v>
      </c>
      <c r="C267">
        <v>6.5069999999999997</v>
      </c>
      <c r="D267">
        <v>5.2549999999999999</v>
      </c>
      <c r="E267">
        <v>5.3830999999999998</v>
      </c>
      <c r="F267">
        <v>16785850.300000001</v>
      </c>
      <c r="G267">
        <v>0</v>
      </c>
      <c r="L267" t="s">
        <v>7</v>
      </c>
      <c r="M267" t="s">
        <v>7</v>
      </c>
      <c r="N267" t="s">
        <v>8</v>
      </c>
      <c r="P267">
        <f t="shared" si="965"/>
        <v>-0.79536741214057527</v>
      </c>
      <c r="Q267">
        <f t="shared" si="966"/>
        <v>-13350918.3136901</v>
      </c>
      <c r="R267">
        <f t="shared" si="967"/>
        <v>1470667.4203593154</v>
      </c>
      <c r="S267">
        <f t="shared" si="968"/>
        <v>14.706674203593154</v>
      </c>
      <c r="T267">
        <f t="shared" si="969"/>
        <v>1.4706674203593154E-2</v>
      </c>
    </row>
    <row r="268" spans="1:20" x14ac:dyDescent="0.25">
      <c r="A268" s="5">
        <v>44325</v>
      </c>
      <c r="B268">
        <v>6.4261999999999997</v>
      </c>
      <c r="C268">
        <v>6.94</v>
      </c>
      <c r="D268">
        <v>5.86</v>
      </c>
      <c r="E268">
        <v>6.1246999999999998</v>
      </c>
      <c r="F268">
        <v>17023575.800000001</v>
      </c>
      <c r="G268">
        <v>0</v>
      </c>
      <c r="L268" t="s">
        <v>7</v>
      </c>
      <c r="M268" t="s">
        <v>7</v>
      </c>
      <c r="N268" t="s">
        <v>8</v>
      </c>
      <c r="P268">
        <f t="shared" si="965"/>
        <v>-0.50981481481481583</v>
      </c>
      <c r="Q268">
        <f t="shared" si="966"/>
        <v>-8678871.1439629812</v>
      </c>
      <c r="R268">
        <f t="shared" si="967"/>
        <v>14821585.734049415</v>
      </c>
      <c r="S268">
        <f t="shared" si="968"/>
        <v>148.21585734049415</v>
      </c>
      <c r="T268">
        <f t="shared" si="969"/>
        <v>0.14821585734049417</v>
      </c>
    </row>
    <row r="269" spans="1:20" x14ac:dyDescent="0.25">
      <c r="A269" s="5">
        <v>44324</v>
      </c>
      <c r="B269">
        <v>6.2447999999999997</v>
      </c>
      <c r="C269">
        <v>7.3841999999999999</v>
      </c>
      <c r="D269">
        <v>5.9915000000000003</v>
      </c>
      <c r="E269">
        <v>6.4318</v>
      </c>
      <c r="F269">
        <v>34642355.399999999</v>
      </c>
      <c r="G269">
        <v>0</v>
      </c>
      <c r="L269" t="s">
        <v>8</v>
      </c>
      <c r="M269" t="s">
        <v>8</v>
      </c>
      <c r="N269" t="s">
        <v>8</v>
      </c>
      <c r="P269">
        <f t="shared" si="965"/>
        <v>-0.36770302290514856</v>
      </c>
      <c r="Q269">
        <f t="shared" si="966"/>
        <v>-12738098.801134497</v>
      </c>
      <c r="R269">
        <f t="shared" si="967"/>
        <v>23500456.878012396</v>
      </c>
      <c r="S269">
        <f t="shared" si="968"/>
        <v>235.00456878012398</v>
      </c>
      <c r="T269">
        <f t="shared" si="969"/>
        <v>0.23500456878012396</v>
      </c>
    </row>
    <row r="270" spans="1:20" x14ac:dyDescent="0.25">
      <c r="A270" s="5">
        <v>44323</v>
      </c>
      <c r="B270">
        <v>5.7458999999999998</v>
      </c>
      <c r="C270">
        <v>6.5</v>
      </c>
      <c r="D270">
        <v>5</v>
      </c>
      <c r="E270">
        <v>6.2625999999999999</v>
      </c>
      <c r="F270">
        <v>29707364.5</v>
      </c>
      <c r="G270">
        <v>0</v>
      </c>
      <c r="L270" t="s">
        <v>7</v>
      </c>
      <c r="M270" t="s">
        <v>7</v>
      </c>
      <c r="N270" t="s">
        <v>7</v>
      </c>
      <c r="P270">
        <f t="shared" si="965"/>
        <v>0.68346666666666656</v>
      </c>
      <c r="Q270">
        <f t="shared" si="966"/>
        <v>20303993.390266664</v>
      </c>
      <c r="R270">
        <f t="shared" si="967"/>
        <v>36238555.679146893</v>
      </c>
      <c r="S270">
        <f t="shared" si="968"/>
        <v>362.38555679146896</v>
      </c>
      <c r="T270">
        <f t="shared" si="969"/>
        <v>0.36238555679146894</v>
      </c>
    </row>
    <row r="271" spans="1:20" x14ac:dyDescent="0.25">
      <c r="A271" s="5">
        <v>44322</v>
      </c>
      <c r="B271">
        <v>6.1608999999999998</v>
      </c>
      <c r="C271">
        <v>6.49</v>
      </c>
      <c r="D271">
        <v>5.5</v>
      </c>
      <c r="E271">
        <v>5.7510000000000003</v>
      </c>
      <c r="F271">
        <v>20819308.5</v>
      </c>
      <c r="G271">
        <v>0</v>
      </c>
      <c r="L271" t="s">
        <v>7</v>
      </c>
      <c r="M271" t="s">
        <v>7</v>
      </c>
      <c r="N271" t="s">
        <v>7</v>
      </c>
      <c r="P271">
        <f t="shared" si="965"/>
        <v>-0.49292929292929238</v>
      </c>
      <c r="Q271">
        <f t="shared" si="966"/>
        <v>-10262447.018181806</v>
      </c>
      <c r="R271">
        <f t="shared" si="967"/>
        <v>15934562.288880231</v>
      </c>
      <c r="S271">
        <f t="shared" si="968"/>
        <v>159.3456228888023</v>
      </c>
      <c r="T271">
        <f t="shared" si="969"/>
        <v>0.1593456228888023</v>
      </c>
    </row>
    <row r="272" spans="1:20" x14ac:dyDescent="0.25">
      <c r="A272" s="5">
        <v>44321</v>
      </c>
      <c r="B272">
        <v>6.0285000000000002</v>
      </c>
      <c r="C272">
        <v>6.8</v>
      </c>
      <c r="D272">
        <v>5.92</v>
      </c>
      <c r="E272">
        <v>6.1635999999999997</v>
      </c>
      <c r="F272">
        <v>16734240</v>
      </c>
      <c r="G272">
        <v>0</v>
      </c>
      <c r="L272" t="s">
        <v>8</v>
      </c>
      <c r="M272" t="s">
        <v>8</v>
      </c>
      <c r="N272" t="s">
        <v>7</v>
      </c>
      <c r="P272">
        <f t="shared" si="965"/>
        <v>-0.44636363636363674</v>
      </c>
      <c r="Q272">
        <f t="shared" si="966"/>
        <v>-7469556.2181818243</v>
      </c>
      <c r="R272">
        <f t="shared" si="967"/>
        <v>26197009.307062037</v>
      </c>
      <c r="S272">
        <f t="shared" si="968"/>
        <v>261.97009307062035</v>
      </c>
      <c r="T272">
        <f t="shared" si="969"/>
        <v>0.26197009307062036</v>
      </c>
    </row>
    <row r="273" spans="1:20" x14ac:dyDescent="0.25">
      <c r="A273" s="5">
        <v>44320</v>
      </c>
      <c r="B273">
        <v>6.8379000000000003</v>
      </c>
      <c r="C273">
        <v>7.45</v>
      </c>
      <c r="D273">
        <v>5.7788000000000004</v>
      </c>
      <c r="E273">
        <v>6.0285000000000002</v>
      </c>
      <c r="F273">
        <v>25869268.600000001</v>
      </c>
      <c r="G273">
        <v>0</v>
      </c>
      <c r="L273" t="s">
        <v>7</v>
      </c>
      <c r="M273" t="s">
        <v>7</v>
      </c>
      <c r="N273" t="s">
        <v>7</v>
      </c>
      <c r="P273">
        <f t="shared" si="965"/>
        <v>-0.70117280995691733</v>
      </c>
      <c r="Q273">
        <f t="shared" si="966"/>
        <v>-18138827.755792249</v>
      </c>
      <c r="R273">
        <f t="shared" si="967"/>
        <v>33666565.525243863</v>
      </c>
      <c r="S273">
        <f t="shared" si="968"/>
        <v>336.66565525243863</v>
      </c>
      <c r="T273">
        <f t="shared" si="969"/>
        <v>0.33666565525243863</v>
      </c>
    </row>
    <row r="274" spans="1:20" x14ac:dyDescent="0.25">
      <c r="A274" s="5">
        <v>44319</v>
      </c>
      <c r="B274">
        <v>8.1313999999999993</v>
      </c>
      <c r="C274">
        <v>8.2522000000000002</v>
      </c>
      <c r="D274">
        <v>6.66</v>
      </c>
      <c r="E274">
        <v>6.8289999999999997</v>
      </c>
      <c r="F274">
        <v>29686144.5</v>
      </c>
      <c r="G274">
        <v>0</v>
      </c>
      <c r="L274" t="s">
        <v>7</v>
      </c>
      <c r="M274" t="s">
        <v>7</v>
      </c>
      <c r="N274" t="s">
        <v>8</v>
      </c>
      <c r="P274">
        <f t="shared" si="965"/>
        <v>-0.78771511116693937</v>
      </c>
      <c r="Q274">
        <f t="shared" si="966"/>
        <v>-23384224.614935327</v>
      </c>
      <c r="R274">
        <f t="shared" si="967"/>
        <v>51805393.281036109</v>
      </c>
      <c r="S274">
        <f t="shared" si="968"/>
        <v>518.05393281036106</v>
      </c>
      <c r="T274">
        <f t="shared" si="969"/>
        <v>0.51805393281036105</v>
      </c>
    </row>
    <row r="275" spans="1:20" x14ac:dyDescent="0.25">
      <c r="A275" s="5">
        <v>44318</v>
      </c>
      <c r="B275">
        <v>6.5327999999999999</v>
      </c>
      <c r="C275">
        <v>8.4870000000000001</v>
      </c>
      <c r="D275">
        <v>6.07</v>
      </c>
      <c r="E275">
        <v>8.1395999999999997</v>
      </c>
      <c r="F275">
        <v>74804638.900000006</v>
      </c>
      <c r="G275">
        <v>0</v>
      </c>
      <c r="L275" t="s">
        <v>8</v>
      </c>
      <c r="M275" t="s">
        <v>8</v>
      </c>
      <c r="N275" t="s">
        <v>8</v>
      </c>
      <c r="P275">
        <f t="shared" si="965"/>
        <v>0.71253620190318545</v>
      </c>
      <c r="Q275">
        <f t="shared" si="966"/>
        <v>53301013.286545284</v>
      </c>
      <c r="R275">
        <f t="shared" si="967"/>
        <v>75189617.895971432</v>
      </c>
      <c r="S275">
        <f t="shared" si="968"/>
        <v>751.89617895971435</v>
      </c>
      <c r="T275">
        <f t="shared" si="969"/>
        <v>0.75189617895971439</v>
      </c>
    </row>
    <row r="276" spans="1:20" x14ac:dyDescent="0.25">
      <c r="A276" s="5">
        <v>44317</v>
      </c>
      <c r="B276">
        <v>4.3074000000000003</v>
      </c>
      <c r="C276">
        <v>7.4625000000000004</v>
      </c>
      <c r="D276">
        <v>4.25</v>
      </c>
      <c r="E276">
        <v>6.5454999999999997</v>
      </c>
      <c r="F276">
        <v>65666155.600000001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0.42910505836575841</v>
      </c>
      <c r="Q276">
        <f t="shared" si="966"/>
        <v>28177679.531392973</v>
      </c>
      <c r="R276">
        <f t="shared" si="967"/>
        <v>21888604.609426148</v>
      </c>
      <c r="S276">
        <f t="shared" si="968"/>
        <v>218.88604609426147</v>
      </c>
      <c r="T276">
        <f t="shared" si="969"/>
        <v>0.21888604609426146</v>
      </c>
    </row>
    <row r="277" spans="1:20" x14ac:dyDescent="0.25">
      <c r="A277" s="5">
        <v>44316</v>
      </c>
      <c r="B277">
        <v>4.5580999999999996</v>
      </c>
      <c r="C277">
        <v>5.8879999999999999</v>
      </c>
      <c r="D277">
        <v>4.2</v>
      </c>
      <c r="E277">
        <v>4.3026</v>
      </c>
      <c r="F277">
        <v>7159400.0999999996</v>
      </c>
      <c r="G277">
        <v>0</v>
      </c>
      <c r="P277">
        <f t="shared" si="965"/>
        <v>-0.87843601895734613</v>
      </c>
      <c r="Q277">
        <f t="shared" si="966"/>
        <v>-6289074.9219668256</v>
      </c>
      <c r="R277">
        <f t="shared" si="967"/>
        <v>-6289074.9219668256</v>
      </c>
      <c r="S277">
        <f t="shared" si="968"/>
        <v>-62.890749219668258</v>
      </c>
      <c r="T277">
        <f t="shared" si="969"/>
        <v>-6.2890749219668252E-2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5"/>
        <v>0</v>
      </c>
      <c r="Q278">
        <f t="shared" si="966"/>
        <v>0</v>
      </c>
      <c r="R278">
        <f t="shared" si="967"/>
        <v>0</v>
      </c>
      <c r="S278">
        <f t="shared" si="968"/>
        <v>0</v>
      </c>
      <c r="T278">
        <f t="shared" si="969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5"/>
        <v>0</v>
      </c>
      <c r="Q279">
        <f t="shared" si="966"/>
        <v>0</v>
      </c>
      <c r="R279">
        <f t="shared" si="967"/>
        <v>0</v>
      </c>
      <c r="S279">
        <f t="shared" si="968"/>
        <v>0</v>
      </c>
      <c r="T279">
        <f t="shared" si="969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5"/>
        <v>0</v>
      </c>
      <c r="Q280">
        <f t="shared" si="966"/>
        <v>0</v>
      </c>
      <c r="R280">
        <f t="shared" si="967"/>
        <v>0</v>
      </c>
      <c r="S280">
        <f t="shared" si="968"/>
        <v>0</v>
      </c>
      <c r="T280">
        <f t="shared" si="969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5"/>
        <v>0</v>
      </c>
      <c r="Q281">
        <f t="shared" si="966"/>
        <v>0</v>
      </c>
      <c r="R281">
        <f t="shared" si="967"/>
        <v>0</v>
      </c>
      <c r="S281">
        <f t="shared" si="968"/>
        <v>0</v>
      </c>
      <c r="T281">
        <f t="shared" si="969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5"/>
        <v>0</v>
      </c>
      <c r="Q282">
        <f t="shared" si="966"/>
        <v>0</v>
      </c>
      <c r="R282">
        <f t="shared" si="967"/>
        <v>0</v>
      </c>
      <c r="S282">
        <f t="shared" si="968"/>
        <v>0</v>
      </c>
      <c r="T282">
        <f t="shared" si="969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5"/>
        <v>0</v>
      </c>
      <c r="Q283">
        <f t="shared" si="966"/>
        <v>0</v>
      </c>
      <c r="R283">
        <f t="shared" si="967"/>
        <v>0</v>
      </c>
      <c r="S283">
        <f t="shared" si="968"/>
        <v>0</v>
      </c>
      <c r="T283">
        <f t="shared" si="969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5"/>
        <v>0</v>
      </c>
      <c r="Q284">
        <f t="shared" si="966"/>
        <v>0</v>
      </c>
      <c r="R284">
        <f t="shared" si="967"/>
        <v>0</v>
      </c>
      <c r="S284">
        <f t="shared" si="968"/>
        <v>0</v>
      </c>
      <c r="T284">
        <f t="shared" si="969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5"/>
        <v>0</v>
      </c>
      <c r="Q285">
        <f t="shared" si="966"/>
        <v>0</v>
      </c>
      <c r="R285">
        <f t="shared" si="967"/>
        <v>0</v>
      </c>
      <c r="S285">
        <f t="shared" si="968"/>
        <v>0</v>
      </c>
      <c r="T285">
        <f t="shared" si="969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5"/>
        <v>0</v>
      </c>
      <c r="Q286">
        <f t="shared" si="966"/>
        <v>0</v>
      </c>
      <c r="R286">
        <f t="shared" si="967"/>
        <v>0</v>
      </c>
      <c r="S286">
        <f t="shared" si="968"/>
        <v>0</v>
      </c>
      <c r="T286">
        <f t="shared" si="969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5"/>
        <v>0</v>
      </c>
      <c r="Q287">
        <f t="shared" si="966"/>
        <v>0</v>
      </c>
      <c r="R287">
        <f t="shared" si="967"/>
        <v>0</v>
      </c>
      <c r="S287">
        <f t="shared" si="968"/>
        <v>0</v>
      </c>
      <c r="T287">
        <f t="shared" si="969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5"/>
        <v>0</v>
      </c>
      <c r="Q288">
        <f t="shared" si="966"/>
        <v>0</v>
      </c>
      <c r="R288">
        <f t="shared" si="967"/>
        <v>0</v>
      </c>
      <c r="S288">
        <f t="shared" si="968"/>
        <v>0</v>
      </c>
      <c r="T288">
        <f t="shared" si="969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5"/>
        <v>0</v>
      </c>
      <c r="Q289">
        <f t="shared" si="966"/>
        <v>0</v>
      </c>
      <c r="R289">
        <f t="shared" si="967"/>
        <v>0</v>
      </c>
      <c r="S289">
        <f t="shared" si="968"/>
        <v>0</v>
      </c>
      <c r="T289">
        <f t="shared" si="969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5"/>
        <v>0</v>
      </c>
      <c r="Q290">
        <f t="shared" si="966"/>
        <v>0</v>
      </c>
      <c r="R290">
        <f t="shared" si="967"/>
        <v>0</v>
      </c>
      <c r="S290">
        <f t="shared" si="968"/>
        <v>0</v>
      </c>
      <c r="T290">
        <f t="shared" si="969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5"/>
        <v>0</v>
      </c>
      <c r="Q291">
        <f t="shared" si="966"/>
        <v>0</v>
      </c>
      <c r="R291">
        <f t="shared" si="967"/>
        <v>0</v>
      </c>
      <c r="S291">
        <f t="shared" si="968"/>
        <v>0</v>
      </c>
      <c r="T291">
        <f t="shared" si="969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5"/>
        <v>0</v>
      </c>
      <c r="Q292">
        <f t="shared" si="966"/>
        <v>0</v>
      </c>
      <c r="R292">
        <f t="shared" si="967"/>
        <v>0</v>
      </c>
      <c r="S292">
        <f t="shared" si="968"/>
        <v>0</v>
      </c>
      <c r="T292">
        <f t="shared" si="969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5"/>
        <v>0</v>
      </c>
      <c r="Q293">
        <f t="shared" si="966"/>
        <v>0</v>
      </c>
      <c r="R293">
        <f t="shared" si="967"/>
        <v>0</v>
      </c>
      <c r="S293">
        <f t="shared" si="968"/>
        <v>0</v>
      </c>
      <c r="T293">
        <f t="shared" si="969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5"/>
        <v>0</v>
      </c>
      <c r="Q294">
        <f t="shared" si="966"/>
        <v>0</v>
      </c>
      <c r="R294">
        <f t="shared" si="967"/>
        <v>0</v>
      </c>
      <c r="S294">
        <f t="shared" si="968"/>
        <v>0</v>
      </c>
      <c r="T294">
        <f t="shared" si="969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5"/>
        <v>0</v>
      </c>
      <c r="Q295">
        <f t="shared" si="966"/>
        <v>0</v>
      </c>
      <c r="R295">
        <f t="shared" si="967"/>
        <v>0</v>
      </c>
      <c r="S295">
        <f t="shared" si="968"/>
        <v>0</v>
      </c>
      <c r="T295">
        <f t="shared" si="969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5"/>
        <v>0</v>
      </c>
      <c r="Q296">
        <f t="shared" si="966"/>
        <v>0</v>
      </c>
      <c r="R296">
        <f t="shared" si="967"/>
        <v>0</v>
      </c>
      <c r="S296">
        <f t="shared" si="968"/>
        <v>0</v>
      </c>
      <c r="T296">
        <f t="shared" si="969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5"/>
        <v>0</v>
      </c>
      <c r="Q297">
        <f t="shared" si="966"/>
        <v>0</v>
      </c>
      <c r="R297">
        <f t="shared" si="967"/>
        <v>0</v>
      </c>
      <c r="S297">
        <f t="shared" si="968"/>
        <v>0</v>
      </c>
      <c r="T297">
        <f t="shared" si="969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5"/>
        <v>0</v>
      </c>
      <c r="Q298">
        <f t="shared" si="966"/>
        <v>0</v>
      </c>
      <c r="R298">
        <f t="shared" si="967"/>
        <v>0</v>
      </c>
      <c r="S298">
        <f t="shared" si="968"/>
        <v>0</v>
      </c>
      <c r="T298">
        <f t="shared" si="969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5"/>
        <v>0</v>
      </c>
      <c r="Q299">
        <f t="shared" si="966"/>
        <v>0</v>
      </c>
      <c r="R299">
        <f t="shared" si="967"/>
        <v>0</v>
      </c>
      <c r="S299">
        <f t="shared" si="968"/>
        <v>0</v>
      </c>
      <c r="T299">
        <f t="shared" si="969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5"/>
        <v>0</v>
      </c>
      <c r="Q300">
        <f t="shared" si="966"/>
        <v>0</v>
      </c>
      <c r="R300">
        <f t="shared" si="967"/>
        <v>0</v>
      </c>
      <c r="S300">
        <f t="shared" si="968"/>
        <v>0</v>
      </c>
      <c r="T300">
        <f t="shared" si="969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5"/>
        <v>0</v>
      </c>
      <c r="Q301">
        <f t="shared" si="966"/>
        <v>0</v>
      </c>
      <c r="R301">
        <f t="shared" si="967"/>
        <v>0</v>
      </c>
      <c r="S301">
        <f t="shared" si="968"/>
        <v>0</v>
      </c>
      <c r="T301">
        <f t="shared" si="969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5"/>
        <v>0</v>
      </c>
      <c r="Q302">
        <f t="shared" si="966"/>
        <v>0</v>
      </c>
      <c r="R302">
        <f t="shared" si="967"/>
        <v>0</v>
      </c>
      <c r="S302">
        <f t="shared" si="968"/>
        <v>0</v>
      </c>
      <c r="T302">
        <f t="shared" si="969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5"/>
        <v>0</v>
      </c>
      <c r="Q303">
        <f t="shared" si="966"/>
        <v>0</v>
      </c>
      <c r="R303">
        <f t="shared" si="967"/>
        <v>0</v>
      </c>
      <c r="S303">
        <f t="shared" si="968"/>
        <v>0</v>
      </c>
      <c r="T303">
        <f t="shared" si="969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5"/>
        <v>0</v>
      </c>
      <c r="Q304">
        <f t="shared" si="966"/>
        <v>0</v>
      </c>
      <c r="R304">
        <f t="shared" si="967"/>
        <v>0</v>
      </c>
      <c r="S304">
        <f t="shared" si="968"/>
        <v>0</v>
      </c>
      <c r="T304">
        <f t="shared" si="969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5"/>
        <v>0</v>
      </c>
      <c r="Q305">
        <f t="shared" si="966"/>
        <v>0</v>
      </c>
      <c r="R305">
        <f t="shared" si="967"/>
        <v>0</v>
      </c>
      <c r="S305">
        <f t="shared" si="968"/>
        <v>0</v>
      </c>
      <c r="T305">
        <f t="shared" si="969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5"/>
        <v>0</v>
      </c>
      <c r="Q306">
        <f t="shared" si="966"/>
        <v>0</v>
      </c>
      <c r="R306">
        <f t="shared" si="967"/>
        <v>0</v>
      </c>
      <c r="S306">
        <f t="shared" si="968"/>
        <v>0</v>
      </c>
      <c r="T306">
        <f t="shared" si="969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5"/>
        <v>0</v>
      </c>
      <c r="Q307">
        <f t="shared" si="966"/>
        <v>0</v>
      </c>
      <c r="R307">
        <f t="shared" si="967"/>
        <v>0</v>
      </c>
      <c r="S307">
        <f t="shared" si="968"/>
        <v>0</v>
      </c>
      <c r="T307">
        <f t="shared" si="969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5"/>
        <v>0</v>
      </c>
      <c r="Q308">
        <f t="shared" si="966"/>
        <v>0</v>
      </c>
      <c r="R308">
        <f t="shared" si="967"/>
        <v>0</v>
      </c>
      <c r="S308">
        <f t="shared" si="968"/>
        <v>0</v>
      </c>
      <c r="T308">
        <f t="shared" si="969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5"/>
        <v>0</v>
      </c>
      <c r="Q309">
        <f t="shared" si="966"/>
        <v>0</v>
      </c>
      <c r="R309">
        <f t="shared" si="967"/>
        <v>0</v>
      </c>
      <c r="S309">
        <f t="shared" si="968"/>
        <v>0</v>
      </c>
      <c r="T309">
        <f t="shared" si="969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5"/>
        <v>0</v>
      </c>
      <c r="Q310">
        <f t="shared" si="966"/>
        <v>0</v>
      </c>
      <c r="R310">
        <f t="shared" si="967"/>
        <v>0</v>
      </c>
      <c r="S310">
        <f t="shared" si="968"/>
        <v>0</v>
      </c>
      <c r="T310">
        <f t="shared" si="969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5"/>
        <v>0</v>
      </c>
      <c r="Q311">
        <f t="shared" si="966"/>
        <v>0</v>
      </c>
      <c r="R311">
        <f t="shared" si="967"/>
        <v>0</v>
      </c>
      <c r="S311">
        <f t="shared" si="968"/>
        <v>0</v>
      </c>
      <c r="T311">
        <f t="shared" si="969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5"/>
        <v>0</v>
      </c>
      <c r="Q312">
        <f t="shared" si="966"/>
        <v>0</v>
      </c>
      <c r="R312">
        <f t="shared" si="967"/>
        <v>0</v>
      </c>
      <c r="S312">
        <f t="shared" si="968"/>
        <v>0</v>
      </c>
      <c r="T312">
        <f t="shared" si="969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5"/>
        <v>0</v>
      </c>
      <c r="Q313">
        <f t="shared" si="966"/>
        <v>0</v>
      </c>
      <c r="R313">
        <f t="shared" si="967"/>
        <v>0</v>
      </c>
      <c r="S313">
        <f t="shared" si="968"/>
        <v>0</v>
      </c>
      <c r="T313">
        <f t="shared" si="969"/>
        <v>0</v>
      </c>
    </row>
    <row r="314" spans="1:20" x14ac:dyDescent="0.25">
      <c r="A314" s="5"/>
      <c r="P314">
        <f t="shared" si="965"/>
        <v>0</v>
      </c>
      <c r="Q314">
        <f t="shared" si="966"/>
        <v>0</v>
      </c>
      <c r="R314">
        <f t="shared" si="967"/>
        <v>0</v>
      </c>
      <c r="S314">
        <f t="shared" si="968"/>
        <v>0</v>
      </c>
      <c r="T314">
        <f t="shared" si="969"/>
        <v>0</v>
      </c>
    </row>
    <row r="315" spans="1:20" x14ac:dyDescent="0.25">
      <c r="A315" s="5"/>
      <c r="P315">
        <f t="shared" si="965"/>
        <v>0</v>
      </c>
      <c r="Q315">
        <f t="shared" si="966"/>
        <v>0</v>
      </c>
      <c r="R315">
        <f t="shared" si="967"/>
        <v>0</v>
      </c>
      <c r="S315">
        <f t="shared" si="968"/>
        <v>0</v>
      </c>
      <c r="T315">
        <f t="shared" si="969"/>
        <v>0</v>
      </c>
    </row>
    <row r="316" spans="1:20" x14ac:dyDescent="0.25">
      <c r="A316" s="5"/>
      <c r="P316">
        <f t="shared" si="965"/>
        <v>0</v>
      </c>
      <c r="Q316">
        <f t="shared" si="966"/>
        <v>0</v>
      </c>
      <c r="R316">
        <f t="shared" si="967"/>
        <v>0</v>
      </c>
      <c r="S316">
        <f t="shared" si="968"/>
        <v>0</v>
      </c>
      <c r="T316">
        <f t="shared" si="969"/>
        <v>0</v>
      </c>
    </row>
    <row r="317" spans="1:20" x14ac:dyDescent="0.25">
      <c r="A317" s="5"/>
      <c r="P317">
        <f t="shared" si="965"/>
        <v>0</v>
      </c>
      <c r="Q317">
        <f t="shared" si="966"/>
        <v>0</v>
      </c>
      <c r="R317">
        <f t="shared" si="967"/>
        <v>0</v>
      </c>
      <c r="S317">
        <f t="shared" si="968"/>
        <v>0</v>
      </c>
      <c r="T317">
        <f t="shared" si="969"/>
        <v>0</v>
      </c>
    </row>
    <row r="318" spans="1:20" x14ac:dyDescent="0.25">
      <c r="A318" s="5"/>
      <c r="P318">
        <f t="shared" si="965"/>
        <v>0</v>
      </c>
      <c r="Q318">
        <f t="shared" si="966"/>
        <v>0</v>
      </c>
      <c r="R318">
        <f t="shared" si="967"/>
        <v>0</v>
      </c>
      <c r="S318">
        <f t="shared" si="968"/>
        <v>0</v>
      </c>
      <c r="T318">
        <f t="shared" si="969"/>
        <v>0</v>
      </c>
    </row>
    <row r="319" spans="1:20" x14ac:dyDescent="0.25">
      <c r="A319" s="5"/>
      <c r="P319">
        <f t="shared" si="965"/>
        <v>0</v>
      </c>
      <c r="Q319">
        <f t="shared" si="966"/>
        <v>0</v>
      </c>
      <c r="R319">
        <f t="shared" si="967"/>
        <v>0</v>
      </c>
      <c r="S319">
        <f t="shared" si="968"/>
        <v>0</v>
      </c>
      <c r="T319">
        <f t="shared" si="969"/>
        <v>0</v>
      </c>
    </row>
    <row r="320" spans="1:20" x14ac:dyDescent="0.25">
      <c r="A320" s="5"/>
      <c r="P320">
        <f t="shared" si="965"/>
        <v>0</v>
      </c>
      <c r="Q320">
        <f t="shared" si="966"/>
        <v>0</v>
      </c>
      <c r="R320">
        <f t="shared" si="967"/>
        <v>0</v>
      </c>
      <c r="S320">
        <f t="shared" si="968"/>
        <v>0</v>
      </c>
      <c r="T320">
        <f t="shared" si="969"/>
        <v>0</v>
      </c>
    </row>
    <row r="321" spans="1:20" x14ac:dyDescent="0.25">
      <c r="A321" s="5"/>
      <c r="P321">
        <f t="shared" si="965"/>
        <v>0</v>
      </c>
      <c r="Q321">
        <f t="shared" si="966"/>
        <v>0</v>
      </c>
      <c r="R321">
        <f t="shared" si="967"/>
        <v>0</v>
      </c>
      <c r="S321">
        <f t="shared" si="968"/>
        <v>0</v>
      </c>
      <c r="T321">
        <f t="shared" si="969"/>
        <v>0</v>
      </c>
    </row>
    <row r="322" spans="1:20" x14ac:dyDescent="0.25">
      <c r="A322" s="5"/>
      <c r="P322">
        <f t="shared" si="965"/>
        <v>0</v>
      </c>
      <c r="Q322">
        <f t="shared" si="966"/>
        <v>0</v>
      </c>
      <c r="R322">
        <f t="shared" si="967"/>
        <v>0</v>
      </c>
      <c r="S322">
        <f t="shared" si="968"/>
        <v>0</v>
      </c>
      <c r="T322">
        <f t="shared" si="969"/>
        <v>0</v>
      </c>
    </row>
    <row r="323" spans="1:20" x14ac:dyDescent="0.25">
      <c r="A323" s="5"/>
      <c r="P323">
        <f t="shared" si="965"/>
        <v>0</v>
      </c>
      <c r="Q323">
        <f t="shared" si="966"/>
        <v>0</v>
      </c>
      <c r="R323">
        <f t="shared" si="967"/>
        <v>0</v>
      </c>
      <c r="S323">
        <f t="shared" si="968"/>
        <v>0</v>
      </c>
      <c r="T323">
        <f t="shared" si="969"/>
        <v>0</v>
      </c>
    </row>
    <row r="324" spans="1:20" x14ac:dyDescent="0.25">
      <c r="A324" s="5"/>
      <c r="P324">
        <f t="shared" si="965"/>
        <v>0</v>
      </c>
      <c r="Q324">
        <f t="shared" si="966"/>
        <v>0</v>
      </c>
      <c r="R324">
        <f t="shared" si="967"/>
        <v>0</v>
      </c>
      <c r="S324">
        <f t="shared" si="968"/>
        <v>0</v>
      </c>
      <c r="T324">
        <f t="shared" si="969"/>
        <v>0</v>
      </c>
    </row>
    <row r="325" spans="1:20" x14ac:dyDescent="0.25">
      <c r="A325" s="5"/>
      <c r="C325"/>
      <c r="D325"/>
      <c r="P325">
        <f t="shared" si="965"/>
        <v>0</v>
      </c>
      <c r="Q325">
        <f t="shared" si="966"/>
        <v>0</v>
      </c>
      <c r="R325">
        <f t="shared" si="967"/>
        <v>0</v>
      </c>
      <c r="S325">
        <f t="shared" si="968"/>
        <v>0</v>
      </c>
      <c r="T325">
        <f t="shared" si="969"/>
        <v>0</v>
      </c>
    </row>
    <row r="326" spans="1:20" x14ac:dyDescent="0.25">
      <c r="A326" s="5"/>
      <c r="C326"/>
      <c r="D326"/>
      <c r="P326">
        <f t="shared" ref="P326:P389" si="970">IF(C326=D326,0,((E326-D326)-(C326-E326))/(C326-D326))</f>
        <v>0</v>
      </c>
      <c r="Q326">
        <f t="shared" ref="Q326:Q389" si="971">F326*P326</f>
        <v>0</v>
      </c>
      <c r="R326">
        <f t="shared" ref="R326:R389" si="972">R327+Q326</f>
        <v>0</v>
      </c>
      <c r="S326">
        <f t="shared" ref="S326:S389" si="973">R326/100000</f>
        <v>0</v>
      </c>
      <c r="T326">
        <f t="shared" ref="T326:T389" si="974">S326/1000</f>
        <v>0</v>
      </c>
    </row>
    <row r="327" spans="1:20" x14ac:dyDescent="0.25">
      <c r="A327" s="5"/>
      <c r="C327"/>
      <c r="D327"/>
      <c r="P327">
        <f t="shared" si="970"/>
        <v>0</v>
      </c>
      <c r="Q327">
        <f t="shared" si="971"/>
        <v>0</v>
      </c>
      <c r="R327">
        <f t="shared" si="972"/>
        <v>0</v>
      </c>
      <c r="S327">
        <f t="shared" si="973"/>
        <v>0</v>
      </c>
      <c r="T327">
        <f t="shared" si="974"/>
        <v>0</v>
      </c>
    </row>
    <row r="328" spans="1:20" x14ac:dyDescent="0.25">
      <c r="A328" s="5"/>
      <c r="C328"/>
      <c r="D328"/>
      <c r="P328">
        <f t="shared" si="970"/>
        <v>0</v>
      </c>
      <c r="Q328">
        <f t="shared" si="971"/>
        <v>0</v>
      </c>
      <c r="R328">
        <f t="shared" si="972"/>
        <v>0</v>
      </c>
      <c r="S328">
        <f t="shared" si="973"/>
        <v>0</v>
      </c>
      <c r="T328">
        <f t="shared" si="974"/>
        <v>0</v>
      </c>
    </row>
    <row r="329" spans="1:20" x14ac:dyDescent="0.25">
      <c r="A329" s="5"/>
      <c r="C329"/>
      <c r="D329"/>
      <c r="P329">
        <f t="shared" si="970"/>
        <v>0</v>
      </c>
      <c r="Q329">
        <f t="shared" si="971"/>
        <v>0</v>
      </c>
      <c r="R329">
        <f t="shared" si="972"/>
        <v>0</v>
      </c>
      <c r="S329">
        <f t="shared" si="973"/>
        <v>0</v>
      </c>
      <c r="T329">
        <f t="shared" si="974"/>
        <v>0</v>
      </c>
    </row>
    <row r="330" spans="1:20" x14ac:dyDescent="0.25">
      <c r="A330" s="5"/>
      <c r="C330"/>
      <c r="D330"/>
      <c r="P330">
        <f t="shared" si="970"/>
        <v>0</v>
      </c>
      <c r="Q330">
        <f t="shared" si="971"/>
        <v>0</v>
      </c>
      <c r="R330">
        <f t="shared" si="972"/>
        <v>0</v>
      </c>
      <c r="S330">
        <f t="shared" si="973"/>
        <v>0</v>
      </c>
      <c r="T330">
        <f t="shared" si="974"/>
        <v>0</v>
      </c>
    </row>
    <row r="331" spans="1:20" x14ac:dyDescent="0.25">
      <c r="A331" s="5"/>
      <c r="C331"/>
      <c r="D331"/>
      <c r="P331">
        <f t="shared" si="970"/>
        <v>0</v>
      </c>
      <c r="Q331">
        <f t="shared" si="971"/>
        <v>0</v>
      </c>
      <c r="R331">
        <f t="shared" si="972"/>
        <v>0</v>
      </c>
      <c r="S331">
        <f t="shared" si="973"/>
        <v>0</v>
      </c>
      <c r="T331">
        <f t="shared" si="974"/>
        <v>0</v>
      </c>
    </row>
    <row r="332" spans="1:20" x14ac:dyDescent="0.25">
      <c r="A332" s="5"/>
      <c r="C332"/>
      <c r="D332"/>
      <c r="P332">
        <f t="shared" si="970"/>
        <v>0</v>
      </c>
      <c r="Q332">
        <f t="shared" si="971"/>
        <v>0</v>
      </c>
      <c r="R332">
        <f t="shared" si="972"/>
        <v>0</v>
      </c>
      <c r="S332">
        <f t="shared" si="973"/>
        <v>0</v>
      </c>
      <c r="T332">
        <f t="shared" si="974"/>
        <v>0</v>
      </c>
    </row>
    <row r="333" spans="1:20" x14ac:dyDescent="0.25">
      <c r="A333" s="5"/>
      <c r="C333"/>
      <c r="D333"/>
      <c r="P333">
        <f t="shared" si="970"/>
        <v>0</v>
      </c>
      <c r="Q333">
        <f t="shared" si="971"/>
        <v>0</v>
      </c>
      <c r="R333">
        <f t="shared" si="972"/>
        <v>0</v>
      </c>
      <c r="S333">
        <f t="shared" si="973"/>
        <v>0</v>
      </c>
      <c r="T333">
        <f t="shared" si="974"/>
        <v>0</v>
      </c>
    </row>
    <row r="334" spans="1:20" x14ac:dyDescent="0.25">
      <c r="A334" s="5"/>
      <c r="C334"/>
      <c r="D334"/>
      <c r="P334">
        <f t="shared" si="970"/>
        <v>0</v>
      </c>
      <c r="Q334">
        <f t="shared" si="971"/>
        <v>0</v>
      </c>
      <c r="R334">
        <f t="shared" si="972"/>
        <v>0</v>
      </c>
      <c r="S334">
        <f t="shared" si="973"/>
        <v>0</v>
      </c>
      <c r="T334">
        <f t="shared" si="974"/>
        <v>0</v>
      </c>
    </row>
    <row r="335" spans="1:20" x14ac:dyDescent="0.25">
      <c r="A335" s="5"/>
      <c r="C335"/>
      <c r="D335"/>
      <c r="P335">
        <f t="shared" si="970"/>
        <v>0</v>
      </c>
      <c r="Q335">
        <f t="shared" si="971"/>
        <v>0</v>
      </c>
      <c r="R335">
        <f t="shared" si="972"/>
        <v>0</v>
      </c>
      <c r="S335">
        <f t="shared" si="973"/>
        <v>0</v>
      </c>
      <c r="T335">
        <f t="shared" si="974"/>
        <v>0</v>
      </c>
    </row>
    <row r="336" spans="1:20" x14ac:dyDescent="0.25">
      <c r="A336" s="5"/>
      <c r="C336"/>
      <c r="D336"/>
      <c r="P336">
        <f t="shared" si="970"/>
        <v>0</v>
      </c>
      <c r="Q336">
        <f t="shared" si="971"/>
        <v>0</v>
      </c>
      <c r="R336">
        <f t="shared" si="972"/>
        <v>0</v>
      </c>
      <c r="S336">
        <f t="shared" si="973"/>
        <v>0</v>
      </c>
      <c r="T336">
        <f t="shared" si="974"/>
        <v>0</v>
      </c>
    </row>
    <row r="337" spans="1:20" x14ac:dyDescent="0.25">
      <c r="A337" s="5"/>
      <c r="C337"/>
      <c r="D337"/>
      <c r="P337">
        <f t="shared" si="970"/>
        <v>0</v>
      </c>
      <c r="Q337">
        <f t="shared" si="971"/>
        <v>0</v>
      </c>
      <c r="R337">
        <f t="shared" si="972"/>
        <v>0</v>
      </c>
      <c r="S337">
        <f t="shared" si="973"/>
        <v>0</v>
      </c>
      <c r="T337">
        <f t="shared" si="974"/>
        <v>0</v>
      </c>
    </row>
    <row r="338" spans="1:20" x14ac:dyDescent="0.25">
      <c r="A338" s="5"/>
      <c r="C338"/>
      <c r="D338"/>
      <c r="P338">
        <f t="shared" si="970"/>
        <v>0</v>
      </c>
      <c r="Q338">
        <f t="shared" si="971"/>
        <v>0</v>
      </c>
      <c r="R338">
        <f t="shared" si="972"/>
        <v>0</v>
      </c>
      <c r="S338">
        <f t="shared" si="973"/>
        <v>0</v>
      </c>
      <c r="T338">
        <f t="shared" si="974"/>
        <v>0</v>
      </c>
    </row>
    <row r="339" spans="1:20" x14ac:dyDescent="0.25">
      <c r="A339" s="5"/>
      <c r="C339"/>
      <c r="D339"/>
      <c r="P339">
        <f t="shared" si="970"/>
        <v>0</v>
      </c>
      <c r="Q339">
        <f t="shared" si="971"/>
        <v>0</v>
      </c>
      <c r="R339">
        <f t="shared" si="972"/>
        <v>0</v>
      </c>
      <c r="S339">
        <f t="shared" si="973"/>
        <v>0</v>
      </c>
      <c r="T339">
        <f t="shared" si="974"/>
        <v>0</v>
      </c>
    </row>
    <row r="340" spans="1:20" x14ac:dyDescent="0.25">
      <c r="A340" s="5"/>
      <c r="C340"/>
      <c r="D340"/>
      <c r="P340">
        <f t="shared" si="970"/>
        <v>0</v>
      </c>
      <c r="Q340">
        <f t="shared" si="971"/>
        <v>0</v>
      </c>
      <c r="R340">
        <f t="shared" si="972"/>
        <v>0</v>
      </c>
      <c r="S340">
        <f t="shared" si="973"/>
        <v>0</v>
      </c>
      <c r="T340">
        <f t="shared" si="974"/>
        <v>0</v>
      </c>
    </row>
    <row r="341" spans="1:20" x14ac:dyDescent="0.25">
      <c r="A341" s="5"/>
      <c r="C341"/>
      <c r="D341"/>
      <c r="P341">
        <f t="shared" si="970"/>
        <v>0</v>
      </c>
      <c r="Q341">
        <f t="shared" si="971"/>
        <v>0</v>
      </c>
      <c r="R341">
        <f t="shared" si="972"/>
        <v>0</v>
      </c>
      <c r="S341">
        <f t="shared" si="973"/>
        <v>0</v>
      </c>
      <c r="T341">
        <f t="shared" si="974"/>
        <v>0</v>
      </c>
    </row>
    <row r="342" spans="1:20" x14ac:dyDescent="0.25">
      <c r="A342" s="5"/>
      <c r="C342"/>
      <c r="D342"/>
      <c r="P342">
        <f t="shared" si="970"/>
        <v>0</v>
      </c>
      <c r="Q342">
        <f t="shared" si="971"/>
        <v>0</v>
      </c>
      <c r="R342">
        <f t="shared" si="972"/>
        <v>0</v>
      </c>
      <c r="S342">
        <f t="shared" si="973"/>
        <v>0</v>
      </c>
      <c r="T342">
        <f t="shared" si="974"/>
        <v>0</v>
      </c>
    </row>
    <row r="343" spans="1:20" x14ac:dyDescent="0.25">
      <c r="A343" s="5"/>
      <c r="C343"/>
      <c r="D343"/>
      <c r="P343">
        <f t="shared" si="970"/>
        <v>0</v>
      </c>
      <c r="Q343">
        <f t="shared" si="971"/>
        <v>0</v>
      </c>
      <c r="R343">
        <f t="shared" si="972"/>
        <v>0</v>
      </c>
      <c r="S343">
        <f t="shared" si="973"/>
        <v>0</v>
      </c>
      <c r="T343">
        <f t="shared" si="974"/>
        <v>0</v>
      </c>
    </row>
    <row r="344" spans="1:20" x14ac:dyDescent="0.25">
      <c r="A344" s="5"/>
      <c r="C344"/>
      <c r="D344"/>
      <c r="P344">
        <f t="shared" si="970"/>
        <v>0</v>
      </c>
      <c r="Q344">
        <f t="shared" si="971"/>
        <v>0</v>
      </c>
      <c r="R344">
        <f t="shared" si="972"/>
        <v>0</v>
      </c>
      <c r="S344">
        <f t="shared" si="973"/>
        <v>0</v>
      </c>
      <c r="T344">
        <f t="shared" si="974"/>
        <v>0</v>
      </c>
    </row>
    <row r="345" spans="1:20" x14ac:dyDescent="0.25">
      <c r="A345" s="5"/>
      <c r="C345"/>
      <c r="D345"/>
      <c r="P345">
        <f t="shared" si="970"/>
        <v>0</v>
      </c>
      <c r="Q345">
        <f t="shared" si="971"/>
        <v>0</v>
      </c>
      <c r="R345">
        <f t="shared" si="972"/>
        <v>0</v>
      </c>
      <c r="S345">
        <f t="shared" si="973"/>
        <v>0</v>
      </c>
      <c r="T345">
        <f t="shared" si="974"/>
        <v>0</v>
      </c>
    </row>
    <row r="346" spans="1:20" x14ac:dyDescent="0.25">
      <c r="A346" s="5"/>
      <c r="C346"/>
      <c r="D346"/>
      <c r="P346">
        <f t="shared" si="970"/>
        <v>0</v>
      </c>
      <c r="Q346">
        <f t="shared" si="971"/>
        <v>0</v>
      </c>
      <c r="R346">
        <f t="shared" si="972"/>
        <v>0</v>
      </c>
      <c r="S346">
        <f t="shared" si="973"/>
        <v>0</v>
      </c>
      <c r="T346">
        <f t="shared" si="974"/>
        <v>0</v>
      </c>
    </row>
    <row r="347" spans="1:20" x14ac:dyDescent="0.25">
      <c r="A347" s="5"/>
      <c r="C347"/>
      <c r="D347"/>
      <c r="P347">
        <f t="shared" si="970"/>
        <v>0</v>
      </c>
      <c r="Q347">
        <f t="shared" si="971"/>
        <v>0</v>
      </c>
      <c r="R347">
        <f t="shared" si="972"/>
        <v>0</v>
      </c>
      <c r="S347">
        <f t="shared" si="973"/>
        <v>0</v>
      </c>
      <c r="T347">
        <f t="shared" si="974"/>
        <v>0</v>
      </c>
    </row>
    <row r="348" spans="1:20" x14ac:dyDescent="0.25">
      <c r="A348" s="5"/>
      <c r="C348"/>
      <c r="D348"/>
      <c r="P348">
        <f t="shared" si="970"/>
        <v>0</v>
      </c>
      <c r="Q348">
        <f t="shared" si="971"/>
        <v>0</v>
      </c>
      <c r="R348">
        <f t="shared" si="972"/>
        <v>0</v>
      </c>
      <c r="S348">
        <f t="shared" si="973"/>
        <v>0</v>
      </c>
      <c r="T348">
        <f t="shared" si="974"/>
        <v>0</v>
      </c>
    </row>
    <row r="349" spans="1:20" x14ac:dyDescent="0.25">
      <c r="A349" s="5"/>
      <c r="C349"/>
      <c r="D349"/>
      <c r="P349">
        <f t="shared" si="970"/>
        <v>0</v>
      </c>
      <c r="Q349">
        <f t="shared" si="971"/>
        <v>0</v>
      </c>
      <c r="R349">
        <f t="shared" si="972"/>
        <v>0</v>
      </c>
      <c r="S349">
        <f t="shared" si="973"/>
        <v>0</v>
      </c>
      <c r="T349">
        <f t="shared" si="974"/>
        <v>0</v>
      </c>
    </row>
    <row r="350" spans="1:20" x14ac:dyDescent="0.25">
      <c r="A350" s="5"/>
      <c r="C350"/>
      <c r="D350"/>
      <c r="P350">
        <f t="shared" si="970"/>
        <v>0</v>
      </c>
      <c r="Q350">
        <f t="shared" si="971"/>
        <v>0</v>
      </c>
      <c r="R350">
        <f t="shared" si="972"/>
        <v>0</v>
      </c>
      <c r="S350">
        <f t="shared" si="973"/>
        <v>0</v>
      </c>
      <c r="T350">
        <f t="shared" si="974"/>
        <v>0</v>
      </c>
    </row>
    <row r="351" spans="1:20" x14ac:dyDescent="0.25">
      <c r="A351" s="5"/>
      <c r="C351"/>
      <c r="D351"/>
      <c r="P351">
        <f t="shared" si="970"/>
        <v>0</v>
      </c>
      <c r="Q351">
        <f t="shared" si="971"/>
        <v>0</v>
      </c>
      <c r="R351">
        <f t="shared" si="972"/>
        <v>0</v>
      </c>
      <c r="S351">
        <f t="shared" si="973"/>
        <v>0</v>
      </c>
      <c r="T351">
        <f t="shared" si="974"/>
        <v>0</v>
      </c>
    </row>
    <row r="352" spans="1:20" x14ac:dyDescent="0.25">
      <c r="A352" s="5"/>
      <c r="C352"/>
      <c r="D352"/>
      <c r="P352">
        <f t="shared" si="970"/>
        <v>0</v>
      </c>
      <c r="Q352">
        <f t="shared" si="971"/>
        <v>0</v>
      </c>
      <c r="R352">
        <f t="shared" si="972"/>
        <v>0</v>
      </c>
      <c r="S352">
        <f t="shared" si="973"/>
        <v>0</v>
      </c>
      <c r="T352">
        <f t="shared" si="974"/>
        <v>0</v>
      </c>
    </row>
    <row r="353" spans="1:20" x14ac:dyDescent="0.25">
      <c r="A353" s="5"/>
      <c r="C353"/>
      <c r="D353"/>
      <c r="P353">
        <f t="shared" si="970"/>
        <v>0</v>
      </c>
      <c r="Q353">
        <f t="shared" si="971"/>
        <v>0</v>
      </c>
      <c r="R353">
        <f t="shared" si="972"/>
        <v>0</v>
      </c>
      <c r="S353">
        <f t="shared" si="973"/>
        <v>0</v>
      </c>
      <c r="T353">
        <f t="shared" si="974"/>
        <v>0</v>
      </c>
    </row>
    <row r="354" spans="1:20" x14ac:dyDescent="0.25">
      <c r="A354" s="5"/>
      <c r="C354"/>
      <c r="D354"/>
      <c r="P354">
        <f t="shared" si="970"/>
        <v>0</v>
      </c>
      <c r="Q354">
        <f t="shared" si="971"/>
        <v>0</v>
      </c>
      <c r="R354">
        <f t="shared" si="972"/>
        <v>0</v>
      </c>
      <c r="S354">
        <f t="shared" si="973"/>
        <v>0</v>
      </c>
      <c r="T354">
        <f t="shared" si="974"/>
        <v>0</v>
      </c>
    </row>
    <row r="355" spans="1:20" x14ac:dyDescent="0.25">
      <c r="A355" s="5"/>
      <c r="C355"/>
      <c r="D355"/>
      <c r="P355">
        <f t="shared" si="970"/>
        <v>0</v>
      </c>
      <c r="Q355">
        <f t="shared" si="971"/>
        <v>0</v>
      </c>
      <c r="R355">
        <f t="shared" si="972"/>
        <v>0</v>
      </c>
      <c r="S355">
        <f t="shared" si="973"/>
        <v>0</v>
      </c>
      <c r="T355">
        <f t="shared" si="974"/>
        <v>0</v>
      </c>
    </row>
    <row r="356" spans="1:20" x14ac:dyDescent="0.25">
      <c r="A356" s="5"/>
      <c r="C356"/>
      <c r="D356"/>
      <c r="P356">
        <f t="shared" si="970"/>
        <v>0</v>
      </c>
      <c r="Q356">
        <f t="shared" si="971"/>
        <v>0</v>
      </c>
      <c r="R356">
        <f t="shared" si="972"/>
        <v>0</v>
      </c>
      <c r="S356">
        <f t="shared" si="973"/>
        <v>0</v>
      </c>
      <c r="T356">
        <f t="shared" si="974"/>
        <v>0</v>
      </c>
    </row>
    <row r="357" spans="1:20" x14ac:dyDescent="0.25">
      <c r="A357" s="5"/>
      <c r="C357"/>
      <c r="D357"/>
      <c r="P357">
        <f t="shared" si="970"/>
        <v>0</v>
      </c>
      <c r="Q357">
        <f t="shared" si="971"/>
        <v>0</v>
      </c>
      <c r="R357">
        <f t="shared" si="972"/>
        <v>0</v>
      </c>
      <c r="S357">
        <f t="shared" si="973"/>
        <v>0</v>
      </c>
      <c r="T357">
        <f t="shared" si="974"/>
        <v>0</v>
      </c>
    </row>
    <row r="358" spans="1:20" x14ac:dyDescent="0.25">
      <c r="A358" s="5"/>
      <c r="C358"/>
      <c r="D358"/>
      <c r="P358">
        <f t="shared" si="970"/>
        <v>0</v>
      </c>
      <c r="Q358">
        <f t="shared" si="971"/>
        <v>0</v>
      </c>
      <c r="R358">
        <f t="shared" si="972"/>
        <v>0</v>
      </c>
      <c r="S358">
        <f t="shared" si="973"/>
        <v>0</v>
      </c>
      <c r="T358">
        <f t="shared" si="974"/>
        <v>0</v>
      </c>
    </row>
    <row r="359" spans="1:20" x14ac:dyDescent="0.25">
      <c r="A359" s="5"/>
      <c r="C359"/>
      <c r="D359"/>
      <c r="P359">
        <f t="shared" si="970"/>
        <v>0</v>
      </c>
      <c r="Q359">
        <f t="shared" si="971"/>
        <v>0</v>
      </c>
      <c r="R359">
        <f t="shared" si="972"/>
        <v>0</v>
      </c>
      <c r="S359">
        <f t="shared" si="973"/>
        <v>0</v>
      </c>
      <c r="T359">
        <f t="shared" si="974"/>
        <v>0</v>
      </c>
    </row>
    <row r="360" spans="1:20" x14ac:dyDescent="0.25">
      <c r="A360" s="5"/>
      <c r="C360"/>
      <c r="D360"/>
      <c r="P360">
        <f t="shared" si="970"/>
        <v>0</v>
      </c>
      <c r="Q360">
        <f t="shared" si="971"/>
        <v>0</v>
      </c>
      <c r="R360">
        <f t="shared" si="972"/>
        <v>0</v>
      </c>
      <c r="S360">
        <f t="shared" si="973"/>
        <v>0</v>
      </c>
      <c r="T360">
        <f t="shared" si="974"/>
        <v>0</v>
      </c>
    </row>
    <row r="361" spans="1:20" x14ac:dyDescent="0.25">
      <c r="A361" s="5"/>
      <c r="C361"/>
      <c r="D361"/>
      <c r="P361">
        <f t="shared" si="970"/>
        <v>0</v>
      </c>
      <c r="Q361">
        <f t="shared" si="971"/>
        <v>0</v>
      </c>
      <c r="R361">
        <f t="shared" si="972"/>
        <v>0</v>
      </c>
      <c r="S361">
        <f t="shared" si="973"/>
        <v>0</v>
      </c>
      <c r="T361">
        <f t="shared" si="974"/>
        <v>0</v>
      </c>
    </row>
    <row r="362" spans="1:20" x14ac:dyDescent="0.25">
      <c r="A362" s="5"/>
      <c r="C362"/>
      <c r="D362"/>
      <c r="P362">
        <f t="shared" si="970"/>
        <v>0</v>
      </c>
      <c r="Q362">
        <f t="shared" si="971"/>
        <v>0</v>
      </c>
      <c r="R362">
        <f t="shared" si="972"/>
        <v>0</v>
      </c>
      <c r="S362">
        <f t="shared" si="973"/>
        <v>0</v>
      </c>
      <c r="T362">
        <f t="shared" si="974"/>
        <v>0</v>
      </c>
    </row>
    <row r="363" spans="1:20" x14ac:dyDescent="0.25">
      <c r="A363" s="5"/>
      <c r="C363"/>
      <c r="D363"/>
      <c r="P363">
        <f t="shared" si="970"/>
        <v>0</v>
      </c>
      <c r="Q363">
        <f t="shared" si="971"/>
        <v>0</v>
      </c>
      <c r="R363">
        <f t="shared" si="972"/>
        <v>0</v>
      </c>
      <c r="S363">
        <f t="shared" si="973"/>
        <v>0</v>
      </c>
      <c r="T363">
        <f t="shared" si="974"/>
        <v>0</v>
      </c>
    </row>
    <row r="364" spans="1:20" x14ac:dyDescent="0.25">
      <c r="A364" s="5"/>
      <c r="C364"/>
      <c r="D364"/>
      <c r="P364">
        <f t="shared" si="970"/>
        <v>0</v>
      </c>
      <c r="Q364">
        <f t="shared" si="971"/>
        <v>0</v>
      </c>
      <c r="R364">
        <f t="shared" si="972"/>
        <v>0</v>
      </c>
      <c r="S364">
        <f t="shared" si="973"/>
        <v>0</v>
      </c>
      <c r="T364">
        <f t="shared" si="974"/>
        <v>0</v>
      </c>
    </row>
    <row r="365" spans="1:20" x14ac:dyDescent="0.25">
      <c r="A365" s="5"/>
      <c r="C365"/>
      <c r="D365"/>
      <c r="P365">
        <f t="shared" si="970"/>
        <v>0</v>
      </c>
      <c r="Q365">
        <f t="shared" si="971"/>
        <v>0</v>
      </c>
      <c r="R365">
        <f t="shared" si="972"/>
        <v>0</v>
      </c>
      <c r="S365">
        <f t="shared" si="973"/>
        <v>0</v>
      </c>
      <c r="T365">
        <f t="shared" si="974"/>
        <v>0</v>
      </c>
    </row>
    <row r="366" spans="1:20" x14ac:dyDescent="0.25">
      <c r="A366" s="5"/>
      <c r="C366"/>
      <c r="D366"/>
      <c r="P366">
        <f t="shared" si="970"/>
        <v>0</v>
      </c>
      <c r="Q366">
        <f t="shared" si="971"/>
        <v>0</v>
      </c>
      <c r="R366">
        <f t="shared" si="972"/>
        <v>0</v>
      </c>
      <c r="S366">
        <f t="shared" si="973"/>
        <v>0</v>
      </c>
      <c r="T366">
        <f t="shared" si="974"/>
        <v>0</v>
      </c>
    </row>
    <row r="367" spans="1:20" x14ac:dyDescent="0.25">
      <c r="A367" s="5"/>
      <c r="C367"/>
      <c r="D367"/>
      <c r="P367">
        <f t="shared" si="970"/>
        <v>0</v>
      </c>
      <c r="Q367">
        <f t="shared" si="971"/>
        <v>0</v>
      </c>
      <c r="R367">
        <f t="shared" si="972"/>
        <v>0</v>
      </c>
      <c r="S367">
        <f t="shared" si="973"/>
        <v>0</v>
      </c>
      <c r="T367">
        <f t="shared" si="974"/>
        <v>0</v>
      </c>
    </row>
    <row r="368" spans="1:20" x14ac:dyDescent="0.25">
      <c r="A368" s="5"/>
      <c r="C368"/>
      <c r="D368"/>
      <c r="P368">
        <f t="shared" si="970"/>
        <v>0</v>
      </c>
      <c r="Q368">
        <f t="shared" si="971"/>
        <v>0</v>
      </c>
      <c r="R368">
        <f t="shared" si="972"/>
        <v>0</v>
      </c>
      <c r="S368">
        <f t="shared" si="973"/>
        <v>0</v>
      </c>
      <c r="T368">
        <f t="shared" si="974"/>
        <v>0</v>
      </c>
    </row>
    <row r="369" spans="1:20" x14ac:dyDescent="0.25">
      <c r="A369" s="5"/>
      <c r="C369"/>
      <c r="D369"/>
      <c r="P369">
        <f t="shared" si="970"/>
        <v>0</v>
      </c>
      <c r="Q369">
        <f t="shared" si="971"/>
        <v>0</v>
      </c>
      <c r="R369">
        <f t="shared" si="972"/>
        <v>0</v>
      </c>
      <c r="S369">
        <f t="shared" si="973"/>
        <v>0</v>
      </c>
      <c r="T369">
        <f t="shared" si="974"/>
        <v>0</v>
      </c>
    </row>
    <row r="370" spans="1:20" x14ac:dyDescent="0.25">
      <c r="A370" s="5"/>
      <c r="C370"/>
      <c r="D370"/>
      <c r="P370">
        <f t="shared" si="970"/>
        <v>0</v>
      </c>
      <c r="Q370">
        <f t="shared" si="971"/>
        <v>0</v>
      </c>
      <c r="R370">
        <f t="shared" si="972"/>
        <v>0</v>
      </c>
      <c r="S370">
        <f t="shared" si="973"/>
        <v>0</v>
      </c>
      <c r="T370">
        <f t="shared" si="974"/>
        <v>0</v>
      </c>
    </row>
    <row r="371" spans="1:20" x14ac:dyDescent="0.25">
      <c r="A371" s="5"/>
      <c r="C371"/>
      <c r="D371"/>
      <c r="P371">
        <f t="shared" si="970"/>
        <v>0</v>
      </c>
      <c r="Q371">
        <f t="shared" si="971"/>
        <v>0</v>
      </c>
      <c r="R371">
        <f t="shared" si="972"/>
        <v>0</v>
      </c>
      <c r="S371">
        <f t="shared" si="973"/>
        <v>0</v>
      </c>
      <c r="T371">
        <f t="shared" si="974"/>
        <v>0</v>
      </c>
    </row>
    <row r="372" spans="1:20" x14ac:dyDescent="0.25">
      <c r="A372" s="5"/>
      <c r="C372"/>
      <c r="D372"/>
      <c r="P372">
        <f t="shared" si="970"/>
        <v>0</v>
      </c>
      <c r="Q372">
        <f t="shared" si="971"/>
        <v>0</v>
      </c>
      <c r="R372">
        <f t="shared" si="972"/>
        <v>0</v>
      </c>
      <c r="S372">
        <f t="shared" si="973"/>
        <v>0</v>
      </c>
      <c r="T372">
        <f t="shared" si="974"/>
        <v>0</v>
      </c>
    </row>
    <row r="373" spans="1:20" x14ac:dyDescent="0.25">
      <c r="A373" s="5"/>
      <c r="C373"/>
      <c r="D373"/>
      <c r="P373">
        <f t="shared" si="970"/>
        <v>0</v>
      </c>
      <c r="Q373">
        <f t="shared" si="971"/>
        <v>0</v>
      </c>
      <c r="R373">
        <f t="shared" si="972"/>
        <v>0</v>
      </c>
      <c r="S373">
        <f t="shared" si="973"/>
        <v>0</v>
      </c>
      <c r="T373">
        <f t="shared" si="974"/>
        <v>0</v>
      </c>
    </row>
    <row r="374" spans="1:20" x14ac:dyDescent="0.25">
      <c r="A374" s="5"/>
      <c r="C374"/>
      <c r="D374"/>
      <c r="P374">
        <f t="shared" si="970"/>
        <v>0</v>
      </c>
      <c r="Q374">
        <f t="shared" si="971"/>
        <v>0</v>
      </c>
      <c r="R374">
        <f t="shared" si="972"/>
        <v>0</v>
      </c>
      <c r="S374">
        <f t="shared" si="973"/>
        <v>0</v>
      </c>
      <c r="T374">
        <f t="shared" si="974"/>
        <v>0</v>
      </c>
    </row>
    <row r="375" spans="1:20" x14ac:dyDescent="0.25">
      <c r="A375" s="5"/>
      <c r="C375"/>
      <c r="D375"/>
      <c r="P375">
        <f t="shared" si="970"/>
        <v>0</v>
      </c>
      <c r="Q375">
        <f t="shared" si="971"/>
        <v>0</v>
      </c>
      <c r="R375">
        <f t="shared" si="972"/>
        <v>0</v>
      </c>
      <c r="S375">
        <f t="shared" si="973"/>
        <v>0</v>
      </c>
      <c r="T375">
        <f t="shared" si="974"/>
        <v>0</v>
      </c>
    </row>
    <row r="376" spans="1:20" x14ac:dyDescent="0.25">
      <c r="A376" s="5"/>
      <c r="C376"/>
      <c r="D376"/>
      <c r="P376">
        <f t="shared" si="970"/>
        <v>0</v>
      </c>
      <c r="Q376">
        <f t="shared" si="971"/>
        <v>0</v>
      </c>
      <c r="R376">
        <f t="shared" si="972"/>
        <v>0</v>
      </c>
      <c r="S376">
        <f t="shared" si="973"/>
        <v>0</v>
      </c>
      <c r="T376">
        <f t="shared" si="974"/>
        <v>0</v>
      </c>
    </row>
    <row r="377" spans="1:20" x14ac:dyDescent="0.25">
      <c r="A377" s="5"/>
      <c r="C377"/>
      <c r="D377"/>
      <c r="P377">
        <f t="shared" si="970"/>
        <v>0</v>
      </c>
      <c r="Q377">
        <f t="shared" si="971"/>
        <v>0</v>
      </c>
      <c r="R377">
        <f t="shared" si="972"/>
        <v>0</v>
      </c>
      <c r="S377">
        <f t="shared" si="973"/>
        <v>0</v>
      </c>
      <c r="T377">
        <f t="shared" si="974"/>
        <v>0</v>
      </c>
    </row>
    <row r="378" spans="1:20" x14ac:dyDescent="0.25">
      <c r="A378" s="5"/>
      <c r="C378"/>
      <c r="D378"/>
      <c r="P378">
        <f t="shared" si="970"/>
        <v>0</v>
      </c>
      <c r="Q378">
        <f t="shared" si="971"/>
        <v>0</v>
      </c>
      <c r="R378">
        <f t="shared" si="972"/>
        <v>0</v>
      </c>
      <c r="S378">
        <f t="shared" si="973"/>
        <v>0</v>
      </c>
      <c r="T378">
        <f t="shared" si="974"/>
        <v>0</v>
      </c>
    </row>
    <row r="379" spans="1:20" x14ac:dyDescent="0.25">
      <c r="A379" s="5"/>
      <c r="C379"/>
      <c r="D379"/>
      <c r="P379">
        <f t="shared" si="970"/>
        <v>0</v>
      </c>
      <c r="Q379">
        <f t="shared" si="971"/>
        <v>0</v>
      </c>
      <c r="R379">
        <f t="shared" si="972"/>
        <v>0</v>
      </c>
      <c r="S379">
        <f t="shared" si="973"/>
        <v>0</v>
      </c>
      <c r="T379">
        <f t="shared" si="974"/>
        <v>0</v>
      </c>
    </row>
    <row r="380" spans="1:20" x14ac:dyDescent="0.25">
      <c r="A380" s="5"/>
      <c r="C380"/>
      <c r="D380"/>
      <c r="P380">
        <f t="shared" si="970"/>
        <v>0</v>
      </c>
      <c r="Q380">
        <f t="shared" si="971"/>
        <v>0</v>
      </c>
      <c r="R380">
        <f t="shared" si="972"/>
        <v>0</v>
      </c>
      <c r="S380">
        <f t="shared" si="973"/>
        <v>0</v>
      </c>
      <c r="T380">
        <f t="shared" si="974"/>
        <v>0</v>
      </c>
    </row>
    <row r="381" spans="1:20" x14ac:dyDescent="0.25">
      <c r="A381" s="5"/>
      <c r="C381"/>
      <c r="D381"/>
      <c r="P381">
        <f t="shared" si="970"/>
        <v>0</v>
      </c>
      <c r="Q381">
        <f t="shared" si="971"/>
        <v>0</v>
      </c>
      <c r="R381">
        <f t="shared" si="972"/>
        <v>0</v>
      </c>
      <c r="S381">
        <f t="shared" si="973"/>
        <v>0</v>
      </c>
      <c r="T381">
        <f t="shared" si="974"/>
        <v>0</v>
      </c>
    </row>
    <row r="382" spans="1:20" x14ac:dyDescent="0.25">
      <c r="A382" s="5"/>
      <c r="C382"/>
      <c r="D382"/>
      <c r="P382">
        <f t="shared" si="970"/>
        <v>0</v>
      </c>
      <c r="Q382">
        <f t="shared" si="971"/>
        <v>0</v>
      </c>
      <c r="R382">
        <f t="shared" si="972"/>
        <v>0</v>
      </c>
      <c r="S382">
        <f t="shared" si="973"/>
        <v>0</v>
      </c>
      <c r="T382">
        <f t="shared" si="974"/>
        <v>0</v>
      </c>
    </row>
    <row r="383" spans="1:20" x14ac:dyDescent="0.25">
      <c r="A383" s="5"/>
      <c r="C383"/>
      <c r="D383"/>
      <c r="P383">
        <f t="shared" si="970"/>
        <v>0</v>
      </c>
      <c r="Q383">
        <f t="shared" si="971"/>
        <v>0</v>
      </c>
      <c r="R383">
        <f t="shared" si="972"/>
        <v>0</v>
      </c>
      <c r="S383">
        <f t="shared" si="973"/>
        <v>0</v>
      </c>
      <c r="T383">
        <f t="shared" si="974"/>
        <v>0</v>
      </c>
    </row>
    <row r="384" spans="1:20" x14ac:dyDescent="0.25">
      <c r="A384" s="5"/>
      <c r="C384"/>
      <c r="D384"/>
      <c r="P384">
        <f t="shared" si="970"/>
        <v>0</v>
      </c>
      <c r="Q384">
        <f t="shared" si="971"/>
        <v>0</v>
      </c>
      <c r="R384">
        <f t="shared" si="972"/>
        <v>0</v>
      </c>
      <c r="S384">
        <f t="shared" si="973"/>
        <v>0</v>
      </c>
      <c r="T384">
        <f t="shared" si="974"/>
        <v>0</v>
      </c>
    </row>
    <row r="385" spans="1:20" x14ac:dyDescent="0.25">
      <c r="A385" s="5"/>
      <c r="C385"/>
      <c r="D385"/>
      <c r="P385">
        <f t="shared" si="970"/>
        <v>0</v>
      </c>
      <c r="Q385">
        <f t="shared" si="971"/>
        <v>0</v>
      </c>
      <c r="R385">
        <f t="shared" si="972"/>
        <v>0</v>
      </c>
      <c r="S385">
        <f t="shared" si="973"/>
        <v>0</v>
      </c>
      <c r="T385">
        <f t="shared" si="974"/>
        <v>0</v>
      </c>
    </row>
    <row r="386" spans="1:20" x14ac:dyDescent="0.25">
      <c r="A386" s="5"/>
      <c r="C386"/>
      <c r="D386"/>
      <c r="P386">
        <f t="shared" si="970"/>
        <v>0</v>
      </c>
      <c r="Q386">
        <f t="shared" si="971"/>
        <v>0</v>
      </c>
      <c r="R386">
        <f t="shared" si="972"/>
        <v>0</v>
      </c>
      <c r="S386">
        <f t="shared" si="973"/>
        <v>0</v>
      </c>
      <c r="T386">
        <f t="shared" si="974"/>
        <v>0</v>
      </c>
    </row>
    <row r="387" spans="1:20" x14ac:dyDescent="0.25">
      <c r="A387" s="5"/>
      <c r="C387"/>
      <c r="D387"/>
      <c r="P387">
        <f t="shared" si="970"/>
        <v>0</v>
      </c>
      <c r="Q387">
        <f t="shared" si="971"/>
        <v>0</v>
      </c>
      <c r="R387">
        <f t="shared" si="972"/>
        <v>0</v>
      </c>
      <c r="S387">
        <f t="shared" si="973"/>
        <v>0</v>
      </c>
      <c r="T387">
        <f t="shared" si="974"/>
        <v>0</v>
      </c>
    </row>
    <row r="388" spans="1:20" x14ac:dyDescent="0.25">
      <c r="A388" s="5"/>
      <c r="C388"/>
      <c r="D388"/>
      <c r="P388">
        <f t="shared" si="970"/>
        <v>0</v>
      </c>
      <c r="Q388">
        <f t="shared" si="971"/>
        <v>0</v>
      </c>
      <c r="R388">
        <f t="shared" si="972"/>
        <v>0</v>
      </c>
      <c r="S388">
        <f t="shared" si="973"/>
        <v>0</v>
      </c>
      <c r="T388">
        <f t="shared" si="974"/>
        <v>0</v>
      </c>
    </row>
    <row r="389" spans="1:20" x14ac:dyDescent="0.25">
      <c r="A389" s="5"/>
      <c r="C389"/>
      <c r="D389"/>
      <c r="P389">
        <f t="shared" si="970"/>
        <v>0</v>
      </c>
      <c r="Q389">
        <f t="shared" si="971"/>
        <v>0</v>
      </c>
      <c r="R389">
        <f t="shared" si="972"/>
        <v>0</v>
      </c>
      <c r="S389">
        <f t="shared" si="973"/>
        <v>0</v>
      </c>
      <c r="T389">
        <f t="shared" si="974"/>
        <v>0</v>
      </c>
    </row>
    <row r="390" spans="1:20" x14ac:dyDescent="0.25">
      <c r="A390" s="5"/>
      <c r="C390"/>
      <c r="D390"/>
      <c r="P390">
        <f t="shared" ref="P390:P453" si="975">IF(C390=D390,0,((E390-D390)-(C390-E390))/(C390-D390))</f>
        <v>0</v>
      </c>
      <c r="Q390">
        <f t="shared" ref="Q390:Q453" si="976">F390*P390</f>
        <v>0</v>
      </c>
      <c r="R390">
        <f t="shared" ref="R390:R453" si="977">R391+Q390</f>
        <v>0</v>
      </c>
      <c r="S390">
        <f t="shared" ref="S390:S453" si="978">R390/100000</f>
        <v>0</v>
      </c>
      <c r="T390">
        <f t="shared" ref="T390:T453" si="979">S390/1000</f>
        <v>0</v>
      </c>
    </row>
    <row r="391" spans="1:20" x14ac:dyDescent="0.25">
      <c r="A391" s="5"/>
      <c r="C391"/>
      <c r="D391"/>
      <c r="P391">
        <f t="shared" si="975"/>
        <v>0</v>
      </c>
      <c r="Q391">
        <f t="shared" si="976"/>
        <v>0</v>
      </c>
      <c r="R391">
        <f t="shared" si="977"/>
        <v>0</v>
      </c>
      <c r="S391">
        <f t="shared" si="978"/>
        <v>0</v>
      </c>
      <c r="T391">
        <f t="shared" si="979"/>
        <v>0</v>
      </c>
    </row>
    <row r="392" spans="1:20" x14ac:dyDescent="0.25">
      <c r="A392" s="5"/>
      <c r="C392"/>
      <c r="D392"/>
      <c r="P392">
        <f t="shared" si="975"/>
        <v>0</v>
      </c>
      <c r="Q392">
        <f t="shared" si="976"/>
        <v>0</v>
      </c>
      <c r="R392">
        <f t="shared" si="977"/>
        <v>0</v>
      </c>
      <c r="S392">
        <f t="shared" si="978"/>
        <v>0</v>
      </c>
      <c r="T392">
        <f t="shared" si="979"/>
        <v>0</v>
      </c>
    </row>
    <row r="393" spans="1:20" x14ac:dyDescent="0.25">
      <c r="A393" s="5"/>
      <c r="C393"/>
      <c r="D393"/>
      <c r="P393">
        <f t="shared" si="975"/>
        <v>0</v>
      </c>
      <c r="Q393">
        <f t="shared" si="976"/>
        <v>0</v>
      </c>
      <c r="R393">
        <f t="shared" si="977"/>
        <v>0</v>
      </c>
      <c r="S393">
        <f t="shared" si="978"/>
        <v>0</v>
      </c>
      <c r="T393">
        <f t="shared" si="979"/>
        <v>0</v>
      </c>
    </row>
    <row r="394" spans="1:20" x14ac:dyDescent="0.25">
      <c r="A394" s="5"/>
      <c r="C394"/>
      <c r="D394"/>
      <c r="P394">
        <f t="shared" si="975"/>
        <v>0</v>
      </c>
      <c r="Q394">
        <f t="shared" si="976"/>
        <v>0</v>
      </c>
      <c r="R394">
        <f t="shared" si="977"/>
        <v>0</v>
      </c>
      <c r="S394">
        <f t="shared" si="978"/>
        <v>0</v>
      </c>
      <c r="T394">
        <f t="shared" si="979"/>
        <v>0</v>
      </c>
    </row>
    <row r="395" spans="1:20" x14ac:dyDescent="0.25">
      <c r="A395" s="5"/>
      <c r="C395"/>
      <c r="D395"/>
      <c r="P395">
        <f t="shared" si="975"/>
        <v>0</v>
      </c>
      <c r="Q395">
        <f t="shared" si="976"/>
        <v>0</v>
      </c>
      <c r="R395">
        <f t="shared" si="977"/>
        <v>0</v>
      </c>
      <c r="S395">
        <f t="shared" si="978"/>
        <v>0</v>
      </c>
      <c r="T395">
        <f t="shared" si="979"/>
        <v>0</v>
      </c>
    </row>
    <row r="396" spans="1:20" x14ac:dyDescent="0.25">
      <c r="A396" s="5"/>
      <c r="C396"/>
      <c r="D396"/>
      <c r="P396">
        <f t="shared" si="975"/>
        <v>0</v>
      </c>
      <c r="Q396">
        <f t="shared" si="976"/>
        <v>0</v>
      </c>
      <c r="R396">
        <f t="shared" si="977"/>
        <v>0</v>
      </c>
      <c r="S396">
        <f t="shared" si="978"/>
        <v>0</v>
      </c>
      <c r="T396">
        <f t="shared" si="979"/>
        <v>0</v>
      </c>
    </row>
    <row r="397" spans="1:20" x14ac:dyDescent="0.25">
      <c r="A397" s="5"/>
      <c r="C397"/>
      <c r="D397"/>
      <c r="P397">
        <f t="shared" si="975"/>
        <v>0</v>
      </c>
      <c r="Q397">
        <f t="shared" si="976"/>
        <v>0</v>
      </c>
      <c r="R397">
        <f t="shared" si="977"/>
        <v>0</v>
      </c>
      <c r="S397">
        <f t="shared" si="978"/>
        <v>0</v>
      </c>
      <c r="T397">
        <f t="shared" si="979"/>
        <v>0</v>
      </c>
    </row>
    <row r="398" spans="1:20" x14ac:dyDescent="0.25">
      <c r="A398" s="5"/>
      <c r="C398"/>
      <c r="D398"/>
      <c r="P398">
        <f t="shared" si="975"/>
        <v>0</v>
      </c>
      <c r="Q398">
        <f t="shared" si="976"/>
        <v>0</v>
      </c>
      <c r="R398">
        <f t="shared" si="977"/>
        <v>0</v>
      </c>
      <c r="S398">
        <f t="shared" si="978"/>
        <v>0</v>
      </c>
      <c r="T398">
        <f t="shared" si="979"/>
        <v>0</v>
      </c>
    </row>
    <row r="399" spans="1:20" x14ac:dyDescent="0.25">
      <c r="A399" s="5"/>
      <c r="C399"/>
      <c r="D399"/>
      <c r="P399">
        <f t="shared" si="975"/>
        <v>0</v>
      </c>
      <c r="Q399">
        <f t="shared" si="976"/>
        <v>0</v>
      </c>
      <c r="R399">
        <f t="shared" si="977"/>
        <v>0</v>
      </c>
      <c r="S399">
        <f t="shared" si="978"/>
        <v>0</v>
      </c>
      <c r="T399">
        <f t="shared" si="979"/>
        <v>0</v>
      </c>
    </row>
    <row r="400" spans="1:20" x14ac:dyDescent="0.25">
      <c r="A400" s="5"/>
      <c r="C400"/>
      <c r="D400"/>
      <c r="P400">
        <f t="shared" si="975"/>
        <v>0</v>
      </c>
      <c r="Q400">
        <f t="shared" si="976"/>
        <v>0</v>
      </c>
      <c r="R400">
        <f t="shared" si="977"/>
        <v>0</v>
      </c>
      <c r="S400">
        <f t="shared" si="978"/>
        <v>0</v>
      </c>
      <c r="T400">
        <f t="shared" si="979"/>
        <v>0</v>
      </c>
    </row>
    <row r="401" spans="1:20" x14ac:dyDescent="0.25">
      <c r="A401" s="5"/>
      <c r="C401"/>
      <c r="D401"/>
      <c r="P401">
        <f t="shared" si="975"/>
        <v>0</v>
      </c>
      <c r="Q401">
        <f t="shared" si="976"/>
        <v>0</v>
      </c>
      <c r="R401">
        <f t="shared" si="977"/>
        <v>0</v>
      </c>
      <c r="S401">
        <f t="shared" si="978"/>
        <v>0</v>
      </c>
      <c r="T401">
        <f t="shared" si="979"/>
        <v>0</v>
      </c>
    </row>
    <row r="402" spans="1:20" x14ac:dyDescent="0.25">
      <c r="A402" s="5"/>
      <c r="C402"/>
      <c r="D402"/>
      <c r="P402">
        <f t="shared" si="975"/>
        <v>0</v>
      </c>
      <c r="Q402">
        <f t="shared" si="976"/>
        <v>0</v>
      </c>
      <c r="R402">
        <f t="shared" si="977"/>
        <v>0</v>
      </c>
      <c r="S402">
        <f t="shared" si="978"/>
        <v>0</v>
      </c>
      <c r="T402">
        <f t="shared" si="979"/>
        <v>0</v>
      </c>
    </row>
    <row r="403" spans="1:20" x14ac:dyDescent="0.25">
      <c r="A403" s="5"/>
      <c r="C403"/>
      <c r="D403"/>
      <c r="P403">
        <f t="shared" si="975"/>
        <v>0</v>
      </c>
      <c r="Q403">
        <f t="shared" si="976"/>
        <v>0</v>
      </c>
      <c r="R403">
        <f t="shared" si="977"/>
        <v>0</v>
      </c>
      <c r="S403">
        <f t="shared" si="978"/>
        <v>0</v>
      </c>
      <c r="T403">
        <f t="shared" si="979"/>
        <v>0</v>
      </c>
    </row>
    <row r="404" spans="1:20" x14ac:dyDescent="0.25">
      <c r="A404" s="5"/>
      <c r="C404"/>
      <c r="D404"/>
      <c r="P404">
        <f t="shared" si="975"/>
        <v>0</v>
      </c>
      <c r="Q404">
        <f t="shared" si="976"/>
        <v>0</v>
      </c>
      <c r="R404">
        <f t="shared" si="977"/>
        <v>0</v>
      </c>
      <c r="S404">
        <f t="shared" si="978"/>
        <v>0</v>
      </c>
      <c r="T404">
        <f t="shared" si="979"/>
        <v>0</v>
      </c>
    </row>
    <row r="405" spans="1:20" x14ac:dyDescent="0.25">
      <c r="A405" s="5"/>
      <c r="C405"/>
      <c r="D405"/>
      <c r="P405">
        <f t="shared" si="975"/>
        <v>0</v>
      </c>
      <c r="Q405">
        <f t="shared" si="976"/>
        <v>0</v>
      </c>
      <c r="R405">
        <f t="shared" si="977"/>
        <v>0</v>
      </c>
      <c r="S405">
        <f t="shared" si="978"/>
        <v>0</v>
      </c>
      <c r="T405">
        <f t="shared" si="979"/>
        <v>0</v>
      </c>
    </row>
    <row r="406" spans="1:20" x14ac:dyDescent="0.25">
      <c r="A406" s="5"/>
      <c r="C406"/>
      <c r="D406"/>
      <c r="P406">
        <f t="shared" si="975"/>
        <v>0</v>
      </c>
      <c r="Q406">
        <f t="shared" si="976"/>
        <v>0</v>
      </c>
      <c r="R406">
        <f t="shared" si="977"/>
        <v>0</v>
      </c>
      <c r="S406">
        <f t="shared" si="978"/>
        <v>0</v>
      </c>
      <c r="T406">
        <f t="shared" si="979"/>
        <v>0</v>
      </c>
    </row>
    <row r="407" spans="1:20" x14ac:dyDescent="0.25">
      <c r="A407" s="5"/>
      <c r="C407"/>
      <c r="D407"/>
      <c r="P407">
        <f t="shared" si="975"/>
        <v>0</v>
      </c>
      <c r="Q407">
        <f t="shared" si="976"/>
        <v>0</v>
      </c>
      <c r="R407">
        <f t="shared" si="977"/>
        <v>0</v>
      </c>
      <c r="S407">
        <f t="shared" si="978"/>
        <v>0</v>
      </c>
      <c r="T407">
        <f t="shared" si="979"/>
        <v>0</v>
      </c>
    </row>
    <row r="408" spans="1:20" x14ac:dyDescent="0.25">
      <c r="A408" s="5"/>
      <c r="C408"/>
      <c r="D408"/>
      <c r="P408">
        <f t="shared" si="975"/>
        <v>0</v>
      </c>
      <c r="Q408">
        <f t="shared" si="976"/>
        <v>0</v>
      </c>
      <c r="R408">
        <f t="shared" si="977"/>
        <v>0</v>
      </c>
      <c r="S408">
        <f t="shared" si="978"/>
        <v>0</v>
      </c>
      <c r="T408">
        <f t="shared" si="979"/>
        <v>0</v>
      </c>
    </row>
    <row r="409" spans="1:20" x14ac:dyDescent="0.25">
      <c r="A409" s="5"/>
      <c r="C409"/>
      <c r="D409"/>
      <c r="P409">
        <f t="shared" si="975"/>
        <v>0</v>
      </c>
      <c r="Q409">
        <f t="shared" si="976"/>
        <v>0</v>
      </c>
      <c r="R409">
        <f t="shared" si="977"/>
        <v>0</v>
      </c>
      <c r="S409">
        <f t="shared" si="978"/>
        <v>0</v>
      </c>
      <c r="T409">
        <f t="shared" si="979"/>
        <v>0</v>
      </c>
    </row>
    <row r="410" spans="1:20" x14ac:dyDescent="0.25">
      <c r="A410" s="5"/>
      <c r="C410"/>
      <c r="D410"/>
      <c r="P410">
        <f t="shared" si="975"/>
        <v>0</v>
      </c>
      <c r="Q410">
        <f t="shared" si="976"/>
        <v>0</v>
      </c>
      <c r="R410">
        <f t="shared" si="977"/>
        <v>0</v>
      </c>
      <c r="S410">
        <f t="shared" si="978"/>
        <v>0</v>
      </c>
      <c r="T410">
        <f t="shared" si="979"/>
        <v>0</v>
      </c>
    </row>
    <row r="411" spans="1:20" x14ac:dyDescent="0.25">
      <c r="A411" s="5"/>
      <c r="C411"/>
      <c r="D411"/>
      <c r="P411">
        <f t="shared" si="975"/>
        <v>0</v>
      </c>
      <c r="Q411">
        <f t="shared" si="976"/>
        <v>0</v>
      </c>
      <c r="R411">
        <f t="shared" si="977"/>
        <v>0</v>
      </c>
      <c r="S411">
        <f t="shared" si="978"/>
        <v>0</v>
      </c>
      <c r="T411">
        <f t="shared" si="979"/>
        <v>0</v>
      </c>
    </row>
    <row r="412" spans="1:20" x14ac:dyDescent="0.25">
      <c r="A412" s="5"/>
      <c r="C412"/>
      <c r="D412"/>
      <c r="P412">
        <f t="shared" si="975"/>
        <v>0</v>
      </c>
      <c r="Q412">
        <f t="shared" si="976"/>
        <v>0</v>
      </c>
      <c r="R412">
        <f t="shared" si="977"/>
        <v>0</v>
      </c>
      <c r="S412">
        <f t="shared" si="978"/>
        <v>0</v>
      </c>
      <c r="T412">
        <f t="shared" si="979"/>
        <v>0</v>
      </c>
    </row>
    <row r="413" spans="1:20" x14ac:dyDescent="0.25">
      <c r="A413" s="5"/>
      <c r="C413"/>
      <c r="D413"/>
      <c r="P413">
        <f t="shared" si="975"/>
        <v>0</v>
      </c>
      <c r="Q413">
        <f t="shared" si="976"/>
        <v>0</v>
      </c>
      <c r="R413">
        <f t="shared" si="977"/>
        <v>0</v>
      </c>
      <c r="S413">
        <f t="shared" si="978"/>
        <v>0</v>
      </c>
      <c r="T413">
        <f t="shared" si="979"/>
        <v>0</v>
      </c>
    </row>
    <row r="414" spans="1:20" x14ac:dyDescent="0.25">
      <c r="A414" s="5"/>
      <c r="C414"/>
      <c r="D414"/>
      <c r="P414">
        <f t="shared" si="975"/>
        <v>0</v>
      </c>
      <c r="Q414">
        <f t="shared" si="976"/>
        <v>0</v>
      </c>
      <c r="R414">
        <f t="shared" si="977"/>
        <v>0</v>
      </c>
      <c r="S414">
        <f t="shared" si="978"/>
        <v>0</v>
      </c>
      <c r="T414">
        <f t="shared" si="979"/>
        <v>0</v>
      </c>
    </row>
    <row r="415" spans="1:20" x14ac:dyDescent="0.25">
      <c r="A415" s="5"/>
      <c r="C415"/>
      <c r="D415"/>
      <c r="P415">
        <f t="shared" si="975"/>
        <v>0</v>
      </c>
      <c r="Q415">
        <f t="shared" si="976"/>
        <v>0</v>
      </c>
      <c r="R415">
        <f t="shared" si="977"/>
        <v>0</v>
      </c>
      <c r="S415">
        <f t="shared" si="978"/>
        <v>0</v>
      </c>
      <c r="T415">
        <f t="shared" si="979"/>
        <v>0</v>
      </c>
    </row>
    <row r="416" spans="1:20" x14ac:dyDescent="0.25">
      <c r="A416" s="5"/>
      <c r="C416"/>
      <c r="D416"/>
      <c r="P416">
        <f t="shared" si="975"/>
        <v>0</v>
      </c>
      <c r="Q416">
        <f t="shared" si="976"/>
        <v>0</v>
      </c>
      <c r="R416">
        <f t="shared" si="977"/>
        <v>0</v>
      </c>
      <c r="S416">
        <f t="shared" si="978"/>
        <v>0</v>
      </c>
      <c r="T416">
        <f t="shared" si="979"/>
        <v>0</v>
      </c>
    </row>
    <row r="417" spans="1:20" x14ac:dyDescent="0.25">
      <c r="A417" s="5"/>
      <c r="C417"/>
      <c r="D417"/>
      <c r="P417">
        <f t="shared" si="975"/>
        <v>0</v>
      </c>
      <c r="Q417">
        <f t="shared" si="976"/>
        <v>0</v>
      </c>
      <c r="R417">
        <f t="shared" si="977"/>
        <v>0</v>
      </c>
      <c r="S417">
        <f t="shared" si="978"/>
        <v>0</v>
      </c>
      <c r="T417">
        <f t="shared" si="979"/>
        <v>0</v>
      </c>
    </row>
    <row r="418" spans="1:20" x14ac:dyDescent="0.25">
      <c r="A418" s="5"/>
      <c r="C418"/>
      <c r="D418"/>
      <c r="P418">
        <f t="shared" si="975"/>
        <v>0</v>
      </c>
      <c r="Q418">
        <f t="shared" si="976"/>
        <v>0</v>
      </c>
      <c r="R418">
        <f t="shared" si="977"/>
        <v>0</v>
      </c>
      <c r="S418">
        <f t="shared" si="978"/>
        <v>0</v>
      </c>
      <c r="T418">
        <f t="shared" si="979"/>
        <v>0</v>
      </c>
    </row>
    <row r="419" spans="1:20" x14ac:dyDescent="0.25">
      <c r="A419" s="5"/>
      <c r="C419"/>
      <c r="D419"/>
      <c r="P419">
        <f t="shared" si="975"/>
        <v>0</v>
      </c>
      <c r="Q419">
        <f t="shared" si="976"/>
        <v>0</v>
      </c>
      <c r="R419">
        <f t="shared" si="977"/>
        <v>0</v>
      </c>
      <c r="S419">
        <f t="shared" si="978"/>
        <v>0</v>
      </c>
      <c r="T419">
        <f t="shared" si="979"/>
        <v>0</v>
      </c>
    </row>
    <row r="420" spans="1:20" x14ac:dyDescent="0.25">
      <c r="A420" s="5"/>
      <c r="C420"/>
      <c r="D420"/>
      <c r="P420">
        <f t="shared" si="975"/>
        <v>0</v>
      </c>
      <c r="Q420">
        <f t="shared" si="976"/>
        <v>0</v>
      </c>
      <c r="R420">
        <f t="shared" si="977"/>
        <v>0</v>
      </c>
      <c r="S420">
        <f t="shared" si="978"/>
        <v>0</v>
      </c>
      <c r="T420">
        <f t="shared" si="979"/>
        <v>0</v>
      </c>
    </row>
    <row r="421" spans="1:20" x14ac:dyDescent="0.25">
      <c r="A421" s="5"/>
      <c r="C421"/>
      <c r="D421"/>
      <c r="P421">
        <f t="shared" si="975"/>
        <v>0</v>
      </c>
      <c r="Q421">
        <f t="shared" si="976"/>
        <v>0</v>
      </c>
      <c r="R421">
        <f t="shared" si="977"/>
        <v>0</v>
      </c>
      <c r="S421">
        <f t="shared" si="978"/>
        <v>0</v>
      </c>
      <c r="T421">
        <f t="shared" si="979"/>
        <v>0</v>
      </c>
    </row>
    <row r="422" spans="1:20" x14ac:dyDescent="0.25">
      <c r="A422" s="5"/>
      <c r="C422"/>
      <c r="D422"/>
      <c r="P422">
        <f t="shared" si="975"/>
        <v>0</v>
      </c>
      <c r="Q422">
        <f t="shared" si="976"/>
        <v>0</v>
      </c>
      <c r="R422">
        <f t="shared" si="977"/>
        <v>0</v>
      </c>
      <c r="S422">
        <f t="shared" si="978"/>
        <v>0</v>
      </c>
      <c r="T422">
        <f t="shared" si="979"/>
        <v>0</v>
      </c>
    </row>
    <row r="423" spans="1:20" x14ac:dyDescent="0.25">
      <c r="A423" s="5"/>
      <c r="C423"/>
      <c r="D423"/>
      <c r="P423">
        <f t="shared" si="975"/>
        <v>0</v>
      </c>
      <c r="Q423">
        <f t="shared" si="976"/>
        <v>0</v>
      </c>
      <c r="R423">
        <f t="shared" si="977"/>
        <v>0</v>
      </c>
      <c r="S423">
        <f t="shared" si="978"/>
        <v>0</v>
      </c>
      <c r="T423">
        <f t="shared" si="979"/>
        <v>0</v>
      </c>
    </row>
    <row r="424" spans="1:20" x14ac:dyDescent="0.25">
      <c r="A424" s="5"/>
      <c r="C424"/>
      <c r="D424"/>
      <c r="P424">
        <f t="shared" si="975"/>
        <v>0</v>
      </c>
      <c r="Q424">
        <f t="shared" si="976"/>
        <v>0</v>
      </c>
      <c r="R424">
        <f t="shared" si="977"/>
        <v>0</v>
      </c>
      <c r="S424">
        <f t="shared" si="978"/>
        <v>0</v>
      </c>
      <c r="T424">
        <f t="shared" si="979"/>
        <v>0</v>
      </c>
    </row>
    <row r="425" spans="1:20" x14ac:dyDescent="0.25">
      <c r="A425" s="5"/>
      <c r="C425"/>
      <c r="D425"/>
      <c r="P425">
        <f t="shared" si="975"/>
        <v>0</v>
      </c>
      <c r="Q425">
        <f t="shared" si="976"/>
        <v>0</v>
      </c>
      <c r="R425">
        <f t="shared" si="977"/>
        <v>0</v>
      </c>
      <c r="S425">
        <f t="shared" si="978"/>
        <v>0</v>
      </c>
      <c r="T425">
        <f t="shared" si="979"/>
        <v>0</v>
      </c>
    </row>
    <row r="426" spans="1:20" x14ac:dyDescent="0.25">
      <c r="A426" s="5"/>
      <c r="C426"/>
      <c r="D426"/>
      <c r="P426">
        <f t="shared" si="975"/>
        <v>0</v>
      </c>
      <c r="Q426">
        <f t="shared" si="976"/>
        <v>0</v>
      </c>
      <c r="R426">
        <f t="shared" si="977"/>
        <v>0</v>
      </c>
      <c r="S426">
        <f t="shared" si="978"/>
        <v>0</v>
      </c>
      <c r="T426">
        <f t="shared" si="979"/>
        <v>0</v>
      </c>
    </row>
    <row r="427" spans="1:20" x14ac:dyDescent="0.25">
      <c r="A427" s="5"/>
      <c r="C427"/>
      <c r="D427"/>
      <c r="P427">
        <f t="shared" si="975"/>
        <v>0</v>
      </c>
      <c r="Q427">
        <f t="shared" si="976"/>
        <v>0</v>
      </c>
      <c r="R427">
        <f t="shared" si="977"/>
        <v>0</v>
      </c>
      <c r="S427">
        <f t="shared" si="978"/>
        <v>0</v>
      </c>
      <c r="T427">
        <f t="shared" si="979"/>
        <v>0</v>
      </c>
    </row>
    <row r="428" spans="1:20" x14ac:dyDescent="0.25">
      <c r="A428" s="5"/>
      <c r="C428"/>
      <c r="D428"/>
      <c r="P428">
        <f t="shared" si="975"/>
        <v>0</v>
      </c>
      <c r="Q428">
        <f t="shared" si="976"/>
        <v>0</v>
      </c>
      <c r="R428">
        <f t="shared" si="977"/>
        <v>0</v>
      </c>
      <c r="S428">
        <f t="shared" si="978"/>
        <v>0</v>
      </c>
      <c r="T428">
        <f t="shared" si="979"/>
        <v>0</v>
      </c>
    </row>
    <row r="429" spans="1:20" x14ac:dyDescent="0.25">
      <c r="A429" s="5"/>
      <c r="C429"/>
      <c r="D429"/>
      <c r="P429">
        <f t="shared" si="975"/>
        <v>0</v>
      </c>
      <c r="Q429">
        <f t="shared" si="976"/>
        <v>0</v>
      </c>
      <c r="R429">
        <f t="shared" si="977"/>
        <v>0</v>
      </c>
      <c r="S429">
        <f t="shared" si="978"/>
        <v>0</v>
      </c>
      <c r="T429">
        <f t="shared" si="979"/>
        <v>0</v>
      </c>
    </row>
    <row r="430" spans="1:20" x14ac:dyDescent="0.25">
      <c r="A430" s="5"/>
      <c r="C430"/>
      <c r="D430"/>
      <c r="P430">
        <f t="shared" si="975"/>
        <v>0</v>
      </c>
      <c r="Q430">
        <f t="shared" si="976"/>
        <v>0</v>
      </c>
      <c r="R430">
        <f t="shared" si="977"/>
        <v>0</v>
      </c>
      <c r="S430">
        <f t="shared" si="978"/>
        <v>0</v>
      </c>
      <c r="T430">
        <f t="shared" si="979"/>
        <v>0</v>
      </c>
    </row>
    <row r="431" spans="1:20" x14ac:dyDescent="0.25">
      <c r="A431" s="5"/>
      <c r="C431"/>
      <c r="D431"/>
      <c r="P431">
        <f t="shared" si="975"/>
        <v>0</v>
      </c>
      <c r="Q431">
        <f t="shared" si="976"/>
        <v>0</v>
      </c>
      <c r="R431">
        <f t="shared" si="977"/>
        <v>0</v>
      </c>
      <c r="S431">
        <f t="shared" si="978"/>
        <v>0</v>
      </c>
      <c r="T431">
        <f t="shared" si="979"/>
        <v>0</v>
      </c>
    </row>
    <row r="432" spans="1:20" x14ac:dyDescent="0.25">
      <c r="A432" s="5"/>
      <c r="C432"/>
      <c r="D432"/>
      <c r="P432">
        <f t="shared" si="975"/>
        <v>0</v>
      </c>
      <c r="Q432">
        <f t="shared" si="976"/>
        <v>0</v>
      </c>
      <c r="R432">
        <f t="shared" si="977"/>
        <v>0</v>
      </c>
      <c r="S432">
        <f t="shared" si="978"/>
        <v>0</v>
      </c>
      <c r="T432">
        <f t="shared" si="979"/>
        <v>0</v>
      </c>
    </row>
    <row r="433" spans="1:20" x14ac:dyDescent="0.25">
      <c r="A433" s="5"/>
      <c r="C433"/>
      <c r="D433"/>
      <c r="P433">
        <f t="shared" si="975"/>
        <v>0</v>
      </c>
      <c r="Q433">
        <f t="shared" si="976"/>
        <v>0</v>
      </c>
      <c r="R433">
        <f t="shared" si="977"/>
        <v>0</v>
      </c>
      <c r="S433">
        <f t="shared" si="978"/>
        <v>0</v>
      </c>
      <c r="T433">
        <f t="shared" si="979"/>
        <v>0</v>
      </c>
    </row>
    <row r="434" spans="1:20" x14ac:dyDescent="0.25">
      <c r="A434" s="5"/>
      <c r="C434"/>
      <c r="D434"/>
      <c r="P434">
        <f t="shared" si="975"/>
        <v>0</v>
      </c>
      <c r="Q434">
        <f t="shared" si="976"/>
        <v>0</v>
      </c>
      <c r="R434">
        <f t="shared" si="977"/>
        <v>0</v>
      </c>
      <c r="S434">
        <f t="shared" si="978"/>
        <v>0</v>
      </c>
      <c r="T434">
        <f t="shared" si="979"/>
        <v>0</v>
      </c>
    </row>
    <row r="435" spans="1:20" x14ac:dyDescent="0.25">
      <c r="A435" s="5"/>
      <c r="C435"/>
      <c r="D435"/>
      <c r="P435">
        <f t="shared" si="975"/>
        <v>0</v>
      </c>
      <c r="Q435">
        <f t="shared" si="976"/>
        <v>0</v>
      </c>
      <c r="R435">
        <f t="shared" si="977"/>
        <v>0</v>
      </c>
      <c r="S435">
        <f t="shared" si="978"/>
        <v>0</v>
      </c>
      <c r="T435">
        <f t="shared" si="979"/>
        <v>0</v>
      </c>
    </row>
    <row r="436" spans="1:20" x14ac:dyDescent="0.25">
      <c r="A436" s="5"/>
      <c r="C436"/>
      <c r="D436"/>
      <c r="P436">
        <f t="shared" si="975"/>
        <v>0</v>
      </c>
      <c r="Q436">
        <f t="shared" si="976"/>
        <v>0</v>
      </c>
      <c r="R436">
        <f t="shared" si="977"/>
        <v>0</v>
      </c>
      <c r="S436">
        <f t="shared" si="978"/>
        <v>0</v>
      </c>
      <c r="T436">
        <f t="shared" si="979"/>
        <v>0</v>
      </c>
    </row>
    <row r="437" spans="1:20" x14ac:dyDescent="0.25">
      <c r="A437" s="5"/>
      <c r="C437"/>
      <c r="D437"/>
      <c r="P437">
        <f t="shared" si="975"/>
        <v>0</v>
      </c>
      <c r="Q437">
        <f t="shared" si="976"/>
        <v>0</v>
      </c>
      <c r="R437">
        <f t="shared" si="977"/>
        <v>0</v>
      </c>
      <c r="S437">
        <f t="shared" si="978"/>
        <v>0</v>
      </c>
      <c r="T437">
        <f t="shared" si="979"/>
        <v>0</v>
      </c>
    </row>
    <row r="438" spans="1:20" x14ac:dyDescent="0.25">
      <c r="A438" s="5"/>
      <c r="C438"/>
      <c r="D438"/>
      <c r="P438">
        <f t="shared" si="975"/>
        <v>0</v>
      </c>
      <c r="Q438">
        <f t="shared" si="976"/>
        <v>0</v>
      </c>
      <c r="R438">
        <f t="shared" si="977"/>
        <v>0</v>
      </c>
      <c r="S438">
        <f t="shared" si="978"/>
        <v>0</v>
      </c>
      <c r="T438">
        <f t="shared" si="979"/>
        <v>0</v>
      </c>
    </row>
    <row r="439" spans="1:20" x14ac:dyDescent="0.25">
      <c r="A439" s="5"/>
      <c r="C439"/>
      <c r="D439"/>
      <c r="P439">
        <f t="shared" si="975"/>
        <v>0</v>
      </c>
      <c r="Q439">
        <f t="shared" si="976"/>
        <v>0</v>
      </c>
      <c r="R439">
        <f t="shared" si="977"/>
        <v>0</v>
      </c>
      <c r="S439">
        <f t="shared" si="978"/>
        <v>0</v>
      </c>
      <c r="T439">
        <f t="shared" si="979"/>
        <v>0</v>
      </c>
    </row>
    <row r="440" spans="1:20" x14ac:dyDescent="0.25">
      <c r="A440" s="5"/>
      <c r="C440"/>
      <c r="D440"/>
      <c r="P440">
        <f t="shared" si="975"/>
        <v>0</v>
      </c>
      <c r="Q440">
        <f t="shared" si="976"/>
        <v>0</v>
      </c>
      <c r="R440">
        <f t="shared" si="977"/>
        <v>0</v>
      </c>
      <c r="S440">
        <f t="shared" si="978"/>
        <v>0</v>
      </c>
      <c r="T440">
        <f t="shared" si="979"/>
        <v>0</v>
      </c>
    </row>
    <row r="441" spans="1:20" x14ac:dyDescent="0.25">
      <c r="A441" s="5"/>
      <c r="C441"/>
      <c r="D441"/>
      <c r="P441">
        <f t="shared" si="975"/>
        <v>0</v>
      </c>
      <c r="Q441">
        <f t="shared" si="976"/>
        <v>0</v>
      </c>
      <c r="R441">
        <f t="shared" si="977"/>
        <v>0</v>
      </c>
      <c r="S441">
        <f t="shared" si="978"/>
        <v>0</v>
      </c>
      <c r="T441">
        <f t="shared" si="979"/>
        <v>0</v>
      </c>
    </row>
    <row r="442" spans="1:20" x14ac:dyDescent="0.25">
      <c r="A442" s="5"/>
      <c r="C442"/>
      <c r="D442"/>
      <c r="P442">
        <f t="shared" si="975"/>
        <v>0</v>
      </c>
      <c r="Q442">
        <f t="shared" si="976"/>
        <v>0</v>
      </c>
      <c r="R442">
        <f t="shared" si="977"/>
        <v>0</v>
      </c>
      <c r="S442">
        <f t="shared" si="978"/>
        <v>0</v>
      </c>
      <c r="T442">
        <f t="shared" si="979"/>
        <v>0</v>
      </c>
    </row>
    <row r="443" spans="1:20" x14ac:dyDescent="0.25">
      <c r="A443" s="5"/>
      <c r="C443"/>
      <c r="D443"/>
      <c r="P443">
        <f t="shared" si="975"/>
        <v>0</v>
      </c>
      <c r="Q443">
        <f t="shared" si="976"/>
        <v>0</v>
      </c>
      <c r="R443">
        <f t="shared" si="977"/>
        <v>0</v>
      </c>
      <c r="S443">
        <f t="shared" si="978"/>
        <v>0</v>
      </c>
      <c r="T443">
        <f t="shared" si="979"/>
        <v>0</v>
      </c>
    </row>
    <row r="444" spans="1:20" x14ac:dyDescent="0.25">
      <c r="A444" s="5"/>
      <c r="C444"/>
      <c r="D444"/>
      <c r="P444">
        <f t="shared" si="975"/>
        <v>0</v>
      </c>
      <c r="Q444">
        <f t="shared" si="976"/>
        <v>0</v>
      </c>
      <c r="R444">
        <f t="shared" si="977"/>
        <v>0</v>
      </c>
      <c r="S444">
        <f t="shared" si="978"/>
        <v>0</v>
      </c>
      <c r="T444">
        <f t="shared" si="979"/>
        <v>0</v>
      </c>
    </row>
    <row r="445" spans="1:20" x14ac:dyDescent="0.25">
      <c r="A445" s="5"/>
      <c r="C445"/>
      <c r="D445"/>
      <c r="P445">
        <f t="shared" si="975"/>
        <v>0</v>
      </c>
      <c r="Q445">
        <f t="shared" si="976"/>
        <v>0</v>
      </c>
      <c r="R445">
        <f t="shared" si="977"/>
        <v>0</v>
      </c>
      <c r="S445">
        <f t="shared" si="978"/>
        <v>0</v>
      </c>
      <c r="T445">
        <f t="shared" si="979"/>
        <v>0</v>
      </c>
    </row>
    <row r="446" spans="1:20" x14ac:dyDescent="0.25">
      <c r="A446" s="5"/>
      <c r="C446"/>
      <c r="D446"/>
      <c r="P446">
        <f t="shared" si="975"/>
        <v>0</v>
      </c>
      <c r="Q446">
        <f t="shared" si="976"/>
        <v>0</v>
      </c>
      <c r="R446">
        <f t="shared" si="977"/>
        <v>0</v>
      </c>
      <c r="S446">
        <f t="shared" si="978"/>
        <v>0</v>
      </c>
      <c r="T446">
        <f t="shared" si="979"/>
        <v>0</v>
      </c>
    </row>
    <row r="447" spans="1:20" x14ac:dyDescent="0.25">
      <c r="A447" s="5"/>
      <c r="C447"/>
      <c r="D447"/>
      <c r="P447">
        <f t="shared" si="975"/>
        <v>0</v>
      </c>
      <c r="Q447">
        <f t="shared" si="976"/>
        <v>0</v>
      </c>
      <c r="R447">
        <f t="shared" si="977"/>
        <v>0</v>
      </c>
      <c r="S447">
        <f t="shared" si="978"/>
        <v>0</v>
      </c>
      <c r="T447">
        <f t="shared" si="979"/>
        <v>0</v>
      </c>
    </row>
    <row r="448" spans="1:20" x14ac:dyDescent="0.25">
      <c r="A448" s="5"/>
      <c r="C448"/>
      <c r="D448"/>
      <c r="P448">
        <f t="shared" si="975"/>
        <v>0</v>
      </c>
      <c r="Q448">
        <f t="shared" si="976"/>
        <v>0</v>
      </c>
      <c r="R448">
        <f t="shared" si="977"/>
        <v>0</v>
      </c>
      <c r="S448">
        <f t="shared" si="978"/>
        <v>0</v>
      </c>
      <c r="T448">
        <f t="shared" si="979"/>
        <v>0</v>
      </c>
    </row>
    <row r="449" spans="1:20" x14ac:dyDescent="0.25">
      <c r="A449" s="5"/>
      <c r="C449"/>
      <c r="D449"/>
      <c r="P449">
        <f t="shared" si="975"/>
        <v>0</v>
      </c>
      <c r="Q449">
        <f t="shared" si="976"/>
        <v>0</v>
      </c>
      <c r="R449">
        <f t="shared" si="977"/>
        <v>0</v>
      </c>
      <c r="S449">
        <f t="shared" si="978"/>
        <v>0</v>
      </c>
      <c r="T449">
        <f t="shared" si="979"/>
        <v>0</v>
      </c>
    </row>
    <row r="450" spans="1:20" x14ac:dyDescent="0.25">
      <c r="A450" s="5"/>
      <c r="C450"/>
      <c r="D450"/>
      <c r="P450">
        <f t="shared" si="975"/>
        <v>0</v>
      </c>
      <c r="Q450">
        <f t="shared" si="976"/>
        <v>0</v>
      </c>
      <c r="R450">
        <f t="shared" si="977"/>
        <v>0</v>
      </c>
      <c r="S450">
        <f t="shared" si="978"/>
        <v>0</v>
      </c>
      <c r="T450">
        <f t="shared" si="979"/>
        <v>0</v>
      </c>
    </row>
    <row r="451" spans="1:20" x14ac:dyDescent="0.25">
      <c r="A451" s="5"/>
      <c r="C451"/>
      <c r="D451"/>
      <c r="P451">
        <f t="shared" si="975"/>
        <v>0</v>
      </c>
      <c r="Q451">
        <f t="shared" si="976"/>
        <v>0</v>
      </c>
      <c r="R451">
        <f t="shared" si="977"/>
        <v>0</v>
      </c>
      <c r="S451">
        <f t="shared" si="978"/>
        <v>0</v>
      </c>
      <c r="T451">
        <f t="shared" si="979"/>
        <v>0</v>
      </c>
    </row>
    <row r="452" spans="1:20" x14ac:dyDescent="0.25">
      <c r="A452" s="5"/>
      <c r="C452"/>
      <c r="D452"/>
      <c r="P452">
        <f t="shared" si="975"/>
        <v>0</v>
      </c>
      <c r="Q452">
        <f t="shared" si="976"/>
        <v>0</v>
      </c>
      <c r="R452">
        <f t="shared" si="977"/>
        <v>0</v>
      </c>
      <c r="S452">
        <f t="shared" si="978"/>
        <v>0</v>
      </c>
      <c r="T452">
        <f t="shared" si="979"/>
        <v>0</v>
      </c>
    </row>
    <row r="453" spans="1:20" x14ac:dyDescent="0.25">
      <c r="A453" s="5"/>
      <c r="C453"/>
      <c r="D453"/>
      <c r="P453">
        <f t="shared" si="975"/>
        <v>0</v>
      </c>
      <c r="Q453">
        <f t="shared" si="976"/>
        <v>0</v>
      </c>
      <c r="R453">
        <f t="shared" si="977"/>
        <v>0</v>
      </c>
      <c r="S453">
        <f t="shared" si="978"/>
        <v>0</v>
      </c>
      <c r="T453">
        <f t="shared" si="979"/>
        <v>0</v>
      </c>
    </row>
    <row r="454" spans="1:20" x14ac:dyDescent="0.25">
      <c r="A454" s="5"/>
      <c r="C454"/>
      <c r="D454"/>
      <c r="P454">
        <f t="shared" ref="P454:P517" si="980">IF(C454=D454,0,((E454-D454)-(C454-E454))/(C454-D454))</f>
        <v>0</v>
      </c>
      <c r="Q454">
        <f t="shared" ref="Q454:Q517" si="981">F454*P454</f>
        <v>0</v>
      </c>
      <c r="R454">
        <f t="shared" ref="R454:R517" si="982">R455+Q454</f>
        <v>0</v>
      </c>
      <c r="S454">
        <f t="shared" ref="S454:S517" si="983">R454/100000</f>
        <v>0</v>
      </c>
      <c r="T454">
        <f t="shared" ref="T454:T517" si="984">S454/1000</f>
        <v>0</v>
      </c>
    </row>
    <row r="455" spans="1:20" x14ac:dyDescent="0.25">
      <c r="A455" s="5"/>
      <c r="C455"/>
      <c r="D455"/>
      <c r="P455">
        <f t="shared" si="980"/>
        <v>0</v>
      </c>
      <c r="Q455">
        <f t="shared" si="981"/>
        <v>0</v>
      </c>
      <c r="R455">
        <f t="shared" si="982"/>
        <v>0</v>
      </c>
      <c r="S455">
        <f t="shared" si="983"/>
        <v>0</v>
      </c>
      <c r="T455">
        <f t="shared" si="984"/>
        <v>0</v>
      </c>
    </row>
    <row r="456" spans="1:20" x14ac:dyDescent="0.25">
      <c r="A456" s="5"/>
      <c r="C456"/>
      <c r="D456"/>
      <c r="P456">
        <f t="shared" si="980"/>
        <v>0</v>
      </c>
      <c r="Q456">
        <f t="shared" si="981"/>
        <v>0</v>
      </c>
      <c r="R456">
        <f t="shared" si="982"/>
        <v>0</v>
      </c>
      <c r="S456">
        <f t="shared" si="983"/>
        <v>0</v>
      </c>
      <c r="T456">
        <f t="shared" si="984"/>
        <v>0</v>
      </c>
    </row>
    <row r="457" spans="1:20" x14ac:dyDescent="0.25">
      <c r="A457" s="5"/>
      <c r="C457"/>
      <c r="D457"/>
      <c r="P457">
        <f t="shared" si="980"/>
        <v>0</v>
      </c>
      <c r="Q457">
        <f t="shared" si="981"/>
        <v>0</v>
      </c>
      <c r="R457">
        <f t="shared" si="982"/>
        <v>0</v>
      </c>
      <c r="S457">
        <f t="shared" si="983"/>
        <v>0</v>
      </c>
      <c r="T457">
        <f t="shared" si="984"/>
        <v>0</v>
      </c>
    </row>
    <row r="458" spans="1:20" x14ac:dyDescent="0.25">
      <c r="A458" s="5"/>
      <c r="C458"/>
      <c r="D458"/>
      <c r="P458">
        <f t="shared" si="980"/>
        <v>0</v>
      </c>
      <c r="Q458">
        <f t="shared" si="981"/>
        <v>0</v>
      </c>
      <c r="R458">
        <f t="shared" si="982"/>
        <v>0</v>
      </c>
      <c r="S458">
        <f t="shared" si="983"/>
        <v>0</v>
      </c>
      <c r="T458">
        <f t="shared" si="984"/>
        <v>0</v>
      </c>
    </row>
    <row r="459" spans="1:20" x14ac:dyDescent="0.25">
      <c r="A459" s="5"/>
      <c r="C459"/>
      <c r="D459"/>
      <c r="P459">
        <f t="shared" si="980"/>
        <v>0</v>
      </c>
      <c r="Q459">
        <f t="shared" si="981"/>
        <v>0</v>
      </c>
      <c r="R459">
        <f t="shared" si="982"/>
        <v>0</v>
      </c>
      <c r="S459">
        <f t="shared" si="983"/>
        <v>0</v>
      </c>
      <c r="T459">
        <f t="shared" si="984"/>
        <v>0</v>
      </c>
    </row>
    <row r="460" spans="1:20" x14ac:dyDescent="0.25">
      <c r="A460" s="5"/>
      <c r="C460"/>
      <c r="D460"/>
      <c r="P460">
        <f t="shared" si="980"/>
        <v>0</v>
      </c>
      <c r="Q460">
        <f t="shared" si="981"/>
        <v>0</v>
      </c>
      <c r="R460">
        <f t="shared" si="982"/>
        <v>0</v>
      </c>
      <c r="S460">
        <f t="shared" si="983"/>
        <v>0</v>
      </c>
      <c r="T460">
        <f t="shared" si="984"/>
        <v>0</v>
      </c>
    </row>
    <row r="461" spans="1:20" x14ac:dyDescent="0.25">
      <c r="A461" s="5"/>
      <c r="C461"/>
      <c r="D461"/>
      <c r="P461">
        <f t="shared" si="980"/>
        <v>0</v>
      </c>
      <c r="Q461">
        <f t="shared" si="981"/>
        <v>0</v>
      </c>
      <c r="R461">
        <f t="shared" si="982"/>
        <v>0</v>
      </c>
      <c r="S461">
        <f t="shared" si="983"/>
        <v>0</v>
      </c>
      <c r="T461">
        <f t="shared" si="984"/>
        <v>0</v>
      </c>
    </row>
    <row r="462" spans="1:20" x14ac:dyDescent="0.25">
      <c r="A462" s="5"/>
      <c r="C462"/>
      <c r="D462"/>
      <c r="P462">
        <f t="shared" si="980"/>
        <v>0</v>
      </c>
      <c r="Q462">
        <f t="shared" si="981"/>
        <v>0</v>
      </c>
      <c r="R462">
        <f t="shared" si="982"/>
        <v>0</v>
      </c>
      <c r="S462">
        <f t="shared" si="983"/>
        <v>0</v>
      </c>
      <c r="T462">
        <f t="shared" si="984"/>
        <v>0</v>
      </c>
    </row>
    <row r="463" spans="1:20" x14ac:dyDescent="0.25">
      <c r="A463" s="5"/>
      <c r="C463"/>
      <c r="D463"/>
      <c r="P463">
        <f t="shared" si="980"/>
        <v>0</v>
      </c>
      <c r="Q463">
        <f t="shared" si="981"/>
        <v>0</v>
      </c>
      <c r="R463">
        <f t="shared" si="982"/>
        <v>0</v>
      </c>
      <c r="S463">
        <f t="shared" si="983"/>
        <v>0</v>
      </c>
      <c r="T463">
        <f t="shared" si="984"/>
        <v>0</v>
      </c>
    </row>
    <row r="464" spans="1:20" x14ac:dyDescent="0.25">
      <c r="A464" s="5"/>
      <c r="C464"/>
      <c r="D464"/>
      <c r="P464">
        <f t="shared" si="980"/>
        <v>0</v>
      </c>
      <c r="Q464">
        <f t="shared" si="981"/>
        <v>0</v>
      </c>
      <c r="R464">
        <f t="shared" si="982"/>
        <v>0</v>
      </c>
      <c r="S464">
        <f t="shared" si="983"/>
        <v>0</v>
      </c>
      <c r="T464">
        <f t="shared" si="984"/>
        <v>0</v>
      </c>
    </row>
    <row r="465" spans="1:20" x14ac:dyDescent="0.25">
      <c r="A465" s="5"/>
      <c r="C465"/>
      <c r="D465"/>
      <c r="P465">
        <f t="shared" si="980"/>
        <v>0</v>
      </c>
      <c r="Q465">
        <f t="shared" si="981"/>
        <v>0</v>
      </c>
      <c r="R465">
        <f t="shared" si="982"/>
        <v>0</v>
      </c>
      <c r="S465">
        <f t="shared" si="983"/>
        <v>0</v>
      </c>
      <c r="T465">
        <f t="shared" si="984"/>
        <v>0</v>
      </c>
    </row>
    <row r="466" spans="1:20" x14ac:dyDescent="0.25">
      <c r="A466" s="5"/>
      <c r="C466"/>
      <c r="D466"/>
      <c r="P466">
        <f t="shared" si="980"/>
        <v>0</v>
      </c>
      <c r="Q466">
        <f t="shared" si="981"/>
        <v>0</v>
      </c>
      <c r="R466">
        <f t="shared" si="982"/>
        <v>0</v>
      </c>
      <c r="S466">
        <f t="shared" si="983"/>
        <v>0</v>
      </c>
      <c r="T466">
        <f t="shared" si="984"/>
        <v>0</v>
      </c>
    </row>
    <row r="467" spans="1:20" x14ac:dyDescent="0.25">
      <c r="A467" s="5"/>
      <c r="C467"/>
      <c r="D467"/>
      <c r="P467">
        <f t="shared" si="980"/>
        <v>0</v>
      </c>
      <c r="Q467">
        <f t="shared" si="981"/>
        <v>0</v>
      </c>
      <c r="R467">
        <f t="shared" si="982"/>
        <v>0</v>
      </c>
      <c r="S467">
        <f t="shared" si="983"/>
        <v>0</v>
      </c>
      <c r="T467">
        <f t="shared" si="984"/>
        <v>0</v>
      </c>
    </row>
    <row r="468" spans="1:20" x14ac:dyDescent="0.25">
      <c r="A468" s="5"/>
      <c r="C468"/>
      <c r="D468"/>
      <c r="P468">
        <f t="shared" si="980"/>
        <v>0</v>
      </c>
      <c r="Q468">
        <f t="shared" si="981"/>
        <v>0</v>
      </c>
      <c r="R468">
        <f t="shared" si="982"/>
        <v>0</v>
      </c>
      <c r="S468">
        <f t="shared" si="983"/>
        <v>0</v>
      </c>
      <c r="T468">
        <f t="shared" si="984"/>
        <v>0</v>
      </c>
    </row>
    <row r="469" spans="1:20" x14ac:dyDescent="0.25">
      <c r="A469" s="5"/>
      <c r="C469"/>
      <c r="D469"/>
      <c r="P469">
        <f t="shared" si="980"/>
        <v>0</v>
      </c>
      <c r="Q469">
        <f t="shared" si="981"/>
        <v>0</v>
      </c>
      <c r="R469">
        <f t="shared" si="982"/>
        <v>0</v>
      </c>
      <c r="S469">
        <f t="shared" si="983"/>
        <v>0</v>
      </c>
      <c r="T469">
        <f t="shared" si="984"/>
        <v>0</v>
      </c>
    </row>
    <row r="470" spans="1:20" x14ac:dyDescent="0.25">
      <c r="A470" s="5"/>
      <c r="C470"/>
      <c r="D470"/>
      <c r="P470">
        <f t="shared" si="980"/>
        <v>0</v>
      </c>
      <c r="Q470">
        <f t="shared" si="981"/>
        <v>0</v>
      </c>
      <c r="R470">
        <f t="shared" si="982"/>
        <v>0</v>
      </c>
      <c r="S470">
        <f t="shared" si="983"/>
        <v>0</v>
      </c>
      <c r="T470">
        <f t="shared" si="984"/>
        <v>0</v>
      </c>
    </row>
    <row r="471" spans="1:20" x14ac:dyDescent="0.25">
      <c r="A471" s="5"/>
      <c r="C471"/>
      <c r="D471"/>
      <c r="P471">
        <f t="shared" si="980"/>
        <v>0</v>
      </c>
      <c r="Q471">
        <f t="shared" si="981"/>
        <v>0</v>
      </c>
      <c r="R471">
        <f t="shared" si="982"/>
        <v>0</v>
      </c>
      <c r="S471">
        <f t="shared" si="983"/>
        <v>0</v>
      </c>
      <c r="T471">
        <f t="shared" si="984"/>
        <v>0</v>
      </c>
    </row>
    <row r="472" spans="1:20" x14ac:dyDescent="0.25">
      <c r="A472" s="5"/>
      <c r="C472"/>
      <c r="D472"/>
      <c r="P472">
        <f t="shared" si="980"/>
        <v>0</v>
      </c>
      <c r="Q472">
        <f t="shared" si="981"/>
        <v>0</v>
      </c>
      <c r="R472">
        <f t="shared" si="982"/>
        <v>0</v>
      </c>
      <c r="S472">
        <f t="shared" si="983"/>
        <v>0</v>
      </c>
      <c r="T472">
        <f t="shared" si="984"/>
        <v>0</v>
      </c>
    </row>
    <row r="473" spans="1:20" x14ac:dyDescent="0.25">
      <c r="A473" s="5"/>
      <c r="C473"/>
      <c r="D473"/>
      <c r="P473">
        <f t="shared" si="980"/>
        <v>0</v>
      </c>
      <c r="Q473">
        <f t="shared" si="981"/>
        <v>0</v>
      </c>
      <c r="R473">
        <f t="shared" si="982"/>
        <v>0</v>
      </c>
      <c r="S473">
        <f t="shared" si="983"/>
        <v>0</v>
      </c>
      <c r="T473">
        <f t="shared" si="984"/>
        <v>0</v>
      </c>
    </row>
    <row r="474" spans="1:20" x14ac:dyDescent="0.25">
      <c r="A474" s="5"/>
      <c r="C474"/>
      <c r="D474"/>
      <c r="P474">
        <f t="shared" si="980"/>
        <v>0</v>
      </c>
      <c r="Q474">
        <f t="shared" si="981"/>
        <v>0</v>
      </c>
      <c r="R474">
        <f t="shared" si="982"/>
        <v>0</v>
      </c>
      <c r="S474">
        <f t="shared" si="983"/>
        <v>0</v>
      </c>
      <c r="T474">
        <f t="shared" si="984"/>
        <v>0</v>
      </c>
    </row>
    <row r="475" spans="1:20" x14ac:dyDescent="0.25">
      <c r="A475" s="5"/>
      <c r="C475"/>
      <c r="D475"/>
      <c r="P475">
        <f t="shared" si="980"/>
        <v>0</v>
      </c>
      <c r="Q475">
        <f t="shared" si="981"/>
        <v>0</v>
      </c>
      <c r="R475">
        <f t="shared" si="982"/>
        <v>0</v>
      </c>
      <c r="S475">
        <f t="shared" si="983"/>
        <v>0</v>
      </c>
      <c r="T475">
        <f t="shared" si="984"/>
        <v>0</v>
      </c>
    </row>
    <row r="476" spans="1:20" x14ac:dyDescent="0.25">
      <c r="A476" s="5"/>
      <c r="C476"/>
      <c r="D476"/>
      <c r="P476">
        <f t="shared" si="980"/>
        <v>0</v>
      </c>
      <c r="Q476">
        <f t="shared" si="981"/>
        <v>0</v>
      </c>
      <c r="R476">
        <f t="shared" si="982"/>
        <v>0</v>
      </c>
      <c r="S476">
        <f t="shared" si="983"/>
        <v>0</v>
      </c>
      <c r="T476">
        <f t="shared" si="984"/>
        <v>0</v>
      </c>
    </row>
    <row r="477" spans="1:20" x14ac:dyDescent="0.25">
      <c r="A477" s="5"/>
      <c r="C477"/>
      <c r="D477"/>
      <c r="P477">
        <f t="shared" si="980"/>
        <v>0</v>
      </c>
      <c r="Q477">
        <f t="shared" si="981"/>
        <v>0</v>
      </c>
      <c r="R477">
        <f t="shared" si="982"/>
        <v>0</v>
      </c>
      <c r="S477">
        <f t="shared" si="983"/>
        <v>0</v>
      </c>
      <c r="T477">
        <f t="shared" si="984"/>
        <v>0</v>
      </c>
    </row>
    <row r="478" spans="1:20" x14ac:dyDescent="0.25">
      <c r="A478" s="5"/>
      <c r="C478"/>
      <c r="D478"/>
      <c r="P478">
        <f t="shared" si="980"/>
        <v>0</v>
      </c>
      <c r="Q478">
        <f t="shared" si="981"/>
        <v>0</v>
      </c>
      <c r="R478">
        <f t="shared" si="982"/>
        <v>0</v>
      </c>
      <c r="S478">
        <f t="shared" si="983"/>
        <v>0</v>
      </c>
      <c r="T478">
        <f t="shared" si="984"/>
        <v>0</v>
      </c>
    </row>
    <row r="479" spans="1:20" x14ac:dyDescent="0.25">
      <c r="A479" s="5"/>
      <c r="C479"/>
      <c r="D479"/>
      <c r="P479">
        <f t="shared" si="980"/>
        <v>0</v>
      </c>
      <c r="Q479">
        <f t="shared" si="981"/>
        <v>0</v>
      </c>
      <c r="R479">
        <f t="shared" si="982"/>
        <v>0</v>
      </c>
      <c r="S479">
        <f t="shared" si="983"/>
        <v>0</v>
      </c>
      <c r="T479">
        <f t="shared" si="984"/>
        <v>0</v>
      </c>
    </row>
    <row r="480" spans="1:20" x14ac:dyDescent="0.25">
      <c r="A480" s="5"/>
      <c r="C480"/>
      <c r="D480"/>
      <c r="P480">
        <f t="shared" si="980"/>
        <v>0</v>
      </c>
      <c r="Q480">
        <f t="shared" si="981"/>
        <v>0</v>
      </c>
      <c r="R480">
        <f t="shared" si="982"/>
        <v>0</v>
      </c>
      <c r="S480">
        <f t="shared" si="983"/>
        <v>0</v>
      </c>
      <c r="T480">
        <f t="shared" si="984"/>
        <v>0</v>
      </c>
    </row>
    <row r="481" spans="1:20" x14ac:dyDescent="0.25">
      <c r="A481" s="5"/>
      <c r="C481"/>
      <c r="D481"/>
      <c r="P481">
        <f t="shared" si="980"/>
        <v>0</v>
      </c>
      <c r="Q481">
        <f t="shared" si="981"/>
        <v>0</v>
      </c>
      <c r="R481">
        <f t="shared" si="982"/>
        <v>0</v>
      </c>
      <c r="S481">
        <f t="shared" si="983"/>
        <v>0</v>
      </c>
      <c r="T481">
        <f t="shared" si="984"/>
        <v>0</v>
      </c>
    </row>
    <row r="482" spans="1:20" x14ac:dyDescent="0.25">
      <c r="A482" s="5"/>
      <c r="C482"/>
      <c r="D482"/>
      <c r="P482">
        <f t="shared" si="980"/>
        <v>0</v>
      </c>
      <c r="Q482">
        <f t="shared" si="981"/>
        <v>0</v>
      </c>
      <c r="R482">
        <f t="shared" si="982"/>
        <v>0</v>
      </c>
      <c r="S482">
        <f t="shared" si="983"/>
        <v>0</v>
      </c>
      <c r="T482">
        <f t="shared" si="984"/>
        <v>0</v>
      </c>
    </row>
    <row r="483" spans="1:20" x14ac:dyDescent="0.25">
      <c r="A483" s="5"/>
      <c r="C483"/>
      <c r="D483"/>
      <c r="P483">
        <f t="shared" si="980"/>
        <v>0</v>
      </c>
      <c r="Q483">
        <f t="shared" si="981"/>
        <v>0</v>
      </c>
      <c r="R483">
        <f t="shared" si="982"/>
        <v>0</v>
      </c>
      <c r="S483">
        <f t="shared" si="983"/>
        <v>0</v>
      </c>
      <c r="T483">
        <f t="shared" si="984"/>
        <v>0</v>
      </c>
    </row>
    <row r="484" spans="1:20" x14ac:dyDescent="0.25">
      <c r="A484" s="5"/>
      <c r="C484"/>
      <c r="D484"/>
      <c r="P484">
        <f t="shared" si="980"/>
        <v>0</v>
      </c>
      <c r="Q484">
        <f t="shared" si="981"/>
        <v>0</v>
      </c>
      <c r="R484">
        <f t="shared" si="982"/>
        <v>0</v>
      </c>
      <c r="S484">
        <f t="shared" si="983"/>
        <v>0</v>
      </c>
      <c r="T484">
        <f t="shared" si="984"/>
        <v>0</v>
      </c>
    </row>
    <row r="485" spans="1:20" x14ac:dyDescent="0.25">
      <c r="A485" s="5"/>
      <c r="C485"/>
      <c r="D485"/>
      <c r="P485">
        <f t="shared" si="980"/>
        <v>0</v>
      </c>
      <c r="Q485">
        <f t="shared" si="981"/>
        <v>0</v>
      </c>
      <c r="R485">
        <f t="shared" si="982"/>
        <v>0</v>
      </c>
      <c r="S485">
        <f t="shared" si="983"/>
        <v>0</v>
      </c>
      <c r="T485">
        <f t="shared" si="984"/>
        <v>0</v>
      </c>
    </row>
    <row r="486" spans="1:20" x14ac:dyDescent="0.25">
      <c r="A486" s="5"/>
      <c r="C486"/>
      <c r="D486"/>
      <c r="P486">
        <f t="shared" si="980"/>
        <v>0</v>
      </c>
      <c r="Q486">
        <f t="shared" si="981"/>
        <v>0</v>
      </c>
      <c r="R486">
        <f t="shared" si="982"/>
        <v>0</v>
      </c>
      <c r="S486">
        <f t="shared" si="983"/>
        <v>0</v>
      </c>
      <c r="T486">
        <f t="shared" si="984"/>
        <v>0</v>
      </c>
    </row>
    <row r="487" spans="1:20" x14ac:dyDescent="0.25">
      <c r="A487" s="5"/>
      <c r="C487"/>
      <c r="D487"/>
      <c r="P487">
        <f t="shared" si="980"/>
        <v>0</v>
      </c>
      <c r="Q487">
        <f t="shared" si="981"/>
        <v>0</v>
      </c>
      <c r="R487">
        <f t="shared" si="982"/>
        <v>0</v>
      </c>
      <c r="S487">
        <f t="shared" si="983"/>
        <v>0</v>
      </c>
      <c r="T487">
        <f t="shared" si="984"/>
        <v>0</v>
      </c>
    </row>
    <row r="488" spans="1:20" x14ac:dyDescent="0.25">
      <c r="A488" s="5"/>
      <c r="C488"/>
      <c r="D488"/>
      <c r="P488">
        <f t="shared" si="980"/>
        <v>0</v>
      </c>
      <c r="Q488">
        <f t="shared" si="981"/>
        <v>0</v>
      </c>
      <c r="R488">
        <f t="shared" si="982"/>
        <v>0</v>
      </c>
      <c r="S488">
        <f t="shared" si="983"/>
        <v>0</v>
      </c>
      <c r="T488">
        <f t="shared" si="984"/>
        <v>0</v>
      </c>
    </row>
    <row r="489" spans="1:20" x14ac:dyDescent="0.25">
      <c r="A489" s="5"/>
      <c r="C489"/>
      <c r="D489"/>
      <c r="P489">
        <f t="shared" si="980"/>
        <v>0</v>
      </c>
      <c r="Q489">
        <f t="shared" si="981"/>
        <v>0</v>
      </c>
      <c r="R489">
        <f t="shared" si="982"/>
        <v>0</v>
      </c>
      <c r="S489">
        <f t="shared" si="983"/>
        <v>0</v>
      </c>
      <c r="T489">
        <f t="shared" si="984"/>
        <v>0</v>
      </c>
    </row>
    <row r="490" spans="1:20" x14ac:dyDescent="0.25">
      <c r="A490" s="5"/>
      <c r="C490"/>
      <c r="D490"/>
      <c r="P490">
        <f t="shared" si="980"/>
        <v>0</v>
      </c>
      <c r="Q490">
        <f t="shared" si="981"/>
        <v>0</v>
      </c>
      <c r="R490">
        <f t="shared" si="982"/>
        <v>0</v>
      </c>
      <c r="S490">
        <f t="shared" si="983"/>
        <v>0</v>
      </c>
      <c r="T490">
        <f t="shared" si="984"/>
        <v>0</v>
      </c>
    </row>
    <row r="491" spans="1:20" x14ac:dyDescent="0.25">
      <c r="A491" s="5"/>
      <c r="C491"/>
      <c r="D491"/>
      <c r="P491">
        <f t="shared" si="980"/>
        <v>0</v>
      </c>
      <c r="Q491">
        <f t="shared" si="981"/>
        <v>0</v>
      </c>
      <c r="R491">
        <f t="shared" si="982"/>
        <v>0</v>
      </c>
      <c r="S491">
        <f t="shared" si="983"/>
        <v>0</v>
      </c>
      <c r="T491">
        <f t="shared" si="984"/>
        <v>0</v>
      </c>
    </row>
    <row r="492" spans="1:20" x14ac:dyDescent="0.25">
      <c r="A492" s="5"/>
      <c r="C492"/>
      <c r="D492"/>
      <c r="P492">
        <f t="shared" si="980"/>
        <v>0</v>
      </c>
      <c r="Q492">
        <f t="shared" si="981"/>
        <v>0</v>
      </c>
      <c r="R492">
        <f t="shared" si="982"/>
        <v>0</v>
      </c>
      <c r="S492">
        <f t="shared" si="983"/>
        <v>0</v>
      </c>
      <c r="T492">
        <f t="shared" si="984"/>
        <v>0</v>
      </c>
    </row>
    <row r="493" spans="1:20" x14ac:dyDescent="0.25">
      <c r="A493" s="5"/>
      <c r="C493"/>
      <c r="D493"/>
      <c r="P493">
        <f t="shared" si="980"/>
        <v>0</v>
      </c>
      <c r="Q493">
        <f t="shared" si="981"/>
        <v>0</v>
      </c>
      <c r="R493">
        <f t="shared" si="982"/>
        <v>0</v>
      </c>
      <c r="S493">
        <f t="shared" si="983"/>
        <v>0</v>
      </c>
      <c r="T493">
        <f t="shared" si="984"/>
        <v>0</v>
      </c>
    </row>
    <row r="494" spans="1:20" x14ac:dyDescent="0.25">
      <c r="A494" s="5"/>
      <c r="C494"/>
      <c r="D494"/>
      <c r="P494">
        <f t="shared" si="980"/>
        <v>0</v>
      </c>
      <c r="Q494">
        <f t="shared" si="981"/>
        <v>0</v>
      </c>
      <c r="R494">
        <f t="shared" si="982"/>
        <v>0</v>
      </c>
      <c r="S494">
        <f t="shared" si="983"/>
        <v>0</v>
      </c>
      <c r="T494">
        <f t="shared" si="984"/>
        <v>0</v>
      </c>
    </row>
    <row r="495" spans="1:20" x14ac:dyDescent="0.25">
      <c r="A495" s="5"/>
      <c r="C495"/>
      <c r="D495"/>
      <c r="P495">
        <f t="shared" si="980"/>
        <v>0</v>
      </c>
      <c r="Q495">
        <f t="shared" si="981"/>
        <v>0</v>
      </c>
      <c r="R495">
        <f t="shared" si="982"/>
        <v>0</v>
      </c>
      <c r="S495">
        <f t="shared" si="983"/>
        <v>0</v>
      </c>
      <c r="T495">
        <f t="shared" si="984"/>
        <v>0</v>
      </c>
    </row>
    <row r="496" spans="1:20" x14ac:dyDescent="0.25">
      <c r="A496" s="5"/>
      <c r="C496"/>
      <c r="D496"/>
      <c r="P496">
        <f t="shared" si="980"/>
        <v>0</v>
      </c>
      <c r="Q496">
        <f t="shared" si="981"/>
        <v>0</v>
      </c>
      <c r="R496">
        <f t="shared" si="982"/>
        <v>0</v>
      </c>
      <c r="S496">
        <f t="shared" si="983"/>
        <v>0</v>
      </c>
      <c r="T496">
        <f t="shared" si="984"/>
        <v>0</v>
      </c>
    </row>
    <row r="497" spans="1:20" x14ac:dyDescent="0.25">
      <c r="A497" s="5"/>
      <c r="C497"/>
      <c r="D497"/>
      <c r="P497">
        <f t="shared" si="980"/>
        <v>0</v>
      </c>
      <c r="Q497">
        <f t="shared" si="981"/>
        <v>0</v>
      </c>
      <c r="R497">
        <f t="shared" si="982"/>
        <v>0</v>
      </c>
      <c r="S497">
        <f t="shared" si="983"/>
        <v>0</v>
      </c>
      <c r="T497">
        <f t="shared" si="984"/>
        <v>0</v>
      </c>
    </row>
    <row r="498" spans="1:20" x14ac:dyDescent="0.25">
      <c r="A498" s="5"/>
      <c r="C498"/>
      <c r="D498"/>
      <c r="P498">
        <f t="shared" si="980"/>
        <v>0</v>
      </c>
      <c r="Q498">
        <f t="shared" si="981"/>
        <v>0</v>
      </c>
      <c r="R498">
        <f t="shared" si="982"/>
        <v>0</v>
      </c>
      <c r="S498">
        <f t="shared" si="983"/>
        <v>0</v>
      </c>
      <c r="T498">
        <f t="shared" si="984"/>
        <v>0</v>
      </c>
    </row>
    <row r="499" spans="1:20" x14ac:dyDescent="0.25">
      <c r="A499" s="5"/>
      <c r="C499"/>
      <c r="D499"/>
      <c r="P499">
        <f t="shared" si="980"/>
        <v>0</v>
      </c>
      <c r="Q499">
        <f t="shared" si="981"/>
        <v>0</v>
      </c>
      <c r="R499">
        <f t="shared" si="982"/>
        <v>0</v>
      </c>
      <c r="S499">
        <f t="shared" si="983"/>
        <v>0</v>
      </c>
      <c r="T499">
        <f t="shared" si="984"/>
        <v>0</v>
      </c>
    </row>
    <row r="500" spans="1:20" x14ac:dyDescent="0.25">
      <c r="A500" s="5"/>
      <c r="C500"/>
      <c r="D500"/>
      <c r="P500">
        <f t="shared" si="980"/>
        <v>0</v>
      </c>
      <c r="Q500">
        <f t="shared" si="981"/>
        <v>0</v>
      </c>
      <c r="R500">
        <f t="shared" si="982"/>
        <v>0</v>
      </c>
      <c r="S500">
        <f t="shared" si="983"/>
        <v>0</v>
      </c>
      <c r="T500">
        <f t="shared" si="984"/>
        <v>0</v>
      </c>
    </row>
    <row r="501" spans="1:20" x14ac:dyDescent="0.25">
      <c r="A501" s="5"/>
      <c r="C501"/>
      <c r="D501"/>
      <c r="P501">
        <f t="shared" si="980"/>
        <v>0</v>
      </c>
      <c r="Q501">
        <f t="shared" si="981"/>
        <v>0</v>
      </c>
      <c r="R501">
        <f t="shared" si="982"/>
        <v>0</v>
      </c>
      <c r="S501">
        <f t="shared" si="983"/>
        <v>0</v>
      </c>
      <c r="T501">
        <f t="shared" si="984"/>
        <v>0</v>
      </c>
    </row>
    <row r="502" spans="1:20" x14ac:dyDescent="0.25">
      <c r="A502" s="5"/>
      <c r="C502"/>
      <c r="D502"/>
      <c r="P502">
        <f t="shared" si="980"/>
        <v>0</v>
      </c>
      <c r="Q502">
        <f t="shared" si="981"/>
        <v>0</v>
      </c>
      <c r="R502">
        <f t="shared" si="982"/>
        <v>0</v>
      </c>
      <c r="S502">
        <f t="shared" si="983"/>
        <v>0</v>
      </c>
      <c r="T502">
        <f t="shared" si="984"/>
        <v>0</v>
      </c>
    </row>
    <row r="503" spans="1:20" x14ac:dyDescent="0.25">
      <c r="A503" s="5"/>
      <c r="C503"/>
      <c r="D503"/>
      <c r="P503">
        <f t="shared" si="980"/>
        <v>0</v>
      </c>
      <c r="Q503">
        <f t="shared" si="981"/>
        <v>0</v>
      </c>
      <c r="R503">
        <f t="shared" si="982"/>
        <v>0</v>
      </c>
      <c r="S503">
        <f t="shared" si="983"/>
        <v>0</v>
      </c>
      <c r="T503">
        <f t="shared" si="984"/>
        <v>0</v>
      </c>
    </row>
    <row r="504" spans="1:20" x14ac:dyDescent="0.25">
      <c r="A504" s="5"/>
      <c r="C504"/>
      <c r="D504"/>
      <c r="P504">
        <f t="shared" si="980"/>
        <v>0</v>
      </c>
      <c r="Q504">
        <f t="shared" si="981"/>
        <v>0</v>
      </c>
      <c r="R504">
        <f t="shared" si="982"/>
        <v>0</v>
      </c>
      <c r="S504">
        <f t="shared" si="983"/>
        <v>0</v>
      </c>
      <c r="T504">
        <f t="shared" si="984"/>
        <v>0</v>
      </c>
    </row>
    <row r="505" spans="1:20" x14ac:dyDescent="0.25">
      <c r="A505" s="5"/>
      <c r="C505"/>
      <c r="D505"/>
      <c r="P505">
        <f t="shared" si="980"/>
        <v>0</v>
      </c>
      <c r="Q505">
        <f t="shared" si="981"/>
        <v>0</v>
      </c>
      <c r="R505">
        <f t="shared" si="982"/>
        <v>0</v>
      </c>
      <c r="S505">
        <f t="shared" si="983"/>
        <v>0</v>
      </c>
      <c r="T505">
        <f t="shared" si="984"/>
        <v>0</v>
      </c>
    </row>
    <row r="506" spans="1:20" x14ac:dyDescent="0.25">
      <c r="A506" s="5"/>
      <c r="C506"/>
      <c r="D506"/>
      <c r="P506">
        <f t="shared" si="980"/>
        <v>0</v>
      </c>
      <c r="Q506">
        <f t="shared" si="981"/>
        <v>0</v>
      </c>
      <c r="R506">
        <f t="shared" si="982"/>
        <v>0</v>
      </c>
      <c r="S506">
        <f t="shared" si="983"/>
        <v>0</v>
      </c>
      <c r="T506">
        <f t="shared" si="984"/>
        <v>0</v>
      </c>
    </row>
    <row r="507" spans="1:20" x14ac:dyDescent="0.25">
      <c r="A507" s="5"/>
      <c r="C507"/>
      <c r="D507"/>
      <c r="P507">
        <f t="shared" si="980"/>
        <v>0</v>
      </c>
      <c r="Q507">
        <f t="shared" si="981"/>
        <v>0</v>
      </c>
      <c r="R507">
        <f t="shared" si="982"/>
        <v>0</v>
      </c>
      <c r="S507">
        <f t="shared" si="983"/>
        <v>0</v>
      </c>
      <c r="T507">
        <f t="shared" si="984"/>
        <v>0</v>
      </c>
    </row>
    <row r="508" spans="1:20" x14ac:dyDescent="0.25">
      <c r="A508" s="5"/>
      <c r="C508"/>
      <c r="D508"/>
      <c r="P508">
        <f t="shared" si="980"/>
        <v>0</v>
      </c>
      <c r="Q508">
        <f t="shared" si="981"/>
        <v>0</v>
      </c>
      <c r="R508">
        <f t="shared" si="982"/>
        <v>0</v>
      </c>
      <c r="S508">
        <f t="shared" si="983"/>
        <v>0</v>
      </c>
      <c r="T508">
        <f t="shared" si="984"/>
        <v>0</v>
      </c>
    </row>
    <row r="509" spans="1:20" x14ac:dyDescent="0.25">
      <c r="A509" s="5"/>
      <c r="C509"/>
      <c r="D509"/>
      <c r="P509">
        <f t="shared" si="980"/>
        <v>0</v>
      </c>
      <c r="Q509">
        <f t="shared" si="981"/>
        <v>0</v>
      </c>
      <c r="R509">
        <f t="shared" si="982"/>
        <v>0</v>
      </c>
      <c r="S509">
        <f t="shared" si="983"/>
        <v>0</v>
      </c>
      <c r="T509">
        <f t="shared" si="984"/>
        <v>0</v>
      </c>
    </row>
    <row r="510" spans="1:20" x14ac:dyDescent="0.25">
      <c r="A510" s="5"/>
      <c r="C510"/>
      <c r="D510"/>
      <c r="P510">
        <f t="shared" si="980"/>
        <v>0</v>
      </c>
      <c r="Q510">
        <f t="shared" si="981"/>
        <v>0</v>
      </c>
      <c r="R510">
        <f t="shared" si="982"/>
        <v>0</v>
      </c>
      <c r="S510">
        <f t="shared" si="983"/>
        <v>0</v>
      </c>
      <c r="T510">
        <f t="shared" si="984"/>
        <v>0</v>
      </c>
    </row>
    <row r="511" spans="1:20" x14ac:dyDescent="0.25">
      <c r="A511" s="5"/>
      <c r="C511"/>
      <c r="D511"/>
      <c r="P511">
        <f t="shared" si="980"/>
        <v>0</v>
      </c>
      <c r="Q511">
        <f t="shared" si="981"/>
        <v>0</v>
      </c>
      <c r="R511">
        <f t="shared" si="982"/>
        <v>0</v>
      </c>
      <c r="S511">
        <f t="shared" si="983"/>
        <v>0</v>
      </c>
      <c r="T511">
        <f t="shared" si="984"/>
        <v>0</v>
      </c>
    </row>
    <row r="512" spans="1:20" x14ac:dyDescent="0.25">
      <c r="A512" s="5"/>
      <c r="C512"/>
      <c r="D512"/>
      <c r="P512">
        <f t="shared" si="980"/>
        <v>0</v>
      </c>
      <c r="Q512">
        <f t="shared" si="981"/>
        <v>0</v>
      </c>
      <c r="R512">
        <f t="shared" si="982"/>
        <v>0</v>
      </c>
      <c r="S512">
        <f t="shared" si="983"/>
        <v>0</v>
      </c>
      <c r="T512">
        <f t="shared" si="984"/>
        <v>0</v>
      </c>
    </row>
    <row r="513" spans="1:20" x14ac:dyDescent="0.25">
      <c r="A513" s="5"/>
      <c r="C513"/>
      <c r="D513"/>
      <c r="P513">
        <f t="shared" si="980"/>
        <v>0</v>
      </c>
      <c r="Q513">
        <f t="shared" si="981"/>
        <v>0</v>
      </c>
      <c r="R513">
        <f t="shared" si="982"/>
        <v>0</v>
      </c>
      <c r="S513">
        <f t="shared" si="983"/>
        <v>0</v>
      </c>
      <c r="T513">
        <f t="shared" si="984"/>
        <v>0</v>
      </c>
    </row>
    <row r="514" spans="1:20" x14ac:dyDescent="0.25">
      <c r="A514" s="5"/>
      <c r="C514"/>
      <c r="D514"/>
      <c r="P514">
        <f t="shared" si="980"/>
        <v>0</v>
      </c>
      <c r="Q514">
        <f t="shared" si="981"/>
        <v>0</v>
      </c>
      <c r="R514">
        <f t="shared" si="982"/>
        <v>0</v>
      </c>
      <c r="S514">
        <f t="shared" si="983"/>
        <v>0</v>
      </c>
      <c r="T514">
        <f t="shared" si="984"/>
        <v>0</v>
      </c>
    </row>
    <row r="515" spans="1:20" x14ac:dyDescent="0.25">
      <c r="A515" s="5"/>
      <c r="C515"/>
      <c r="D515"/>
      <c r="P515">
        <f t="shared" si="980"/>
        <v>0</v>
      </c>
      <c r="Q515">
        <f t="shared" si="981"/>
        <v>0</v>
      </c>
      <c r="R515">
        <f t="shared" si="982"/>
        <v>0</v>
      </c>
      <c r="S515">
        <f t="shared" si="983"/>
        <v>0</v>
      </c>
      <c r="T515">
        <f t="shared" si="984"/>
        <v>0</v>
      </c>
    </row>
    <row r="516" spans="1:20" x14ac:dyDescent="0.25">
      <c r="A516" s="5"/>
      <c r="C516"/>
      <c r="D516"/>
      <c r="P516">
        <f t="shared" si="980"/>
        <v>0</v>
      </c>
      <c r="Q516">
        <f t="shared" si="981"/>
        <v>0</v>
      </c>
      <c r="R516">
        <f t="shared" si="982"/>
        <v>0</v>
      </c>
      <c r="S516">
        <f t="shared" si="983"/>
        <v>0</v>
      </c>
      <c r="T516">
        <f t="shared" si="984"/>
        <v>0</v>
      </c>
    </row>
    <row r="517" spans="1:20" x14ac:dyDescent="0.25">
      <c r="A517" s="5"/>
      <c r="C517"/>
      <c r="D517"/>
      <c r="P517">
        <f t="shared" si="980"/>
        <v>0</v>
      </c>
      <c r="Q517">
        <f t="shared" si="981"/>
        <v>0</v>
      </c>
      <c r="R517">
        <f t="shared" si="982"/>
        <v>0</v>
      </c>
      <c r="S517">
        <f t="shared" si="983"/>
        <v>0</v>
      </c>
      <c r="T517">
        <f t="shared" si="984"/>
        <v>0</v>
      </c>
    </row>
    <row r="518" spans="1:20" x14ac:dyDescent="0.25">
      <c r="A518" s="5"/>
      <c r="C518"/>
      <c r="D518"/>
      <c r="P518">
        <f t="shared" ref="P518:P581" si="985">IF(C518=D518,0,((E518-D518)-(C518-E518))/(C518-D518))</f>
        <v>0</v>
      </c>
      <c r="Q518">
        <f t="shared" ref="Q518:Q581" si="986">F518*P518</f>
        <v>0</v>
      </c>
      <c r="R518">
        <f t="shared" ref="R518:R581" si="987">R519+Q518</f>
        <v>0</v>
      </c>
      <c r="S518">
        <f t="shared" ref="S518:S581" si="988">R518/100000</f>
        <v>0</v>
      </c>
      <c r="T518">
        <f t="shared" ref="T518:T581" si="989">S518/1000</f>
        <v>0</v>
      </c>
    </row>
    <row r="519" spans="1:20" x14ac:dyDescent="0.25">
      <c r="A519" s="5"/>
      <c r="C519"/>
      <c r="D519"/>
      <c r="P519">
        <f t="shared" si="985"/>
        <v>0</v>
      </c>
      <c r="Q519">
        <f t="shared" si="986"/>
        <v>0</v>
      </c>
      <c r="R519">
        <f t="shared" si="987"/>
        <v>0</v>
      </c>
      <c r="S519">
        <f t="shared" si="988"/>
        <v>0</v>
      </c>
      <c r="T519">
        <f t="shared" si="989"/>
        <v>0</v>
      </c>
    </row>
    <row r="520" spans="1:20" x14ac:dyDescent="0.25">
      <c r="A520" s="5"/>
      <c r="C520"/>
      <c r="D520"/>
      <c r="P520">
        <f t="shared" si="985"/>
        <v>0</v>
      </c>
      <c r="Q520">
        <f t="shared" si="986"/>
        <v>0</v>
      </c>
      <c r="R520">
        <f t="shared" si="987"/>
        <v>0</v>
      </c>
      <c r="S520">
        <f t="shared" si="988"/>
        <v>0</v>
      </c>
      <c r="T520">
        <f t="shared" si="989"/>
        <v>0</v>
      </c>
    </row>
    <row r="521" spans="1:20" x14ac:dyDescent="0.25">
      <c r="A521" s="5"/>
      <c r="C521"/>
      <c r="D521"/>
      <c r="P521">
        <f t="shared" si="985"/>
        <v>0</v>
      </c>
      <c r="Q521">
        <f t="shared" si="986"/>
        <v>0</v>
      </c>
      <c r="R521">
        <f t="shared" si="987"/>
        <v>0</v>
      </c>
      <c r="S521">
        <f t="shared" si="988"/>
        <v>0</v>
      </c>
      <c r="T521">
        <f t="shared" si="989"/>
        <v>0</v>
      </c>
    </row>
    <row r="522" spans="1:20" x14ac:dyDescent="0.25">
      <c r="A522" s="5"/>
      <c r="C522"/>
      <c r="D522"/>
      <c r="P522">
        <f t="shared" si="985"/>
        <v>0</v>
      </c>
      <c r="Q522">
        <f t="shared" si="986"/>
        <v>0</v>
      </c>
      <c r="R522">
        <f t="shared" si="987"/>
        <v>0</v>
      </c>
      <c r="S522">
        <f t="shared" si="988"/>
        <v>0</v>
      </c>
      <c r="T522">
        <f t="shared" si="989"/>
        <v>0</v>
      </c>
    </row>
    <row r="523" spans="1:20" x14ac:dyDescent="0.25">
      <c r="A523" s="5"/>
      <c r="C523"/>
      <c r="D523"/>
      <c r="P523">
        <f t="shared" si="985"/>
        <v>0</v>
      </c>
      <c r="Q523">
        <f t="shared" si="986"/>
        <v>0</v>
      </c>
      <c r="R523">
        <f t="shared" si="987"/>
        <v>0</v>
      </c>
      <c r="S523">
        <f t="shared" si="988"/>
        <v>0</v>
      </c>
      <c r="T523">
        <f t="shared" si="989"/>
        <v>0</v>
      </c>
    </row>
    <row r="524" spans="1:20" x14ac:dyDescent="0.25">
      <c r="A524" s="5"/>
      <c r="C524"/>
      <c r="D524"/>
      <c r="P524">
        <f t="shared" si="985"/>
        <v>0</v>
      </c>
      <c r="Q524">
        <f t="shared" si="986"/>
        <v>0</v>
      </c>
      <c r="R524">
        <f t="shared" si="987"/>
        <v>0</v>
      </c>
      <c r="S524">
        <f t="shared" si="988"/>
        <v>0</v>
      </c>
      <c r="T524">
        <f t="shared" si="989"/>
        <v>0</v>
      </c>
    </row>
    <row r="525" spans="1:20" x14ac:dyDescent="0.25">
      <c r="A525" s="5"/>
      <c r="C525"/>
      <c r="D525"/>
      <c r="P525">
        <f t="shared" si="985"/>
        <v>0</v>
      </c>
      <c r="Q525">
        <f t="shared" si="986"/>
        <v>0</v>
      </c>
      <c r="R525">
        <f t="shared" si="987"/>
        <v>0</v>
      </c>
      <c r="S525">
        <f t="shared" si="988"/>
        <v>0</v>
      </c>
      <c r="T525">
        <f t="shared" si="989"/>
        <v>0</v>
      </c>
    </row>
    <row r="526" spans="1:20" x14ac:dyDescent="0.25">
      <c r="A526" s="5"/>
      <c r="C526"/>
      <c r="D526"/>
      <c r="P526">
        <f t="shared" si="985"/>
        <v>0</v>
      </c>
      <c r="Q526">
        <f t="shared" si="986"/>
        <v>0</v>
      </c>
      <c r="R526">
        <f t="shared" si="987"/>
        <v>0</v>
      </c>
      <c r="S526">
        <f t="shared" si="988"/>
        <v>0</v>
      </c>
      <c r="T526">
        <f t="shared" si="989"/>
        <v>0</v>
      </c>
    </row>
    <row r="527" spans="1:20" x14ac:dyDescent="0.25">
      <c r="A527" s="5"/>
      <c r="C527"/>
      <c r="D527"/>
      <c r="P527">
        <f t="shared" si="985"/>
        <v>0</v>
      </c>
      <c r="Q527">
        <f t="shared" si="986"/>
        <v>0</v>
      </c>
      <c r="R527">
        <f t="shared" si="987"/>
        <v>0</v>
      </c>
      <c r="S527">
        <f t="shared" si="988"/>
        <v>0</v>
      </c>
      <c r="T527">
        <f t="shared" si="989"/>
        <v>0</v>
      </c>
    </row>
    <row r="528" spans="1:20" x14ac:dyDescent="0.25">
      <c r="A528" s="5"/>
      <c r="C528"/>
      <c r="D528"/>
      <c r="P528">
        <f t="shared" si="985"/>
        <v>0</v>
      </c>
      <c r="Q528">
        <f t="shared" si="986"/>
        <v>0</v>
      </c>
      <c r="R528">
        <f t="shared" si="987"/>
        <v>0</v>
      </c>
      <c r="S528">
        <f t="shared" si="988"/>
        <v>0</v>
      </c>
      <c r="T528">
        <f t="shared" si="989"/>
        <v>0</v>
      </c>
    </row>
    <row r="529" spans="1:20" x14ac:dyDescent="0.25">
      <c r="A529" s="5"/>
      <c r="C529"/>
      <c r="D529"/>
      <c r="P529">
        <f t="shared" si="985"/>
        <v>0</v>
      </c>
      <c r="Q529">
        <f t="shared" si="986"/>
        <v>0</v>
      </c>
      <c r="R529">
        <f t="shared" si="987"/>
        <v>0</v>
      </c>
      <c r="S529">
        <f t="shared" si="988"/>
        <v>0</v>
      </c>
      <c r="T529">
        <f t="shared" si="989"/>
        <v>0</v>
      </c>
    </row>
    <row r="530" spans="1:20" x14ac:dyDescent="0.25">
      <c r="A530" s="5"/>
      <c r="C530"/>
      <c r="D530"/>
      <c r="P530">
        <f t="shared" si="985"/>
        <v>0</v>
      </c>
      <c r="Q530">
        <f t="shared" si="986"/>
        <v>0</v>
      </c>
      <c r="R530">
        <f t="shared" si="987"/>
        <v>0</v>
      </c>
      <c r="S530">
        <f t="shared" si="988"/>
        <v>0</v>
      </c>
      <c r="T530">
        <f t="shared" si="989"/>
        <v>0</v>
      </c>
    </row>
    <row r="531" spans="1:20" x14ac:dyDescent="0.25">
      <c r="A531" s="5"/>
      <c r="C531"/>
      <c r="D531"/>
      <c r="P531">
        <f t="shared" si="985"/>
        <v>0</v>
      </c>
      <c r="Q531">
        <f t="shared" si="986"/>
        <v>0</v>
      </c>
      <c r="R531">
        <f t="shared" si="987"/>
        <v>0</v>
      </c>
      <c r="S531">
        <f t="shared" si="988"/>
        <v>0</v>
      </c>
      <c r="T531">
        <f t="shared" si="989"/>
        <v>0</v>
      </c>
    </row>
    <row r="532" spans="1:20" x14ac:dyDescent="0.25">
      <c r="A532" s="5"/>
      <c r="C532"/>
      <c r="D532"/>
      <c r="P532">
        <f t="shared" si="985"/>
        <v>0</v>
      </c>
      <c r="Q532">
        <f t="shared" si="986"/>
        <v>0</v>
      </c>
      <c r="R532">
        <f t="shared" si="987"/>
        <v>0</v>
      </c>
      <c r="S532">
        <f t="shared" si="988"/>
        <v>0</v>
      </c>
      <c r="T532">
        <f t="shared" si="989"/>
        <v>0</v>
      </c>
    </row>
    <row r="533" spans="1:20" x14ac:dyDescent="0.25">
      <c r="A533" s="5"/>
      <c r="C533"/>
      <c r="D533"/>
      <c r="P533">
        <f t="shared" si="985"/>
        <v>0</v>
      </c>
      <c r="Q533">
        <f t="shared" si="986"/>
        <v>0</v>
      </c>
      <c r="R533">
        <f t="shared" si="987"/>
        <v>0</v>
      </c>
      <c r="S533">
        <f t="shared" si="988"/>
        <v>0</v>
      </c>
      <c r="T533">
        <f t="shared" si="989"/>
        <v>0</v>
      </c>
    </row>
    <row r="534" spans="1:20" x14ac:dyDescent="0.25">
      <c r="A534" s="5"/>
      <c r="C534"/>
      <c r="D534"/>
      <c r="P534">
        <f t="shared" si="985"/>
        <v>0</v>
      </c>
      <c r="Q534">
        <f t="shared" si="986"/>
        <v>0</v>
      </c>
      <c r="R534">
        <f t="shared" si="987"/>
        <v>0</v>
      </c>
      <c r="S534">
        <f t="shared" si="988"/>
        <v>0</v>
      </c>
      <c r="T534">
        <f t="shared" si="989"/>
        <v>0</v>
      </c>
    </row>
    <row r="535" spans="1:20" x14ac:dyDescent="0.25">
      <c r="A535" s="5"/>
      <c r="C535"/>
      <c r="D535"/>
      <c r="P535">
        <f t="shared" si="985"/>
        <v>0</v>
      </c>
      <c r="Q535">
        <f t="shared" si="986"/>
        <v>0</v>
      </c>
      <c r="R535">
        <f t="shared" si="987"/>
        <v>0</v>
      </c>
      <c r="S535">
        <f t="shared" si="988"/>
        <v>0</v>
      </c>
      <c r="T535">
        <f t="shared" si="989"/>
        <v>0</v>
      </c>
    </row>
    <row r="536" spans="1:20" x14ac:dyDescent="0.25">
      <c r="A536" s="5"/>
      <c r="C536"/>
      <c r="D536"/>
      <c r="P536">
        <f t="shared" si="985"/>
        <v>0</v>
      </c>
      <c r="Q536">
        <f t="shared" si="986"/>
        <v>0</v>
      </c>
      <c r="R536">
        <f t="shared" si="987"/>
        <v>0</v>
      </c>
      <c r="S536">
        <f t="shared" si="988"/>
        <v>0</v>
      </c>
      <c r="T536">
        <f t="shared" si="989"/>
        <v>0</v>
      </c>
    </row>
    <row r="537" spans="1:20" x14ac:dyDescent="0.25">
      <c r="A537" s="5"/>
      <c r="C537"/>
      <c r="D537"/>
      <c r="P537">
        <f t="shared" si="985"/>
        <v>0</v>
      </c>
      <c r="Q537">
        <f t="shared" si="986"/>
        <v>0</v>
      </c>
      <c r="R537">
        <f t="shared" si="987"/>
        <v>0</v>
      </c>
      <c r="S537">
        <f t="shared" si="988"/>
        <v>0</v>
      </c>
      <c r="T537">
        <f t="shared" si="989"/>
        <v>0</v>
      </c>
    </row>
    <row r="538" spans="1:20" x14ac:dyDescent="0.25">
      <c r="A538" s="5"/>
      <c r="C538"/>
      <c r="D538"/>
      <c r="P538">
        <f t="shared" si="985"/>
        <v>0</v>
      </c>
      <c r="Q538">
        <f t="shared" si="986"/>
        <v>0</v>
      </c>
      <c r="R538">
        <f t="shared" si="987"/>
        <v>0</v>
      </c>
      <c r="S538">
        <f t="shared" si="988"/>
        <v>0</v>
      </c>
      <c r="T538">
        <f t="shared" si="989"/>
        <v>0</v>
      </c>
    </row>
    <row r="539" spans="1:20" x14ac:dyDescent="0.25">
      <c r="A539" s="5"/>
      <c r="C539"/>
      <c r="D539"/>
      <c r="P539">
        <f t="shared" si="985"/>
        <v>0</v>
      </c>
      <c r="Q539">
        <f t="shared" si="986"/>
        <v>0</v>
      </c>
      <c r="R539">
        <f t="shared" si="987"/>
        <v>0</v>
      </c>
      <c r="S539">
        <f t="shared" si="988"/>
        <v>0</v>
      </c>
      <c r="T539">
        <f t="shared" si="989"/>
        <v>0</v>
      </c>
    </row>
    <row r="540" spans="1:20" x14ac:dyDescent="0.25">
      <c r="A540" s="5"/>
      <c r="C540"/>
      <c r="D540"/>
      <c r="P540">
        <f t="shared" si="985"/>
        <v>0</v>
      </c>
      <c r="Q540">
        <f t="shared" si="986"/>
        <v>0</v>
      </c>
      <c r="R540">
        <f t="shared" si="987"/>
        <v>0</v>
      </c>
      <c r="S540">
        <f t="shared" si="988"/>
        <v>0</v>
      </c>
      <c r="T540">
        <f t="shared" si="989"/>
        <v>0</v>
      </c>
    </row>
    <row r="541" spans="1:20" x14ac:dyDescent="0.25">
      <c r="A541" s="5"/>
      <c r="C541"/>
      <c r="D541"/>
      <c r="P541">
        <f t="shared" si="985"/>
        <v>0</v>
      </c>
      <c r="Q541">
        <f t="shared" si="986"/>
        <v>0</v>
      </c>
      <c r="R541">
        <f t="shared" si="987"/>
        <v>0</v>
      </c>
      <c r="S541">
        <f t="shared" si="988"/>
        <v>0</v>
      </c>
      <c r="T541">
        <f t="shared" si="989"/>
        <v>0</v>
      </c>
    </row>
    <row r="542" spans="1:20" x14ac:dyDescent="0.25">
      <c r="A542" s="5"/>
      <c r="C542"/>
      <c r="D542"/>
      <c r="P542">
        <f t="shared" si="985"/>
        <v>0</v>
      </c>
      <c r="Q542">
        <f t="shared" si="986"/>
        <v>0</v>
      </c>
      <c r="R542">
        <f t="shared" si="987"/>
        <v>0</v>
      </c>
      <c r="S542">
        <f t="shared" si="988"/>
        <v>0</v>
      </c>
      <c r="T542">
        <f t="shared" si="989"/>
        <v>0</v>
      </c>
    </row>
    <row r="543" spans="1:20" x14ac:dyDescent="0.25">
      <c r="A543" s="5"/>
      <c r="C543"/>
      <c r="D543"/>
      <c r="P543">
        <f t="shared" si="985"/>
        <v>0</v>
      </c>
      <c r="Q543">
        <f t="shared" si="986"/>
        <v>0</v>
      </c>
      <c r="R543">
        <f t="shared" si="987"/>
        <v>0</v>
      </c>
      <c r="S543">
        <f t="shared" si="988"/>
        <v>0</v>
      </c>
      <c r="T543">
        <f t="shared" si="989"/>
        <v>0</v>
      </c>
    </row>
    <row r="544" spans="1:20" x14ac:dyDescent="0.25">
      <c r="A544" s="5"/>
      <c r="C544"/>
      <c r="D544"/>
      <c r="P544">
        <f t="shared" si="985"/>
        <v>0</v>
      </c>
      <c r="Q544">
        <f t="shared" si="986"/>
        <v>0</v>
      </c>
      <c r="R544">
        <f t="shared" si="987"/>
        <v>0</v>
      </c>
      <c r="S544">
        <f t="shared" si="988"/>
        <v>0</v>
      </c>
      <c r="T544">
        <f t="shared" si="989"/>
        <v>0</v>
      </c>
    </row>
    <row r="545" spans="1:20" x14ac:dyDescent="0.25">
      <c r="A545" s="5"/>
      <c r="C545"/>
      <c r="D545"/>
      <c r="P545">
        <f t="shared" si="985"/>
        <v>0</v>
      </c>
      <c r="Q545">
        <f t="shared" si="986"/>
        <v>0</v>
      </c>
      <c r="R545">
        <f t="shared" si="987"/>
        <v>0</v>
      </c>
      <c r="S545">
        <f t="shared" si="988"/>
        <v>0</v>
      </c>
      <c r="T545">
        <f t="shared" si="989"/>
        <v>0</v>
      </c>
    </row>
    <row r="546" spans="1:20" x14ac:dyDescent="0.25">
      <c r="A546" s="5"/>
      <c r="C546"/>
      <c r="D546"/>
      <c r="P546">
        <f t="shared" si="985"/>
        <v>0</v>
      </c>
      <c r="Q546">
        <f t="shared" si="986"/>
        <v>0</v>
      </c>
      <c r="R546">
        <f t="shared" si="987"/>
        <v>0</v>
      </c>
      <c r="S546">
        <f t="shared" si="988"/>
        <v>0</v>
      </c>
      <c r="T546">
        <f t="shared" si="989"/>
        <v>0</v>
      </c>
    </row>
    <row r="547" spans="1:20" x14ac:dyDescent="0.25">
      <c r="A547" s="5"/>
      <c r="C547"/>
      <c r="D547"/>
      <c r="P547">
        <f t="shared" si="985"/>
        <v>0</v>
      </c>
      <c r="Q547">
        <f t="shared" si="986"/>
        <v>0</v>
      </c>
      <c r="R547">
        <f t="shared" si="987"/>
        <v>0</v>
      </c>
      <c r="S547">
        <f t="shared" si="988"/>
        <v>0</v>
      </c>
      <c r="T547">
        <f t="shared" si="989"/>
        <v>0</v>
      </c>
    </row>
    <row r="548" spans="1:20" x14ac:dyDescent="0.25">
      <c r="A548" s="5"/>
      <c r="C548"/>
      <c r="D548"/>
      <c r="P548">
        <f t="shared" si="985"/>
        <v>0</v>
      </c>
      <c r="Q548">
        <f t="shared" si="986"/>
        <v>0</v>
      </c>
      <c r="R548">
        <f t="shared" si="987"/>
        <v>0</v>
      </c>
      <c r="S548">
        <f t="shared" si="988"/>
        <v>0</v>
      </c>
      <c r="T548">
        <f t="shared" si="989"/>
        <v>0</v>
      </c>
    </row>
    <row r="549" spans="1:20" x14ac:dyDescent="0.25">
      <c r="A549" s="5"/>
      <c r="P549">
        <f t="shared" si="985"/>
        <v>0</v>
      </c>
      <c r="Q549">
        <f t="shared" si="986"/>
        <v>0</v>
      </c>
      <c r="R549">
        <f t="shared" si="987"/>
        <v>0</v>
      </c>
      <c r="S549">
        <f t="shared" si="988"/>
        <v>0</v>
      </c>
      <c r="T549">
        <f t="shared" si="989"/>
        <v>0</v>
      </c>
    </row>
    <row r="550" spans="1:20" x14ac:dyDescent="0.25">
      <c r="A550" s="5"/>
      <c r="P550">
        <f t="shared" si="985"/>
        <v>0</v>
      </c>
      <c r="Q550">
        <f t="shared" si="986"/>
        <v>0</v>
      </c>
      <c r="R550">
        <f t="shared" si="987"/>
        <v>0</v>
      </c>
      <c r="S550">
        <f t="shared" si="988"/>
        <v>0</v>
      </c>
      <c r="T550">
        <f t="shared" si="989"/>
        <v>0</v>
      </c>
    </row>
    <row r="551" spans="1:20" x14ac:dyDescent="0.25">
      <c r="A551" s="5"/>
      <c r="P551">
        <f t="shared" si="985"/>
        <v>0</v>
      </c>
      <c r="Q551">
        <f t="shared" si="986"/>
        <v>0</v>
      </c>
      <c r="R551">
        <f t="shared" si="987"/>
        <v>0</v>
      </c>
      <c r="S551">
        <f t="shared" si="988"/>
        <v>0</v>
      </c>
      <c r="T551">
        <f t="shared" si="989"/>
        <v>0</v>
      </c>
    </row>
    <row r="552" spans="1:20" x14ac:dyDescent="0.25">
      <c r="A552" s="5"/>
      <c r="P552">
        <f t="shared" si="985"/>
        <v>0</v>
      </c>
      <c r="Q552">
        <f t="shared" si="986"/>
        <v>0</v>
      </c>
      <c r="R552">
        <f t="shared" si="987"/>
        <v>0</v>
      </c>
      <c r="S552">
        <f t="shared" si="988"/>
        <v>0</v>
      </c>
      <c r="T552">
        <f t="shared" si="989"/>
        <v>0</v>
      </c>
    </row>
    <row r="553" spans="1:20" x14ac:dyDescent="0.25">
      <c r="A553" s="5"/>
      <c r="P553">
        <f t="shared" si="985"/>
        <v>0</v>
      </c>
      <c r="Q553">
        <f t="shared" si="986"/>
        <v>0</v>
      </c>
      <c r="R553">
        <f t="shared" si="987"/>
        <v>0</v>
      </c>
      <c r="S553">
        <f t="shared" si="988"/>
        <v>0</v>
      </c>
      <c r="T553">
        <f t="shared" si="989"/>
        <v>0</v>
      </c>
    </row>
    <row r="554" spans="1:20" x14ac:dyDescent="0.25">
      <c r="A554" s="5"/>
      <c r="P554">
        <f t="shared" si="985"/>
        <v>0</v>
      </c>
      <c r="Q554">
        <f t="shared" si="986"/>
        <v>0</v>
      </c>
      <c r="R554">
        <f t="shared" si="987"/>
        <v>0</v>
      </c>
      <c r="S554">
        <f t="shared" si="988"/>
        <v>0</v>
      </c>
      <c r="T554">
        <f t="shared" si="989"/>
        <v>0</v>
      </c>
    </row>
    <row r="555" spans="1:20" x14ac:dyDescent="0.25">
      <c r="A555" s="5"/>
      <c r="P555">
        <f t="shared" si="985"/>
        <v>0</v>
      </c>
      <c r="Q555">
        <f t="shared" si="986"/>
        <v>0</v>
      </c>
      <c r="R555">
        <f t="shared" si="987"/>
        <v>0</v>
      </c>
      <c r="S555">
        <f t="shared" si="988"/>
        <v>0</v>
      </c>
      <c r="T555">
        <f t="shared" si="989"/>
        <v>0</v>
      </c>
    </row>
    <row r="556" spans="1:20" x14ac:dyDescent="0.25">
      <c r="A556" s="5"/>
      <c r="P556">
        <f t="shared" si="985"/>
        <v>0</v>
      </c>
      <c r="Q556">
        <f t="shared" si="986"/>
        <v>0</v>
      </c>
      <c r="R556">
        <f t="shared" si="987"/>
        <v>0</v>
      </c>
      <c r="S556">
        <f t="shared" si="988"/>
        <v>0</v>
      </c>
      <c r="T556">
        <f t="shared" si="989"/>
        <v>0</v>
      </c>
    </row>
    <row r="557" spans="1:20" x14ac:dyDescent="0.25">
      <c r="A557" s="5"/>
      <c r="P557">
        <f t="shared" si="985"/>
        <v>0</v>
      </c>
      <c r="Q557">
        <f t="shared" si="986"/>
        <v>0</v>
      </c>
      <c r="R557">
        <f t="shared" si="987"/>
        <v>0</v>
      </c>
      <c r="S557">
        <f t="shared" si="988"/>
        <v>0</v>
      </c>
      <c r="T557">
        <f t="shared" si="989"/>
        <v>0</v>
      </c>
    </row>
    <row r="558" spans="1:20" x14ac:dyDescent="0.25">
      <c r="A558" s="5"/>
      <c r="P558">
        <f t="shared" si="985"/>
        <v>0</v>
      </c>
      <c r="Q558">
        <f t="shared" si="986"/>
        <v>0</v>
      </c>
      <c r="R558">
        <f t="shared" si="987"/>
        <v>0</v>
      </c>
      <c r="S558">
        <f t="shared" si="988"/>
        <v>0</v>
      </c>
      <c r="T558">
        <f t="shared" si="989"/>
        <v>0</v>
      </c>
    </row>
    <row r="559" spans="1:20" x14ac:dyDescent="0.25">
      <c r="A559" s="5"/>
      <c r="P559">
        <f t="shared" si="985"/>
        <v>0</v>
      </c>
      <c r="Q559">
        <f t="shared" si="986"/>
        <v>0</v>
      </c>
      <c r="R559">
        <f t="shared" si="987"/>
        <v>0</v>
      </c>
      <c r="S559">
        <f t="shared" si="988"/>
        <v>0</v>
      </c>
      <c r="T559">
        <f t="shared" si="989"/>
        <v>0</v>
      </c>
    </row>
    <row r="560" spans="1:20" x14ac:dyDescent="0.25">
      <c r="A560" s="5"/>
      <c r="P560">
        <f t="shared" si="985"/>
        <v>0</v>
      </c>
      <c r="Q560">
        <f t="shared" si="986"/>
        <v>0</v>
      </c>
      <c r="R560">
        <f t="shared" si="987"/>
        <v>0</v>
      </c>
      <c r="S560">
        <f t="shared" si="988"/>
        <v>0</v>
      </c>
      <c r="T560">
        <f t="shared" si="989"/>
        <v>0</v>
      </c>
    </row>
    <row r="561" spans="1:104" x14ac:dyDescent="0.25">
      <c r="A561" s="5"/>
      <c r="P561">
        <f t="shared" si="985"/>
        <v>0</v>
      </c>
      <c r="Q561">
        <f t="shared" si="986"/>
        <v>0</v>
      </c>
      <c r="R561">
        <f t="shared" si="987"/>
        <v>0</v>
      </c>
      <c r="S561">
        <f t="shared" si="988"/>
        <v>0</v>
      </c>
      <c r="T561">
        <f t="shared" si="989"/>
        <v>0</v>
      </c>
      <c r="CZ561" t="s">
        <v>7</v>
      </c>
    </row>
    <row r="562" spans="1:104" x14ac:dyDescent="0.25">
      <c r="A562" s="5"/>
      <c r="P562">
        <f t="shared" si="985"/>
        <v>0</v>
      </c>
      <c r="Q562">
        <f t="shared" si="986"/>
        <v>0</v>
      </c>
      <c r="R562">
        <f t="shared" si="987"/>
        <v>0</v>
      </c>
      <c r="S562">
        <f t="shared" si="988"/>
        <v>0</v>
      </c>
      <c r="T562">
        <f t="shared" si="989"/>
        <v>0</v>
      </c>
      <c r="CZ562" t="s">
        <v>7</v>
      </c>
    </row>
    <row r="563" spans="1:104" x14ac:dyDescent="0.25">
      <c r="A563" s="5"/>
      <c r="P563">
        <f t="shared" si="985"/>
        <v>0</v>
      </c>
      <c r="Q563">
        <f t="shared" si="986"/>
        <v>0</v>
      </c>
      <c r="R563">
        <f t="shared" si="987"/>
        <v>0</v>
      </c>
      <c r="S563">
        <f t="shared" si="988"/>
        <v>0</v>
      </c>
      <c r="T563">
        <f t="shared" si="989"/>
        <v>0</v>
      </c>
      <c r="CZ563" t="s">
        <v>7</v>
      </c>
    </row>
    <row r="564" spans="1:104" x14ac:dyDescent="0.25">
      <c r="A564" s="5"/>
      <c r="P564">
        <f t="shared" si="985"/>
        <v>0</v>
      </c>
      <c r="Q564">
        <f t="shared" si="986"/>
        <v>0</v>
      </c>
      <c r="R564">
        <f t="shared" si="987"/>
        <v>0</v>
      </c>
      <c r="S564">
        <f t="shared" si="988"/>
        <v>0</v>
      </c>
      <c r="T564">
        <f t="shared" si="989"/>
        <v>0</v>
      </c>
    </row>
    <row r="565" spans="1:104" x14ac:dyDescent="0.25">
      <c r="A565" s="5"/>
      <c r="C565"/>
      <c r="D565"/>
      <c r="P565">
        <f t="shared" si="985"/>
        <v>0</v>
      </c>
      <c r="Q565">
        <f t="shared" si="986"/>
        <v>0</v>
      </c>
      <c r="R565">
        <f t="shared" si="987"/>
        <v>0</v>
      </c>
      <c r="S565">
        <f t="shared" si="988"/>
        <v>0</v>
      </c>
      <c r="T565">
        <f t="shared" si="989"/>
        <v>0</v>
      </c>
    </row>
    <row r="566" spans="1:104" x14ac:dyDescent="0.25">
      <c r="A566" s="5"/>
      <c r="C566"/>
      <c r="D566"/>
      <c r="P566">
        <f t="shared" si="985"/>
        <v>0</v>
      </c>
      <c r="Q566">
        <f t="shared" si="986"/>
        <v>0</v>
      </c>
      <c r="R566">
        <f t="shared" si="987"/>
        <v>0</v>
      </c>
      <c r="S566">
        <f t="shared" si="988"/>
        <v>0</v>
      </c>
      <c r="T566">
        <f t="shared" si="989"/>
        <v>0</v>
      </c>
    </row>
    <row r="567" spans="1:104" x14ac:dyDescent="0.25">
      <c r="A567" s="5"/>
      <c r="C567"/>
      <c r="D567"/>
      <c r="P567">
        <f t="shared" si="985"/>
        <v>0</v>
      </c>
      <c r="Q567">
        <f t="shared" si="986"/>
        <v>0</v>
      </c>
      <c r="R567">
        <f t="shared" si="987"/>
        <v>0</v>
      </c>
      <c r="S567">
        <f t="shared" si="988"/>
        <v>0</v>
      </c>
      <c r="T567">
        <f t="shared" si="989"/>
        <v>0</v>
      </c>
    </row>
    <row r="568" spans="1:104" x14ac:dyDescent="0.25">
      <c r="A568" s="5"/>
      <c r="C568"/>
      <c r="D568"/>
      <c r="P568">
        <f t="shared" si="985"/>
        <v>0</v>
      </c>
      <c r="Q568">
        <f t="shared" si="986"/>
        <v>0</v>
      </c>
      <c r="R568">
        <f t="shared" si="987"/>
        <v>0</v>
      </c>
      <c r="S568">
        <f t="shared" si="988"/>
        <v>0</v>
      </c>
      <c r="T568">
        <f t="shared" si="989"/>
        <v>0</v>
      </c>
    </row>
    <row r="569" spans="1:104" x14ac:dyDescent="0.25">
      <c r="A569" s="5"/>
      <c r="C569"/>
      <c r="D569"/>
      <c r="P569">
        <f t="shared" si="985"/>
        <v>0</v>
      </c>
      <c r="Q569">
        <f t="shared" si="986"/>
        <v>0</v>
      </c>
      <c r="R569">
        <f t="shared" si="987"/>
        <v>0</v>
      </c>
      <c r="S569">
        <f t="shared" si="988"/>
        <v>0</v>
      </c>
      <c r="T569">
        <f t="shared" si="989"/>
        <v>0</v>
      </c>
    </row>
    <row r="570" spans="1:104" x14ac:dyDescent="0.25">
      <c r="A570" s="5"/>
      <c r="C570"/>
      <c r="D570"/>
      <c r="P570">
        <f t="shared" si="985"/>
        <v>0</v>
      </c>
      <c r="Q570">
        <f t="shared" si="986"/>
        <v>0</v>
      </c>
      <c r="R570">
        <f t="shared" si="987"/>
        <v>0</v>
      </c>
      <c r="S570">
        <f t="shared" si="988"/>
        <v>0</v>
      </c>
      <c r="T570">
        <f t="shared" si="989"/>
        <v>0</v>
      </c>
    </row>
    <row r="571" spans="1:104" x14ac:dyDescent="0.25">
      <c r="A571" s="5"/>
      <c r="C571"/>
      <c r="D571"/>
      <c r="P571">
        <f t="shared" si="985"/>
        <v>0</v>
      </c>
      <c r="Q571">
        <f t="shared" si="986"/>
        <v>0</v>
      </c>
      <c r="R571">
        <f t="shared" si="987"/>
        <v>0</v>
      </c>
      <c r="S571">
        <f t="shared" si="988"/>
        <v>0</v>
      </c>
      <c r="T571">
        <f t="shared" si="989"/>
        <v>0</v>
      </c>
    </row>
    <row r="572" spans="1:104" x14ac:dyDescent="0.25">
      <c r="A572" s="5"/>
      <c r="C572"/>
      <c r="D572"/>
      <c r="P572">
        <f t="shared" si="985"/>
        <v>0</v>
      </c>
      <c r="Q572">
        <f t="shared" si="986"/>
        <v>0</v>
      </c>
      <c r="R572">
        <f t="shared" si="987"/>
        <v>0</v>
      </c>
      <c r="S572">
        <f t="shared" si="988"/>
        <v>0</v>
      </c>
      <c r="T572">
        <f t="shared" si="989"/>
        <v>0</v>
      </c>
    </row>
    <row r="573" spans="1:104" x14ac:dyDescent="0.25">
      <c r="A573" s="5"/>
      <c r="C573"/>
      <c r="D573"/>
      <c r="P573">
        <f t="shared" si="985"/>
        <v>0</v>
      </c>
      <c r="Q573">
        <f t="shared" si="986"/>
        <v>0</v>
      </c>
      <c r="R573">
        <f t="shared" si="987"/>
        <v>0</v>
      </c>
      <c r="S573">
        <f t="shared" si="988"/>
        <v>0</v>
      </c>
      <c r="T573">
        <f t="shared" si="989"/>
        <v>0</v>
      </c>
    </row>
    <row r="574" spans="1:104" x14ac:dyDescent="0.25">
      <c r="A574" s="5"/>
      <c r="C574"/>
      <c r="D574"/>
      <c r="P574">
        <f t="shared" si="985"/>
        <v>0</v>
      </c>
      <c r="Q574">
        <f t="shared" si="986"/>
        <v>0</v>
      </c>
      <c r="R574">
        <f t="shared" si="987"/>
        <v>0</v>
      </c>
      <c r="S574">
        <f t="shared" si="988"/>
        <v>0</v>
      </c>
      <c r="T574">
        <f t="shared" si="989"/>
        <v>0</v>
      </c>
    </row>
    <row r="575" spans="1:104" x14ac:dyDescent="0.25">
      <c r="A575" s="5"/>
      <c r="C575"/>
      <c r="D575"/>
      <c r="P575">
        <f t="shared" si="985"/>
        <v>0</v>
      </c>
      <c r="Q575">
        <f t="shared" si="986"/>
        <v>0</v>
      </c>
      <c r="R575">
        <f t="shared" si="987"/>
        <v>0</v>
      </c>
      <c r="S575">
        <f t="shared" si="988"/>
        <v>0</v>
      </c>
      <c r="T575">
        <f t="shared" si="989"/>
        <v>0</v>
      </c>
    </row>
    <row r="576" spans="1:104" x14ac:dyDescent="0.25">
      <c r="A576" s="5"/>
      <c r="C576"/>
      <c r="D576"/>
      <c r="P576">
        <f t="shared" si="985"/>
        <v>0</v>
      </c>
      <c r="Q576">
        <f t="shared" si="986"/>
        <v>0</v>
      </c>
      <c r="R576">
        <f t="shared" si="987"/>
        <v>0</v>
      </c>
      <c r="S576">
        <f t="shared" si="988"/>
        <v>0</v>
      </c>
      <c r="T576">
        <f t="shared" si="989"/>
        <v>0</v>
      </c>
    </row>
    <row r="577" spans="1:20" x14ac:dyDescent="0.25">
      <c r="A577" s="5"/>
      <c r="C577"/>
      <c r="D577"/>
      <c r="P577">
        <f t="shared" si="985"/>
        <v>0</v>
      </c>
      <c r="Q577">
        <f t="shared" si="986"/>
        <v>0</v>
      </c>
      <c r="R577">
        <f t="shared" si="987"/>
        <v>0</v>
      </c>
      <c r="S577">
        <f t="shared" si="988"/>
        <v>0</v>
      </c>
      <c r="T577">
        <f t="shared" si="989"/>
        <v>0</v>
      </c>
    </row>
    <row r="578" spans="1:20" x14ac:dyDescent="0.25">
      <c r="A578" s="5"/>
      <c r="C578"/>
      <c r="D578"/>
      <c r="P578">
        <f t="shared" si="985"/>
        <v>0</v>
      </c>
      <c r="Q578">
        <f t="shared" si="986"/>
        <v>0</v>
      </c>
      <c r="R578">
        <f t="shared" si="987"/>
        <v>0</v>
      </c>
      <c r="S578">
        <f t="shared" si="988"/>
        <v>0</v>
      </c>
      <c r="T578">
        <f t="shared" si="989"/>
        <v>0</v>
      </c>
    </row>
    <row r="579" spans="1:20" x14ac:dyDescent="0.25">
      <c r="A579" s="5"/>
      <c r="C579"/>
      <c r="D579"/>
      <c r="P579">
        <f t="shared" si="985"/>
        <v>0</v>
      </c>
      <c r="Q579">
        <f t="shared" si="986"/>
        <v>0</v>
      </c>
      <c r="R579">
        <f t="shared" si="987"/>
        <v>0</v>
      </c>
      <c r="S579">
        <f t="shared" si="988"/>
        <v>0</v>
      </c>
      <c r="T579">
        <f t="shared" si="989"/>
        <v>0</v>
      </c>
    </row>
    <row r="580" spans="1:20" x14ac:dyDescent="0.25">
      <c r="A580" s="5"/>
      <c r="C580"/>
      <c r="D580"/>
      <c r="P580">
        <f t="shared" si="985"/>
        <v>0</v>
      </c>
      <c r="Q580">
        <f t="shared" si="986"/>
        <v>0</v>
      </c>
      <c r="R580">
        <f t="shared" si="987"/>
        <v>0</v>
      </c>
      <c r="S580">
        <f t="shared" si="988"/>
        <v>0</v>
      </c>
      <c r="T580">
        <f t="shared" si="989"/>
        <v>0</v>
      </c>
    </row>
    <row r="581" spans="1:20" x14ac:dyDescent="0.25">
      <c r="A581" s="5"/>
      <c r="C581"/>
      <c r="D581"/>
      <c r="P581">
        <f t="shared" si="985"/>
        <v>0</v>
      </c>
      <c r="Q581">
        <f t="shared" si="986"/>
        <v>0</v>
      </c>
      <c r="R581">
        <f t="shared" si="987"/>
        <v>0</v>
      </c>
      <c r="S581">
        <f t="shared" si="988"/>
        <v>0</v>
      </c>
      <c r="T581">
        <f t="shared" si="989"/>
        <v>0</v>
      </c>
    </row>
    <row r="582" spans="1:20" x14ac:dyDescent="0.25">
      <c r="A582" s="5"/>
      <c r="C582"/>
      <c r="D582"/>
      <c r="P582">
        <f t="shared" ref="P582:P645" si="990">IF(C582=D582,0,((E582-D582)-(C582-E582))/(C582-D582))</f>
        <v>0</v>
      </c>
      <c r="Q582">
        <f t="shared" ref="Q582:Q645" si="991">F582*P582</f>
        <v>0</v>
      </c>
      <c r="R582">
        <f t="shared" ref="R582:R645" si="992">R583+Q582</f>
        <v>0</v>
      </c>
      <c r="S582">
        <f t="shared" ref="S582:S645" si="993">R582/100000</f>
        <v>0</v>
      </c>
      <c r="T582">
        <f t="shared" ref="T582:T645" si="994">S582/1000</f>
        <v>0</v>
      </c>
    </row>
    <row r="583" spans="1:20" x14ac:dyDescent="0.25">
      <c r="A583" s="5"/>
      <c r="C583"/>
      <c r="D583"/>
      <c r="P583">
        <f t="shared" si="990"/>
        <v>0</v>
      </c>
      <c r="Q583">
        <f t="shared" si="991"/>
        <v>0</v>
      </c>
      <c r="R583">
        <f t="shared" si="992"/>
        <v>0</v>
      </c>
      <c r="S583">
        <f t="shared" si="993"/>
        <v>0</v>
      </c>
      <c r="T583">
        <f t="shared" si="994"/>
        <v>0</v>
      </c>
    </row>
    <row r="584" spans="1:20" x14ac:dyDescent="0.25">
      <c r="A584" s="5"/>
      <c r="C584"/>
      <c r="D584"/>
      <c r="P584">
        <f t="shared" si="990"/>
        <v>0</v>
      </c>
      <c r="Q584">
        <f t="shared" si="991"/>
        <v>0</v>
      </c>
      <c r="R584">
        <f t="shared" si="992"/>
        <v>0</v>
      </c>
      <c r="S584">
        <f t="shared" si="993"/>
        <v>0</v>
      </c>
      <c r="T584">
        <f t="shared" si="994"/>
        <v>0</v>
      </c>
    </row>
    <row r="585" spans="1:20" x14ac:dyDescent="0.25">
      <c r="A585" s="5"/>
      <c r="C585"/>
      <c r="D585"/>
      <c r="P585">
        <f t="shared" si="990"/>
        <v>0</v>
      </c>
      <c r="Q585">
        <f t="shared" si="991"/>
        <v>0</v>
      </c>
      <c r="R585">
        <f t="shared" si="992"/>
        <v>0</v>
      </c>
      <c r="S585">
        <f t="shared" si="993"/>
        <v>0</v>
      </c>
      <c r="T585">
        <f t="shared" si="994"/>
        <v>0</v>
      </c>
    </row>
    <row r="586" spans="1:20" x14ac:dyDescent="0.25">
      <c r="A586" s="5"/>
      <c r="C586"/>
      <c r="D586"/>
      <c r="P586">
        <f t="shared" si="990"/>
        <v>0</v>
      </c>
      <c r="Q586">
        <f t="shared" si="991"/>
        <v>0</v>
      </c>
      <c r="R586">
        <f t="shared" si="992"/>
        <v>0</v>
      </c>
      <c r="S586">
        <f t="shared" si="993"/>
        <v>0</v>
      </c>
      <c r="T586">
        <f t="shared" si="994"/>
        <v>0</v>
      </c>
    </row>
    <row r="587" spans="1:20" x14ac:dyDescent="0.25">
      <c r="A587" s="5"/>
      <c r="C587"/>
      <c r="D587"/>
      <c r="P587">
        <f t="shared" si="990"/>
        <v>0</v>
      </c>
      <c r="Q587">
        <f t="shared" si="991"/>
        <v>0</v>
      </c>
      <c r="R587">
        <f t="shared" si="992"/>
        <v>0</v>
      </c>
      <c r="S587">
        <f t="shared" si="993"/>
        <v>0</v>
      </c>
      <c r="T587">
        <f t="shared" si="994"/>
        <v>0</v>
      </c>
    </row>
    <row r="588" spans="1:20" x14ac:dyDescent="0.25">
      <c r="A588" s="5"/>
      <c r="C588"/>
      <c r="D588"/>
      <c r="P588">
        <f t="shared" si="990"/>
        <v>0</v>
      </c>
      <c r="Q588">
        <f t="shared" si="991"/>
        <v>0</v>
      </c>
      <c r="R588">
        <f t="shared" si="992"/>
        <v>0</v>
      </c>
      <c r="S588">
        <f t="shared" si="993"/>
        <v>0</v>
      </c>
      <c r="T588">
        <f t="shared" si="994"/>
        <v>0</v>
      </c>
    </row>
    <row r="589" spans="1:20" x14ac:dyDescent="0.25">
      <c r="A589" s="5"/>
      <c r="C589"/>
      <c r="D589"/>
      <c r="P589">
        <f t="shared" si="990"/>
        <v>0</v>
      </c>
      <c r="Q589">
        <f t="shared" si="991"/>
        <v>0</v>
      </c>
      <c r="R589">
        <f t="shared" si="992"/>
        <v>0</v>
      </c>
      <c r="S589">
        <f t="shared" si="993"/>
        <v>0</v>
      </c>
      <c r="T589">
        <f t="shared" si="994"/>
        <v>0</v>
      </c>
    </row>
    <row r="590" spans="1:20" x14ac:dyDescent="0.25">
      <c r="A590" s="5"/>
      <c r="C590"/>
      <c r="D590"/>
      <c r="P590">
        <f t="shared" si="990"/>
        <v>0</v>
      </c>
      <c r="Q590">
        <f t="shared" si="991"/>
        <v>0</v>
      </c>
      <c r="R590">
        <f t="shared" si="992"/>
        <v>0</v>
      </c>
      <c r="S590">
        <f t="shared" si="993"/>
        <v>0</v>
      </c>
      <c r="T590">
        <f t="shared" si="994"/>
        <v>0</v>
      </c>
    </row>
    <row r="591" spans="1:20" x14ac:dyDescent="0.25">
      <c r="A591" s="5"/>
      <c r="C591"/>
      <c r="D591"/>
      <c r="P591">
        <f t="shared" si="990"/>
        <v>0</v>
      </c>
      <c r="Q591">
        <f t="shared" si="991"/>
        <v>0</v>
      </c>
      <c r="R591">
        <f t="shared" si="992"/>
        <v>0</v>
      </c>
      <c r="S591">
        <f t="shared" si="993"/>
        <v>0</v>
      </c>
      <c r="T591">
        <f t="shared" si="994"/>
        <v>0</v>
      </c>
    </row>
    <row r="592" spans="1:20" x14ac:dyDescent="0.25">
      <c r="A592" s="5"/>
      <c r="C592"/>
      <c r="D592"/>
      <c r="P592">
        <f t="shared" si="990"/>
        <v>0</v>
      </c>
      <c r="Q592">
        <f t="shared" si="991"/>
        <v>0</v>
      </c>
      <c r="R592">
        <f t="shared" si="992"/>
        <v>0</v>
      </c>
      <c r="S592">
        <f t="shared" si="993"/>
        <v>0</v>
      </c>
      <c r="T592">
        <f t="shared" si="994"/>
        <v>0</v>
      </c>
    </row>
    <row r="593" spans="1:20" x14ac:dyDescent="0.25">
      <c r="A593" s="5"/>
      <c r="C593"/>
      <c r="D593"/>
      <c r="P593">
        <f t="shared" si="990"/>
        <v>0</v>
      </c>
      <c r="Q593">
        <f t="shared" si="991"/>
        <v>0</v>
      </c>
      <c r="R593">
        <f t="shared" si="992"/>
        <v>0</v>
      </c>
      <c r="S593">
        <f t="shared" si="993"/>
        <v>0</v>
      </c>
      <c r="T593">
        <f t="shared" si="994"/>
        <v>0</v>
      </c>
    </row>
    <row r="594" spans="1:20" x14ac:dyDescent="0.25">
      <c r="A594" s="5"/>
      <c r="C594"/>
      <c r="D594"/>
      <c r="P594">
        <f t="shared" si="990"/>
        <v>0</v>
      </c>
      <c r="Q594">
        <f t="shared" si="991"/>
        <v>0</v>
      </c>
      <c r="R594">
        <f t="shared" si="992"/>
        <v>0</v>
      </c>
      <c r="S594">
        <f t="shared" si="993"/>
        <v>0</v>
      </c>
      <c r="T594">
        <f t="shared" si="994"/>
        <v>0</v>
      </c>
    </row>
    <row r="595" spans="1:20" x14ac:dyDescent="0.25">
      <c r="A595" s="5"/>
      <c r="C595"/>
      <c r="D595"/>
      <c r="P595">
        <f t="shared" si="990"/>
        <v>0</v>
      </c>
      <c r="Q595">
        <f t="shared" si="991"/>
        <v>0</v>
      </c>
      <c r="R595">
        <f t="shared" si="992"/>
        <v>0</v>
      </c>
      <c r="S595">
        <f t="shared" si="993"/>
        <v>0</v>
      </c>
      <c r="T595">
        <f t="shared" si="994"/>
        <v>0</v>
      </c>
    </row>
    <row r="596" spans="1:20" x14ac:dyDescent="0.25">
      <c r="A596" s="5"/>
      <c r="C596"/>
      <c r="D596"/>
      <c r="P596">
        <f t="shared" si="990"/>
        <v>0</v>
      </c>
      <c r="Q596">
        <f t="shared" si="991"/>
        <v>0</v>
      </c>
      <c r="R596">
        <f t="shared" si="992"/>
        <v>0</v>
      </c>
      <c r="S596">
        <f t="shared" si="993"/>
        <v>0</v>
      </c>
      <c r="T596">
        <f t="shared" si="994"/>
        <v>0</v>
      </c>
    </row>
    <row r="597" spans="1:20" x14ac:dyDescent="0.25">
      <c r="A597" s="5"/>
      <c r="C597"/>
      <c r="D597"/>
      <c r="P597">
        <f t="shared" si="990"/>
        <v>0</v>
      </c>
      <c r="Q597">
        <f t="shared" si="991"/>
        <v>0</v>
      </c>
      <c r="R597">
        <f t="shared" si="992"/>
        <v>0</v>
      </c>
      <c r="S597">
        <f t="shared" si="993"/>
        <v>0</v>
      </c>
      <c r="T597">
        <f t="shared" si="994"/>
        <v>0</v>
      </c>
    </row>
    <row r="598" spans="1:20" x14ac:dyDescent="0.25">
      <c r="A598" s="5"/>
      <c r="C598"/>
      <c r="D598"/>
      <c r="P598">
        <f t="shared" si="990"/>
        <v>0</v>
      </c>
      <c r="Q598">
        <f t="shared" si="991"/>
        <v>0</v>
      </c>
      <c r="R598">
        <f t="shared" si="992"/>
        <v>0</v>
      </c>
      <c r="S598">
        <f t="shared" si="993"/>
        <v>0</v>
      </c>
      <c r="T598">
        <f t="shared" si="994"/>
        <v>0</v>
      </c>
    </row>
    <row r="599" spans="1:20" x14ac:dyDescent="0.25">
      <c r="A599" s="5"/>
      <c r="C599"/>
      <c r="D599"/>
      <c r="P599">
        <f t="shared" si="990"/>
        <v>0</v>
      </c>
      <c r="Q599">
        <f t="shared" si="991"/>
        <v>0</v>
      </c>
      <c r="R599">
        <f t="shared" si="992"/>
        <v>0</v>
      </c>
      <c r="S599">
        <f t="shared" si="993"/>
        <v>0</v>
      </c>
      <c r="T599">
        <f t="shared" si="994"/>
        <v>0</v>
      </c>
    </row>
    <row r="600" spans="1:20" x14ac:dyDescent="0.25">
      <c r="A600" s="5"/>
      <c r="C600"/>
      <c r="D600"/>
      <c r="P600">
        <f t="shared" si="990"/>
        <v>0</v>
      </c>
      <c r="Q600">
        <f t="shared" si="991"/>
        <v>0</v>
      </c>
      <c r="R600">
        <f t="shared" si="992"/>
        <v>0</v>
      </c>
      <c r="S600">
        <f t="shared" si="993"/>
        <v>0</v>
      </c>
      <c r="T600">
        <f t="shared" si="994"/>
        <v>0</v>
      </c>
    </row>
    <row r="601" spans="1:20" x14ac:dyDescent="0.25">
      <c r="A601" s="5"/>
      <c r="C601"/>
      <c r="D601"/>
      <c r="P601">
        <f t="shared" si="990"/>
        <v>0</v>
      </c>
      <c r="Q601">
        <f t="shared" si="991"/>
        <v>0</v>
      </c>
      <c r="R601">
        <f t="shared" si="992"/>
        <v>0</v>
      </c>
      <c r="S601">
        <f t="shared" si="993"/>
        <v>0</v>
      </c>
      <c r="T601">
        <f t="shared" si="994"/>
        <v>0</v>
      </c>
    </row>
    <row r="602" spans="1:20" x14ac:dyDescent="0.25">
      <c r="A602" s="5"/>
      <c r="C602"/>
      <c r="D602"/>
      <c r="P602">
        <f t="shared" si="990"/>
        <v>0</v>
      </c>
      <c r="Q602">
        <f t="shared" si="991"/>
        <v>0</v>
      </c>
      <c r="R602">
        <f t="shared" si="992"/>
        <v>0</v>
      </c>
      <c r="S602">
        <f t="shared" si="993"/>
        <v>0</v>
      </c>
      <c r="T602">
        <f t="shared" si="994"/>
        <v>0</v>
      </c>
    </row>
    <row r="603" spans="1:20" x14ac:dyDescent="0.25">
      <c r="A603" s="5"/>
      <c r="C603"/>
      <c r="D603"/>
      <c r="P603">
        <f t="shared" si="990"/>
        <v>0</v>
      </c>
      <c r="Q603">
        <f t="shared" si="991"/>
        <v>0</v>
      </c>
      <c r="R603">
        <f t="shared" si="992"/>
        <v>0</v>
      </c>
      <c r="S603">
        <f t="shared" si="993"/>
        <v>0</v>
      </c>
      <c r="T603">
        <f t="shared" si="994"/>
        <v>0</v>
      </c>
    </row>
    <row r="604" spans="1:20" x14ac:dyDescent="0.25">
      <c r="A604" s="5"/>
      <c r="C604"/>
      <c r="D604"/>
      <c r="P604">
        <f t="shared" si="990"/>
        <v>0</v>
      </c>
      <c r="Q604">
        <f t="shared" si="991"/>
        <v>0</v>
      </c>
      <c r="R604">
        <f t="shared" si="992"/>
        <v>0</v>
      </c>
      <c r="S604">
        <f t="shared" si="993"/>
        <v>0</v>
      </c>
      <c r="T604">
        <f t="shared" si="994"/>
        <v>0</v>
      </c>
    </row>
    <row r="605" spans="1:20" x14ac:dyDescent="0.25">
      <c r="A605" s="5"/>
      <c r="C605"/>
      <c r="D605"/>
      <c r="P605">
        <f t="shared" si="990"/>
        <v>0</v>
      </c>
      <c r="Q605">
        <f t="shared" si="991"/>
        <v>0</v>
      </c>
      <c r="R605">
        <f t="shared" si="992"/>
        <v>0</v>
      </c>
      <c r="S605">
        <f t="shared" si="993"/>
        <v>0</v>
      </c>
      <c r="T605">
        <f t="shared" si="994"/>
        <v>0</v>
      </c>
    </row>
    <row r="606" spans="1:20" x14ac:dyDescent="0.25">
      <c r="A606" s="5"/>
      <c r="C606"/>
      <c r="D606"/>
      <c r="P606">
        <f t="shared" si="990"/>
        <v>0</v>
      </c>
      <c r="Q606">
        <f t="shared" si="991"/>
        <v>0</v>
      </c>
      <c r="R606">
        <f t="shared" si="992"/>
        <v>0</v>
      </c>
      <c r="S606">
        <f t="shared" si="993"/>
        <v>0</v>
      </c>
      <c r="T606">
        <f t="shared" si="994"/>
        <v>0</v>
      </c>
    </row>
    <row r="607" spans="1:20" x14ac:dyDescent="0.25">
      <c r="A607" s="5"/>
      <c r="C607"/>
      <c r="D607"/>
      <c r="P607">
        <f t="shared" si="990"/>
        <v>0</v>
      </c>
      <c r="Q607">
        <f t="shared" si="991"/>
        <v>0</v>
      </c>
      <c r="R607">
        <f t="shared" si="992"/>
        <v>0</v>
      </c>
      <c r="S607">
        <f t="shared" si="993"/>
        <v>0</v>
      </c>
      <c r="T607">
        <f t="shared" si="994"/>
        <v>0</v>
      </c>
    </row>
    <row r="608" spans="1:20" x14ac:dyDescent="0.25">
      <c r="A608" s="5"/>
      <c r="C608"/>
      <c r="D608"/>
      <c r="P608">
        <f t="shared" si="990"/>
        <v>0</v>
      </c>
      <c r="Q608">
        <f t="shared" si="991"/>
        <v>0</v>
      </c>
      <c r="R608">
        <f t="shared" si="992"/>
        <v>0</v>
      </c>
      <c r="S608">
        <f t="shared" si="993"/>
        <v>0</v>
      </c>
      <c r="T608">
        <f t="shared" si="994"/>
        <v>0</v>
      </c>
    </row>
    <row r="609" spans="1:20" x14ac:dyDescent="0.25">
      <c r="A609" s="5"/>
      <c r="C609"/>
      <c r="D609"/>
      <c r="P609">
        <f t="shared" si="990"/>
        <v>0</v>
      </c>
      <c r="Q609">
        <f t="shared" si="991"/>
        <v>0</v>
      </c>
      <c r="R609">
        <f t="shared" si="992"/>
        <v>0</v>
      </c>
      <c r="S609">
        <f t="shared" si="993"/>
        <v>0</v>
      </c>
      <c r="T609">
        <f t="shared" si="994"/>
        <v>0</v>
      </c>
    </row>
    <row r="610" spans="1:20" x14ac:dyDescent="0.25">
      <c r="A610" s="5"/>
      <c r="C610"/>
      <c r="D610"/>
      <c r="P610">
        <f t="shared" si="990"/>
        <v>0</v>
      </c>
      <c r="Q610">
        <f t="shared" si="991"/>
        <v>0</v>
      </c>
      <c r="R610">
        <f t="shared" si="992"/>
        <v>0</v>
      </c>
      <c r="S610">
        <f t="shared" si="993"/>
        <v>0</v>
      </c>
      <c r="T610">
        <f t="shared" si="994"/>
        <v>0</v>
      </c>
    </row>
    <row r="611" spans="1:20" x14ac:dyDescent="0.25">
      <c r="A611" s="5"/>
      <c r="C611"/>
      <c r="D611"/>
      <c r="P611">
        <f t="shared" si="990"/>
        <v>0</v>
      </c>
      <c r="Q611">
        <f t="shared" si="991"/>
        <v>0</v>
      </c>
      <c r="R611">
        <f t="shared" si="992"/>
        <v>0</v>
      </c>
      <c r="S611">
        <f t="shared" si="993"/>
        <v>0</v>
      </c>
      <c r="T611">
        <f t="shared" si="994"/>
        <v>0</v>
      </c>
    </row>
    <row r="612" spans="1:20" x14ac:dyDescent="0.25">
      <c r="A612" s="5"/>
      <c r="C612"/>
      <c r="D612"/>
      <c r="P612">
        <f t="shared" si="990"/>
        <v>0</v>
      </c>
      <c r="Q612">
        <f t="shared" si="991"/>
        <v>0</v>
      </c>
      <c r="R612">
        <f t="shared" si="992"/>
        <v>0</v>
      </c>
      <c r="S612">
        <f t="shared" si="993"/>
        <v>0</v>
      </c>
      <c r="T612">
        <f t="shared" si="994"/>
        <v>0</v>
      </c>
    </row>
    <row r="613" spans="1:20" x14ac:dyDescent="0.25">
      <c r="A613" s="5"/>
      <c r="C613"/>
      <c r="D613"/>
      <c r="P613">
        <f t="shared" si="990"/>
        <v>0</v>
      </c>
      <c r="Q613">
        <f t="shared" si="991"/>
        <v>0</v>
      </c>
      <c r="R613">
        <f t="shared" si="992"/>
        <v>0</v>
      </c>
      <c r="S613">
        <f t="shared" si="993"/>
        <v>0</v>
      </c>
      <c r="T613">
        <f t="shared" si="994"/>
        <v>0</v>
      </c>
    </row>
    <row r="614" spans="1:20" x14ac:dyDescent="0.25">
      <c r="A614" s="5"/>
      <c r="C614"/>
      <c r="D614"/>
      <c r="P614">
        <f t="shared" si="990"/>
        <v>0</v>
      </c>
      <c r="Q614">
        <f t="shared" si="991"/>
        <v>0</v>
      </c>
      <c r="R614">
        <f t="shared" si="992"/>
        <v>0</v>
      </c>
      <c r="S614">
        <f t="shared" si="993"/>
        <v>0</v>
      </c>
      <c r="T614">
        <f t="shared" si="994"/>
        <v>0</v>
      </c>
    </row>
    <row r="615" spans="1:20" x14ac:dyDescent="0.25">
      <c r="A615" s="5"/>
      <c r="C615"/>
      <c r="D615"/>
      <c r="P615">
        <f t="shared" si="990"/>
        <v>0</v>
      </c>
      <c r="Q615">
        <f t="shared" si="991"/>
        <v>0</v>
      </c>
      <c r="R615">
        <f t="shared" si="992"/>
        <v>0</v>
      </c>
      <c r="S615">
        <f t="shared" si="993"/>
        <v>0</v>
      </c>
      <c r="T615">
        <f t="shared" si="994"/>
        <v>0</v>
      </c>
    </row>
    <row r="616" spans="1:20" x14ac:dyDescent="0.25">
      <c r="A616" s="5"/>
      <c r="C616"/>
      <c r="D616"/>
      <c r="P616">
        <f t="shared" si="990"/>
        <v>0</v>
      </c>
      <c r="Q616">
        <f t="shared" si="991"/>
        <v>0</v>
      </c>
      <c r="R616">
        <f t="shared" si="992"/>
        <v>0</v>
      </c>
      <c r="S616">
        <f t="shared" si="993"/>
        <v>0</v>
      </c>
      <c r="T616">
        <f t="shared" si="994"/>
        <v>0</v>
      </c>
    </row>
    <row r="617" spans="1:20" x14ac:dyDescent="0.25">
      <c r="A617" s="5"/>
      <c r="C617"/>
      <c r="D617"/>
      <c r="P617">
        <f t="shared" si="990"/>
        <v>0</v>
      </c>
      <c r="Q617">
        <f t="shared" si="991"/>
        <v>0</v>
      </c>
      <c r="R617">
        <f t="shared" si="992"/>
        <v>0</v>
      </c>
      <c r="S617">
        <f t="shared" si="993"/>
        <v>0</v>
      </c>
      <c r="T617">
        <f t="shared" si="994"/>
        <v>0</v>
      </c>
    </row>
    <row r="618" spans="1:20" x14ac:dyDescent="0.25">
      <c r="A618" s="5"/>
      <c r="C618"/>
      <c r="D618"/>
      <c r="P618">
        <f t="shared" si="990"/>
        <v>0</v>
      </c>
      <c r="Q618">
        <f t="shared" si="991"/>
        <v>0</v>
      </c>
      <c r="R618">
        <f t="shared" si="992"/>
        <v>0</v>
      </c>
      <c r="S618">
        <f t="shared" si="993"/>
        <v>0</v>
      </c>
      <c r="T618">
        <f t="shared" si="994"/>
        <v>0</v>
      </c>
    </row>
    <row r="619" spans="1:20" x14ac:dyDescent="0.25">
      <c r="A619" s="5"/>
      <c r="C619"/>
      <c r="D619"/>
      <c r="P619">
        <f t="shared" si="990"/>
        <v>0</v>
      </c>
      <c r="Q619">
        <f t="shared" si="991"/>
        <v>0</v>
      </c>
      <c r="R619">
        <f t="shared" si="992"/>
        <v>0</v>
      </c>
      <c r="S619">
        <f t="shared" si="993"/>
        <v>0</v>
      </c>
      <c r="T619">
        <f t="shared" si="994"/>
        <v>0</v>
      </c>
    </row>
    <row r="620" spans="1:20" x14ac:dyDescent="0.25">
      <c r="A620" s="5"/>
      <c r="C620"/>
      <c r="D620"/>
      <c r="P620">
        <f t="shared" si="990"/>
        <v>0</v>
      </c>
      <c r="Q620">
        <f t="shared" si="991"/>
        <v>0</v>
      </c>
      <c r="R620">
        <f t="shared" si="992"/>
        <v>0</v>
      </c>
      <c r="S620">
        <f t="shared" si="993"/>
        <v>0</v>
      </c>
      <c r="T620">
        <f t="shared" si="994"/>
        <v>0</v>
      </c>
    </row>
    <row r="621" spans="1:20" x14ac:dyDescent="0.25">
      <c r="A621" s="5"/>
      <c r="C621"/>
      <c r="D621"/>
      <c r="P621">
        <f t="shared" si="990"/>
        <v>0</v>
      </c>
      <c r="Q621">
        <f t="shared" si="991"/>
        <v>0</v>
      </c>
      <c r="R621">
        <f t="shared" si="992"/>
        <v>0</v>
      </c>
      <c r="S621">
        <f t="shared" si="993"/>
        <v>0</v>
      </c>
      <c r="T621">
        <f t="shared" si="994"/>
        <v>0</v>
      </c>
    </row>
    <row r="622" spans="1:20" x14ac:dyDescent="0.25">
      <c r="A622" s="5"/>
      <c r="C622"/>
      <c r="D622"/>
      <c r="P622">
        <f t="shared" si="990"/>
        <v>0</v>
      </c>
      <c r="Q622">
        <f t="shared" si="991"/>
        <v>0</v>
      </c>
      <c r="R622">
        <f t="shared" si="992"/>
        <v>0</v>
      </c>
      <c r="S622">
        <f t="shared" si="993"/>
        <v>0</v>
      </c>
      <c r="T622">
        <f t="shared" si="994"/>
        <v>0</v>
      </c>
    </row>
    <row r="623" spans="1:20" x14ac:dyDescent="0.25">
      <c r="A623" s="5"/>
      <c r="C623"/>
      <c r="D623"/>
      <c r="P623">
        <f t="shared" si="990"/>
        <v>0</v>
      </c>
      <c r="Q623">
        <f t="shared" si="991"/>
        <v>0</v>
      </c>
      <c r="R623">
        <f t="shared" si="992"/>
        <v>0</v>
      </c>
      <c r="S623">
        <f t="shared" si="993"/>
        <v>0</v>
      </c>
      <c r="T623">
        <f t="shared" si="994"/>
        <v>0</v>
      </c>
    </row>
    <row r="624" spans="1:20" x14ac:dyDescent="0.25">
      <c r="A624" s="5"/>
      <c r="C624"/>
      <c r="D624"/>
      <c r="P624">
        <f t="shared" si="990"/>
        <v>0</v>
      </c>
      <c r="Q624">
        <f t="shared" si="991"/>
        <v>0</v>
      </c>
      <c r="R624">
        <f t="shared" si="992"/>
        <v>0</v>
      </c>
      <c r="S624">
        <f t="shared" si="993"/>
        <v>0</v>
      </c>
      <c r="T624">
        <f t="shared" si="994"/>
        <v>0</v>
      </c>
    </row>
    <row r="625" spans="1:20" x14ac:dyDescent="0.25">
      <c r="A625" s="5"/>
      <c r="C625"/>
      <c r="D625"/>
      <c r="P625">
        <f t="shared" si="990"/>
        <v>0</v>
      </c>
      <c r="Q625">
        <f t="shared" si="991"/>
        <v>0</v>
      </c>
      <c r="R625">
        <f t="shared" si="992"/>
        <v>0</v>
      </c>
      <c r="S625">
        <f t="shared" si="993"/>
        <v>0</v>
      </c>
      <c r="T625">
        <f t="shared" si="994"/>
        <v>0</v>
      </c>
    </row>
    <row r="626" spans="1:20" x14ac:dyDescent="0.25">
      <c r="A626" s="5"/>
      <c r="C626"/>
      <c r="D626"/>
      <c r="P626">
        <f t="shared" si="990"/>
        <v>0</v>
      </c>
      <c r="Q626">
        <f t="shared" si="991"/>
        <v>0</v>
      </c>
      <c r="R626">
        <f t="shared" si="992"/>
        <v>0</v>
      </c>
      <c r="S626">
        <f t="shared" si="993"/>
        <v>0</v>
      </c>
      <c r="T626">
        <f t="shared" si="994"/>
        <v>0</v>
      </c>
    </row>
    <row r="627" spans="1:20" x14ac:dyDescent="0.25">
      <c r="A627" s="5"/>
      <c r="C627"/>
      <c r="D627"/>
      <c r="P627">
        <f t="shared" si="990"/>
        <v>0</v>
      </c>
      <c r="Q627">
        <f t="shared" si="991"/>
        <v>0</v>
      </c>
      <c r="R627">
        <f t="shared" si="992"/>
        <v>0</v>
      </c>
      <c r="S627">
        <f t="shared" si="993"/>
        <v>0</v>
      </c>
      <c r="T627">
        <f t="shared" si="994"/>
        <v>0</v>
      </c>
    </row>
    <row r="628" spans="1:20" x14ac:dyDescent="0.25">
      <c r="A628" s="5"/>
      <c r="C628"/>
      <c r="D628"/>
      <c r="P628">
        <f t="shared" si="990"/>
        <v>0</v>
      </c>
      <c r="Q628">
        <f t="shared" si="991"/>
        <v>0</v>
      </c>
      <c r="R628">
        <f t="shared" si="992"/>
        <v>0</v>
      </c>
      <c r="S628">
        <f t="shared" si="993"/>
        <v>0</v>
      </c>
      <c r="T628">
        <f t="shared" si="994"/>
        <v>0</v>
      </c>
    </row>
    <row r="629" spans="1:20" x14ac:dyDescent="0.25">
      <c r="A629" s="5"/>
      <c r="C629"/>
      <c r="D629"/>
      <c r="P629">
        <f t="shared" si="990"/>
        <v>0</v>
      </c>
      <c r="Q629">
        <f t="shared" si="991"/>
        <v>0</v>
      </c>
      <c r="R629">
        <f t="shared" si="992"/>
        <v>0</v>
      </c>
      <c r="S629">
        <f t="shared" si="993"/>
        <v>0</v>
      </c>
      <c r="T629">
        <f t="shared" si="994"/>
        <v>0</v>
      </c>
    </row>
    <row r="630" spans="1:20" x14ac:dyDescent="0.25">
      <c r="A630" s="5"/>
      <c r="C630"/>
      <c r="D630"/>
      <c r="P630">
        <f t="shared" si="990"/>
        <v>0</v>
      </c>
      <c r="Q630">
        <f t="shared" si="991"/>
        <v>0</v>
      </c>
      <c r="R630">
        <f t="shared" si="992"/>
        <v>0</v>
      </c>
      <c r="S630">
        <f t="shared" si="993"/>
        <v>0</v>
      </c>
      <c r="T630">
        <f t="shared" si="994"/>
        <v>0</v>
      </c>
    </row>
    <row r="631" spans="1:20" x14ac:dyDescent="0.25">
      <c r="A631" s="5"/>
      <c r="C631"/>
      <c r="D631"/>
      <c r="P631">
        <f t="shared" si="990"/>
        <v>0</v>
      </c>
      <c r="Q631">
        <f t="shared" si="991"/>
        <v>0</v>
      </c>
      <c r="R631">
        <f t="shared" si="992"/>
        <v>0</v>
      </c>
      <c r="S631">
        <f t="shared" si="993"/>
        <v>0</v>
      </c>
      <c r="T631">
        <f t="shared" si="994"/>
        <v>0</v>
      </c>
    </row>
    <row r="632" spans="1:20" x14ac:dyDescent="0.25">
      <c r="A632" s="5"/>
      <c r="C632"/>
      <c r="D632"/>
      <c r="P632">
        <f t="shared" si="990"/>
        <v>0</v>
      </c>
      <c r="Q632">
        <f t="shared" si="991"/>
        <v>0</v>
      </c>
      <c r="R632">
        <f t="shared" si="992"/>
        <v>0</v>
      </c>
      <c r="S632">
        <f t="shared" si="993"/>
        <v>0</v>
      </c>
      <c r="T632">
        <f t="shared" si="994"/>
        <v>0</v>
      </c>
    </row>
    <row r="633" spans="1:20" x14ac:dyDescent="0.25">
      <c r="A633" s="5"/>
      <c r="C633"/>
      <c r="D633"/>
      <c r="P633">
        <f t="shared" si="990"/>
        <v>0</v>
      </c>
      <c r="Q633">
        <f t="shared" si="991"/>
        <v>0</v>
      </c>
      <c r="R633">
        <f t="shared" si="992"/>
        <v>0</v>
      </c>
      <c r="S633">
        <f t="shared" si="993"/>
        <v>0</v>
      </c>
      <c r="T633">
        <f t="shared" si="994"/>
        <v>0</v>
      </c>
    </row>
    <row r="634" spans="1:20" x14ac:dyDescent="0.25">
      <c r="A634" s="5"/>
      <c r="C634"/>
      <c r="D634"/>
      <c r="P634">
        <f t="shared" si="990"/>
        <v>0</v>
      </c>
      <c r="Q634">
        <f t="shared" si="991"/>
        <v>0</v>
      </c>
      <c r="R634">
        <f t="shared" si="992"/>
        <v>0</v>
      </c>
      <c r="S634">
        <f t="shared" si="993"/>
        <v>0</v>
      </c>
      <c r="T634">
        <f t="shared" si="994"/>
        <v>0</v>
      </c>
    </row>
    <row r="635" spans="1:20" x14ac:dyDescent="0.25">
      <c r="A635" s="5"/>
      <c r="C635"/>
      <c r="D635"/>
      <c r="P635">
        <f t="shared" si="990"/>
        <v>0</v>
      </c>
      <c r="Q635">
        <f t="shared" si="991"/>
        <v>0</v>
      </c>
      <c r="R635">
        <f t="shared" si="992"/>
        <v>0</v>
      </c>
      <c r="S635">
        <f t="shared" si="993"/>
        <v>0</v>
      </c>
      <c r="T635">
        <f t="shared" si="994"/>
        <v>0</v>
      </c>
    </row>
    <row r="636" spans="1:20" x14ac:dyDescent="0.25">
      <c r="A636" s="5"/>
      <c r="C636"/>
      <c r="D636"/>
      <c r="P636">
        <f t="shared" si="990"/>
        <v>0</v>
      </c>
      <c r="Q636">
        <f t="shared" si="991"/>
        <v>0</v>
      </c>
      <c r="R636">
        <f t="shared" si="992"/>
        <v>0</v>
      </c>
      <c r="S636">
        <f t="shared" si="993"/>
        <v>0</v>
      </c>
      <c r="T636">
        <f t="shared" si="994"/>
        <v>0</v>
      </c>
    </row>
    <row r="637" spans="1:20" x14ac:dyDescent="0.25">
      <c r="A637" s="5"/>
      <c r="C637"/>
      <c r="D637"/>
      <c r="P637">
        <f t="shared" si="990"/>
        <v>0</v>
      </c>
      <c r="Q637">
        <f t="shared" si="991"/>
        <v>0</v>
      </c>
      <c r="R637">
        <f t="shared" si="992"/>
        <v>0</v>
      </c>
      <c r="S637">
        <f t="shared" si="993"/>
        <v>0</v>
      </c>
      <c r="T637">
        <f t="shared" si="994"/>
        <v>0</v>
      </c>
    </row>
    <row r="638" spans="1:20" x14ac:dyDescent="0.25">
      <c r="A638" s="5"/>
      <c r="C638"/>
      <c r="D638"/>
      <c r="P638">
        <f t="shared" si="990"/>
        <v>0</v>
      </c>
      <c r="Q638">
        <f t="shared" si="991"/>
        <v>0</v>
      </c>
      <c r="R638">
        <f t="shared" si="992"/>
        <v>0</v>
      </c>
      <c r="S638">
        <f t="shared" si="993"/>
        <v>0</v>
      </c>
      <c r="T638">
        <f t="shared" si="994"/>
        <v>0</v>
      </c>
    </row>
    <row r="639" spans="1:20" x14ac:dyDescent="0.25">
      <c r="A639" s="5"/>
      <c r="C639"/>
      <c r="D639"/>
      <c r="P639">
        <f t="shared" si="990"/>
        <v>0</v>
      </c>
      <c r="Q639">
        <f t="shared" si="991"/>
        <v>0</v>
      </c>
      <c r="R639">
        <f t="shared" si="992"/>
        <v>0</v>
      </c>
      <c r="S639">
        <f t="shared" si="993"/>
        <v>0</v>
      </c>
      <c r="T639">
        <f t="shared" si="994"/>
        <v>0</v>
      </c>
    </row>
    <row r="640" spans="1:20" x14ac:dyDescent="0.25">
      <c r="A640" s="5"/>
      <c r="C640"/>
      <c r="D640"/>
      <c r="P640">
        <f t="shared" si="990"/>
        <v>0</v>
      </c>
      <c r="Q640">
        <f t="shared" si="991"/>
        <v>0</v>
      </c>
      <c r="R640">
        <f t="shared" si="992"/>
        <v>0</v>
      </c>
      <c r="S640">
        <f t="shared" si="993"/>
        <v>0</v>
      </c>
      <c r="T640">
        <f t="shared" si="994"/>
        <v>0</v>
      </c>
    </row>
    <row r="641" spans="1:20" x14ac:dyDescent="0.25">
      <c r="A641" s="5"/>
      <c r="C641"/>
      <c r="D641"/>
      <c r="P641">
        <f t="shared" si="990"/>
        <v>0</v>
      </c>
      <c r="Q641">
        <f t="shared" si="991"/>
        <v>0</v>
      </c>
      <c r="R641">
        <f t="shared" si="992"/>
        <v>0</v>
      </c>
      <c r="S641">
        <f t="shared" si="993"/>
        <v>0</v>
      </c>
      <c r="T641">
        <f t="shared" si="994"/>
        <v>0</v>
      </c>
    </row>
    <row r="642" spans="1:20" x14ac:dyDescent="0.25">
      <c r="A642" s="5"/>
      <c r="C642"/>
      <c r="D642"/>
      <c r="P642">
        <f t="shared" si="990"/>
        <v>0</v>
      </c>
      <c r="Q642">
        <f t="shared" si="991"/>
        <v>0</v>
      </c>
      <c r="R642">
        <f t="shared" si="992"/>
        <v>0</v>
      </c>
      <c r="S642">
        <f t="shared" si="993"/>
        <v>0</v>
      </c>
      <c r="T642">
        <f t="shared" si="994"/>
        <v>0</v>
      </c>
    </row>
    <row r="643" spans="1:20" x14ac:dyDescent="0.25">
      <c r="A643" s="5"/>
      <c r="C643"/>
      <c r="D643"/>
      <c r="P643">
        <f t="shared" si="990"/>
        <v>0</v>
      </c>
      <c r="Q643">
        <f t="shared" si="991"/>
        <v>0</v>
      </c>
      <c r="R643">
        <f t="shared" si="992"/>
        <v>0</v>
      </c>
      <c r="S643">
        <f t="shared" si="993"/>
        <v>0</v>
      </c>
      <c r="T643">
        <f t="shared" si="994"/>
        <v>0</v>
      </c>
    </row>
    <row r="644" spans="1:20" x14ac:dyDescent="0.25">
      <c r="A644" s="5"/>
      <c r="C644"/>
      <c r="D644"/>
      <c r="P644">
        <f t="shared" si="990"/>
        <v>0</v>
      </c>
      <c r="Q644">
        <f t="shared" si="991"/>
        <v>0</v>
      </c>
      <c r="R644">
        <f t="shared" si="992"/>
        <v>0</v>
      </c>
      <c r="S644">
        <f t="shared" si="993"/>
        <v>0</v>
      </c>
      <c r="T644">
        <f t="shared" si="994"/>
        <v>0</v>
      </c>
    </row>
    <row r="645" spans="1:20" x14ac:dyDescent="0.25">
      <c r="A645" s="5"/>
      <c r="C645"/>
      <c r="D645"/>
      <c r="P645">
        <f t="shared" si="990"/>
        <v>0</v>
      </c>
      <c r="Q645">
        <f t="shared" si="991"/>
        <v>0</v>
      </c>
      <c r="R645">
        <f t="shared" si="992"/>
        <v>0</v>
      </c>
      <c r="S645">
        <f t="shared" si="993"/>
        <v>0</v>
      </c>
      <c r="T645">
        <f t="shared" si="994"/>
        <v>0</v>
      </c>
    </row>
    <row r="646" spans="1:20" x14ac:dyDescent="0.25">
      <c r="A646" s="5"/>
      <c r="C646"/>
      <c r="D646"/>
      <c r="P646">
        <f t="shared" ref="P646:P709" si="995">IF(C646=D646,0,((E646-D646)-(C646-E646))/(C646-D646))</f>
        <v>0</v>
      </c>
      <c r="Q646">
        <f t="shared" ref="Q646:Q709" si="996">F646*P646</f>
        <v>0</v>
      </c>
      <c r="R646">
        <f t="shared" ref="R646:R709" si="997">R647+Q646</f>
        <v>0</v>
      </c>
      <c r="S646">
        <f t="shared" ref="S646:S709" si="998">R646/100000</f>
        <v>0</v>
      </c>
      <c r="T646">
        <f t="shared" ref="T646:T709" si="999">S646/1000</f>
        <v>0</v>
      </c>
    </row>
    <row r="647" spans="1:20" x14ac:dyDescent="0.25">
      <c r="A647" s="5"/>
      <c r="C647"/>
      <c r="D647"/>
      <c r="P647">
        <f t="shared" si="995"/>
        <v>0</v>
      </c>
      <c r="Q647">
        <f t="shared" si="996"/>
        <v>0</v>
      </c>
      <c r="R647">
        <f t="shared" si="997"/>
        <v>0</v>
      </c>
      <c r="S647">
        <f t="shared" si="998"/>
        <v>0</v>
      </c>
      <c r="T647">
        <f t="shared" si="999"/>
        <v>0</v>
      </c>
    </row>
    <row r="648" spans="1:20" x14ac:dyDescent="0.25">
      <c r="A648" s="5"/>
      <c r="C648"/>
      <c r="D648"/>
      <c r="P648">
        <f t="shared" si="995"/>
        <v>0</v>
      </c>
      <c r="Q648">
        <f t="shared" si="996"/>
        <v>0</v>
      </c>
      <c r="R648">
        <f t="shared" si="997"/>
        <v>0</v>
      </c>
      <c r="S648">
        <f t="shared" si="998"/>
        <v>0</v>
      </c>
      <c r="T648">
        <f t="shared" si="999"/>
        <v>0</v>
      </c>
    </row>
    <row r="649" spans="1:20" x14ac:dyDescent="0.25">
      <c r="A649" s="5"/>
      <c r="C649"/>
      <c r="D649"/>
      <c r="P649">
        <f t="shared" si="995"/>
        <v>0</v>
      </c>
      <c r="Q649">
        <f t="shared" si="996"/>
        <v>0</v>
      </c>
      <c r="R649">
        <f t="shared" si="997"/>
        <v>0</v>
      </c>
      <c r="S649">
        <f t="shared" si="998"/>
        <v>0</v>
      </c>
      <c r="T649">
        <f t="shared" si="999"/>
        <v>0</v>
      </c>
    </row>
    <row r="650" spans="1:20" x14ac:dyDescent="0.25">
      <c r="A650" s="5"/>
      <c r="C650"/>
      <c r="D650"/>
      <c r="P650">
        <f t="shared" si="995"/>
        <v>0</v>
      </c>
      <c r="Q650">
        <f t="shared" si="996"/>
        <v>0</v>
      </c>
      <c r="R650">
        <f t="shared" si="997"/>
        <v>0</v>
      </c>
      <c r="S650">
        <f t="shared" si="998"/>
        <v>0</v>
      </c>
      <c r="T650">
        <f t="shared" si="999"/>
        <v>0</v>
      </c>
    </row>
    <row r="651" spans="1:20" x14ac:dyDescent="0.25">
      <c r="A651" s="5"/>
      <c r="C651"/>
      <c r="D651"/>
      <c r="P651">
        <f t="shared" si="995"/>
        <v>0</v>
      </c>
      <c r="Q651">
        <f t="shared" si="996"/>
        <v>0</v>
      </c>
      <c r="R651">
        <f t="shared" si="997"/>
        <v>0</v>
      </c>
      <c r="S651">
        <f t="shared" si="998"/>
        <v>0</v>
      </c>
      <c r="T651">
        <f t="shared" si="999"/>
        <v>0</v>
      </c>
    </row>
    <row r="652" spans="1:20" x14ac:dyDescent="0.25">
      <c r="A652" s="5"/>
      <c r="C652"/>
      <c r="D652"/>
      <c r="P652">
        <f t="shared" si="995"/>
        <v>0</v>
      </c>
      <c r="Q652">
        <f t="shared" si="996"/>
        <v>0</v>
      </c>
      <c r="R652">
        <f t="shared" si="997"/>
        <v>0</v>
      </c>
      <c r="S652">
        <f t="shared" si="998"/>
        <v>0</v>
      </c>
      <c r="T652">
        <f t="shared" si="999"/>
        <v>0</v>
      </c>
    </row>
    <row r="653" spans="1:20" x14ac:dyDescent="0.25">
      <c r="A653" s="5"/>
      <c r="C653"/>
      <c r="D653"/>
      <c r="P653">
        <f t="shared" si="995"/>
        <v>0</v>
      </c>
      <c r="Q653">
        <f t="shared" si="996"/>
        <v>0</v>
      </c>
      <c r="R653">
        <f t="shared" si="997"/>
        <v>0</v>
      </c>
      <c r="S653">
        <f t="shared" si="998"/>
        <v>0</v>
      </c>
      <c r="T653">
        <f t="shared" si="999"/>
        <v>0</v>
      </c>
    </row>
    <row r="654" spans="1:20" x14ac:dyDescent="0.25">
      <c r="A654" s="5"/>
      <c r="C654"/>
      <c r="D654"/>
      <c r="P654">
        <f t="shared" si="995"/>
        <v>0</v>
      </c>
      <c r="Q654">
        <f t="shared" si="996"/>
        <v>0</v>
      </c>
      <c r="R654">
        <f t="shared" si="997"/>
        <v>0</v>
      </c>
      <c r="S654">
        <f t="shared" si="998"/>
        <v>0</v>
      </c>
      <c r="T654">
        <f t="shared" si="999"/>
        <v>0</v>
      </c>
    </row>
    <row r="655" spans="1:20" x14ac:dyDescent="0.25">
      <c r="A655" s="5"/>
      <c r="C655"/>
      <c r="D655"/>
      <c r="P655">
        <f t="shared" si="995"/>
        <v>0</v>
      </c>
      <c r="Q655">
        <f t="shared" si="996"/>
        <v>0</v>
      </c>
      <c r="R655">
        <f t="shared" si="997"/>
        <v>0</v>
      </c>
      <c r="S655">
        <f t="shared" si="998"/>
        <v>0</v>
      </c>
      <c r="T655">
        <f t="shared" si="999"/>
        <v>0</v>
      </c>
    </row>
    <row r="656" spans="1:20" x14ac:dyDescent="0.25">
      <c r="A656" s="5"/>
      <c r="C656"/>
      <c r="D656"/>
      <c r="P656">
        <f t="shared" si="995"/>
        <v>0</v>
      </c>
      <c r="Q656">
        <f t="shared" si="996"/>
        <v>0</v>
      </c>
      <c r="R656">
        <f t="shared" si="997"/>
        <v>0</v>
      </c>
      <c r="S656">
        <f t="shared" si="998"/>
        <v>0</v>
      </c>
      <c r="T656">
        <f t="shared" si="999"/>
        <v>0</v>
      </c>
    </row>
    <row r="657" spans="1:20" x14ac:dyDescent="0.25">
      <c r="A657" s="5"/>
      <c r="C657"/>
      <c r="D657"/>
      <c r="P657">
        <f t="shared" si="995"/>
        <v>0</v>
      </c>
      <c r="Q657">
        <f t="shared" si="996"/>
        <v>0</v>
      </c>
      <c r="R657">
        <f t="shared" si="997"/>
        <v>0</v>
      </c>
      <c r="S657">
        <f t="shared" si="998"/>
        <v>0</v>
      </c>
      <c r="T657">
        <f t="shared" si="999"/>
        <v>0</v>
      </c>
    </row>
    <row r="658" spans="1:20" x14ac:dyDescent="0.25">
      <c r="A658" s="5"/>
      <c r="C658"/>
      <c r="D658"/>
      <c r="P658">
        <f t="shared" si="995"/>
        <v>0</v>
      </c>
      <c r="Q658">
        <f t="shared" si="996"/>
        <v>0</v>
      </c>
      <c r="R658">
        <f t="shared" si="997"/>
        <v>0</v>
      </c>
      <c r="S658">
        <f t="shared" si="998"/>
        <v>0</v>
      </c>
      <c r="T658">
        <f t="shared" si="999"/>
        <v>0</v>
      </c>
    </row>
    <row r="659" spans="1:20" x14ac:dyDescent="0.25">
      <c r="A659" s="5"/>
      <c r="C659"/>
      <c r="D659"/>
      <c r="P659">
        <f t="shared" si="995"/>
        <v>0</v>
      </c>
      <c r="Q659">
        <f t="shared" si="996"/>
        <v>0</v>
      </c>
      <c r="R659">
        <f t="shared" si="997"/>
        <v>0</v>
      </c>
      <c r="S659">
        <f t="shared" si="998"/>
        <v>0</v>
      </c>
      <c r="T659">
        <f t="shared" si="999"/>
        <v>0</v>
      </c>
    </row>
    <row r="660" spans="1:20" x14ac:dyDescent="0.25">
      <c r="A660" s="5"/>
      <c r="C660"/>
      <c r="D660"/>
      <c r="P660">
        <f t="shared" si="995"/>
        <v>0</v>
      </c>
      <c r="Q660">
        <f t="shared" si="996"/>
        <v>0</v>
      </c>
      <c r="R660">
        <f t="shared" si="997"/>
        <v>0</v>
      </c>
      <c r="S660">
        <f t="shared" si="998"/>
        <v>0</v>
      </c>
      <c r="T660">
        <f t="shared" si="999"/>
        <v>0</v>
      </c>
    </row>
    <row r="661" spans="1:20" x14ac:dyDescent="0.25">
      <c r="A661" s="5"/>
      <c r="P661">
        <f t="shared" si="995"/>
        <v>0</v>
      </c>
      <c r="Q661">
        <f t="shared" si="996"/>
        <v>0</v>
      </c>
      <c r="R661">
        <f t="shared" si="997"/>
        <v>0</v>
      </c>
      <c r="S661">
        <f t="shared" si="998"/>
        <v>0</v>
      </c>
      <c r="T661">
        <f t="shared" si="999"/>
        <v>0</v>
      </c>
    </row>
    <row r="662" spans="1:20" x14ac:dyDescent="0.25">
      <c r="A662" s="5"/>
      <c r="P662">
        <f t="shared" si="995"/>
        <v>0</v>
      </c>
      <c r="Q662">
        <f t="shared" si="996"/>
        <v>0</v>
      </c>
      <c r="R662">
        <f t="shared" si="997"/>
        <v>0</v>
      </c>
      <c r="S662">
        <f t="shared" si="998"/>
        <v>0</v>
      </c>
      <c r="T662">
        <f t="shared" si="999"/>
        <v>0</v>
      </c>
    </row>
    <row r="663" spans="1:20" x14ac:dyDescent="0.25">
      <c r="A663" s="5"/>
      <c r="P663">
        <f t="shared" si="995"/>
        <v>0</v>
      </c>
      <c r="Q663">
        <f t="shared" si="996"/>
        <v>0</v>
      </c>
      <c r="R663">
        <f t="shared" si="997"/>
        <v>0</v>
      </c>
      <c r="S663">
        <f t="shared" si="998"/>
        <v>0</v>
      </c>
      <c r="T663">
        <f t="shared" si="999"/>
        <v>0</v>
      </c>
    </row>
    <row r="664" spans="1:20" x14ac:dyDescent="0.25">
      <c r="A664" s="5"/>
      <c r="C664" s="4"/>
      <c r="D664" s="4"/>
      <c r="P664">
        <f t="shared" si="995"/>
        <v>0</v>
      </c>
      <c r="Q664">
        <f t="shared" si="996"/>
        <v>0</v>
      </c>
      <c r="R664">
        <f t="shared" si="997"/>
        <v>0</v>
      </c>
      <c r="S664">
        <f t="shared" si="998"/>
        <v>0</v>
      </c>
      <c r="T664">
        <f t="shared" si="999"/>
        <v>0</v>
      </c>
    </row>
    <row r="665" spans="1:20" x14ac:dyDescent="0.25">
      <c r="A665" s="5"/>
      <c r="C665" s="4"/>
      <c r="D665" s="4"/>
      <c r="P665">
        <f t="shared" si="995"/>
        <v>0</v>
      </c>
      <c r="Q665">
        <f t="shared" si="996"/>
        <v>0</v>
      </c>
      <c r="R665">
        <f t="shared" si="997"/>
        <v>0</v>
      </c>
      <c r="S665">
        <f t="shared" si="998"/>
        <v>0</v>
      </c>
      <c r="T665">
        <f t="shared" si="999"/>
        <v>0</v>
      </c>
    </row>
    <row r="666" spans="1:20" x14ac:dyDescent="0.25">
      <c r="A666" s="5"/>
      <c r="C666" s="4"/>
      <c r="D666" s="4"/>
      <c r="P666">
        <f t="shared" si="995"/>
        <v>0</v>
      </c>
      <c r="Q666">
        <f t="shared" si="996"/>
        <v>0</v>
      </c>
      <c r="R666">
        <f t="shared" si="997"/>
        <v>0</v>
      </c>
      <c r="S666">
        <f t="shared" si="998"/>
        <v>0</v>
      </c>
      <c r="T666">
        <f t="shared" si="999"/>
        <v>0</v>
      </c>
    </row>
    <row r="667" spans="1:20" x14ac:dyDescent="0.25">
      <c r="A667" s="5"/>
      <c r="C667" s="4"/>
      <c r="D667" s="4"/>
      <c r="P667">
        <f t="shared" si="995"/>
        <v>0</v>
      </c>
      <c r="Q667">
        <f t="shared" si="996"/>
        <v>0</v>
      </c>
      <c r="R667">
        <f t="shared" si="997"/>
        <v>0</v>
      </c>
      <c r="S667">
        <f t="shared" si="998"/>
        <v>0</v>
      </c>
      <c r="T667">
        <f t="shared" si="999"/>
        <v>0</v>
      </c>
    </row>
    <row r="668" spans="1:20" x14ac:dyDescent="0.25">
      <c r="A668" s="5"/>
      <c r="C668" s="4"/>
      <c r="D668" s="4"/>
      <c r="P668">
        <f t="shared" si="995"/>
        <v>0</v>
      </c>
      <c r="Q668">
        <f t="shared" si="996"/>
        <v>0</v>
      </c>
      <c r="R668">
        <f t="shared" si="997"/>
        <v>0</v>
      </c>
      <c r="S668">
        <f t="shared" si="998"/>
        <v>0</v>
      </c>
      <c r="T668">
        <f t="shared" si="999"/>
        <v>0</v>
      </c>
    </row>
    <row r="669" spans="1:20" x14ac:dyDescent="0.25">
      <c r="A669" s="5"/>
      <c r="C669" s="4"/>
      <c r="D669" s="4"/>
      <c r="P669">
        <f t="shared" si="995"/>
        <v>0</v>
      </c>
      <c r="Q669">
        <f t="shared" si="996"/>
        <v>0</v>
      </c>
      <c r="R669">
        <f t="shared" si="997"/>
        <v>0</v>
      </c>
      <c r="S669">
        <f t="shared" si="998"/>
        <v>0</v>
      </c>
      <c r="T669">
        <f t="shared" si="999"/>
        <v>0</v>
      </c>
    </row>
    <row r="670" spans="1:20" x14ac:dyDescent="0.25">
      <c r="A670" s="5"/>
      <c r="C670" s="4"/>
      <c r="D670" s="4"/>
      <c r="P670">
        <f t="shared" si="995"/>
        <v>0</v>
      </c>
      <c r="Q670">
        <f t="shared" si="996"/>
        <v>0</v>
      </c>
      <c r="R670">
        <f t="shared" si="997"/>
        <v>0</v>
      </c>
      <c r="S670">
        <f t="shared" si="998"/>
        <v>0</v>
      </c>
      <c r="T670">
        <f t="shared" si="999"/>
        <v>0</v>
      </c>
    </row>
    <row r="671" spans="1:20" x14ac:dyDescent="0.25">
      <c r="A671" s="5"/>
      <c r="C671" s="4"/>
      <c r="D671" s="4"/>
      <c r="P671">
        <f t="shared" si="995"/>
        <v>0</v>
      </c>
      <c r="Q671">
        <f t="shared" si="996"/>
        <v>0</v>
      </c>
      <c r="R671">
        <f t="shared" si="997"/>
        <v>0</v>
      </c>
      <c r="S671">
        <f t="shared" si="998"/>
        <v>0</v>
      </c>
      <c r="T671">
        <f t="shared" si="999"/>
        <v>0</v>
      </c>
    </row>
    <row r="672" spans="1:20" x14ac:dyDescent="0.25">
      <c r="A672" s="5"/>
      <c r="C672" s="4"/>
      <c r="D672" s="4"/>
      <c r="P672">
        <f t="shared" si="995"/>
        <v>0</v>
      </c>
      <c r="Q672">
        <f t="shared" si="996"/>
        <v>0</v>
      </c>
      <c r="R672">
        <f t="shared" si="997"/>
        <v>0</v>
      </c>
      <c r="S672">
        <f t="shared" si="998"/>
        <v>0</v>
      </c>
      <c r="T672">
        <f t="shared" si="999"/>
        <v>0</v>
      </c>
    </row>
    <row r="673" spans="1:20" x14ac:dyDescent="0.25">
      <c r="A673" s="5"/>
      <c r="C673" s="4"/>
      <c r="D673" s="4"/>
      <c r="P673">
        <f t="shared" si="995"/>
        <v>0</v>
      </c>
      <c r="Q673">
        <f t="shared" si="996"/>
        <v>0</v>
      </c>
      <c r="R673">
        <f t="shared" si="997"/>
        <v>0</v>
      </c>
      <c r="S673">
        <f t="shared" si="998"/>
        <v>0</v>
      </c>
      <c r="T673">
        <f t="shared" si="999"/>
        <v>0</v>
      </c>
    </row>
    <row r="674" spans="1:20" x14ac:dyDescent="0.25">
      <c r="A674" s="5"/>
      <c r="C674" s="4"/>
      <c r="D674" s="4"/>
      <c r="P674">
        <f t="shared" si="995"/>
        <v>0</v>
      </c>
      <c r="Q674">
        <f t="shared" si="996"/>
        <v>0</v>
      </c>
      <c r="R674">
        <f t="shared" si="997"/>
        <v>0</v>
      </c>
      <c r="S674">
        <f t="shared" si="998"/>
        <v>0</v>
      </c>
      <c r="T674">
        <f t="shared" si="999"/>
        <v>0</v>
      </c>
    </row>
    <row r="675" spans="1:20" x14ac:dyDescent="0.25">
      <c r="A675" s="5"/>
      <c r="C675" s="4"/>
      <c r="D675" s="4"/>
      <c r="P675">
        <f t="shared" si="995"/>
        <v>0</v>
      </c>
      <c r="Q675">
        <f t="shared" si="996"/>
        <v>0</v>
      </c>
      <c r="R675">
        <f t="shared" si="997"/>
        <v>0</v>
      </c>
      <c r="S675">
        <f t="shared" si="998"/>
        <v>0</v>
      </c>
      <c r="T675">
        <f t="shared" si="999"/>
        <v>0</v>
      </c>
    </row>
    <row r="676" spans="1:20" x14ac:dyDescent="0.25">
      <c r="A676" s="5"/>
      <c r="C676" s="4"/>
      <c r="D676" s="4"/>
      <c r="P676">
        <f t="shared" si="995"/>
        <v>0</v>
      </c>
      <c r="Q676">
        <f t="shared" si="996"/>
        <v>0</v>
      </c>
      <c r="R676">
        <f t="shared" si="997"/>
        <v>0</v>
      </c>
      <c r="S676">
        <f t="shared" si="998"/>
        <v>0</v>
      </c>
      <c r="T676">
        <f t="shared" si="999"/>
        <v>0</v>
      </c>
    </row>
    <row r="677" spans="1:20" x14ac:dyDescent="0.25">
      <c r="A677" s="5"/>
      <c r="C677" s="4"/>
      <c r="D677" s="4"/>
      <c r="P677">
        <f t="shared" si="995"/>
        <v>0</v>
      </c>
      <c r="Q677">
        <f t="shared" si="996"/>
        <v>0</v>
      </c>
      <c r="R677">
        <f t="shared" si="997"/>
        <v>0</v>
      </c>
      <c r="S677">
        <f t="shared" si="998"/>
        <v>0</v>
      </c>
      <c r="T677">
        <f t="shared" si="999"/>
        <v>0</v>
      </c>
    </row>
    <row r="678" spans="1:20" x14ac:dyDescent="0.25">
      <c r="A678" s="5"/>
      <c r="C678" s="4"/>
      <c r="D678" s="4"/>
      <c r="P678">
        <f t="shared" si="995"/>
        <v>0</v>
      </c>
      <c r="Q678">
        <f t="shared" si="996"/>
        <v>0</v>
      </c>
      <c r="R678">
        <f t="shared" si="997"/>
        <v>0</v>
      </c>
      <c r="S678">
        <f t="shared" si="998"/>
        <v>0</v>
      </c>
      <c r="T678">
        <f t="shared" si="999"/>
        <v>0</v>
      </c>
    </row>
    <row r="679" spans="1:20" x14ac:dyDescent="0.25">
      <c r="A679" s="5"/>
      <c r="C679" s="4"/>
      <c r="D679" s="4"/>
      <c r="P679">
        <f t="shared" si="995"/>
        <v>0</v>
      </c>
      <c r="Q679">
        <f t="shared" si="996"/>
        <v>0</v>
      </c>
      <c r="R679">
        <f t="shared" si="997"/>
        <v>0</v>
      </c>
      <c r="S679">
        <f t="shared" si="998"/>
        <v>0</v>
      </c>
      <c r="T679">
        <f t="shared" si="999"/>
        <v>0</v>
      </c>
    </row>
    <row r="680" spans="1:20" x14ac:dyDescent="0.25">
      <c r="A680" s="5"/>
      <c r="C680" s="4"/>
      <c r="D680" s="4"/>
      <c r="P680">
        <f t="shared" si="995"/>
        <v>0</v>
      </c>
      <c r="Q680">
        <f t="shared" si="996"/>
        <v>0</v>
      </c>
      <c r="R680">
        <f t="shared" si="997"/>
        <v>0</v>
      </c>
      <c r="S680">
        <f t="shared" si="998"/>
        <v>0</v>
      </c>
      <c r="T680">
        <f t="shared" si="999"/>
        <v>0</v>
      </c>
    </row>
    <row r="681" spans="1:20" x14ac:dyDescent="0.25">
      <c r="A681" s="5"/>
      <c r="C681" s="4"/>
      <c r="D681" s="4"/>
      <c r="P681">
        <f t="shared" si="995"/>
        <v>0</v>
      </c>
      <c r="Q681">
        <f t="shared" si="996"/>
        <v>0</v>
      </c>
      <c r="R681">
        <f t="shared" si="997"/>
        <v>0</v>
      </c>
      <c r="S681">
        <f t="shared" si="998"/>
        <v>0</v>
      </c>
      <c r="T681">
        <f t="shared" si="999"/>
        <v>0</v>
      </c>
    </row>
    <row r="682" spans="1:20" x14ac:dyDescent="0.25">
      <c r="A682" s="5"/>
      <c r="C682" s="4"/>
      <c r="D682" s="4"/>
      <c r="P682">
        <f t="shared" si="995"/>
        <v>0</v>
      </c>
      <c r="Q682">
        <f t="shared" si="996"/>
        <v>0</v>
      </c>
      <c r="R682">
        <f t="shared" si="997"/>
        <v>0</v>
      </c>
      <c r="S682">
        <f t="shared" si="998"/>
        <v>0</v>
      </c>
      <c r="T682">
        <f t="shared" si="999"/>
        <v>0</v>
      </c>
    </row>
    <row r="683" spans="1:20" x14ac:dyDescent="0.25">
      <c r="A683" s="5"/>
      <c r="C683" s="4"/>
      <c r="D683" s="4"/>
      <c r="P683">
        <f t="shared" si="995"/>
        <v>0</v>
      </c>
      <c r="Q683">
        <f t="shared" si="996"/>
        <v>0</v>
      </c>
      <c r="R683">
        <f t="shared" si="997"/>
        <v>0</v>
      </c>
      <c r="S683">
        <f t="shared" si="998"/>
        <v>0</v>
      </c>
      <c r="T683">
        <f t="shared" si="999"/>
        <v>0</v>
      </c>
    </row>
    <row r="684" spans="1:20" x14ac:dyDescent="0.25">
      <c r="A684" s="5"/>
      <c r="C684" s="4"/>
      <c r="D684" s="4"/>
      <c r="P684">
        <f t="shared" si="995"/>
        <v>0</v>
      </c>
      <c r="Q684">
        <f t="shared" si="996"/>
        <v>0</v>
      </c>
      <c r="R684">
        <f t="shared" si="997"/>
        <v>0</v>
      </c>
      <c r="S684">
        <f t="shared" si="998"/>
        <v>0</v>
      </c>
      <c r="T684">
        <f t="shared" si="999"/>
        <v>0</v>
      </c>
    </row>
    <row r="685" spans="1:20" x14ac:dyDescent="0.25">
      <c r="A685" s="5"/>
      <c r="C685" s="4"/>
      <c r="D685" s="4"/>
      <c r="P685">
        <f t="shared" si="995"/>
        <v>0</v>
      </c>
      <c r="Q685">
        <f t="shared" si="996"/>
        <v>0</v>
      </c>
      <c r="R685">
        <f t="shared" si="997"/>
        <v>0</v>
      </c>
      <c r="S685">
        <f t="shared" si="998"/>
        <v>0</v>
      </c>
      <c r="T685">
        <f t="shared" si="999"/>
        <v>0</v>
      </c>
    </row>
    <row r="686" spans="1:20" x14ac:dyDescent="0.25">
      <c r="A686" s="5"/>
      <c r="C686" s="4"/>
      <c r="D686" s="4"/>
      <c r="P686">
        <f t="shared" si="995"/>
        <v>0</v>
      </c>
      <c r="Q686">
        <f t="shared" si="996"/>
        <v>0</v>
      </c>
      <c r="R686">
        <f t="shared" si="997"/>
        <v>0</v>
      </c>
      <c r="S686">
        <f t="shared" si="998"/>
        <v>0</v>
      </c>
      <c r="T686">
        <f t="shared" si="999"/>
        <v>0</v>
      </c>
    </row>
    <row r="687" spans="1:20" x14ac:dyDescent="0.25">
      <c r="A687" s="5"/>
      <c r="C687" s="4"/>
      <c r="D687" s="4"/>
      <c r="P687">
        <f t="shared" si="995"/>
        <v>0</v>
      </c>
      <c r="Q687">
        <f t="shared" si="996"/>
        <v>0</v>
      </c>
      <c r="R687">
        <f t="shared" si="997"/>
        <v>0</v>
      </c>
      <c r="S687">
        <f t="shared" si="998"/>
        <v>0</v>
      </c>
      <c r="T687">
        <f t="shared" si="999"/>
        <v>0</v>
      </c>
    </row>
    <row r="688" spans="1:20" x14ac:dyDescent="0.25">
      <c r="A688" s="5"/>
      <c r="C688" s="4"/>
      <c r="D688" s="4"/>
      <c r="P688">
        <f t="shared" si="995"/>
        <v>0</v>
      </c>
      <c r="Q688">
        <f t="shared" si="996"/>
        <v>0</v>
      </c>
      <c r="R688">
        <f t="shared" si="997"/>
        <v>0</v>
      </c>
      <c r="S688">
        <f t="shared" si="998"/>
        <v>0</v>
      </c>
      <c r="T688">
        <f t="shared" si="999"/>
        <v>0</v>
      </c>
    </row>
    <row r="689" spans="1:20" x14ac:dyDescent="0.25">
      <c r="A689" s="5"/>
      <c r="C689" s="4"/>
      <c r="D689" s="4"/>
      <c r="P689">
        <f t="shared" si="995"/>
        <v>0</v>
      </c>
      <c r="Q689">
        <f t="shared" si="996"/>
        <v>0</v>
      </c>
      <c r="R689">
        <f t="shared" si="997"/>
        <v>0</v>
      </c>
      <c r="S689">
        <f t="shared" si="998"/>
        <v>0</v>
      </c>
      <c r="T689">
        <f t="shared" si="999"/>
        <v>0</v>
      </c>
    </row>
    <row r="690" spans="1:20" x14ac:dyDescent="0.25">
      <c r="A690" s="5"/>
      <c r="C690" s="4"/>
      <c r="D690" s="4"/>
      <c r="P690">
        <f t="shared" si="995"/>
        <v>0</v>
      </c>
      <c r="Q690">
        <f t="shared" si="996"/>
        <v>0</v>
      </c>
      <c r="R690">
        <f t="shared" si="997"/>
        <v>0</v>
      </c>
      <c r="S690">
        <f t="shared" si="998"/>
        <v>0</v>
      </c>
      <c r="T690">
        <f t="shared" si="999"/>
        <v>0</v>
      </c>
    </row>
    <row r="691" spans="1:20" x14ac:dyDescent="0.25">
      <c r="A691" s="5"/>
      <c r="C691" s="4"/>
      <c r="D691" s="4"/>
      <c r="P691">
        <f t="shared" si="995"/>
        <v>0</v>
      </c>
      <c r="Q691">
        <f t="shared" si="996"/>
        <v>0</v>
      </c>
      <c r="R691">
        <f t="shared" si="997"/>
        <v>0</v>
      </c>
      <c r="S691">
        <f t="shared" si="998"/>
        <v>0</v>
      </c>
      <c r="T691">
        <f t="shared" si="999"/>
        <v>0</v>
      </c>
    </row>
    <row r="692" spans="1:20" x14ac:dyDescent="0.25">
      <c r="A692" s="5"/>
      <c r="C692" s="4"/>
      <c r="D692" s="4"/>
      <c r="P692">
        <f t="shared" si="995"/>
        <v>0</v>
      </c>
      <c r="Q692">
        <f t="shared" si="996"/>
        <v>0</v>
      </c>
      <c r="R692">
        <f t="shared" si="997"/>
        <v>0</v>
      </c>
      <c r="S692">
        <f t="shared" si="998"/>
        <v>0</v>
      </c>
      <c r="T692">
        <f t="shared" si="999"/>
        <v>0</v>
      </c>
    </row>
    <row r="693" spans="1:20" x14ac:dyDescent="0.25">
      <c r="A693" s="5"/>
      <c r="C693" s="4"/>
      <c r="D693" s="4"/>
      <c r="P693">
        <f t="shared" si="995"/>
        <v>0</v>
      </c>
      <c r="Q693">
        <f t="shared" si="996"/>
        <v>0</v>
      </c>
      <c r="R693">
        <f t="shared" si="997"/>
        <v>0</v>
      </c>
      <c r="S693">
        <f t="shared" si="998"/>
        <v>0</v>
      </c>
      <c r="T693">
        <f t="shared" si="999"/>
        <v>0</v>
      </c>
    </row>
    <row r="694" spans="1:20" x14ac:dyDescent="0.25">
      <c r="A694" s="5"/>
      <c r="C694" s="4"/>
      <c r="D694" s="4"/>
      <c r="P694">
        <f t="shared" si="995"/>
        <v>0</v>
      </c>
      <c r="Q694">
        <f t="shared" si="996"/>
        <v>0</v>
      </c>
      <c r="R694">
        <f t="shared" si="997"/>
        <v>0</v>
      </c>
      <c r="S694">
        <f t="shared" si="998"/>
        <v>0</v>
      </c>
      <c r="T694">
        <f t="shared" si="999"/>
        <v>0</v>
      </c>
    </row>
    <row r="695" spans="1:20" x14ac:dyDescent="0.25">
      <c r="A695" s="5"/>
      <c r="C695" s="4"/>
      <c r="D695" s="4"/>
      <c r="P695">
        <f t="shared" si="995"/>
        <v>0</v>
      </c>
      <c r="Q695">
        <f t="shared" si="996"/>
        <v>0</v>
      </c>
      <c r="R695">
        <f t="shared" si="997"/>
        <v>0</v>
      </c>
      <c r="S695">
        <f t="shared" si="998"/>
        <v>0</v>
      </c>
      <c r="T695">
        <f t="shared" si="999"/>
        <v>0</v>
      </c>
    </row>
    <row r="696" spans="1:20" x14ac:dyDescent="0.25">
      <c r="A696" s="5"/>
      <c r="C696" s="4"/>
      <c r="D696" s="4"/>
      <c r="P696">
        <f t="shared" si="995"/>
        <v>0</v>
      </c>
      <c r="Q696">
        <f t="shared" si="996"/>
        <v>0</v>
      </c>
      <c r="R696">
        <f t="shared" si="997"/>
        <v>0</v>
      </c>
      <c r="S696">
        <f t="shared" si="998"/>
        <v>0</v>
      </c>
      <c r="T696">
        <f t="shared" si="999"/>
        <v>0</v>
      </c>
    </row>
    <row r="697" spans="1:20" x14ac:dyDescent="0.25">
      <c r="A697" s="5"/>
      <c r="C697" s="4"/>
      <c r="D697" s="4"/>
      <c r="P697">
        <f t="shared" si="995"/>
        <v>0</v>
      </c>
      <c r="Q697">
        <f t="shared" si="996"/>
        <v>0</v>
      </c>
      <c r="R697">
        <f t="shared" si="997"/>
        <v>0</v>
      </c>
      <c r="S697">
        <f t="shared" si="998"/>
        <v>0</v>
      </c>
      <c r="T697">
        <f t="shared" si="999"/>
        <v>0</v>
      </c>
    </row>
    <row r="698" spans="1:20" x14ac:dyDescent="0.25">
      <c r="A698" s="5"/>
      <c r="C698" s="4"/>
      <c r="D698" s="4"/>
      <c r="P698">
        <f t="shared" si="995"/>
        <v>0</v>
      </c>
      <c r="Q698">
        <f t="shared" si="996"/>
        <v>0</v>
      </c>
      <c r="R698">
        <f t="shared" si="997"/>
        <v>0</v>
      </c>
      <c r="S698">
        <f t="shared" si="998"/>
        <v>0</v>
      </c>
      <c r="T698">
        <f t="shared" si="999"/>
        <v>0</v>
      </c>
    </row>
    <row r="699" spans="1:20" x14ac:dyDescent="0.25">
      <c r="A699" s="5"/>
      <c r="C699" s="4"/>
      <c r="D699" s="4"/>
      <c r="P699">
        <f t="shared" si="995"/>
        <v>0</v>
      </c>
      <c r="Q699">
        <f t="shared" si="996"/>
        <v>0</v>
      </c>
      <c r="R699">
        <f t="shared" si="997"/>
        <v>0</v>
      </c>
      <c r="S699">
        <f t="shared" si="998"/>
        <v>0</v>
      </c>
      <c r="T699">
        <f t="shared" si="999"/>
        <v>0</v>
      </c>
    </row>
    <row r="700" spans="1:20" x14ac:dyDescent="0.25">
      <c r="A700" s="5"/>
      <c r="C700" s="4"/>
      <c r="D700" s="4"/>
      <c r="P700">
        <f t="shared" si="995"/>
        <v>0</v>
      </c>
      <c r="Q700">
        <f t="shared" si="996"/>
        <v>0</v>
      </c>
      <c r="R700">
        <f t="shared" si="997"/>
        <v>0</v>
      </c>
      <c r="S700">
        <f t="shared" si="998"/>
        <v>0</v>
      </c>
      <c r="T700">
        <f t="shared" si="999"/>
        <v>0</v>
      </c>
    </row>
    <row r="701" spans="1:20" x14ac:dyDescent="0.25">
      <c r="A701" s="5"/>
      <c r="C701" s="4"/>
      <c r="D701" s="4"/>
      <c r="P701">
        <f t="shared" si="995"/>
        <v>0</v>
      </c>
      <c r="Q701">
        <f t="shared" si="996"/>
        <v>0</v>
      </c>
      <c r="R701">
        <f t="shared" si="997"/>
        <v>0</v>
      </c>
      <c r="S701">
        <f t="shared" si="998"/>
        <v>0</v>
      </c>
      <c r="T701">
        <f t="shared" si="999"/>
        <v>0</v>
      </c>
    </row>
    <row r="702" spans="1:20" x14ac:dyDescent="0.25">
      <c r="A702" s="5"/>
      <c r="C702" s="4"/>
      <c r="D702" s="4"/>
      <c r="P702">
        <f t="shared" si="995"/>
        <v>0</v>
      </c>
      <c r="Q702">
        <f t="shared" si="996"/>
        <v>0</v>
      </c>
      <c r="R702">
        <f t="shared" si="997"/>
        <v>0</v>
      </c>
      <c r="S702">
        <f t="shared" si="998"/>
        <v>0</v>
      </c>
      <c r="T702">
        <f t="shared" si="999"/>
        <v>0</v>
      </c>
    </row>
    <row r="703" spans="1:20" x14ac:dyDescent="0.25">
      <c r="A703" s="5"/>
      <c r="C703" s="4"/>
      <c r="D703" s="4"/>
      <c r="P703">
        <f t="shared" si="995"/>
        <v>0</v>
      </c>
      <c r="Q703">
        <f t="shared" si="996"/>
        <v>0</v>
      </c>
      <c r="R703">
        <f t="shared" si="997"/>
        <v>0</v>
      </c>
      <c r="S703">
        <f t="shared" si="998"/>
        <v>0</v>
      </c>
      <c r="T703">
        <f t="shared" si="999"/>
        <v>0</v>
      </c>
    </row>
    <row r="704" spans="1:20" x14ac:dyDescent="0.25">
      <c r="A704" s="5"/>
      <c r="C704" s="4"/>
      <c r="D704" s="4"/>
      <c r="P704">
        <f t="shared" si="995"/>
        <v>0</v>
      </c>
      <c r="Q704">
        <f t="shared" si="996"/>
        <v>0</v>
      </c>
      <c r="R704">
        <f t="shared" si="997"/>
        <v>0</v>
      </c>
      <c r="S704">
        <f t="shared" si="998"/>
        <v>0</v>
      </c>
      <c r="T704">
        <f t="shared" si="999"/>
        <v>0</v>
      </c>
    </row>
    <row r="705" spans="1:20" x14ac:dyDescent="0.25">
      <c r="A705" s="5"/>
      <c r="C705" s="4"/>
      <c r="D705" s="4"/>
      <c r="P705">
        <f t="shared" si="995"/>
        <v>0</v>
      </c>
      <c r="Q705">
        <f t="shared" si="996"/>
        <v>0</v>
      </c>
      <c r="R705">
        <f t="shared" si="997"/>
        <v>0</v>
      </c>
      <c r="S705">
        <f t="shared" si="998"/>
        <v>0</v>
      </c>
      <c r="T705">
        <f t="shared" si="999"/>
        <v>0</v>
      </c>
    </row>
    <row r="706" spans="1:20" x14ac:dyDescent="0.25">
      <c r="A706" s="5"/>
      <c r="C706" s="4"/>
      <c r="D706" s="4"/>
      <c r="P706">
        <f t="shared" si="995"/>
        <v>0</v>
      </c>
      <c r="Q706">
        <f t="shared" si="996"/>
        <v>0</v>
      </c>
      <c r="R706">
        <f t="shared" si="997"/>
        <v>0</v>
      </c>
      <c r="S706">
        <f t="shared" si="998"/>
        <v>0</v>
      </c>
      <c r="T706">
        <f t="shared" si="999"/>
        <v>0</v>
      </c>
    </row>
    <row r="707" spans="1:20" x14ac:dyDescent="0.25">
      <c r="A707" s="5"/>
      <c r="C707" s="4"/>
      <c r="D707" s="4"/>
      <c r="P707">
        <f t="shared" si="995"/>
        <v>0</v>
      </c>
      <c r="Q707">
        <f t="shared" si="996"/>
        <v>0</v>
      </c>
      <c r="R707">
        <f t="shared" si="997"/>
        <v>0</v>
      </c>
      <c r="S707">
        <f t="shared" si="998"/>
        <v>0</v>
      </c>
      <c r="T707">
        <f t="shared" si="999"/>
        <v>0</v>
      </c>
    </row>
    <row r="708" spans="1:20" x14ac:dyDescent="0.25">
      <c r="A708" s="5"/>
      <c r="C708" s="4"/>
      <c r="D708" s="4"/>
      <c r="P708">
        <f t="shared" si="995"/>
        <v>0</v>
      </c>
      <c r="Q708">
        <f t="shared" si="996"/>
        <v>0</v>
      </c>
      <c r="R708">
        <f t="shared" si="997"/>
        <v>0</v>
      </c>
      <c r="S708">
        <f t="shared" si="998"/>
        <v>0</v>
      </c>
      <c r="T708">
        <f t="shared" si="999"/>
        <v>0</v>
      </c>
    </row>
    <row r="709" spans="1:20" x14ac:dyDescent="0.25">
      <c r="A709" s="5"/>
      <c r="C709" s="4"/>
      <c r="D709" s="4"/>
      <c r="P709">
        <f t="shared" si="995"/>
        <v>0</v>
      </c>
      <c r="Q709">
        <f t="shared" si="996"/>
        <v>0</v>
      </c>
      <c r="R709">
        <f t="shared" si="997"/>
        <v>0</v>
      </c>
      <c r="S709">
        <f t="shared" si="998"/>
        <v>0</v>
      </c>
      <c r="T709">
        <f t="shared" si="999"/>
        <v>0</v>
      </c>
    </row>
    <row r="710" spans="1:20" x14ac:dyDescent="0.25">
      <c r="A710" s="5"/>
      <c r="C710" s="4"/>
      <c r="D710" s="4"/>
      <c r="P710">
        <f t="shared" ref="P710:P766" si="1000">IF(C710=D710,0,((E710-D710)-(C710-E710))/(C710-D710))</f>
        <v>0</v>
      </c>
      <c r="Q710">
        <f t="shared" ref="Q710:Q766" si="1001">F710*P710</f>
        <v>0</v>
      </c>
      <c r="R710">
        <f t="shared" ref="R710:R766" si="1002">R711+Q710</f>
        <v>0</v>
      </c>
      <c r="S710">
        <f t="shared" ref="S710:S766" si="1003">R710/100000</f>
        <v>0</v>
      </c>
      <c r="T710">
        <f t="shared" ref="T710:T766" si="1004">S710/1000</f>
        <v>0</v>
      </c>
    </row>
    <row r="711" spans="1:20" x14ac:dyDescent="0.25">
      <c r="A711" s="5"/>
      <c r="C711" s="4"/>
      <c r="D711" s="4"/>
      <c r="P711">
        <f t="shared" si="1000"/>
        <v>0</v>
      </c>
      <c r="Q711">
        <f t="shared" si="1001"/>
        <v>0</v>
      </c>
      <c r="R711">
        <f t="shared" si="1002"/>
        <v>0</v>
      </c>
      <c r="S711">
        <f t="shared" si="1003"/>
        <v>0</v>
      </c>
      <c r="T711">
        <f t="shared" si="1004"/>
        <v>0</v>
      </c>
    </row>
    <row r="712" spans="1:20" x14ac:dyDescent="0.25">
      <c r="A712" s="5"/>
      <c r="C712" s="4"/>
      <c r="D712" s="4"/>
      <c r="P712">
        <f t="shared" si="1000"/>
        <v>0</v>
      </c>
      <c r="Q712">
        <f t="shared" si="1001"/>
        <v>0</v>
      </c>
      <c r="R712">
        <f t="shared" si="1002"/>
        <v>0</v>
      </c>
      <c r="S712">
        <f t="shared" si="1003"/>
        <v>0</v>
      </c>
      <c r="T712">
        <f t="shared" si="1004"/>
        <v>0</v>
      </c>
    </row>
    <row r="713" spans="1:20" x14ac:dyDescent="0.25">
      <c r="A713" s="5"/>
      <c r="C713" s="4"/>
      <c r="D713" s="4"/>
      <c r="P713">
        <f t="shared" si="1000"/>
        <v>0</v>
      </c>
      <c r="Q713">
        <f t="shared" si="1001"/>
        <v>0</v>
      </c>
      <c r="R713">
        <f t="shared" si="1002"/>
        <v>0</v>
      </c>
      <c r="S713">
        <f t="shared" si="1003"/>
        <v>0</v>
      </c>
      <c r="T713">
        <f t="shared" si="1004"/>
        <v>0</v>
      </c>
    </row>
    <row r="714" spans="1:20" x14ac:dyDescent="0.25">
      <c r="A714" s="5"/>
      <c r="C714" s="4"/>
      <c r="D714" s="4"/>
      <c r="P714">
        <f t="shared" si="1000"/>
        <v>0</v>
      </c>
      <c r="Q714">
        <f t="shared" si="1001"/>
        <v>0</v>
      </c>
      <c r="R714">
        <f t="shared" si="1002"/>
        <v>0</v>
      </c>
      <c r="S714">
        <f t="shared" si="1003"/>
        <v>0</v>
      </c>
      <c r="T714">
        <f t="shared" si="1004"/>
        <v>0</v>
      </c>
    </row>
    <row r="715" spans="1:20" x14ac:dyDescent="0.25">
      <c r="A715" s="5"/>
      <c r="C715" s="4"/>
      <c r="D715" s="4"/>
      <c r="P715">
        <f t="shared" si="1000"/>
        <v>0</v>
      </c>
      <c r="Q715">
        <f t="shared" si="1001"/>
        <v>0</v>
      </c>
      <c r="R715">
        <f t="shared" si="1002"/>
        <v>0</v>
      </c>
      <c r="S715">
        <f t="shared" si="1003"/>
        <v>0</v>
      </c>
      <c r="T715">
        <f t="shared" si="1004"/>
        <v>0</v>
      </c>
    </row>
    <row r="716" spans="1:20" x14ac:dyDescent="0.25">
      <c r="A716" s="5"/>
      <c r="C716" s="4"/>
      <c r="D716" s="4"/>
      <c r="P716">
        <f t="shared" si="1000"/>
        <v>0</v>
      </c>
      <c r="Q716">
        <f t="shared" si="1001"/>
        <v>0</v>
      </c>
      <c r="R716">
        <f t="shared" si="1002"/>
        <v>0</v>
      </c>
      <c r="S716">
        <f t="shared" si="1003"/>
        <v>0</v>
      </c>
      <c r="T716">
        <f t="shared" si="1004"/>
        <v>0</v>
      </c>
    </row>
    <row r="717" spans="1:20" x14ac:dyDescent="0.25">
      <c r="A717" s="5"/>
      <c r="C717" s="4"/>
      <c r="D717" s="4"/>
      <c r="P717">
        <f t="shared" si="1000"/>
        <v>0</v>
      </c>
      <c r="Q717">
        <f t="shared" si="1001"/>
        <v>0</v>
      </c>
      <c r="R717">
        <f t="shared" si="1002"/>
        <v>0</v>
      </c>
      <c r="S717">
        <f t="shared" si="1003"/>
        <v>0</v>
      </c>
      <c r="T717">
        <f t="shared" si="1004"/>
        <v>0</v>
      </c>
    </row>
    <row r="718" spans="1:20" x14ac:dyDescent="0.25">
      <c r="A718" s="5"/>
      <c r="C718" s="4"/>
      <c r="D718" s="4"/>
      <c r="P718">
        <f t="shared" si="1000"/>
        <v>0</v>
      </c>
      <c r="Q718">
        <f t="shared" si="1001"/>
        <v>0</v>
      </c>
      <c r="R718">
        <f t="shared" si="1002"/>
        <v>0</v>
      </c>
      <c r="S718">
        <f t="shared" si="1003"/>
        <v>0</v>
      </c>
      <c r="T718">
        <f t="shared" si="1004"/>
        <v>0</v>
      </c>
    </row>
    <row r="719" spans="1:20" x14ac:dyDescent="0.25">
      <c r="A719" s="5"/>
      <c r="C719" s="4"/>
      <c r="D719" s="4"/>
      <c r="P719">
        <f t="shared" si="1000"/>
        <v>0</v>
      </c>
      <c r="Q719">
        <f t="shared" si="1001"/>
        <v>0</v>
      </c>
      <c r="R719">
        <f t="shared" si="1002"/>
        <v>0</v>
      </c>
      <c r="S719">
        <f t="shared" si="1003"/>
        <v>0</v>
      </c>
      <c r="T719">
        <f t="shared" si="1004"/>
        <v>0</v>
      </c>
    </row>
    <row r="720" spans="1:20" x14ac:dyDescent="0.25">
      <c r="A720" s="5"/>
      <c r="C720" s="4"/>
      <c r="D720" s="4"/>
      <c r="P720">
        <f t="shared" si="1000"/>
        <v>0</v>
      </c>
      <c r="Q720">
        <f t="shared" si="1001"/>
        <v>0</v>
      </c>
      <c r="R720">
        <f t="shared" si="1002"/>
        <v>0</v>
      </c>
      <c r="S720">
        <f t="shared" si="1003"/>
        <v>0</v>
      </c>
      <c r="T720">
        <f t="shared" si="1004"/>
        <v>0</v>
      </c>
    </row>
    <row r="721" spans="1:20" x14ac:dyDescent="0.25">
      <c r="A721" s="5"/>
      <c r="C721" s="4"/>
      <c r="D721" s="4"/>
      <c r="P721">
        <f t="shared" si="1000"/>
        <v>0</v>
      </c>
      <c r="Q721">
        <f t="shared" si="1001"/>
        <v>0</v>
      </c>
      <c r="R721">
        <f t="shared" si="1002"/>
        <v>0</v>
      </c>
      <c r="S721">
        <f t="shared" si="1003"/>
        <v>0</v>
      </c>
      <c r="T721">
        <f t="shared" si="1004"/>
        <v>0</v>
      </c>
    </row>
    <row r="722" spans="1:20" x14ac:dyDescent="0.25">
      <c r="A722" s="5"/>
      <c r="C722" s="4"/>
      <c r="D722" s="4"/>
      <c r="P722">
        <f t="shared" si="1000"/>
        <v>0</v>
      </c>
      <c r="Q722">
        <f t="shared" si="1001"/>
        <v>0</v>
      </c>
      <c r="R722">
        <f t="shared" si="1002"/>
        <v>0</v>
      </c>
      <c r="S722">
        <f t="shared" si="1003"/>
        <v>0</v>
      </c>
      <c r="T722">
        <f t="shared" si="1004"/>
        <v>0</v>
      </c>
    </row>
    <row r="723" spans="1:20" x14ac:dyDescent="0.25">
      <c r="A723" s="5"/>
      <c r="C723" s="4"/>
      <c r="D723" s="4"/>
      <c r="P723">
        <f t="shared" si="1000"/>
        <v>0</v>
      </c>
      <c r="Q723">
        <f t="shared" si="1001"/>
        <v>0</v>
      </c>
      <c r="R723">
        <f t="shared" si="1002"/>
        <v>0</v>
      </c>
      <c r="S723">
        <f t="shared" si="1003"/>
        <v>0</v>
      </c>
      <c r="T723">
        <f t="shared" si="1004"/>
        <v>0</v>
      </c>
    </row>
    <row r="724" spans="1:20" x14ac:dyDescent="0.25">
      <c r="A724" s="5"/>
      <c r="C724" s="4"/>
      <c r="D724" s="4"/>
      <c r="P724">
        <f t="shared" si="1000"/>
        <v>0</v>
      </c>
      <c r="Q724">
        <f t="shared" si="1001"/>
        <v>0</v>
      </c>
      <c r="R724">
        <f t="shared" si="1002"/>
        <v>0</v>
      </c>
      <c r="S724">
        <f t="shared" si="1003"/>
        <v>0</v>
      </c>
      <c r="T724">
        <f t="shared" si="1004"/>
        <v>0</v>
      </c>
    </row>
    <row r="725" spans="1:20" x14ac:dyDescent="0.25">
      <c r="A725" s="5"/>
      <c r="C725" s="4"/>
      <c r="D725" s="4"/>
      <c r="P725">
        <f t="shared" si="1000"/>
        <v>0</v>
      </c>
      <c r="Q725">
        <f t="shared" si="1001"/>
        <v>0</v>
      </c>
      <c r="R725">
        <f t="shared" si="1002"/>
        <v>0</v>
      </c>
      <c r="S725">
        <f t="shared" si="1003"/>
        <v>0</v>
      </c>
      <c r="T725">
        <f t="shared" si="1004"/>
        <v>0</v>
      </c>
    </row>
    <row r="726" spans="1:20" x14ac:dyDescent="0.25">
      <c r="A726" s="5"/>
      <c r="C726" s="4"/>
      <c r="D726" s="4"/>
      <c r="P726">
        <f t="shared" si="1000"/>
        <v>0</v>
      </c>
      <c r="Q726">
        <f t="shared" si="1001"/>
        <v>0</v>
      </c>
      <c r="R726">
        <f t="shared" si="1002"/>
        <v>0</v>
      </c>
      <c r="S726">
        <f t="shared" si="1003"/>
        <v>0</v>
      </c>
      <c r="T726">
        <f t="shared" si="1004"/>
        <v>0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P612" sqref="EP61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$A$611</v>
      </c>
      <c r="D111" s="1" t="str">
        <f>ADDRESS(C121-1,D121,1,1)</f>
        <v>$EP$611</v>
      </c>
      <c r="E111"/>
    </row>
    <row r="112" spans="1:5" x14ac:dyDescent="0.25">
      <c r="A112" s="7">
        <v>12164.144957890772</v>
      </c>
      <c r="C112" s="1" t="str">
        <f>ADDRESS(C121,1,1,1)</f>
        <v>$A$612</v>
      </c>
      <c r="D112" s="1" t="str">
        <f>ADDRESS(C121,D121-1,1,1)</f>
        <v>$EO$612</v>
      </c>
      <c r="E112"/>
    </row>
    <row r="113" spans="1:5" x14ac:dyDescent="0.25">
      <c r="A113" s="7">
        <v>11925.63231165762</v>
      </c>
      <c r="C113" s="1" t="str">
        <f>ADDRESS(C121+1,1,1,1)</f>
        <v>$A$613</v>
      </c>
      <c r="D113" s="1" t="str">
        <f>ADDRESS(C121-1,D121+1,1,1)</f>
        <v>$EQ$611</v>
      </c>
    </row>
    <row r="114" spans="1:5" x14ac:dyDescent="0.25">
      <c r="A114" s="7">
        <v>11691.796383978059</v>
      </c>
      <c r="C114" s="1" t="str">
        <f>ADDRESS(C121,D121,1,1)</f>
        <v>$EP$612</v>
      </c>
      <c r="D114" s="1" t="str">
        <f>ADDRESS(C121+1,D121+1,1,1)</f>
        <v>$EQ$613</v>
      </c>
    </row>
    <row r="115" spans="1:5" x14ac:dyDescent="0.25">
      <c r="A115" s="7">
        <v>11462.545474488292</v>
      </c>
      <c r="C115" s="1" t="str">
        <f>ADDRESS(C121+1,D121,1,1)</f>
        <v>$EP$613</v>
      </c>
    </row>
    <row r="116" spans="1:5" x14ac:dyDescent="0.25">
      <c r="A116" s="7">
        <v>11237.789680870874</v>
      </c>
      <c r="C116" s="1">
        <f>C117-1</f>
        <v>611</v>
      </c>
    </row>
    <row r="117" spans="1:5" x14ac:dyDescent="0.25">
      <c r="A117" s="7">
        <v>11017.440863598895</v>
      </c>
      <c r="C117" s="1">
        <f>C121</f>
        <v>612</v>
      </c>
      <c r="D117" s="1">
        <f>D121</f>
        <v>146</v>
      </c>
    </row>
    <row r="118" spans="1:5" x14ac:dyDescent="0.25">
      <c r="A118" s="7">
        <v>10801.412611371465</v>
      </c>
      <c r="C118" s="1">
        <f>C117+1</f>
        <v>613</v>
      </c>
      <c r="D118" s="1">
        <f>D117+1</f>
        <v>147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612</v>
      </c>
      <c r="D121" s="19">
        <v>146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R612</v>
      </c>
      <c r="D123" s="1" t="str">
        <f>"C"&amp;D121</f>
        <v>C146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0.60953087052827937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12" x14ac:dyDescent="0.25">
      <c r="A481" s="7">
        <v>8.1586481992426112</v>
      </c>
      <c r="B481"/>
      <c r="C481"/>
      <c r="D481"/>
      <c r="E481" t="s">
        <v>8</v>
      </c>
      <c r="F481" s="27" t="s">
        <v>7</v>
      </c>
    </row>
    <row r="482" spans="1:12" x14ac:dyDescent="0.25">
      <c r="A482" s="7">
        <v>7.9986747051398144</v>
      </c>
      <c r="B482"/>
      <c r="C482"/>
      <c r="D482"/>
      <c r="E482" t="s">
        <v>8</v>
      </c>
      <c r="F482" s="27" t="s">
        <v>7</v>
      </c>
    </row>
    <row r="483" spans="1:12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K483" s="27" t="s">
        <v>8</v>
      </c>
    </row>
    <row r="484" spans="1:12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K484" s="27" t="s">
        <v>8</v>
      </c>
      <c r="L484" s="27" t="s">
        <v>7</v>
      </c>
    </row>
    <row r="485" spans="1:12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K485" s="27" t="s">
        <v>8</v>
      </c>
      <c r="L485" s="27" t="s">
        <v>7</v>
      </c>
    </row>
    <row r="486" spans="1:12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K486" s="27" t="s">
        <v>8</v>
      </c>
      <c r="L486" s="27" t="s">
        <v>7</v>
      </c>
    </row>
    <row r="487" spans="1:12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I487" s="27" t="s">
        <v>8</v>
      </c>
      <c r="K487" s="27" t="s">
        <v>8</v>
      </c>
      <c r="L487" s="27" t="s">
        <v>7</v>
      </c>
    </row>
    <row r="488" spans="1:12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I488" s="27" t="s">
        <v>8</v>
      </c>
      <c r="J488" s="27" t="s">
        <v>7</v>
      </c>
      <c r="K488" s="27" t="s">
        <v>8</v>
      </c>
      <c r="L488" s="27" t="s">
        <v>7</v>
      </c>
    </row>
    <row r="489" spans="1:12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I489" s="27" t="s">
        <v>8</v>
      </c>
      <c r="J489" s="27" t="s">
        <v>7</v>
      </c>
      <c r="K489" s="27" t="s">
        <v>8</v>
      </c>
      <c r="L489" s="27" t="s">
        <v>7</v>
      </c>
    </row>
    <row r="490" spans="1:12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I490" s="27" t="s">
        <v>8</v>
      </c>
      <c r="J490" s="27" t="s">
        <v>7</v>
      </c>
      <c r="K490" s="27" t="s">
        <v>8</v>
      </c>
      <c r="L490" s="27" t="s">
        <v>7</v>
      </c>
    </row>
    <row r="491" spans="1:12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G491" s="27" t="s">
        <v>8</v>
      </c>
      <c r="I491" s="27" t="s">
        <v>8</v>
      </c>
      <c r="J491" s="27" t="s">
        <v>7</v>
      </c>
      <c r="K491" s="27" t="s">
        <v>8</v>
      </c>
      <c r="L491" s="27" t="s">
        <v>7</v>
      </c>
    </row>
    <row r="492" spans="1:12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G492" s="27" t="s">
        <v>8</v>
      </c>
      <c r="H492" s="27" t="s">
        <v>7</v>
      </c>
      <c r="I492" s="27" t="s">
        <v>8</v>
      </c>
      <c r="J492" s="27" t="s">
        <v>7</v>
      </c>
      <c r="K492" s="27" t="s">
        <v>8</v>
      </c>
      <c r="L492" s="27" t="s">
        <v>7</v>
      </c>
    </row>
    <row r="493" spans="1:12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G493" s="27" t="s">
        <v>8</v>
      </c>
      <c r="H493" s="27" t="s">
        <v>7</v>
      </c>
      <c r="I493" s="27" t="s">
        <v>8</v>
      </c>
      <c r="J493" s="27" t="s">
        <v>7</v>
      </c>
      <c r="K493" s="27" t="s">
        <v>8</v>
      </c>
      <c r="L493" s="27" t="s">
        <v>7</v>
      </c>
    </row>
    <row r="494" spans="1:12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G494" s="27" t="s">
        <v>8</v>
      </c>
      <c r="H494" s="27" t="s">
        <v>7</v>
      </c>
      <c r="I494" s="27" t="s">
        <v>8</v>
      </c>
      <c r="J494" s="27" t="s">
        <v>7</v>
      </c>
      <c r="K494" s="27" t="s">
        <v>8</v>
      </c>
      <c r="L494" s="27" t="s">
        <v>7</v>
      </c>
    </row>
    <row r="495" spans="1:12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G495" s="27" t="s">
        <v>8</v>
      </c>
      <c r="H495" s="27" t="s">
        <v>7</v>
      </c>
      <c r="I495" s="27" t="s">
        <v>8</v>
      </c>
      <c r="J495" s="27" t="s">
        <v>7</v>
      </c>
      <c r="K495" s="27" t="s">
        <v>8</v>
      </c>
      <c r="L495" s="27" t="s">
        <v>7</v>
      </c>
    </row>
    <row r="496" spans="1:12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G496" s="27" t="s">
        <v>8</v>
      </c>
      <c r="H496" s="27" t="s">
        <v>7</v>
      </c>
      <c r="I496" s="27" t="s">
        <v>8</v>
      </c>
      <c r="J496" s="27" t="s">
        <v>7</v>
      </c>
      <c r="K496" s="27" t="s">
        <v>8</v>
      </c>
      <c r="L496" s="27" t="s">
        <v>7</v>
      </c>
    </row>
    <row r="497" spans="1:22" x14ac:dyDescent="0.25">
      <c r="A497" s="7">
        <v>5.9431331263054545</v>
      </c>
      <c r="B497"/>
      <c r="C497"/>
      <c r="D497"/>
      <c r="E497" t="s">
        <v>8</v>
      </c>
      <c r="F497" s="27" t="s">
        <v>7</v>
      </c>
      <c r="G497" s="27" t="s">
        <v>8</v>
      </c>
      <c r="H497" s="27" t="s">
        <v>7</v>
      </c>
      <c r="I497" s="27" t="s">
        <v>8</v>
      </c>
      <c r="J497" s="27" t="s">
        <v>7</v>
      </c>
      <c r="K497" s="27" t="s">
        <v>8</v>
      </c>
      <c r="L497" s="27" t="s">
        <v>7</v>
      </c>
    </row>
    <row r="498" spans="1:22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H498" s="27" t="s">
        <v>7</v>
      </c>
      <c r="I498" s="27" t="s">
        <v>8</v>
      </c>
      <c r="J498" s="27" t="s">
        <v>7</v>
      </c>
      <c r="K498" s="27" t="s">
        <v>8</v>
      </c>
      <c r="L498" s="27" t="s">
        <v>7</v>
      </c>
    </row>
    <row r="499" spans="1:22" x14ac:dyDescent="0.25">
      <c r="A499" s="7">
        <v>5.7123540237461112</v>
      </c>
      <c r="B499"/>
      <c r="C499"/>
      <c r="D499"/>
      <c r="E499" t="s">
        <v>8</v>
      </c>
      <c r="H499" s="27" t="s">
        <v>7</v>
      </c>
      <c r="I499" s="27" t="s">
        <v>8</v>
      </c>
      <c r="J499" s="27" t="s">
        <v>7</v>
      </c>
      <c r="K499" s="27" t="s">
        <v>8</v>
      </c>
      <c r="L499" s="27" t="s">
        <v>7</v>
      </c>
    </row>
    <row r="500" spans="1:22" x14ac:dyDescent="0.25">
      <c r="A500" s="7">
        <v>5.6003470821040304</v>
      </c>
      <c r="B500"/>
      <c r="C500"/>
      <c r="D500"/>
      <c r="E500" t="s">
        <v>8</v>
      </c>
      <c r="H500" s="27" t="s">
        <v>7</v>
      </c>
      <c r="I500" s="27" t="s">
        <v>8</v>
      </c>
      <c r="J500" s="27" t="s">
        <v>7</v>
      </c>
      <c r="K500" s="27" t="s">
        <v>8</v>
      </c>
      <c r="L500" s="27" t="s">
        <v>7</v>
      </c>
    </row>
    <row r="501" spans="1:22" x14ac:dyDescent="0.25">
      <c r="A501" s="7">
        <v>5.4905363550039512</v>
      </c>
      <c r="B501"/>
      <c r="C501"/>
      <c r="D501"/>
      <c r="E501" t="s">
        <v>8</v>
      </c>
      <c r="H501" s="27" t="s">
        <v>7</v>
      </c>
      <c r="I501" s="27" t="s">
        <v>8</v>
      </c>
      <c r="J501" s="27" t="s">
        <v>7</v>
      </c>
      <c r="K501" s="27" t="s">
        <v>8</v>
      </c>
      <c r="L501" s="27" t="s">
        <v>7</v>
      </c>
    </row>
    <row r="502" spans="1:22" x14ac:dyDescent="0.25">
      <c r="A502" s="7">
        <v>5.3828787794156385</v>
      </c>
      <c r="B502"/>
      <c r="C502"/>
      <c r="D502"/>
      <c r="E502" t="s">
        <v>8</v>
      </c>
      <c r="H502" s="27" t="s">
        <v>7</v>
      </c>
      <c r="I502" s="27" t="s">
        <v>8</v>
      </c>
      <c r="J502" s="27" t="s">
        <v>7</v>
      </c>
      <c r="K502" s="27" t="s">
        <v>8</v>
      </c>
      <c r="L502" s="27" t="s">
        <v>7</v>
      </c>
      <c r="M502" s="27" t="s">
        <v>8</v>
      </c>
    </row>
    <row r="503" spans="1:22" x14ac:dyDescent="0.25">
      <c r="A503" s="7">
        <v>5.2773321366819985</v>
      </c>
      <c r="B503"/>
      <c r="C503"/>
      <c r="D503"/>
      <c r="E503" t="s">
        <v>8</v>
      </c>
      <c r="H503" s="27" t="s">
        <v>7</v>
      </c>
      <c r="I503" s="27" t="s">
        <v>8</v>
      </c>
      <c r="J503" s="27" t="s">
        <v>7</v>
      </c>
      <c r="K503" s="27" t="s">
        <v>8</v>
      </c>
      <c r="L503" s="27" t="s">
        <v>7</v>
      </c>
      <c r="M503" s="27" t="s">
        <v>8</v>
      </c>
      <c r="N503" s="27" t="s">
        <v>7</v>
      </c>
    </row>
    <row r="504" spans="1:22" x14ac:dyDescent="0.25">
      <c r="A504" s="7">
        <v>5.1738550359627435</v>
      </c>
      <c r="B504"/>
      <c r="C504"/>
      <c r="D504"/>
      <c r="E504" t="s">
        <v>8</v>
      </c>
      <c r="H504" s="27" t="s">
        <v>7</v>
      </c>
      <c r="I504" s="27" t="s">
        <v>8</v>
      </c>
      <c r="J504" s="27" t="s">
        <v>7</v>
      </c>
      <c r="K504" s="27" t="s">
        <v>8</v>
      </c>
      <c r="L504" s="27" t="s">
        <v>7</v>
      </c>
      <c r="M504" s="27" t="s">
        <v>8</v>
      </c>
      <c r="N504" s="27" t="s">
        <v>7</v>
      </c>
    </row>
    <row r="505" spans="1:22" x14ac:dyDescent="0.25">
      <c r="A505" s="7">
        <v>5.07240689800269</v>
      </c>
      <c r="B505"/>
      <c r="C505"/>
      <c r="D505"/>
      <c r="E505" t="s">
        <v>8</v>
      </c>
      <c r="H505" s="27" t="s">
        <v>7</v>
      </c>
      <c r="J505" s="27" t="s">
        <v>7</v>
      </c>
      <c r="K505" s="27" t="s">
        <v>8</v>
      </c>
      <c r="L505" s="27" t="s">
        <v>7</v>
      </c>
      <c r="M505" s="27" t="s">
        <v>8</v>
      </c>
      <c r="N505" s="27" t="s">
        <v>7</v>
      </c>
      <c r="Q505" s="27" t="s">
        <v>8</v>
      </c>
    </row>
    <row r="506" spans="1:22" x14ac:dyDescent="0.25">
      <c r="A506" s="7">
        <v>4.9729479392183231</v>
      </c>
      <c r="B506"/>
      <c r="C506"/>
      <c r="D506"/>
      <c r="E506" t="s">
        <v>8</v>
      </c>
      <c r="J506" s="27" t="s">
        <v>7</v>
      </c>
      <c r="K506" s="27" t="s">
        <v>8</v>
      </c>
      <c r="L506" s="27" t="s">
        <v>7</v>
      </c>
      <c r="M506" s="27" t="s">
        <v>8</v>
      </c>
      <c r="N506" s="27" t="s">
        <v>7</v>
      </c>
      <c r="Q506" s="27" t="s">
        <v>8</v>
      </c>
      <c r="R506" s="27" t="s">
        <v>7</v>
      </c>
    </row>
    <row r="507" spans="1:22" x14ac:dyDescent="0.25">
      <c r="A507" s="7">
        <v>4.8754391560963954</v>
      </c>
      <c r="B507"/>
      <c r="C507"/>
      <c r="D507"/>
      <c r="E507" t="s">
        <v>8</v>
      </c>
      <c r="J507" s="27" t="s">
        <v>7</v>
      </c>
      <c r="K507" s="27" t="s">
        <v>8</v>
      </c>
      <c r="L507" s="27" t="s">
        <v>7</v>
      </c>
      <c r="M507" s="27" t="s">
        <v>8</v>
      </c>
      <c r="N507" s="27" t="s">
        <v>7</v>
      </c>
      <c r="Q507" s="27" t="s">
        <v>8</v>
      </c>
      <c r="R507" s="27" t="s">
        <v>7</v>
      </c>
    </row>
    <row r="508" spans="1:22" x14ac:dyDescent="0.25">
      <c r="A508" s="7">
        <v>4.7798423098984264</v>
      </c>
      <c r="B508"/>
      <c r="C508"/>
      <c r="D508"/>
      <c r="E508" t="s">
        <v>8</v>
      </c>
      <c r="J508" s="27" t="s">
        <v>7</v>
      </c>
      <c r="K508" s="27" t="s">
        <v>8</v>
      </c>
      <c r="L508" s="27" t="s">
        <v>7</v>
      </c>
      <c r="M508" s="27" t="s">
        <v>8</v>
      </c>
      <c r="N508" s="27" t="s">
        <v>7</v>
      </c>
      <c r="Q508" s="27" t="s">
        <v>8</v>
      </c>
      <c r="R508" s="27" t="s">
        <v>7</v>
      </c>
    </row>
    <row r="509" spans="1:22" x14ac:dyDescent="0.25">
      <c r="A509" s="7">
        <v>4.6861199116651235</v>
      </c>
      <c r="B509"/>
      <c r="C509"/>
      <c r="D509"/>
      <c r="E509" t="s">
        <v>8</v>
      </c>
      <c r="J509" s="27" t="s">
        <v>7</v>
      </c>
      <c r="K509" s="27" t="s">
        <v>8</v>
      </c>
      <c r="L509" s="27" t="s">
        <v>7</v>
      </c>
      <c r="M509" s="27" t="s">
        <v>8</v>
      </c>
      <c r="N509" s="27" t="s">
        <v>7</v>
      </c>
      <c r="Q509" s="27" t="s">
        <v>8</v>
      </c>
      <c r="R509" s="27" t="s">
        <v>7</v>
      </c>
    </row>
    <row r="510" spans="1:22" x14ac:dyDescent="0.25">
      <c r="A510" s="7">
        <v>4.5942352075148269</v>
      </c>
      <c r="B510"/>
      <c r="C510"/>
      <c r="D510"/>
      <c r="E510" t="s">
        <v>8</v>
      </c>
      <c r="J510" s="27" t="s">
        <v>7</v>
      </c>
      <c r="K510" s="27" t="s">
        <v>8</v>
      </c>
      <c r="L510" s="27" t="s">
        <v>7</v>
      </c>
      <c r="M510" s="27" t="s">
        <v>8</v>
      </c>
      <c r="N510" s="27" t="s">
        <v>7</v>
      </c>
      <c r="Q510" s="27" t="s">
        <v>8</v>
      </c>
      <c r="R510" s="27" t="s">
        <v>7</v>
      </c>
      <c r="U510" s="27" t="s">
        <v>8</v>
      </c>
    </row>
    <row r="511" spans="1:22" x14ac:dyDescent="0.25">
      <c r="A511" s="7">
        <v>4.5041521642302227</v>
      </c>
      <c r="B511"/>
      <c r="C511"/>
      <c r="D511"/>
      <c r="E511" t="s">
        <v>8</v>
      </c>
      <c r="J511" s="27" t="s">
        <v>7</v>
      </c>
      <c r="L511" s="27" t="s">
        <v>7</v>
      </c>
      <c r="M511" s="27" t="s">
        <v>8</v>
      </c>
      <c r="N511" s="27" t="s">
        <v>7</v>
      </c>
      <c r="Q511" s="27" t="s">
        <v>8</v>
      </c>
      <c r="R511" s="27" t="s">
        <v>7</v>
      </c>
      <c r="U511" s="27" t="s">
        <v>8</v>
      </c>
      <c r="V511" s="27" t="s">
        <v>7</v>
      </c>
    </row>
    <row r="512" spans="1:22" x14ac:dyDescent="0.25">
      <c r="A512" s="7">
        <v>4.4158354551276693</v>
      </c>
      <c r="B512"/>
      <c r="C512"/>
      <c r="D512"/>
      <c r="E512" t="s">
        <v>8</v>
      </c>
      <c r="L512" s="27" t="s">
        <v>7</v>
      </c>
      <c r="M512" s="27" t="s">
        <v>8</v>
      </c>
      <c r="N512" s="27" t="s">
        <v>7</v>
      </c>
      <c r="Q512" s="27" t="s">
        <v>8</v>
      </c>
      <c r="R512" s="27" t="s">
        <v>7</v>
      </c>
      <c r="S512" s="27" t="s">
        <v>8</v>
      </c>
      <c r="U512" s="27" t="s">
        <v>8</v>
      </c>
      <c r="V512" s="27" t="s">
        <v>7</v>
      </c>
    </row>
    <row r="513" spans="1:62" x14ac:dyDescent="0.25">
      <c r="A513" s="7">
        <v>4.3292504462035977</v>
      </c>
      <c r="B513"/>
      <c r="C513"/>
      <c r="D513"/>
      <c r="E513" t="s">
        <v>8</v>
      </c>
      <c r="L513" s="27" t="s">
        <v>7</v>
      </c>
      <c r="M513" s="27" t="s">
        <v>8</v>
      </c>
      <c r="N513" s="27" t="s">
        <v>7</v>
      </c>
      <c r="Q513" s="27" t="s">
        <v>8</v>
      </c>
      <c r="R513" s="27" t="s">
        <v>7</v>
      </c>
      <c r="S513" s="27" t="s">
        <v>8</v>
      </c>
      <c r="T513" s="27" t="s">
        <v>7</v>
      </c>
      <c r="U513" s="27" t="s">
        <v>8</v>
      </c>
      <c r="V513" s="27" t="s">
        <v>7</v>
      </c>
    </row>
    <row r="514" spans="1:62" x14ac:dyDescent="0.25">
      <c r="A514" s="7">
        <v>4.2443631825525463</v>
      </c>
      <c r="B514"/>
      <c r="C514"/>
      <c r="D514"/>
      <c r="E514" t="s">
        <v>8</v>
      </c>
      <c r="L514" s="27" t="s">
        <v>7</v>
      </c>
      <c r="M514" s="27" t="s">
        <v>8</v>
      </c>
      <c r="N514" s="27" t="s">
        <v>7</v>
      </c>
      <c r="Q514" s="27" t="s">
        <v>8</v>
      </c>
      <c r="R514" s="27" t="s">
        <v>7</v>
      </c>
      <c r="S514" s="27" t="s">
        <v>8</v>
      </c>
      <c r="T514" s="27" t="s">
        <v>7</v>
      </c>
      <c r="U514" s="27" t="s">
        <v>8</v>
      </c>
      <c r="V514" s="27" t="s">
        <v>7</v>
      </c>
    </row>
    <row r="515" spans="1:62" x14ac:dyDescent="0.25">
      <c r="A515" s="7">
        <v>4.1611403750515157</v>
      </c>
      <c r="B515"/>
      <c r="C515"/>
      <c r="D515"/>
      <c r="E515" t="s">
        <v>8</v>
      </c>
      <c r="L515" s="27" t="s">
        <v>7</v>
      </c>
      <c r="M515" s="27" t="s">
        <v>8</v>
      </c>
      <c r="N515" s="27" t="s">
        <v>7</v>
      </c>
      <c r="Q515" s="27" t="s">
        <v>8</v>
      </c>
      <c r="R515" s="27" t="s">
        <v>7</v>
      </c>
      <c r="S515" s="27" t="s">
        <v>8</v>
      </c>
      <c r="T515" s="27" t="s">
        <v>7</v>
      </c>
      <c r="U515" s="27" t="s">
        <v>8</v>
      </c>
      <c r="V515" s="27" t="s">
        <v>7</v>
      </c>
    </row>
    <row r="516" spans="1:62" x14ac:dyDescent="0.25">
      <c r="A516" s="7">
        <v>4.0795493873054074</v>
      </c>
      <c r="B516"/>
      <c r="C516"/>
      <c r="D516"/>
      <c r="E516" t="s">
        <v>8</v>
      </c>
      <c r="L516" s="27" t="s">
        <v>7</v>
      </c>
      <c r="M516" s="27" t="s">
        <v>8</v>
      </c>
      <c r="N516" s="27" t="s">
        <v>7</v>
      </c>
      <c r="Q516" s="27" t="s">
        <v>8</v>
      </c>
      <c r="R516" s="27" t="s">
        <v>7</v>
      </c>
      <c r="S516" s="27" t="s">
        <v>8</v>
      </c>
      <c r="T516" s="27" t="s">
        <v>7</v>
      </c>
      <c r="U516" s="27" t="s">
        <v>8</v>
      </c>
      <c r="V516" s="27" t="s">
        <v>7</v>
      </c>
    </row>
    <row r="517" spans="1:62" x14ac:dyDescent="0.25">
      <c r="A517" s="7">
        <v>3.9995582228484383</v>
      </c>
      <c r="B517"/>
      <c r="C517"/>
      <c r="D517"/>
      <c r="E517" t="s">
        <v>8</v>
      </c>
      <c r="L517" s="27" t="s">
        <v>7</v>
      </c>
      <c r="M517" s="27" t="s">
        <v>8</v>
      </c>
      <c r="N517" s="27" t="s">
        <v>7</v>
      </c>
      <c r="Q517" s="27" t="s">
        <v>8</v>
      </c>
      <c r="R517" s="27" t="s">
        <v>7</v>
      </c>
      <c r="S517" s="27" t="s">
        <v>8</v>
      </c>
      <c r="T517" s="27" t="s">
        <v>7</v>
      </c>
      <c r="U517" s="27" t="s">
        <v>8</v>
      </c>
      <c r="V517" s="27" t="s">
        <v>7</v>
      </c>
    </row>
    <row r="518" spans="1:62" x14ac:dyDescent="0.25">
      <c r="A518" s="7">
        <v>3.9211355125965079</v>
      </c>
      <c r="B518"/>
      <c r="C518"/>
      <c r="D518"/>
      <c r="E518" t="s">
        <v>8</v>
      </c>
      <c r="L518" s="27" t="s">
        <v>7</v>
      </c>
      <c r="M518" s="27" t="s">
        <v>8</v>
      </c>
      <c r="N518" s="27" t="s">
        <v>7</v>
      </c>
      <c r="Q518" s="27" t="s">
        <v>8</v>
      </c>
      <c r="R518" s="27" t="s">
        <v>7</v>
      </c>
      <c r="S518" s="27" t="s">
        <v>8</v>
      </c>
      <c r="T518" s="27" t="s">
        <v>7</v>
      </c>
      <c r="V518" s="27" t="s">
        <v>7</v>
      </c>
    </row>
    <row r="519" spans="1:62" x14ac:dyDescent="0.25">
      <c r="A519" s="7">
        <v>3.844250502545596</v>
      </c>
      <c r="B519"/>
      <c r="C519"/>
      <c r="D519"/>
      <c r="E519" t="s">
        <v>8</v>
      </c>
      <c r="L519" s="27" t="s">
        <v>7</v>
      </c>
      <c r="M519" s="27" t="s">
        <v>8</v>
      </c>
      <c r="N519" s="27" t="s">
        <v>7</v>
      </c>
      <c r="O519" s="27" t="s">
        <v>8</v>
      </c>
      <c r="Q519" s="27" t="s">
        <v>8</v>
      </c>
      <c r="R519" s="27" t="s">
        <v>7</v>
      </c>
      <c r="S519" s="27" t="s">
        <v>8</v>
      </c>
      <c r="V519" s="27" t="s">
        <v>7</v>
      </c>
    </row>
    <row r="520" spans="1:62" x14ac:dyDescent="0.25">
      <c r="A520" s="7">
        <v>3.7688730417113687</v>
      </c>
      <c r="B520"/>
      <c r="C520"/>
      <c r="D520"/>
      <c r="E520" t="s">
        <v>8</v>
      </c>
      <c r="L520" s="27" t="s">
        <v>7</v>
      </c>
      <c r="M520" s="27" t="s">
        <v>8</v>
      </c>
      <c r="N520" s="27" t="s">
        <v>7</v>
      </c>
      <c r="O520" s="27" t="s">
        <v>8</v>
      </c>
      <c r="P520" s="27" t="s">
        <v>7</v>
      </c>
      <c r="Q520" s="27" t="s">
        <v>8</v>
      </c>
      <c r="R520" s="27" t="s">
        <v>7</v>
      </c>
      <c r="S520" s="27" t="s">
        <v>8</v>
      </c>
      <c r="V520" s="27" t="s">
        <v>7</v>
      </c>
    </row>
    <row r="521" spans="1:62" x14ac:dyDescent="0.25">
      <c r="A521" s="7">
        <v>3.6949735703052635</v>
      </c>
      <c r="B521"/>
      <c r="C521"/>
      <c r="D521"/>
      <c r="E521" t="s">
        <v>8</v>
      </c>
      <c r="L521" s="27" t="s">
        <v>7</v>
      </c>
      <c r="M521" s="27" t="s">
        <v>8</v>
      </c>
      <c r="N521" s="27" t="s">
        <v>7</v>
      </c>
      <c r="O521" s="27" t="s">
        <v>8</v>
      </c>
      <c r="P521" s="27" t="s">
        <v>7</v>
      </c>
      <c r="Q521" s="27" t="s">
        <v>8</v>
      </c>
      <c r="R521" s="27" t="s">
        <v>7</v>
      </c>
      <c r="S521" s="27" t="s">
        <v>8</v>
      </c>
      <c r="V521" s="27" t="s">
        <v>7</v>
      </c>
    </row>
    <row r="522" spans="1:62" x14ac:dyDescent="0.25">
      <c r="A522" s="7">
        <v>3.6225231081424152</v>
      </c>
      <c r="B522"/>
      <c r="C522"/>
      <c r="D522"/>
      <c r="E522" t="s">
        <v>8</v>
      </c>
      <c r="L522" s="27" t="s">
        <v>7</v>
      </c>
      <c r="M522" s="27" t="s">
        <v>8</v>
      </c>
      <c r="N522" s="27" t="s">
        <v>7</v>
      </c>
      <c r="O522" s="27" t="s">
        <v>8</v>
      </c>
      <c r="P522" s="27" t="s">
        <v>7</v>
      </c>
      <c r="Q522" s="27" t="s">
        <v>8</v>
      </c>
      <c r="R522" s="27" t="s">
        <v>7</v>
      </c>
      <c r="V522" s="27" t="s">
        <v>7</v>
      </c>
      <c r="Y522" s="27" t="s">
        <v>8</v>
      </c>
    </row>
    <row r="523" spans="1:62" x14ac:dyDescent="0.25">
      <c r="A523" s="7">
        <v>3.5514932432768775</v>
      </c>
      <c r="B523"/>
      <c r="C523"/>
      <c r="D523"/>
      <c r="E523" t="s">
        <v>8</v>
      </c>
      <c r="L523" s="27" t="s">
        <v>7</v>
      </c>
      <c r="M523" s="27" t="s">
        <v>8</v>
      </c>
      <c r="N523" s="27" t="s">
        <v>7</v>
      </c>
      <c r="O523" s="27" t="s">
        <v>8</v>
      </c>
      <c r="P523" s="27" t="s">
        <v>7</v>
      </c>
      <c r="Q523" s="27" t="s">
        <v>8</v>
      </c>
      <c r="V523" s="27" t="s">
        <v>7</v>
      </c>
      <c r="Y523" s="27" t="s">
        <v>8</v>
      </c>
      <c r="Z523" s="27" t="s">
        <v>7</v>
      </c>
    </row>
    <row r="524" spans="1:62" x14ac:dyDescent="0.25">
      <c r="A524" s="7">
        <v>3.4818561208596837</v>
      </c>
      <c r="B524"/>
      <c r="C524"/>
      <c r="D524"/>
      <c r="E524" t="s">
        <v>8</v>
      </c>
      <c r="L524" s="27" t="s">
        <v>7</v>
      </c>
      <c r="M524" s="27" t="s">
        <v>8</v>
      </c>
      <c r="N524" s="27" t="s">
        <v>7</v>
      </c>
      <c r="O524" s="27" t="s">
        <v>8</v>
      </c>
      <c r="P524" s="27" t="s">
        <v>7</v>
      </c>
      <c r="Q524" s="27" t="s">
        <v>8</v>
      </c>
      <c r="V524" s="27" t="s">
        <v>7</v>
      </c>
      <c r="Y524" s="27" t="s">
        <v>8</v>
      </c>
      <c r="Z524" s="27" t="s">
        <v>7</v>
      </c>
      <c r="AA524" s="27" t="s">
        <v>8</v>
      </c>
    </row>
    <row r="525" spans="1:62" x14ac:dyDescent="0.25">
      <c r="A525" s="7">
        <v>3.4135844322153761</v>
      </c>
      <c r="B525"/>
      <c r="C525"/>
      <c r="D525"/>
      <c r="E525" t="s">
        <v>8</v>
      </c>
      <c r="L525" s="27" t="s">
        <v>7</v>
      </c>
      <c r="M525" s="27" t="s">
        <v>8</v>
      </c>
      <c r="N525" s="27" t="s">
        <v>7</v>
      </c>
      <c r="O525" s="27" t="s">
        <v>8</v>
      </c>
      <c r="P525" s="27" t="s">
        <v>7</v>
      </c>
      <c r="Q525" s="27" t="s">
        <v>8</v>
      </c>
      <c r="V525" s="27" t="s">
        <v>7</v>
      </c>
      <c r="Y525" s="27" t="s">
        <v>8</v>
      </c>
      <c r="Z525" s="27" t="s">
        <v>7</v>
      </c>
      <c r="AA525" s="27" t="s">
        <v>8</v>
      </c>
      <c r="AB525" s="27" t="s">
        <v>7</v>
      </c>
    </row>
    <row r="526" spans="1:62" x14ac:dyDescent="0.25">
      <c r="A526" s="7">
        <v>3.3466514041327216</v>
      </c>
      <c r="B526"/>
      <c r="C526"/>
      <c r="D526"/>
      <c r="E526" t="s">
        <v>8</v>
      </c>
      <c r="L526" s="27" t="s">
        <v>7</v>
      </c>
      <c r="N526" s="27" t="s">
        <v>7</v>
      </c>
      <c r="O526" s="27" t="s">
        <v>8</v>
      </c>
      <c r="P526" s="27" t="s">
        <v>7</v>
      </c>
      <c r="Q526" s="27" t="s">
        <v>8</v>
      </c>
      <c r="V526" s="27" t="s">
        <v>7</v>
      </c>
      <c r="Y526" s="27" t="s">
        <v>8</v>
      </c>
      <c r="Z526" s="27" t="s">
        <v>7</v>
      </c>
      <c r="AA526" s="27" t="s">
        <v>8</v>
      </c>
      <c r="AB526" s="27" t="s">
        <v>7</v>
      </c>
    </row>
    <row r="527" spans="1:62" x14ac:dyDescent="0.25">
      <c r="A527" s="7">
        <v>3.2810307883654133</v>
      </c>
      <c r="B527"/>
      <c r="C527"/>
      <c r="D527"/>
      <c r="E527" t="s">
        <v>8</v>
      </c>
      <c r="N527" s="27" t="s">
        <v>7</v>
      </c>
      <c r="O527" s="27" t="s">
        <v>8</v>
      </c>
      <c r="P527" s="27" t="s">
        <v>7</v>
      </c>
      <c r="Q527" s="27" t="s">
        <v>8</v>
      </c>
      <c r="V527" s="27" t="s">
        <v>7</v>
      </c>
      <c r="W527" s="27" t="s">
        <v>8</v>
      </c>
      <c r="Y527" s="27" t="s">
        <v>8</v>
      </c>
      <c r="Z527" s="27" t="s">
        <v>7</v>
      </c>
      <c r="AA527" s="27" t="s">
        <v>8</v>
      </c>
      <c r="AB527" s="27" t="s">
        <v>7</v>
      </c>
      <c r="BI527" s="27" t="s">
        <v>8</v>
      </c>
    </row>
    <row r="528" spans="1:62" x14ac:dyDescent="0.25">
      <c r="A528" s="7">
        <v>3.2166968513386403</v>
      </c>
      <c r="B528"/>
      <c r="C528"/>
      <c r="D528"/>
      <c r="E528" t="s">
        <v>8</v>
      </c>
      <c r="N528" s="27" t="s">
        <v>7</v>
      </c>
      <c r="O528" s="27" t="s">
        <v>8</v>
      </c>
      <c r="P528" s="27" t="s">
        <v>7</v>
      </c>
      <c r="Q528" s="27" t="s">
        <v>8</v>
      </c>
      <c r="V528" s="27" t="s">
        <v>7</v>
      </c>
      <c r="W528" s="27" t="s">
        <v>8</v>
      </c>
      <c r="X528" s="27" t="s">
        <v>7</v>
      </c>
      <c r="Y528" s="27" t="s">
        <v>8</v>
      </c>
      <c r="Z528" s="27" t="s">
        <v>7</v>
      </c>
      <c r="AA528" s="27" t="s">
        <v>8</v>
      </c>
      <c r="AB528" s="27" t="s">
        <v>7</v>
      </c>
      <c r="AC528" s="27" t="s">
        <v>8</v>
      </c>
      <c r="BI528" s="27" t="s">
        <v>8</v>
      </c>
      <c r="BJ528" s="27" t="s">
        <v>7</v>
      </c>
    </row>
    <row r="529" spans="1:109" x14ac:dyDescent="0.25">
      <c r="A529" s="7">
        <v>3.1536243640574906</v>
      </c>
      <c r="B529"/>
      <c r="C529"/>
      <c r="D529"/>
      <c r="E529" t="s">
        <v>8</v>
      </c>
      <c r="N529" s="27" t="s">
        <v>7</v>
      </c>
      <c r="O529" s="27" t="s">
        <v>8</v>
      </c>
      <c r="P529" s="27" t="s">
        <v>7</v>
      </c>
      <c r="Q529" s="27" t="s">
        <v>8</v>
      </c>
      <c r="V529" s="27" t="s">
        <v>7</v>
      </c>
      <c r="W529" s="27" t="s">
        <v>8</v>
      </c>
      <c r="X529" s="27" t="s">
        <v>7</v>
      </c>
      <c r="Y529" s="27" t="s">
        <v>8</v>
      </c>
      <c r="Z529" s="27" t="s">
        <v>7</v>
      </c>
      <c r="AA529" s="27" t="s">
        <v>8</v>
      </c>
      <c r="AB529" s="27" t="s">
        <v>7</v>
      </c>
      <c r="AC529" s="27" t="s">
        <v>8</v>
      </c>
      <c r="AD529" s="27" t="s">
        <v>7</v>
      </c>
      <c r="BI529" s="27" t="s">
        <v>8</v>
      </c>
      <c r="BJ529" s="27" t="s">
        <v>7</v>
      </c>
    </row>
    <row r="530" spans="1:109" x14ac:dyDescent="0.25">
      <c r="A530" s="7">
        <v>3.0917885922132262</v>
      </c>
      <c r="B530"/>
      <c r="C530"/>
      <c r="D530"/>
      <c r="E530" t="s">
        <v>8</v>
      </c>
      <c r="N530" s="27" t="s">
        <v>7</v>
      </c>
      <c r="O530" s="27" t="s">
        <v>8</v>
      </c>
      <c r="P530" s="27" t="s">
        <v>7</v>
      </c>
      <c r="Q530" s="27" t="s">
        <v>8</v>
      </c>
      <c r="V530" s="27" t="s">
        <v>7</v>
      </c>
      <c r="W530" s="27" t="s">
        <v>8</v>
      </c>
      <c r="X530" s="27" t="s">
        <v>7</v>
      </c>
      <c r="Y530" s="27" t="s">
        <v>8</v>
      </c>
      <c r="Z530" s="27" t="s">
        <v>7</v>
      </c>
      <c r="AA530" s="27" t="s">
        <v>8</v>
      </c>
      <c r="AB530" s="27" t="s">
        <v>7</v>
      </c>
      <c r="AC530" s="27" t="s">
        <v>8</v>
      </c>
      <c r="AD530" s="27" t="s">
        <v>7</v>
      </c>
      <c r="BI530" s="27" t="s">
        <v>8</v>
      </c>
      <c r="BJ530" s="27" t="s">
        <v>7</v>
      </c>
    </row>
    <row r="531" spans="1:109" x14ac:dyDescent="0.25">
      <c r="A531" s="7">
        <v>3.0311652864835552</v>
      </c>
      <c r="B531"/>
      <c r="C531"/>
      <c r="D531"/>
      <c r="E531" t="s">
        <v>8</v>
      </c>
      <c r="N531" s="27" t="s">
        <v>7</v>
      </c>
      <c r="P531" s="27" t="s">
        <v>7</v>
      </c>
      <c r="Q531" s="27" t="s">
        <v>8</v>
      </c>
      <c r="V531" s="27" t="s">
        <v>7</v>
      </c>
      <c r="W531" s="27" t="s">
        <v>8</v>
      </c>
      <c r="X531" s="27" t="s">
        <v>7</v>
      </c>
      <c r="Y531" s="27" t="s">
        <v>8</v>
      </c>
      <c r="Z531" s="27" t="s">
        <v>7</v>
      </c>
      <c r="AA531" s="27" t="s">
        <v>8</v>
      </c>
      <c r="AB531" s="27" t="s">
        <v>7</v>
      </c>
      <c r="AC531" s="27" t="s">
        <v>8</v>
      </c>
      <c r="AD531" s="27" t="s">
        <v>7</v>
      </c>
      <c r="BI531" s="27" t="s">
        <v>8</v>
      </c>
      <c r="BJ531" s="27" t="s">
        <v>7</v>
      </c>
      <c r="BK531" s="27" t="s">
        <v>8</v>
      </c>
      <c r="BS531" s="27" t="s">
        <v>8</v>
      </c>
    </row>
    <row r="532" spans="1:109" x14ac:dyDescent="0.25">
      <c r="A532" s="7">
        <v>2.9717306730230932</v>
      </c>
      <c r="B532"/>
      <c r="C532"/>
      <c r="D532"/>
      <c r="E532" t="s">
        <v>8</v>
      </c>
      <c r="P532" s="27" t="s">
        <v>7</v>
      </c>
      <c r="Q532" s="27" t="s">
        <v>8</v>
      </c>
      <c r="V532" s="27" t="s">
        <v>7</v>
      </c>
      <c r="W532" s="27" t="s">
        <v>8</v>
      </c>
      <c r="X532" s="27" t="s">
        <v>7</v>
      </c>
      <c r="Y532" s="27" t="s">
        <v>8</v>
      </c>
      <c r="Z532" s="27" t="s">
        <v>7</v>
      </c>
      <c r="AA532" s="27" t="s">
        <v>8</v>
      </c>
      <c r="AB532" s="27" t="s">
        <v>7</v>
      </c>
      <c r="AD532" s="27" t="s">
        <v>7</v>
      </c>
      <c r="BI532" s="27" t="s">
        <v>8</v>
      </c>
      <c r="BJ532" s="27" t="s">
        <v>7</v>
      </c>
      <c r="BK532" s="27" t="s">
        <v>8</v>
      </c>
      <c r="BL532" s="27" t="s">
        <v>7</v>
      </c>
      <c r="BS532" s="27" t="s">
        <v>8</v>
      </c>
      <c r="BT532" s="27" t="s">
        <v>7</v>
      </c>
    </row>
    <row r="533" spans="1:109" x14ac:dyDescent="0.25">
      <c r="A533" s="7">
        <v>2.9134614441402875</v>
      </c>
      <c r="B533"/>
      <c r="C533"/>
      <c r="D533"/>
      <c r="E533" t="s">
        <v>8</v>
      </c>
      <c r="P533" s="27" t="s">
        <v>7</v>
      </c>
      <c r="Q533" s="27" t="s">
        <v>8</v>
      </c>
      <c r="V533" s="27" t="s">
        <v>7</v>
      </c>
      <c r="W533" s="27" t="s">
        <v>8</v>
      </c>
      <c r="X533" s="27" t="s">
        <v>7</v>
      </c>
      <c r="Y533" s="27" t="s">
        <v>8</v>
      </c>
      <c r="Z533" s="27" t="s">
        <v>7</v>
      </c>
      <c r="AA533" s="27" t="s">
        <v>8</v>
      </c>
      <c r="AD533" s="27" t="s">
        <v>7</v>
      </c>
      <c r="BI533" s="27" t="s">
        <v>8</v>
      </c>
      <c r="BJ533" s="27" t="s">
        <v>7</v>
      </c>
      <c r="BK533" s="27" t="s">
        <v>8</v>
      </c>
      <c r="BL533" s="27" t="s">
        <v>7</v>
      </c>
      <c r="BO533" s="27" t="s">
        <v>8</v>
      </c>
      <c r="BQ533" s="27" t="s">
        <v>8</v>
      </c>
      <c r="BS533" s="27" t="s">
        <v>8</v>
      </c>
      <c r="BT533" s="27" t="s">
        <v>7</v>
      </c>
    </row>
    <row r="534" spans="1:109" x14ac:dyDescent="0.25">
      <c r="A534" s="7">
        <v>2.8563347491571447</v>
      </c>
      <c r="B534"/>
      <c r="C534"/>
      <c r="D534"/>
      <c r="E534" t="s">
        <v>8</v>
      </c>
      <c r="P534" s="27" t="s">
        <v>7</v>
      </c>
      <c r="Q534" s="27" t="s">
        <v>8</v>
      </c>
      <c r="V534" s="27" t="s">
        <v>7</v>
      </c>
      <c r="W534" s="27" t="s">
        <v>8</v>
      </c>
      <c r="X534" s="27" t="s">
        <v>7</v>
      </c>
      <c r="Y534" s="27" t="s">
        <v>8</v>
      </c>
      <c r="Z534" s="27" t="s">
        <v>7</v>
      </c>
      <c r="AD534" s="27" t="s">
        <v>7</v>
      </c>
      <c r="BI534" s="27" t="s">
        <v>8</v>
      </c>
      <c r="BJ534" s="27" t="s">
        <v>7</v>
      </c>
      <c r="BK534" s="27" t="s">
        <v>8</v>
      </c>
      <c r="BL534" s="27" t="s">
        <v>7</v>
      </c>
      <c r="BM534" s="27" t="s">
        <v>8</v>
      </c>
      <c r="BO534" s="27" t="s">
        <v>8</v>
      </c>
      <c r="BP534" s="27" t="s">
        <v>7</v>
      </c>
      <c r="BQ534" s="27" t="s">
        <v>8</v>
      </c>
      <c r="BR534" s="27" t="s">
        <v>7</v>
      </c>
      <c r="BS534" s="27" t="s">
        <v>8</v>
      </c>
      <c r="BT534" s="27" t="s">
        <v>7</v>
      </c>
    </row>
    <row r="535" spans="1:109" x14ac:dyDescent="0.25">
      <c r="A535" s="7">
        <v>2.8003281854481812</v>
      </c>
      <c r="B535"/>
      <c r="C535"/>
      <c r="D535"/>
      <c r="E535" t="s">
        <v>8</v>
      </c>
      <c r="P535" s="27" t="s">
        <v>7</v>
      </c>
      <c r="Q535" s="27" t="s">
        <v>8</v>
      </c>
      <c r="V535" s="27" t="s">
        <v>7</v>
      </c>
      <c r="W535" s="27" t="s">
        <v>8</v>
      </c>
      <c r="X535" s="27" t="s">
        <v>7</v>
      </c>
      <c r="AD535" s="27" t="s">
        <v>7</v>
      </c>
      <c r="BI535" s="27" t="s">
        <v>8</v>
      </c>
      <c r="BJ535" s="27" t="s">
        <v>7</v>
      </c>
      <c r="BK535" s="27" t="s">
        <v>8</v>
      </c>
      <c r="BL535" s="27" t="s">
        <v>7</v>
      </c>
      <c r="BM535" s="27" t="s">
        <v>8</v>
      </c>
      <c r="BN535" s="27" t="s">
        <v>7</v>
      </c>
      <c r="BO535" s="27" t="s">
        <v>8</v>
      </c>
      <c r="BP535" s="27" t="s">
        <v>7</v>
      </c>
      <c r="BQ535" s="27" t="s">
        <v>8</v>
      </c>
      <c r="BR535" s="27" t="s">
        <v>7</v>
      </c>
      <c r="BS535" s="27" t="s">
        <v>8</v>
      </c>
      <c r="BT535" s="27" t="s">
        <v>7</v>
      </c>
    </row>
    <row r="536" spans="1:109" x14ac:dyDescent="0.25">
      <c r="A536" s="7">
        <v>2.7454197896550796</v>
      </c>
      <c r="B536"/>
      <c r="C536"/>
      <c r="D536"/>
      <c r="E536" t="s">
        <v>8</v>
      </c>
      <c r="P536" s="27" t="s">
        <v>7</v>
      </c>
      <c r="Q536" s="27" t="s">
        <v>8</v>
      </c>
      <c r="V536" s="27" t="s">
        <v>7</v>
      </c>
      <c r="W536" s="27" t="s">
        <v>8</v>
      </c>
      <c r="AD536" s="27" t="s">
        <v>7</v>
      </c>
      <c r="BG536" s="27" t="s">
        <v>8</v>
      </c>
      <c r="BI536" s="27" t="s">
        <v>8</v>
      </c>
      <c r="BJ536" s="27" t="s">
        <v>7</v>
      </c>
      <c r="BK536" s="27" t="s">
        <v>8</v>
      </c>
      <c r="BL536" s="27" t="s">
        <v>7</v>
      </c>
      <c r="BM536" s="27" t="s">
        <v>8</v>
      </c>
      <c r="BN536" s="27" t="s">
        <v>7</v>
      </c>
      <c r="BO536" s="27" t="s">
        <v>8</v>
      </c>
      <c r="BP536" s="27" t="s">
        <v>7</v>
      </c>
      <c r="BQ536" s="27" t="s">
        <v>8</v>
      </c>
      <c r="BR536" s="27" t="s">
        <v>7</v>
      </c>
      <c r="BT536" s="27" t="s">
        <v>7</v>
      </c>
    </row>
    <row r="537" spans="1:109" x14ac:dyDescent="0.25">
      <c r="A537" s="7">
        <v>2.6915880290736074</v>
      </c>
      <c r="B537"/>
      <c r="C537"/>
      <c r="D537"/>
      <c r="E537" t="s">
        <v>8</v>
      </c>
      <c r="P537" s="27" t="s">
        <v>7</v>
      </c>
      <c r="Q537" s="27" t="s">
        <v>8</v>
      </c>
      <c r="V537" s="27" t="s">
        <v>7</v>
      </c>
      <c r="AD537" s="27" t="s">
        <v>7</v>
      </c>
      <c r="BG537" s="27" t="s">
        <v>8</v>
      </c>
      <c r="BH537" s="27" t="s">
        <v>7</v>
      </c>
      <c r="BI537" s="27" t="s">
        <v>8</v>
      </c>
      <c r="BJ537" s="27" t="s">
        <v>7</v>
      </c>
      <c r="BK537" s="27" t="s">
        <v>8</v>
      </c>
      <c r="BL537" s="27" t="s">
        <v>7</v>
      </c>
      <c r="BM537" s="27" t="s">
        <v>8</v>
      </c>
      <c r="BN537" s="27" t="s">
        <v>7</v>
      </c>
      <c r="BP537" s="27" t="s">
        <v>7</v>
      </c>
      <c r="BQ537" s="27" t="s">
        <v>8</v>
      </c>
      <c r="BT537" s="27" t="s">
        <v>7</v>
      </c>
    </row>
    <row r="538" spans="1:109" x14ac:dyDescent="0.25">
      <c r="A538" s="7">
        <v>2.6388117932094191</v>
      </c>
      <c r="B538"/>
      <c r="C538"/>
      <c r="D538"/>
      <c r="E538" t="s">
        <v>8</v>
      </c>
      <c r="P538" s="27" t="s">
        <v>7</v>
      </c>
      <c r="Q538" s="27" t="s">
        <v>8</v>
      </c>
      <c r="AD538" s="27" t="s">
        <v>7</v>
      </c>
      <c r="AE538" s="27" t="s">
        <v>8</v>
      </c>
      <c r="BE538" s="27" t="s">
        <v>8</v>
      </c>
      <c r="BG538" s="27" t="s">
        <v>8</v>
      </c>
      <c r="BH538" s="27" t="s">
        <v>7</v>
      </c>
      <c r="BI538" s="27" t="s">
        <v>8</v>
      </c>
      <c r="BJ538" s="27" t="s">
        <v>7</v>
      </c>
      <c r="BL538" s="27" t="s">
        <v>7</v>
      </c>
      <c r="BP538" s="27" t="s">
        <v>7</v>
      </c>
      <c r="BQ538" s="27" t="s">
        <v>8</v>
      </c>
      <c r="BT538" s="27" t="s">
        <v>7</v>
      </c>
    </row>
    <row r="539" spans="1:109" x14ac:dyDescent="0.25">
      <c r="A539" s="7">
        <v>2.5870703854994304</v>
      </c>
      <c r="B539"/>
      <c r="C539"/>
      <c r="D539"/>
      <c r="E539" t="s">
        <v>8</v>
      </c>
      <c r="P539" s="27" t="s">
        <v>7</v>
      </c>
      <c r="Q539" s="27" t="s">
        <v>8</v>
      </c>
      <c r="AD539" s="27" t="s">
        <v>7</v>
      </c>
      <c r="AE539" s="27" t="s">
        <v>8</v>
      </c>
      <c r="AF539" s="27" t="s">
        <v>7</v>
      </c>
      <c r="BE539" s="27" t="s">
        <v>8</v>
      </c>
      <c r="BF539" s="27" t="s">
        <v>7</v>
      </c>
      <c r="BG539" s="27" t="s">
        <v>8</v>
      </c>
      <c r="BH539" s="27" t="s">
        <v>7</v>
      </c>
      <c r="BI539" s="27" t="s">
        <v>8</v>
      </c>
      <c r="BP539" s="27" t="s">
        <v>7</v>
      </c>
      <c r="BT539" s="27" t="s">
        <v>7</v>
      </c>
    </row>
    <row r="540" spans="1:109" x14ac:dyDescent="0.25">
      <c r="A540" s="7">
        <v>2.53634351519552</v>
      </c>
      <c r="B540"/>
      <c r="C540"/>
      <c r="D540"/>
      <c r="E540" t="s">
        <v>8</v>
      </c>
      <c r="P540" s="27" t="s">
        <v>7</v>
      </c>
      <c r="Q540" s="27" t="s">
        <v>8</v>
      </c>
      <c r="AD540" s="27" t="s">
        <v>7</v>
      </c>
      <c r="AE540" s="27" t="s">
        <v>8</v>
      </c>
      <c r="AF540" s="27" t="s">
        <v>7</v>
      </c>
      <c r="BE540" s="27" t="s">
        <v>8</v>
      </c>
      <c r="BF540" s="27" t="s">
        <v>7</v>
      </c>
      <c r="BG540" s="27" t="s">
        <v>8</v>
      </c>
      <c r="BH540" s="27" t="s">
        <v>7</v>
      </c>
      <c r="BI540" s="27" t="s">
        <v>8</v>
      </c>
      <c r="BT540" s="27" t="s">
        <v>7</v>
      </c>
    </row>
    <row r="541" spans="1:109" x14ac:dyDescent="0.25">
      <c r="A541" s="7">
        <v>2.4866112894073726</v>
      </c>
      <c r="B541"/>
      <c r="C541"/>
      <c r="D541"/>
      <c r="E541" t="s">
        <v>8</v>
      </c>
      <c r="P541" s="27" t="s">
        <v>7</v>
      </c>
      <c r="Q541" s="27" t="s">
        <v>8</v>
      </c>
      <c r="AD541" s="27" t="s">
        <v>7</v>
      </c>
      <c r="AE541" s="27" t="s">
        <v>8</v>
      </c>
      <c r="AF541" s="27" t="s">
        <v>7</v>
      </c>
      <c r="BE541" s="27" t="s">
        <v>8</v>
      </c>
      <c r="BF541" s="27" t="s">
        <v>7</v>
      </c>
      <c r="BG541" s="27" t="s">
        <v>8</v>
      </c>
      <c r="BH541" s="27" t="s">
        <v>7</v>
      </c>
      <c r="BI541" s="27" t="s">
        <v>8</v>
      </c>
      <c r="BT541" s="27" t="s">
        <v>7</v>
      </c>
    </row>
    <row r="542" spans="1:109" x14ac:dyDescent="0.25">
      <c r="A542" s="7">
        <v>2.4378542053013459</v>
      </c>
      <c r="B542"/>
      <c r="C542"/>
      <c r="D542"/>
      <c r="E542" t="s">
        <v>8</v>
      </c>
      <c r="P542" s="27" t="s">
        <v>7</v>
      </c>
      <c r="Q542" s="27" t="s">
        <v>8</v>
      </c>
      <c r="AD542" s="27" t="s">
        <v>7</v>
      </c>
      <c r="AE542" s="27" t="s">
        <v>8</v>
      </c>
      <c r="AF542" s="27" t="s">
        <v>7</v>
      </c>
      <c r="AK542" s="27" t="s">
        <v>8</v>
      </c>
      <c r="BE542" s="27" t="s">
        <v>8</v>
      </c>
      <c r="BF542" s="27" t="s">
        <v>7</v>
      </c>
      <c r="BG542" s="27" t="s">
        <v>8</v>
      </c>
      <c r="BH542" s="27" t="s">
        <v>7</v>
      </c>
      <c r="BI542" s="27" t="s">
        <v>8</v>
      </c>
      <c r="BT542" s="27" t="s">
        <v>7</v>
      </c>
      <c r="CO542" s="27" t="s">
        <v>8</v>
      </c>
    </row>
    <row r="543" spans="1:109" x14ac:dyDescent="0.25">
      <c r="A543" s="7">
        <v>2.3900531424522997</v>
      </c>
      <c r="B543"/>
      <c r="C543"/>
      <c r="D543"/>
      <c r="E543" t="s">
        <v>8</v>
      </c>
      <c r="P543" s="27" t="s">
        <v>7</v>
      </c>
      <c r="Q543" s="27" t="s">
        <v>8</v>
      </c>
      <c r="AD543" s="27" t="s">
        <v>7</v>
      </c>
      <c r="AE543" s="27" t="s">
        <v>8</v>
      </c>
      <c r="AF543" s="27" t="s">
        <v>7</v>
      </c>
      <c r="AK543" s="27" t="s">
        <v>8</v>
      </c>
      <c r="AL543" s="27" t="s">
        <v>7</v>
      </c>
      <c r="AQ543" s="27" t="s">
        <v>8</v>
      </c>
      <c r="BC543" s="27" t="s">
        <v>8</v>
      </c>
      <c r="BE543" s="27" t="s">
        <v>8</v>
      </c>
      <c r="BF543" s="27" t="s">
        <v>7</v>
      </c>
      <c r="BG543" s="27" t="s">
        <v>8</v>
      </c>
      <c r="BH543" s="27" t="s">
        <v>7</v>
      </c>
      <c r="BI543" s="27" t="s">
        <v>8</v>
      </c>
      <c r="BT543" s="27" t="s">
        <v>7</v>
      </c>
      <c r="CO543" s="27" t="s">
        <v>8</v>
      </c>
      <c r="CP543" s="27" t="s">
        <v>7</v>
      </c>
    </row>
    <row r="544" spans="1:109" x14ac:dyDescent="0.25">
      <c r="A544" s="7">
        <v>2.343189355345392</v>
      </c>
      <c r="B544"/>
      <c r="C544"/>
      <c r="D544"/>
      <c r="E544" t="s">
        <v>8</v>
      </c>
      <c r="P544" s="27" t="s">
        <v>7</v>
      </c>
      <c r="Q544" s="27" t="s">
        <v>8</v>
      </c>
      <c r="AD544" s="27" t="s">
        <v>7</v>
      </c>
      <c r="AE544" s="27" t="s">
        <v>8</v>
      </c>
      <c r="AF544" s="27" t="s">
        <v>7</v>
      </c>
      <c r="AK544" s="27" t="s">
        <v>8</v>
      </c>
      <c r="AL544" s="27" t="s">
        <v>7</v>
      </c>
      <c r="AQ544" s="27" t="s">
        <v>8</v>
      </c>
      <c r="AR544" s="27" t="s">
        <v>7</v>
      </c>
      <c r="BC544" s="27" t="s">
        <v>8</v>
      </c>
      <c r="BD544" s="27" t="s">
        <v>7</v>
      </c>
      <c r="BE544" s="27" t="s">
        <v>8</v>
      </c>
      <c r="BF544" s="27" t="s">
        <v>7</v>
      </c>
      <c r="BG544" s="27" t="s">
        <v>8</v>
      </c>
      <c r="BH544" s="27" t="s">
        <v>7</v>
      </c>
      <c r="BI544" s="27" t="s">
        <v>8</v>
      </c>
      <c r="BT544" s="27" t="s">
        <v>7</v>
      </c>
      <c r="CO544" s="27" t="s">
        <v>8</v>
      </c>
      <c r="CP544" s="27" t="s">
        <v>7</v>
      </c>
      <c r="DE544" s="27" t="s">
        <v>8</v>
      </c>
    </row>
    <row r="545" spans="1:124" x14ac:dyDescent="0.25">
      <c r="A545" s="7">
        <v>2.2972444660248938</v>
      </c>
      <c r="B545"/>
      <c r="C545"/>
      <c r="D545"/>
      <c r="E545" t="s">
        <v>8</v>
      </c>
      <c r="P545" s="27" t="s">
        <v>7</v>
      </c>
      <c r="Q545" s="27" t="s">
        <v>8</v>
      </c>
      <c r="AD545" s="27" t="s">
        <v>7</v>
      </c>
      <c r="AE545" s="27" t="s">
        <v>8</v>
      </c>
      <c r="AF545" s="27" t="s">
        <v>7</v>
      </c>
      <c r="AK545" s="27" t="s">
        <v>8</v>
      </c>
      <c r="AL545" s="27" t="s">
        <v>7</v>
      </c>
      <c r="AQ545" s="27" t="s">
        <v>8</v>
      </c>
      <c r="AR545" s="27" t="s">
        <v>7</v>
      </c>
      <c r="BC545" s="27" t="s">
        <v>8</v>
      </c>
      <c r="BD545" s="27" t="s">
        <v>7</v>
      </c>
      <c r="BE545" s="27" t="s">
        <v>8</v>
      </c>
      <c r="BF545" s="27" t="s">
        <v>7</v>
      </c>
      <c r="BH545" s="27" t="s">
        <v>7</v>
      </c>
      <c r="BT545" s="27" t="s">
        <v>7</v>
      </c>
      <c r="CO545" s="27" t="s">
        <v>8</v>
      </c>
      <c r="CP545" s="27" t="s">
        <v>7</v>
      </c>
      <c r="DE545" s="27" t="s">
        <v>8</v>
      </c>
      <c r="DF545" s="27" t="s">
        <v>7</v>
      </c>
    </row>
    <row r="546" spans="1:124" x14ac:dyDescent="0.25">
      <c r="A546" s="7">
        <v>2.252200456887151</v>
      </c>
      <c r="B546"/>
      <c r="C546"/>
      <c r="D546"/>
      <c r="E546" t="s">
        <v>8</v>
      </c>
      <c r="P546" s="27" t="s">
        <v>7</v>
      </c>
      <c r="Q546" s="27" t="s">
        <v>8</v>
      </c>
      <c r="AD546" s="27" t="s">
        <v>7</v>
      </c>
      <c r="AE546" s="27" t="s">
        <v>8</v>
      </c>
      <c r="AF546" s="27" t="s">
        <v>7</v>
      </c>
      <c r="AK546" s="27" t="s">
        <v>8</v>
      </c>
      <c r="AL546" s="27" t="s">
        <v>7</v>
      </c>
      <c r="AQ546" s="27" t="s">
        <v>8</v>
      </c>
      <c r="AR546" s="27" t="s">
        <v>7</v>
      </c>
      <c r="BC546" s="27" t="s">
        <v>8</v>
      </c>
      <c r="BD546" s="27" t="s">
        <v>7</v>
      </c>
      <c r="BE546" s="27" t="s">
        <v>8</v>
      </c>
      <c r="BT546" s="27" t="s">
        <v>7</v>
      </c>
      <c r="CO546" s="27" t="s">
        <v>8</v>
      </c>
      <c r="CP546" s="27" t="s">
        <v>7</v>
      </c>
      <c r="CY546" s="27" t="s">
        <v>8</v>
      </c>
      <c r="DE546" s="27" t="s">
        <v>8</v>
      </c>
      <c r="DF546" s="27" t="s">
        <v>7</v>
      </c>
    </row>
    <row r="547" spans="1:124" x14ac:dyDescent="0.25">
      <c r="A547" s="7">
        <v>2.208039663614854</v>
      </c>
      <c r="B547"/>
      <c r="C547"/>
      <c r="D547"/>
      <c r="E547" t="s">
        <v>8</v>
      </c>
      <c r="P547" s="27" t="s">
        <v>7</v>
      </c>
      <c r="Q547" s="27" t="s">
        <v>8</v>
      </c>
      <c r="AD547" s="27" t="s">
        <v>7</v>
      </c>
      <c r="AE547" s="27" t="s">
        <v>8</v>
      </c>
      <c r="AF547" s="27" t="s">
        <v>7</v>
      </c>
      <c r="AK547" s="27" t="s">
        <v>8</v>
      </c>
      <c r="AL547" s="27" t="s">
        <v>7</v>
      </c>
      <c r="AQ547" s="27" t="s">
        <v>8</v>
      </c>
      <c r="AR547" s="27" t="s">
        <v>7</v>
      </c>
      <c r="AW547" s="27" t="s">
        <v>8</v>
      </c>
      <c r="BA547" s="27" t="s">
        <v>8</v>
      </c>
      <c r="BC547" s="27" t="s">
        <v>8</v>
      </c>
      <c r="BD547" s="27" t="s">
        <v>7</v>
      </c>
      <c r="BE547" s="27" t="s">
        <v>8</v>
      </c>
      <c r="BT547" s="27" t="s">
        <v>7</v>
      </c>
      <c r="CO547" s="27" t="s">
        <v>8</v>
      </c>
      <c r="CP547" s="27" t="s">
        <v>7</v>
      </c>
      <c r="CY547" s="27" t="s">
        <v>8</v>
      </c>
      <c r="CZ547" s="27" t="s">
        <v>7</v>
      </c>
      <c r="DA547" s="27" t="s">
        <v>8</v>
      </c>
      <c r="DE547" s="27" t="s">
        <v>8</v>
      </c>
      <c r="DF547" s="27" t="s">
        <v>7</v>
      </c>
      <c r="DG547" s="27" t="s">
        <v>8</v>
      </c>
      <c r="DI547" s="27" t="s">
        <v>8</v>
      </c>
    </row>
    <row r="548" spans="1:124" x14ac:dyDescent="0.25">
      <c r="A548" s="7">
        <v>2.1647447682498568</v>
      </c>
      <c r="B548"/>
      <c r="C548"/>
      <c r="D548"/>
      <c r="E548" t="s">
        <v>8</v>
      </c>
      <c r="P548" s="27" t="s">
        <v>7</v>
      </c>
      <c r="Q548" s="27" t="s">
        <v>8</v>
      </c>
      <c r="AD548" s="27" t="s">
        <v>7</v>
      </c>
      <c r="AE548" s="27" t="s">
        <v>8</v>
      </c>
      <c r="AF548" s="27" t="s">
        <v>7</v>
      </c>
      <c r="AG548" s="27" t="s">
        <v>8</v>
      </c>
      <c r="AI548" s="27" t="s">
        <v>8</v>
      </c>
      <c r="AK548" s="27" t="s">
        <v>8</v>
      </c>
      <c r="AL548" s="27" t="s">
        <v>7</v>
      </c>
      <c r="AM548" s="27" t="s">
        <v>8</v>
      </c>
      <c r="AO548" s="27" t="s">
        <v>8</v>
      </c>
      <c r="AQ548" s="27" t="s">
        <v>8</v>
      </c>
      <c r="AR548" s="27" t="s">
        <v>7</v>
      </c>
      <c r="AW548" s="27" t="s">
        <v>8</v>
      </c>
      <c r="AX548" s="27" t="s">
        <v>7</v>
      </c>
      <c r="BA548" s="27" t="s">
        <v>8</v>
      </c>
      <c r="BB548" s="27" t="s">
        <v>7</v>
      </c>
      <c r="BC548" s="27" t="s">
        <v>8</v>
      </c>
      <c r="BD548" s="27" t="s">
        <v>7</v>
      </c>
      <c r="BE548" s="27" t="s">
        <v>8</v>
      </c>
      <c r="BT548" s="27" t="s">
        <v>7</v>
      </c>
      <c r="BU548" s="27" t="s">
        <v>8</v>
      </c>
      <c r="BY548" s="27" t="s">
        <v>8</v>
      </c>
      <c r="CK548" s="27" t="s">
        <v>8</v>
      </c>
      <c r="CO548" s="27" t="s">
        <v>8</v>
      </c>
      <c r="CP548" s="27" t="s">
        <v>7</v>
      </c>
      <c r="CQ548" s="27" t="s">
        <v>8</v>
      </c>
      <c r="CS548" s="27" t="s">
        <v>8</v>
      </c>
      <c r="CY548" s="27" t="s">
        <v>8</v>
      </c>
      <c r="CZ548" s="27" t="s">
        <v>7</v>
      </c>
      <c r="DA548" s="27" t="s">
        <v>8</v>
      </c>
      <c r="DB548" s="27" t="s">
        <v>7</v>
      </c>
      <c r="DC548" s="27" t="s">
        <v>8</v>
      </c>
      <c r="DE548" s="27" t="s">
        <v>8</v>
      </c>
      <c r="DF548" s="27" t="s">
        <v>7</v>
      </c>
      <c r="DG548" s="27" t="s">
        <v>8</v>
      </c>
      <c r="DH548" s="27" t="s">
        <v>7</v>
      </c>
      <c r="DI548" s="27" t="s">
        <v>8</v>
      </c>
      <c r="DJ548" s="27" t="s">
        <v>7</v>
      </c>
    </row>
    <row r="549" spans="1:124" x14ac:dyDescent="0.25">
      <c r="A549" s="7">
        <v>2.1222987924018204</v>
      </c>
      <c r="B549"/>
      <c r="C549"/>
      <c r="D549"/>
      <c r="E549" t="s">
        <v>8</v>
      </c>
      <c r="P549" s="27" t="s">
        <v>7</v>
      </c>
      <c r="Q549" s="27" t="s">
        <v>8</v>
      </c>
      <c r="AD549" s="27" t="s">
        <v>7</v>
      </c>
      <c r="AE549" s="27" t="s">
        <v>8</v>
      </c>
      <c r="AF549" s="27" t="s">
        <v>7</v>
      </c>
      <c r="AG549" s="27" t="s">
        <v>8</v>
      </c>
      <c r="AH549" s="27" t="s">
        <v>7</v>
      </c>
      <c r="AI549" s="27" t="s">
        <v>8</v>
      </c>
      <c r="AJ549" s="27" t="s">
        <v>7</v>
      </c>
      <c r="AK549" s="27" t="s">
        <v>8</v>
      </c>
      <c r="AL549" s="27" t="s">
        <v>7</v>
      </c>
      <c r="AM549" s="27" t="s">
        <v>8</v>
      </c>
      <c r="AN549" s="27" t="s">
        <v>7</v>
      </c>
      <c r="AO549" s="27" t="s">
        <v>8</v>
      </c>
      <c r="AP549" s="27" t="s">
        <v>7</v>
      </c>
      <c r="AQ549" s="27" t="s">
        <v>8</v>
      </c>
      <c r="AR549" s="27" t="s">
        <v>7</v>
      </c>
      <c r="AW549" s="27" t="s">
        <v>8</v>
      </c>
      <c r="AX549" s="27" t="s">
        <v>7</v>
      </c>
      <c r="BA549" s="27" t="s">
        <v>8</v>
      </c>
      <c r="BB549" s="27" t="s">
        <v>7</v>
      </c>
      <c r="BC549" s="27" t="s">
        <v>8</v>
      </c>
      <c r="BD549" s="27" t="s">
        <v>7</v>
      </c>
      <c r="BT549" s="27" t="s">
        <v>7</v>
      </c>
      <c r="BU549" s="27" t="s">
        <v>8</v>
      </c>
      <c r="BV549" s="27" t="s">
        <v>7</v>
      </c>
      <c r="BY549" s="27" t="s">
        <v>8</v>
      </c>
      <c r="BZ549" s="27" t="s">
        <v>7</v>
      </c>
      <c r="CK549" s="27" t="s">
        <v>8</v>
      </c>
      <c r="CL549" s="27" t="s">
        <v>7</v>
      </c>
      <c r="CO549" s="27" t="s">
        <v>8</v>
      </c>
      <c r="CP549" s="27" t="s">
        <v>7</v>
      </c>
      <c r="CQ549" s="27" t="s">
        <v>8</v>
      </c>
      <c r="CR549" s="27" t="s">
        <v>7</v>
      </c>
      <c r="CS549" s="27" t="s">
        <v>8</v>
      </c>
      <c r="CT549" s="27" t="s">
        <v>7</v>
      </c>
      <c r="CU549" s="27" t="s">
        <v>8</v>
      </c>
      <c r="CW549" s="27" t="s">
        <v>8</v>
      </c>
      <c r="CY549" s="27" t="s">
        <v>8</v>
      </c>
      <c r="CZ549" s="27" t="s">
        <v>7</v>
      </c>
      <c r="DA549" s="27" t="s">
        <v>8</v>
      </c>
      <c r="DB549" s="27" t="s">
        <v>7</v>
      </c>
      <c r="DC549" s="27" t="s">
        <v>8</v>
      </c>
      <c r="DD549" s="27" t="s">
        <v>7</v>
      </c>
      <c r="DE549" s="27" t="s">
        <v>8</v>
      </c>
      <c r="DF549" s="27" t="s">
        <v>7</v>
      </c>
      <c r="DG549" s="27" t="s">
        <v>8</v>
      </c>
      <c r="DH549" s="27" t="s">
        <v>7</v>
      </c>
      <c r="DI549" s="27" t="s">
        <v>8</v>
      </c>
      <c r="DJ549" s="27" t="s">
        <v>7</v>
      </c>
    </row>
    <row r="550" spans="1:124" x14ac:dyDescent="0.25">
      <c r="A550" s="7">
        <v>2.0806850905900198</v>
      </c>
      <c r="B550"/>
      <c r="C550"/>
      <c r="D550"/>
      <c r="E550" t="s">
        <v>8</v>
      </c>
      <c r="P550" s="27" t="s">
        <v>7</v>
      </c>
      <c r="Q550" s="27" t="s">
        <v>8</v>
      </c>
      <c r="AD550" s="27" t="s">
        <v>7</v>
      </c>
      <c r="AE550" s="27" t="s">
        <v>8</v>
      </c>
      <c r="AF550" s="27" t="s">
        <v>7</v>
      </c>
      <c r="AG550" s="27" t="s">
        <v>8</v>
      </c>
      <c r="AH550" s="27" t="s">
        <v>7</v>
      </c>
      <c r="AI550" s="27" t="s">
        <v>8</v>
      </c>
      <c r="AJ550" s="27" t="s">
        <v>7</v>
      </c>
      <c r="AK550" s="27" t="s">
        <v>8</v>
      </c>
      <c r="AL550" s="27" t="s">
        <v>7</v>
      </c>
      <c r="AM550" s="27" t="s">
        <v>8</v>
      </c>
      <c r="AN550" s="27" t="s">
        <v>7</v>
      </c>
      <c r="AO550" s="27" t="s">
        <v>8</v>
      </c>
      <c r="AP550" s="27" t="s">
        <v>7</v>
      </c>
      <c r="AQ550" s="27" t="s">
        <v>8</v>
      </c>
      <c r="AR550" s="27" t="s">
        <v>7</v>
      </c>
      <c r="AW550" s="27" t="s">
        <v>8</v>
      </c>
      <c r="AX550" s="27" t="s">
        <v>7</v>
      </c>
      <c r="BA550" s="27" t="s">
        <v>8</v>
      </c>
      <c r="BB550" s="27" t="s">
        <v>7</v>
      </c>
      <c r="BC550" s="27" t="s">
        <v>8</v>
      </c>
      <c r="BT550" s="27" t="s">
        <v>7</v>
      </c>
      <c r="BU550" s="27" t="s">
        <v>8</v>
      </c>
      <c r="BV550" s="27" t="s">
        <v>7</v>
      </c>
      <c r="BW550" s="27" t="s">
        <v>8</v>
      </c>
      <c r="BY550" s="27" t="s">
        <v>8</v>
      </c>
      <c r="BZ550" s="27" t="s">
        <v>7</v>
      </c>
      <c r="CK550" s="27" t="s">
        <v>8</v>
      </c>
      <c r="CL550" s="27" t="s">
        <v>7</v>
      </c>
      <c r="CO550" s="27" t="s">
        <v>8</v>
      </c>
      <c r="CP550" s="27" t="s">
        <v>7</v>
      </c>
      <c r="CQ550" s="27" t="s">
        <v>8</v>
      </c>
      <c r="CR550" s="27" t="s">
        <v>7</v>
      </c>
      <c r="CS550" s="27" t="s">
        <v>8</v>
      </c>
      <c r="CT550" s="27" t="s">
        <v>7</v>
      </c>
      <c r="CU550" s="27" t="s">
        <v>8</v>
      </c>
      <c r="CV550" s="27" t="s">
        <v>7</v>
      </c>
      <c r="CW550" s="27" t="s">
        <v>8</v>
      </c>
      <c r="CX550" s="27" t="s">
        <v>7</v>
      </c>
      <c r="CY550" s="27" t="s">
        <v>8</v>
      </c>
      <c r="CZ550" s="27" t="s">
        <v>7</v>
      </c>
      <c r="DA550" s="27" t="s">
        <v>8</v>
      </c>
      <c r="DB550" s="27" t="s">
        <v>7</v>
      </c>
      <c r="DC550" s="27" t="s">
        <v>8</v>
      </c>
      <c r="DD550" s="27" t="s">
        <v>7</v>
      </c>
      <c r="DE550" s="27" t="s">
        <v>8</v>
      </c>
      <c r="DF550" s="27" t="s">
        <v>7</v>
      </c>
      <c r="DG550" s="27" t="s">
        <v>8</v>
      </c>
      <c r="DH550" s="27" t="s">
        <v>7</v>
      </c>
      <c r="DI550" s="27" t="s">
        <v>8</v>
      </c>
      <c r="DJ550" s="27" t="s">
        <v>7</v>
      </c>
      <c r="DM550" s="27" t="s">
        <v>8</v>
      </c>
    </row>
    <row r="551" spans="1:124" x14ac:dyDescent="0.25">
      <c r="A551" s="7">
        <v>2.0398873437157055</v>
      </c>
      <c r="B551"/>
      <c r="C551"/>
      <c r="D551"/>
      <c r="E551" t="s">
        <v>8</v>
      </c>
      <c r="P551" s="27" t="s">
        <v>7</v>
      </c>
      <c r="Q551" s="27" t="s">
        <v>8</v>
      </c>
      <c r="AD551" s="27" t="s">
        <v>7</v>
      </c>
      <c r="AE551" s="27" t="s">
        <v>8</v>
      </c>
      <c r="AF551" s="27" t="s">
        <v>7</v>
      </c>
      <c r="AG551" s="27" t="s">
        <v>8</v>
      </c>
      <c r="AH551" s="27" t="s">
        <v>7</v>
      </c>
      <c r="AI551" s="27" t="s">
        <v>8</v>
      </c>
      <c r="AJ551" s="27" t="s">
        <v>7</v>
      </c>
      <c r="AK551" s="27" t="s">
        <v>8</v>
      </c>
      <c r="AL551" s="27" t="s">
        <v>7</v>
      </c>
      <c r="AM551" s="27" t="s">
        <v>8</v>
      </c>
      <c r="AN551" s="27" t="s">
        <v>7</v>
      </c>
      <c r="AO551" s="27" t="s">
        <v>8</v>
      </c>
      <c r="AP551" s="27" t="s">
        <v>7</v>
      </c>
      <c r="AQ551" s="27" t="s">
        <v>8</v>
      </c>
      <c r="AR551" s="27" t="s">
        <v>7</v>
      </c>
      <c r="AU551" s="27" t="s">
        <v>8</v>
      </c>
      <c r="AW551" s="27" t="s">
        <v>8</v>
      </c>
      <c r="AX551" s="27" t="s">
        <v>7</v>
      </c>
      <c r="BA551" s="27" t="s">
        <v>8</v>
      </c>
      <c r="BB551" s="27" t="s">
        <v>7</v>
      </c>
      <c r="BC551" s="27" t="s">
        <v>8</v>
      </c>
      <c r="BT551" s="27" t="s">
        <v>7</v>
      </c>
      <c r="BU551" s="27" t="s">
        <v>8</v>
      </c>
      <c r="BV551" s="27" t="s">
        <v>7</v>
      </c>
      <c r="BW551" s="27" t="s">
        <v>8</v>
      </c>
      <c r="BX551" s="27" t="s">
        <v>7</v>
      </c>
      <c r="BY551" s="27" t="s">
        <v>8</v>
      </c>
      <c r="BZ551" s="27" t="s">
        <v>7</v>
      </c>
      <c r="CK551" s="27" t="s">
        <v>8</v>
      </c>
      <c r="CL551" s="27" t="s">
        <v>7</v>
      </c>
      <c r="CM551" s="27" t="s">
        <v>8</v>
      </c>
      <c r="CO551" s="27" t="s">
        <v>8</v>
      </c>
      <c r="CP551" s="27" t="s">
        <v>7</v>
      </c>
      <c r="CR551" s="27" t="s">
        <v>7</v>
      </c>
      <c r="CS551" s="27" t="s">
        <v>8</v>
      </c>
      <c r="CT551" s="27" t="s">
        <v>7</v>
      </c>
      <c r="CU551" s="27" t="s">
        <v>8</v>
      </c>
      <c r="CV551" s="27" t="s">
        <v>7</v>
      </c>
      <c r="CW551" s="27" t="s">
        <v>8</v>
      </c>
      <c r="CX551" s="27" t="s">
        <v>7</v>
      </c>
      <c r="CY551" s="27" t="s">
        <v>8</v>
      </c>
      <c r="CZ551" s="27" t="s">
        <v>7</v>
      </c>
      <c r="DB551" s="27" t="s">
        <v>7</v>
      </c>
      <c r="DC551" s="27" t="s">
        <v>8</v>
      </c>
      <c r="DD551" s="27" t="s">
        <v>7</v>
      </c>
      <c r="DF551" s="27" t="s">
        <v>7</v>
      </c>
      <c r="DH551" s="27" t="s">
        <v>7</v>
      </c>
      <c r="DJ551" s="27" t="s">
        <v>7</v>
      </c>
      <c r="DK551" s="27" t="s">
        <v>8</v>
      </c>
      <c r="DM551" s="27" t="s">
        <v>8</v>
      </c>
      <c r="DN551" s="27" t="s">
        <v>7</v>
      </c>
    </row>
    <row r="552" spans="1:124" x14ac:dyDescent="0.25">
      <c r="A552" s="7">
        <v>1.9998895526624565</v>
      </c>
      <c r="B552"/>
      <c r="C552"/>
      <c r="D552"/>
      <c r="E552" t="s">
        <v>8</v>
      </c>
      <c r="P552" s="27" t="s">
        <v>7</v>
      </c>
      <c r="Q552" s="27" t="s">
        <v>8</v>
      </c>
      <c r="AD552" s="27" t="s">
        <v>7</v>
      </c>
      <c r="AE552" s="27" t="s">
        <v>8</v>
      </c>
      <c r="AF552" s="27" t="s">
        <v>7</v>
      </c>
      <c r="AG552" s="27" t="s">
        <v>8</v>
      </c>
      <c r="AH552" s="27" t="s">
        <v>7</v>
      </c>
      <c r="AI552" s="27" t="s">
        <v>8</v>
      </c>
      <c r="AJ552" s="27" t="s">
        <v>7</v>
      </c>
      <c r="AK552" s="27" t="s">
        <v>8</v>
      </c>
      <c r="AL552" s="27" t="s">
        <v>7</v>
      </c>
      <c r="AM552" s="27" t="s">
        <v>8</v>
      </c>
      <c r="AN552" s="27" t="s">
        <v>7</v>
      </c>
      <c r="AO552" s="27" t="s">
        <v>8</v>
      </c>
      <c r="AP552" s="27" t="s">
        <v>7</v>
      </c>
      <c r="AQ552" s="27" t="s">
        <v>8</v>
      </c>
      <c r="AR552" s="27" t="s">
        <v>7</v>
      </c>
      <c r="AU552" s="27" t="s">
        <v>8</v>
      </c>
      <c r="AV552" s="27" t="s">
        <v>7</v>
      </c>
      <c r="AW552" s="27" t="s">
        <v>8</v>
      </c>
      <c r="AX552" s="27" t="s">
        <v>7</v>
      </c>
      <c r="AY552" s="27" t="s">
        <v>8</v>
      </c>
      <c r="BA552" s="27" t="s">
        <v>8</v>
      </c>
      <c r="BB552" s="27" t="s">
        <v>7</v>
      </c>
      <c r="BC552" s="27" t="s">
        <v>8</v>
      </c>
      <c r="BT552" s="27" t="s">
        <v>7</v>
      </c>
      <c r="BU552" s="27" t="s">
        <v>8</v>
      </c>
      <c r="BV552" s="27" t="s">
        <v>7</v>
      </c>
      <c r="BW552" s="27" t="s">
        <v>8</v>
      </c>
      <c r="BX552" s="27" t="s">
        <v>7</v>
      </c>
      <c r="BY552" s="27" t="s">
        <v>8</v>
      </c>
      <c r="BZ552" s="27" t="s">
        <v>7</v>
      </c>
      <c r="CK552" s="27" t="s">
        <v>8</v>
      </c>
      <c r="CL552" s="27" t="s">
        <v>7</v>
      </c>
      <c r="CM552" s="27" t="s">
        <v>8</v>
      </c>
      <c r="CN552" s="27" t="s">
        <v>7</v>
      </c>
      <c r="CO552" s="27" t="s">
        <v>8</v>
      </c>
      <c r="CR552" s="27" t="s">
        <v>7</v>
      </c>
      <c r="CS552" s="27" t="s">
        <v>8</v>
      </c>
      <c r="CT552" s="27" t="s">
        <v>7</v>
      </c>
      <c r="CU552" s="27" t="s">
        <v>8</v>
      </c>
      <c r="CV552" s="27" t="s">
        <v>7</v>
      </c>
      <c r="CW552" s="27" t="s">
        <v>8</v>
      </c>
      <c r="CX552" s="27" t="s">
        <v>7</v>
      </c>
      <c r="CY552" s="27" t="s">
        <v>8</v>
      </c>
      <c r="DB552" s="27" t="s">
        <v>7</v>
      </c>
      <c r="DC552" s="27" t="s">
        <v>8</v>
      </c>
      <c r="DJ552" s="27" t="s">
        <v>7</v>
      </c>
      <c r="DK552" s="27" t="s">
        <v>8</v>
      </c>
      <c r="DL552" s="27" t="s">
        <v>7</v>
      </c>
      <c r="DM552" s="27" t="s">
        <v>8</v>
      </c>
      <c r="DN552" s="27" t="s">
        <v>7</v>
      </c>
    </row>
    <row r="553" spans="1:124" x14ac:dyDescent="0.25">
      <c r="A553" s="7">
        <v>1.9606760320220162</v>
      </c>
      <c r="B553"/>
      <c r="C553"/>
      <c r="D553"/>
      <c r="E553" t="s">
        <v>8</v>
      </c>
      <c r="P553" s="27" t="s">
        <v>7</v>
      </c>
      <c r="Q553" s="27" t="s">
        <v>8</v>
      </c>
      <c r="AD553" s="27" t="s">
        <v>7</v>
      </c>
      <c r="AE553" s="27" t="s">
        <v>8</v>
      </c>
      <c r="AF553" s="27" t="s">
        <v>7</v>
      </c>
      <c r="AG553" s="27" t="s">
        <v>8</v>
      </c>
      <c r="AH553" s="27" t="s">
        <v>7</v>
      </c>
      <c r="AI553" s="27" t="s">
        <v>8</v>
      </c>
      <c r="AJ553" s="27" t="s">
        <v>7</v>
      </c>
      <c r="AK553" s="27" t="s">
        <v>8</v>
      </c>
      <c r="AL553" s="27" t="s">
        <v>7</v>
      </c>
      <c r="AM553" s="27" t="s">
        <v>8</v>
      </c>
      <c r="AN553" s="27" t="s">
        <v>7</v>
      </c>
      <c r="AO553" s="27" t="s">
        <v>8</v>
      </c>
      <c r="AP553" s="27" t="s">
        <v>7</v>
      </c>
      <c r="AQ553" s="27" t="s">
        <v>8</v>
      </c>
      <c r="AR553" s="27" t="s">
        <v>7</v>
      </c>
      <c r="AS553" s="27" t="s">
        <v>8</v>
      </c>
      <c r="AU553" s="27" t="s">
        <v>8</v>
      </c>
      <c r="AV553" s="27" t="s">
        <v>7</v>
      </c>
      <c r="AW553" s="27" t="s">
        <v>8</v>
      </c>
      <c r="AX553" s="27" t="s">
        <v>7</v>
      </c>
      <c r="AY553" s="27" t="s">
        <v>8</v>
      </c>
      <c r="AZ553" s="27" t="s">
        <v>7</v>
      </c>
      <c r="BA553" s="27" t="s">
        <v>8</v>
      </c>
      <c r="BB553" s="27" t="s">
        <v>7</v>
      </c>
      <c r="BC553" s="27" t="s">
        <v>8</v>
      </c>
      <c r="BT553" s="27" t="s">
        <v>7</v>
      </c>
      <c r="BU553" s="27" t="s">
        <v>8</v>
      </c>
      <c r="BV553" s="27" t="s">
        <v>7</v>
      </c>
      <c r="BW553" s="27" t="s">
        <v>8</v>
      </c>
      <c r="BX553" s="27" t="s">
        <v>7</v>
      </c>
      <c r="BY553" s="27" t="s">
        <v>8</v>
      </c>
      <c r="BZ553" s="27" t="s">
        <v>7</v>
      </c>
      <c r="CK553" s="27" t="s">
        <v>8</v>
      </c>
      <c r="CL553" s="27" t="s">
        <v>7</v>
      </c>
      <c r="CM553" s="27" t="s">
        <v>8</v>
      </c>
      <c r="CN553" s="27" t="s">
        <v>7</v>
      </c>
      <c r="CO553" s="27" t="s">
        <v>8</v>
      </c>
      <c r="CR553" s="27" t="s">
        <v>7</v>
      </c>
      <c r="CS553" s="27" t="s">
        <v>8</v>
      </c>
      <c r="CT553" s="27" t="s">
        <v>7</v>
      </c>
      <c r="CV553" s="27" t="s">
        <v>7</v>
      </c>
      <c r="CW553" s="27" t="s">
        <v>8</v>
      </c>
      <c r="CX553" s="27" t="s">
        <v>7</v>
      </c>
      <c r="CY553" s="27" t="s">
        <v>8</v>
      </c>
      <c r="DB553" s="27" t="s">
        <v>7</v>
      </c>
      <c r="DJ553" s="27" t="s">
        <v>7</v>
      </c>
      <c r="DK553" s="27" t="s">
        <v>8</v>
      </c>
      <c r="DL553" s="27" t="s">
        <v>7</v>
      </c>
      <c r="DM553" s="27" t="s">
        <v>8</v>
      </c>
      <c r="DN553" s="27" t="s">
        <v>7</v>
      </c>
    </row>
    <row r="554" spans="1:124" x14ac:dyDescent="0.25">
      <c r="A554" s="7">
        <v>1.9222314039431532</v>
      </c>
      <c r="B554"/>
      <c r="C554"/>
      <c r="D554"/>
      <c r="E554" t="s">
        <v>8</v>
      </c>
      <c r="P554" s="27" t="s">
        <v>7</v>
      </c>
      <c r="Q554" s="27" t="s">
        <v>8</v>
      </c>
      <c r="AD554" s="27" t="s">
        <v>7</v>
      </c>
      <c r="AE554" s="27" t="s">
        <v>8</v>
      </c>
      <c r="AF554" s="27" t="s">
        <v>7</v>
      </c>
      <c r="AG554" s="27" t="s">
        <v>8</v>
      </c>
      <c r="AH554" s="27" t="s">
        <v>7</v>
      </c>
      <c r="AI554" s="27" t="s">
        <v>8</v>
      </c>
      <c r="AJ554" s="27" t="s">
        <v>7</v>
      </c>
      <c r="AK554" s="27" t="s">
        <v>8</v>
      </c>
      <c r="AL554" s="27" t="s">
        <v>7</v>
      </c>
      <c r="AM554" s="27" t="s">
        <v>8</v>
      </c>
      <c r="AN554" s="27" t="s">
        <v>7</v>
      </c>
      <c r="AP554" s="27" t="s">
        <v>7</v>
      </c>
      <c r="AQ554" s="27" t="s">
        <v>8</v>
      </c>
      <c r="AR554" s="27" t="s">
        <v>7</v>
      </c>
      <c r="AS554" s="27" t="s">
        <v>8</v>
      </c>
      <c r="AT554" s="27" t="s">
        <v>7</v>
      </c>
      <c r="AU554" s="27" t="s">
        <v>8</v>
      </c>
      <c r="AV554" s="27" t="s">
        <v>7</v>
      </c>
      <c r="AW554" s="27" t="s">
        <v>8</v>
      </c>
      <c r="AX554" s="27" t="s">
        <v>7</v>
      </c>
      <c r="AY554" s="27" t="s">
        <v>8</v>
      </c>
      <c r="AZ554" s="27" t="s">
        <v>7</v>
      </c>
      <c r="BA554" s="27" t="s">
        <v>8</v>
      </c>
      <c r="BB554" s="27" t="s">
        <v>7</v>
      </c>
      <c r="BC554" s="27" t="s">
        <v>8</v>
      </c>
      <c r="BT554" s="27" t="s">
        <v>7</v>
      </c>
      <c r="BU554" s="27" t="s">
        <v>8</v>
      </c>
      <c r="BV554" s="27" t="s">
        <v>7</v>
      </c>
      <c r="BW554" s="27" t="s">
        <v>8</v>
      </c>
      <c r="BX554" s="27" t="s">
        <v>7</v>
      </c>
      <c r="BY554" s="27" t="s">
        <v>8</v>
      </c>
      <c r="BZ554" s="27" t="s">
        <v>7</v>
      </c>
      <c r="CK554" s="27" t="s">
        <v>8</v>
      </c>
      <c r="CL554" s="27" t="s">
        <v>7</v>
      </c>
      <c r="CN554" s="27" t="s">
        <v>7</v>
      </c>
      <c r="CO554" s="27" t="s">
        <v>8</v>
      </c>
      <c r="CR554" s="27" t="s">
        <v>7</v>
      </c>
      <c r="CV554" s="27" t="s">
        <v>7</v>
      </c>
      <c r="CW554" s="27" t="s">
        <v>8</v>
      </c>
      <c r="CX554" s="27" t="s">
        <v>7</v>
      </c>
      <c r="DJ554" s="27" t="s">
        <v>7</v>
      </c>
      <c r="DK554" s="27" t="s">
        <v>8</v>
      </c>
      <c r="DL554" s="27" t="s">
        <v>7</v>
      </c>
      <c r="DM554" s="27" t="s">
        <v>8</v>
      </c>
      <c r="DN554" s="27" t="s">
        <v>7</v>
      </c>
    </row>
    <row r="555" spans="1:124" x14ac:dyDescent="0.25">
      <c r="A555" s="7">
        <v>1.8845405921011305</v>
      </c>
      <c r="B555"/>
      <c r="C555"/>
      <c r="D555"/>
      <c r="E555" t="s">
        <v>8</v>
      </c>
      <c r="P555" s="27" t="s">
        <v>7</v>
      </c>
      <c r="AD555" s="27" t="s">
        <v>7</v>
      </c>
      <c r="AE555" s="27" t="s">
        <v>8</v>
      </c>
      <c r="AF555" s="27" t="s">
        <v>7</v>
      </c>
      <c r="AG555" s="27" t="s">
        <v>8</v>
      </c>
      <c r="AH555" s="27" t="s">
        <v>7</v>
      </c>
      <c r="AI555" s="27" t="s">
        <v>8</v>
      </c>
      <c r="AJ555" s="27" t="s">
        <v>7</v>
      </c>
      <c r="AK555" s="27" t="s">
        <v>8</v>
      </c>
      <c r="AL555" s="27" t="s">
        <v>7</v>
      </c>
      <c r="AP555" s="27" t="s">
        <v>7</v>
      </c>
      <c r="AQ555" s="27" t="s">
        <v>8</v>
      </c>
      <c r="AR555" s="27" t="s">
        <v>7</v>
      </c>
      <c r="AS555" s="27" t="s">
        <v>8</v>
      </c>
      <c r="AT555" s="27" t="s">
        <v>7</v>
      </c>
      <c r="AU555" s="27" t="s">
        <v>8</v>
      </c>
      <c r="AV555" s="27" t="s">
        <v>7</v>
      </c>
      <c r="AW555" s="27" t="s">
        <v>8</v>
      </c>
      <c r="AX555" s="27" t="s">
        <v>7</v>
      </c>
      <c r="AY555" s="27" t="s">
        <v>8</v>
      </c>
      <c r="AZ555" s="27" t="s">
        <v>7</v>
      </c>
      <c r="BA555" s="27" t="s">
        <v>8</v>
      </c>
      <c r="BB555" s="27" t="s">
        <v>7</v>
      </c>
      <c r="BT555" s="27" t="s">
        <v>7</v>
      </c>
      <c r="BV555" s="27" t="s">
        <v>7</v>
      </c>
      <c r="BX555" s="27" t="s">
        <v>7</v>
      </c>
      <c r="BY555" s="27" t="s">
        <v>8</v>
      </c>
      <c r="BZ555" s="27" t="s">
        <v>7</v>
      </c>
      <c r="CI555" s="27" t="s">
        <v>8</v>
      </c>
      <c r="CK555" s="27" t="s">
        <v>8</v>
      </c>
      <c r="CN555" s="27" t="s">
        <v>7</v>
      </c>
      <c r="CO555" s="27" t="s">
        <v>8</v>
      </c>
      <c r="CV555" s="27" t="s">
        <v>7</v>
      </c>
      <c r="CW555" s="27" t="s">
        <v>8</v>
      </c>
      <c r="DJ555" s="27" t="s">
        <v>7</v>
      </c>
      <c r="DK555" s="27" t="s">
        <v>8</v>
      </c>
      <c r="DL555" s="27" t="s">
        <v>7</v>
      </c>
      <c r="DN555" s="27" t="s">
        <v>7</v>
      </c>
    </row>
    <row r="556" spans="1:124" x14ac:dyDescent="0.25">
      <c r="A556" s="7">
        <v>1.8475888157854219</v>
      </c>
      <c r="B556"/>
      <c r="C556"/>
      <c r="D556"/>
      <c r="E556" t="s">
        <v>8</v>
      </c>
      <c r="AD556" s="27" t="s">
        <v>7</v>
      </c>
      <c r="AE556" s="27" t="s">
        <v>8</v>
      </c>
      <c r="AF556" s="27" t="s">
        <v>7</v>
      </c>
      <c r="AG556" s="27" t="s">
        <v>8</v>
      </c>
      <c r="AH556" s="27" t="s">
        <v>7</v>
      </c>
      <c r="AI556" s="27" t="s">
        <v>8</v>
      </c>
      <c r="AJ556" s="27" t="s">
        <v>7</v>
      </c>
      <c r="AK556" s="27" t="s">
        <v>8</v>
      </c>
      <c r="AP556" s="27" t="s">
        <v>7</v>
      </c>
      <c r="AQ556" s="27" t="s">
        <v>8</v>
      </c>
      <c r="AR556" s="27" t="s">
        <v>7</v>
      </c>
      <c r="AT556" s="27" t="s">
        <v>7</v>
      </c>
      <c r="AU556" s="27" t="s">
        <v>8</v>
      </c>
      <c r="AV556" s="27" t="s">
        <v>7</v>
      </c>
      <c r="AX556" s="27" t="s">
        <v>7</v>
      </c>
      <c r="AY556" s="27" t="s">
        <v>8</v>
      </c>
      <c r="AZ556" s="27" t="s">
        <v>7</v>
      </c>
      <c r="BX556" s="27" t="s">
        <v>7</v>
      </c>
      <c r="BY556" s="27" t="s">
        <v>8</v>
      </c>
      <c r="BZ556" s="27" t="s">
        <v>7</v>
      </c>
      <c r="CI556" s="27" t="s">
        <v>8</v>
      </c>
      <c r="CJ556" s="27" t="s">
        <v>7</v>
      </c>
      <c r="CK556" s="27" t="s">
        <v>8</v>
      </c>
      <c r="CN556" s="27" t="s">
        <v>7</v>
      </c>
      <c r="CO556" s="27" t="s">
        <v>8</v>
      </c>
      <c r="CV556" s="27" t="s">
        <v>7</v>
      </c>
      <c r="CW556" s="27" t="s">
        <v>8</v>
      </c>
      <c r="DJ556" s="27" t="s">
        <v>7</v>
      </c>
      <c r="DK556" s="27" t="s">
        <v>8</v>
      </c>
      <c r="DN556" s="27" t="s">
        <v>7</v>
      </c>
    </row>
    <row r="557" spans="1:124" x14ac:dyDescent="0.25">
      <c r="A557" s="7">
        <v>1.8113615841033548</v>
      </c>
      <c r="B557"/>
      <c r="C557"/>
      <c r="D557"/>
      <c r="E557" t="s">
        <v>8</v>
      </c>
      <c r="AD557" s="27" t="s">
        <v>7</v>
      </c>
      <c r="AE557" s="27" t="s">
        <v>8</v>
      </c>
      <c r="AF557" s="27" t="s">
        <v>7</v>
      </c>
      <c r="AG557" s="27" t="s">
        <v>8</v>
      </c>
      <c r="AH557" s="27" t="s">
        <v>7</v>
      </c>
      <c r="AI557" s="27" t="s">
        <v>8</v>
      </c>
      <c r="AJ557" s="27" t="s">
        <v>7</v>
      </c>
      <c r="AP557" s="27" t="s">
        <v>7</v>
      </c>
      <c r="AQ557" s="27" t="s">
        <v>8</v>
      </c>
      <c r="AT557" s="27" t="s">
        <v>7</v>
      </c>
      <c r="AU557" s="27" t="s">
        <v>8</v>
      </c>
      <c r="AX557" s="27" t="s">
        <v>7</v>
      </c>
      <c r="BX557" s="27" t="s">
        <v>7</v>
      </c>
      <c r="BZ557" s="27" t="s">
        <v>7</v>
      </c>
      <c r="CG557" s="27" t="s">
        <v>8</v>
      </c>
      <c r="CI557" s="27" t="s">
        <v>8</v>
      </c>
      <c r="CJ557" s="27" t="s">
        <v>7</v>
      </c>
      <c r="CK557" s="27" t="s">
        <v>8</v>
      </c>
      <c r="CN557" s="27" t="s">
        <v>7</v>
      </c>
      <c r="CO557" s="27" t="s">
        <v>8</v>
      </c>
      <c r="CV557" s="27" t="s">
        <v>7</v>
      </c>
      <c r="CW557" s="27" t="s">
        <v>8</v>
      </c>
      <c r="DJ557" s="27" t="s">
        <v>7</v>
      </c>
      <c r="DK557" s="27" t="s">
        <v>8</v>
      </c>
      <c r="DN557" s="27" t="s">
        <v>7</v>
      </c>
      <c r="DO557" s="27" t="s">
        <v>8</v>
      </c>
      <c r="DS557" s="27" t="s">
        <v>8</v>
      </c>
    </row>
    <row r="558" spans="1:124" x14ac:dyDescent="0.25">
      <c r="A558" s="7">
        <v>1.7758446902974065</v>
      </c>
      <c r="B558"/>
      <c r="C558"/>
      <c r="D558"/>
      <c r="E558" t="s">
        <v>8</v>
      </c>
      <c r="AD558" s="27" t="s">
        <v>7</v>
      </c>
      <c r="AE558" s="27" t="s">
        <v>8</v>
      </c>
      <c r="AF558" s="27" t="s">
        <v>7</v>
      </c>
      <c r="AG558" s="27" t="s">
        <v>8</v>
      </c>
      <c r="AH558" s="27" t="s">
        <v>7</v>
      </c>
      <c r="AI558" s="27" t="s">
        <v>8</v>
      </c>
      <c r="AP558" s="27" t="s">
        <v>7</v>
      </c>
      <c r="AT558" s="27" t="s">
        <v>7</v>
      </c>
      <c r="AU558" s="27" t="s">
        <v>8</v>
      </c>
      <c r="BZ558" s="27" t="s">
        <v>7</v>
      </c>
      <c r="CA558" s="27" t="s">
        <v>8</v>
      </c>
      <c r="CG558" s="27" t="s">
        <v>8</v>
      </c>
      <c r="CH558" s="27" t="s">
        <v>7</v>
      </c>
      <c r="CI558" s="27" t="s">
        <v>8</v>
      </c>
      <c r="CJ558" s="27" t="s">
        <v>7</v>
      </c>
      <c r="CK558" s="27" t="s">
        <v>8</v>
      </c>
      <c r="CN558" s="27" t="s">
        <v>7</v>
      </c>
      <c r="CO558" s="27" t="s">
        <v>8</v>
      </c>
      <c r="CV558" s="27" t="s">
        <v>7</v>
      </c>
      <c r="CW558" s="27" t="s">
        <v>8</v>
      </c>
      <c r="DJ558" s="27" t="s">
        <v>7</v>
      </c>
      <c r="DN558" s="27" t="s">
        <v>7</v>
      </c>
      <c r="DO558" s="27" t="s">
        <v>8</v>
      </c>
      <c r="DP558" s="27" t="s">
        <v>7</v>
      </c>
      <c r="DQ558" s="27" t="s">
        <v>8</v>
      </c>
      <c r="DS558" s="27" t="s">
        <v>8</v>
      </c>
      <c r="DT558" s="27" t="s">
        <v>7</v>
      </c>
    </row>
    <row r="559" spans="1:124" x14ac:dyDescent="0.25">
      <c r="A559" s="7">
        <v>1.7410242061739281</v>
      </c>
      <c r="B559"/>
      <c r="C559"/>
      <c r="D559"/>
      <c r="E559" t="s">
        <v>8</v>
      </c>
      <c r="AD559" s="27" t="s">
        <v>7</v>
      </c>
      <c r="AE559" s="27" t="s">
        <v>8</v>
      </c>
      <c r="AF559" s="27" t="s">
        <v>7</v>
      </c>
      <c r="AH559" s="27" t="s">
        <v>7</v>
      </c>
      <c r="AI559" s="27" t="s">
        <v>8</v>
      </c>
      <c r="AT559" s="27" t="s">
        <v>7</v>
      </c>
      <c r="AU559" s="27" t="s">
        <v>8</v>
      </c>
      <c r="BZ559" s="27" t="s">
        <v>7</v>
      </c>
      <c r="CA559" s="27" t="s">
        <v>8</v>
      </c>
      <c r="CB559" s="27" t="s">
        <v>7</v>
      </c>
      <c r="CE559" s="27" t="s">
        <v>8</v>
      </c>
      <c r="CG559" s="27" t="s">
        <v>8</v>
      </c>
      <c r="CH559" s="27" t="s">
        <v>7</v>
      </c>
      <c r="CI559" s="27" t="s">
        <v>8</v>
      </c>
      <c r="CJ559" s="27" t="s">
        <v>7</v>
      </c>
      <c r="CK559" s="27" t="s">
        <v>8</v>
      </c>
      <c r="CN559" s="27" t="s">
        <v>7</v>
      </c>
      <c r="CO559" s="27" t="s">
        <v>8</v>
      </c>
      <c r="CV559" s="27" t="s">
        <v>7</v>
      </c>
      <c r="CW559" s="27" t="s">
        <v>8</v>
      </c>
      <c r="DN559" s="27" t="s">
        <v>7</v>
      </c>
      <c r="DO559" s="27" t="s">
        <v>8</v>
      </c>
      <c r="DP559" s="27" t="s">
        <v>7</v>
      </c>
      <c r="DQ559" s="27" t="s">
        <v>8</v>
      </c>
      <c r="DR559" s="27" t="s">
        <v>7</v>
      </c>
      <c r="DS559" s="27" t="s">
        <v>8</v>
      </c>
      <c r="DT559" s="27" t="s">
        <v>7</v>
      </c>
    </row>
    <row r="560" spans="1:124" x14ac:dyDescent="0.25">
      <c r="A560" s="7">
        <v>1.7068864766411058</v>
      </c>
      <c r="B560"/>
      <c r="C560"/>
      <c r="D560"/>
      <c r="E560" t="s">
        <v>8</v>
      </c>
      <c r="AD560" s="27" t="s">
        <v>7</v>
      </c>
      <c r="AE560" s="27" t="s">
        <v>8</v>
      </c>
      <c r="AH560" s="27" t="s">
        <v>7</v>
      </c>
      <c r="AI560" s="27" t="s">
        <v>8</v>
      </c>
      <c r="AT560" s="27" t="s">
        <v>7</v>
      </c>
      <c r="AU560" s="27" t="s">
        <v>8</v>
      </c>
      <c r="BZ560" s="27" t="s">
        <v>7</v>
      </c>
      <c r="CA560" s="27" t="s">
        <v>8</v>
      </c>
      <c r="CB560" s="27" t="s">
        <v>7</v>
      </c>
      <c r="CE560" s="27" t="s">
        <v>8</v>
      </c>
      <c r="CF560" s="27" t="s">
        <v>7</v>
      </c>
      <c r="CG560" s="27" t="s">
        <v>8</v>
      </c>
      <c r="CH560" s="27" t="s">
        <v>7</v>
      </c>
      <c r="CI560" s="27" t="s">
        <v>8</v>
      </c>
      <c r="CJ560" s="27" t="s">
        <v>7</v>
      </c>
      <c r="CK560" s="27" t="s">
        <v>8</v>
      </c>
      <c r="CN560" s="27" t="s">
        <v>7</v>
      </c>
      <c r="CO560" s="27" t="s">
        <v>8</v>
      </c>
      <c r="CV560" s="27" t="s">
        <v>7</v>
      </c>
      <c r="DN560" s="27" t="s">
        <v>7</v>
      </c>
      <c r="DP560" s="27" t="s">
        <v>7</v>
      </c>
      <c r="DQ560" s="27" t="s">
        <v>8</v>
      </c>
      <c r="DR560" s="27" t="s">
        <v>7</v>
      </c>
      <c r="DS560" s="27" t="s">
        <v>8</v>
      </c>
      <c r="DT560" s="27" t="s">
        <v>7</v>
      </c>
    </row>
    <row r="561" spans="1:138" x14ac:dyDescent="0.25">
      <c r="A561" s="7">
        <v>1.6734181143540252</v>
      </c>
      <c r="B561"/>
      <c r="C561"/>
      <c r="D561"/>
      <c r="E561" t="s">
        <v>8</v>
      </c>
      <c r="AD561" s="27" t="s">
        <v>7</v>
      </c>
      <c r="AE561" s="27" t="s">
        <v>8</v>
      </c>
      <c r="AH561" s="27" t="s">
        <v>7</v>
      </c>
      <c r="AT561" s="27" t="s">
        <v>7</v>
      </c>
      <c r="AU561" s="27" t="s">
        <v>8</v>
      </c>
      <c r="BZ561" s="27" t="s">
        <v>7</v>
      </c>
      <c r="CA561" s="27" t="s">
        <v>8</v>
      </c>
      <c r="CB561" s="27" t="s">
        <v>7</v>
      </c>
      <c r="CE561" s="27" t="s">
        <v>8</v>
      </c>
      <c r="CF561" s="27" t="s">
        <v>7</v>
      </c>
      <c r="CG561" s="27" t="s">
        <v>8</v>
      </c>
      <c r="CH561" s="27" t="s">
        <v>7</v>
      </c>
      <c r="CI561" s="27" t="s">
        <v>8</v>
      </c>
      <c r="CJ561" s="27" t="s">
        <v>7</v>
      </c>
      <c r="CN561" s="27" t="s">
        <v>7</v>
      </c>
      <c r="DP561" s="27" t="s">
        <v>7</v>
      </c>
      <c r="DQ561" s="27" t="s">
        <v>8</v>
      </c>
      <c r="DR561" s="27" t="s">
        <v>7</v>
      </c>
      <c r="DT561" s="27" t="s">
        <v>7</v>
      </c>
    </row>
    <row r="562" spans="1:138" x14ac:dyDescent="0.25">
      <c r="A562" s="7">
        <v>1.6406059944647307</v>
      </c>
      <c r="B562"/>
      <c r="C562"/>
      <c r="D562"/>
      <c r="E562" t="s">
        <v>8</v>
      </c>
      <c r="AD562" s="27" t="s">
        <v>7</v>
      </c>
      <c r="AE562" s="27" t="s">
        <v>8</v>
      </c>
      <c r="AT562" s="18" t="s">
        <v>7</v>
      </c>
      <c r="AU562" s="27" t="s">
        <v>8</v>
      </c>
      <c r="BZ562" s="27" t="s">
        <v>7</v>
      </c>
      <c r="CA562" s="27" t="s">
        <v>8</v>
      </c>
      <c r="CB562" s="27" t="s">
        <v>7</v>
      </c>
      <c r="CE562" s="27" t="s">
        <v>8</v>
      </c>
      <c r="CF562" s="27" t="s">
        <v>7</v>
      </c>
      <c r="CG562" s="27" t="s">
        <v>8</v>
      </c>
      <c r="CH562" s="27" t="s">
        <v>7</v>
      </c>
      <c r="DP562" s="27" t="s">
        <v>7</v>
      </c>
      <c r="DQ562" s="27" t="s">
        <v>8</v>
      </c>
      <c r="DT562" s="27" t="s">
        <v>7</v>
      </c>
    </row>
    <row r="563" spans="1:138" x14ac:dyDescent="0.25">
      <c r="A563" s="7">
        <v>1.6084372494752261</v>
      </c>
      <c r="B563"/>
      <c r="C563"/>
      <c r="D563"/>
      <c r="E563" t="s">
        <v>8</v>
      </c>
      <c r="AD563" s="27" t="s">
        <v>7</v>
      </c>
      <c r="AE563" s="27" t="s">
        <v>8</v>
      </c>
      <c r="AT563" s="27" t="s">
        <v>7</v>
      </c>
      <c r="AU563" s="27" t="s">
        <v>8</v>
      </c>
      <c r="BZ563" s="27" t="s">
        <v>7</v>
      </c>
      <c r="CA563" s="27" t="s">
        <v>8</v>
      </c>
      <c r="CB563" s="27" t="s">
        <v>7</v>
      </c>
      <c r="CE563" s="27" t="s">
        <v>8</v>
      </c>
      <c r="CF563" s="27" t="s">
        <v>7</v>
      </c>
      <c r="CG563" s="27" t="s">
        <v>8</v>
      </c>
      <c r="DP563" s="27" t="s">
        <v>7</v>
      </c>
      <c r="DT563" s="27" t="s">
        <v>7</v>
      </c>
    </row>
    <row r="564" spans="1:138" x14ac:dyDescent="0.25">
      <c r="A564" s="7">
        <v>1.5768992641913981</v>
      </c>
      <c r="B564"/>
      <c r="C564"/>
      <c r="D564"/>
      <c r="E564" t="s">
        <v>8</v>
      </c>
      <c r="AD564" s="27" t="s">
        <v>7</v>
      </c>
      <c r="AT564" s="27" t="s">
        <v>7</v>
      </c>
      <c r="AU564" s="27" t="s">
        <v>8</v>
      </c>
      <c r="BZ564" s="27" t="s">
        <v>7</v>
      </c>
      <c r="CA564" s="27" t="s">
        <v>8</v>
      </c>
      <c r="CB564" s="27" t="s">
        <v>7</v>
      </c>
      <c r="CC564" s="27" t="s">
        <v>8</v>
      </c>
      <c r="CE564" s="27" t="s">
        <v>8</v>
      </c>
      <c r="CF564" s="27" t="s">
        <v>7</v>
      </c>
      <c r="DT564" s="27" t="s">
        <v>7</v>
      </c>
    </row>
    <row r="565" spans="1:138" x14ac:dyDescent="0.25">
      <c r="A565" s="7">
        <v>1.5459796707758806</v>
      </c>
      <c r="B565"/>
      <c r="C565"/>
      <c r="D565"/>
      <c r="E565" t="s">
        <v>8</v>
      </c>
      <c r="AT565" s="27" t="s">
        <v>7</v>
      </c>
      <c r="AU565" s="27" t="s">
        <v>8</v>
      </c>
      <c r="BZ565" s="27" t="s">
        <v>7</v>
      </c>
      <c r="CA565" s="27" t="s">
        <v>8</v>
      </c>
      <c r="CB565" s="27" t="s">
        <v>7</v>
      </c>
      <c r="CC565" s="27" t="s">
        <v>8</v>
      </c>
      <c r="CD565" s="27" t="s">
        <v>7</v>
      </c>
      <c r="CE565" s="27" t="s">
        <v>8</v>
      </c>
      <c r="DT565" s="27" t="s">
        <v>7</v>
      </c>
    </row>
    <row r="566" spans="1:138" x14ac:dyDescent="0.25">
      <c r="A566" s="7">
        <v>1.5156663438979221</v>
      </c>
      <c r="B566"/>
      <c r="C566"/>
      <c r="D566"/>
      <c r="E566" t="s">
        <v>8</v>
      </c>
      <c r="AT566" s="27" t="s">
        <v>7</v>
      </c>
      <c r="AU566" s="27" t="s">
        <v>8</v>
      </c>
      <c r="BZ566" s="27" t="s">
        <v>7</v>
      </c>
      <c r="CB566" s="27" t="s">
        <v>7</v>
      </c>
      <c r="CC566" s="27" t="s">
        <v>8</v>
      </c>
      <c r="CD566" s="27" t="s">
        <v>7</v>
      </c>
      <c r="CE566" s="27" t="s">
        <v>8</v>
      </c>
      <c r="DT566" s="27" t="s">
        <v>7</v>
      </c>
    </row>
    <row r="567" spans="1:138" x14ac:dyDescent="0.25">
      <c r="A567" s="7">
        <v>1.4859473959783549</v>
      </c>
      <c r="B567"/>
      <c r="C567"/>
      <c r="D567"/>
      <c r="E567" t="s">
        <v>8</v>
      </c>
      <c r="AT567" s="27" t="s">
        <v>7</v>
      </c>
      <c r="AU567" s="27" t="s">
        <v>8</v>
      </c>
      <c r="CB567" s="27" t="s">
        <v>7</v>
      </c>
      <c r="CD567" s="27" t="s">
        <v>7</v>
      </c>
      <c r="CE567" s="27" t="s">
        <v>8</v>
      </c>
      <c r="DT567" s="27" t="s">
        <v>7</v>
      </c>
    </row>
    <row r="568" spans="1:138" x14ac:dyDescent="0.25">
      <c r="A568" s="7">
        <v>1.4568111725277988</v>
      </c>
      <c r="B568"/>
      <c r="C568"/>
      <c r="D568"/>
      <c r="E568" t="s">
        <v>8</v>
      </c>
      <c r="AT568" s="27" t="s">
        <v>7</v>
      </c>
      <c r="CD568" s="27" t="s">
        <v>7</v>
      </c>
      <c r="CE568" s="27" t="s">
        <v>8</v>
      </c>
      <c r="DT568" s="27" t="s">
        <v>7</v>
      </c>
    </row>
    <row r="569" spans="1:138" x14ac:dyDescent="0.25">
      <c r="A569" s="7">
        <v>1.4282462475762734</v>
      </c>
      <c r="B569"/>
      <c r="C569"/>
      <c r="D569"/>
      <c r="E569" t="s">
        <v>8</v>
      </c>
      <c r="CD569" s="27" t="s">
        <v>7</v>
      </c>
      <c r="CE569" s="27" t="s">
        <v>8</v>
      </c>
      <c r="DT569" s="27" t="s">
        <v>7</v>
      </c>
    </row>
    <row r="570" spans="1:138" x14ac:dyDescent="0.25">
      <c r="A570" s="7">
        <v>1.4002414191924248</v>
      </c>
      <c r="B570"/>
      <c r="C570"/>
      <c r="D570"/>
      <c r="E570" t="s">
        <v>8</v>
      </c>
      <c r="CD570" s="27" t="s">
        <v>7</v>
      </c>
      <c r="DT570" s="27" t="s">
        <v>7</v>
      </c>
    </row>
    <row r="571" spans="1:138" x14ac:dyDescent="0.25">
      <c r="A571" s="7">
        <v>1.3727857050906125</v>
      </c>
      <c r="B571"/>
      <c r="C571"/>
      <c r="D571"/>
      <c r="E571" t="s">
        <v>8</v>
      </c>
      <c r="DT571" s="27" t="s">
        <v>7</v>
      </c>
      <c r="DU571" s="27" t="s">
        <v>8</v>
      </c>
      <c r="DW571" s="27" t="s">
        <v>8</v>
      </c>
    </row>
    <row r="572" spans="1:138" x14ac:dyDescent="0.25">
      <c r="A572" s="7">
        <v>1.3458683383241299</v>
      </c>
      <c r="B572"/>
      <c r="C572"/>
      <c r="D572"/>
      <c r="E572" t="s">
        <v>8</v>
      </c>
      <c r="DT572" s="27" t="s">
        <v>7</v>
      </c>
      <c r="DU572" s="27" t="s">
        <v>8</v>
      </c>
      <c r="DV572" s="27" t="s">
        <v>7</v>
      </c>
      <c r="DW572" s="27" t="s">
        <v>8</v>
      </c>
      <c r="DX572" s="27" t="s">
        <v>7</v>
      </c>
    </row>
    <row r="573" spans="1:138" x14ac:dyDescent="0.25">
      <c r="A573" s="7">
        <v>1.3194787630628724</v>
      </c>
      <c r="B573"/>
      <c r="C573"/>
      <c r="D573"/>
      <c r="E573" t="s">
        <v>8</v>
      </c>
      <c r="DT573" s="27" t="s">
        <v>7</v>
      </c>
      <c r="DU573" s="27" t="s">
        <v>8</v>
      </c>
      <c r="DV573" s="27" t="s">
        <v>7</v>
      </c>
      <c r="DW573" s="27" t="s">
        <v>8</v>
      </c>
      <c r="DX573" s="27" t="s">
        <v>7</v>
      </c>
      <c r="EG573" s="27" t="s">
        <v>8</v>
      </c>
    </row>
    <row r="574" spans="1:138" x14ac:dyDescent="0.25">
      <c r="A574" s="7">
        <v>1.2936066304537963</v>
      </c>
      <c r="B574"/>
      <c r="C574"/>
      <c r="D574"/>
      <c r="E574" t="s">
        <v>8</v>
      </c>
      <c r="DT574" s="27" t="s">
        <v>7</v>
      </c>
      <c r="DU574" s="27" t="s">
        <v>8</v>
      </c>
      <c r="DV574" s="27" t="s">
        <v>7</v>
      </c>
      <c r="DW574" s="27" t="s">
        <v>8</v>
      </c>
      <c r="DX574" s="27" t="s">
        <v>7</v>
      </c>
      <c r="EG574" s="27" t="s">
        <v>8</v>
      </c>
      <c r="EH574" s="27" t="s">
        <v>7</v>
      </c>
    </row>
    <row r="575" spans="1:138" x14ac:dyDescent="0.25">
      <c r="A575" s="7">
        <v>1.2682417945625455</v>
      </c>
      <c r="B575"/>
      <c r="C575"/>
      <c r="D575"/>
      <c r="E575" t="s">
        <v>8</v>
      </c>
      <c r="DT575" s="27" t="s">
        <v>7</v>
      </c>
      <c r="DU575" s="27" t="s">
        <v>8</v>
      </c>
      <c r="DV575" s="27" t="s">
        <v>7</v>
      </c>
      <c r="DW575" s="27" t="s">
        <v>8</v>
      </c>
      <c r="DX575" s="27" t="s">
        <v>7</v>
      </c>
      <c r="EG575" s="27" t="s">
        <v>8</v>
      </c>
      <c r="EH575" s="27" t="s">
        <v>7</v>
      </c>
    </row>
    <row r="576" spans="1:138" x14ac:dyDescent="0.25">
      <c r="A576" s="7">
        <v>1.2433743083946525</v>
      </c>
      <c r="B576"/>
      <c r="C576"/>
      <c r="D576"/>
      <c r="E576" t="s">
        <v>8</v>
      </c>
      <c r="DT576" s="27" t="s">
        <v>7</v>
      </c>
      <c r="DU576" s="27" t="s">
        <v>8</v>
      </c>
      <c r="DV576" s="27" t="s">
        <v>7</v>
      </c>
      <c r="DW576" s="27" t="s">
        <v>8</v>
      </c>
      <c r="DX576" s="27" t="s">
        <v>7</v>
      </c>
      <c r="EG576" s="27" t="s">
        <v>8</v>
      </c>
      <c r="EH576" s="27" t="s">
        <v>7</v>
      </c>
    </row>
    <row r="577" spans="1:142" x14ac:dyDescent="0.25">
      <c r="A577" s="7">
        <v>1.2189944199947573</v>
      </c>
      <c r="B577"/>
      <c r="C577"/>
      <c r="D577"/>
      <c r="E577" t="s">
        <v>8</v>
      </c>
      <c r="DT577" s="27" t="s">
        <v>7</v>
      </c>
      <c r="DU577" s="27" t="s">
        <v>8</v>
      </c>
      <c r="DV577" s="27" t="s">
        <v>7</v>
      </c>
      <c r="DW577" s="27" t="s">
        <v>8</v>
      </c>
      <c r="DX577" s="27" t="s">
        <v>7</v>
      </c>
      <c r="DY577" s="27" t="s">
        <v>8</v>
      </c>
      <c r="EE577" s="27" t="s">
        <v>8</v>
      </c>
      <c r="EG577" s="27" t="s">
        <v>8</v>
      </c>
      <c r="EH577" s="27" t="s">
        <v>7</v>
      </c>
      <c r="EI577" s="27" t="s">
        <v>8</v>
      </c>
    </row>
    <row r="578" spans="1:142" x14ac:dyDescent="0.25">
      <c r="A578" s="7">
        <v>1.1950925686223111</v>
      </c>
      <c r="B578"/>
      <c r="C578"/>
      <c r="D578"/>
      <c r="E578" t="s">
        <v>8</v>
      </c>
      <c r="DT578" s="27" t="s">
        <v>7</v>
      </c>
      <c r="DU578" s="27" t="s">
        <v>8</v>
      </c>
      <c r="DV578" s="27" t="s">
        <v>7</v>
      </c>
      <c r="DW578" s="27" t="s">
        <v>8</v>
      </c>
      <c r="DX578" s="27" t="s">
        <v>7</v>
      </c>
      <c r="DY578" s="27" t="s">
        <v>8</v>
      </c>
      <c r="DZ578" s="27" t="s">
        <v>7</v>
      </c>
      <c r="EE578" s="27" t="s">
        <v>8</v>
      </c>
      <c r="EF578" s="27" t="s">
        <v>7</v>
      </c>
      <c r="EG578" s="27" t="s">
        <v>8</v>
      </c>
      <c r="EH578" s="27" t="s">
        <v>7</v>
      </c>
      <c r="EI578" s="27" t="s">
        <v>8</v>
      </c>
      <c r="EJ578" s="27" t="s">
        <v>7</v>
      </c>
    </row>
    <row r="579" spans="1:142" x14ac:dyDescent="0.25">
      <c r="A579" s="7">
        <v>1.1716593810022657</v>
      </c>
      <c r="B579"/>
      <c r="C579"/>
      <c r="D579"/>
      <c r="E579" t="s">
        <v>8</v>
      </c>
      <c r="DT579" s="27" t="s">
        <v>7</v>
      </c>
      <c r="DU579" s="27" t="s">
        <v>8</v>
      </c>
      <c r="DV579" s="27" t="s">
        <v>7</v>
      </c>
      <c r="DW579" s="27" t="s">
        <v>8</v>
      </c>
      <c r="DX579" s="27" t="s">
        <v>7</v>
      </c>
      <c r="DY579" s="27" t="s">
        <v>8</v>
      </c>
      <c r="DZ579" s="27" t="s">
        <v>7</v>
      </c>
      <c r="EE579" s="27" t="s">
        <v>8</v>
      </c>
      <c r="EF579" s="27" t="s">
        <v>7</v>
      </c>
      <c r="EG579" s="27" t="s">
        <v>8</v>
      </c>
      <c r="EH579" s="27" t="s">
        <v>7</v>
      </c>
      <c r="EI579" s="27" t="s">
        <v>8</v>
      </c>
      <c r="EJ579" s="27" t="s">
        <v>7</v>
      </c>
    </row>
    <row r="580" spans="1:142" x14ac:dyDescent="0.25">
      <c r="A580" s="7">
        <v>1.14868566764928</v>
      </c>
      <c r="B580"/>
      <c r="C580"/>
      <c r="D580"/>
      <c r="E580" t="s">
        <v>8</v>
      </c>
      <c r="DT580" s="27" t="s">
        <v>7</v>
      </c>
      <c r="DU580" s="27" t="s">
        <v>8</v>
      </c>
      <c r="DV580" s="27" t="s">
        <v>7</v>
      </c>
      <c r="DW580" s="27" t="s">
        <v>8</v>
      </c>
      <c r="DX580" s="27" t="s">
        <v>7</v>
      </c>
      <c r="DY580" s="27" t="s">
        <v>8</v>
      </c>
      <c r="DZ580" s="27" t="s">
        <v>7</v>
      </c>
      <c r="EE580" s="27" t="s">
        <v>8</v>
      </c>
      <c r="EF580" s="27" t="s">
        <v>7</v>
      </c>
      <c r="EG580" s="27" t="s">
        <v>8</v>
      </c>
      <c r="EH580" s="27" t="s">
        <v>7</v>
      </c>
      <c r="EI580" s="27" t="s">
        <v>8</v>
      </c>
      <c r="EJ580" s="27" t="s">
        <v>7</v>
      </c>
    </row>
    <row r="581" spans="1:142" x14ac:dyDescent="0.25">
      <c r="A581" s="7">
        <v>1.1261624192640001</v>
      </c>
      <c r="B581"/>
      <c r="C581"/>
      <c r="D581"/>
      <c r="E581" t="s">
        <v>8</v>
      </c>
      <c r="DT581" s="27" t="s">
        <v>7</v>
      </c>
      <c r="DU581" s="27" t="s">
        <v>8</v>
      </c>
      <c r="DV581" s="27" t="s">
        <v>7</v>
      </c>
      <c r="DX581" s="27" t="s">
        <v>7</v>
      </c>
      <c r="DZ581" s="27" t="s">
        <v>7</v>
      </c>
      <c r="EA581" s="27" t="s">
        <v>8</v>
      </c>
      <c r="EE581" s="27" t="s">
        <v>8</v>
      </c>
      <c r="EF581" s="27" t="s">
        <v>7</v>
      </c>
      <c r="EG581" s="27" t="s">
        <v>8</v>
      </c>
      <c r="EH581" s="27" t="s">
        <v>7</v>
      </c>
      <c r="EI581" s="27" t="s">
        <v>8</v>
      </c>
      <c r="EJ581" s="27" t="s">
        <v>7</v>
      </c>
    </row>
    <row r="582" spans="1:142" x14ac:dyDescent="0.25">
      <c r="A582" s="7">
        <v>1.1040808032</v>
      </c>
      <c r="B582"/>
      <c r="C582"/>
      <c r="D582"/>
      <c r="E582" t="s">
        <v>8</v>
      </c>
      <c r="DT582" s="27" t="s">
        <v>7</v>
      </c>
      <c r="DU582" s="27" t="s">
        <v>8</v>
      </c>
      <c r="DZ582" s="27" t="s">
        <v>7</v>
      </c>
      <c r="EA582" s="27" t="s">
        <v>8</v>
      </c>
      <c r="EB582" s="27" t="s">
        <v>7</v>
      </c>
      <c r="EC582" s="27" t="s">
        <v>8</v>
      </c>
      <c r="EE582" s="27" t="s">
        <v>8</v>
      </c>
      <c r="EF582" s="27" t="s">
        <v>7</v>
      </c>
      <c r="EG582" s="27" t="s">
        <v>8</v>
      </c>
      <c r="EH582" s="27" t="s">
        <v>7</v>
      </c>
      <c r="EI582" s="27" t="s">
        <v>8</v>
      </c>
      <c r="EJ582" s="27" t="s">
        <v>7</v>
      </c>
    </row>
    <row r="583" spans="1:142" x14ac:dyDescent="0.25">
      <c r="A583" s="7">
        <v>1.08243216</v>
      </c>
      <c r="B583"/>
      <c r="C583"/>
      <c r="D583"/>
      <c r="E583" t="s">
        <v>8</v>
      </c>
      <c r="DT583" s="27" t="s">
        <v>7</v>
      </c>
      <c r="DU583" s="27" t="s">
        <v>8</v>
      </c>
      <c r="DZ583" s="27" t="s">
        <v>7</v>
      </c>
      <c r="EA583" s="27" t="s">
        <v>8</v>
      </c>
      <c r="EB583" s="27" t="s">
        <v>7</v>
      </c>
      <c r="EC583" s="27" t="s">
        <v>8</v>
      </c>
      <c r="ED583" s="27" t="s">
        <v>7</v>
      </c>
      <c r="EE583" s="27" t="s">
        <v>8</v>
      </c>
      <c r="EF583" s="27" t="s">
        <v>7</v>
      </c>
      <c r="EG583" s="27" t="s">
        <v>8</v>
      </c>
      <c r="EH583" s="27" t="s">
        <v>7</v>
      </c>
      <c r="EI583" s="27" t="s">
        <v>8</v>
      </c>
      <c r="EJ583" s="27" t="s">
        <v>7</v>
      </c>
    </row>
    <row r="584" spans="1:142" x14ac:dyDescent="0.25">
      <c r="A584" s="7">
        <v>1.0612079999999999</v>
      </c>
      <c r="B584"/>
      <c r="C584"/>
      <c r="D584"/>
      <c r="E584" t="s">
        <v>8</v>
      </c>
      <c r="DT584" s="27" t="s">
        <v>7</v>
      </c>
      <c r="DU584" s="27" t="s">
        <v>8</v>
      </c>
      <c r="DZ584" s="27" t="s">
        <v>7</v>
      </c>
      <c r="EA584" s="27" t="s">
        <v>8</v>
      </c>
      <c r="EB584" s="27" t="s">
        <v>7</v>
      </c>
      <c r="EC584" s="27" t="s">
        <v>8</v>
      </c>
      <c r="ED584" s="27" t="s">
        <v>7</v>
      </c>
      <c r="EE584" s="27" t="s">
        <v>8</v>
      </c>
      <c r="EF584" s="27" t="s">
        <v>7</v>
      </c>
      <c r="EG584" s="27" t="s">
        <v>8</v>
      </c>
      <c r="EH584" s="27" t="s">
        <v>7</v>
      </c>
      <c r="EI584" s="27" t="s">
        <v>8</v>
      </c>
      <c r="EJ584" s="27" t="s">
        <v>7</v>
      </c>
    </row>
    <row r="585" spans="1:142" x14ac:dyDescent="0.25">
      <c r="A585" s="7">
        <v>1.0404</v>
      </c>
      <c r="B585"/>
      <c r="C585"/>
      <c r="D585"/>
      <c r="E585" t="s">
        <v>8</v>
      </c>
      <c r="DT585" s="27" t="s">
        <v>7</v>
      </c>
      <c r="DZ585" s="27" t="s">
        <v>7</v>
      </c>
      <c r="EB585" s="27" t="s">
        <v>7</v>
      </c>
      <c r="ED585" s="27" t="s">
        <v>7</v>
      </c>
      <c r="EE585" s="27" t="s">
        <v>8</v>
      </c>
      <c r="EF585" s="27" t="s">
        <v>7</v>
      </c>
      <c r="EG585" s="27" t="s">
        <v>8</v>
      </c>
      <c r="EH585" s="27" t="s">
        <v>7</v>
      </c>
      <c r="EJ585" s="27" t="s">
        <v>7</v>
      </c>
    </row>
    <row r="586" spans="1:142" x14ac:dyDescent="0.25">
      <c r="A586" s="7">
        <v>1.02</v>
      </c>
      <c r="B586"/>
      <c r="C586"/>
      <c r="D586"/>
      <c r="E586" t="s">
        <v>8</v>
      </c>
      <c r="ED586" s="27" t="s">
        <v>7</v>
      </c>
      <c r="EE586" s="27" t="s">
        <v>8</v>
      </c>
      <c r="EF586" s="27" t="s">
        <v>7</v>
      </c>
      <c r="EJ586" s="27" t="s">
        <v>7</v>
      </c>
    </row>
    <row r="587" spans="1:142" x14ac:dyDescent="0.25">
      <c r="A587" s="7">
        <v>1</v>
      </c>
      <c r="B587"/>
      <c r="C587"/>
      <c r="D587"/>
      <c r="E587" s="29" t="s">
        <v>8</v>
      </c>
      <c r="ED587" s="27" t="s">
        <v>7</v>
      </c>
      <c r="EJ587" s="27" t="s">
        <v>7</v>
      </c>
      <c r="EK587" s="27" t="s">
        <v>8</v>
      </c>
    </row>
    <row r="588" spans="1:142" x14ac:dyDescent="0.25">
      <c r="A588" s="7">
        <v>0.98039215686274506</v>
      </c>
      <c r="B588"/>
      <c r="C588"/>
      <c r="D588"/>
      <c r="E588"/>
      <c r="EJ588" s="27" t="s">
        <v>7</v>
      </c>
      <c r="EK588" s="27" t="s">
        <v>8</v>
      </c>
      <c r="EL588" s="27" t="s">
        <v>7</v>
      </c>
    </row>
    <row r="589" spans="1:142" x14ac:dyDescent="0.25">
      <c r="A589" s="7">
        <v>0.96116878123798544</v>
      </c>
      <c r="B589"/>
      <c r="C589"/>
      <c r="D589"/>
      <c r="E589"/>
      <c r="EJ589" s="27" t="s">
        <v>7</v>
      </c>
      <c r="EK589" s="27" t="s">
        <v>8</v>
      </c>
      <c r="EL589" s="27" t="s">
        <v>7</v>
      </c>
    </row>
    <row r="590" spans="1:142" x14ac:dyDescent="0.25">
      <c r="A590" s="7">
        <v>0.94232233454704462</v>
      </c>
      <c r="B590"/>
      <c r="C590"/>
      <c r="D590"/>
      <c r="E590"/>
      <c r="EJ590" s="27" t="s">
        <v>7</v>
      </c>
      <c r="EK590" s="27" t="s">
        <v>8</v>
      </c>
      <c r="EL590" s="27" t="s">
        <v>7</v>
      </c>
    </row>
    <row r="591" spans="1:142" x14ac:dyDescent="0.25">
      <c r="A591" s="7">
        <v>0.92384542602651432</v>
      </c>
      <c r="B591"/>
      <c r="C591"/>
      <c r="D591"/>
      <c r="E591"/>
      <c r="EJ591" s="27" t="s">
        <v>7</v>
      </c>
      <c r="EK591" s="27" t="s">
        <v>8</v>
      </c>
      <c r="EL591" s="27" t="s">
        <v>7</v>
      </c>
    </row>
    <row r="592" spans="1:142" x14ac:dyDescent="0.25">
      <c r="A592" s="7">
        <v>0.90573080982991594</v>
      </c>
      <c r="B592"/>
      <c r="C592"/>
      <c r="D592"/>
      <c r="E592"/>
      <c r="EJ592" s="27" t="s">
        <v>7</v>
      </c>
      <c r="EK592" s="27" t="s">
        <v>8</v>
      </c>
      <c r="EL592" s="27" t="s">
        <v>7</v>
      </c>
    </row>
    <row r="593" spans="1:145" x14ac:dyDescent="0.25">
      <c r="A593" s="7">
        <v>0.8879713821861922</v>
      </c>
      <c r="B593"/>
      <c r="C593"/>
      <c r="D593"/>
      <c r="E593"/>
      <c r="EJ593" s="27" t="s">
        <v>7</v>
      </c>
      <c r="EK593" s="27" t="s">
        <v>8</v>
      </c>
      <c r="EL593" s="27" t="s">
        <v>7</v>
      </c>
    </row>
    <row r="594" spans="1:145" x14ac:dyDescent="0.25">
      <c r="A594" s="7">
        <v>0.87056017861391399</v>
      </c>
      <c r="B594"/>
      <c r="C594"/>
      <c r="D594"/>
      <c r="E594"/>
      <c r="EJ594" s="27" t="s">
        <v>7</v>
      </c>
      <c r="EK594" s="27" t="s">
        <v>8</v>
      </c>
      <c r="EL594" s="27" t="s">
        <v>7</v>
      </c>
    </row>
    <row r="595" spans="1:145" x14ac:dyDescent="0.25">
      <c r="A595" s="7">
        <v>0.85349037119011173</v>
      </c>
      <c r="B595"/>
      <c r="C595"/>
      <c r="D595"/>
      <c r="E595"/>
      <c r="EJ595" s="27" t="s">
        <v>7</v>
      </c>
      <c r="EK595" s="27" t="s">
        <v>8</v>
      </c>
      <c r="EL595" s="27" t="s">
        <v>7</v>
      </c>
    </row>
    <row r="596" spans="1:145" x14ac:dyDescent="0.25">
      <c r="A596" s="7">
        <v>0.83675526587265858</v>
      </c>
      <c r="B596"/>
      <c r="C596"/>
      <c r="D596"/>
      <c r="E596"/>
      <c r="EJ596" s="27" t="s">
        <v>7</v>
      </c>
      <c r="EL596" s="27" t="s">
        <v>7</v>
      </c>
    </row>
    <row r="597" spans="1:145" x14ac:dyDescent="0.25">
      <c r="A597" s="7">
        <v>0.82034829987515545</v>
      </c>
      <c r="B597"/>
      <c r="C597"/>
      <c r="D597"/>
      <c r="E597"/>
      <c r="EL597" s="27" t="s">
        <v>7</v>
      </c>
    </row>
    <row r="598" spans="1:145" x14ac:dyDescent="0.25">
      <c r="A598" s="7">
        <v>0.80426303909328967</v>
      </c>
      <c r="B598"/>
      <c r="C598"/>
      <c r="D598"/>
      <c r="E598"/>
      <c r="EL598" s="27" t="s">
        <v>7</v>
      </c>
    </row>
    <row r="599" spans="1:145" x14ac:dyDescent="0.25">
      <c r="A599" s="7">
        <v>0.78849317558165644</v>
      </c>
      <c r="B599"/>
      <c r="C599"/>
      <c r="D599"/>
      <c r="E599"/>
      <c r="EL599" s="27" t="s">
        <v>7</v>
      </c>
    </row>
    <row r="600" spans="1:145" x14ac:dyDescent="0.25">
      <c r="A600" s="7">
        <v>0.77303252508005538</v>
      </c>
      <c r="B600"/>
      <c r="C600"/>
      <c r="D600"/>
      <c r="E600"/>
      <c r="EL600" s="27" t="s">
        <v>7</v>
      </c>
    </row>
    <row r="601" spans="1:145" x14ac:dyDescent="0.25">
      <c r="A601" s="7">
        <v>0.75787502458828959</v>
      </c>
      <c r="B601"/>
      <c r="C601"/>
      <c r="D601"/>
      <c r="E601"/>
      <c r="EL601" s="27" t="s">
        <v>7</v>
      </c>
    </row>
    <row r="602" spans="1:145" x14ac:dyDescent="0.25">
      <c r="A602" s="7">
        <v>0.74301472998851925</v>
      </c>
      <c r="B602"/>
      <c r="C602"/>
      <c r="D602"/>
      <c r="E602"/>
      <c r="EL602" s="27" t="s">
        <v>7</v>
      </c>
    </row>
    <row r="603" spans="1:145" x14ac:dyDescent="0.25">
      <c r="A603" s="7">
        <v>0.72844581371423456</v>
      </c>
      <c r="B603"/>
      <c r="C603"/>
      <c r="D603"/>
      <c r="E603"/>
      <c r="EL603" s="27" t="s">
        <v>7</v>
      </c>
    </row>
    <row r="604" spans="1:145" x14ac:dyDescent="0.25">
      <c r="A604" s="7">
        <v>0.71416256246493581</v>
      </c>
      <c r="B604"/>
      <c r="C604"/>
      <c r="D604"/>
      <c r="E604"/>
      <c r="EL604" s="27" t="s">
        <v>7</v>
      </c>
    </row>
    <row r="605" spans="1:145" x14ac:dyDescent="0.25">
      <c r="A605" s="7">
        <v>0.7001593749656233</v>
      </c>
      <c r="B605"/>
      <c r="C605"/>
      <c r="D605"/>
      <c r="E605"/>
      <c r="EL605" s="27" t="s">
        <v>7</v>
      </c>
    </row>
    <row r="606" spans="1:145" x14ac:dyDescent="0.25">
      <c r="A606" s="7">
        <v>0.68643075977021883</v>
      </c>
      <c r="B606"/>
      <c r="C606"/>
      <c r="D606"/>
      <c r="E606"/>
      <c r="EL606" s="27" t="s">
        <v>7</v>
      </c>
    </row>
    <row r="607" spans="1:145" x14ac:dyDescent="0.25">
      <c r="A607" s="7">
        <v>0.67297133310805768</v>
      </c>
      <c r="B607"/>
      <c r="C607"/>
      <c r="D607"/>
      <c r="E607"/>
      <c r="EL607" s="27" t="s">
        <v>7</v>
      </c>
    </row>
    <row r="608" spans="1:145" x14ac:dyDescent="0.25">
      <c r="A608" s="7">
        <v>0.65977581677260566</v>
      </c>
      <c r="B608"/>
      <c r="C608"/>
      <c r="D608"/>
      <c r="E608"/>
      <c r="EL608" s="27" t="s">
        <v>7</v>
      </c>
      <c r="EO608" s="27" t="s">
        <v>8</v>
      </c>
    </row>
    <row r="609" spans="1:146" x14ac:dyDescent="0.25">
      <c r="A609" s="7">
        <v>0.64683903605157422</v>
      </c>
      <c r="B609"/>
      <c r="C609"/>
      <c r="D609"/>
      <c r="E609"/>
      <c r="EL609" s="27" t="s">
        <v>7</v>
      </c>
      <c r="EO609" s="27" t="s">
        <v>8</v>
      </c>
      <c r="EP609" s="27" t="s">
        <v>7</v>
      </c>
    </row>
    <row r="610" spans="1:146" x14ac:dyDescent="0.25">
      <c r="A610" s="7">
        <v>0.63415591769762181</v>
      </c>
      <c r="B610"/>
      <c r="C610"/>
      <c r="D610"/>
      <c r="E610"/>
      <c r="EL610" s="27" t="s">
        <v>7</v>
      </c>
      <c r="EM610" s="27" t="s">
        <v>8</v>
      </c>
      <c r="EO610" s="27" t="s">
        <v>8</v>
      </c>
      <c r="EP610" s="27" t="s">
        <v>7</v>
      </c>
    </row>
    <row r="611" spans="1:146" x14ac:dyDescent="0.25">
      <c r="A611" s="7">
        <v>0.62172148793884496</v>
      </c>
      <c r="B611"/>
      <c r="C611"/>
      <c r="D611"/>
      <c r="E611"/>
      <c r="EL611" s="27" t="s">
        <v>7</v>
      </c>
      <c r="EM611" s="27" t="s">
        <v>8</v>
      </c>
      <c r="EN611" s="27" t="s">
        <v>7</v>
      </c>
      <c r="EO611" s="27" t="s">
        <v>8</v>
      </c>
      <c r="EP611" s="27" t="s">
        <v>7</v>
      </c>
    </row>
    <row r="612" spans="1:146" x14ac:dyDescent="0.25">
      <c r="A612" s="7">
        <v>0.60953087052827937</v>
      </c>
      <c r="B612"/>
      <c r="C612"/>
      <c r="D612"/>
      <c r="E612"/>
      <c r="EL612" s="27" t="s">
        <v>7</v>
      </c>
      <c r="EM612" s="27" t="s">
        <v>8</v>
      </c>
      <c r="EN612" s="27" t="s">
        <v>7</v>
      </c>
      <c r="EO612" s="27" t="s">
        <v>8</v>
      </c>
      <c r="EP612" s="27" t="s">
        <v>7</v>
      </c>
    </row>
    <row r="613" spans="1:146" x14ac:dyDescent="0.25">
      <c r="A613" s="7">
        <v>0.59757928483164646</v>
      </c>
      <c r="B613"/>
      <c r="C613"/>
      <c r="D613"/>
      <c r="E613"/>
      <c r="EL613" s="27" t="s">
        <v>7</v>
      </c>
      <c r="EM613" s="27" t="s">
        <v>8</v>
      </c>
      <c r="EN613" s="27" t="s">
        <v>7</v>
      </c>
      <c r="EO613" s="27" t="s">
        <v>8</v>
      </c>
    </row>
    <row r="614" spans="1:146" x14ac:dyDescent="0.25">
      <c r="A614" s="7">
        <v>0.58586204395259456</v>
      </c>
      <c r="B614"/>
      <c r="C614"/>
      <c r="D614"/>
      <c r="E614"/>
      <c r="EL614" s="27" t="s">
        <v>7</v>
      </c>
      <c r="EM614" s="27" t="s">
        <v>8</v>
      </c>
      <c r="EN614" s="27" t="s">
        <v>7</v>
      </c>
      <c r="EO614" s="27" t="s">
        <v>8</v>
      </c>
    </row>
    <row r="615" spans="1:146" x14ac:dyDescent="0.25">
      <c r="A615" s="7">
        <v>0.57437455289470052</v>
      </c>
      <c r="B615"/>
      <c r="C615"/>
      <c r="D615"/>
      <c r="E615"/>
      <c r="EL615" s="27" t="s">
        <v>7</v>
      </c>
      <c r="EM615" s="27" t="s">
        <v>8</v>
      </c>
      <c r="EN615" s="27" t="s">
        <v>7</v>
      </c>
      <c r="EO615" s="27" t="s">
        <v>8</v>
      </c>
    </row>
    <row r="616" spans="1:146" x14ac:dyDescent="0.25">
      <c r="A616" s="7">
        <v>0.56311230675951029</v>
      </c>
      <c r="B616"/>
      <c r="C616"/>
      <c r="D616"/>
      <c r="E616"/>
      <c r="EL616" s="27" t="s">
        <v>7</v>
      </c>
      <c r="EN616" s="27" t="s">
        <v>7</v>
      </c>
      <c r="EO616" s="27" t="s">
        <v>8</v>
      </c>
    </row>
    <row r="617" spans="1:146" x14ac:dyDescent="0.25">
      <c r="A617" s="7">
        <v>0.55207088897991208</v>
      </c>
      <c r="B617"/>
      <c r="C617"/>
      <c r="D617"/>
      <c r="E617"/>
      <c r="EN617" s="27" t="s">
        <v>7</v>
      </c>
      <c r="EO617" s="27" t="s">
        <v>8</v>
      </c>
    </row>
    <row r="618" spans="1:146" x14ac:dyDescent="0.25">
      <c r="A618" s="7">
        <v>0.54124596958814908</v>
      </c>
      <c r="B618"/>
      <c r="C618"/>
      <c r="D618"/>
      <c r="E618"/>
      <c r="EN618" s="27" t="s">
        <v>7</v>
      </c>
      <c r="EO618" s="27" t="s">
        <v>8</v>
      </c>
    </row>
    <row r="619" spans="1:146" x14ac:dyDescent="0.25">
      <c r="A619" s="7">
        <v>0.53063330351779314</v>
      </c>
      <c r="B619"/>
      <c r="C619"/>
      <c r="D619"/>
      <c r="E619"/>
      <c r="EN619" s="27" t="s">
        <v>7</v>
      </c>
    </row>
    <row r="620" spans="1:146" x14ac:dyDescent="0.25">
      <c r="A620" s="7">
        <v>0.52022872893901284</v>
      </c>
      <c r="B620"/>
      <c r="C620"/>
      <c r="D620"/>
      <c r="E620"/>
    </row>
    <row r="621" spans="1:146" x14ac:dyDescent="0.25">
      <c r="A621" s="7">
        <v>0.51002816562648323</v>
      </c>
      <c r="B621"/>
      <c r="C621"/>
      <c r="D621"/>
      <c r="E621"/>
    </row>
    <row r="622" spans="1:146" x14ac:dyDescent="0.25">
      <c r="A622" s="7">
        <v>0.50002761335929735</v>
      </c>
      <c r="B622"/>
      <c r="C622"/>
      <c r="D622"/>
      <c r="E622"/>
    </row>
    <row r="623" spans="1:146" x14ac:dyDescent="0.25">
      <c r="A623" s="7">
        <v>0.49022315035225228</v>
      </c>
      <c r="B623"/>
      <c r="C623"/>
      <c r="D623"/>
      <c r="E623"/>
    </row>
    <row r="624" spans="1:146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78" operator="equal">
      <formula>$U$1</formula>
    </cfRule>
    <cfRule type="cellIs" dxfId="89" priority="679" operator="equal">
      <formula>$S$1</formula>
    </cfRule>
  </conditionalFormatting>
  <conditionalFormatting sqref="D27">
    <cfRule type="cellIs" dxfId="88" priority="676" operator="equal">
      <formula>$S$1</formula>
    </cfRule>
    <cfRule type="cellIs" dxfId="87" priority="677" operator="equal">
      <formula>$U$1</formula>
    </cfRule>
  </conditionalFormatting>
  <conditionalFormatting sqref="C164">
    <cfRule type="cellIs" dxfId="86" priority="674" operator="equal">
      <formula>$U$1</formula>
    </cfRule>
    <cfRule type="cellIs" dxfId="85" priority="675" operator="equal">
      <formula>$S$1</formula>
    </cfRule>
  </conditionalFormatting>
  <conditionalFormatting sqref="D164">
    <cfRule type="cellIs" dxfId="84" priority="672" operator="equal">
      <formula>$S$1</formula>
    </cfRule>
    <cfRule type="cellIs" dxfId="83" priority="673" operator="equal">
      <formula>$U$1</formula>
    </cfRule>
  </conditionalFormatting>
  <conditionalFormatting sqref="C55">
    <cfRule type="cellIs" dxfId="82" priority="670" operator="equal">
      <formula>$U$1</formula>
    </cfRule>
    <cfRule type="cellIs" dxfId="81" priority="671" operator="equal">
      <formula>$S$1</formula>
    </cfRule>
  </conditionalFormatting>
  <conditionalFormatting sqref="D55">
    <cfRule type="cellIs" dxfId="80" priority="668" operator="equal">
      <formula>$S$1</formula>
    </cfRule>
    <cfRule type="cellIs" dxfId="79" priority="669" operator="equal">
      <formula>$U$1</formula>
    </cfRule>
  </conditionalFormatting>
  <conditionalFormatting sqref="C89">
    <cfRule type="cellIs" dxfId="78" priority="666" operator="equal">
      <formula>$U$1</formula>
    </cfRule>
    <cfRule type="cellIs" dxfId="77" priority="667" operator="equal">
      <formula>$S$1</formula>
    </cfRule>
  </conditionalFormatting>
  <conditionalFormatting sqref="D89">
    <cfRule type="cellIs" dxfId="76" priority="664" operator="equal">
      <formula>$S$1</formula>
    </cfRule>
    <cfRule type="cellIs" dxfId="75" priority="665" operator="equal">
      <formula>$U$1</formula>
    </cfRule>
  </conditionalFormatting>
  <conditionalFormatting sqref="C136">
    <cfRule type="cellIs" dxfId="74" priority="662" operator="equal">
      <formula>$U$1</formula>
    </cfRule>
    <cfRule type="cellIs" dxfId="73" priority="663" operator="equal">
      <formula>$S$1</formula>
    </cfRule>
  </conditionalFormatting>
  <conditionalFormatting sqref="D136">
    <cfRule type="cellIs" dxfId="72" priority="660" operator="equal">
      <formula>$S$1</formula>
    </cfRule>
    <cfRule type="cellIs" dxfId="71" priority="661" operator="equal">
      <formula>$U$1</formula>
    </cfRule>
  </conditionalFormatting>
  <conditionalFormatting sqref="C1">
    <cfRule type="cellIs" dxfId="70" priority="65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03" zoomScale="90" zoomScaleNormal="90" workbookViewId="0">
      <pane xSplit="4" topLeftCell="G1" activePane="topRight" state="frozen"/>
      <selection activeCell="A109" sqref="A109"/>
      <selection pane="topRight" activeCell="BY249" sqref="BY24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$A$248</v>
      </c>
      <c r="D111" s="1" t="str">
        <f>ADDRESS(C121-1,D121,1,1)</f>
        <v>$BY$248</v>
      </c>
      <c r="E111"/>
    </row>
    <row r="112" spans="1:5" x14ac:dyDescent="0.25">
      <c r="A112" s="30">
        <v>515.50191262726139</v>
      </c>
      <c r="C112" s="1" t="str">
        <f>ADDRESS(C121,1,1,1)</f>
        <v>$A$249</v>
      </c>
      <c r="D112" s="1" t="str">
        <f>ADDRESS(C121,D121-1,1,1)</f>
        <v>$BX$249</v>
      </c>
      <c r="E112"/>
    </row>
    <row r="113" spans="1:5" x14ac:dyDescent="0.25">
      <c r="A113" s="30">
        <v>490.95420250215363</v>
      </c>
      <c r="C113" s="1" t="str">
        <f>ADDRESS(C121+1,1,1,1)</f>
        <v>$A$250</v>
      </c>
      <c r="D113" s="1" t="str">
        <f>ADDRESS(C121-1,D121+1,1,1)</f>
        <v>$BZ$248</v>
      </c>
    </row>
    <row r="114" spans="1:5" x14ac:dyDescent="0.25">
      <c r="A114" s="30">
        <v>467.57543095443202</v>
      </c>
      <c r="C114" s="1" t="str">
        <f>ADDRESS(C121,D121,1,1)</f>
        <v>$BY$249</v>
      </c>
      <c r="D114" s="1" t="str">
        <f>ADDRESS(C121+1,D121+1,1,1)</f>
        <v>$BZ$250</v>
      </c>
    </row>
    <row r="115" spans="1:5" x14ac:dyDescent="0.25">
      <c r="A115" s="30">
        <v>445.30993424231622</v>
      </c>
      <c r="C115" s="1" t="str">
        <f>ADDRESS(C121+1,D121,1,1)</f>
        <v>$BY$250</v>
      </c>
    </row>
    <row r="116" spans="1:5" x14ac:dyDescent="0.25">
      <c r="A116" s="30">
        <v>424.10469927839637</v>
      </c>
      <c r="C116" s="1">
        <f>C117-1</f>
        <v>248</v>
      </c>
    </row>
    <row r="117" spans="1:5" x14ac:dyDescent="0.25">
      <c r="A117" s="30">
        <v>403.9092374079965</v>
      </c>
      <c r="C117" s="1">
        <f>C121</f>
        <v>249</v>
      </c>
      <c r="D117" s="1">
        <f>D121</f>
        <v>77</v>
      </c>
    </row>
    <row r="118" spans="1:5" x14ac:dyDescent="0.25">
      <c r="A118" s="30">
        <v>384.6754641980919</v>
      </c>
      <c r="C118" s="1">
        <f>C117+1</f>
        <v>250</v>
      </c>
      <c r="D118" s="1">
        <f>D117+1</f>
        <v>78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249</v>
      </c>
      <c r="D121" s="19">
        <v>77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R249</v>
      </c>
      <c r="D123" s="1" t="str">
        <f>"C"&amp;D121</f>
        <v>C77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0.64460891621779492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21" x14ac:dyDescent="0.25">
      <c r="A193" s="30">
        <v>9.9059710923258422</v>
      </c>
      <c r="E193"/>
    </row>
    <row r="194" spans="1:21" x14ac:dyDescent="0.25">
      <c r="A194" s="30">
        <v>9.4342581831674686</v>
      </c>
      <c r="E194"/>
    </row>
    <row r="195" spans="1:21" x14ac:dyDescent="0.25">
      <c r="A195" s="30">
        <v>8.9850077934928265</v>
      </c>
      <c r="E195"/>
    </row>
    <row r="196" spans="1:21" x14ac:dyDescent="0.25">
      <c r="A196" s="30">
        <v>8.5571502795169767</v>
      </c>
      <c r="E196"/>
    </row>
    <row r="197" spans="1:21" x14ac:dyDescent="0.25">
      <c r="A197" s="30">
        <v>8.1496669328733109</v>
      </c>
      <c r="E197" t="s">
        <v>8</v>
      </c>
    </row>
    <row r="198" spans="1:21" x14ac:dyDescent="0.25">
      <c r="A198" s="30">
        <v>7.7615875551174378</v>
      </c>
      <c r="E198" t="s">
        <v>8</v>
      </c>
      <c r="F198" s="27" t="s">
        <v>7</v>
      </c>
      <c r="K198" s="31" t="s">
        <v>8</v>
      </c>
    </row>
    <row r="199" spans="1:21" x14ac:dyDescent="0.25">
      <c r="A199" s="30">
        <v>7.3919881477308929</v>
      </c>
      <c r="E199" t="s">
        <v>8</v>
      </c>
      <c r="F199" s="27" t="s">
        <v>7</v>
      </c>
      <c r="K199" s="33" t="s">
        <v>8</v>
      </c>
      <c r="L199" s="31" t="s">
        <v>7</v>
      </c>
    </row>
    <row r="200" spans="1:21" x14ac:dyDescent="0.25">
      <c r="A200" s="30">
        <v>7.0399887121246598</v>
      </c>
      <c r="E200" t="s">
        <v>8</v>
      </c>
      <c r="F200" s="27" t="s">
        <v>7</v>
      </c>
      <c r="I200" s="33" t="s">
        <v>8</v>
      </c>
      <c r="K200" s="27" t="s">
        <v>8</v>
      </c>
      <c r="L200" s="27" t="s">
        <v>7</v>
      </c>
      <c r="M200" s="31" t="s">
        <v>8</v>
      </c>
    </row>
    <row r="201" spans="1:21" x14ac:dyDescent="0.25">
      <c r="A201" s="30">
        <v>6.7047511544044376</v>
      </c>
      <c r="E201" t="s">
        <v>8</v>
      </c>
      <c r="F201" s="27" t="s">
        <v>7</v>
      </c>
      <c r="G201" s="27" t="s">
        <v>8</v>
      </c>
      <c r="I201" s="27" t="s">
        <v>8</v>
      </c>
      <c r="J201" s="27" t="s">
        <v>7</v>
      </c>
      <c r="K201" s="27" t="s">
        <v>8</v>
      </c>
      <c r="L201" s="27" t="s">
        <v>7</v>
      </c>
      <c r="M201" s="27" t="s">
        <v>8</v>
      </c>
      <c r="N201" s="31" t="s">
        <v>7</v>
      </c>
    </row>
    <row r="202" spans="1:21" x14ac:dyDescent="0.25">
      <c r="A202" s="30">
        <v>6.3854772899089882</v>
      </c>
      <c r="E202" t="s">
        <v>8</v>
      </c>
      <c r="F202" s="27" t="s">
        <v>7</v>
      </c>
      <c r="G202" s="27" t="s">
        <v>8</v>
      </c>
      <c r="H202" s="27" t="s">
        <v>7</v>
      </c>
      <c r="I202" s="27" t="s">
        <v>8</v>
      </c>
      <c r="J202" s="27" t="s">
        <v>7</v>
      </c>
      <c r="K202" s="27" t="s">
        <v>8</v>
      </c>
      <c r="L202" s="27" t="s">
        <v>7</v>
      </c>
      <c r="M202" s="27" t="s">
        <v>8</v>
      </c>
      <c r="N202" s="27" t="s">
        <v>7</v>
      </c>
      <c r="O202" s="31"/>
    </row>
    <row r="203" spans="1:21" x14ac:dyDescent="0.25">
      <c r="A203" s="30">
        <v>6.0814069427704647</v>
      </c>
      <c r="C203" s="7"/>
      <c r="D203"/>
      <c r="E203" t="s">
        <v>8</v>
      </c>
      <c r="F203" s="27" t="s">
        <v>7</v>
      </c>
      <c r="G203" s="27" t="s">
        <v>8</v>
      </c>
      <c r="H203" s="27" t="s">
        <v>7</v>
      </c>
      <c r="I203" s="27" t="s">
        <v>8</v>
      </c>
      <c r="J203" s="27" t="s">
        <v>7</v>
      </c>
      <c r="K203" s="27" t="s">
        <v>8</v>
      </c>
      <c r="L203" s="27" t="s">
        <v>7</v>
      </c>
      <c r="N203" s="27" t="s">
        <v>7</v>
      </c>
      <c r="P203" s="31"/>
    </row>
    <row r="204" spans="1:21" x14ac:dyDescent="0.25">
      <c r="A204" s="30">
        <v>5.7918161359718709</v>
      </c>
      <c r="E204" t="s">
        <v>8</v>
      </c>
      <c r="F204" s="27" t="s">
        <v>7</v>
      </c>
      <c r="H204" s="27" t="s">
        <v>7</v>
      </c>
      <c r="I204" s="27" t="s">
        <v>8</v>
      </c>
      <c r="J204" s="27" t="s">
        <v>7</v>
      </c>
      <c r="K204" s="27" t="s">
        <v>8</v>
      </c>
      <c r="N204" s="35" t="s">
        <v>7</v>
      </c>
      <c r="Q204" s="31"/>
    </row>
    <row r="205" spans="1:21" x14ac:dyDescent="0.25">
      <c r="A205" s="30">
        <v>5.5160153675922574</v>
      </c>
      <c r="E205" t="s">
        <v>8</v>
      </c>
      <c r="H205" s="27" t="s">
        <v>7</v>
      </c>
      <c r="I205" s="27" t="s">
        <v>8</v>
      </c>
      <c r="J205" s="27" t="s">
        <v>7</v>
      </c>
      <c r="K205" s="27" t="s">
        <v>8</v>
      </c>
      <c r="N205" s="27" t="s">
        <v>7</v>
      </c>
      <c r="R205" s="31"/>
    </row>
    <row r="206" spans="1:21" x14ac:dyDescent="0.25">
      <c r="A206" s="30">
        <v>5.2533479691354827</v>
      </c>
      <c r="C206"/>
      <c r="D206"/>
      <c r="E206" t="s">
        <v>8</v>
      </c>
      <c r="H206" s="27" t="s">
        <v>7</v>
      </c>
      <c r="I206" s="27" t="s">
        <v>8</v>
      </c>
      <c r="J206" s="27" t="s">
        <v>7</v>
      </c>
      <c r="K206" s="27" t="s">
        <v>8</v>
      </c>
      <c r="N206" s="27" t="s">
        <v>7</v>
      </c>
      <c r="O206" s="27" t="s">
        <v>8</v>
      </c>
      <c r="S206" s="31"/>
    </row>
    <row r="207" spans="1:21" x14ac:dyDescent="0.25">
      <c r="A207" s="30">
        <v>5.0031885420337927</v>
      </c>
      <c r="E207" t="s">
        <v>8</v>
      </c>
      <c r="H207" s="27" t="s">
        <v>7</v>
      </c>
      <c r="J207" s="19" t="s">
        <v>7</v>
      </c>
      <c r="K207" s="27" t="s">
        <v>8</v>
      </c>
      <c r="N207" s="27" t="s">
        <v>7</v>
      </c>
      <c r="O207" s="27" t="s">
        <v>8</v>
      </c>
      <c r="P207" s="27" t="s">
        <v>7</v>
      </c>
      <c r="S207" s="27" t="s">
        <v>8</v>
      </c>
      <c r="T207" s="31"/>
    </row>
    <row r="208" spans="1:21" x14ac:dyDescent="0.25">
      <c r="A208" s="30">
        <v>4.7649414686036122</v>
      </c>
      <c r="E208" t="s">
        <v>8</v>
      </c>
      <c r="J208" s="34" t="s">
        <v>7</v>
      </c>
      <c r="K208" s="27" t="s">
        <v>8</v>
      </c>
      <c r="N208" s="27" t="s">
        <v>7</v>
      </c>
      <c r="O208" s="27" t="s">
        <v>8</v>
      </c>
      <c r="P208" s="27" t="s">
        <v>7</v>
      </c>
      <c r="S208" s="27" t="s">
        <v>8</v>
      </c>
      <c r="T208" s="27" t="s">
        <v>7</v>
      </c>
      <c r="U208" s="31"/>
    </row>
    <row r="209" spans="1:62" x14ac:dyDescent="0.25">
      <c r="A209" s="30">
        <v>4.5380394939082018</v>
      </c>
      <c r="E209" t="s">
        <v>8</v>
      </c>
      <c r="J209" s="27" t="s">
        <v>7</v>
      </c>
      <c r="N209" s="27" t="s">
        <v>7</v>
      </c>
      <c r="O209" s="27" t="s">
        <v>8</v>
      </c>
      <c r="P209" s="27" t="s">
        <v>7</v>
      </c>
      <c r="S209" s="27" t="s">
        <v>8</v>
      </c>
      <c r="T209" s="27" t="s">
        <v>7</v>
      </c>
      <c r="U209" s="27" t="s">
        <v>8</v>
      </c>
      <c r="V209" s="31"/>
    </row>
    <row r="210" spans="1:62" x14ac:dyDescent="0.25">
      <c r="A210" s="30">
        <v>4.3219423751506678</v>
      </c>
      <c r="C210"/>
      <c r="E210" t="s">
        <v>8</v>
      </c>
      <c r="N210" s="27" t="s">
        <v>7</v>
      </c>
      <c r="O210" s="27" t="s">
        <v>8</v>
      </c>
      <c r="P210" s="27" t="s">
        <v>7</v>
      </c>
      <c r="S210" s="27" t="s">
        <v>8</v>
      </c>
      <c r="T210" s="27" t="s">
        <v>7</v>
      </c>
      <c r="U210" s="27" t="s">
        <v>8</v>
      </c>
      <c r="V210" s="27" t="s">
        <v>7</v>
      </c>
      <c r="W210" s="31"/>
    </row>
    <row r="211" spans="1:62" x14ac:dyDescent="0.25">
      <c r="A211" s="30">
        <v>4.1161355953815884</v>
      </c>
      <c r="E211" t="s">
        <v>8</v>
      </c>
      <c r="N211" s="27" t="s">
        <v>7</v>
      </c>
      <c r="O211" s="27" t="s">
        <v>8</v>
      </c>
      <c r="P211" s="27" t="s">
        <v>7</v>
      </c>
      <c r="S211" s="27" t="s">
        <v>8</v>
      </c>
      <c r="T211" s="27" t="s">
        <v>7</v>
      </c>
      <c r="U211" s="27" t="s">
        <v>8</v>
      </c>
      <c r="V211" s="27" t="s">
        <v>7</v>
      </c>
      <c r="X211" s="31"/>
    </row>
    <row r="212" spans="1:62" x14ac:dyDescent="0.25">
      <c r="A212" s="30">
        <v>3.9201291384586554</v>
      </c>
      <c r="E212" t="s">
        <v>8</v>
      </c>
      <c r="N212" s="27" t="s">
        <v>7</v>
      </c>
      <c r="O212" s="27" t="s">
        <v>8</v>
      </c>
      <c r="P212" s="27" t="s">
        <v>7</v>
      </c>
      <c r="S212" s="33" t="s">
        <v>8</v>
      </c>
      <c r="T212" s="27" t="s">
        <v>7</v>
      </c>
      <c r="U212" s="27" t="s">
        <v>8</v>
      </c>
      <c r="V212" s="27" t="s">
        <v>7</v>
      </c>
      <c r="Y212" s="31"/>
    </row>
    <row r="213" spans="1:62" x14ac:dyDescent="0.25">
      <c r="A213" s="30">
        <v>3.7334563223415764</v>
      </c>
      <c r="E213" t="s">
        <v>8</v>
      </c>
      <c r="N213" s="27" t="s">
        <v>7</v>
      </c>
      <c r="O213" s="27" t="s">
        <v>8</v>
      </c>
      <c r="P213" s="27" t="s">
        <v>7</v>
      </c>
      <c r="Q213" s="27" t="s">
        <v>8</v>
      </c>
      <c r="S213" s="27" t="s">
        <v>8</v>
      </c>
      <c r="T213" s="27" t="s">
        <v>7</v>
      </c>
      <c r="V213" s="27" t="s">
        <v>7</v>
      </c>
      <c r="Z213" s="31"/>
    </row>
    <row r="214" spans="1:62" x14ac:dyDescent="0.25">
      <c r="A214" s="30">
        <v>3.5556726879443583</v>
      </c>
      <c r="E214" t="s">
        <v>8</v>
      </c>
      <c r="N214" s="27" t="s">
        <v>7</v>
      </c>
      <c r="O214" s="27" t="s">
        <v>8</v>
      </c>
      <c r="P214" s="27" t="s">
        <v>7</v>
      </c>
      <c r="Q214" s="27" t="s">
        <v>8</v>
      </c>
      <c r="R214" s="27" t="s">
        <v>7</v>
      </c>
      <c r="S214" s="27" t="s">
        <v>8</v>
      </c>
      <c r="V214" s="34" t="s">
        <v>7</v>
      </c>
      <c r="W214" s="27" t="s">
        <v>8</v>
      </c>
      <c r="AA214" s="31"/>
    </row>
    <row r="215" spans="1:62" x14ac:dyDescent="0.25">
      <c r="A215" s="30">
        <v>3.3863549408993889</v>
      </c>
      <c r="E215" t="s">
        <v>8</v>
      </c>
      <c r="N215" s="27" t="s">
        <v>7</v>
      </c>
      <c r="P215" s="27" t="s">
        <v>7</v>
      </c>
      <c r="Q215" s="27" t="s">
        <v>8</v>
      </c>
      <c r="R215" s="27" t="s">
        <v>7</v>
      </c>
      <c r="S215" s="27" t="s">
        <v>8</v>
      </c>
      <c r="V215" s="27" t="s">
        <v>7</v>
      </c>
      <c r="W215" s="27" t="s">
        <v>8</v>
      </c>
      <c r="X215" s="27" t="s">
        <v>7</v>
      </c>
      <c r="Y215" s="27" t="s">
        <v>8</v>
      </c>
      <c r="AB215" s="31"/>
    </row>
    <row r="216" spans="1:62" x14ac:dyDescent="0.25">
      <c r="A216" s="30">
        <v>3.2250999437137038</v>
      </c>
      <c r="E216" t="s">
        <v>8</v>
      </c>
      <c r="P216" s="27" t="s">
        <v>7</v>
      </c>
      <c r="Q216" s="27" t="s">
        <v>8</v>
      </c>
      <c r="R216" s="27" t="s">
        <v>7</v>
      </c>
      <c r="S216" s="27" t="s">
        <v>8</v>
      </c>
      <c r="V216" s="27" t="s">
        <v>7</v>
      </c>
      <c r="W216" s="27" t="s">
        <v>8</v>
      </c>
      <c r="X216" s="27" t="s">
        <v>7</v>
      </c>
      <c r="Y216" s="27" t="s">
        <v>8</v>
      </c>
      <c r="Z216" s="27" t="s">
        <v>7</v>
      </c>
      <c r="AC216" s="31"/>
      <c r="AS216" s="27" t="s">
        <v>8</v>
      </c>
    </row>
    <row r="217" spans="1:62" x14ac:dyDescent="0.25">
      <c r="A217" s="30">
        <v>3.0715237559178128</v>
      </c>
      <c r="E217" t="s">
        <v>8</v>
      </c>
      <c r="P217" s="27" t="s">
        <v>7</v>
      </c>
      <c r="R217" s="27" t="s">
        <v>7</v>
      </c>
      <c r="S217" s="27" t="s">
        <v>8</v>
      </c>
      <c r="V217" s="27" t="s">
        <v>7</v>
      </c>
      <c r="W217" s="27" t="s">
        <v>8</v>
      </c>
      <c r="X217" s="27" t="s">
        <v>7</v>
      </c>
      <c r="Y217" s="27" t="s">
        <v>8</v>
      </c>
      <c r="Z217" s="27" t="s">
        <v>7</v>
      </c>
      <c r="AD217" s="31"/>
      <c r="AS217" s="27" t="s">
        <v>8</v>
      </c>
      <c r="AT217" s="27" t="s">
        <v>7</v>
      </c>
      <c r="AU217" s="27" t="s">
        <v>8</v>
      </c>
    </row>
    <row r="218" spans="1:62" x14ac:dyDescent="0.25">
      <c r="A218" s="30">
        <v>2.9252607199217264</v>
      </c>
      <c r="E218" t="s">
        <v>8</v>
      </c>
      <c r="R218" s="27" t="s">
        <v>7</v>
      </c>
      <c r="S218" s="27" t="s">
        <v>8</v>
      </c>
      <c r="V218" s="27" t="s">
        <v>7</v>
      </c>
      <c r="W218" s="27" t="s">
        <v>8</v>
      </c>
      <c r="X218" s="27" t="s">
        <v>7</v>
      </c>
      <c r="Z218" s="27" t="s">
        <v>7</v>
      </c>
      <c r="AE218" s="31"/>
      <c r="AS218" s="27" t="s">
        <v>8</v>
      </c>
      <c r="AT218" s="27" t="s">
        <v>7</v>
      </c>
      <c r="AU218" s="27" t="s">
        <v>8</v>
      </c>
      <c r="AV218" s="27" t="s">
        <v>7</v>
      </c>
    </row>
    <row r="219" spans="1:62" x14ac:dyDescent="0.25">
      <c r="A219" s="30">
        <v>2.7859625904016441</v>
      </c>
      <c r="E219" t="s">
        <v>8</v>
      </c>
      <c r="R219" s="27" t="s">
        <v>7</v>
      </c>
      <c r="S219" s="27" t="s">
        <v>8</v>
      </c>
      <c r="V219" s="27" t="s">
        <v>7</v>
      </c>
      <c r="Z219" s="27" t="s">
        <v>7</v>
      </c>
      <c r="AF219" s="31"/>
      <c r="AQ219" s="27" t="s">
        <v>8</v>
      </c>
      <c r="AS219" s="27" t="s">
        <v>8</v>
      </c>
      <c r="AT219" s="27" t="s">
        <v>7</v>
      </c>
      <c r="AU219" s="27" t="s">
        <v>8</v>
      </c>
      <c r="AV219" s="27" t="s">
        <v>7</v>
      </c>
    </row>
    <row r="220" spans="1:62" x14ac:dyDescent="0.25">
      <c r="A220" s="30">
        <v>2.6532977051444226</v>
      </c>
      <c r="E220" t="s">
        <v>8</v>
      </c>
      <c r="R220" s="27" t="s">
        <v>7</v>
      </c>
      <c r="S220" s="27" t="s">
        <v>8</v>
      </c>
      <c r="Z220" s="27" t="s">
        <v>7</v>
      </c>
      <c r="AA220" s="27" t="s">
        <v>8</v>
      </c>
      <c r="AG220" s="31"/>
      <c r="AO220" s="27" t="s">
        <v>8</v>
      </c>
      <c r="AQ220" s="27" t="s">
        <v>8</v>
      </c>
      <c r="AR220" s="27" t="s">
        <v>7</v>
      </c>
      <c r="AS220" s="27" t="s">
        <v>8</v>
      </c>
      <c r="AT220" s="27" t="s">
        <v>7</v>
      </c>
      <c r="AV220" s="31" t="s">
        <v>7</v>
      </c>
    </row>
    <row r="221" spans="1:62" x14ac:dyDescent="0.25">
      <c r="A221" s="30">
        <v>2.5269501953756404</v>
      </c>
      <c r="E221" t="s">
        <v>8</v>
      </c>
      <c r="R221" s="27" t="s">
        <v>7</v>
      </c>
      <c r="S221" s="27" t="s">
        <v>8</v>
      </c>
      <c r="Z221" s="27" t="s">
        <v>7</v>
      </c>
      <c r="AA221" s="27" t="s">
        <v>8</v>
      </c>
      <c r="AB221" s="27" t="s">
        <v>7</v>
      </c>
      <c r="AH221" s="31"/>
      <c r="AO221" s="27" t="s">
        <v>8</v>
      </c>
      <c r="AP221" s="27" t="s">
        <v>7</v>
      </c>
      <c r="AQ221" s="27" t="s">
        <v>8</v>
      </c>
      <c r="AR221" s="27" t="s">
        <v>7</v>
      </c>
      <c r="AS221" s="27" t="s">
        <v>8</v>
      </c>
      <c r="AU221" s="31"/>
      <c r="AV221" s="27" t="s">
        <v>7</v>
      </c>
    </row>
    <row r="222" spans="1:62" x14ac:dyDescent="0.25">
      <c r="A222" s="30">
        <v>2.4066192336910861</v>
      </c>
      <c r="E222" t="s">
        <v>8</v>
      </c>
      <c r="R222" s="27" t="s">
        <v>7</v>
      </c>
      <c r="S222" s="27" t="s">
        <v>8</v>
      </c>
      <c r="Z222" s="27" t="s">
        <v>7</v>
      </c>
      <c r="AA222" s="27" t="s">
        <v>8</v>
      </c>
      <c r="AB222" s="27" t="s">
        <v>7</v>
      </c>
      <c r="AE222" s="27" t="s">
        <v>8</v>
      </c>
      <c r="AI222" s="31"/>
      <c r="AO222" s="27" t="s">
        <v>8</v>
      </c>
      <c r="AP222" s="27" t="s">
        <v>7</v>
      </c>
      <c r="AQ222" s="27" t="s">
        <v>8</v>
      </c>
      <c r="AR222" s="27" t="s">
        <v>7</v>
      </c>
      <c r="AS222" s="27" t="s">
        <v>8</v>
      </c>
      <c r="AT222" s="31"/>
      <c r="AV222" s="27" t="s">
        <v>7</v>
      </c>
      <c r="BE222" s="27" t="s">
        <v>8</v>
      </c>
    </row>
    <row r="223" spans="1:62" x14ac:dyDescent="0.25">
      <c r="A223" s="30">
        <v>2.2920183178010345</v>
      </c>
      <c r="E223" t="s">
        <v>8</v>
      </c>
      <c r="R223" s="27" t="s">
        <v>7</v>
      </c>
      <c r="S223" s="27" t="s">
        <v>8</v>
      </c>
      <c r="Z223" s="27" t="s">
        <v>7</v>
      </c>
      <c r="AA223" s="27" t="s">
        <v>8</v>
      </c>
      <c r="AB223" s="27" t="s">
        <v>7</v>
      </c>
      <c r="AE223" s="33" t="s">
        <v>8</v>
      </c>
      <c r="AF223" s="27" t="s">
        <v>7</v>
      </c>
      <c r="AI223" s="33" t="s">
        <v>8</v>
      </c>
      <c r="AJ223" s="31"/>
      <c r="AO223" s="33" t="s">
        <v>8</v>
      </c>
      <c r="AP223" s="27" t="s">
        <v>7</v>
      </c>
      <c r="AR223" s="27" t="s">
        <v>7</v>
      </c>
      <c r="AS223" s="31"/>
      <c r="AV223" s="27" t="s">
        <v>7</v>
      </c>
      <c r="BE223" s="27" t="s">
        <v>8</v>
      </c>
      <c r="BF223" s="27" t="s">
        <v>7</v>
      </c>
      <c r="BG223" s="27" t="s">
        <v>8</v>
      </c>
      <c r="BI223" s="27" t="s">
        <v>8</v>
      </c>
    </row>
    <row r="224" spans="1:62" x14ac:dyDescent="0.25">
      <c r="A224" s="30">
        <v>2.1828745883819374</v>
      </c>
      <c r="E224" t="s">
        <v>8</v>
      </c>
      <c r="R224" s="27" t="s">
        <v>7</v>
      </c>
      <c r="S224" s="27" t="s">
        <v>8</v>
      </c>
      <c r="Z224" s="27" t="s">
        <v>7</v>
      </c>
      <c r="AA224" s="27" t="s">
        <v>8</v>
      </c>
      <c r="AB224" s="27" t="s">
        <v>7</v>
      </c>
      <c r="AC224" s="27" t="s">
        <v>8</v>
      </c>
      <c r="AE224" s="27" t="s">
        <v>8</v>
      </c>
      <c r="AF224" s="27" t="s">
        <v>7</v>
      </c>
      <c r="AG224" s="27" t="s">
        <v>8</v>
      </c>
      <c r="AI224" s="27" t="s">
        <v>8</v>
      </c>
      <c r="AJ224" s="27" t="s">
        <v>7</v>
      </c>
      <c r="AK224" s="31" t="s">
        <v>8</v>
      </c>
      <c r="AM224" s="27" t="s">
        <v>8</v>
      </c>
      <c r="AO224" s="27" t="s">
        <v>8</v>
      </c>
      <c r="AR224" s="31"/>
      <c r="AV224" s="27" t="s">
        <v>7</v>
      </c>
      <c r="AW224" s="27" t="s">
        <v>8</v>
      </c>
      <c r="AY224" s="27" t="s">
        <v>8</v>
      </c>
      <c r="BC224" s="27" t="s">
        <v>8</v>
      </c>
      <c r="BE224" s="27" t="s">
        <v>8</v>
      </c>
      <c r="BF224" s="27" t="s">
        <v>7</v>
      </c>
      <c r="BG224" s="27" t="s">
        <v>8</v>
      </c>
      <c r="BH224" s="27" t="s">
        <v>7</v>
      </c>
      <c r="BI224" s="27" t="s">
        <v>8</v>
      </c>
      <c r="BJ224" s="27" t="s">
        <v>7</v>
      </c>
    </row>
    <row r="225" spans="1:75" x14ac:dyDescent="0.25">
      <c r="A225" s="30">
        <v>2.0789281794113688</v>
      </c>
      <c r="E225" t="s">
        <v>8</v>
      </c>
      <c r="R225" s="27" t="s">
        <v>7</v>
      </c>
      <c r="S225" s="27" t="s">
        <v>8</v>
      </c>
      <c r="Z225" s="27" t="s">
        <v>7</v>
      </c>
      <c r="AA225" s="27" t="s">
        <v>8</v>
      </c>
      <c r="AB225" s="27" t="s">
        <v>7</v>
      </c>
      <c r="AC225" s="27" t="s">
        <v>8</v>
      </c>
      <c r="AD225" s="27" t="s">
        <v>7</v>
      </c>
      <c r="AE225" s="27" t="s">
        <v>8</v>
      </c>
      <c r="AF225" s="27" t="s">
        <v>7</v>
      </c>
      <c r="AG225" s="27" t="s">
        <v>8</v>
      </c>
      <c r="AH225" s="27" t="s">
        <v>7</v>
      </c>
      <c r="AI225" s="27" t="s">
        <v>8</v>
      </c>
      <c r="AJ225" s="27" t="s">
        <v>7</v>
      </c>
      <c r="AK225" s="27" t="s">
        <v>8</v>
      </c>
      <c r="AL225" s="31" t="s">
        <v>7</v>
      </c>
      <c r="AM225" s="27" t="s">
        <v>8</v>
      </c>
      <c r="AN225" s="27" t="s">
        <v>7</v>
      </c>
      <c r="AO225" s="27" t="s">
        <v>8</v>
      </c>
      <c r="AQ225" s="31"/>
      <c r="AV225" s="27" t="s">
        <v>7</v>
      </c>
      <c r="AW225" s="27" t="s">
        <v>8</v>
      </c>
      <c r="AX225" s="27" t="s">
        <v>7</v>
      </c>
      <c r="AY225" s="27" t="s">
        <v>8</v>
      </c>
      <c r="AZ225" s="27" t="s">
        <v>7</v>
      </c>
      <c r="BC225" s="27" t="s">
        <v>8</v>
      </c>
      <c r="BD225" s="27" t="s">
        <v>7</v>
      </c>
      <c r="BE225" s="27" t="s">
        <v>8</v>
      </c>
      <c r="BF225" s="27" t="s">
        <v>7</v>
      </c>
      <c r="BG225" s="27" t="s">
        <v>8</v>
      </c>
      <c r="BH225" s="27" t="s">
        <v>7</v>
      </c>
      <c r="BI225" s="27" t="s">
        <v>8</v>
      </c>
      <c r="BJ225" s="27" t="s">
        <v>7</v>
      </c>
      <c r="BK225" s="27" t="s">
        <v>8</v>
      </c>
    </row>
    <row r="226" spans="1:75" x14ac:dyDescent="0.25">
      <c r="A226" s="30">
        <v>1.9799315994393987</v>
      </c>
      <c r="E226" t="s">
        <v>8</v>
      </c>
      <c r="R226" s="27" t="s">
        <v>7</v>
      </c>
      <c r="S226" s="27" t="s">
        <v>8</v>
      </c>
      <c r="Z226" s="27" t="s">
        <v>7</v>
      </c>
      <c r="AA226" s="27" t="s">
        <v>8</v>
      </c>
      <c r="AB226" s="27" t="s">
        <v>7</v>
      </c>
      <c r="AC226" s="27" t="s">
        <v>8</v>
      </c>
      <c r="AD226" s="27" t="s">
        <v>7</v>
      </c>
      <c r="AE226" s="27" t="s">
        <v>8</v>
      </c>
      <c r="AF226" s="27" t="s">
        <v>7</v>
      </c>
      <c r="AG226" s="27" t="s">
        <v>8</v>
      </c>
      <c r="AH226" s="27" t="s">
        <v>7</v>
      </c>
      <c r="AI226" s="27" t="s">
        <v>8</v>
      </c>
      <c r="AJ226" s="27" t="s">
        <v>7</v>
      </c>
      <c r="AK226" s="27" t="s">
        <v>8</v>
      </c>
      <c r="AL226" s="27" t="s">
        <v>7</v>
      </c>
      <c r="AM226" s="31" t="s">
        <v>8</v>
      </c>
      <c r="AN226" s="27" t="s">
        <v>7</v>
      </c>
      <c r="AO226" s="27" t="s">
        <v>8</v>
      </c>
      <c r="AP226" s="31"/>
      <c r="AV226" s="27" t="s">
        <v>7</v>
      </c>
      <c r="AW226" s="27" t="s">
        <v>8</v>
      </c>
      <c r="AX226" s="27" t="s">
        <v>7</v>
      </c>
      <c r="AY226" s="27" t="s">
        <v>8</v>
      </c>
      <c r="AZ226" s="27" t="s">
        <v>7</v>
      </c>
      <c r="BC226" s="27" t="s">
        <v>8</v>
      </c>
      <c r="BD226" s="27" t="s">
        <v>7</v>
      </c>
      <c r="BE226" s="27" t="s">
        <v>8</v>
      </c>
      <c r="BF226" s="27" t="s">
        <v>7</v>
      </c>
      <c r="BG226" s="27" t="s">
        <v>8</v>
      </c>
      <c r="BH226" s="27" t="s">
        <v>7</v>
      </c>
      <c r="BJ226" s="27" t="s">
        <v>7</v>
      </c>
      <c r="BK226" s="27" t="s">
        <v>8</v>
      </c>
      <c r="BL226" s="27" t="s">
        <v>7</v>
      </c>
    </row>
    <row r="227" spans="1:75" x14ac:dyDescent="0.25">
      <c r="A227" s="30">
        <v>1.8856491423232367</v>
      </c>
      <c r="E227" t="s">
        <v>8</v>
      </c>
      <c r="R227" s="27" t="s">
        <v>7</v>
      </c>
      <c r="Z227" s="27" t="s">
        <v>7</v>
      </c>
      <c r="AA227" s="27" t="s">
        <v>8</v>
      </c>
      <c r="AB227" s="27" t="s">
        <v>7</v>
      </c>
      <c r="AC227" s="27" t="s">
        <v>8</v>
      </c>
      <c r="AD227" s="27" t="s">
        <v>7</v>
      </c>
      <c r="AE227" s="27" t="s">
        <v>8</v>
      </c>
      <c r="AF227" s="27" t="s">
        <v>7</v>
      </c>
      <c r="AH227" s="27" t="s">
        <v>7</v>
      </c>
      <c r="AI227" s="27" t="s">
        <v>8</v>
      </c>
      <c r="AJ227" s="27" t="s">
        <v>7</v>
      </c>
      <c r="AK227" s="27" t="s">
        <v>8</v>
      </c>
      <c r="AL227" s="27" t="s">
        <v>7</v>
      </c>
      <c r="AN227" s="27" t="s">
        <v>7</v>
      </c>
      <c r="AO227" s="31"/>
      <c r="AV227" s="27" t="s">
        <v>7</v>
      </c>
      <c r="AX227" s="27" t="s">
        <v>7</v>
      </c>
      <c r="AZ227" s="27" t="s">
        <v>7</v>
      </c>
      <c r="BC227" s="27" t="s">
        <v>8</v>
      </c>
      <c r="BD227" s="27" t="s">
        <v>7</v>
      </c>
      <c r="BE227" s="27" t="s">
        <v>8</v>
      </c>
      <c r="BF227" s="27" t="s">
        <v>7</v>
      </c>
      <c r="BG227" s="27" t="s">
        <v>8</v>
      </c>
      <c r="BH227" s="31"/>
      <c r="BJ227" s="27" t="s">
        <v>7</v>
      </c>
      <c r="BK227" s="27" t="s">
        <v>8</v>
      </c>
      <c r="BL227" s="27" t="s">
        <v>7</v>
      </c>
    </row>
    <row r="228" spans="1:75" x14ac:dyDescent="0.25">
      <c r="A228" s="30">
        <v>1.7958563260221301</v>
      </c>
      <c r="C228" s="7"/>
      <c r="D228"/>
      <c r="E228" t="s">
        <v>8</v>
      </c>
      <c r="Z228" s="27" t="s">
        <v>7</v>
      </c>
      <c r="AA228" s="27" t="s">
        <v>8</v>
      </c>
      <c r="AB228" s="27" t="s">
        <v>7</v>
      </c>
      <c r="AD228" s="27" t="s">
        <v>7</v>
      </c>
      <c r="AE228" s="27" t="s">
        <v>8</v>
      </c>
      <c r="AH228" s="34" t="s">
        <v>7</v>
      </c>
      <c r="AJ228" s="27" t="s">
        <v>7</v>
      </c>
      <c r="AK228" s="27" t="s">
        <v>8</v>
      </c>
      <c r="AN228" s="31"/>
      <c r="AZ228" s="27" t="s">
        <v>7</v>
      </c>
      <c r="BA228" s="27" t="s">
        <v>8</v>
      </c>
      <c r="BC228" s="27" t="s">
        <v>8</v>
      </c>
      <c r="BD228" s="27" t="s">
        <v>7</v>
      </c>
      <c r="BE228" s="27" t="s">
        <v>8</v>
      </c>
      <c r="BF228" s="27" t="s">
        <v>7</v>
      </c>
      <c r="BG228" s="31" t="s">
        <v>8</v>
      </c>
      <c r="BJ228" s="27" t="s">
        <v>7</v>
      </c>
      <c r="BK228" s="27" t="s">
        <v>8</v>
      </c>
      <c r="BL228" s="27" t="s">
        <v>7</v>
      </c>
    </row>
    <row r="229" spans="1:75" x14ac:dyDescent="0.25">
      <c r="A229" s="30">
        <v>1.7103393581163142</v>
      </c>
      <c r="E229" t="s">
        <v>8</v>
      </c>
      <c r="Z229" s="27" t="s">
        <v>7</v>
      </c>
      <c r="AA229" s="27" t="s">
        <v>8</v>
      </c>
      <c r="AD229" s="27" t="s">
        <v>7</v>
      </c>
      <c r="AJ229" s="34" t="s">
        <v>7</v>
      </c>
      <c r="AK229" s="27" t="s">
        <v>8</v>
      </c>
      <c r="AM229" s="31"/>
      <c r="AZ229" s="27" t="s">
        <v>7</v>
      </c>
      <c r="BA229" s="27" t="s">
        <v>8</v>
      </c>
      <c r="BB229" s="27" t="s">
        <v>7</v>
      </c>
      <c r="BC229" s="27" t="s">
        <v>8</v>
      </c>
      <c r="BD229" s="27" t="s">
        <v>7</v>
      </c>
      <c r="BF229" s="31" t="s">
        <v>7</v>
      </c>
      <c r="BJ229" s="27" t="s">
        <v>7</v>
      </c>
      <c r="BL229" s="27" t="s">
        <v>7</v>
      </c>
    </row>
    <row r="230" spans="1:75" x14ac:dyDescent="0.25">
      <c r="A230" s="30">
        <v>1.628894626777442</v>
      </c>
      <c r="E230" t="s">
        <v>8</v>
      </c>
      <c r="Z230" s="27" t="s">
        <v>7</v>
      </c>
      <c r="AJ230" s="27" t="s">
        <v>7</v>
      </c>
      <c r="AK230" s="27" t="s">
        <v>8</v>
      </c>
      <c r="AL230" s="31"/>
      <c r="AZ230" s="27" t="s">
        <v>7</v>
      </c>
      <c r="BA230" s="27" t="s">
        <v>8</v>
      </c>
      <c r="BB230" s="27" t="s">
        <v>7</v>
      </c>
      <c r="BC230" s="27" t="s">
        <v>8</v>
      </c>
      <c r="BE230" s="31"/>
      <c r="BL230" s="27" t="s">
        <v>7</v>
      </c>
    </row>
    <row r="231" spans="1:75" x14ac:dyDescent="0.25">
      <c r="A231" s="30">
        <v>1.5513282159785162</v>
      </c>
      <c r="C231"/>
      <c r="D231"/>
      <c r="E231" t="s">
        <v>8</v>
      </c>
      <c r="AJ231" s="27" t="s">
        <v>7</v>
      </c>
      <c r="AK231" s="31" t="s">
        <v>8</v>
      </c>
      <c r="AZ231" s="27" t="s">
        <v>7</v>
      </c>
      <c r="BB231" s="27" t="s">
        <v>7</v>
      </c>
      <c r="BC231" s="27" t="s">
        <v>8</v>
      </c>
      <c r="BD231" s="31"/>
      <c r="BL231" s="27" t="s">
        <v>7</v>
      </c>
    </row>
    <row r="232" spans="1:75" x14ac:dyDescent="0.25">
      <c r="A232" s="30">
        <v>1.477455443789063</v>
      </c>
      <c r="E232" t="s">
        <v>8</v>
      </c>
      <c r="AJ232" s="31" t="s">
        <v>7</v>
      </c>
      <c r="BB232" s="27" t="s">
        <v>7</v>
      </c>
      <c r="BC232" s="31" t="s">
        <v>8</v>
      </c>
      <c r="BL232" s="27" t="s">
        <v>7</v>
      </c>
    </row>
    <row r="233" spans="1:75" x14ac:dyDescent="0.25">
      <c r="A233" s="30">
        <v>1.4071004226562505</v>
      </c>
      <c r="E233" t="s">
        <v>8</v>
      </c>
      <c r="BB233" s="31" t="s">
        <v>7</v>
      </c>
      <c r="BL233" s="27" t="s">
        <v>7</v>
      </c>
    </row>
    <row r="234" spans="1:75" x14ac:dyDescent="0.25">
      <c r="A234" s="30">
        <v>1.3400956406250004</v>
      </c>
      <c r="E234" t="s">
        <v>8</v>
      </c>
      <c r="BL234" s="27" t="s">
        <v>7</v>
      </c>
      <c r="BM234" s="27" t="s">
        <v>8</v>
      </c>
      <c r="BO234" s="27" t="s">
        <v>8</v>
      </c>
    </row>
    <row r="235" spans="1:75" x14ac:dyDescent="0.25">
      <c r="A235" s="30">
        <v>1.2762815625000004</v>
      </c>
      <c r="C235"/>
      <c r="E235" t="s">
        <v>8</v>
      </c>
      <c r="BL235" s="27" t="s">
        <v>7</v>
      </c>
      <c r="BM235" s="27" t="s">
        <v>8</v>
      </c>
      <c r="BN235" s="27" t="s">
        <v>7</v>
      </c>
      <c r="BO235" s="27" t="s">
        <v>8</v>
      </c>
      <c r="BP235" s="27" t="s">
        <v>7</v>
      </c>
      <c r="BS235" s="27" t="s">
        <v>8</v>
      </c>
    </row>
    <row r="236" spans="1:75" x14ac:dyDescent="0.25">
      <c r="A236" s="30">
        <v>1.2155062500000002</v>
      </c>
      <c r="E236" t="s">
        <v>8</v>
      </c>
      <c r="BL236" s="27" t="s">
        <v>7</v>
      </c>
      <c r="BM236" s="27" t="s">
        <v>8</v>
      </c>
      <c r="BN236" s="27" t="s">
        <v>7</v>
      </c>
      <c r="BO236" s="27" t="s">
        <v>8</v>
      </c>
      <c r="BP236" s="27" t="s">
        <v>7</v>
      </c>
      <c r="BQ236" s="27" t="s">
        <v>8</v>
      </c>
      <c r="BS236" s="27" t="s">
        <v>8</v>
      </c>
      <c r="BT236" s="27" t="s">
        <v>7</v>
      </c>
      <c r="BU236" s="27" t="s">
        <v>8</v>
      </c>
    </row>
    <row r="237" spans="1:7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BL237" s="27" t="s">
        <v>7</v>
      </c>
      <c r="BM237" s="27" t="s">
        <v>8</v>
      </c>
      <c r="BN237" s="27" t="s">
        <v>7</v>
      </c>
      <c r="BP237" s="27" t="s">
        <v>7</v>
      </c>
      <c r="BQ237" s="27" t="s">
        <v>8</v>
      </c>
      <c r="BR237" s="27" t="s">
        <v>7</v>
      </c>
      <c r="BS237" s="27" t="s">
        <v>8</v>
      </c>
      <c r="BT237" s="27" t="s">
        <v>7</v>
      </c>
      <c r="BU237" s="27" t="s">
        <v>8</v>
      </c>
      <c r="BV237" s="27" t="s">
        <v>7</v>
      </c>
    </row>
    <row r="238" spans="1:75" x14ac:dyDescent="0.25">
      <c r="A238" s="30">
        <v>1.1025</v>
      </c>
      <c r="E238" t="s">
        <v>8</v>
      </c>
      <c r="BL238" s="27" t="s">
        <v>7</v>
      </c>
      <c r="BM238" s="27" t="s">
        <v>8</v>
      </c>
      <c r="BP238" s="27" t="s">
        <v>7</v>
      </c>
      <c r="BQ238" s="27" t="s">
        <v>8</v>
      </c>
      <c r="BR238" s="27" t="s">
        <v>7</v>
      </c>
      <c r="BS238" s="27" t="s">
        <v>8</v>
      </c>
      <c r="BT238" s="27" t="s">
        <v>7</v>
      </c>
      <c r="BU238" s="27" t="s">
        <v>8</v>
      </c>
      <c r="BV238" s="27" t="s">
        <v>7</v>
      </c>
    </row>
    <row r="239" spans="1:75" x14ac:dyDescent="0.25">
      <c r="A239" s="30">
        <v>1.05</v>
      </c>
      <c r="E239" t="s">
        <v>8</v>
      </c>
      <c r="BL239" s="27" t="s">
        <v>7</v>
      </c>
      <c r="BP239" s="27" t="s">
        <v>7</v>
      </c>
      <c r="BQ239" s="27" t="s">
        <v>8</v>
      </c>
      <c r="BR239" s="27" t="s">
        <v>7</v>
      </c>
      <c r="BT239" s="27" t="s">
        <v>7</v>
      </c>
      <c r="BV239" s="27" t="s">
        <v>7</v>
      </c>
    </row>
    <row r="240" spans="1:75" x14ac:dyDescent="0.25">
      <c r="A240" s="30">
        <v>1</v>
      </c>
      <c r="E240" s="29" t="s">
        <v>8</v>
      </c>
      <c r="BP240" s="27" t="s">
        <v>7</v>
      </c>
      <c r="BV240" s="27" t="s">
        <v>7</v>
      </c>
      <c r="BW240" s="27" t="s">
        <v>8</v>
      </c>
    </row>
    <row r="241" spans="1:77" x14ac:dyDescent="0.25">
      <c r="A241" s="30">
        <v>0.952380952380952</v>
      </c>
      <c r="B241"/>
      <c r="C241"/>
      <c r="D241"/>
      <c r="E241"/>
      <c r="BV241" s="27" t="s">
        <v>7</v>
      </c>
      <c r="BW241" s="27" t="s">
        <v>8</v>
      </c>
      <c r="BX241" s="27" t="s">
        <v>7</v>
      </c>
    </row>
    <row r="242" spans="1:77" x14ac:dyDescent="0.25">
      <c r="A242" s="30">
        <v>0.90702947845804915</v>
      </c>
      <c r="B242"/>
      <c r="C242"/>
      <c r="D242"/>
      <c r="E242"/>
      <c r="BV242" s="27" t="s">
        <v>7</v>
      </c>
      <c r="BW242" s="27" t="s">
        <v>8</v>
      </c>
      <c r="BX242" s="27" t="s">
        <v>7</v>
      </c>
    </row>
    <row r="243" spans="1:77" x14ac:dyDescent="0.25">
      <c r="A243" s="30">
        <v>0.86383759853147501</v>
      </c>
      <c r="B243"/>
      <c r="C243"/>
      <c r="D243"/>
      <c r="E243"/>
      <c r="BV243" s="27" t="s">
        <v>7</v>
      </c>
      <c r="BX243" s="27" t="s">
        <v>7</v>
      </c>
    </row>
    <row r="244" spans="1:77" x14ac:dyDescent="0.25">
      <c r="A244" s="30">
        <v>0.82270247479188063</v>
      </c>
      <c r="B244"/>
      <c r="C244"/>
      <c r="D244"/>
      <c r="E244"/>
      <c r="BX244" s="27" t="s">
        <v>7</v>
      </c>
    </row>
    <row r="245" spans="1:77" x14ac:dyDescent="0.25">
      <c r="A245" s="30">
        <v>0.78352616646845741</v>
      </c>
      <c r="B245"/>
      <c r="C245"/>
      <c r="D245"/>
      <c r="E245"/>
      <c r="BX245" s="27" t="s">
        <v>7</v>
      </c>
    </row>
    <row r="246" spans="1:77" x14ac:dyDescent="0.25">
      <c r="A246" s="30">
        <v>0.74621539663662584</v>
      </c>
      <c r="B246"/>
      <c r="C246"/>
      <c r="D246"/>
      <c r="E246"/>
      <c r="BX246" s="27" t="s">
        <v>7</v>
      </c>
    </row>
    <row r="247" spans="1:77" x14ac:dyDescent="0.25">
      <c r="A247" s="30">
        <v>0.71068133013011958</v>
      </c>
      <c r="B247"/>
      <c r="C247"/>
      <c r="D247"/>
      <c r="E247"/>
      <c r="BX247" s="27" t="s">
        <v>7</v>
      </c>
    </row>
    <row r="248" spans="1:77" x14ac:dyDescent="0.25">
      <c r="A248" s="30">
        <v>0.676839362028685</v>
      </c>
      <c r="B248"/>
      <c r="C248"/>
      <c r="D248"/>
      <c r="E248"/>
      <c r="BX248" s="27" t="s">
        <v>7</v>
      </c>
    </row>
    <row r="249" spans="1:77" x14ac:dyDescent="0.25">
      <c r="A249" s="30">
        <v>0.64460891621779492</v>
      </c>
      <c r="B249"/>
      <c r="C249"/>
      <c r="D249"/>
      <c r="E249"/>
      <c r="BX249" s="27" t="s">
        <v>7</v>
      </c>
      <c r="BY249" s="27" t="s">
        <v>8</v>
      </c>
    </row>
    <row r="250" spans="1:77" x14ac:dyDescent="0.25">
      <c r="A250" s="30">
        <v>0.61391325354075688</v>
      </c>
      <c r="B250"/>
      <c r="C250"/>
      <c r="D250"/>
      <c r="E250"/>
      <c r="BX250" s="27" t="s">
        <v>7</v>
      </c>
      <c r="BY250" s="27" t="s">
        <v>8</v>
      </c>
    </row>
    <row r="251" spans="1:77" x14ac:dyDescent="0.25">
      <c r="A251" s="30">
        <v>0.58467928908643485</v>
      </c>
      <c r="B251"/>
      <c r="C251"/>
      <c r="D251"/>
      <c r="E251"/>
      <c r="BX251" s="27" t="s">
        <v>7</v>
      </c>
      <c r="BY251" s="27" t="s">
        <v>8</v>
      </c>
    </row>
    <row r="252" spans="1:77" x14ac:dyDescent="0.25">
      <c r="A252" s="30">
        <v>0.55683741817755672</v>
      </c>
      <c r="B252"/>
      <c r="C252"/>
      <c r="D252"/>
      <c r="E252"/>
      <c r="BX252" s="27" t="s">
        <v>7</v>
      </c>
      <c r="BY252" s="27" t="s">
        <v>8</v>
      </c>
    </row>
    <row r="253" spans="1:77" x14ac:dyDescent="0.25">
      <c r="A253" s="30">
        <v>0.53032135064529184</v>
      </c>
      <c r="B253"/>
      <c r="C253"/>
      <c r="D253"/>
      <c r="E253"/>
      <c r="BX253" s="27" t="s">
        <v>7</v>
      </c>
    </row>
    <row r="254" spans="1:77" x14ac:dyDescent="0.25">
      <c r="A254" s="30">
        <v>0.50506795299551588</v>
      </c>
      <c r="B254"/>
      <c r="C254"/>
      <c r="D254"/>
      <c r="E254"/>
    </row>
    <row r="255" spans="1:77" x14ac:dyDescent="0.25">
      <c r="A255" s="30">
        <v>0.48101709809096732</v>
      </c>
      <c r="E255"/>
    </row>
    <row r="256" spans="1:77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93" operator="equal">
      <formula>$U$1</formula>
    </cfRule>
    <cfRule type="cellIs" dxfId="67" priority="694" operator="equal">
      <formula>$S$1</formula>
    </cfRule>
  </conditionalFormatting>
  <conditionalFormatting sqref="D136">
    <cfRule type="cellIs" dxfId="66" priority="691" operator="equal">
      <formula>$S$1</formula>
    </cfRule>
    <cfRule type="cellIs" dxfId="65" priority="692" operator="equal">
      <formula>$U$1</formula>
    </cfRule>
  </conditionalFormatting>
  <conditionalFormatting sqref="C162">
    <cfRule type="cellIs" dxfId="64" priority="689" operator="equal">
      <formula>$U$1</formula>
    </cfRule>
    <cfRule type="cellIs" dxfId="63" priority="690" operator="equal">
      <formula>$S$1</formula>
    </cfRule>
  </conditionalFormatting>
  <conditionalFormatting sqref="D162">
    <cfRule type="cellIs" dxfId="62" priority="687" operator="equal">
      <formula>$S$1</formula>
    </cfRule>
    <cfRule type="cellIs" dxfId="61" priority="688" operator="equal">
      <formula>$U$1</formula>
    </cfRule>
  </conditionalFormatting>
  <conditionalFormatting sqref="C187">
    <cfRule type="cellIs" dxfId="60" priority="685" operator="equal">
      <formula>$U$1</formula>
    </cfRule>
    <cfRule type="cellIs" dxfId="59" priority="686" operator="equal">
      <formula>$S$1</formula>
    </cfRule>
  </conditionalFormatting>
  <conditionalFormatting sqref="D187">
    <cfRule type="cellIs" dxfId="58" priority="683" operator="equal">
      <formula>$S$1</formula>
    </cfRule>
    <cfRule type="cellIs" dxfId="57" priority="684" operator="equal">
      <formula>$U$1</formula>
    </cfRule>
  </conditionalFormatting>
  <conditionalFormatting sqref="C212">
    <cfRule type="cellIs" dxfId="56" priority="681" operator="equal">
      <formula>$U$1</formula>
    </cfRule>
    <cfRule type="cellIs" dxfId="55" priority="682" operator="equal">
      <formula>$S$1</formula>
    </cfRule>
  </conditionalFormatting>
  <conditionalFormatting sqref="D212">
    <cfRule type="cellIs" dxfId="54" priority="679" operator="equal">
      <formula>$S$1</formula>
    </cfRule>
    <cfRule type="cellIs" dxfId="53" priority="680" operator="equal">
      <formula>$U$1</formula>
    </cfRule>
  </conditionalFormatting>
  <conditionalFormatting sqref="C237">
    <cfRule type="cellIs" dxfId="52" priority="677" operator="equal">
      <formula>$U$1</formula>
    </cfRule>
    <cfRule type="cellIs" dxfId="51" priority="678" operator="equal">
      <formula>$S$1</formula>
    </cfRule>
  </conditionalFormatting>
  <conditionalFormatting sqref="D237">
    <cfRule type="cellIs" dxfId="50" priority="675" operator="equal">
      <formula>$S$1</formula>
    </cfRule>
    <cfRule type="cellIs" dxfId="49" priority="676" operator="equal">
      <formula>$U$1</formula>
    </cfRule>
  </conditionalFormatting>
  <conditionalFormatting sqref="C106">
    <cfRule type="cellIs" dxfId="48" priority="673" operator="equal">
      <formula>$U$1</formula>
    </cfRule>
    <cfRule type="cellIs" dxfId="47" priority="674" operator="equal">
      <formula>$S$1</formula>
    </cfRule>
  </conditionalFormatting>
  <conditionalFormatting sqref="D106">
    <cfRule type="cellIs" dxfId="46" priority="671" operator="equal">
      <formula>$S$1</formula>
    </cfRule>
    <cfRule type="cellIs" dxfId="45" priority="672" operator="equal">
      <formula>$U$1</formula>
    </cfRule>
  </conditionalFormatting>
  <conditionalFormatting sqref="C81">
    <cfRule type="cellIs" dxfId="44" priority="669" operator="equal">
      <formula>$U$1</formula>
    </cfRule>
    <cfRule type="cellIs" dxfId="43" priority="670" operator="equal">
      <formula>$S$1</formula>
    </cfRule>
  </conditionalFormatting>
  <conditionalFormatting sqref="D81">
    <cfRule type="cellIs" dxfId="42" priority="667" operator="equal">
      <formula>$S$1</formula>
    </cfRule>
    <cfRule type="cellIs" dxfId="41" priority="668" operator="equal">
      <formula>$U$1</formula>
    </cfRule>
  </conditionalFormatting>
  <conditionalFormatting sqref="C56">
    <cfRule type="cellIs" dxfId="40" priority="665" operator="equal">
      <formula>$U$1</formula>
    </cfRule>
    <cfRule type="cellIs" dxfId="39" priority="666" operator="equal">
      <formula>$S$1</formula>
    </cfRule>
  </conditionalFormatting>
  <conditionalFormatting sqref="D56">
    <cfRule type="cellIs" dxfId="38" priority="663" operator="equal">
      <formula>$S$1</formula>
    </cfRule>
    <cfRule type="cellIs" dxfId="37" priority="664" operator="equal">
      <formula>$U$1</formula>
    </cfRule>
  </conditionalFormatting>
  <conditionalFormatting sqref="C31">
    <cfRule type="cellIs" dxfId="36" priority="661" operator="equal">
      <formula>$U$1</formula>
    </cfRule>
    <cfRule type="cellIs" dxfId="35" priority="662" operator="equal">
      <formula>$S$1</formula>
    </cfRule>
  </conditionalFormatting>
  <conditionalFormatting sqref="D31">
    <cfRule type="cellIs" dxfId="34" priority="659" operator="equal">
      <formula>$S$1</formula>
    </cfRule>
    <cfRule type="cellIs" dxfId="33" priority="66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4" zoomScale="90" zoomScaleNormal="90" workbookViewId="0">
      <pane xSplit="4" topLeftCell="G1" activePane="topRight" state="frozen"/>
      <selection activeCell="A109" sqref="A109"/>
      <selection pane="topRight" activeCell="X127" sqref="X12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23" x14ac:dyDescent="0.25">
      <c r="A97" s="30">
        <v>9.849732675807628</v>
      </c>
      <c r="E97"/>
    </row>
    <row r="98" spans="1:23" x14ac:dyDescent="0.25">
      <c r="A98" s="30">
        <v>8.9543024325523888</v>
      </c>
      <c r="C98" s="1" t="s">
        <v>13</v>
      </c>
      <c r="E98"/>
    </row>
    <row r="99" spans="1:23" x14ac:dyDescent="0.25">
      <c r="A99" s="30">
        <v>8.140274938683989</v>
      </c>
      <c r="C99" s="1">
        <f>C88</f>
        <v>0</v>
      </c>
      <c r="E99" t="s">
        <v>8</v>
      </c>
    </row>
    <row r="100" spans="1:23" x14ac:dyDescent="0.25">
      <c r="A100" s="30">
        <v>7.4002499442581717</v>
      </c>
      <c r="C100"/>
      <c r="D100"/>
      <c r="E100" t="s">
        <v>8</v>
      </c>
      <c r="F100" s="27" t="s">
        <v>7</v>
      </c>
      <c r="I100" s="33" t="s">
        <v>8</v>
      </c>
    </row>
    <row r="101" spans="1:23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  <c r="I101" s="27" t="s">
        <v>8</v>
      </c>
      <c r="J101" s="31" t="s">
        <v>7</v>
      </c>
    </row>
    <row r="102" spans="1:2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H102" s="27" t="s">
        <v>7</v>
      </c>
      <c r="I102" s="27" t="s">
        <v>8</v>
      </c>
      <c r="J102" s="27" t="s">
        <v>7</v>
      </c>
      <c r="K102" s="31"/>
    </row>
    <row r="103" spans="1:23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H103" s="27" t="s">
        <v>7</v>
      </c>
      <c r="I103" s="27" t="s">
        <v>8</v>
      </c>
      <c r="J103" s="27" t="s">
        <v>7</v>
      </c>
      <c r="L103" s="31"/>
    </row>
    <row r="104" spans="1:23" x14ac:dyDescent="0.25">
      <c r="A104" s="30">
        <v>5.0544702849929442</v>
      </c>
      <c r="E104" t="s">
        <v>8</v>
      </c>
      <c r="F104" s="27" t="s">
        <v>7</v>
      </c>
      <c r="H104" s="34" t="s">
        <v>7</v>
      </c>
      <c r="I104" s="27" t="s">
        <v>8</v>
      </c>
      <c r="J104" s="27" t="s">
        <v>7</v>
      </c>
      <c r="K104" s="32" t="s">
        <v>8</v>
      </c>
      <c r="M104" s="32" t="s">
        <v>8</v>
      </c>
    </row>
    <row r="105" spans="1:23" x14ac:dyDescent="0.25">
      <c r="A105" s="30">
        <v>4.594972986357222</v>
      </c>
      <c r="E105" t="s">
        <v>8</v>
      </c>
      <c r="H105" s="27" t="s">
        <v>7</v>
      </c>
      <c r="J105" s="27" t="s">
        <v>7</v>
      </c>
      <c r="K105" s="27" t="s">
        <v>8</v>
      </c>
      <c r="L105" s="27" t="s">
        <v>7</v>
      </c>
      <c r="M105" s="27" t="s">
        <v>8</v>
      </c>
      <c r="N105" s="31" t="s">
        <v>7</v>
      </c>
    </row>
    <row r="106" spans="1:23" x14ac:dyDescent="0.25">
      <c r="A106" s="30">
        <v>4.1772481694156562</v>
      </c>
      <c r="E106" t="s">
        <v>8</v>
      </c>
      <c r="J106" s="34" t="s">
        <v>7</v>
      </c>
      <c r="K106" s="27" t="s">
        <v>8</v>
      </c>
      <c r="L106" s="27" t="s">
        <v>7</v>
      </c>
      <c r="M106" s="27" t="s">
        <v>8</v>
      </c>
      <c r="N106" s="27" t="s">
        <v>7</v>
      </c>
      <c r="O106" s="31"/>
    </row>
    <row r="107" spans="1:23" x14ac:dyDescent="0.25">
      <c r="A107" s="30">
        <v>3.7974983358324148</v>
      </c>
      <c r="E107" t="s">
        <v>8</v>
      </c>
      <c r="J107" s="27" t="s">
        <v>7</v>
      </c>
      <c r="K107" s="27" t="s">
        <v>8</v>
      </c>
      <c r="L107" s="27" t="s">
        <v>7</v>
      </c>
      <c r="M107" s="27" t="s">
        <v>8</v>
      </c>
      <c r="N107" s="27" t="s">
        <v>7</v>
      </c>
      <c r="P107" s="31"/>
    </row>
    <row r="108" spans="1:23" x14ac:dyDescent="0.25">
      <c r="A108" s="30">
        <v>3.4522712143931042</v>
      </c>
      <c r="E108" t="s">
        <v>8</v>
      </c>
      <c r="J108" s="27" t="s">
        <v>7</v>
      </c>
      <c r="L108" s="27" t="s">
        <v>7</v>
      </c>
      <c r="M108" s="27" t="s">
        <v>8</v>
      </c>
      <c r="N108" s="27" t="s">
        <v>7</v>
      </c>
      <c r="Q108" s="31"/>
    </row>
    <row r="109" spans="1:23" x14ac:dyDescent="0.25">
      <c r="A109" s="30">
        <v>3.1384283767210035</v>
      </c>
      <c r="E109" t="s">
        <v>8</v>
      </c>
      <c r="L109" s="27" t="s">
        <v>7</v>
      </c>
      <c r="M109" s="27" t="s">
        <v>8</v>
      </c>
      <c r="N109" s="27" t="s">
        <v>7</v>
      </c>
      <c r="R109" s="31"/>
      <c r="U109" s="27" t="s">
        <v>8</v>
      </c>
    </row>
    <row r="110" spans="1:23" x14ac:dyDescent="0.25">
      <c r="A110" s="30">
        <v>2.8531167061100029</v>
      </c>
      <c r="E110" t="s">
        <v>8</v>
      </c>
      <c r="L110" s="27" t="s">
        <v>7</v>
      </c>
      <c r="M110" s="27" t="s">
        <v>8</v>
      </c>
      <c r="N110" s="27" t="s">
        <v>7</v>
      </c>
      <c r="S110" s="31"/>
      <c r="U110" s="27" t="s">
        <v>8</v>
      </c>
      <c r="V110" s="27" t="s">
        <v>7</v>
      </c>
    </row>
    <row r="111" spans="1:23" x14ac:dyDescent="0.25">
      <c r="A111" s="30">
        <v>2.5937424601000023</v>
      </c>
      <c r="C111" s="1" t="str">
        <f>ADDRESS(C121-1,1,1,1)</f>
        <v>$A$126</v>
      </c>
      <c r="D111" s="1" t="str">
        <f>ADDRESS(C121-1,D121,1,1)</f>
        <v>$X$126</v>
      </c>
      <c r="E111" t="s">
        <v>8</v>
      </c>
      <c r="L111" s="27" t="s">
        <v>7</v>
      </c>
      <c r="M111" s="27" t="s">
        <v>8</v>
      </c>
      <c r="N111" s="27" t="s">
        <v>7</v>
      </c>
      <c r="O111" s="27" t="s">
        <v>8</v>
      </c>
      <c r="T111" s="31"/>
      <c r="U111" s="27" t="s">
        <v>8</v>
      </c>
      <c r="V111" s="27" t="s">
        <v>7</v>
      </c>
    </row>
    <row r="112" spans="1:23" x14ac:dyDescent="0.25">
      <c r="A112" s="30">
        <v>2.3579476910000019</v>
      </c>
      <c r="C112" s="1" t="str">
        <f>ADDRESS(C121,1,1,1)</f>
        <v>$A$127</v>
      </c>
      <c r="D112" s="1" t="str">
        <f>ADDRESS(C121,D121-1,1,1)</f>
        <v>$W$127</v>
      </c>
      <c r="E112" t="s">
        <v>8</v>
      </c>
      <c r="L112" s="27" t="s">
        <v>7</v>
      </c>
      <c r="M112" s="27" t="s">
        <v>8</v>
      </c>
      <c r="N112" s="27" t="s">
        <v>7</v>
      </c>
      <c r="O112" s="27" t="s">
        <v>8</v>
      </c>
      <c r="P112" s="27" t="s">
        <v>7</v>
      </c>
      <c r="Q112" s="32" t="s">
        <v>8</v>
      </c>
      <c r="S112" s="32" t="s">
        <v>8</v>
      </c>
      <c r="U112" s="31" t="s">
        <v>8</v>
      </c>
      <c r="V112" s="27" t="s">
        <v>7</v>
      </c>
      <c r="W112" s="27" t="s">
        <v>8</v>
      </c>
    </row>
    <row r="113" spans="1:24" x14ac:dyDescent="0.25">
      <c r="A113" s="30">
        <v>2.1435888100000016</v>
      </c>
      <c r="C113" s="1" t="str">
        <f>ADDRESS(C121+1,1,1,1)</f>
        <v>$A$128</v>
      </c>
      <c r="D113" s="1" t="str">
        <f>ADDRESS(C121-1,D121+1,1,1)</f>
        <v>$Y$126</v>
      </c>
      <c r="E113" s="1" t="s">
        <v>8</v>
      </c>
      <c r="L113" s="27" t="s">
        <v>7</v>
      </c>
      <c r="M113" s="27" t="s">
        <v>8</v>
      </c>
      <c r="N113" s="27" t="s">
        <v>7</v>
      </c>
      <c r="O113" s="27" t="s">
        <v>8</v>
      </c>
      <c r="P113" s="27" t="s">
        <v>7</v>
      </c>
      <c r="Q113" s="27" t="s">
        <v>8</v>
      </c>
      <c r="R113" s="27" t="s">
        <v>7</v>
      </c>
      <c r="S113" s="27" t="s">
        <v>8</v>
      </c>
      <c r="T113" s="27" t="s">
        <v>7</v>
      </c>
      <c r="U113" s="27" t="s">
        <v>8</v>
      </c>
      <c r="V113" s="31" t="s">
        <v>7</v>
      </c>
      <c r="W113" s="27" t="s">
        <v>8</v>
      </c>
      <c r="X113" s="27" t="s">
        <v>7</v>
      </c>
    </row>
    <row r="114" spans="1:24" x14ac:dyDescent="0.25">
      <c r="A114" s="30">
        <v>1.9487171000000014</v>
      </c>
      <c r="C114" s="1" t="str">
        <f>ADDRESS(C121,D121,1,1)</f>
        <v>$X$127</v>
      </c>
      <c r="D114" s="1" t="str">
        <f>ADDRESS(C121+1,D121+1,1,1)</f>
        <v>$Y$128</v>
      </c>
      <c r="E114" s="1" t="s">
        <v>8</v>
      </c>
      <c r="L114" s="27" t="s">
        <v>7</v>
      </c>
      <c r="N114" s="27" t="s">
        <v>7</v>
      </c>
      <c r="O114" s="27" t="s">
        <v>8</v>
      </c>
      <c r="P114" s="27" t="s">
        <v>7</v>
      </c>
      <c r="Q114" s="27" t="s">
        <v>8</v>
      </c>
      <c r="R114" s="27" t="s">
        <v>7</v>
      </c>
      <c r="S114" s="27" t="s">
        <v>8</v>
      </c>
      <c r="T114" s="27" t="s">
        <v>7</v>
      </c>
      <c r="U114" s="27" t="s">
        <v>8</v>
      </c>
      <c r="V114" s="27" t="s">
        <v>7</v>
      </c>
      <c r="W114" s="27" t="s">
        <v>8</v>
      </c>
      <c r="X114" s="27" t="s">
        <v>7</v>
      </c>
    </row>
    <row r="115" spans="1:24" x14ac:dyDescent="0.25">
      <c r="A115" s="30">
        <v>1.7715610000000011</v>
      </c>
      <c r="C115" s="1" t="str">
        <f>ADDRESS(C121+1,D121,1,1)</f>
        <v>$X$128</v>
      </c>
      <c r="E115" s="1" t="s">
        <v>8</v>
      </c>
      <c r="N115" s="27" t="s">
        <v>7</v>
      </c>
      <c r="O115" s="27" t="s">
        <v>8</v>
      </c>
      <c r="P115" s="32" t="s">
        <v>7</v>
      </c>
      <c r="R115" s="32" t="s">
        <v>7</v>
      </c>
      <c r="T115" s="18" t="s">
        <v>7</v>
      </c>
      <c r="U115" s="27" t="s">
        <v>8</v>
      </c>
      <c r="V115" s="27" t="s">
        <v>7</v>
      </c>
      <c r="W115" s="27" t="s">
        <v>8</v>
      </c>
      <c r="X115" s="27" t="s">
        <v>7</v>
      </c>
    </row>
    <row r="116" spans="1:24" x14ac:dyDescent="0.25">
      <c r="A116" s="30">
        <v>1.6105100000000008</v>
      </c>
      <c r="C116" s="1">
        <f>C117-1</f>
        <v>126</v>
      </c>
      <c r="E116" s="1" t="s">
        <v>8</v>
      </c>
      <c r="N116" s="27" t="s">
        <v>7</v>
      </c>
      <c r="T116" s="27" t="s">
        <v>7</v>
      </c>
      <c r="U116" s="27" t="s">
        <v>8</v>
      </c>
      <c r="V116" s="27" t="s">
        <v>7</v>
      </c>
      <c r="W116" s="27" t="s">
        <v>8</v>
      </c>
      <c r="X116" s="27" t="s">
        <v>7</v>
      </c>
    </row>
    <row r="117" spans="1:24" x14ac:dyDescent="0.25">
      <c r="A117" s="30">
        <v>1.4641000000000006</v>
      </c>
      <c r="C117" s="1">
        <f>C121</f>
        <v>127</v>
      </c>
      <c r="D117" s="1">
        <f>D121</f>
        <v>24</v>
      </c>
      <c r="E117" s="1" t="s">
        <v>8</v>
      </c>
      <c r="T117" s="32" t="s">
        <v>7</v>
      </c>
      <c r="V117" s="32" t="s">
        <v>7</v>
      </c>
      <c r="X117" s="27" t="s">
        <v>7</v>
      </c>
    </row>
    <row r="118" spans="1:24" x14ac:dyDescent="0.25">
      <c r="A118" s="30">
        <v>1.3310000000000004</v>
      </c>
      <c r="C118" s="1">
        <f>C117+1</f>
        <v>128</v>
      </c>
      <c r="D118" s="1">
        <f>D117+1</f>
        <v>25</v>
      </c>
      <c r="E118" s="1" t="s">
        <v>8</v>
      </c>
      <c r="X118" s="27" t="s">
        <v>7</v>
      </c>
    </row>
    <row r="119" spans="1:24" x14ac:dyDescent="0.25">
      <c r="A119" s="30">
        <v>1.2100000000000002</v>
      </c>
      <c r="E119" s="1" t="s">
        <v>8</v>
      </c>
      <c r="X119" s="27" t="s">
        <v>7</v>
      </c>
    </row>
    <row r="120" spans="1:24" x14ac:dyDescent="0.25">
      <c r="A120" s="30">
        <v>1.1000000000000001</v>
      </c>
      <c r="C120" s="1" t="s">
        <v>9</v>
      </c>
      <c r="E120" s="1" t="s">
        <v>8</v>
      </c>
      <c r="X120" s="27" t="s">
        <v>7</v>
      </c>
    </row>
    <row r="121" spans="1:24" x14ac:dyDescent="0.25">
      <c r="A121" s="30">
        <v>1</v>
      </c>
      <c r="C121" s="18">
        <v>127</v>
      </c>
      <c r="D121" s="19">
        <v>24</v>
      </c>
      <c r="E121" s="18" t="s">
        <v>8</v>
      </c>
      <c r="X121" s="27" t="s">
        <v>7</v>
      </c>
    </row>
    <row r="122" spans="1:24" x14ac:dyDescent="0.25">
      <c r="A122" s="30">
        <v>0.90909090909090895</v>
      </c>
      <c r="C122" s="1" t="str">
        <f>INDEX(1:1048576,C117,D117)</f>
        <v>O</v>
      </c>
      <c r="X122" s="27" t="s">
        <v>7</v>
      </c>
    </row>
    <row r="123" spans="1:24" x14ac:dyDescent="0.25">
      <c r="A123" s="30">
        <v>0.82644628099173523</v>
      </c>
      <c r="C123" s="1" t="str">
        <f>"R"&amp;C121</f>
        <v>R127</v>
      </c>
      <c r="D123" s="1" t="str">
        <f>"C"&amp;D121</f>
        <v>C24</v>
      </c>
      <c r="X123" s="27" t="s">
        <v>7</v>
      </c>
    </row>
    <row r="124" spans="1:24" x14ac:dyDescent="0.25">
      <c r="A124" s="30">
        <v>0.75131480090157732</v>
      </c>
      <c r="C124" s="1">
        <f>SUM(C130:D130)</f>
        <v>0</v>
      </c>
      <c r="D124" s="1">
        <f>IF(C124=0,0,1)</f>
        <v>0</v>
      </c>
      <c r="X124" s="27" t="s">
        <v>7</v>
      </c>
    </row>
    <row r="125" spans="1:24" x14ac:dyDescent="0.25">
      <c r="A125" s="30">
        <v>0.68301345536507019</v>
      </c>
      <c r="X125" s="27" t="s">
        <v>7</v>
      </c>
    </row>
    <row r="126" spans="1:24" x14ac:dyDescent="0.25">
      <c r="A126" s="30">
        <v>0.6209213230591546</v>
      </c>
      <c r="C126" s="1" t="s">
        <v>10</v>
      </c>
      <c r="X126" s="27" t="s">
        <v>7</v>
      </c>
    </row>
    <row r="127" spans="1:24" x14ac:dyDescent="0.25">
      <c r="A127" s="30">
        <v>0.56447393005377677</v>
      </c>
      <c r="C127" s="30">
        <v>0.56447393005377677</v>
      </c>
      <c r="D127"/>
      <c r="X127" s="27" t="s">
        <v>7</v>
      </c>
    </row>
    <row r="128" spans="1:24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77" operator="equal">
      <formula>$U$1</formula>
    </cfRule>
    <cfRule type="cellIs" dxfId="30" priority="678" operator="equal">
      <formula>$S$1</formula>
    </cfRule>
  </conditionalFormatting>
  <conditionalFormatting sqref="D136">
    <cfRule type="cellIs" dxfId="29" priority="675" operator="equal">
      <formula>$S$1</formula>
    </cfRule>
    <cfRule type="cellIs" dxfId="28" priority="676" operator="equal">
      <formula>$U$1</formula>
    </cfRule>
  </conditionalFormatting>
  <conditionalFormatting sqref="C102">
    <cfRule type="cellIs" dxfId="27" priority="673" operator="equal">
      <formula>$U$1</formula>
    </cfRule>
    <cfRule type="cellIs" dxfId="26" priority="674" operator="equal">
      <formula>$S$1</formula>
    </cfRule>
  </conditionalFormatting>
  <conditionalFormatting sqref="D102">
    <cfRule type="cellIs" dxfId="25" priority="671" operator="equal">
      <formula>$S$1</formula>
    </cfRule>
    <cfRule type="cellIs" dxfId="24" priority="672" operator="equal">
      <formula>$U$1</formula>
    </cfRule>
  </conditionalFormatting>
  <conditionalFormatting sqref="C77">
    <cfRule type="cellIs" dxfId="23" priority="669" operator="equal">
      <formula>$U$1</formula>
    </cfRule>
    <cfRule type="cellIs" dxfId="22" priority="670" operator="equal">
      <formula>$S$1</formula>
    </cfRule>
  </conditionalFormatting>
  <conditionalFormatting sqref="D77">
    <cfRule type="cellIs" dxfId="21" priority="667" operator="equal">
      <formula>$S$1</formula>
    </cfRule>
    <cfRule type="cellIs" dxfId="20" priority="668" operator="equal">
      <formula>$U$1</formula>
    </cfRule>
  </conditionalFormatting>
  <conditionalFormatting sqref="C52">
    <cfRule type="cellIs" dxfId="19" priority="665" operator="equal">
      <formula>$U$1</formula>
    </cfRule>
    <cfRule type="cellIs" dxfId="18" priority="666" operator="equal">
      <formula>$S$1</formula>
    </cfRule>
  </conditionalFormatting>
  <conditionalFormatting sqref="D52">
    <cfRule type="cellIs" dxfId="17" priority="663" operator="equal">
      <formula>$S$1</formula>
    </cfRule>
    <cfRule type="cellIs" dxfId="16" priority="664" operator="equal">
      <formula>$U$1</formula>
    </cfRule>
  </conditionalFormatting>
  <conditionalFormatting sqref="C26">
    <cfRule type="cellIs" dxfId="15" priority="661" operator="equal">
      <formula>$U$1</formula>
    </cfRule>
    <cfRule type="cellIs" dxfId="14" priority="662" operator="equal">
      <formula>$S$1</formula>
    </cfRule>
  </conditionalFormatting>
  <conditionalFormatting sqref="D26">
    <cfRule type="cellIs" dxfId="13" priority="659" operator="equal">
      <formula>$S$1</formula>
    </cfRule>
    <cfRule type="cellIs" dxfId="12" priority="66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3" sqref="H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0.05</v>
      </c>
      <c r="E3" s="30">
        <v>1.477455443789063</v>
      </c>
      <c r="F3" s="30">
        <v>1.9799315994393987</v>
      </c>
      <c r="G3" s="30">
        <v>2.6532977051444226</v>
      </c>
      <c r="H3" s="25">
        <f>IF(G3="","",(3*(G3-F3))+E3)</f>
        <v>3.4975537609041352</v>
      </c>
      <c r="I3" s="7"/>
      <c r="J3" s="7">
        <f>(E3+G3)/2</f>
        <v>2.0653765744667427</v>
      </c>
      <c r="K3" s="7">
        <f>H3/2</f>
        <v>1.7487768804520676</v>
      </c>
      <c r="M3" s="26">
        <f>IF(OR(J3="",H3=""),"",H3/J3)</f>
        <v>1.6934218215422361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2022-01-28T01:14:08Z</dcterms:modified>
</cp:coreProperties>
</file>