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EE8DD28-7879-4F6F-BB62-080D7D01A48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18" i="4"/>
  <c r="R765" i="1"/>
  <c r="D136" i="4"/>
  <c r="C136" i="4"/>
  <c r="C122" i="3"/>
  <c r="C133" i="3" s="1"/>
  <c r="D136" i="3" s="1"/>
  <c r="C118" i="3"/>
  <c r="C136" i="5" l="1"/>
  <c r="C138" i="5" s="1"/>
  <c r="C138" i="4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S708" i="1" l="1"/>
  <c r="T708" i="1" s="1"/>
  <c r="R707" i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R639" i="1" l="1"/>
  <c r="S640" i="1"/>
  <c r="T640" i="1" s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S593" i="1" l="1"/>
  <c r="T593" i="1" s="1"/>
  <c r="R592" i="1"/>
  <c r="S592" i="1" l="1"/>
  <c r="T592" i="1" s="1"/>
  <c r="R591" i="1"/>
  <c r="R590" i="1" l="1"/>
  <c r="S591" i="1"/>
  <c r="T591" i="1" s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S578" i="1" l="1"/>
  <c r="T578" i="1" s="1"/>
  <c r="R577" i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S522" i="1" l="1"/>
  <c r="T522" i="1" s="1"/>
  <c r="R521" i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R470" i="1" l="1"/>
  <c r="S471" i="1"/>
  <c r="T471" i="1" s="1"/>
  <c r="S470" i="1" l="1"/>
  <c r="T470" i="1" s="1"/>
  <c r="R469" i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S465" i="1" l="1"/>
  <c r="T465" i="1" s="1"/>
  <c r="R464" i="1"/>
  <c r="R463" i="1" l="1"/>
  <c r="S464" i="1"/>
  <c r="T464" i="1" s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S332" i="1" l="1"/>
  <c r="T332" i="1" s="1"/>
  <c r="R331" i="1"/>
  <c r="R330" i="1" l="1"/>
  <c r="S331" i="1"/>
  <c r="T331" i="1" s="1"/>
  <c r="S330" i="1" l="1"/>
  <c r="T330" i="1" s="1"/>
  <c r="R329" i="1"/>
  <c r="S329" i="1" l="1"/>
  <c r="T329" i="1" s="1"/>
  <c r="R328" i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S267" i="1" l="1"/>
  <c r="T267" i="1" s="1"/>
  <c r="R266" i="1"/>
  <c r="S266" i="1" l="1"/>
  <c r="T266" i="1" s="1"/>
  <c r="R265" i="1"/>
  <c r="S265" i="1" l="1"/>
  <c r="T265" i="1" s="1"/>
  <c r="R264" i="1"/>
  <c r="S264" i="1" l="1"/>
  <c r="T264" i="1" s="1"/>
  <c r="R263" i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S223" i="1" l="1"/>
  <c r="T223" i="1" s="1"/>
  <c r="R222" i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S209" i="1" l="1"/>
  <c r="T209" i="1" s="1"/>
  <c r="R208" i="1"/>
  <c r="S208" i="1" l="1"/>
  <c r="T208" i="1" s="1"/>
  <c r="R207" i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S105" i="1" l="1"/>
  <c r="T105" i="1" s="1"/>
  <c r="R104" i="1"/>
  <c r="S104" i="1" l="1"/>
  <c r="T104" i="1" s="1"/>
  <c r="R103" i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<sst xmlns="http://schemas.openxmlformats.org/spreadsheetml/2006/main" count="3070" uniqueCount="34">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</sst>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6.7140000000000004</c:v>
                </c:pt>
                <c:pt idx="1">
                  <c:v>7.032</c:v>
                </c:pt>
                <c:pt idx="2">
                  <c:v>6.8979999999999997</c:v>
                </c:pt>
                <c:pt idx="3">
                  <c:v>6.6959999999999997</c:v>
                </c:pt>
                <c:pt idx="4">
                  <c:v>7.3150000000000004</c:v>
                </c:pt>
                <c:pt idx="5">
                  <c:v>6.9640000000000004</c:v>
                </c:pt>
                <c:pt idx="6">
                  <c:v>7.9640000000000004</c:v>
                </c:pt>
                <c:pt idx="7">
                  <c:v>9.5050000000000008</c:v>
                </c:pt>
                <c:pt idx="8">
                  <c:v>10.215</c:v>
                </c:pt>
                <c:pt idx="9">
                  <c:v>11.403</c:v>
                </c:pt>
                <c:pt idx="10">
                  <c:v>12.545999999999999</c:v>
                </c:pt>
                <c:pt idx="11">
                  <c:v>11.35</c:v>
                </c:pt>
                <c:pt idx="12">
                  <c:v>11.141</c:v>
                </c:pt>
                <c:pt idx="13">
                  <c:v>10.97</c:v>
                </c:pt>
                <c:pt idx="14">
                  <c:v>11.067</c:v>
                </c:pt>
                <c:pt idx="15">
                  <c:v>12.000999999999999</c:v>
                </c:pt>
                <c:pt idx="16">
                  <c:v>11.236000000000001</c:v>
                </c:pt>
                <c:pt idx="17">
                  <c:v>10.71</c:v>
                </c:pt>
                <c:pt idx="18">
                  <c:v>11.367000000000001</c:v>
                </c:pt>
                <c:pt idx="19">
                  <c:v>10.744</c:v>
                </c:pt>
                <c:pt idx="20">
                  <c:v>12.135</c:v>
                </c:pt>
                <c:pt idx="21">
                  <c:v>13.065</c:v>
                </c:pt>
                <c:pt idx="22">
                  <c:v>13.321999999999999</c:v>
                </c:pt>
                <c:pt idx="23">
                  <c:v>15.666</c:v>
                </c:pt>
                <c:pt idx="24">
                  <c:v>13.734</c:v>
                </c:pt>
                <c:pt idx="25">
                  <c:v>14.744</c:v>
                </c:pt>
                <c:pt idx="26">
                  <c:v>13.587</c:v>
                </c:pt>
                <c:pt idx="27">
                  <c:v>12.670999999999999</c:v>
                </c:pt>
                <c:pt idx="28">
                  <c:v>12.949</c:v>
                </c:pt>
                <c:pt idx="29">
                  <c:v>13.538</c:v>
                </c:pt>
                <c:pt idx="30">
                  <c:v>14.614000000000001</c:v>
                </c:pt>
                <c:pt idx="31">
                  <c:v>14.202</c:v>
                </c:pt>
                <c:pt idx="32">
                  <c:v>15.167999999999999</c:v>
                </c:pt>
                <c:pt idx="33">
                  <c:v>16.201000000000001</c:v>
                </c:pt>
                <c:pt idx="34">
                  <c:v>15.673999999999999</c:v>
                </c:pt>
                <c:pt idx="35">
                  <c:v>11.916</c:v>
                </c:pt>
                <c:pt idx="36">
                  <c:v>10.64</c:v>
                </c:pt>
                <c:pt idx="37">
                  <c:v>9.5269999999999992</c:v>
                </c:pt>
                <c:pt idx="38">
                  <c:v>8.9879999999999995</c:v>
                </c:pt>
                <c:pt idx="39">
                  <c:v>9.2159999999999993</c:v>
                </c:pt>
                <c:pt idx="40">
                  <c:v>9.8829999999999991</c:v>
                </c:pt>
                <c:pt idx="41">
                  <c:v>10.228999999999999</c:v>
                </c:pt>
                <c:pt idx="42">
                  <c:v>9.9269999999999996</c:v>
                </c:pt>
                <c:pt idx="43">
                  <c:v>9.3260000000000005</c:v>
                </c:pt>
                <c:pt idx="44">
                  <c:v>9.0869999999999997</c:v>
                </c:pt>
                <c:pt idx="45">
                  <c:v>8.8870000000000005</c:v>
                </c:pt>
                <c:pt idx="46">
                  <c:v>10.496</c:v>
                </c:pt>
                <c:pt idx="47">
                  <c:v>10.058999999999999</c:v>
                </c:pt>
                <c:pt idx="48">
                  <c:v>10.023</c:v>
                </c:pt>
                <c:pt idx="49">
                  <c:v>10.494</c:v>
                </c:pt>
                <c:pt idx="50">
                  <c:v>12.257</c:v>
                </c:pt>
                <c:pt idx="51">
                  <c:v>13.678000000000001</c:v>
                </c:pt>
                <c:pt idx="52">
                  <c:v>11.208</c:v>
                </c:pt>
                <c:pt idx="53">
                  <c:v>11.41</c:v>
                </c:pt>
                <c:pt idx="54">
                  <c:v>12.093</c:v>
                </c:pt>
                <c:pt idx="55">
                  <c:v>13.62</c:v>
                </c:pt>
                <c:pt idx="56">
                  <c:v>15.452999999999999</c:v>
                </c:pt>
                <c:pt idx="57">
                  <c:v>16.477</c:v>
                </c:pt>
                <c:pt idx="58">
                  <c:v>17.286000000000001</c:v>
                </c:pt>
                <c:pt idx="59">
                  <c:v>17.853999999999999</c:v>
                </c:pt>
                <c:pt idx="60">
                  <c:v>18.757999999999999</c:v>
                </c:pt>
                <c:pt idx="61">
                  <c:v>20.434000000000001</c:v>
                </c:pt>
                <c:pt idx="62">
                  <c:v>24.309000000000001</c:v>
                </c:pt>
                <c:pt idx="63">
                  <c:v>9.5640000000000001</c:v>
                </c:pt>
                <c:pt idx="64">
                  <c:v>9.0289999999999999</c:v>
                </c:pt>
                <c:pt idx="65">
                  <c:v>9.016</c:v>
                </c:pt>
                <c:pt idx="66">
                  <c:v>8.0060000000000002</c:v>
                </c:pt>
                <c:pt idx="67">
                  <c:v>7.7690000000000001</c:v>
                </c:pt>
                <c:pt idx="68">
                  <c:v>7.8650000000000002</c:v>
                </c:pt>
                <c:pt idx="69">
                  <c:v>7.8689999999999998</c:v>
                </c:pt>
                <c:pt idx="70">
                  <c:v>7.2869999999999999</c:v>
                </c:pt>
                <c:pt idx="71">
                  <c:v>8.2910000000000004</c:v>
                </c:pt>
                <c:pt idx="72">
                  <c:v>8.0109999999999992</c:v>
                </c:pt>
                <c:pt idx="73">
                  <c:v>8.9290000000000003</c:v>
                </c:pt>
                <c:pt idx="74">
                  <c:v>9.3330000000000002</c:v>
                </c:pt>
                <c:pt idx="75">
                  <c:v>9.1890000000000001</c:v>
                </c:pt>
                <c:pt idx="76">
                  <c:v>9.2070000000000007</c:v>
                </c:pt>
                <c:pt idx="77">
                  <c:v>9.452</c:v>
                </c:pt>
                <c:pt idx="78">
                  <c:v>9.0410000000000004</c:v>
                </c:pt>
                <c:pt idx="79">
                  <c:v>9.9830000000000005</c:v>
                </c:pt>
                <c:pt idx="80">
                  <c:v>9.7100000000000009</c:v>
                </c:pt>
                <c:pt idx="81">
                  <c:v>9.3970000000000002</c:v>
                </c:pt>
                <c:pt idx="82">
                  <c:v>8.8520000000000003</c:v>
                </c:pt>
                <c:pt idx="83">
                  <c:v>8.6389999999999993</c:v>
                </c:pt>
                <c:pt idx="84">
                  <c:v>9.1620000000000008</c:v>
                </c:pt>
                <c:pt idx="85">
                  <c:v>9.7850000000000001</c:v>
                </c:pt>
                <c:pt idx="86">
                  <c:v>9.8179999999999996</c:v>
                </c:pt>
                <c:pt idx="87">
                  <c:v>9.2430000000000003</c:v>
                </c:pt>
                <c:pt idx="88">
                  <c:v>8.5180000000000007</c:v>
                </c:pt>
                <c:pt idx="89">
                  <c:v>8.5579999999999998</c:v>
                </c:pt>
                <c:pt idx="90">
                  <c:v>9.0340000000000007</c:v>
                </c:pt>
                <c:pt idx="91">
                  <c:v>8.5640000000000001</c:v>
                </c:pt>
                <c:pt idx="92">
                  <c:v>8.0289999999999999</c:v>
                </c:pt>
                <c:pt idx="93">
                  <c:v>9.1739999999999995</c:v>
                </c:pt>
                <c:pt idx="94">
                  <c:v>10.015000000000001</c:v>
                </c:pt>
                <c:pt idx="95">
                  <c:v>9.4969999999999999</c:v>
                </c:pt>
                <c:pt idx="96">
                  <c:v>10.042</c:v>
                </c:pt>
                <c:pt idx="97">
                  <c:v>10.215999999999999</c:v>
                </c:pt>
                <c:pt idx="98">
                  <c:v>10.253</c:v>
                </c:pt>
                <c:pt idx="99">
                  <c:v>10.801</c:v>
                </c:pt>
                <c:pt idx="100">
                  <c:v>11.257</c:v>
                </c:pt>
                <c:pt idx="101">
                  <c:v>9.5440000000000005</c:v>
                </c:pt>
                <c:pt idx="102">
                  <c:v>10.103</c:v>
                </c:pt>
                <c:pt idx="103">
                  <c:v>8.1940000000000008</c:v>
                </c:pt>
                <c:pt idx="104">
                  <c:v>7.9960000000000004</c:v>
                </c:pt>
                <c:pt idx="105">
                  <c:v>7.5309999999999997</c:v>
                </c:pt>
                <c:pt idx="106">
                  <c:v>7.383</c:v>
                </c:pt>
                <c:pt idx="107">
                  <c:v>7.085</c:v>
                </c:pt>
                <c:pt idx="108">
                  <c:v>7.4489999999999998</c:v>
                </c:pt>
                <c:pt idx="109">
                  <c:v>7.4509999999999996</c:v>
                </c:pt>
                <c:pt idx="110">
                  <c:v>8.06</c:v>
                </c:pt>
                <c:pt idx="111">
                  <c:v>7.859</c:v>
                </c:pt>
                <c:pt idx="112">
                  <c:v>7.9459999999999997</c:v>
                </c:pt>
                <c:pt idx="113">
                  <c:v>7.9820000000000002</c:v>
                </c:pt>
                <c:pt idx="114">
                  <c:v>8.3390000000000004</c:v>
                </c:pt>
                <c:pt idx="115">
                  <c:v>8.0440000000000005</c:v>
                </c:pt>
                <c:pt idx="116">
                  <c:v>8.4570000000000007</c:v>
                </c:pt>
                <c:pt idx="117">
                  <c:v>8.0039999999999996</c:v>
                </c:pt>
                <c:pt idx="118">
                  <c:v>8.0169999999999995</c:v>
                </c:pt>
                <c:pt idx="119">
                  <c:v>6.9450000000000003</c:v>
                </c:pt>
                <c:pt idx="120">
                  <c:v>6.5110000000000001</c:v>
                </c:pt>
                <c:pt idx="121">
                  <c:v>6.274</c:v>
                </c:pt>
                <c:pt idx="122">
                  <c:v>6.5910000000000002</c:v>
                </c:pt>
                <c:pt idx="123">
                  <c:v>6.97</c:v>
                </c:pt>
                <c:pt idx="124">
                  <c:v>6.8949999999999996</c:v>
                </c:pt>
                <c:pt idx="125">
                  <c:v>7.0880000000000001</c:v>
                </c:pt>
                <c:pt idx="126">
                  <c:v>8.2409999999999997</c:v>
                </c:pt>
                <c:pt idx="127">
                  <c:v>7.9290000000000003</c:v>
                </c:pt>
                <c:pt idx="128">
                  <c:v>6.87</c:v>
                </c:pt>
                <c:pt idx="129">
                  <c:v>7.7770000000000001</c:v>
                </c:pt>
                <c:pt idx="130">
                  <c:v>8.6999999999999993</c:v>
                </c:pt>
                <c:pt idx="131">
                  <c:v>9.0239999999999991</c:v>
                </c:pt>
                <c:pt idx="132">
                  <c:v>9.0419999999999998</c:v>
                </c:pt>
                <c:pt idx="133">
                  <c:v>9.5289999999999999</c:v>
                </c:pt>
                <c:pt idx="134">
                  <c:v>10.058</c:v>
                </c:pt>
                <c:pt idx="135">
                  <c:v>9.1679999999999993</c:v>
                </c:pt>
                <c:pt idx="136">
                  <c:v>9.0069999999999997</c:v>
                </c:pt>
                <c:pt idx="137">
                  <c:v>9.4600000000000009</c:v>
                </c:pt>
                <c:pt idx="138">
                  <c:v>8.86</c:v>
                </c:pt>
                <c:pt idx="139">
                  <c:v>8.89</c:v>
                </c:pt>
                <c:pt idx="140">
                  <c:v>9.7899999999999991</c:v>
                </c:pt>
                <c:pt idx="141">
                  <c:v>9.4700000000000006</c:v>
                </c:pt>
                <c:pt idx="142">
                  <c:v>9.1669999999999998</c:v>
                </c:pt>
                <c:pt idx="143">
                  <c:v>12.243</c:v>
                </c:pt>
                <c:pt idx="144">
                  <c:v>12.117000000000001</c:v>
                </c:pt>
                <c:pt idx="145">
                  <c:v>11.847</c:v>
                </c:pt>
                <c:pt idx="146">
                  <c:v>12.292999999999999</c:v>
                </c:pt>
                <c:pt idx="147">
                  <c:v>12.304</c:v>
                </c:pt>
                <c:pt idx="148">
                  <c:v>12.28</c:v>
                </c:pt>
                <c:pt idx="149">
                  <c:v>11.78</c:v>
                </c:pt>
                <c:pt idx="150">
                  <c:v>11.734</c:v>
                </c:pt>
                <c:pt idx="151">
                  <c:v>12.95</c:v>
                </c:pt>
                <c:pt idx="152">
                  <c:v>13.917999999999999</c:v>
                </c:pt>
                <c:pt idx="153">
                  <c:v>10.500999999999999</c:v>
                </c:pt>
                <c:pt idx="154">
                  <c:v>10.167999999999999</c:v>
                </c:pt>
                <c:pt idx="155">
                  <c:v>11.71</c:v>
                </c:pt>
                <c:pt idx="156">
                  <c:v>8.36</c:v>
                </c:pt>
                <c:pt idx="157">
                  <c:v>9.2899999999999991</c:v>
                </c:pt>
                <c:pt idx="158">
                  <c:v>8.3699999999999992</c:v>
                </c:pt>
                <c:pt idx="159">
                  <c:v>8.2200000000000006</c:v>
                </c:pt>
                <c:pt idx="160">
                  <c:v>8.32</c:v>
                </c:pt>
                <c:pt idx="161">
                  <c:v>8.14</c:v>
                </c:pt>
                <c:pt idx="162">
                  <c:v>7.61</c:v>
                </c:pt>
                <c:pt idx="163">
                  <c:v>8.4</c:v>
                </c:pt>
                <c:pt idx="164">
                  <c:v>9.0299999999999994</c:v>
                </c:pt>
                <c:pt idx="165">
                  <c:v>9.26</c:v>
                </c:pt>
                <c:pt idx="166">
                  <c:v>9.1</c:v>
                </c:pt>
                <c:pt idx="167">
                  <c:v>8.98</c:v>
                </c:pt>
                <c:pt idx="168">
                  <c:v>8.52</c:v>
                </c:pt>
                <c:pt idx="169">
                  <c:v>8.92</c:v>
                </c:pt>
                <c:pt idx="170">
                  <c:v>8.68</c:v>
                </c:pt>
                <c:pt idx="171">
                  <c:v>8.83</c:v>
                </c:pt>
                <c:pt idx="172">
                  <c:v>8.49</c:v>
                </c:pt>
                <c:pt idx="173">
                  <c:v>9.14</c:v>
                </c:pt>
                <c:pt idx="174">
                  <c:v>8.83</c:v>
                </c:pt>
                <c:pt idx="175">
                  <c:v>7.83</c:v>
                </c:pt>
                <c:pt idx="176">
                  <c:v>7.82</c:v>
                </c:pt>
                <c:pt idx="177">
                  <c:v>7.39</c:v>
                </c:pt>
                <c:pt idx="178">
                  <c:v>7.86</c:v>
                </c:pt>
                <c:pt idx="179">
                  <c:v>8.09</c:v>
                </c:pt>
                <c:pt idx="180">
                  <c:v>7.17</c:v>
                </c:pt>
                <c:pt idx="181">
                  <c:v>6.87</c:v>
                </c:pt>
                <c:pt idx="182">
                  <c:v>6.81</c:v>
                </c:pt>
                <c:pt idx="183">
                  <c:v>6.69</c:v>
                </c:pt>
                <c:pt idx="184">
                  <c:v>6.73</c:v>
                </c:pt>
                <c:pt idx="185">
                  <c:v>6.7</c:v>
                </c:pt>
                <c:pt idx="186">
                  <c:v>6.31</c:v>
                </c:pt>
                <c:pt idx="187">
                  <c:v>6.67</c:v>
                </c:pt>
                <c:pt idx="188">
                  <c:v>5.81</c:v>
                </c:pt>
                <c:pt idx="189">
                  <c:v>5.86</c:v>
                </c:pt>
                <c:pt idx="190">
                  <c:v>5.89</c:v>
                </c:pt>
                <c:pt idx="191">
                  <c:v>5.4</c:v>
                </c:pt>
                <c:pt idx="192">
                  <c:v>5.0599999999999996</c:v>
                </c:pt>
                <c:pt idx="193">
                  <c:v>5.82</c:v>
                </c:pt>
                <c:pt idx="194">
                  <c:v>6.04</c:v>
                </c:pt>
                <c:pt idx="195">
                  <c:v>5.05</c:v>
                </c:pt>
                <c:pt idx="196">
                  <c:v>5.4</c:v>
                </c:pt>
                <c:pt idx="197">
                  <c:v>5.75</c:v>
                </c:pt>
                <c:pt idx="198">
                  <c:v>5.75</c:v>
                </c:pt>
                <c:pt idx="199">
                  <c:v>6.12</c:v>
                </c:pt>
                <c:pt idx="200">
                  <c:v>6.36</c:v>
                </c:pt>
                <c:pt idx="201">
                  <c:v>6.31</c:v>
                </c:pt>
                <c:pt idx="202">
                  <c:v>6.47</c:v>
                </c:pt>
                <c:pt idx="203">
                  <c:v>6.51</c:v>
                </c:pt>
                <c:pt idx="204">
                  <c:v>7</c:v>
                </c:pt>
                <c:pt idx="205">
                  <c:v>7.13</c:v>
                </c:pt>
                <c:pt idx="206">
                  <c:v>6.82</c:v>
                </c:pt>
                <c:pt idx="207">
                  <c:v>7.23</c:v>
                </c:pt>
                <c:pt idx="208">
                  <c:v>7.36</c:v>
                </c:pt>
                <c:pt idx="209">
                  <c:v>6.87</c:v>
                </c:pt>
                <c:pt idx="210">
                  <c:v>7.05</c:v>
                </c:pt>
                <c:pt idx="211">
                  <c:v>7.74</c:v>
                </c:pt>
                <c:pt idx="212">
                  <c:v>8.49</c:v>
                </c:pt>
                <c:pt idx="213">
                  <c:v>7.45</c:v>
                </c:pt>
                <c:pt idx="214">
                  <c:v>7.2</c:v>
                </c:pt>
                <c:pt idx="215">
                  <c:v>5.8</c:v>
                </c:pt>
                <c:pt idx="216">
                  <c:v>5.74</c:v>
                </c:pt>
                <c:pt idx="217">
                  <c:v>5.7</c:v>
                </c:pt>
                <c:pt idx="218">
                  <c:v>5.73</c:v>
                </c:pt>
                <c:pt idx="219">
                  <c:v>5.25</c:v>
                </c:pt>
                <c:pt idx="220">
                  <c:v>5.53</c:v>
                </c:pt>
                <c:pt idx="221">
                  <c:v>7.45</c:v>
                </c:pt>
                <c:pt idx="222">
                  <c:v>7.97</c:v>
                </c:pt>
                <c:pt idx="223">
                  <c:v>7.97</c:v>
                </c:pt>
                <c:pt idx="224">
                  <c:v>8.43</c:v>
                </c:pt>
                <c:pt idx="225">
                  <c:v>9.19</c:v>
                </c:pt>
                <c:pt idx="226">
                  <c:v>10.73</c:v>
                </c:pt>
                <c:pt idx="227">
                  <c:v>10.4</c:v>
                </c:pt>
                <c:pt idx="228">
                  <c:v>10.48</c:v>
                </c:pt>
                <c:pt idx="229">
                  <c:v>11.21</c:v>
                </c:pt>
                <c:pt idx="230">
                  <c:v>11.97</c:v>
                </c:pt>
                <c:pt idx="231">
                  <c:v>13.26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E-4C9E-93AD-7BCD6E321C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-0.52515304942282481</c:v>
                </c:pt>
                <c:pt idx="1">
                  <c:v>-0.52403988595343698</c:v>
                </c:pt>
                <c:pt idx="2">
                  <c:v>-0.5194817867688053</c:v>
                </c:pt>
                <c:pt idx="3">
                  <c:v>-0.52382232036272292</c:v>
                </c:pt>
                <c:pt idx="4">
                  <c:v>-0.52671610068846031</c:v>
                </c:pt>
                <c:pt idx="5">
                  <c:v>-0.53987496294681891</c:v>
                </c:pt>
                <c:pt idx="6">
                  <c:v>-0.53461632598414699</c:v>
                </c:pt>
                <c:pt idx="7">
                  <c:v>-0.51862725717251557</c:v>
                </c:pt>
                <c:pt idx="8">
                  <c:v>-0.50819098708813848</c:v>
                </c:pt>
                <c:pt idx="9">
                  <c:v>-0.49563233638389353</c:v>
                </c:pt>
                <c:pt idx="10">
                  <c:v>-0.47665192135185075</c:v>
                </c:pt>
                <c:pt idx="11">
                  <c:v>-0.50632538921110093</c:v>
                </c:pt>
                <c:pt idx="12">
                  <c:v>-0.51026737339556694</c:v>
                </c:pt>
                <c:pt idx="13">
                  <c:v>-0.50754613183184871</c:v>
                </c:pt>
                <c:pt idx="14">
                  <c:v>-0.50947072252501258</c:v>
                </c:pt>
                <c:pt idx="15">
                  <c:v>-0.50257079807318528</c:v>
                </c:pt>
                <c:pt idx="16">
                  <c:v>-0.50688230157865977</c:v>
                </c:pt>
                <c:pt idx="17">
                  <c:v>-0.51224351049884764</c:v>
                </c:pt>
                <c:pt idx="18">
                  <c:v>-0.50965037305767114</c:v>
                </c:pt>
                <c:pt idx="19">
                  <c:v>-0.51369984799833435</c:v>
                </c:pt>
                <c:pt idx="20">
                  <c:v>-0.50715628916202482</c:v>
                </c:pt>
                <c:pt idx="21">
                  <c:v>-0.50335627642495584</c:v>
                </c:pt>
                <c:pt idx="22">
                  <c:v>-0.50409597130819184</c:v>
                </c:pt>
                <c:pt idx="23">
                  <c:v>-0.49730854517687278</c:v>
                </c:pt>
                <c:pt idx="24">
                  <c:v>-0.51197331419566972</c:v>
                </c:pt>
                <c:pt idx="25">
                  <c:v>-0.50754384632946448</c:v>
                </c:pt>
                <c:pt idx="26">
                  <c:v>-0.51618620992605868</c:v>
                </c:pt>
                <c:pt idx="27">
                  <c:v>-0.5172939464885965</c:v>
                </c:pt>
                <c:pt idx="28">
                  <c:v>-0.51196133799973953</c:v>
                </c:pt>
                <c:pt idx="29">
                  <c:v>-0.50598709604150283</c:v>
                </c:pt>
                <c:pt idx="30">
                  <c:v>-0.48318137776489295</c:v>
                </c:pt>
                <c:pt idx="31">
                  <c:v>-0.48813836482259443</c:v>
                </c:pt>
                <c:pt idx="32">
                  <c:v>-0.475020941043511</c:v>
                </c:pt>
                <c:pt idx="33">
                  <c:v>-0.45909273314520593</c:v>
                </c:pt>
                <c:pt idx="34">
                  <c:v>-0.43048509880234881</c:v>
                </c:pt>
                <c:pt idx="35">
                  <c:v>-0.47650334683759599</c:v>
                </c:pt>
                <c:pt idx="36">
                  <c:v>-0.49225776236841112</c:v>
                </c:pt>
                <c:pt idx="37">
                  <c:v>-0.44442522163243758</c:v>
                </c:pt>
                <c:pt idx="38">
                  <c:v>-0.45262913399865207</c:v>
                </c:pt>
                <c:pt idx="39">
                  <c:v>-0.45469171395824803</c:v>
                </c:pt>
                <c:pt idx="40">
                  <c:v>-0.44692291642303678</c:v>
                </c:pt>
                <c:pt idx="41">
                  <c:v>-0.43713360695439768</c:v>
                </c:pt>
                <c:pt idx="42">
                  <c:v>-0.42945962347823269</c:v>
                </c:pt>
                <c:pt idx="43">
                  <c:v>-0.42438030512480956</c:v>
                </c:pt>
                <c:pt idx="44">
                  <c:v>-0.43235983230662778</c:v>
                </c:pt>
                <c:pt idx="45">
                  <c:v>-0.43672586923770712</c:v>
                </c:pt>
                <c:pt idx="46">
                  <c:v>-0.42661754520737538</c:v>
                </c:pt>
                <c:pt idx="47">
                  <c:v>-0.4287295656255769</c:v>
                </c:pt>
                <c:pt idx="48">
                  <c:v>-0.42949990692992468</c:v>
                </c:pt>
                <c:pt idx="49">
                  <c:v>-0.40946917178620001</c:v>
                </c:pt>
                <c:pt idx="50">
                  <c:v>-0.39392546267691325</c:v>
                </c:pt>
                <c:pt idx="51">
                  <c:v>-0.37790038431327683</c:v>
                </c:pt>
                <c:pt idx="52">
                  <c:v>-0.40034892238989922</c:v>
                </c:pt>
                <c:pt idx="53">
                  <c:v>-0.39583242969261484</c:v>
                </c:pt>
                <c:pt idx="54">
                  <c:v>-0.39809036379833063</c:v>
                </c:pt>
                <c:pt idx="55">
                  <c:v>-0.40170421503583398</c:v>
                </c:pt>
                <c:pt idx="56">
                  <c:v>-0.37891810175666618</c:v>
                </c:pt>
                <c:pt idx="57">
                  <c:v>-0.37406129641164365</c:v>
                </c:pt>
                <c:pt idx="58">
                  <c:v>-0.36416995556523729</c:v>
                </c:pt>
                <c:pt idx="59">
                  <c:v>-0.36531232097286287</c:v>
                </c:pt>
                <c:pt idx="60">
                  <c:v>-0.33303566862045469</c:v>
                </c:pt>
                <c:pt idx="61">
                  <c:v>-0.30381158447774104</c:v>
                </c:pt>
                <c:pt idx="62">
                  <c:v>-0.13942719646927554</c:v>
                </c:pt>
                <c:pt idx="63">
                  <c:v>-0.34819013632614243</c:v>
                </c:pt>
                <c:pt idx="64">
                  <c:v>-0.34699699717980093</c:v>
                </c:pt>
                <c:pt idx="65">
                  <c:v>-0.34697722790063429</c:v>
                </c:pt>
                <c:pt idx="66">
                  <c:v>-0.35542877197827982</c:v>
                </c:pt>
                <c:pt idx="67">
                  <c:v>-0.35573346631570307</c:v>
                </c:pt>
                <c:pt idx="68">
                  <c:v>-0.35145059925311417</c:v>
                </c:pt>
                <c:pt idx="69">
                  <c:v>-0.35051604895371297</c:v>
                </c:pt>
                <c:pt idx="70">
                  <c:v>-0.35510027612928546</c:v>
                </c:pt>
                <c:pt idx="71">
                  <c:v>-0.3493590375658826</c:v>
                </c:pt>
                <c:pt idx="72">
                  <c:v>-0.35265505576841422</c:v>
                </c:pt>
                <c:pt idx="73">
                  <c:v>-0.34975340502204288</c:v>
                </c:pt>
                <c:pt idx="74">
                  <c:v>-0.34604908162244452</c:v>
                </c:pt>
                <c:pt idx="75">
                  <c:v>-0.34354562744463518</c:v>
                </c:pt>
                <c:pt idx="76">
                  <c:v>-0.34100894845803997</c:v>
                </c:pt>
                <c:pt idx="77">
                  <c:v>-0.34001897819557814</c:v>
                </c:pt>
                <c:pt idx="78">
                  <c:v>-0.34593799280536836</c:v>
                </c:pt>
                <c:pt idx="79">
                  <c:v>-0.34134242696665873</c:v>
                </c:pt>
                <c:pt idx="80">
                  <c:v>-0.33492790913607717</c:v>
                </c:pt>
                <c:pt idx="81">
                  <c:v>-0.3393804730718718</c:v>
                </c:pt>
                <c:pt idx="82">
                  <c:v>-0.34453351054998033</c:v>
                </c:pt>
                <c:pt idx="83">
                  <c:v>-0.34237511761065448</c:v>
                </c:pt>
                <c:pt idx="84">
                  <c:v>-0.33764263121129856</c:v>
                </c:pt>
                <c:pt idx="85">
                  <c:v>-0.3312299638446865</c:v>
                </c:pt>
                <c:pt idx="86">
                  <c:v>-0.33646078835489057</c:v>
                </c:pt>
                <c:pt idx="87">
                  <c:v>-0.33873406198150791</c:v>
                </c:pt>
                <c:pt idx="88">
                  <c:v>-0.34064332600627206</c:v>
                </c:pt>
                <c:pt idx="89">
                  <c:v>-0.34325785031495376</c:v>
                </c:pt>
                <c:pt idx="90">
                  <c:v>-0.33938834138662616</c:v>
                </c:pt>
                <c:pt idx="91">
                  <c:v>-0.34234808171460041</c:v>
                </c:pt>
                <c:pt idx="92">
                  <c:v>-0.34602849002926706</c:v>
                </c:pt>
                <c:pt idx="93">
                  <c:v>-0.34045375151644658</c:v>
                </c:pt>
                <c:pt idx="94">
                  <c:v>-0.33549024616525219</c:v>
                </c:pt>
                <c:pt idx="95">
                  <c:v>-0.33800477556593328</c:v>
                </c:pt>
                <c:pt idx="96">
                  <c:v>-0.33564987662600398</c:v>
                </c:pt>
                <c:pt idx="97">
                  <c:v>-0.33528931056148786</c:v>
                </c:pt>
                <c:pt idx="98">
                  <c:v>-0.33052373884235953</c:v>
                </c:pt>
                <c:pt idx="99">
                  <c:v>-0.32891710341116687</c:v>
                </c:pt>
                <c:pt idx="100">
                  <c:v>-0.31751192898056191</c:v>
                </c:pt>
                <c:pt idx="101">
                  <c:v>-0.33851327499527328</c:v>
                </c:pt>
                <c:pt idx="102">
                  <c:v>-0.31973089942646593</c:v>
                </c:pt>
                <c:pt idx="103">
                  <c:v>-0.31870144826790653</c:v>
                </c:pt>
                <c:pt idx="104">
                  <c:v>-0.31604931104187101</c:v>
                </c:pt>
                <c:pt idx="105">
                  <c:v>-0.31357404174097481</c:v>
                </c:pt>
                <c:pt idx="106">
                  <c:v>-0.3106074008772638</c:v>
                </c:pt>
                <c:pt idx="107">
                  <c:v>-0.31418268917499842</c:v>
                </c:pt>
                <c:pt idx="108">
                  <c:v>-0.3135044086430171</c:v>
                </c:pt>
                <c:pt idx="109">
                  <c:v>-0.31302969274491693</c:v>
                </c:pt>
                <c:pt idx="110">
                  <c:v>-0.30850496751054191</c:v>
                </c:pt>
                <c:pt idx="111">
                  <c:v>-0.30817228705367294</c:v>
                </c:pt>
                <c:pt idx="112">
                  <c:v>-0.30308216146337646</c:v>
                </c:pt>
                <c:pt idx="113">
                  <c:v>-0.30265265566148963</c:v>
                </c:pt>
                <c:pt idx="114">
                  <c:v>-0.30250507758369793</c:v>
                </c:pt>
                <c:pt idx="115">
                  <c:v>-0.30734343906377382</c:v>
                </c:pt>
                <c:pt idx="116">
                  <c:v>-0.30558856387116984</c:v>
                </c:pt>
                <c:pt idx="117">
                  <c:v>-0.30607513474915832</c:v>
                </c:pt>
                <c:pt idx="118">
                  <c:v>-0.30464528483396397</c:v>
                </c:pt>
                <c:pt idx="119">
                  <c:v>-0.3118441546829912</c:v>
                </c:pt>
                <c:pt idx="120">
                  <c:v>-0.31451222015531588</c:v>
                </c:pt>
                <c:pt idx="121">
                  <c:v>-0.31408071139937294</c:v>
                </c:pt>
                <c:pt idx="122">
                  <c:v>-0.30910981535362136</c:v>
                </c:pt>
                <c:pt idx="123">
                  <c:v>-0.30580630542795512</c:v>
                </c:pt>
                <c:pt idx="124">
                  <c:v>-0.30988794724720858</c:v>
                </c:pt>
                <c:pt idx="125">
                  <c:v>-0.31021605061869068</c:v>
                </c:pt>
                <c:pt idx="126">
                  <c:v>-0.30195346671494733</c:v>
                </c:pt>
                <c:pt idx="127">
                  <c:v>-0.30362808501494737</c:v>
                </c:pt>
                <c:pt idx="128">
                  <c:v>-0.3077749983482807</c:v>
                </c:pt>
                <c:pt idx="129">
                  <c:v>-0.3042353919067422</c:v>
                </c:pt>
                <c:pt idx="130">
                  <c:v>-0.30116497679618764</c:v>
                </c:pt>
                <c:pt idx="131">
                  <c:v>-0.29988074525636466</c:v>
                </c:pt>
                <c:pt idx="132">
                  <c:v>-0.29679810524385042</c:v>
                </c:pt>
                <c:pt idx="133">
                  <c:v>-0.29451512147212544</c:v>
                </c:pt>
                <c:pt idx="134">
                  <c:v>-0.28913312152448145</c:v>
                </c:pt>
                <c:pt idx="135">
                  <c:v>-0.29385076568684304</c:v>
                </c:pt>
                <c:pt idx="136">
                  <c:v>-0.29423532551590287</c:v>
                </c:pt>
                <c:pt idx="137">
                  <c:v>-0.29489400218204082</c:v>
                </c:pt>
                <c:pt idx="138">
                  <c:v>-0.29808476309947202</c:v>
                </c:pt>
                <c:pt idx="139">
                  <c:v>-0.29571597286925622</c:v>
                </c:pt>
                <c:pt idx="140">
                  <c:v>-0.29240974908566869</c:v>
                </c:pt>
                <c:pt idx="141">
                  <c:v>-0.2904543981249178</c:v>
                </c:pt>
                <c:pt idx="142">
                  <c:v>-0.29322925878084155</c:v>
                </c:pt>
                <c:pt idx="143">
                  <c:v>-0.27995023819370091</c:v>
                </c:pt>
                <c:pt idx="144">
                  <c:v>-0.28867738849492491</c:v>
                </c:pt>
                <c:pt idx="145">
                  <c:v>-0.28863714658212608</c:v>
                </c:pt>
                <c:pt idx="146">
                  <c:v>-0.28352769803133487</c:v>
                </c:pt>
                <c:pt idx="147">
                  <c:v>-0.28076890144780547</c:v>
                </c:pt>
                <c:pt idx="148">
                  <c:v>-0.27490130486266906</c:v>
                </c:pt>
                <c:pt idx="149">
                  <c:v>-0.27940299022114429</c:v>
                </c:pt>
                <c:pt idx="150">
                  <c:v>-0.27397568972496111</c:v>
                </c:pt>
                <c:pt idx="151">
                  <c:v>-0.26200191193502398</c:v>
                </c:pt>
                <c:pt idx="152">
                  <c:v>-0.21988684235453615</c:v>
                </c:pt>
                <c:pt idx="153">
                  <c:v>-0.24983437855460527</c:v>
                </c:pt>
                <c:pt idx="154">
                  <c:v>-0.25522811398551432</c:v>
                </c:pt>
                <c:pt idx="155">
                  <c:v>-0.20594536816843539</c:v>
                </c:pt>
                <c:pt idx="156">
                  <c:v>-0.23725925665735106</c:v>
                </c:pt>
                <c:pt idx="157">
                  <c:v>-0.23107992723759796</c:v>
                </c:pt>
                <c:pt idx="158">
                  <c:v>-0.23163644232061678</c:v>
                </c:pt>
                <c:pt idx="159">
                  <c:v>-0.2325347688806168</c:v>
                </c:pt>
                <c:pt idx="160">
                  <c:v>-0.2286221558806168</c:v>
                </c:pt>
                <c:pt idx="161">
                  <c:v>-0.22924004267886242</c:v>
                </c:pt>
                <c:pt idx="162">
                  <c:v>-0.23737895194761241</c:v>
                </c:pt>
                <c:pt idx="163">
                  <c:v>-0.22541078930843719</c:v>
                </c:pt>
                <c:pt idx="164">
                  <c:v>-0.21525189668007899</c:v>
                </c:pt>
                <c:pt idx="165">
                  <c:v>-0.20510901045854049</c:v>
                </c:pt>
                <c:pt idx="166">
                  <c:v>-0.21304568661854051</c:v>
                </c:pt>
                <c:pt idx="167">
                  <c:v>-0.21574951047308599</c:v>
                </c:pt>
                <c:pt idx="168">
                  <c:v>-0.22069193551720362</c:v>
                </c:pt>
                <c:pt idx="169">
                  <c:v>-0.21762264658760361</c:v>
                </c:pt>
                <c:pt idx="170">
                  <c:v>-0.21269722548949038</c:v>
                </c:pt>
                <c:pt idx="171">
                  <c:v>-0.21229165861486354</c:v>
                </c:pt>
                <c:pt idx="172">
                  <c:v>-0.2153228170001846</c:v>
                </c:pt>
                <c:pt idx="173">
                  <c:v>-0.20718709300382099</c:v>
                </c:pt>
                <c:pt idx="174">
                  <c:v>-0.21160363521520312</c:v>
                </c:pt>
                <c:pt idx="175">
                  <c:v>-0.21952803032931353</c:v>
                </c:pt>
                <c:pt idx="176">
                  <c:v>-0.2221895189265358</c:v>
                </c:pt>
                <c:pt idx="177">
                  <c:v>-0.2252304947505358</c:v>
                </c:pt>
                <c:pt idx="178">
                  <c:v>-0.22115071463625005</c:v>
                </c:pt>
                <c:pt idx="179">
                  <c:v>-0.21362681988797422</c:v>
                </c:pt>
                <c:pt idx="180">
                  <c:v>-0.21604371049843935</c:v>
                </c:pt>
                <c:pt idx="181">
                  <c:v>-0.22154559234908869</c:v>
                </c:pt>
                <c:pt idx="182">
                  <c:v>-0.22402235388289152</c:v>
                </c:pt>
                <c:pt idx="183">
                  <c:v>-0.22762186909717722</c:v>
                </c:pt>
                <c:pt idx="184">
                  <c:v>-0.22597783366321494</c:v>
                </c:pt>
                <c:pt idx="185">
                  <c:v>-0.2299565300975433</c:v>
                </c:pt>
                <c:pt idx="186">
                  <c:v>-0.21987602909513365</c:v>
                </c:pt>
                <c:pt idx="187">
                  <c:v>-0.21632509034730754</c:v>
                </c:pt>
                <c:pt idx="188">
                  <c:v>-0.22619400209424628</c:v>
                </c:pt>
                <c:pt idx="189">
                  <c:v>-0.22811900989235948</c:v>
                </c:pt>
                <c:pt idx="190">
                  <c:v>-0.22947753312569283</c:v>
                </c:pt>
                <c:pt idx="191">
                  <c:v>-0.23980699543680392</c:v>
                </c:pt>
                <c:pt idx="192">
                  <c:v>-0.24853408362414572</c:v>
                </c:pt>
                <c:pt idx="193">
                  <c:v>-0.24019797968284137</c:v>
                </c:pt>
                <c:pt idx="194">
                  <c:v>-0.22318700507757819</c:v>
                </c:pt>
                <c:pt idx="195">
                  <c:v>-0.23541166479757819</c:v>
                </c:pt>
                <c:pt idx="196">
                  <c:v>-0.2318550260793964</c:v>
                </c:pt>
                <c:pt idx="197">
                  <c:v>-0.2275966710293964</c:v>
                </c:pt>
                <c:pt idx="198">
                  <c:v>-0.22906515228877136</c:v>
                </c:pt>
                <c:pt idx="199">
                  <c:v>-0.22580079315734281</c:v>
                </c:pt>
                <c:pt idx="200">
                  <c:v>-0.22541830495903775</c:v>
                </c:pt>
                <c:pt idx="201">
                  <c:v>-0.22462333871288392</c:v>
                </c:pt>
                <c:pt idx="202">
                  <c:v>-0.2220993059899331</c:v>
                </c:pt>
                <c:pt idx="203">
                  <c:v>-0.22299347139734046</c:v>
                </c:pt>
                <c:pt idx="204">
                  <c:v>-0.22129915526984048</c:v>
                </c:pt>
                <c:pt idx="205">
                  <c:v>-0.21656512743711318</c:v>
                </c:pt>
                <c:pt idx="206">
                  <c:v>-0.21616290629425602</c:v>
                </c:pt>
                <c:pt idx="207">
                  <c:v>-0.2126399844854325</c:v>
                </c:pt>
                <c:pt idx="208">
                  <c:v>-0.21007623555686109</c:v>
                </c:pt>
                <c:pt idx="209">
                  <c:v>-0.21124285955686109</c:v>
                </c:pt>
                <c:pt idx="210">
                  <c:v>-0.21096288583896633</c:v>
                </c:pt>
                <c:pt idx="211">
                  <c:v>-0.206493443705633</c:v>
                </c:pt>
                <c:pt idx="212">
                  <c:v>-0.20191663927457709</c:v>
                </c:pt>
                <c:pt idx="213">
                  <c:v>-0.20905737167216745</c:v>
                </c:pt>
                <c:pt idx="214">
                  <c:v>-0.1886241345557291</c:v>
                </c:pt>
                <c:pt idx="215">
                  <c:v>-0.20206620033356162</c:v>
                </c:pt>
                <c:pt idx="216">
                  <c:v>-0.2031081592929023</c:v>
                </c:pt>
                <c:pt idx="217">
                  <c:v>-0.19110410564168273</c:v>
                </c:pt>
                <c:pt idx="218">
                  <c:v>-0.19130611261610136</c:v>
                </c:pt>
                <c:pt idx="219">
                  <c:v>-0.19205977296943472</c:v>
                </c:pt>
                <c:pt idx="220">
                  <c:v>-0.18907173250556372</c:v>
                </c:pt>
                <c:pt idx="221">
                  <c:v>-0.17289158752398476</c:v>
                </c:pt>
                <c:pt idx="222">
                  <c:v>-0.1737205893498589</c:v>
                </c:pt>
                <c:pt idx="223">
                  <c:v>-0.16971019390847961</c:v>
                </c:pt>
                <c:pt idx="224">
                  <c:v>-0.16118518518289815</c:v>
                </c:pt>
                <c:pt idx="225">
                  <c:v>-0.15425846511533059</c:v>
                </c:pt>
                <c:pt idx="226">
                  <c:v>-0.14328421546086628</c:v>
                </c:pt>
                <c:pt idx="227">
                  <c:v>-0.14498533682531073</c:v>
                </c:pt>
                <c:pt idx="228">
                  <c:v>-0.13245269942531077</c:v>
                </c:pt>
                <c:pt idx="229">
                  <c:v>-0.13392418061394712</c:v>
                </c:pt>
                <c:pt idx="230">
                  <c:v>-0.12735688401515927</c:v>
                </c:pt>
                <c:pt idx="231">
                  <c:v>-3.4057245511049723E-2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E-4C9E-93AD-7BCD6E321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790192"/>
        <c:axId val="191789776"/>
      </c:lineChart>
      <c:dateAx>
        <c:axId val="191790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89776"/>
        <c:crosses val="autoZero"/>
        <c:auto val="1"/>
        <c:lblOffset val="100"/>
        <c:baseTimeUnit val="days"/>
      </c:dateAx>
      <c:valAx>
        <c:axId val="19178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9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2E7A7C9-8B08-49DE-8F57-506D7C5CD461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422EAF-CE40-4FEA-AE90-7E54B5771B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29.042999999999999</v>
      </c>
      <c r="D2" s="4">
        <f>MIN(D3:D1912)</f>
        <v>4.62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7.0309999999999997</v>
      </c>
      <c r="C5">
        <v>7.1050000000000004</v>
      </c>
      <c r="D5">
        <v>6.7130000000000001</v>
      </c>
      <c r="E5">
        <v>6.7140000000000004</v>
      </c>
      <c r="F5">
        <v>111887.2</v>
      </c>
      <c r="G5">
        <v>6.7140000000000004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-0.99489795918367174</v>
      </c>
      <c r="Q5">
        <f t="shared" ref="Q5" si="1">F5*P5</f>
        <v>-111316.34693877531</v>
      </c>
      <c r="R5">
        <f t="shared" ref="R5" si="2">R6+Q5</f>
        <v>-52515304.942282476</v>
      </c>
      <c r="S5">
        <f t="shared" ref="S5" si="3">R5/100000</f>
        <v>-525.15304942282478</v>
      </c>
      <c r="T5">
        <f t="shared" ref="T5" si="4">S5/1000</f>
        <v>-0.52515304942282481</v>
      </c>
    </row>
    <row r="6" spans="1:20" x14ac:dyDescent="0.25">
      <c r="A6" s="5">
        <v>44587</v>
      </c>
      <c r="B6">
        <v>6.8979999999999997</v>
      </c>
      <c r="C6">
        <v>7.6820000000000004</v>
      </c>
      <c r="D6">
        <v>6.7450000000000001</v>
      </c>
      <c r="E6">
        <v>7.032</v>
      </c>
      <c r="F6">
        <v>1176567.2</v>
      </c>
      <c r="G6">
        <v>7.032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-0.38740661686232691</v>
      </c>
      <c r="Q6">
        <f t="shared" ref="Q6" si="6">F6*P6</f>
        <v>-455809.91846318077</v>
      </c>
      <c r="R6">
        <f t="shared" ref="R6" si="7">R7+Q6</f>
        <v>-52403988.595343702</v>
      </c>
      <c r="S6">
        <f t="shared" ref="S6" si="8">R6/100000</f>
        <v>-524.03988595343696</v>
      </c>
      <c r="T6">
        <f t="shared" ref="T6" si="9">S6/1000</f>
        <v>-0.52403988595343698</v>
      </c>
    </row>
    <row r="7" spans="1:20" x14ac:dyDescent="0.25">
      <c r="A7" s="5">
        <v>44586</v>
      </c>
      <c r="B7">
        <v>6.7030000000000003</v>
      </c>
      <c r="C7">
        <v>7.0629999999999997</v>
      </c>
      <c r="D7">
        <v>6.5039999999999996</v>
      </c>
      <c r="E7">
        <v>6.8979999999999997</v>
      </c>
      <c r="F7">
        <v>1059545.1000000001</v>
      </c>
      <c r="G7">
        <v>6.8979999999999997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0.40966010733452596</v>
      </c>
      <c r="Q7">
        <f t="shared" ref="Q7" si="11">F7*P7</f>
        <v>434053.35939177108</v>
      </c>
      <c r="R7">
        <f t="shared" ref="R7" si="12">R8+Q7</f>
        <v>-51948178.676880524</v>
      </c>
      <c r="S7">
        <f t="shared" ref="S7" si="13">R7/100000</f>
        <v>-519.48178676880525</v>
      </c>
      <c r="T7">
        <f t="shared" ref="T7" si="14">S7/1000</f>
        <v>-0.5194817867688053</v>
      </c>
    </row>
    <row r="8" spans="1:20" x14ac:dyDescent="0.25">
      <c r="A8" s="5">
        <v>44585</v>
      </c>
      <c r="B8">
        <v>7.3220000000000001</v>
      </c>
      <c r="C8">
        <v>7.3449999999999998</v>
      </c>
      <c r="D8">
        <v>5.8529999999999998</v>
      </c>
      <c r="E8">
        <v>6.6959999999999997</v>
      </c>
      <c r="F8">
        <v>2225525.9</v>
      </c>
      <c r="G8">
        <v>6.6959999999999997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0.13002680965147451</v>
      </c>
      <c r="Q8">
        <f t="shared" ref="Q8" si="16">F8*P8</f>
        <v>289378.03257372649</v>
      </c>
      <c r="R8">
        <f t="shared" ref="R8" si="17">R9+Q8</f>
        <v>-52382232.036272295</v>
      </c>
      <c r="S8">
        <f t="shared" ref="S8" si="18">R8/100000</f>
        <v>-523.82232036272296</v>
      </c>
      <c r="T8">
        <f t="shared" ref="T8" si="19">S8/1000</f>
        <v>-0.52382232036272292</v>
      </c>
    </row>
    <row r="9" spans="1:20" x14ac:dyDescent="0.25">
      <c r="A9" s="5">
        <v>44584</v>
      </c>
      <c r="B9">
        <v>6.9630000000000001</v>
      </c>
      <c r="C9">
        <v>7.431</v>
      </c>
      <c r="D9">
        <v>6.7729999999999997</v>
      </c>
      <c r="E9">
        <v>7.3150000000000004</v>
      </c>
      <c r="F9">
        <v>2032519.1</v>
      </c>
      <c r="G9">
        <v>7.3150000000000004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0.64741641337386147</v>
      </c>
      <c r="Q9">
        <f t="shared" ref="Q9" si="21">F9*P9</f>
        <v>1315886.2258358689</v>
      </c>
      <c r="R9">
        <f t="shared" ref="R9" si="22">R10+Q9</f>
        <v>-52671610.068846025</v>
      </c>
      <c r="S9">
        <f t="shared" ref="S9" si="23">R9/100000</f>
        <v>-526.7161006884603</v>
      </c>
      <c r="T9">
        <f t="shared" ref="T9" si="24">S9/1000</f>
        <v>-0.52671610068846031</v>
      </c>
    </row>
    <row r="10" spans="1:20" x14ac:dyDescent="0.25">
      <c r="A10" s="5">
        <v>44583</v>
      </c>
      <c r="B10">
        <v>7.9379999999999997</v>
      </c>
      <c r="C10">
        <v>8.1460000000000008</v>
      </c>
      <c r="D10">
        <v>6.11</v>
      </c>
      <c r="E10">
        <v>6.9640000000000004</v>
      </c>
      <c r="F10">
        <v>3264202.7</v>
      </c>
      <c r="G10">
        <v>6.9640000000000004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-0.16110019646365434</v>
      </c>
      <c r="Q10">
        <f t="shared" ref="Q10" si="26">F10*P10</f>
        <v>-525863.69626719097</v>
      </c>
      <c r="R10">
        <f t="shared" ref="R10" si="27">R11+Q10</f>
        <v>-53987496.294681892</v>
      </c>
      <c r="S10">
        <f t="shared" ref="S10" si="28">R10/100000</f>
        <v>-539.87496294681887</v>
      </c>
      <c r="T10">
        <f t="shared" ref="T10" si="29">S10/1000</f>
        <v>-0.53987496294681891</v>
      </c>
    </row>
    <row r="11" spans="1:20" x14ac:dyDescent="0.25">
      <c r="A11" s="5">
        <v>44582</v>
      </c>
      <c r="B11">
        <v>9.5</v>
      </c>
      <c r="C11">
        <v>9.6020000000000003</v>
      </c>
      <c r="D11">
        <v>7.6589999999999998</v>
      </c>
      <c r="E11">
        <v>7.9640000000000004</v>
      </c>
      <c r="F11">
        <v>2330589.7000000002</v>
      </c>
      <c r="G11">
        <v>7.9640000000000004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-0.6860524961399892</v>
      </c>
      <c r="Q11">
        <f t="shared" ref="Q11" si="31">F11*P11</f>
        <v>-1598906.8811631487</v>
      </c>
      <c r="R11">
        <f t="shared" ref="R11" si="32">R12+Q11</f>
        <v>-53461632.598414704</v>
      </c>
      <c r="S11">
        <f t="shared" ref="S11" si="33">R11/100000</f>
        <v>-534.61632598414701</v>
      </c>
      <c r="T11">
        <f t="shared" ref="T11" si="34">S11/1000</f>
        <v>-0.53461632598414699</v>
      </c>
    </row>
    <row r="12" spans="1:20" x14ac:dyDescent="0.25">
      <c r="A12" s="5">
        <v>44581</v>
      </c>
      <c r="B12">
        <v>10.211</v>
      </c>
      <c r="C12">
        <v>10.936999999999999</v>
      </c>
      <c r="D12">
        <v>9.42</v>
      </c>
      <c r="E12">
        <v>9.5050000000000008</v>
      </c>
      <c r="F12">
        <v>1175339.3999999999</v>
      </c>
      <c r="G12">
        <v>9.5050000000000008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-0.88793671720500877</v>
      </c>
      <c r="Q12">
        <f t="shared" ref="Q12" si="36">F12*P12</f>
        <v>-1043627.0084377046</v>
      </c>
      <c r="R12">
        <f t="shared" ref="R12" si="37">R13+Q12</f>
        <v>-51862725.717251554</v>
      </c>
      <c r="S12">
        <f t="shared" ref="S12" si="38">R12/100000</f>
        <v>-518.62725717251556</v>
      </c>
      <c r="T12">
        <f t="shared" ref="T12" si="39">S12/1000</f>
        <v>-0.51862725717251557</v>
      </c>
    </row>
    <row r="13" spans="1:20" x14ac:dyDescent="0.25">
      <c r="A13" s="5">
        <v>44580</v>
      </c>
      <c r="B13">
        <v>11.39</v>
      </c>
      <c r="C13">
        <v>11.614000000000001</v>
      </c>
      <c r="D13">
        <v>10.177</v>
      </c>
      <c r="E13">
        <v>10.215</v>
      </c>
      <c r="F13">
        <v>1325994.2</v>
      </c>
      <c r="G13">
        <v>10.215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-0.94711203897007623</v>
      </c>
      <c r="Q13">
        <f t="shared" ref="Q13" si="41">F13*P13</f>
        <v>-1255865.070424495</v>
      </c>
      <c r="R13">
        <f t="shared" ref="R13" si="42">R14+Q13</f>
        <v>-50819098.708813846</v>
      </c>
      <c r="S13">
        <f t="shared" ref="S13" si="43">R13/100000</f>
        <v>-508.19098708813846</v>
      </c>
      <c r="T13">
        <f t="shared" ref="T13" si="44">S13/1000</f>
        <v>-0.50819098708813848</v>
      </c>
    </row>
    <row r="14" spans="1:20" x14ac:dyDescent="0.25">
      <c r="A14" s="5">
        <v>44579</v>
      </c>
      <c r="B14">
        <v>12.554</v>
      </c>
      <c r="C14">
        <v>13.275</v>
      </c>
      <c r="D14">
        <v>11.028</v>
      </c>
      <c r="E14">
        <v>11.403</v>
      </c>
      <c r="F14">
        <v>2848964.1</v>
      </c>
      <c r="G14">
        <v>11.403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-0.66622162883845126</v>
      </c>
      <c r="Q14">
        <f t="shared" ref="Q14" si="46">F14*P14</f>
        <v>-1898041.5032042724</v>
      </c>
      <c r="R14">
        <f t="shared" ref="R14" si="47">R15+Q14</f>
        <v>-49563233.638389349</v>
      </c>
      <c r="S14">
        <f t="shared" ref="S14" si="48">R14/100000</f>
        <v>-495.63233638389352</v>
      </c>
      <c r="T14">
        <f t="shared" ref="T14" si="49">S14/1000</f>
        <v>-0.49563233638389353</v>
      </c>
    </row>
    <row r="15" spans="1:20" x14ac:dyDescent="0.25">
      <c r="A15" s="5">
        <v>44578</v>
      </c>
      <c r="B15">
        <v>11.359</v>
      </c>
      <c r="C15">
        <v>12.61</v>
      </c>
      <c r="D15">
        <v>10.983000000000001</v>
      </c>
      <c r="E15">
        <v>12.545999999999999</v>
      </c>
      <c r="F15">
        <v>3220729.3</v>
      </c>
      <c r="G15">
        <v>12.545999999999999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0.9213275968039335</v>
      </c>
      <c r="Q15">
        <f t="shared" ref="Q15" si="51">F15*P15</f>
        <v>2967346.7859250149</v>
      </c>
      <c r="R15">
        <f t="shared" ref="R15" si="52">R16+Q15</f>
        <v>-47665192.135185078</v>
      </c>
      <c r="S15">
        <f t="shared" ref="S15" si="53">R15/100000</f>
        <v>-476.65192135185077</v>
      </c>
      <c r="T15">
        <f t="shared" ref="T15" si="54">S15/1000</f>
        <v>-0.47665192135185075</v>
      </c>
    </row>
    <row r="16" spans="1:20" x14ac:dyDescent="0.25">
      <c r="A16" s="5">
        <v>44577</v>
      </c>
      <c r="B16">
        <v>11.135</v>
      </c>
      <c r="C16">
        <v>11.422000000000001</v>
      </c>
      <c r="D16">
        <v>10.804</v>
      </c>
      <c r="E16">
        <v>11.35</v>
      </c>
      <c r="F16">
        <v>513954.9</v>
      </c>
      <c r="G16">
        <v>11.35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0.76699029126213292</v>
      </c>
      <c r="Q16">
        <f t="shared" ref="Q16" si="56">F16*P16</f>
        <v>394198.41844660044</v>
      </c>
      <c r="R16">
        <f t="shared" ref="R16" si="57">R17+Q16</f>
        <v>-50632538.921110094</v>
      </c>
      <c r="S16">
        <f t="shared" ref="S16" si="58">R16/100000</f>
        <v>-506.32538921110091</v>
      </c>
      <c r="T16">
        <f t="shared" ref="T16" si="59">S16/1000</f>
        <v>-0.50632538921110093</v>
      </c>
    </row>
    <row r="17" spans="1:20" x14ac:dyDescent="0.25">
      <c r="A17" s="5">
        <v>44576</v>
      </c>
      <c r="B17">
        <v>10.978999999999999</v>
      </c>
      <c r="C17">
        <v>11.595000000000001</v>
      </c>
      <c r="D17">
        <v>10.928000000000001</v>
      </c>
      <c r="E17">
        <v>11.141</v>
      </c>
      <c r="F17">
        <v>753140.3</v>
      </c>
      <c r="G17">
        <v>11.141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-0.36131934032983731</v>
      </c>
      <c r="Q17">
        <f t="shared" ref="Q17" si="61">F17*P17</f>
        <v>-272124.15637181577</v>
      </c>
      <c r="R17">
        <f t="shared" ref="R17" si="62">R18+Q17</f>
        <v>-51026737.339556694</v>
      </c>
      <c r="S17">
        <f t="shared" ref="S17" si="63">R17/100000</f>
        <v>-510.26737339556695</v>
      </c>
      <c r="T17">
        <f t="shared" ref="T17" si="64">S17/1000</f>
        <v>-0.51026737339556694</v>
      </c>
    </row>
    <row r="18" spans="1:20" x14ac:dyDescent="0.25">
      <c r="A18" s="5">
        <v>44575</v>
      </c>
      <c r="B18">
        <v>11.07</v>
      </c>
      <c r="C18">
        <v>11.185</v>
      </c>
      <c r="D18">
        <v>10.555999999999999</v>
      </c>
      <c r="E18">
        <v>10.97</v>
      </c>
      <c r="F18">
        <v>608325.4</v>
      </c>
      <c r="G18">
        <v>10.97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0.31637519872814179</v>
      </c>
      <c r="Q18">
        <f t="shared" ref="Q18" si="66">F18*P18</f>
        <v>192459.06931637635</v>
      </c>
      <c r="R18">
        <f t="shared" ref="R18" si="67">R19+Q18</f>
        <v>-50754613.183184877</v>
      </c>
      <c r="S18">
        <f t="shared" ref="S18" si="68">R18/100000</f>
        <v>-507.54613183184875</v>
      </c>
      <c r="T18">
        <f t="shared" ref="T18" si="69">S18/1000</f>
        <v>-0.50754613183184871</v>
      </c>
    </row>
    <row r="19" spans="1:20" x14ac:dyDescent="0.25">
      <c r="A19" s="5">
        <v>44574</v>
      </c>
      <c r="B19">
        <v>11.997</v>
      </c>
      <c r="C19">
        <v>12.209</v>
      </c>
      <c r="D19">
        <v>11.005000000000001</v>
      </c>
      <c r="E19">
        <v>11.067</v>
      </c>
      <c r="F19">
        <v>769213.8</v>
      </c>
      <c r="G19">
        <v>11.067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-0.89700996677740952</v>
      </c>
      <c r="Q19">
        <f t="shared" ref="Q19" si="71">F19*P19</f>
        <v>-689992.44518272497</v>
      </c>
      <c r="R19">
        <f t="shared" ref="R19" si="72">R20+Q19</f>
        <v>-50947072.252501257</v>
      </c>
      <c r="S19">
        <f t="shared" ref="S19" si="73">R19/100000</f>
        <v>-509.47072252501255</v>
      </c>
      <c r="T19">
        <f t="shared" ref="T19" si="74">S19/1000</f>
        <v>-0.50947072252501258</v>
      </c>
    </row>
    <row r="20" spans="1:20" x14ac:dyDescent="0.25">
      <c r="A20" s="5">
        <v>44573</v>
      </c>
      <c r="B20">
        <v>11.236000000000001</v>
      </c>
      <c r="C20">
        <v>12.16</v>
      </c>
      <c r="D20">
        <v>11.064</v>
      </c>
      <c r="E20">
        <v>12.000999999999999</v>
      </c>
      <c r="F20">
        <v>607378.9</v>
      </c>
      <c r="G20">
        <v>12.000999999999999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0.70985401459853892</v>
      </c>
      <c r="Q20">
        <f t="shared" ref="Q20" si="76">F20*P20</f>
        <v>431150.35054744454</v>
      </c>
      <c r="R20">
        <f t="shared" ref="R20" si="77">R21+Q20</f>
        <v>-50257079.807318531</v>
      </c>
      <c r="S20">
        <f t="shared" ref="S20" si="78">R20/100000</f>
        <v>-502.5707980731853</v>
      </c>
      <c r="T20">
        <f t="shared" ref="T20" si="79">S20/1000</f>
        <v>-0.50257079807318528</v>
      </c>
    </row>
    <row r="21" spans="1:20" x14ac:dyDescent="0.25">
      <c r="A21" s="5">
        <v>44572</v>
      </c>
      <c r="B21">
        <v>10.707000000000001</v>
      </c>
      <c r="C21">
        <v>11.36</v>
      </c>
      <c r="D21">
        <v>10.507999999999999</v>
      </c>
      <c r="E21">
        <v>11.236000000000001</v>
      </c>
      <c r="F21">
        <v>756250</v>
      </c>
      <c r="G21">
        <v>11.236000000000001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0.70892018779343025</v>
      </c>
      <c r="Q21">
        <f t="shared" ref="Q21" si="81">F21*P21</f>
        <v>536120.89201878163</v>
      </c>
      <c r="R21">
        <f t="shared" ref="R21" si="82">R22+Q21</f>
        <v>-50688230.157865979</v>
      </c>
      <c r="S21">
        <f t="shared" ref="S21" si="83">R21/100000</f>
        <v>-506.88230157865979</v>
      </c>
      <c r="T21">
        <f t="shared" ref="T21" si="84">S21/1000</f>
        <v>-0.50688230157865977</v>
      </c>
    </row>
    <row r="22" spans="1:20" x14ac:dyDescent="0.25">
      <c r="A22" s="5">
        <v>44571</v>
      </c>
      <c r="B22">
        <v>11.365</v>
      </c>
      <c r="C22">
        <v>11.742000000000001</v>
      </c>
      <c r="D22">
        <v>10.11</v>
      </c>
      <c r="E22">
        <v>10.71</v>
      </c>
      <c r="F22">
        <v>979629.7</v>
      </c>
      <c r="G22">
        <v>10.71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-0.26470588235294007</v>
      </c>
      <c r="Q22">
        <f t="shared" ref="Q22" si="86">F22*P22</f>
        <v>-259313.74411764595</v>
      </c>
      <c r="R22">
        <f t="shared" ref="R22" si="87">R23+Q22</f>
        <v>-51224351.049884759</v>
      </c>
      <c r="S22">
        <f t="shared" ref="S22" si="88">R22/100000</f>
        <v>-512.24351049884763</v>
      </c>
      <c r="T22">
        <f t="shared" ref="T22" si="89">S22/1000</f>
        <v>-0.51224351049884764</v>
      </c>
    </row>
    <row r="23" spans="1:20" x14ac:dyDescent="0.25">
      <c r="A23" s="5">
        <v>44570</v>
      </c>
      <c r="B23">
        <v>10.741</v>
      </c>
      <c r="C23">
        <v>11.711</v>
      </c>
      <c r="D23">
        <v>10.565</v>
      </c>
      <c r="E23">
        <v>11.367000000000001</v>
      </c>
      <c r="F23">
        <v>1013252.9</v>
      </c>
      <c r="G23">
        <v>11.367000000000001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0.3996509598603854</v>
      </c>
      <c r="Q23">
        <f t="shared" ref="Q23" si="91">F23*P23</f>
        <v>404947.49406631914</v>
      </c>
      <c r="R23">
        <f t="shared" ref="R23" si="92">R24+Q23</f>
        <v>-50965037.305767111</v>
      </c>
      <c r="S23">
        <f t="shared" ref="S23" si="93">R23/100000</f>
        <v>-509.65037305767112</v>
      </c>
      <c r="T23">
        <f t="shared" ref="T23" si="94">S23/1000</f>
        <v>-0.50965037305767114</v>
      </c>
    </row>
    <row r="24" spans="1:20" x14ac:dyDescent="0.25">
      <c r="A24" s="5">
        <v>44569</v>
      </c>
      <c r="B24">
        <v>12.137</v>
      </c>
      <c r="C24">
        <v>12.393000000000001</v>
      </c>
      <c r="D24">
        <v>10.377000000000001</v>
      </c>
      <c r="E24">
        <v>10.744</v>
      </c>
      <c r="F24">
        <v>1029002.7</v>
      </c>
      <c r="G24">
        <v>10.744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-0.63591269841269926</v>
      </c>
      <c r="Q24">
        <f t="shared" ref="Q24" si="96">F24*P24</f>
        <v>-654355.88363095326</v>
      </c>
      <c r="R24">
        <f t="shared" ref="R24" si="97">R25+Q24</f>
        <v>-51369984.799833432</v>
      </c>
      <c r="S24">
        <f t="shared" ref="S24" si="98">R24/100000</f>
        <v>-513.69984799833435</v>
      </c>
      <c r="T24">
        <f t="shared" ref="T24" si="99">S24/1000</f>
        <v>-0.51369984799833435</v>
      </c>
    </row>
    <row r="25" spans="1:20" x14ac:dyDescent="0.25">
      <c r="A25" s="5">
        <v>44568</v>
      </c>
      <c r="B25">
        <v>13.066000000000001</v>
      </c>
      <c r="C25">
        <v>13.372999999999999</v>
      </c>
      <c r="D25">
        <v>11.516999999999999</v>
      </c>
      <c r="E25">
        <v>12.135</v>
      </c>
      <c r="F25">
        <v>1137552.2</v>
      </c>
      <c r="G25">
        <v>12.135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-0.33405172413793066</v>
      </c>
      <c r="Q25">
        <f t="shared" ref="Q25" si="101">F25*P25</f>
        <v>-380001.27370689611</v>
      </c>
      <c r="R25">
        <f t="shared" ref="R25" si="102">R26+Q25</f>
        <v>-50715628.916202478</v>
      </c>
      <c r="S25">
        <f t="shared" ref="S25" si="103">R25/100000</f>
        <v>-507.15628916202479</v>
      </c>
      <c r="T25">
        <f t="shared" ref="T25" si="104">S25/1000</f>
        <v>-0.50715628916202482</v>
      </c>
    </row>
    <row r="26" spans="1:20" x14ac:dyDescent="0.25">
      <c r="A26" s="5">
        <v>44567</v>
      </c>
      <c r="B26">
        <v>13.31</v>
      </c>
      <c r="C26">
        <v>13.622</v>
      </c>
      <c r="D26">
        <v>12.423</v>
      </c>
      <c r="E26">
        <v>13.065</v>
      </c>
      <c r="F26">
        <v>1043404.9</v>
      </c>
      <c r="G26">
        <v>13.065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7.0892410341950859E-2</v>
      </c>
      <c r="Q26">
        <f t="shared" ref="Q26" si="106">F26*P26</f>
        <v>73969.4883236022</v>
      </c>
      <c r="R26">
        <f t="shared" ref="R26" si="107">R27+Q26</f>
        <v>-50335627.64249558</v>
      </c>
      <c r="S26">
        <f t="shared" ref="S26" si="108">R26/100000</f>
        <v>-503.35627642495581</v>
      </c>
      <c r="T26">
        <f t="shared" ref="T26" si="109">S26/1000</f>
        <v>-0.50335627642495584</v>
      </c>
    </row>
    <row r="27" spans="1:20" x14ac:dyDescent="0.25">
      <c r="A27" s="5">
        <v>44566</v>
      </c>
      <c r="B27">
        <v>15.666</v>
      </c>
      <c r="C27">
        <v>15.85</v>
      </c>
      <c r="D27">
        <v>12.407999999999999</v>
      </c>
      <c r="E27">
        <v>13.321999999999999</v>
      </c>
      <c r="F27">
        <v>1447479.6</v>
      </c>
      <c r="G27">
        <v>13.321999999999999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-0.46891342242882067</v>
      </c>
      <c r="Q27">
        <f t="shared" ref="Q27" si="111">F27*P27</f>
        <v>-678742.61313190043</v>
      </c>
      <c r="R27">
        <f t="shared" ref="R27" si="112">R28+Q27</f>
        <v>-50409597.130819179</v>
      </c>
      <c r="S27">
        <f t="shared" ref="S27" si="113">R27/100000</f>
        <v>-504.09597130819179</v>
      </c>
      <c r="T27">
        <f t="shared" ref="T27" si="114">S27/1000</f>
        <v>-0.50409597130819184</v>
      </c>
    </row>
    <row r="28" spans="1:20" x14ac:dyDescent="0.25">
      <c r="A28" s="5">
        <v>44565</v>
      </c>
      <c r="B28">
        <v>13.734999999999999</v>
      </c>
      <c r="C28">
        <v>16.091000000000001</v>
      </c>
      <c r="D28">
        <v>13.430999999999999</v>
      </c>
      <c r="E28">
        <v>15.666</v>
      </c>
      <c r="F28">
        <v>2155153.9</v>
      </c>
      <c r="G28">
        <v>15.666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0.68045112781954853</v>
      </c>
      <c r="Q28">
        <f t="shared" ref="Q28" si="116">F28*P28</f>
        <v>1466476.9018796985</v>
      </c>
      <c r="R28">
        <f t="shared" ref="R28" si="117">R29+Q28</f>
        <v>-49730854.517687276</v>
      </c>
      <c r="S28">
        <f t="shared" ref="S28" si="118">R28/100000</f>
        <v>-497.30854517687277</v>
      </c>
      <c r="T28">
        <f t="shared" ref="T28" si="119">S28/1000</f>
        <v>-0.49730854517687278</v>
      </c>
    </row>
    <row r="29" spans="1:20" x14ac:dyDescent="0.25">
      <c r="A29" s="5">
        <v>44564</v>
      </c>
      <c r="B29">
        <v>14.750999999999999</v>
      </c>
      <c r="C29">
        <v>14.968999999999999</v>
      </c>
      <c r="D29">
        <v>13.234999999999999</v>
      </c>
      <c r="E29">
        <v>13.734</v>
      </c>
      <c r="F29">
        <v>1043573</v>
      </c>
      <c r="G29">
        <v>13.734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-0.42445213379469371</v>
      </c>
      <c r="Q29">
        <f t="shared" ref="Q29" si="121">F29*P29</f>
        <v>-442946.78662052989</v>
      </c>
      <c r="R29">
        <f t="shared" ref="R29" si="122">R30+Q29</f>
        <v>-51197331.419566974</v>
      </c>
      <c r="S29">
        <f t="shared" ref="S29" si="123">R29/100000</f>
        <v>-511.97331419566973</v>
      </c>
      <c r="T29">
        <f t="shared" ref="T29" si="124">S29/1000</f>
        <v>-0.51197331419566972</v>
      </c>
    </row>
    <row r="30" spans="1:20" x14ac:dyDescent="0.25">
      <c r="A30" s="5">
        <v>44563</v>
      </c>
      <c r="B30">
        <v>13.59</v>
      </c>
      <c r="C30">
        <v>15.167999999999999</v>
      </c>
      <c r="D30">
        <v>13.465</v>
      </c>
      <c r="E30">
        <v>14.744</v>
      </c>
      <c r="F30">
        <v>1721397.1</v>
      </c>
      <c r="G30">
        <v>14.744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0.50205519671168564</v>
      </c>
      <c r="Q30">
        <f t="shared" ref="Q30" si="126">F30*P30</f>
        <v>864236.35965942522</v>
      </c>
      <c r="R30">
        <f t="shared" ref="R30" si="127">R31+Q30</f>
        <v>-50754384.632946447</v>
      </c>
      <c r="S30">
        <f t="shared" ref="S30" si="128">R30/100000</f>
        <v>-507.54384632946449</v>
      </c>
      <c r="T30">
        <f t="shared" ref="T30" si="129">S30/1000</f>
        <v>-0.50754384632946448</v>
      </c>
    </row>
    <row r="31" spans="1:20" x14ac:dyDescent="0.25">
      <c r="A31" s="5">
        <v>44562</v>
      </c>
      <c r="B31">
        <v>12.698</v>
      </c>
      <c r="C31">
        <v>14.35</v>
      </c>
      <c r="D31">
        <v>12.695</v>
      </c>
      <c r="E31">
        <v>13.587</v>
      </c>
      <c r="F31">
        <v>1421165.9</v>
      </c>
      <c r="G31">
        <v>13.587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7.7945619335347202E-2</v>
      </c>
      <c r="Q31">
        <f t="shared" ref="Q31" si="131">F31*P31</f>
        <v>110773.65625377611</v>
      </c>
      <c r="R31">
        <f t="shared" ref="R31" si="132">R32+Q31</f>
        <v>-51618620.992605872</v>
      </c>
      <c r="S31">
        <f t="shared" ref="S31" si="133">R31/100000</f>
        <v>-516.18620992605872</v>
      </c>
      <c r="T31">
        <f t="shared" ref="T31" si="134">S31/1000</f>
        <v>-0.51618620992605868</v>
      </c>
    </row>
    <row r="32" spans="1:20" x14ac:dyDescent="0.25">
      <c r="A32" s="5">
        <v>44561</v>
      </c>
      <c r="B32">
        <v>12.938000000000001</v>
      </c>
      <c r="C32">
        <v>13.726000000000001</v>
      </c>
      <c r="D32">
        <v>12.335000000000001</v>
      </c>
      <c r="E32">
        <v>12.670999999999999</v>
      </c>
      <c r="F32">
        <v>1031663.2</v>
      </c>
      <c r="G32">
        <v>12.670999999999999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-0.51689432063264051</v>
      </c>
      <c r="Q32">
        <f t="shared" ref="Q32" si="136">F32*P32</f>
        <v>-533260.84888569592</v>
      </c>
      <c r="R32">
        <f t="shared" ref="R32" si="137">R33+Q32</f>
        <v>-51729394.64885965</v>
      </c>
      <c r="S32">
        <f t="shared" ref="S32" si="138">R32/100000</f>
        <v>-517.29394648859648</v>
      </c>
      <c r="T32">
        <f t="shared" ref="T32" si="139">S32/1000</f>
        <v>-0.5172939464885965</v>
      </c>
    </row>
    <row r="33" spans="1:20" x14ac:dyDescent="0.25">
      <c r="A33" s="5">
        <v>44560</v>
      </c>
      <c r="B33">
        <v>13.539</v>
      </c>
      <c r="C33">
        <v>13.583</v>
      </c>
      <c r="D33">
        <v>12.721</v>
      </c>
      <c r="E33">
        <v>12.949</v>
      </c>
      <c r="F33">
        <v>1268422.8</v>
      </c>
      <c r="G33">
        <v>12.949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-0.47099767981438578</v>
      </c>
      <c r="Q33">
        <f t="shared" ref="Q33" si="141">F33*P33</f>
        <v>-597424.19582366676</v>
      </c>
      <c r="R33">
        <f t="shared" ref="R33" si="142">R34+Q33</f>
        <v>-51196133.799973957</v>
      </c>
      <c r="S33">
        <f t="shared" ref="S33" si="143">R33/100000</f>
        <v>-511.96133799973956</v>
      </c>
      <c r="T33">
        <f t="shared" ref="T33" si="144">S33/1000</f>
        <v>-0.51196133799973953</v>
      </c>
    </row>
    <row r="34" spans="1:20" x14ac:dyDescent="0.25">
      <c r="A34" s="5">
        <v>44559</v>
      </c>
      <c r="B34">
        <v>14.616</v>
      </c>
      <c r="C34">
        <v>16.298999999999999</v>
      </c>
      <c r="D34">
        <v>13.302</v>
      </c>
      <c r="E34">
        <v>13.538</v>
      </c>
      <c r="F34">
        <v>2706880.7</v>
      </c>
      <c r="G34">
        <v>13.538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-0.84250917584250873</v>
      </c>
      <c r="Q34">
        <f t="shared" ref="Q34" si="146">F34*P34</f>
        <v>-2280571.8276609932</v>
      </c>
      <c r="R34">
        <f t="shared" ref="R34" si="147">R35+Q34</f>
        <v>-50598709.604150288</v>
      </c>
      <c r="S34">
        <f t="shared" ref="S34" si="148">R34/100000</f>
        <v>-505.98709604150287</v>
      </c>
      <c r="T34">
        <f t="shared" ref="T34" si="149">S34/1000</f>
        <v>-0.50598709604150283</v>
      </c>
    </row>
    <row r="35" spans="1:20" x14ac:dyDescent="0.25">
      <c r="A35" s="5">
        <v>44558</v>
      </c>
      <c r="B35">
        <v>14.19</v>
      </c>
      <c r="C35">
        <v>15.484999999999999</v>
      </c>
      <c r="D35">
        <v>13.388</v>
      </c>
      <c r="E35">
        <v>14.614000000000001</v>
      </c>
      <c r="F35">
        <v>2928113.2</v>
      </c>
      <c r="G35">
        <v>14.614000000000001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0.1692894611349558</v>
      </c>
      <c r="Q35">
        <f t="shared" ref="Q35" si="151">F35*P35</f>
        <v>495698.70577015111</v>
      </c>
      <c r="R35">
        <f t="shared" ref="R35" si="152">R36+Q35</f>
        <v>-48318137.776489295</v>
      </c>
      <c r="S35">
        <f t="shared" ref="S35" si="153">R35/100000</f>
        <v>-483.18137776489294</v>
      </c>
      <c r="T35">
        <f t="shared" ref="T35" si="154">S35/1000</f>
        <v>-0.48318137776489295</v>
      </c>
    </row>
    <row r="36" spans="1:20" x14ac:dyDescent="0.25">
      <c r="A36" s="5">
        <v>44557</v>
      </c>
      <c r="B36">
        <v>15.179</v>
      </c>
      <c r="C36">
        <v>15.76</v>
      </c>
      <c r="D36">
        <v>14.058</v>
      </c>
      <c r="E36">
        <v>14.202</v>
      </c>
      <c r="F36">
        <v>1578914.8</v>
      </c>
      <c r="G36">
        <v>14.202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-0.83078730904817844</v>
      </c>
      <c r="Q36">
        <f t="shared" ref="Q36" si="156">F36*P36</f>
        <v>-1311742.377908343</v>
      </c>
      <c r="R36">
        <f t="shared" ref="R36" si="157">R37+Q36</f>
        <v>-48813836.482259445</v>
      </c>
      <c r="S36">
        <f t="shared" ref="S36" si="158">R36/100000</f>
        <v>-488.13836482259444</v>
      </c>
      <c r="T36">
        <f t="shared" ref="T36" si="159">S36/1000</f>
        <v>-0.48813836482259443</v>
      </c>
    </row>
    <row r="37" spans="1:20" x14ac:dyDescent="0.25">
      <c r="A37" s="5">
        <v>44556</v>
      </c>
      <c r="B37">
        <v>16.195</v>
      </c>
      <c r="C37">
        <v>16.858000000000001</v>
      </c>
      <c r="D37">
        <v>14.911</v>
      </c>
      <c r="E37">
        <v>15.167999999999999</v>
      </c>
      <c r="F37">
        <v>2164146.6</v>
      </c>
      <c r="G37">
        <v>15.167999999999999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-0.7360041088854653</v>
      </c>
      <c r="Q37">
        <f t="shared" ref="Q37" si="161">F37*P37</f>
        <v>-1592820.7898305096</v>
      </c>
      <c r="R37">
        <f t="shared" ref="R37" si="162">R38+Q37</f>
        <v>-47502094.104351103</v>
      </c>
      <c r="S37">
        <f t="shared" ref="S37" si="163">R37/100000</f>
        <v>-475.02094104351102</v>
      </c>
      <c r="T37">
        <f t="shared" ref="T37" si="164">S37/1000</f>
        <v>-0.475020941043511</v>
      </c>
    </row>
    <row r="38" spans="1:20" x14ac:dyDescent="0.25">
      <c r="A38" s="5">
        <v>44555</v>
      </c>
      <c r="B38">
        <v>15.678000000000001</v>
      </c>
      <c r="C38">
        <v>19.5</v>
      </c>
      <c r="D38">
        <v>14.705</v>
      </c>
      <c r="E38">
        <v>16.201000000000001</v>
      </c>
      <c r="F38">
        <v>7608075.7999999998</v>
      </c>
      <c r="G38">
        <v>16.201000000000001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-0.37601668404588096</v>
      </c>
      <c r="Q38">
        <f t="shared" ref="Q38" si="166">F38*P38</f>
        <v>-2860763.4342857129</v>
      </c>
      <c r="R38">
        <f t="shared" ref="R38" si="167">R39+Q38</f>
        <v>-45909273.314520597</v>
      </c>
      <c r="S38">
        <f t="shared" ref="S38" si="168">R38/100000</f>
        <v>-459.09273314520595</v>
      </c>
      <c r="T38">
        <f t="shared" ref="T38" si="169">S38/1000</f>
        <v>-0.45909273314520593</v>
      </c>
    </row>
    <row r="39" spans="1:20" x14ac:dyDescent="0.25">
      <c r="A39" s="5">
        <v>44554</v>
      </c>
      <c r="B39">
        <v>11.914999999999999</v>
      </c>
      <c r="C39">
        <v>15.945</v>
      </c>
      <c r="D39">
        <v>11.433999999999999</v>
      </c>
      <c r="E39">
        <v>15.673999999999999</v>
      </c>
      <c r="F39">
        <v>5230242.3</v>
      </c>
      <c r="G39">
        <v>15.673999999999999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0.87984925737087083</v>
      </c>
      <c r="Q39">
        <f t="shared" ref="Q39" si="171">F39*P39</f>
        <v>4601824.8035247149</v>
      </c>
      <c r="R39">
        <f t="shared" ref="R39" si="172">R40+Q39</f>
        <v>-43048509.880234882</v>
      </c>
      <c r="S39">
        <f t="shared" ref="S39" si="173">R39/100000</f>
        <v>-430.48509880234883</v>
      </c>
      <c r="T39">
        <f t="shared" ref="T39" si="174">S39/1000</f>
        <v>-0.43048509880234881</v>
      </c>
    </row>
    <row r="40" spans="1:20" x14ac:dyDescent="0.25">
      <c r="A40" s="5">
        <v>44553</v>
      </c>
      <c r="B40">
        <v>10.641999999999999</v>
      </c>
      <c r="C40">
        <v>12.45</v>
      </c>
      <c r="D40">
        <v>10.438000000000001</v>
      </c>
      <c r="E40">
        <v>11.916</v>
      </c>
      <c r="F40">
        <v>3357826.7</v>
      </c>
      <c r="G40">
        <v>11.916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0.46918489065606434</v>
      </c>
      <c r="Q40">
        <f t="shared" ref="Q40" si="176">F40*P40</f>
        <v>1575441.5530815134</v>
      </c>
      <c r="R40">
        <f t="shared" ref="R40" si="177">R41+Q40</f>
        <v>-47650334.6837596</v>
      </c>
      <c r="S40">
        <f t="shared" ref="S40" si="178">R40/100000</f>
        <v>-476.50334683759598</v>
      </c>
      <c r="T40">
        <f t="shared" ref="T40" si="179">S40/1000</f>
        <v>-0.47650334683759599</v>
      </c>
    </row>
    <row r="41" spans="1:20" x14ac:dyDescent="0.25">
      <c r="A41" s="5">
        <v>44552</v>
      </c>
      <c r="B41">
        <v>9.5269999999999992</v>
      </c>
      <c r="C41">
        <v>13.99</v>
      </c>
      <c r="D41">
        <v>9.4450000000000003</v>
      </c>
      <c r="E41">
        <v>10.64</v>
      </c>
      <c r="F41">
        <v>10088115.9</v>
      </c>
      <c r="G41">
        <v>10.64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-0.47414741474147404</v>
      </c>
      <c r="Q41">
        <f t="shared" ref="Q41" si="181">F41*P41</f>
        <v>-4783254.0735973585</v>
      </c>
      <c r="R41">
        <f t="shared" ref="R41" si="182">R42+Q41</f>
        <v>-49225776.236841112</v>
      </c>
      <c r="S41">
        <f t="shared" ref="S41" si="183">R41/100000</f>
        <v>-492.25776236841114</v>
      </c>
      <c r="T41">
        <f t="shared" ref="T41" si="184">S41/1000</f>
        <v>-0.49225776236841112</v>
      </c>
    </row>
    <row r="42" spans="1:20" x14ac:dyDescent="0.25">
      <c r="A42" s="5">
        <v>44551</v>
      </c>
      <c r="B42">
        <v>9.0050000000000008</v>
      </c>
      <c r="C42">
        <v>9.5630000000000006</v>
      </c>
      <c r="D42">
        <v>8.7520000000000007</v>
      </c>
      <c r="E42">
        <v>9.5269999999999992</v>
      </c>
      <c r="F42">
        <v>900321.1</v>
      </c>
      <c r="G42">
        <v>9.5269999999999992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0.91122071516645775</v>
      </c>
      <c r="Q42">
        <f t="shared" ref="Q42" si="186">F42*P42</f>
        <v>820391.23662145191</v>
      </c>
      <c r="R42">
        <f t="shared" ref="R42" si="187">R43+Q42</f>
        <v>-44442522.163243756</v>
      </c>
      <c r="S42">
        <f t="shared" ref="S42" si="188">R42/100000</f>
        <v>-444.42522163243757</v>
      </c>
      <c r="T42">
        <f t="shared" ref="T42" si="189">S42/1000</f>
        <v>-0.44442522163243758</v>
      </c>
    </row>
    <row r="43" spans="1:20" x14ac:dyDescent="0.25">
      <c r="A43" s="5">
        <v>44550</v>
      </c>
      <c r="B43">
        <v>9.2159999999999993</v>
      </c>
      <c r="C43">
        <v>9.3019999999999996</v>
      </c>
      <c r="D43">
        <v>8.51</v>
      </c>
      <c r="E43">
        <v>8.9879999999999995</v>
      </c>
      <c r="F43">
        <v>996075.2</v>
      </c>
      <c r="G43">
        <v>8.9879999999999995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0.20707070707070674</v>
      </c>
      <c r="Q43">
        <f t="shared" ref="Q43" si="191">F43*P43</f>
        <v>206257.99595959563</v>
      </c>
      <c r="R43">
        <f t="shared" ref="R43" si="192">R44+Q43</f>
        <v>-45262913.39986521</v>
      </c>
      <c r="S43">
        <f t="shared" ref="S43" si="193">R43/100000</f>
        <v>-452.62913399865209</v>
      </c>
      <c r="T43">
        <f t="shared" ref="T43" si="194">S43/1000</f>
        <v>-0.45262913399865207</v>
      </c>
    </row>
    <row r="44" spans="1:20" x14ac:dyDescent="0.25">
      <c r="A44" s="5">
        <v>44549</v>
      </c>
      <c r="B44">
        <v>9.8770000000000007</v>
      </c>
      <c r="C44">
        <v>9.9779999999999998</v>
      </c>
      <c r="D44">
        <v>9.1969999999999992</v>
      </c>
      <c r="E44">
        <v>9.2159999999999993</v>
      </c>
      <c r="F44">
        <v>816612.5</v>
      </c>
      <c r="G44">
        <v>9.2159999999999993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-0.95134443021766935</v>
      </c>
      <c r="Q44">
        <f t="shared" ref="Q44" si="196">F44*P44</f>
        <v>-776879.75352112646</v>
      </c>
      <c r="R44">
        <f t="shared" ref="R44" si="197">R45+Q44</f>
        <v>-45469171.395824805</v>
      </c>
      <c r="S44">
        <f t="shared" ref="S44" si="198">R44/100000</f>
        <v>-454.69171395824804</v>
      </c>
      <c r="T44">
        <f t="shared" ref="T44" si="199">S44/1000</f>
        <v>-0.45469171395824803</v>
      </c>
    </row>
    <row r="45" spans="1:20" x14ac:dyDescent="0.25">
      <c r="A45" s="5">
        <v>44548</v>
      </c>
      <c r="B45">
        <v>10.221</v>
      </c>
      <c r="C45">
        <v>10.679</v>
      </c>
      <c r="D45">
        <v>9.8339999999999996</v>
      </c>
      <c r="E45">
        <v>9.8829999999999991</v>
      </c>
      <c r="F45">
        <v>1107358.3</v>
      </c>
      <c r="G45">
        <v>9.8829999999999991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-0.88402366863905457</v>
      </c>
      <c r="Q45">
        <f t="shared" ref="Q45" si="201">F45*P45</f>
        <v>-978930.94686390681</v>
      </c>
      <c r="R45">
        <f t="shared" ref="R45" si="202">R46+Q45</f>
        <v>-44692291.642303675</v>
      </c>
      <c r="S45">
        <f t="shared" ref="S45" si="203">R45/100000</f>
        <v>-446.92291642303678</v>
      </c>
      <c r="T45">
        <f t="shared" ref="T45" si="204">S45/1000</f>
        <v>-0.44692291642303678</v>
      </c>
    </row>
    <row r="46" spans="1:20" x14ac:dyDescent="0.25">
      <c r="A46" s="5">
        <v>44547</v>
      </c>
      <c r="B46">
        <v>9.9280000000000008</v>
      </c>
      <c r="C46">
        <v>11.4</v>
      </c>
      <c r="D46">
        <v>9.5329999999999995</v>
      </c>
      <c r="E46">
        <v>10.228999999999999</v>
      </c>
      <c r="F46">
        <v>3016279.4</v>
      </c>
      <c r="G46">
        <v>10.228999999999999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-0.25441885377611206</v>
      </c>
      <c r="Q46">
        <f t="shared" ref="Q46" si="206">F46*P46</f>
        <v>-767398.34761649906</v>
      </c>
      <c r="R46">
        <f t="shared" ref="R46" si="207">R47+Q46</f>
        <v>-43713360.695439771</v>
      </c>
      <c r="S46">
        <f t="shared" ref="S46" si="208">R46/100000</f>
        <v>-437.13360695439769</v>
      </c>
      <c r="T46">
        <f t="shared" ref="T46" si="209">S46/1000</f>
        <v>-0.43713360695439768</v>
      </c>
    </row>
    <row r="47" spans="1:20" x14ac:dyDescent="0.25">
      <c r="A47" s="5">
        <v>44546</v>
      </c>
      <c r="B47">
        <v>9.3390000000000004</v>
      </c>
      <c r="C47">
        <v>10.98</v>
      </c>
      <c r="D47">
        <v>9.2710000000000008</v>
      </c>
      <c r="E47">
        <v>9.9269999999999996</v>
      </c>
      <c r="F47">
        <v>2186537.7999999998</v>
      </c>
      <c r="G47">
        <v>9.9269999999999996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-0.23229959040374612</v>
      </c>
      <c r="Q47">
        <f t="shared" ref="Q47" si="211">F47*P47</f>
        <v>-507931.8353423081</v>
      </c>
      <c r="R47">
        <f t="shared" ref="R47" si="212">R48+Q47</f>
        <v>-42945962.34782327</v>
      </c>
      <c r="S47">
        <f t="shared" ref="S47" si="213">R47/100000</f>
        <v>-429.45962347823269</v>
      </c>
      <c r="T47">
        <f t="shared" ref="T47" si="214">S47/1000</f>
        <v>-0.42945962347823269</v>
      </c>
    </row>
    <row r="48" spans="1:20" x14ac:dyDescent="0.25">
      <c r="A48" s="5">
        <v>44545</v>
      </c>
      <c r="B48">
        <v>9.0879999999999992</v>
      </c>
      <c r="C48">
        <v>9.5399999999999991</v>
      </c>
      <c r="D48">
        <v>8.3629999999999995</v>
      </c>
      <c r="E48">
        <v>9.3260000000000005</v>
      </c>
      <c r="F48">
        <v>1253925.7</v>
      </c>
      <c r="G48">
        <v>9.3260000000000005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0.63636363636363857</v>
      </c>
      <c r="Q48">
        <f t="shared" ref="Q48" si="216">F48*P48</f>
        <v>797952.71818182094</v>
      </c>
      <c r="R48">
        <f t="shared" ref="R48" si="217">R49+Q48</f>
        <v>-42438030.512480959</v>
      </c>
      <c r="S48">
        <f t="shared" ref="S48" si="218">R48/100000</f>
        <v>-424.38030512480958</v>
      </c>
      <c r="T48">
        <f t="shared" ref="T48" si="219">S48/1000</f>
        <v>-0.42438030512480956</v>
      </c>
    </row>
    <row r="49" spans="1:20" x14ac:dyDescent="0.25">
      <c r="A49" s="5">
        <v>44544</v>
      </c>
      <c r="B49">
        <v>8.8889999999999993</v>
      </c>
      <c r="C49">
        <v>9.35</v>
      </c>
      <c r="D49">
        <v>8.5809999999999995</v>
      </c>
      <c r="E49">
        <v>9.0869999999999997</v>
      </c>
      <c r="F49">
        <v>1381680</v>
      </c>
      <c r="G49">
        <v>9.0869999999999997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0.31599479843953221</v>
      </c>
      <c r="Q49">
        <f t="shared" ref="Q49" si="221">F49*P49</f>
        <v>436603.69310793286</v>
      </c>
      <c r="R49">
        <f t="shared" ref="R49" si="222">R50+Q49</f>
        <v>-43235983.230662778</v>
      </c>
      <c r="S49">
        <f t="shared" ref="S49" si="223">R49/100000</f>
        <v>-432.35983230662777</v>
      </c>
      <c r="T49">
        <f t="shared" ref="T49" si="224">S49/1000</f>
        <v>-0.43235983230662778</v>
      </c>
    </row>
    <row r="50" spans="1:20" x14ac:dyDescent="0.25">
      <c r="A50" s="5">
        <v>44543</v>
      </c>
      <c r="B50">
        <v>10.491</v>
      </c>
      <c r="C50">
        <v>10.81</v>
      </c>
      <c r="D50">
        <v>8.6999999999999993</v>
      </c>
      <c r="E50">
        <v>8.8870000000000005</v>
      </c>
      <c r="F50">
        <v>1228603.8999999999</v>
      </c>
      <c r="G50">
        <v>8.8870000000000005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-0.82274881516587572</v>
      </c>
      <c r="Q50">
        <f t="shared" ref="Q50" si="226">F50*P50</f>
        <v>-1010832.403033174</v>
      </c>
      <c r="R50">
        <f t="shared" ref="R50" si="227">R51+Q50</f>
        <v>-43672586.923770711</v>
      </c>
      <c r="S50">
        <f t="shared" ref="S50" si="228">R50/100000</f>
        <v>-436.72586923770712</v>
      </c>
      <c r="T50">
        <f t="shared" ref="T50" si="229">S50/1000</f>
        <v>-0.43672586923770712</v>
      </c>
    </row>
    <row r="51" spans="1:20" x14ac:dyDescent="0.25">
      <c r="A51" s="5">
        <v>44542</v>
      </c>
      <c r="B51">
        <v>10.489000000000001</v>
      </c>
      <c r="C51">
        <v>10.858000000000001</v>
      </c>
      <c r="D51">
        <v>9.9350000000000005</v>
      </c>
      <c r="E51">
        <v>10.496</v>
      </c>
      <c r="F51">
        <v>979595.4</v>
      </c>
      <c r="G51">
        <v>10.496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0.21560130010834219</v>
      </c>
      <c r="Q51">
        <f t="shared" ref="Q51" si="231">F51*P51</f>
        <v>211202.04182015153</v>
      </c>
      <c r="R51">
        <f t="shared" ref="R51" si="232">R52+Q51</f>
        <v>-42661754.520737536</v>
      </c>
      <c r="S51">
        <f t="shared" ref="S51" si="233">R51/100000</f>
        <v>-426.61754520737537</v>
      </c>
      <c r="T51">
        <f t="shared" ref="T51" si="234">S51/1000</f>
        <v>-0.42661754520737538</v>
      </c>
    </row>
    <row r="52" spans="1:20" x14ac:dyDescent="0.25">
      <c r="A52" s="5">
        <v>44541</v>
      </c>
      <c r="B52">
        <v>10.019</v>
      </c>
      <c r="C52">
        <v>10.138999999999999</v>
      </c>
      <c r="D52">
        <v>9.6790000000000003</v>
      </c>
      <c r="E52">
        <v>10.058999999999999</v>
      </c>
      <c r="F52">
        <v>118119</v>
      </c>
      <c r="G52">
        <v>10.058999999999999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0.65217391304347727</v>
      </c>
      <c r="Q52">
        <f t="shared" ref="Q52" si="236">F52*P52</f>
        <v>77034.130434782492</v>
      </c>
      <c r="R52">
        <f t="shared" ref="R52" si="237">R53+Q52</f>
        <v>-42872956.56255769</v>
      </c>
      <c r="S52">
        <f t="shared" ref="S52" si="238">R52/100000</f>
        <v>-428.72956562557692</v>
      </c>
      <c r="T52">
        <f t="shared" ref="T52" si="239">S52/1000</f>
        <v>-0.4287295656255769</v>
      </c>
    </row>
    <row r="53" spans="1:20" x14ac:dyDescent="0.25">
      <c r="A53" s="5">
        <v>44540</v>
      </c>
      <c r="B53">
        <v>10.484</v>
      </c>
      <c r="C53">
        <v>11.877000000000001</v>
      </c>
      <c r="D53">
        <v>9.9009999999999998</v>
      </c>
      <c r="E53">
        <v>10.023</v>
      </c>
      <c r="F53">
        <v>2285261.7000000002</v>
      </c>
      <c r="G53">
        <v>10.023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-0.876518218623482</v>
      </c>
      <c r="Q53">
        <f t="shared" ref="Q53" si="241">F53*P53</f>
        <v>-2003073.5143724703</v>
      </c>
      <c r="R53">
        <f t="shared" ref="R53" si="242">R54+Q53</f>
        <v>-42949990.692992471</v>
      </c>
      <c r="S53">
        <f t="shared" ref="S53" si="243">R53/100000</f>
        <v>-429.49990692992469</v>
      </c>
      <c r="T53">
        <f t="shared" ref="T53" si="244">S53/1000</f>
        <v>-0.42949990692992468</v>
      </c>
    </row>
    <row r="54" spans="1:20" x14ac:dyDescent="0.25">
      <c r="A54" s="5">
        <v>44539</v>
      </c>
      <c r="B54">
        <v>12.256</v>
      </c>
      <c r="C54">
        <v>12.382999999999999</v>
      </c>
      <c r="D54">
        <v>10.433999999999999</v>
      </c>
      <c r="E54">
        <v>10.494</v>
      </c>
      <c r="F54">
        <v>1656352.6</v>
      </c>
      <c r="G54">
        <v>10.494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-0.93842996408414525</v>
      </c>
      <c r="Q54">
        <f t="shared" ref="Q54" si="246">F54*P54</f>
        <v>-1554370.9109286808</v>
      </c>
      <c r="R54">
        <f t="shared" ref="R54" si="247">R55+Q54</f>
        <v>-40946917.178620003</v>
      </c>
      <c r="S54">
        <f t="shared" ref="S54" si="248">R54/100000</f>
        <v>-409.46917178620004</v>
      </c>
      <c r="T54">
        <f t="shared" ref="T54" si="249">S54/1000</f>
        <v>-0.40946917178620001</v>
      </c>
    </row>
    <row r="55" spans="1:20" x14ac:dyDescent="0.25">
      <c r="A55" s="5">
        <v>44538</v>
      </c>
      <c r="B55">
        <v>13.675000000000001</v>
      </c>
      <c r="C55">
        <v>13.949</v>
      </c>
      <c r="D55">
        <v>11.881</v>
      </c>
      <c r="E55">
        <v>12.257</v>
      </c>
      <c r="F55">
        <v>2518226.6</v>
      </c>
      <c r="G55">
        <v>12.257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-0.6363636363636368</v>
      </c>
      <c r="Q55">
        <f t="shared" ref="Q55" si="251">F55*P55</f>
        <v>-1602507.8363636376</v>
      </c>
      <c r="R55">
        <f t="shared" ref="R55" si="252">R56+Q55</f>
        <v>-39392546.267691322</v>
      </c>
      <c r="S55">
        <f t="shared" ref="S55" si="253">R55/100000</f>
        <v>-393.92546267691324</v>
      </c>
      <c r="T55">
        <f t="shared" ref="T55" si="254">S55/1000</f>
        <v>-0.39392546267691325</v>
      </c>
    </row>
    <row r="56" spans="1:20" x14ac:dyDescent="0.25">
      <c r="A56" s="5">
        <v>44537</v>
      </c>
      <c r="B56">
        <v>11.196999999999999</v>
      </c>
      <c r="C56">
        <v>14.9</v>
      </c>
      <c r="D56">
        <v>11.063000000000001</v>
      </c>
      <c r="E56">
        <v>13.678000000000001</v>
      </c>
      <c r="F56">
        <v>6183420</v>
      </c>
      <c r="G56">
        <v>13.678000000000001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0.36304404482668773</v>
      </c>
      <c r="Q56">
        <f t="shared" ref="Q56" si="256">F56*P56</f>
        <v>2244853.8076622374</v>
      </c>
      <c r="R56">
        <f t="shared" ref="R56" si="257">R57+Q56</f>
        <v>-37790038.431327686</v>
      </c>
      <c r="S56">
        <f t="shared" ref="S56" si="258">R56/100000</f>
        <v>-377.90038431327685</v>
      </c>
      <c r="T56">
        <f t="shared" ref="T56" si="259">S56/1000</f>
        <v>-0.37790038431327683</v>
      </c>
    </row>
    <row r="57" spans="1:20" x14ac:dyDescent="0.25">
      <c r="A57" s="5">
        <v>44536</v>
      </c>
      <c r="B57">
        <v>11.417999999999999</v>
      </c>
      <c r="C57">
        <v>12.603</v>
      </c>
      <c r="D57">
        <v>10.099</v>
      </c>
      <c r="E57">
        <v>11.208</v>
      </c>
      <c r="F57">
        <v>3954299.9</v>
      </c>
      <c r="G57">
        <v>11.208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-0.11421725239616599</v>
      </c>
      <c r="Q57">
        <f t="shared" ref="Q57" si="261">F57*P57</f>
        <v>-451649.26972843392</v>
      </c>
      <c r="R57">
        <f t="shared" ref="R57" si="262">R58+Q57</f>
        <v>-40034892.238989919</v>
      </c>
      <c r="S57">
        <f t="shared" ref="S57" si="263">R57/100000</f>
        <v>-400.3489223898992</v>
      </c>
      <c r="T57">
        <f t="shared" ref="T57" si="264">S57/1000</f>
        <v>-0.40034892238989922</v>
      </c>
    </row>
    <row r="58" spans="1:20" x14ac:dyDescent="0.25">
      <c r="A58" s="5">
        <v>44535</v>
      </c>
      <c r="B58">
        <v>12.087999999999999</v>
      </c>
      <c r="C58">
        <v>12.287000000000001</v>
      </c>
      <c r="D58">
        <v>10.31</v>
      </c>
      <c r="E58">
        <v>11.41</v>
      </c>
      <c r="F58">
        <v>2001764.9</v>
      </c>
      <c r="G58">
        <v>11.41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0.11279716742539148</v>
      </c>
      <c r="Q58">
        <f t="shared" ref="Q58" si="266">F58*P58</f>
        <v>225793.41057157202</v>
      </c>
      <c r="R58">
        <f t="shared" ref="R58" si="267">R59+Q58</f>
        <v>-39583242.969261482</v>
      </c>
      <c r="S58">
        <f t="shared" ref="S58" si="268">R58/100000</f>
        <v>-395.83242969261482</v>
      </c>
      <c r="T58">
        <f t="shared" ref="T58" si="269">S58/1000</f>
        <v>-0.39583242969261484</v>
      </c>
    </row>
    <row r="59" spans="1:20" x14ac:dyDescent="0.25">
      <c r="A59" s="5">
        <v>44534</v>
      </c>
      <c r="B59">
        <v>13.632999999999999</v>
      </c>
      <c r="C59">
        <v>13.701000000000001</v>
      </c>
      <c r="D59">
        <v>10</v>
      </c>
      <c r="E59">
        <v>12.093</v>
      </c>
      <c r="F59">
        <v>2757703.8</v>
      </c>
      <c r="G59">
        <v>12.093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0.13104566333423381</v>
      </c>
      <c r="Q59">
        <f t="shared" ref="Q59" si="271">F59*P59</f>
        <v>361385.12375033722</v>
      </c>
      <c r="R59">
        <f t="shared" ref="R59" si="272">R60+Q59</f>
        <v>-39809036.379833058</v>
      </c>
      <c r="S59">
        <f t="shared" ref="S59" si="273">R59/100000</f>
        <v>-398.0903637983306</v>
      </c>
      <c r="T59">
        <f t="shared" ref="T59" si="274">S59/1000</f>
        <v>-0.39809036379833063</v>
      </c>
    </row>
    <row r="60" spans="1:20" x14ac:dyDescent="0.25">
      <c r="A60" s="5">
        <v>44533</v>
      </c>
      <c r="B60">
        <v>15.452999999999999</v>
      </c>
      <c r="C60">
        <v>17.238</v>
      </c>
      <c r="D60">
        <v>13.201000000000001</v>
      </c>
      <c r="E60">
        <v>13.62</v>
      </c>
      <c r="F60">
        <v>2875509.2</v>
      </c>
      <c r="G60">
        <v>13.62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-0.79242011394600009</v>
      </c>
      <c r="Q60">
        <f t="shared" ref="Q60" si="276">F60*P60</f>
        <v>-2278611.3279167716</v>
      </c>
      <c r="R60">
        <f t="shared" ref="R60" si="277">R61+Q60</f>
        <v>-40170421.503583394</v>
      </c>
      <c r="S60">
        <f t="shared" ref="S60" si="278">R60/100000</f>
        <v>-401.70421503583395</v>
      </c>
      <c r="T60">
        <f t="shared" ref="T60" si="279">S60/1000</f>
        <v>-0.40170421503583398</v>
      </c>
    </row>
    <row r="61" spans="1:20" x14ac:dyDescent="0.25">
      <c r="A61" s="5">
        <v>44532</v>
      </c>
      <c r="B61">
        <v>16.488</v>
      </c>
      <c r="C61">
        <v>16.571999999999999</v>
      </c>
      <c r="D61">
        <v>14.804</v>
      </c>
      <c r="E61">
        <v>15.452999999999999</v>
      </c>
      <c r="F61">
        <v>1826985.5</v>
      </c>
      <c r="G61">
        <v>15.452999999999999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-0.26583710407239869</v>
      </c>
      <c r="Q61">
        <f t="shared" ref="Q61" si="281">F61*P61</f>
        <v>-485680.53450226336</v>
      </c>
      <c r="R61">
        <f t="shared" ref="R61" si="282">R62+Q61</f>
        <v>-37891810.175666623</v>
      </c>
      <c r="S61">
        <f t="shared" ref="S61" si="283">R61/100000</f>
        <v>-378.9181017566662</v>
      </c>
      <c r="T61">
        <f t="shared" ref="T61" si="284">S61/1000</f>
        <v>-0.37891810175666618</v>
      </c>
    </row>
    <row r="62" spans="1:20" x14ac:dyDescent="0.25">
      <c r="A62" s="5">
        <v>44531</v>
      </c>
      <c r="B62">
        <v>17.257999999999999</v>
      </c>
      <c r="C62">
        <v>18.2</v>
      </c>
      <c r="D62">
        <v>15.459</v>
      </c>
      <c r="E62">
        <v>16.477</v>
      </c>
      <c r="F62">
        <v>3845697.2</v>
      </c>
      <c r="G62">
        <v>16.477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-0.25720539948923693</v>
      </c>
      <c r="Q62">
        <f t="shared" ref="Q62" si="286">F62*P62</f>
        <v>-989134.08464063995</v>
      </c>
      <c r="R62">
        <f t="shared" ref="R62" si="287">R63+Q62</f>
        <v>-37406129.641164362</v>
      </c>
      <c r="S62">
        <f t="shared" ref="S62" si="288">R62/100000</f>
        <v>-374.06129641164364</v>
      </c>
      <c r="T62">
        <f t="shared" ref="T62" si="289">S62/1000</f>
        <v>-0.37406129641164365</v>
      </c>
    </row>
    <row r="63" spans="1:20" x14ac:dyDescent="0.25">
      <c r="A63" s="5">
        <v>44530</v>
      </c>
      <c r="B63">
        <v>17.838000000000001</v>
      </c>
      <c r="C63">
        <v>18.684000000000001</v>
      </c>
      <c r="D63">
        <v>15.798999999999999</v>
      </c>
      <c r="E63">
        <v>17.286000000000001</v>
      </c>
      <c r="F63">
        <v>3703060.9</v>
      </c>
      <c r="G63">
        <v>17.286000000000001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3.0849220103986878E-2</v>
      </c>
      <c r="Q63">
        <f t="shared" ref="Q63" si="291">F63*P63</f>
        <v>114236.54076256775</v>
      </c>
      <c r="R63">
        <f t="shared" ref="R63" si="292">R64+Q63</f>
        <v>-36416995.556523725</v>
      </c>
      <c r="S63">
        <f t="shared" ref="S63" si="293">R63/100000</f>
        <v>-364.16995556523727</v>
      </c>
      <c r="T63">
        <f t="shared" ref="T63" si="294">S63/1000</f>
        <v>-0.36416995556523729</v>
      </c>
    </row>
    <row r="64" spans="1:20" x14ac:dyDescent="0.25">
      <c r="A64" s="5">
        <v>44529</v>
      </c>
      <c r="B64">
        <v>18.757999999999999</v>
      </c>
      <c r="C64">
        <v>21.6</v>
      </c>
      <c r="D64">
        <v>17.405999999999999</v>
      </c>
      <c r="E64">
        <v>17.853999999999999</v>
      </c>
      <c r="F64">
        <v>4104556.7</v>
      </c>
      <c r="G64">
        <v>17.853999999999999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-0.78636146876490221</v>
      </c>
      <c r="Q64">
        <f t="shared" ref="Q64" si="296">F64*P64</f>
        <v>-3227665.2352408203</v>
      </c>
      <c r="R64">
        <f t="shared" ref="R64" si="297">R65+Q64</f>
        <v>-36531232.097286291</v>
      </c>
      <c r="S64">
        <f t="shared" ref="S64" si="298">R64/100000</f>
        <v>-365.31232097286289</v>
      </c>
      <c r="T64">
        <f t="shared" ref="T64" si="299">S64/1000</f>
        <v>-0.36531232097286287</v>
      </c>
    </row>
    <row r="65" spans="1:20" x14ac:dyDescent="0.25">
      <c r="A65" s="5">
        <v>44528</v>
      </c>
      <c r="B65">
        <v>20.437999999999999</v>
      </c>
      <c r="C65">
        <v>22.484000000000002</v>
      </c>
      <c r="D65">
        <v>17.509</v>
      </c>
      <c r="E65">
        <v>18.757999999999999</v>
      </c>
      <c r="F65">
        <v>5869593</v>
      </c>
      <c r="G65">
        <v>18.757999999999999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-0.49788944723618156</v>
      </c>
      <c r="Q65">
        <f t="shared" ref="Q65" si="301">F65*P65</f>
        <v>-2922408.4142713607</v>
      </c>
      <c r="R65">
        <f t="shared" ref="R65" si="302">R66+Q65</f>
        <v>-33303566.862045471</v>
      </c>
      <c r="S65">
        <f t="shared" ref="S65" si="303">R65/100000</f>
        <v>-333.03566862045471</v>
      </c>
      <c r="T65">
        <f t="shared" ref="T65" si="304">S65/1000</f>
        <v>-0.33303566862045469</v>
      </c>
    </row>
    <row r="66" spans="1:20" x14ac:dyDescent="0.25">
      <c r="A66" s="5">
        <v>44527</v>
      </c>
      <c r="B66">
        <v>24.309000000000001</v>
      </c>
      <c r="C66">
        <v>29.042999999999999</v>
      </c>
      <c r="D66">
        <v>19.652000000000001</v>
      </c>
      <c r="E66">
        <v>20.434000000000001</v>
      </c>
      <c r="F66">
        <v>19723186.25</v>
      </c>
      <c r="G66">
        <v>20.434000000000001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-0.83345756575444574</v>
      </c>
      <c r="Q66">
        <f t="shared" ref="Q66" si="306">F66*P66</f>
        <v>-16438438.800846554</v>
      </c>
      <c r="R66">
        <f t="shared" ref="R66" si="307">R67+Q66</f>
        <v>-30381158.447774108</v>
      </c>
      <c r="S66">
        <f t="shared" ref="S66" si="308">R66/100000</f>
        <v>-303.81158447774106</v>
      </c>
      <c r="T66">
        <f t="shared" ref="T66" si="309">S66/1000</f>
        <v>-0.30381158447774104</v>
      </c>
    </row>
    <row r="67" spans="1:20" x14ac:dyDescent="0.25">
      <c r="A67" s="5">
        <v>44526</v>
      </c>
      <c r="B67">
        <v>9.5619999999999994</v>
      </c>
      <c r="C67">
        <v>24.856999999999999</v>
      </c>
      <c r="D67">
        <v>9.3330000000000002</v>
      </c>
      <c r="E67">
        <v>24.309000000000001</v>
      </c>
      <c r="F67">
        <v>22462128.350000001</v>
      </c>
      <c r="G67">
        <v>24.309000000000001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0.9293996392682301</v>
      </c>
      <c r="Q67">
        <f t="shared" ref="Q67" si="311">F67*P67</f>
        <v>20876293.985686686</v>
      </c>
      <c r="R67">
        <f t="shared" ref="R67" si="312">R68+Q67</f>
        <v>-13942719.646927554</v>
      </c>
      <c r="S67">
        <f t="shared" ref="S67" si="313">R67/100000</f>
        <v>-139.42719646927554</v>
      </c>
      <c r="T67">
        <f t="shared" ref="T67" si="314">S67/1000</f>
        <v>-0.13942719646927554</v>
      </c>
    </row>
    <row r="68" spans="1:20" x14ac:dyDescent="0.25">
      <c r="A68" s="5">
        <v>44525</v>
      </c>
      <c r="B68">
        <v>8.9619999999999997</v>
      </c>
      <c r="C68">
        <v>10.45</v>
      </c>
      <c r="D68">
        <v>8.81</v>
      </c>
      <c r="E68">
        <v>9.5640000000000001</v>
      </c>
      <c r="F68">
        <v>1482385</v>
      </c>
      <c r="G68">
        <v>9.5640000000000001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-8.0487804878048644E-2</v>
      </c>
      <c r="Q68">
        <f t="shared" ref="Q68" si="316">F68*P68</f>
        <v>-119313.91463414615</v>
      </c>
      <c r="R68">
        <f t="shared" ref="R68" si="317">R69+Q68</f>
        <v>-34819013.63261424</v>
      </c>
      <c r="S68">
        <f t="shared" ref="S68" si="318">R68/100000</f>
        <v>-348.19013632614241</v>
      </c>
      <c r="T68">
        <f t="shared" ref="T68" si="319">S68/1000</f>
        <v>-0.34819013632614243</v>
      </c>
    </row>
    <row r="69" spans="1:20" x14ac:dyDescent="0.25">
      <c r="A69" s="5">
        <v>44524</v>
      </c>
      <c r="B69">
        <v>9.0220000000000002</v>
      </c>
      <c r="C69">
        <v>9.27</v>
      </c>
      <c r="D69">
        <v>8.7899999999999991</v>
      </c>
      <c r="E69">
        <v>9.0289999999999999</v>
      </c>
      <c r="F69">
        <v>474462.7</v>
      </c>
      <c r="G69">
        <v>9.0289999999999999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-4.1666666666643534E-3</v>
      </c>
      <c r="Q69">
        <f t="shared" ref="Q69" si="321">F69*P69</f>
        <v>-1976.9279166655692</v>
      </c>
      <c r="R69">
        <f t="shared" ref="R69" si="322">R70+Q69</f>
        <v>-34699699.717980094</v>
      </c>
      <c r="S69">
        <f t="shared" ref="S69" si="323">R69/100000</f>
        <v>-346.99699717980093</v>
      </c>
      <c r="T69">
        <f t="shared" ref="T69" si="324">S69/1000</f>
        <v>-0.34699699717980093</v>
      </c>
    </row>
    <row r="70" spans="1:20" x14ac:dyDescent="0.25">
      <c r="A70" s="5">
        <v>44523</v>
      </c>
      <c r="B70">
        <v>8.0030000000000001</v>
      </c>
      <c r="C70">
        <v>9.4700000000000006</v>
      </c>
      <c r="D70">
        <v>7.8730000000000002</v>
      </c>
      <c r="E70">
        <v>9.016</v>
      </c>
      <c r="F70">
        <v>1958942.8</v>
      </c>
      <c r="G70">
        <v>9.016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0.4314339386349399</v>
      </c>
      <c r="Q70">
        <f t="shared" ref="Q70" si="326">F70*P70</f>
        <v>845154.4077645574</v>
      </c>
      <c r="R70">
        <f t="shared" ref="R70" si="327">R71+Q70</f>
        <v>-34697722.790063426</v>
      </c>
      <c r="S70">
        <f t="shared" ref="S70" si="328">R70/100000</f>
        <v>-346.97722790063426</v>
      </c>
      <c r="T70">
        <f t="shared" ref="T70" si="329">S70/1000</f>
        <v>-0.34697722790063429</v>
      </c>
    </row>
    <row r="71" spans="1:20" x14ac:dyDescent="0.25">
      <c r="A71" s="5">
        <v>44522</v>
      </c>
      <c r="B71">
        <v>7.7649999999999997</v>
      </c>
      <c r="C71">
        <v>8.4779999999999998</v>
      </c>
      <c r="D71">
        <v>7.5</v>
      </c>
      <c r="E71">
        <v>8.0060000000000002</v>
      </c>
      <c r="F71">
        <v>876444.3</v>
      </c>
      <c r="G71">
        <v>8.0060000000000002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3.4764826175869838E-2</v>
      </c>
      <c r="Q71">
        <f t="shared" ref="Q71" si="331">F71*P71</f>
        <v>30469.433742331919</v>
      </c>
      <c r="R71">
        <f t="shared" ref="R71" si="332">R72+Q71</f>
        <v>-35542877.19782798</v>
      </c>
      <c r="S71">
        <f t="shared" ref="S71" si="333">R71/100000</f>
        <v>-355.42877197827983</v>
      </c>
      <c r="T71">
        <f t="shared" ref="T71" si="334">S71/1000</f>
        <v>-0.35542877197827982</v>
      </c>
    </row>
    <row r="72" spans="1:20" x14ac:dyDescent="0.25">
      <c r="A72" s="5">
        <v>44521</v>
      </c>
      <c r="B72">
        <v>7.8719999999999999</v>
      </c>
      <c r="C72">
        <v>8.3379999999999992</v>
      </c>
      <c r="D72">
        <v>7.6349999999999998</v>
      </c>
      <c r="E72">
        <v>7.7690000000000001</v>
      </c>
      <c r="F72">
        <v>692150.7</v>
      </c>
      <c r="G72">
        <v>7.7690000000000001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-0.6187766714082491</v>
      </c>
      <c r="Q72">
        <f t="shared" ref="Q72" si="336">F72*P72</f>
        <v>-428286.70625888958</v>
      </c>
      <c r="R72">
        <f t="shared" ref="R72" si="337">R73+Q72</f>
        <v>-35573346.631570309</v>
      </c>
      <c r="S72">
        <f t="shared" ref="S72" si="338">R72/100000</f>
        <v>-355.73346631570308</v>
      </c>
      <c r="T72">
        <f t="shared" ref="T72" si="339">S72/1000</f>
        <v>-0.35573346631570307</v>
      </c>
    </row>
    <row r="73" spans="1:20" x14ac:dyDescent="0.25">
      <c r="A73" s="5">
        <v>44520</v>
      </c>
      <c r="B73">
        <v>7.875</v>
      </c>
      <c r="C73">
        <v>8.2409999999999997</v>
      </c>
      <c r="D73">
        <v>7.5730000000000004</v>
      </c>
      <c r="E73">
        <v>7.8650000000000002</v>
      </c>
      <c r="F73">
        <v>743190</v>
      </c>
      <c r="G73">
        <v>7.8650000000000002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-0.12574850299401155</v>
      </c>
      <c r="Q73">
        <f t="shared" ref="Q73" si="341">F73*P73</f>
        <v>-93455.02994011945</v>
      </c>
      <c r="R73">
        <f t="shared" ref="R73" si="342">R74+Q73</f>
        <v>-35145059.925311416</v>
      </c>
      <c r="S73">
        <f t="shared" ref="S73" si="343">R73/100000</f>
        <v>-351.45059925311415</v>
      </c>
      <c r="T73">
        <f t="shared" ref="T73" si="344">S73/1000</f>
        <v>-0.35145059925311417</v>
      </c>
    </row>
    <row r="74" spans="1:20" x14ac:dyDescent="0.25">
      <c r="A74" s="5">
        <v>44519</v>
      </c>
      <c r="B74">
        <v>7.2789999999999999</v>
      </c>
      <c r="C74">
        <v>7.9020000000000001</v>
      </c>
      <c r="D74">
        <v>7.1159999999999997</v>
      </c>
      <c r="E74">
        <v>7.8689999999999998</v>
      </c>
      <c r="F74">
        <v>500444.8</v>
      </c>
      <c r="G74">
        <v>7.8689999999999998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0.91603053435114412</v>
      </c>
      <c r="Q74">
        <f t="shared" ref="Q74" si="346">F74*P74</f>
        <v>458422.71755725145</v>
      </c>
      <c r="R74">
        <f t="shared" ref="R74" si="347">R75+Q74</f>
        <v>-35051604.895371296</v>
      </c>
      <c r="S74">
        <f t="shared" ref="S74" si="348">R74/100000</f>
        <v>-350.51604895371298</v>
      </c>
      <c r="T74">
        <f t="shared" ref="T74" si="349">S74/1000</f>
        <v>-0.35051604895371297</v>
      </c>
    </row>
    <row r="75" spans="1:20" x14ac:dyDescent="0.25">
      <c r="A75" s="5">
        <v>44518</v>
      </c>
      <c r="B75">
        <v>8.3000000000000007</v>
      </c>
      <c r="C75">
        <v>8.375</v>
      </c>
      <c r="D75">
        <v>7.1289999999999996</v>
      </c>
      <c r="E75">
        <v>7.2869999999999999</v>
      </c>
      <c r="F75">
        <v>769202.5</v>
      </c>
      <c r="G75">
        <v>7.2869999999999999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-0.74638844301765606</v>
      </c>
      <c r="Q75">
        <f t="shared" ref="Q75" si="351">F75*P75</f>
        <v>-574123.85634028853</v>
      </c>
      <c r="R75">
        <f t="shared" ref="R75" si="352">R76+Q75</f>
        <v>-35510027.612928547</v>
      </c>
      <c r="S75">
        <f t="shared" ref="S75" si="353">R75/100000</f>
        <v>-355.10027612928548</v>
      </c>
      <c r="T75">
        <f t="shared" ref="T75" si="354">S75/1000</f>
        <v>-0.35510027612928546</v>
      </c>
    </row>
    <row r="76" spans="1:20" x14ac:dyDescent="0.25">
      <c r="A76" s="5">
        <v>44517</v>
      </c>
      <c r="B76">
        <v>8.016</v>
      </c>
      <c r="C76">
        <v>8.3309999999999995</v>
      </c>
      <c r="D76">
        <v>7.6989999999999998</v>
      </c>
      <c r="E76">
        <v>8.2910000000000004</v>
      </c>
      <c r="F76">
        <v>377370.2</v>
      </c>
      <c r="G76">
        <v>8.2910000000000004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0.87341772151899</v>
      </c>
      <c r="Q76">
        <f t="shared" ref="Q76" si="356">F76*P76</f>
        <v>329601.82025316556</v>
      </c>
      <c r="R76">
        <f t="shared" ref="R76" si="357">R77+Q76</f>
        <v>-34935903.756588258</v>
      </c>
      <c r="S76">
        <f t="shared" ref="S76" si="358">R76/100000</f>
        <v>-349.3590375658826</v>
      </c>
      <c r="T76">
        <f t="shared" ref="T76" si="359">S76/1000</f>
        <v>-0.3493590375658826</v>
      </c>
    </row>
    <row r="77" spans="1:20" x14ac:dyDescent="0.25">
      <c r="A77" s="5">
        <v>44516</v>
      </c>
      <c r="B77">
        <v>8.92</v>
      </c>
      <c r="C77">
        <v>8.9269999999999996</v>
      </c>
      <c r="D77">
        <v>7.6180000000000003</v>
      </c>
      <c r="E77">
        <v>8.0109999999999992</v>
      </c>
      <c r="F77">
        <v>726244.9</v>
      </c>
      <c r="G77">
        <v>8.0109999999999992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-0.39954163483575383</v>
      </c>
      <c r="Q77">
        <f t="shared" ref="Q77" si="361">F77*P77</f>
        <v>-290165.07463712856</v>
      </c>
      <c r="R77">
        <f t="shared" ref="R77" si="362">R78+Q77</f>
        <v>-35265505.576841421</v>
      </c>
      <c r="S77">
        <f t="shared" ref="S77" si="363">R77/100000</f>
        <v>-352.65505576841423</v>
      </c>
      <c r="T77">
        <f t="shared" ref="T77" si="364">S77/1000</f>
        <v>-0.35265505576841422</v>
      </c>
    </row>
    <row r="78" spans="1:20" x14ac:dyDescent="0.25">
      <c r="A78" s="5">
        <v>44515</v>
      </c>
      <c r="B78">
        <v>9.3379999999999992</v>
      </c>
      <c r="C78">
        <v>9.83</v>
      </c>
      <c r="D78">
        <v>8.8339999999999996</v>
      </c>
      <c r="E78">
        <v>8.9290000000000003</v>
      </c>
      <c r="F78">
        <v>457755.1</v>
      </c>
      <c r="G78">
        <v>8.9290000000000003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-0.80923694779116351</v>
      </c>
      <c r="Q78">
        <f t="shared" ref="Q78" si="366">F78*P78</f>
        <v>-370432.33995983884</v>
      </c>
      <c r="R78">
        <f t="shared" ref="R78" si="367">R79+Q78</f>
        <v>-34975340.502204292</v>
      </c>
      <c r="S78">
        <f t="shared" ref="S78" si="368">R78/100000</f>
        <v>-349.7534050220429</v>
      </c>
      <c r="T78">
        <f t="shared" ref="T78" si="369">S78/1000</f>
        <v>-0.34975340502204288</v>
      </c>
    </row>
    <row r="79" spans="1:20" x14ac:dyDescent="0.25">
      <c r="A79" s="5">
        <v>44514</v>
      </c>
      <c r="B79">
        <v>9.19</v>
      </c>
      <c r="C79">
        <v>9.8049999999999997</v>
      </c>
      <c r="D79">
        <v>9.1020000000000003</v>
      </c>
      <c r="E79">
        <v>9.3330000000000002</v>
      </c>
      <c r="F79">
        <v>730260.7</v>
      </c>
      <c r="G79">
        <v>9.3330000000000002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-0.34281650071123737</v>
      </c>
      <c r="Q79">
        <f t="shared" ref="Q79" si="371">F79*P79</f>
        <v>-250345.41778093867</v>
      </c>
      <c r="R79">
        <f t="shared" ref="R79" si="372">R80+Q79</f>
        <v>-34604908.162244454</v>
      </c>
      <c r="S79">
        <f t="shared" ref="S79" si="373">R79/100000</f>
        <v>-346.04908162244453</v>
      </c>
      <c r="T79">
        <f t="shared" ref="T79" si="374">S79/1000</f>
        <v>-0.34604908162244452</v>
      </c>
    </row>
    <row r="80" spans="1:20" x14ac:dyDescent="0.25">
      <c r="A80" s="5">
        <v>44513</v>
      </c>
      <c r="B80">
        <v>9.2080000000000002</v>
      </c>
      <c r="C80">
        <v>9.7989999999999995</v>
      </c>
      <c r="D80">
        <v>9.0530000000000008</v>
      </c>
      <c r="E80">
        <v>9.1890000000000001</v>
      </c>
      <c r="F80">
        <v>399232.6</v>
      </c>
      <c r="G80">
        <v>9.1890000000000001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-0.63538873994638212</v>
      </c>
      <c r="Q80">
        <f t="shared" ref="Q80" si="376">F80*P80</f>
        <v>-253667.89865951799</v>
      </c>
      <c r="R80">
        <f t="shared" ref="R80" si="377">R81+Q80</f>
        <v>-34354562.744463518</v>
      </c>
      <c r="S80">
        <f t="shared" ref="S80" si="378">R80/100000</f>
        <v>-343.54562744463516</v>
      </c>
      <c r="T80">
        <f t="shared" ref="T80" si="379">S80/1000</f>
        <v>-0.34354562744463518</v>
      </c>
    </row>
    <row r="81" spans="1:20" x14ac:dyDescent="0.25">
      <c r="A81" s="5">
        <v>44512</v>
      </c>
      <c r="B81">
        <v>9.44</v>
      </c>
      <c r="C81">
        <v>9.8049999999999997</v>
      </c>
      <c r="D81">
        <v>8.8219999999999992</v>
      </c>
      <c r="E81">
        <v>9.2070000000000007</v>
      </c>
      <c r="F81">
        <v>456873.6</v>
      </c>
      <c r="G81">
        <v>9.2070000000000007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-0.21668362156663001</v>
      </c>
      <c r="Q81">
        <f t="shared" ref="Q81" si="381">F81*P81</f>
        <v>-98997.026246183887</v>
      </c>
      <c r="R81">
        <f t="shared" ref="R81" si="382">R82+Q81</f>
        <v>-34100894.845803998</v>
      </c>
      <c r="S81">
        <f t="shared" ref="S81" si="383">R81/100000</f>
        <v>-341.00894845803998</v>
      </c>
      <c r="T81">
        <f t="shared" ref="T81" si="384">S81/1000</f>
        <v>-0.34100894845803997</v>
      </c>
    </row>
    <row r="82" spans="1:20" x14ac:dyDescent="0.25">
      <c r="A82" s="5">
        <v>44511</v>
      </c>
      <c r="B82">
        <v>9.0440000000000005</v>
      </c>
      <c r="C82">
        <v>9.5139999999999993</v>
      </c>
      <c r="D82">
        <v>8.7989999999999995</v>
      </c>
      <c r="E82">
        <v>9.452</v>
      </c>
      <c r="F82">
        <v>716090.6</v>
      </c>
      <c r="G82">
        <v>9.452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0.82657342657342825</v>
      </c>
      <c r="Q82">
        <f t="shared" ref="Q82" si="386">F82*P82</f>
        <v>591901.4609790222</v>
      </c>
      <c r="R82">
        <f t="shared" ref="R82" si="387">R83+Q82</f>
        <v>-34001897.819557816</v>
      </c>
      <c r="S82">
        <f t="shared" ref="S82" si="388">R82/100000</f>
        <v>-340.01897819557814</v>
      </c>
      <c r="T82">
        <f t="shared" ref="T82" si="389">S82/1000</f>
        <v>-0.34001897819557814</v>
      </c>
    </row>
    <row r="83" spans="1:20" x14ac:dyDescent="0.25">
      <c r="A83" s="5">
        <v>44510</v>
      </c>
      <c r="B83">
        <v>9.9809999999999999</v>
      </c>
      <c r="C83">
        <v>10.581</v>
      </c>
      <c r="D83">
        <v>8.4109999999999996</v>
      </c>
      <c r="E83">
        <v>9.0410000000000004</v>
      </c>
      <c r="F83">
        <v>1095865.7</v>
      </c>
      <c r="G83">
        <v>9.0410000000000004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-0.41935483870967666</v>
      </c>
      <c r="Q83">
        <f t="shared" ref="Q83" si="391">F83*P83</f>
        <v>-459556.58387096686</v>
      </c>
      <c r="R83">
        <f t="shared" ref="R83" si="392">R84+Q83</f>
        <v>-34593799.280536838</v>
      </c>
      <c r="S83">
        <f t="shared" ref="S83" si="393">R83/100000</f>
        <v>-345.93799280536837</v>
      </c>
      <c r="T83">
        <f t="shared" ref="T83" si="394">S83/1000</f>
        <v>-0.34593799280536836</v>
      </c>
    </row>
    <row r="84" spans="1:20" x14ac:dyDescent="0.25">
      <c r="A84" s="5">
        <v>44509</v>
      </c>
      <c r="B84">
        <v>9.7119999999999997</v>
      </c>
      <c r="C84">
        <v>11</v>
      </c>
      <c r="D84">
        <v>9.6069999999999993</v>
      </c>
      <c r="E84">
        <v>9.9830000000000005</v>
      </c>
      <c r="F84">
        <v>1393981.8</v>
      </c>
      <c r="G84">
        <v>9.9830000000000005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-0.46015793251974008</v>
      </c>
      <c r="Q84">
        <f t="shared" ref="Q84" si="396">F84*P84</f>
        <v>-641451.78305814578</v>
      </c>
      <c r="R84">
        <f t="shared" ref="R84" si="397">R85+Q84</f>
        <v>-34134242.696665868</v>
      </c>
      <c r="S84">
        <f t="shared" ref="S84" si="398">R84/100000</f>
        <v>-341.34242696665871</v>
      </c>
      <c r="T84">
        <f t="shared" ref="T84" si="399">S84/1000</f>
        <v>-0.34134242696665873</v>
      </c>
    </row>
    <row r="85" spans="1:20" x14ac:dyDescent="0.25">
      <c r="A85" s="5">
        <v>44508</v>
      </c>
      <c r="B85">
        <v>9.3870000000000005</v>
      </c>
      <c r="C85">
        <v>9.7159999999999993</v>
      </c>
      <c r="D85">
        <v>9.093</v>
      </c>
      <c r="E85">
        <v>9.7100000000000009</v>
      </c>
      <c r="F85">
        <v>454001.2</v>
      </c>
      <c r="G85">
        <v>9.7100000000000009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0.98073836276083959</v>
      </c>
      <c r="Q85">
        <f t="shared" ref="Q85" si="401">F85*P85</f>
        <v>445256.39357945649</v>
      </c>
      <c r="R85">
        <f t="shared" ref="R85" si="402">R86+Q85</f>
        <v>-33492790.91360772</v>
      </c>
      <c r="S85">
        <f t="shared" ref="S85" si="403">R85/100000</f>
        <v>-334.92790913607718</v>
      </c>
      <c r="T85">
        <f t="shared" ref="T85" si="404">S85/1000</f>
        <v>-0.33492790913607717</v>
      </c>
    </row>
    <row r="86" spans="1:20" x14ac:dyDescent="0.25">
      <c r="A86" s="5">
        <v>44507</v>
      </c>
      <c r="B86">
        <v>8.8539999999999992</v>
      </c>
      <c r="C86">
        <v>9.4</v>
      </c>
      <c r="D86">
        <v>8.8290000000000006</v>
      </c>
      <c r="E86">
        <v>9.3970000000000002</v>
      </c>
      <c r="F86">
        <v>520776</v>
      </c>
      <c r="G86">
        <v>9.3970000000000002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0.98949211908931656</v>
      </c>
      <c r="Q86">
        <f t="shared" ref="Q86" si="406">F86*P86</f>
        <v>515303.74781085789</v>
      </c>
      <c r="R86">
        <f t="shared" ref="R86" si="407">R87+Q86</f>
        <v>-33938047.307187177</v>
      </c>
      <c r="S86">
        <f t="shared" ref="S86" si="408">R86/100000</f>
        <v>-339.38047307187179</v>
      </c>
      <c r="T86">
        <f t="shared" ref="T86" si="409">S86/1000</f>
        <v>-0.3393804730718718</v>
      </c>
    </row>
    <row r="87" spans="1:20" x14ac:dyDescent="0.25">
      <c r="A87" s="5">
        <v>44506</v>
      </c>
      <c r="B87">
        <v>8.6370000000000005</v>
      </c>
      <c r="C87">
        <v>9.41</v>
      </c>
      <c r="D87">
        <v>8.52</v>
      </c>
      <c r="E87">
        <v>8.8520000000000003</v>
      </c>
      <c r="F87">
        <v>849986.6</v>
      </c>
      <c r="G87">
        <v>8.8520000000000003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-0.25393258426966175</v>
      </c>
      <c r="Q87">
        <f t="shared" ref="Q87" si="411">F87*P87</f>
        <v>-215839.29393258327</v>
      </c>
      <c r="R87">
        <f t="shared" ref="R87" si="412">R88+Q87</f>
        <v>-34453351.054998033</v>
      </c>
      <c r="S87">
        <f t="shared" ref="S87" si="413">R87/100000</f>
        <v>-344.53351054998035</v>
      </c>
      <c r="T87">
        <f t="shared" ref="T87" si="414">S87/1000</f>
        <v>-0.34453351054998033</v>
      </c>
    </row>
    <row r="88" spans="1:20" x14ac:dyDescent="0.25">
      <c r="A88" s="5">
        <v>44505</v>
      </c>
      <c r="B88">
        <v>9.1560000000000006</v>
      </c>
      <c r="C88">
        <v>9.1660000000000004</v>
      </c>
      <c r="D88">
        <v>8.5449999999999999</v>
      </c>
      <c r="E88">
        <v>8.6389999999999993</v>
      </c>
      <c r="F88">
        <v>678723.8</v>
      </c>
      <c r="G88">
        <v>8.6389999999999993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-0.69726247987117762</v>
      </c>
      <c r="Q88">
        <f t="shared" ref="Q88" si="416">F88*P88</f>
        <v>-473248.63993558922</v>
      </c>
      <c r="R88">
        <f t="shared" ref="R88" si="417">R89+Q88</f>
        <v>-34237511.761065446</v>
      </c>
      <c r="S88">
        <f t="shared" ref="S88" si="418">R88/100000</f>
        <v>-342.37511761065446</v>
      </c>
      <c r="T88">
        <f t="shared" ref="T88" si="419">S88/1000</f>
        <v>-0.34237511761065448</v>
      </c>
    </row>
    <row r="89" spans="1:20" x14ac:dyDescent="0.25">
      <c r="A89" s="5">
        <v>44504</v>
      </c>
      <c r="B89">
        <v>9.7959999999999994</v>
      </c>
      <c r="C89">
        <v>10.316000000000001</v>
      </c>
      <c r="D89">
        <v>9.0939999999999994</v>
      </c>
      <c r="E89">
        <v>9.1620000000000008</v>
      </c>
      <c r="F89">
        <v>721572.7</v>
      </c>
      <c r="G89">
        <v>9.1620000000000008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-0.88870703764320569</v>
      </c>
      <c r="Q89">
        <f t="shared" ref="Q89" si="421">F89*P89</f>
        <v>-641266.73666120949</v>
      </c>
      <c r="R89">
        <f t="shared" ref="R89" si="422">R90+Q89</f>
        <v>-33764263.121129856</v>
      </c>
      <c r="S89">
        <f t="shared" ref="S89" si="423">R89/100000</f>
        <v>-337.64263121129858</v>
      </c>
      <c r="T89">
        <f t="shared" ref="T89" si="424">S89/1000</f>
        <v>-0.33764263121129856</v>
      </c>
    </row>
    <row r="90" spans="1:20" x14ac:dyDescent="0.25">
      <c r="A90" s="5">
        <v>44503</v>
      </c>
      <c r="B90">
        <v>9.8149999999999995</v>
      </c>
      <c r="C90">
        <v>9.8360000000000003</v>
      </c>
      <c r="D90">
        <v>9.0030000000000001</v>
      </c>
      <c r="E90">
        <v>9.7850000000000001</v>
      </c>
      <c r="F90">
        <v>596070.69999999995</v>
      </c>
      <c r="G90">
        <v>9.7850000000000001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0.87755102040816291</v>
      </c>
      <c r="Q90">
        <f t="shared" ref="Q90" si="426">F90*P90</f>
        <v>523082.4510204079</v>
      </c>
      <c r="R90">
        <f t="shared" ref="R90" si="427">R91+Q90</f>
        <v>-33122996.384468649</v>
      </c>
      <c r="S90">
        <f t="shared" ref="S90" si="428">R90/100000</f>
        <v>-331.22996384468649</v>
      </c>
      <c r="T90">
        <f t="shared" ref="T90" si="429">S90/1000</f>
        <v>-0.3312299638446865</v>
      </c>
    </row>
    <row r="91" spans="1:20" x14ac:dyDescent="0.25">
      <c r="A91" s="5">
        <v>44502</v>
      </c>
      <c r="B91">
        <v>9.2370000000000001</v>
      </c>
      <c r="C91">
        <v>10.201000000000001</v>
      </c>
      <c r="D91">
        <v>9.1189999999999998</v>
      </c>
      <c r="E91">
        <v>9.8179999999999996</v>
      </c>
      <c r="F91">
        <v>778380.4</v>
      </c>
      <c r="G91">
        <v>9.8179999999999996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0.29205175600739253</v>
      </c>
      <c r="Q91">
        <f t="shared" ref="Q91" si="431">F91*P91</f>
        <v>227327.36266173661</v>
      </c>
      <c r="R91">
        <f t="shared" ref="R91" si="432">R92+Q91</f>
        <v>-33646078.835489057</v>
      </c>
      <c r="S91">
        <f t="shared" ref="S91" si="433">R91/100000</f>
        <v>-336.46078835489055</v>
      </c>
      <c r="T91">
        <f t="shared" ref="T91" si="434">S91/1000</f>
        <v>-0.33646078835489057</v>
      </c>
    </row>
    <row r="92" spans="1:20" x14ac:dyDescent="0.25">
      <c r="A92" s="5">
        <v>44501</v>
      </c>
      <c r="B92">
        <v>8.5289999999999999</v>
      </c>
      <c r="C92">
        <v>10</v>
      </c>
      <c r="D92">
        <v>8.3040000000000003</v>
      </c>
      <c r="E92">
        <v>9.2430000000000003</v>
      </c>
      <c r="F92">
        <v>1779182.3</v>
      </c>
      <c r="G92">
        <v>9.2430000000000003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0.10731132075471722</v>
      </c>
      <c r="Q92">
        <f t="shared" ref="Q92" si="436">F92*P92</f>
        <v>190926.40247641553</v>
      </c>
      <c r="R92">
        <f t="shared" ref="R92" si="437">R93+Q92</f>
        <v>-33873406.198150791</v>
      </c>
      <c r="S92">
        <f t="shared" ref="S92" si="438">R92/100000</f>
        <v>-338.73406198150792</v>
      </c>
      <c r="T92">
        <f t="shared" ref="T92" si="439">S92/1000</f>
        <v>-0.33873406198150791</v>
      </c>
    </row>
    <row r="93" spans="1:20" x14ac:dyDescent="0.25">
      <c r="A93" s="5">
        <v>44500</v>
      </c>
      <c r="B93">
        <v>8.5640000000000001</v>
      </c>
      <c r="C93">
        <v>8.6489999999999991</v>
      </c>
      <c r="D93">
        <v>8.0269999999999992</v>
      </c>
      <c r="E93">
        <v>8.5180000000000007</v>
      </c>
      <c r="F93">
        <v>451731.7</v>
      </c>
      <c r="G93">
        <v>8.5180000000000007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0.57877813504823639</v>
      </c>
      <c r="Q93">
        <f t="shared" ref="Q93" si="441">F93*P93</f>
        <v>261452.43086816941</v>
      </c>
      <c r="R93">
        <f t="shared" ref="R93" si="442">R94+Q93</f>
        <v>-34064332.600627206</v>
      </c>
      <c r="S93">
        <f t="shared" ref="S93" si="443">R93/100000</f>
        <v>-340.64332600627205</v>
      </c>
      <c r="T93">
        <f t="shared" ref="T93" si="444">S93/1000</f>
        <v>-0.34064332600627206</v>
      </c>
    </row>
    <row r="94" spans="1:20" x14ac:dyDescent="0.25">
      <c r="A94" s="5">
        <v>44499</v>
      </c>
      <c r="B94">
        <v>9.0310000000000006</v>
      </c>
      <c r="C94">
        <v>9.0690000000000008</v>
      </c>
      <c r="D94">
        <v>8.4830000000000005</v>
      </c>
      <c r="E94">
        <v>8.5579999999999998</v>
      </c>
      <c r="F94">
        <v>520076.2</v>
      </c>
      <c r="G94">
        <v>8.5579999999999998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-0.74402730375426873</v>
      </c>
      <c r="Q94">
        <f t="shared" ref="Q94" si="446">F94*P94</f>
        <v>-386950.89283276582</v>
      </c>
      <c r="R94">
        <f t="shared" ref="R94" si="447">R95+Q94</f>
        <v>-34325785.031495377</v>
      </c>
      <c r="S94">
        <f t="shared" ref="S94" si="448">R94/100000</f>
        <v>-343.25785031495377</v>
      </c>
      <c r="T94">
        <f t="shared" ref="T94" si="449">S94/1000</f>
        <v>-0.34325785031495376</v>
      </c>
    </row>
    <row r="95" spans="1:20" x14ac:dyDescent="0.25">
      <c r="A95" s="5">
        <v>44498</v>
      </c>
      <c r="B95">
        <v>8.5790000000000006</v>
      </c>
      <c r="C95">
        <v>9.1189999999999998</v>
      </c>
      <c r="D95">
        <v>8.4969999999999999</v>
      </c>
      <c r="E95">
        <v>9.0340000000000007</v>
      </c>
      <c r="F95">
        <v>407291.7</v>
      </c>
      <c r="G95">
        <v>9.0340000000000007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0.72668810289389363</v>
      </c>
      <c r="Q95">
        <f t="shared" ref="Q95" si="451">F95*P95</f>
        <v>295974.03279742884</v>
      </c>
      <c r="R95">
        <f t="shared" ref="R95" si="452">R96+Q95</f>
        <v>-33938834.138662614</v>
      </c>
      <c r="S95">
        <f t="shared" ref="S95" si="453">R95/100000</f>
        <v>-339.38834138662617</v>
      </c>
      <c r="T95">
        <f t="shared" ref="T95" si="454">S95/1000</f>
        <v>-0.33938834138662616</v>
      </c>
    </row>
    <row r="96" spans="1:20" x14ac:dyDescent="0.25">
      <c r="A96" s="5">
        <v>44497</v>
      </c>
      <c r="B96">
        <v>8.0120000000000005</v>
      </c>
      <c r="C96">
        <v>8.6880000000000006</v>
      </c>
      <c r="D96">
        <v>7.9379999999999997</v>
      </c>
      <c r="E96">
        <v>8.5640000000000001</v>
      </c>
      <c r="F96">
        <v>549861.80000000005</v>
      </c>
      <c r="G96">
        <v>8.5640000000000001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0.66933333333333223</v>
      </c>
      <c r="Q96">
        <f t="shared" ref="Q96" si="456">F96*P96</f>
        <v>368040.83146666607</v>
      </c>
      <c r="R96">
        <f t="shared" ref="R96" si="457">R97+Q96</f>
        <v>-34234808.17146004</v>
      </c>
      <c r="S96">
        <f t="shared" ref="S96" si="458">R96/100000</f>
        <v>-342.34808171460043</v>
      </c>
      <c r="T96">
        <f t="shared" ref="T96" si="459">S96/1000</f>
        <v>-0.34234808171460041</v>
      </c>
    </row>
    <row r="97" spans="1:20" x14ac:dyDescent="0.25">
      <c r="A97" s="5">
        <v>44496</v>
      </c>
      <c r="B97">
        <v>9.18</v>
      </c>
      <c r="C97">
        <v>9.3390000000000004</v>
      </c>
      <c r="D97">
        <v>7.4669999999999996</v>
      </c>
      <c r="E97">
        <v>8.0289999999999999</v>
      </c>
      <c r="F97">
        <v>1395175.2</v>
      </c>
      <c r="G97">
        <v>8.0289999999999999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-0.39957264957264954</v>
      </c>
      <c r="Q97">
        <f t="shared" ref="Q97" si="461">F97*P97</f>
        <v>-557473.85128205118</v>
      </c>
      <c r="R97">
        <f t="shared" ref="R97" si="462">R98+Q97</f>
        <v>-34602849.002926707</v>
      </c>
      <c r="S97">
        <f t="shared" ref="S97" si="463">R97/100000</f>
        <v>-346.02849002926706</v>
      </c>
      <c r="T97">
        <f t="shared" ref="T97" si="464">S97/1000</f>
        <v>-0.34602849002926706</v>
      </c>
    </row>
    <row r="98" spans="1:20" x14ac:dyDescent="0.25">
      <c r="A98" s="5">
        <v>44495</v>
      </c>
      <c r="B98">
        <v>10.021000000000001</v>
      </c>
      <c r="C98">
        <v>10.4</v>
      </c>
      <c r="D98">
        <v>8.8510000000000009</v>
      </c>
      <c r="E98">
        <v>9.1739999999999995</v>
      </c>
      <c r="F98">
        <v>851436.3</v>
      </c>
      <c r="G98">
        <v>9.1739999999999995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-0.58295674628792937</v>
      </c>
      <c r="Q98">
        <f t="shared" ref="Q98" si="466">F98*P98</f>
        <v>-496350.53511943336</v>
      </c>
      <c r="R98">
        <f t="shared" ref="R98" si="467">R99+Q98</f>
        <v>-34045375.151644655</v>
      </c>
      <c r="S98">
        <f t="shared" ref="S98" si="468">R98/100000</f>
        <v>-340.45375151644657</v>
      </c>
      <c r="T98">
        <f t="shared" ref="T98" si="469">S98/1000</f>
        <v>-0.34045375151644658</v>
      </c>
    </row>
    <row r="99" spans="1:20" x14ac:dyDescent="0.25">
      <c r="A99" s="5">
        <v>44494</v>
      </c>
      <c r="B99">
        <v>9.5039999999999996</v>
      </c>
      <c r="C99">
        <v>10.305</v>
      </c>
      <c r="D99">
        <v>9.4239999999999995</v>
      </c>
      <c r="E99">
        <v>10.015000000000001</v>
      </c>
      <c r="F99">
        <v>735980.2</v>
      </c>
      <c r="G99">
        <v>10.015000000000001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0.34165720771850383</v>
      </c>
      <c r="Q99">
        <f t="shared" ref="Q99" si="471">F99*P99</f>
        <v>251452.94006810596</v>
      </c>
      <c r="R99">
        <f t="shared" ref="R99" si="472">R100+Q99</f>
        <v>-33549024.616525222</v>
      </c>
      <c r="S99">
        <f t="shared" ref="S99" si="473">R99/100000</f>
        <v>-335.49024616525219</v>
      </c>
      <c r="T99">
        <f t="shared" ref="T99" si="474">S99/1000</f>
        <v>-0.33549024616525219</v>
      </c>
    </row>
    <row r="100" spans="1:20" x14ac:dyDescent="0.25">
      <c r="A100" s="5">
        <v>44493</v>
      </c>
      <c r="B100">
        <v>10.026</v>
      </c>
      <c r="C100">
        <v>10.159000000000001</v>
      </c>
      <c r="D100">
        <v>9.31</v>
      </c>
      <c r="E100">
        <v>9.4969999999999999</v>
      </c>
      <c r="F100">
        <v>420907.2</v>
      </c>
      <c r="G100">
        <v>9.4969999999999999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-0.5594817432273278</v>
      </c>
      <c r="Q100">
        <f t="shared" ref="Q100" si="476">F100*P100</f>
        <v>-235489.8939929335</v>
      </c>
      <c r="R100">
        <f t="shared" ref="R100" si="477">R101+Q100</f>
        <v>-33800477.556593329</v>
      </c>
      <c r="S100">
        <f t="shared" ref="S100" si="478">R100/100000</f>
        <v>-338.0047755659333</v>
      </c>
      <c r="T100">
        <f t="shared" ref="T100" si="479">S100/1000</f>
        <v>-0.33800477556593328</v>
      </c>
    </row>
    <row r="101" spans="1:20" x14ac:dyDescent="0.25">
      <c r="A101" s="5">
        <v>44492</v>
      </c>
      <c r="B101">
        <v>10.218</v>
      </c>
      <c r="C101">
        <v>10.278</v>
      </c>
      <c r="D101">
        <v>9.8439999999999994</v>
      </c>
      <c r="E101">
        <v>10.042</v>
      </c>
      <c r="F101">
        <v>411804.4</v>
      </c>
      <c r="G101">
        <v>10.042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-8.7557603686636329E-2</v>
      </c>
      <c r="Q101">
        <f t="shared" ref="Q101" si="481">F101*P101</f>
        <v>-36056.606451613065</v>
      </c>
      <c r="R101">
        <f t="shared" ref="R101" si="482">R102+Q101</f>
        <v>-33564987.662600398</v>
      </c>
      <c r="S101">
        <f t="shared" ref="S101" si="483">R101/100000</f>
        <v>-335.64987662600396</v>
      </c>
      <c r="T101">
        <f t="shared" ref="T101" si="484">S101/1000</f>
        <v>-0.33564987662600398</v>
      </c>
    </row>
    <row r="102" spans="1:20" x14ac:dyDescent="0.25">
      <c r="A102" s="5">
        <v>44491</v>
      </c>
      <c r="B102">
        <v>10.253</v>
      </c>
      <c r="C102">
        <v>10.952</v>
      </c>
      <c r="D102">
        <v>10.125999999999999</v>
      </c>
      <c r="E102">
        <v>10.215999999999999</v>
      </c>
      <c r="F102">
        <v>609344</v>
      </c>
      <c r="G102">
        <v>10.215999999999999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-0.78208232445520631</v>
      </c>
      <c r="Q102">
        <f t="shared" ref="Q102" si="486">F102*P102</f>
        <v>-476557.17191283323</v>
      </c>
      <c r="R102">
        <f t="shared" ref="R102" si="487">R103+Q102</f>
        <v>-33528931.056148786</v>
      </c>
      <c r="S102">
        <f t="shared" ref="S102" si="488">R102/100000</f>
        <v>-335.28931056148787</v>
      </c>
      <c r="T102">
        <f t="shared" ref="T102" si="489">S102/1000</f>
        <v>-0.33528931056148786</v>
      </c>
    </row>
    <row r="103" spans="1:20" x14ac:dyDescent="0.25">
      <c r="A103" s="5">
        <v>44490</v>
      </c>
      <c r="B103">
        <v>10.804</v>
      </c>
      <c r="C103">
        <v>10.808</v>
      </c>
      <c r="D103">
        <v>9.827</v>
      </c>
      <c r="E103">
        <v>10.253</v>
      </c>
      <c r="F103">
        <v>1221790.2</v>
      </c>
      <c r="G103">
        <v>10.253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-0.13149847094801181</v>
      </c>
      <c r="Q103">
        <f t="shared" ref="Q103" si="491">F103*P103</f>
        <v>-160663.54311926555</v>
      </c>
      <c r="R103">
        <f t="shared" ref="R103" si="492">R104+Q103</f>
        <v>-33052373.884235952</v>
      </c>
      <c r="S103">
        <f t="shared" ref="S103" si="493">R103/100000</f>
        <v>-330.52373884235953</v>
      </c>
      <c r="T103">
        <f t="shared" ref="T103" si="494">S103/1000</f>
        <v>-0.33052373884235953</v>
      </c>
    </row>
    <row r="104" spans="1:20" x14ac:dyDescent="0.25">
      <c r="A104" s="5">
        <v>44489</v>
      </c>
      <c r="B104">
        <v>11.262</v>
      </c>
      <c r="C104">
        <v>11.846</v>
      </c>
      <c r="D104">
        <v>10.441000000000001</v>
      </c>
      <c r="E104">
        <v>10.801</v>
      </c>
      <c r="F104">
        <v>2339309.5</v>
      </c>
      <c r="G104">
        <v>10.801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-0.48754448398576572</v>
      </c>
      <c r="Q104">
        <f t="shared" ref="Q104" si="496">F104*P104</f>
        <v>-1140517.4430604996</v>
      </c>
      <c r="R104">
        <f t="shared" ref="R104" si="497">R105+Q104</f>
        <v>-32891710.341116685</v>
      </c>
      <c r="S104">
        <f t="shared" ref="S104" si="498">R104/100000</f>
        <v>-328.91710341116686</v>
      </c>
      <c r="T104">
        <f t="shared" ref="T104" si="499">S104/1000</f>
        <v>-0.32891710341116687</v>
      </c>
    </row>
    <row r="105" spans="1:20" x14ac:dyDescent="0.25">
      <c r="A105" s="5">
        <v>44488</v>
      </c>
      <c r="B105">
        <v>9.5519999999999996</v>
      </c>
      <c r="C105">
        <v>12</v>
      </c>
      <c r="D105">
        <v>9.3490000000000002</v>
      </c>
      <c r="E105">
        <v>11.257</v>
      </c>
      <c r="F105">
        <v>4778932.9000000004</v>
      </c>
      <c r="G105">
        <v>11.257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0.4394568087514143</v>
      </c>
      <c r="Q105">
        <f t="shared" ref="Q105" si="501">F105*P105</f>
        <v>2100134.6014711419</v>
      </c>
      <c r="R105">
        <f t="shared" ref="R105" si="502">R106+Q105</f>
        <v>-31751192.898056187</v>
      </c>
      <c r="S105">
        <f t="shared" ref="S105" si="503">R105/100000</f>
        <v>-317.51192898056189</v>
      </c>
      <c r="T105">
        <f t="shared" ref="T105" si="504">S105/1000</f>
        <v>-0.31751192898056191</v>
      </c>
    </row>
    <row r="106" spans="1:20" x14ac:dyDescent="0.25">
      <c r="A106" s="5">
        <v>44487</v>
      </c>
      <c r="B106">
        <v>10.087</v>
      </c>
      <c r="C106">
        <v>10.922000000000001</v>
      </c>
      <c r="D106">
        <v>9.2870000000000008</v>
      </c>
      <c r="E106">
        <v>9.5440000000000005</v>
      </c>
      <c r="F106">
        <v>2739445.5</v>
      </c>
      <c r="G106">
        <v>9.5440000000000005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-0.6856269113149851</v>
      </c>
      <c r="Q106">
        <f t="shared" ref="Q106" si="506">F106*P106</f>
        <v>-1878237.5568807351</v>
      </c>
      <c r="R106">
        <f t="shared" ref="R106" si="507">R107+Q106</f>
        <v>-33851327.499527328</v>
      </c>
      <c r="S106">
        <f t="shared" ref="S106" si="508">R106/100000</f>
        <v>-338.51327499527326</v>
      </c>
      <c r="T106">
        <f t="shared" ref="T106" si="509">S106/1000</f>
        <v>-0.33851327499527328</v>
      </c>
    </row>
    <row r="107" spans="1:20" x14ac:dyDescent="0.25">
      <c r="A107" s="5">
        <v>44486</v>
      </c>
      <c r="B107">
        <v>8.18</v>
      </c>
      <c r="C107">
        <v>12.263999999999999</v>
      </c>
      <c r="D107">
        <v>7.9880000000000004</v>
      </c>
      <c r="E107">
        <v>10.103</v>
      </c>
      <c r="F107">
        <v>9569419.9000000004</v>
      </c>
      <c r="G107">
        <v>10.103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-1.0757717492984162E-2</v>
      </c>
      <c r="Q107">
        <f t="shared" ref="Q107" si="511">F107*P107</f>
        <v>-102945.11585594075</v>
      </c>
      <c r="R107">
        <f t="shared" ref="R107" si="512">R108+Q107</f>
        <v>-31973089.942646593</v>
      </c>
      <c r="S107">
        <f t="shared" ref="S107" si="513">R107/100000</f>
        <v>-319.73089942646595</v>
      </c>
      <c r="T107">
        <f t="shared" ref="T107" si="514">S107/1000</f>
        <v>-0.31973089942646593</v>
      </c>
    </row>
    <row r="108" spans="1:20" x14ac:dyDescent="0.25">
      <c r="A108" s="5">
        <v>44485</v>
      </c>
      <c r="B108">
        <v>8.0050000000000008</v>
      </c>
      <c r="C108">
        <v>8.75</v>
      </c>
      <c r="D108">
        <v>7.9050000000000002</v>
      </c>
      <c r="E108">
        <v>8.1940000000000008</v>
      </c>
      <c r="F108">
        <v>839346.8</v>
      </c>
      <c r="G108">
        <v>8.1940000000000008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-0.31597633136094516</v>
      </c>
      <c r="Q108">
        <f t="shared" ref="Q108" si="516">F108*P108</f>
        <v>-265213.72260354896</v>
      </c>
      <c r="R108">
        <f t="shared" ref="R108" si="517">R109+Q108</f>
        <v>-31870144.826790653</v>
      </c>
      <c r="S108">
        <f t="shared" ref="S108" si="518">R108/100000</f>
        <v>-318.70144826790653</v>
      </c>
      <c r="T108">
        <f t="shared" ref="T108" si="519">S108/1000</f>
        <v>-0.31870144826790653</v>
      </c>
    </row>
    <row r="109" spans="1:20" x14ac:dyDescent="0.25">
      <c r="A109" s="5">
        <v>44484</v>
      </c>
      <c r="B109">
        <v>7.5339999999999998</v>
      </c>
      <c r="C109">
        <v>8.8879999999999999</v>
      </c>
      <c r="D109">
        <v>7.3259999999999996</v>
      </c>
      <c r="E109">
        <v>7.9960000000000004</v>
      </c>
      <c r="F109">
        <v>1741608.4</v>
      </c>
      <c r="G109">
        <v>7.9960000000000004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-0.14212548015364829</v>
      </c>
      <c r="Q109">
        <f t="shared" ref="Q109" si="521">F109*P109</f>
        <v>-247526.93008962713</v>
      </c>
      <c r="R109">
        <f t="shared" ref="R109" si="522">R110+Q109</f>
        <v>-31604931.104187105</v>
      </c>
      <c r="S109">
        <f t="shared" ref="S109" si="523">R109/100000</f>
        <v>-316.04931104187102</v>
      </c>
      <c r="T109">
        <f t="shared" ref="T109" si="524">S109/1000</f>
        <v>-0.31604931104187101</v>
      </c>
    </row>
    <row r="110" spans="1:20" x14ac:dyDescent="0.25">
      <c r="A110" s="5">
        <v>44483</v>
      </c>
      <c r="B110">
        <v>7.3869999999999996</v>
      </c>
      <c r="C110">
        <v>7.9669999999999996</v>
      </c>
      <c r="D110">
        <v>7.3579999999999997</v>
      </c>
      <c r="E110">
        <v>7.5309999999999997</v>
      </c>
      <c r="F110">
        <v>686952.2</v>
      </c>
      <c r="G110">
        <v>7.5309999999999997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-0.43185550082101792</v>
      </c>
      <c r="Q110">
        <f t="shared" ref="Q110" si="526">F110*P110</f>
        <v>-296664.08637110004</v>
      </c>
      <c r="R110">
        <f t="shared" ref="R110" si="527">R111+Q110</f>
        <v>-31357404.174097478</v>
      </c>
      <c r="S110">
        <f t="shared" ref="S110" si="528">R110/100000</f>
        <v>-313.57404174097479</v>
      </c>
      <c r="T110">
        <f t="shared" ref="T110" si="529">S110/1000</f>
        <v>-0.31357404174097481</v>
      </c>
    </row>
    <row r="111" spans="1:20" x14ac:dyDescent="0.25">
      <c r="A111" s="5">
        <v>44482</v>
      </c>
      <c r="B111">
        <v>7.0839999999999996</v>
      </c>
      <c r="C111">
        <v>7.52</v>
      </c>
      <c r="D111">
        <v>6.9020000000000001</v>
      </c>
      <c r="E111">
        <v>7.383</v>
      </c>
      <c r="F111">
        <v>642304.69999999995</v>
      </c>
      <c r="G111">
        <v>7.383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0.55663430420712079</v>
      </c>
      <c r="Q111">
        <f t="shared" ref="Q111" si="531">F111*P111</f>
        <v>357528.82977346343</v>
      </c>
      <c r="R111">
        <f t="shared" ref="R111" si="532">R112+Q111</f>
        <v>-31060740.087726377</v>
      </c>
      <c r="S111">
        <f t="shared" ref="S111" si="533">R111/100000</f>
        <v>-310.60740087726379</v>
      </c>
      <c r="T111">
        <f t="shared" ref="T111" si="534">S111/1000</f>
        <v>-0.3106074008772638</v>
      </c>
    </row>
    <row r="112" spans="1:20" x14ac:dyDescent="0.25">
      <c r="A112" s="5">
        <v>44481</v>
      </c>
      <c r="B112">
        <v>7.4470000000000001</v>
      </c>
      <c r="C112">
        <v>7.4470000000000001</v>
      </c>
      <c r="D112">
        <v>6.806</v>
      </c>
      <c r="E112">
        <v>7.085</v>
      </c>
      <c r="F112">
        <v>523828.7</v>
      </c>
      <c r="G112">
        <v>7.085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-0.12948517940717658</v>
      </c>
      <c r="Q112">
        <f t="shared" ref="Q112" si="536">F112*P112</f>
        <v>-67828.05319812808</v>
      </c>
      <c r="R112">
        <f t="shared" ref="R112" si="537">R113+Q112</f>
        <v>-31418268.91749984</v>
      </c>
      <c r="S112">
        <f t="shared" ref="S112" si="538">R112/100000</f>
        <v>-314.18268917499842</v>
      </c>
      <c r="T112">
        <f t="shared" ref="T112" si="539">S112/1000</f>
        <v>-0.31418268917499842</v>
      </c>
    </row>
    <row r="113" spans="1:20" x14ac:dyDescent="0.25">
      <c r="A113" s="5">
        <v>44480</v>
      </c>
      <c r="B113">
        <v>7.44</v>
      </c>
      <c r="C113">
        <v>7.7809999999999997</v>
      </c>
      <c r="D113">
        <v>7.202</v>
      </c>
      <c r="E113">
        <v>7.4489999999999998</v>
      </c>
      <c r="F113">
        <v>323365.3</v>
      </c>
      <c r="G113">
        <v>7.4489999999999998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-0.14680483592400692</v>
      </c>
      <c r="Q113">
        <f t="shared" ref="Q113" si="541">F113*P113</f>
        <v>-47471.589810017271</v>
      </c>
      <c r="R113">
        <f t="shared" ref="R113" si="542">R114+Q113</f>
        <v>-31350440.864301711</v>
      </c>
      <c r="S113">
        <f t="shared" ref="S113" si="543">R113/100000</f>
        <v>-313.50440864301709</v>
      </c>
      <c r="T113">
        <f t="shared" ref="T113" si="544">S113/1000</f>
        <v>-0.3135044086430171</v>
      </c>
    </row>
    <row r="114" spans="1:20" x14ac:dyDescent="0.25">
      <c r="A114" s="5">
        <v>44479</v>
      </c>
      <c r="B114">
        <v>8.0719999999999992</v>
      </c>
      <c r="C114">
        <v>8.1720000000000006</v>
      </c>
      <c r="D114">
        <v>7.4039999999999999</v>
      </c>
      <c r="E114">
        <v>7.4509999999999996</v>
      </c>
      <c r="F114">
        <v>515577</v>
      </c>
      <c r="G114">
        <v>7.4509999999999996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-0.87760416666666752</v>
      </c>
      <c r="Q114">
        <f t="shared" ref="Q114" si="546">F114*P114</f>
        <v>-452472.52343750047</v>
      </c>
      <c r="R114">
        <f t="shared" ref="R114" si="547">R115+Q114</f>
        <v>-31302969.274491694</v>
      </c>
      <c r="S114">
        <f t="shared" ref="S114" si="548">R114/100000</f>
        <v>-313.02969274491693</v>
      </c>
      <c r="T114">
        <f t="shared" ref="T114" si="549">S114/1000</f>
        <v>-0.31302969274491693</v>
      </c>
    </row>
    <row r="115" spans="1:20" x14ac:dyDescent="0.25">
      <c r="A115" s="5">
        <v>44478</v>
      </c>
      <c r="B115">
        <v>7.8689999999999998</v>
      </c>
      <c r="C115">
        <v>8.4</v>
      </c>
      <c r="D115">
        <v>7.774</v>
      </c>
      <c r="E115">
        <v>8.06</v>
      </c>
      <c r="F115">
        <v>385662.9</v>
      </c>
      <c r="G115">
        <v>8.06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-8.6261980830669896E-2</v>
      </c>
      <c r="Q115">
        <f t="shared" ref="Q115" si="551">F115*P115</f>
        <v>-33268.045686900565</v>
      </c>
      <c r="R115">
        <f t="shared" ref="R115" si="552">R116+Q115</f>
        <v>-30850496.751054194</v>
      </c>
      <c r="S115">
        <f t="shared" ref="S115" si="553">R115/100000</f>
        <v>-308.50496751054192</v>
      </c>
      <c r="T115">
        <f t="shared" ref="T115" si="554">S115/1000</f>
        <v>-0.30850496751054191</v>
      </c>
    </row>
    <row r="116" spans="1:20" x14ac:dyDescent="0.25">
      <c r="A116" s="5">
        <v>44477</v>
      </c>
      <c r="B116">
        <v>7.9569999999999999</v>
      </c>
      <c r="C116">
        <v>8.4719999999999995</v>
      </c>
      <c r="D116">
        <v>7.73</v>
      </c>
      <c r="E116">
        <v>7.859</v>
      </c>
      <c r="F116">
        <v>780345.7</v>
      </c>
      <c r="G116">
        <v>7.859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-0.65229110512129462</v>
      </c>
      <c r="Q116">
        <f t="shared" ref="Q116" si="556">F116*P116</f>
        <v>-509012.55902965023</v>
      </c>
      <c r="R116">
        <f t="shared" ref="R116" si="557">R117+Q116</f>
        <v>-30817228.705367293</v>
      </c>
      <c r="S116">
        <f t="shared" ref="S116" si="558">R116/100000</f>
        <v>-308.17228705367296</v>
      </c>
      <c r="T116">
        <f t="shared" ref="T116" si="559">S116/1000</f>
        <v>-0.30817228705367294</v>
      </c>
    </row>
    <row r="117" spans="1:20" x14ac:dyDescent="0.25">
      <c r="A117" s="5">
        <v>44476</v>
      </c>
      <c r="B117">
        <v>7.9749999999999996</v>
      </c>
      <c r="C117">
        <v>8.1750000000000007</v>
      </c>
      <c r="D117">
        <v>7.7510000000000003</v>
      </c>
      <c r="E117">
        <v>7.9459999999999997</v>
      </c>
      <c r="F117">
        <v>535619</v>
      </c>
      <c r="G117">
        <v>7.9459999999999997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-8.0188679245286679E-2</v>
      </c>
      <c r="Q117">
        <f t="shared" ref="Q117" si="561">F117*P117</f>
        <v>-42950.580188681204</v>
      </c>
      <c r="R117">
        <f t="shared" ref="R117" si="562">R118+Q117</f>
        <v>-30308216.146337643</v>
      </c>
      <c r="S117">
        <f t="shared" ref="S117" si="563">R117/100000</f>
        <v>-303.08216146337645</v>
      </c>
      <c r="T117">
        <f t="shared" ref="T117" si="564">S117/1000</f>
        <v>-0.30308216146337646</v>
      </c>
    </row>
    <row r="118" spans="1:20" x14ac:dyDescent="0.25">
      <c r="A118" s="5">
        <v>44475</v>
      </c>
      <c r="B118">
        <v>8.34</v>
      </c>
      <c r="C118">
        <v>8.39</v>
      </c>
      <c r="D118">
        <v>7.593</v>
      </c>
      <c r="E118">
        <v>7.9820000000000002</v>
      </c>
      <c r="F118">
        <v>619051.19999999995</v>
      </c>
      <c r="G118">
        <v>7.9820000000000002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-2.3839397741530884E-2</v>
      </c>
      <c r="Q118">
        <f t="shared" ref="Q118" si="566">F118*P118</f>
        <v>-14757.807779171982</v>
      </c>
      <c r="R118">
        <f t="shared" ref="R118" si="567">R119+Q118</f>
        <v>-30265265.566148963</v>
      </c>
      <c r="S118">
        <f t="shared" ref="S118" si="568">R118/100000</f>
        <v>-302.65265566148963</v>
      </c>
      <c r="T118">
        <f t="shared" ref="T118" si="569">S118/1000</f>
        <v>-0.30265265566148963</v>
      </c>
    </row>
    <row r="119" spans="1:20" x14ac:dyDescent="0.25">
      <c r="A119" s="5">
        <v>44474</v>
      </c>
      <c r="B119">
        <v>8.0169999999999995</v>
      </c>
      <c r="C119">
        <v>8.41</v>
      </c>
      <c r="D119">
        <v>7.883</v>
      </c>
      <c r="E119">
        <v>8.3390000000000004</v>
      </c>
      <c r="F119">
        <v>662290</v>
      </c>
      <c r="G119">
        <v>8.3390000000000004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0.73055028462998217</v>
      </c>
      <c r="Q119">
        <f t="shared" ref="Q119" si="571">F119*P119</f>
        <v>483836.14800759091</v>
      </c>
      <c r="R119">
        <f t="shared" ref="R119" si="572">R120+Q119</f>
        <v>-30250507.758369792</v>
      </c>
      <c r="S119">
        <f t="shared" ref="S119" si="573">R119/100000</f>
        <v>-302.50507758369793</v>
      </c>
      <c r="T119">
        <f t="shared" ref="T119" si="574">S119/1000</f>
        <v>-0.30250507758369793</v>
      </c>
    </row>
    <row r="120" spans="1:20" x14ac:dyDescent="0.25">
      <c r="A120" s="5">
        <v>44473</v>
      </c>
      <c r="B120">
        <v>8.4350000000000005</v>
      </c>
      <c r="C120">
        <v>8.4489999999999998</v>
      </c>
      <c r="D120">
        <v>7.8</v>
      </c>
      <c r="E120">
        <v>8.0440000000000005</v>
      </c>
      <c r="F120">
        <v>707400</v>
      </c>
      <c r="G120">
        <v>8.0440000000000005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-0.2480739599383647</v>
      </c>
      <c r="Q120">
        <f t="shared" ref="Q120" si="576">F120*P120</f>
        <v>-175487.51926039919</v>
      </c>
      <c r="R120">
        <f t="shared" ref="R120" si="577">R121+Q120</f>
        <v>-30734343.906377383</v>
      </c>
      <c r="S120">
        <f t="shared" ref="S120" si="578">R120/100000</f>
        <v>-307.34343906377381</v>
      </c>
      <c r="T120">
        <f t="shared" ref="T120" si="579">S120/1000</f>
        <v>-0.30734343906377382</v>
      </c>
    </row>
    <row r="121" spans="1:20" x14ac:dyDescent="0.25">
      <c r="A121" s="5">
        <v>44472</v>
      </c>
      <c r="B121">
        <v>8</v>
      </c>
      <c r="C121">
        <v>9.0289999999999999</v>
      </c>
      <c r="D121">
        <v>7.8159999999999998</v>
      </c>
      <c r="E121">
        <v>8.4570000000000007</v>
      </c>
      <c r="F121">
        <v>855377.5</v>
      </c>
      <c r="G121">
        <v>8.4570000000000007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5.6883759274527386E-2</v>
      </c>
      <c r="Q121">
        <f t="shared" ref="Q121" si="581">F121*P121</f>
        <v>48657.087798847046</v>
      </c>
      <c r="R121">
        <f t="shared" ref="R121" si="582">R122+Q121</f>
        <v>-30558856.387116984</v>
      </c>
      <c r="S121">
        <f t="shared" ref="S121" si="583">R121/100000</f>
        <v>-305.58856387116981</v>
      </c>
      <c r="T121">
        <f t="shared" ref="T121" si="584">S121/1000</f>
        <v>-0.30558856387116984</v>
      </c>
    </row>
    <row r="122" spans="1:20" x14ac:dyDescent="0.25">
      <c r="A122" s="5">
        <v>44471</v>
      </c>
      <c r="B122">
        <v>8.0090000000000003</v>
      </c>
      <c r="C122">
        <v>8.52</v>
      </c>
      <c r="D122">
        <v>7.6710000000000003</v>
      </c>
      <c r="E122">
        <v>8.0039999999999996</v>
      </c>
      <c r="F122">
        <v>663356.6</v>
      </c>
      <c r="G122">
        <v>8.0039999999999996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-0.21554770318021305</v>
      </c>
      <c r="Q122">
        <f t="shared" ref="Q122" si="586">F122*P122</f>
        <v>-142984.99151943531</v>
      </c>
      <c r="R122">
        <f t="shared" ref="R122" si="587">R123+Q122</f>
        <v>-30607513.474915832</v>
      </c>
      <c r="S122">
        <f t="shared" ref="S122" si="588">R122/100000</f>
        <v>-306.07513474915834</v>
      </c>
      <c r="T122">
        <f t="shared" ref="T122" si="589">S122/1000</f>
        <v>-0.30607513474915832</v>
      </c>
    </row>
    <row r="123" spans="1:20" x14ac:dyDescent="0.25">
      <c r="A123" s="5">
        <v>44470</v>
      </c>
      <c r="B123">
        <v>6.9429999999999996</v>
      </c>
      <c r="C123">
        <v>8.1349999999999998</v>
      </c>
      <c r="D123">
        <v>6.85</v>
      </c>
      <c r="E123">
        <v>8.0169999999999995</v>
      </c>
      <c r="F123">
        <v>881844.4</v>
      </c>
      <c r="G123">
        <v>8.0169999999999995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0.81634241245136141</v>
      </c>
      <c r="Q123">
        <f t="shared" ref="Q123" si="591">F123*P123</f>
        <v>719886.98490272334</v>
      </c>
      <c r="R123">
        <f t="shared" ref="R123" si="592">R124+Q123</f>
        <v>-30464528.483396396</v>
      </c>
      <c r="S123">
        <f t="shared" ref="S123" si="593">R123/100000</f>
        <v>-304.64528483396396</v>
      </c>
      <c r="T123">
        <f t="shared" ref="T123" si="594">S123/1000</f>
        <v>-0.30464528483396397</v>
      </c>
    </row>
    <row r="124" spans="1:20" x14ac:dyDescent="0.25">
      <c r="A124" s="5">
        <v>44469</v>
      </c>
      <c r="B124">
        <v>6.5149999999999997</v>
      </c>
      <c r="C124">
        <v>7.0229999999999997</v>
      </c>
      <c r="D124">
        <v>6.4809999999999999</v>
      </c>
      <c r="E124">
        <v>6.9450000000000003</v>
      </c>
      <c r="F124">
        <v>374635.1</v>
      </c>
      <c r="G124">
        <v>6.9450000000000003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0.71217712177121983</v>
      </c>
      <c r="Q124">
        <f t="shared" ref="Q124" si="596">F124*P124</f>
        <v>266806.54723247309</v>
      </c>
      <c r="R124">
        <f t="shared" ref="R124" si="597">R125+Q124</f>
        <v>-31184415.468299121</v>
      </c>
      <c r="S124">
        <f t="shared" ref="S124" si="598">R124/100000</f>
        <v>-311.84415468299119</v>
      </c>
      <c r="T124">
        <f t="shared" ref="T124" si="599">S124/1000</f>
        <v>-0.3118441546829912</v>
      </c>
    </row>
    <row r="125" spans="1:20" x14ac:dyDescent="0.25">
      <c r="A125" s="5">
        <v>44468</v>
      </c>
      <c r="B125">
        <v>6.2750000000000004</v>
      </c>
      <c r="C125">
        <v>6.8639999999999999</v>
      </c>
      <c r="D125">
        <v>6.2329999999999997</v>
      </c>
      <c r="E125">
        <v>6.5110000000000001</v>
      </c>
      <c r="F125">
        <v>363042.7</v>
      </c>
      <c r="G125">
        <v>6.5110000000000001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-0.11885895404120327</v>
      </c>
      <c r="Q125">
        <f t="shared" ref="Q125" si="601">F125*P125</f>
        <v>-43150.875594294346</v>
      </c>
      <c r="R125">
        <f t="shared" ref="R125" si="602">R126+Q125</f>
        <v>-31451222.015531592</v>
      </c>
      <c r="S125">
        <f t="shared" ref="S125" si="603">R125/100000</f>
        <v>-314.5122201553159</v>
      </c>
      <c r="T125">
        <f t="shared" ref="T125" si="604">S125/1000</f>
        <v>-0.31451222015531588</v>
      </c>
    </row>
    <row r="126" spans="1:20" x14ac:dyDescent="0.25">
      <c r="A126" s="5">
        <v>44467</v>
      </c>
      <c r="B126">
        <v>6.5839999999999996</v>
      </c>
      <c r="C126">
        <v>6.81</v>
      </c>
      <c r="D126">
        <v>6.1980000000000004</v>
      </c>
      <c r="E126">
        <v>6.274</v>
      </c>
      <c r="F126">
        <v>661345.30000000005</v>
      </c>
      <c r="G126">
        <v>6.274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-0.75163398692810546</v>
      </c>
      <c r="Q126">
        <f t="shared" ref="Q126" si="606">F126*P126</f>
        <v>-497089.60457516403</v>
      </c>
      <c r="R126">
        <f t="shared" ref="R126" si="607">R127+Q126</f>
        <v>-31408071.139937297</v>
      </c>
      <c r="S126">
        <f t="shared" ref="S126" si="608">R126/100000</f>
        <v>-314.08071139937294</v>
      </c>
      <c r="T126">
        <f t="shared" ref="T126" si="609">S126/1000</f>
        <v>-0.31408071139937294</v>
      </c>
    </row>
    <row r="127" spans="1:20" x14ac:dyDescent="0.25">
      <c r="A127" s="5">
        <v>44466</v>
      </c>
      <c r="B127">
        <v>6.9420000000000002</v>
      </c>
      <c r="C127">
        <v>7.2830000000000004</v>
      </c>
      <c r="D127">
        <v>6.57</v>
      </c>
      <c r="E127">
        <v>6.5910000000000002</v>
      </c>
      <c r="F127">
        <v>351028.7</v>
      </c>
      <c r="G127">
        <v>6.5910000000000002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-0.94109396914446031</v>
      </c>
      <c r="Q127">
        <f t="shared" ref="Q127" si="611">F127*P127</f>
        <v>-330350.99256662</v>
      </c>
      <c r="R127">
        <f t="shared" ref="R127" si="612">R128+Q127</f>
        <v>-30910981.535362132</v>
      </c>
      <c r="S127">
        <f t="shared" ref="S127" si="613">R127/100000</f>
        <v>-309.10981535362134</v>
      </c>
      <c r="T127">
        <f t="shared" ref="T127" si="614">S127/1000</f>
        <v>-0.30910981535362136</v>
      </c>
    </row>
    <row r="128" spans="1:20" x14ac:dyDescent="0.25">
      <c r="A128" s="5">
        <v>44465</v>
      </c>
      <c r="B128">
        <v>6.883</v>
      </c>
      <c r="C128">
        <v>7.19</v>
      </c>
      <c r="D128">
        <v>6.1719999999999997</v>
      </c>
      <c r="E128">
        <v>6.97</v>
      </c>
      <c r="F128">
        <v>718877.4</v>
      </c>
      <c r="G128">
        <v>6.97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0.56777996070726822</v>
      </c>
      <c r="Q128">
        <f t="shared" ref="Q128" si="616">F128*P128</f>
        <v>408164.18192534317</v>
      </c>
      <c r="R128">
        <f t="shared" ref="R128" si="617">R129+Q128</f>
        <v>-30580630.542795513</v>
      </c>
      <c r="S128">
        <f t="shared" ref="S128" si="618">R128/100000</f>
        <v>-305.80630542795512</v>
      </c>
      <c r="T128">
        <f t="shared" ref="T128" si="619">S128/1000</f>
        <v>-0.30580630542795512</v>
      </c>
    </row>
    <row r="129" spans="1:20" x14ac:dyDescent="0.25">
      <c r="A129" s="5">
        <v>44464</v>
      </c>
      <c r="B129">
        <v>7.0949999999999998</v>
      </c>
      <c r="C129">
        <v>7.15</v>
      </c>
      <c r="D129">
        <v>6.617</v>
      </c>
      <c r="E129">
        <v>6.8949999999999996</v>
      </c>
      <c r="F129">
        <v>760343.9</v>
      </c>
      <c r="G129">
        <v>6.8949999999999996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4.3151969981235994E-2</v>
      </c>
      <c r="Q129">
        <f t="shared" ref="Q129" si="621">F129*P129</f>
        <v>32810.337148215905</v>
      </c>
      <c r="R129">
        <f t="shared" ref="R129" si="622">R130+Q129</f>
        <v>-30988794.724720854</v>
      </c>
      <c r="S129">
        <f t="shared" ref="S129" si="623">R129/100000</f>
        <v>-309.88794724720856</v>
      </c>
      <c r="T129">
        <f t="shared" ref="T129" si="624">S129/1000</f>
        <v>-0.30988794724720858</v>
      </c>
    </row>
    <row r="130" spans="1:20" x14ac:dyDescent="0.25">
      <c r="A130" s="5">
        <v>44463</v>
      </c>
      <c r="B130">
        <v>8.2509999999999994</v>
      </c>
      <c r="C130">
        <v>8.2810000000000006</v>
      </c>
      <c r="D130">
        <v>6.7850000000000001</v>
      </c>
      <c r="E130">
        <v>7.0880000000000001</v>
      </c>
      <c r="F130">
        <v>1388856.8</v>
      </c>
      <c r="G130">
        <v>7.0880000000000001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-0.59491978609625684</v>
      </c>
      <c r="Q130">
        <f t="shared" ref="Q130" si="626">F130*P130</f>
        <v>-826258.39037433185</v>
      </c>
      <c r="R130">
        <f t="shared" ref="R130" si="627">R131+Q130</f>
        <v>-31021605.06186907</v>
      </c>
      <c r="S130">
        <f t="shared" ref="S130" si="628">R130/100000</f>
        <v>-310.2160506186907</v>
      </c>
      <c r="T130">
        <f t="shared" ref="T130" si="629">S130/1000</f>
        <v>-0.31021605061869068</v>
      </c>
    </row>
    <row r="131" spans="1:20" x14ac:dyDescent="0.25">
      <c r="A131" s="5">
        <v>44462</v>
      </c>
      <c r="B131">
        <v>7.9269999999999996</v>
      </c>
      <c r="C131">
        <v>8.4589999999999996</v>
      </c>
      <c r="D131">
        <v>7.6989999999999998</v>
      </c>
      <c r="E131">
        <v>8.2409999999999997</v>
      </c>
      <c r="F131">
        <v>392811.7</v>
      </c>
      <c r="G131">
        <v>8.2409999999999997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0.42631578947368415</v>
      </c>
      <c r="Q131">
        <f t="shared" ref="Q131" si="631">F131*P131</f>
        <v>167461.82999999999</v>
      </c>
      <c r="R131">
        <f t="shared" ref="R131" si="632">R132+Q131</f>
        <v>-30195346.671494737</v>
      </c>
      <c r="S131">
        <f t="shared" ref="S131" si="633">R131/100000</f>
        <v>-301.95346671494735</v>
      </c>
      <c r="T131">
        <f t="shared" ref="T131" si="634">S131/1000</f>
        <v>-0.30195346671494733</v>
      </c>
    </row>
    <row r="132" spans="1:20" x14ac:dyDescent="0.25">
      <c r="A132" s="5">
        <v>44461</v>
      </c>
      <c r="B132">
        <v>6.8819999999999997</v>
      </c>
      <c r="C132">
        <v>7.9569999999999999</v>
      </c>
      <c r="D132">
        <v>6.7210000000000001</v>
      </c>
      <c r="E132">
        <v>7.9290000000000003</v>
      </c>
      <c r="F132">
        <v>434371.6</v>
      </c>
      <c r="G132">
        <v>7.9290000000000003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0.95469255663430486</v>
      </c>
      <c r="Q132">
        <f t="shared" ref="Q132" si="636">F132*P132</f>
        <v>414691.3333333336</v>
      </c>
      <c r="R132">
        <f t="shared" ref="R132" si="637">R133+Q132</f>
        <v>-30362808.501494735</v>
      </c>
      <c r="S132">
        <f t="shared" ref="S132" si="638">R132/100000</f>
        <v>-303.62808501494737</v>
      </c>
      <c r="T132">
        <f t="shared" ref="T132" si="639">S132/1000</f>
        <v>-0.30362808501494737</v>
      </c>
    </row>
    <row r="133" spans="1:20" x14ac:dyDescent="0.25">
      <c r="A133" s="5">
        <v>44460</v>
      </c>
      <c r="B133">
        <v>7.32</v>
      </c>
      <c r="C133">
        <v>7.8630000000000004</v>
      </c>
      <c r="D133">
        <v>6.5629999999999997</v>
      </c>
      <c r="E133">
        <v>6.87</v>
      </c>
      <c r="F133">
        <v>670770.9</v>
      </c>
      <c r="G133">
        <v>6.87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-0.52769230769230735</v>
      </c>
      <c r="Q133">
        <f t="shared" ref="Q133" si="641">F133*P133</f>
        <v>-353960.64415384596</v>
      </c>
      <c r="R133">
        <f t="shared" ref="R133" si="642">R134+Q133</f>
        <v>-30777499.834828068</v>
      </c>
      <c r="S133">
        <f t="shared" ref="S133" si="643">R133/100000</f>
        <v>-307.77499834828069</v>
      </c>
      <c r="T133">
        <f t="shared" ref="T133" si="644">S133/1000</f>
        <v>-0.3077749983482807</v>
      </c>
    </row>
    <row r="134" spans="1:20" x14ac:dyDescent="0.25">
      <c r="A134" s="5">
        <v>44459</v>
      </c>
      <c r="B134">
        <v>8.7010000000000005</v>
      </c>
      <c r="C134">
        <v>8.7219999999999995</v>
      </c>
      <c r="D134">
        <v>7.6040000000000001</v>
      </c>
      <c r="E134">
        <v>7.7770000000000001</v>
      </c>
      <c r="F134">
        <v>444653.38</v>
      </c>
      <c r="G134">
        <v>7.7770000000000001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-0.69051878354203911</v>
      </c>
      <c r="Q134">
        <f t="shared" ref="Q134" si="646">F134*P134</f>
        <v>-307041.51105545607</v>
      </c>
      <c r="R134">
        <f t="shared" ref="R134" si="647">R135+Q134</f>
        <v>-30423539.190674223</v>
      </c>
      <c r="S134">
        <f t="shared" ref="S134" si="648">R134/100000</f>
        <v>-304.23539190674222</v>
      </c>
      <c r="T134">
        <f t="shared" ref="T134" si="649">S134/1000</f>
        <v>-0.3042353919067422</v>
      </c>
    </row>
    <row r="135" spans="1:20" x14ac:dyDescent="0.25">
      <c r="A135" s="5">
        <v>44458</v>
      </c>
      <c r="B135">
        <v>9.0259999999999998</v>
      </c>
      <c r="C135">
        <v>9.0719999999999992</v>
      </c>
      <c r="D135">
        <v>8.5069999999999997</v>
      </c>
      <c r="E135">
        <v>8.6999999999999993</v>
      </c>
      <c r="F135">
        <v>405358</v>
      </c>
      <c r="G135">
        <v>8.6999999999999993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-0.31681415929203616</v>
      </c>
      <c r="Q135">
        <f t="shared" ref="Q135" si="651">F135*P135</f>
        <v>-128423.1539823012</v>
      </c>
      <c r="R135">
        <f t="shared" ref="R135" si="652">R136+Q135</f>
        <v>-30116497.679618768</v>
      </c>
      <c r="S135">
        <f t="shared" ref="S135" si="653">R135/100000</f>
        <v>-301.16497679618766</v>
      </c>
      <c r="T135">
        <f t="shared" ref="T135" si="654">S135/1000</f>
        <v>-0.30116497679618764</v>
      </c>
    </row>
    <row r="136" spans="1:20" x14ac:dyDescent="0.25">
      <c r="A136" s="5">
        <v>44457</v>
      </c>
      <c r="B136">
        <v>9.0299999999999994</v>
      </c>
      <c r="C136">
        <v>9.6999999999999993</v>
      </c>
      <c r="D136">
        <v>8.8209999999999997</v>
      </c>
      <c r="E136">
        <v>9.0239999999999991</v>
      </c>
      <c r="F136">
        <v>572862.69999999995</v>
      </c>
      <c r="G136">
        <v>9.0239999999999991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-0.53811149032992145</v>
      </c>
      <c r="Q136">
        <f t="shared" ref="Q136" si="656">F136*P136</f>
        <v>-308264.00125142268</v>
      </c>
      <c r="R136">
        <f t="shared" ref="R136" si="657">R137+Q136</f>
        <v>-29988074.525636468</v>
      </c>
      <c r="S136">
        <f t="shared" ref="S136" si="658">R136/100000</f>
        <v>-299.88074525636466</v>
      </c>
      <c r="T136">
        <f t="shared" ref="T136" si="659">S136/1000</f>
        <v>-0.29988074525636466</v>
      </c>
    </row>
    <row r="137" spans="1:20" x14ac:dyDescent="0.25">
      <c r="A137" s="5">
        <v>44456</v>
      </c>
      <c r="B137">
        <v>9.5350000000000001</v>
      </c>
      <c r="C137">
        <v>9.6259999999999994</v>
      </c>
      <c r="D137">
        <v>8.8550000000000004</v>
      </c>
      <c r="E137">
        <v>9.0419999999999998</v>
      </c>
      <c r="F137">
        <v>443370.4</v>
      </c>
      <c r="G137">
        <v>9.0419999999999998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-0.5149156939040217</v>
      </c>
      <c r="Q137">
        <f t="shared" ref="Q137" si="661">F137*P137</f>
        <v>-228298.37717250368</v>
      </c>
      <c r="R137">
        <f t="shared" ref="R137" si="662">R138+Q137</f>
        <v>-29679810.524385046</v>
      </c>
      <c r="S137">
        <f t="shared" ref="S137" si="663">R137/100000</f>
        <v>-296.79810524385044</v>
      </c>
      <c r="T137">
        <f t="shared" ref="T137" si="664">S137/1000</f>
        <v>-0.29679810524385042</v>
      </c>
    </row>
    <row r="138" spans="1:20" x14ac:dyDescent="0.25">
      <c r="A138" s="5">
        <v>44455</v>
      </c>
      <c r="B138">
        <v>10.067</v>
      </c>
      <c r="C138">
        <v>10.432</v>
      </c>
      <c r="D138">
        <v>9.2859999999999996</v>
      </c>
      <c r="E138">
        <v>9.5289999999999999</v>
      </c>
      <c r="F138">
        <v>934510.9</v>
      </c>
      <c r="G138">
        <v>9.5289999999999999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-0.57591623036649187</v>
      </c>
      <c r="Q138">
        <f t="shared" ref="Q138" si="666">F138*P138</f>
        <v>-538199.99476439762</v>
      </c>
      <c r="R138">
        <f t="shared" ref="R138" si="667">R139+Q138</f>
        <v>-29451512.147212543</v>
      </c>
      <c r="S138">
        <f t="shared" ref="S138" si="668">R138/100000</f>
        <v>-294.51512147212543</v>
      </c>
      <c r="T138">
        <f t="shared" ref="T138" si="669">S138/1000</f>
        <v>-0.29451512147212544</v>
      </c>
    </row>
    <row r="139" spans="1:20" x14ac:dyDescent="0.25">
      <c r="A139" s="5">
        <v>44454</v>
      </c>
      <c r="B139">
        <v>9.1690000000000005</v>
      </c>
      <c r="C139">
        <v>10.183999999999999</v>
      </c>
      <c r="D139">
        <v>9.1</v>
      </c>
      <c r="E139">
        <v>10.058</v>
      </c>
      <c r="F139">
        <v>614654.6</v>
      </c>
      <c r="G139">
        <v>10.058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0.7675276752767537</v>
      </c>
      <c r="Q139">
        <f t="shared" ref="Q139" si="671">F139*P139</f>
        <v>471764.41623616294</v>
      </c>
      <c r="R139">
        <f t="shared" ref="R139" si="672">R140+Q139</f>
        <v>-28913312.152448144</v>
      </c>
      <c r="S139">
        <f t="shared" ref="S139" si="673">R139/100000</f>
        <v>-289.13312152448145</v>
      </c>
      <c r="T139">
        <f t="shared" ref="T139" si="674">S139/1000</f>
        <v>-0.28913312152448145</v>
      </c>
    </row>
    <row r="140" spans="1:20" x14ac:dyDescent="0.25">
      <c r="A140" s="5">
        <v>44453</v>
      </c>
      <c r="B140">
        <v>8.9930000000000003</v>
      </c>
      <c r="C140">
        <v>9.49</v>
      </c>
      <c r="D140">
        <v>8.7880000000000003</v>
      </c>
      <c r="E140">
        <v>9.1679999999999993</v>
      </c>
      <c r="F140">
        <v>465450</v>
      </c>
      <c r="G140">
        <v>9.1679999999999993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8.2621082621079853E-2</v>
      </c>
      <c r="Q140">
        <f t="shared" ref="Q140" si="676">F140*P140</f>
        <v>38455.982905981618</v>
      </c>
      <c r="R140">
        <f t="shared" ref="R140" si="677">R141+Q140</f>
        <v>-29385076.568684306</v>
      </c>
      <c r="S140">
        <f t="shared" ref="S140" si="678">R140/100000</f>
        <v>-293.85076568684303</v>
      </c>
      <c r="T140">
        <f t="shared" ref="T140" si="679">S140/1000</f>
        <v>-0.29385076568684304</v>
      </c>
    </row>
    <row r="141" spans="1:20" x14ac:dyDescent="0.25">
      <c r="A141" s="5">
        <v>44452</v>
      </c>
      <c r="B141">
        <v>9.4909999999999997</v>
      </c>
      <c r="C141">
        <v>9.5869999999999997</v>
      </c>
      <c r="D141">
        <v>8.3260000000000005</v>
      </c>
      <c r="E141">
        <v>9.0069999999999997</v>
      </c>
      <c r="F141">
        <v>822367.6</v>
      </c>
      <c r="G141">
        <v>9.0069999999999997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8.00951625693887E-2</v>
      </c>
      <c r="Q141">
        <f t="shared" ref="Q141" si="681">F141*P141</f>
        <v>65867.666613798021</v>
      </c>
      <c r="R141">
        <f t="shared" ref="R141" si="682">R142+Q141</f>
        <v>-29423532.551590286</v>
      </c>
      <c r="S141">
        <f t="shared" ref="S141" si="683">R141/100000</f>
        <v>-294.23532551590284</v>
      </c>
      <c r="T141">
        <f t="shared" ref="T141" si="684">S141/1000</f>
        <v>-0.29423532551590287</v>
      </c>
    </row>
    <row r="142" spans="1:20" x14ac:dyDescent="0.25">
      <c r="A142" s="5">
        <v>44451</v>
      </c>
      <c r="B142">
        <v>8.8439999999999994</v>
      </c>
      <c r="C142">
        <v>9.7080000000000002</v>
      </c>
      <c r="D142">
        <v>8.6180000000000003</v>
      </c>
      <c r="E142">
        <v>9.4600000000000009</v>
      </c>
      <c r="F142">
        <v>585510</v>
      </c>
      <c r="G142">
        <v>9.4600000000000009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0.54495412844036817</v>
      </c>
      <c r="Q142">
        <f t="shared" ref="Q142" si="686">F142*P142</f>
        <v>319076.09174311999</v>
      </c>
      <c r="R142">
        <f t="shared" ref="R142" si="687">R143+Q142</f>
        <v>-29489400.218204085</v>
      </c>
      <c r="S142">
        <f t="shared" ref="S142" si="688">R142/100000</f>
        <v>-294.89400218204082</v>
      </c>
      <c r="T142">
        <f t="shared" ref="T142" si="689">S142/1000</f>
        <v>-0.29489400218204082</v>
      </c>
    </row>
    <row r="143" spans="1:20" x14ac:dyDescent="0.25">
      <c r="A143" s="5">
        <v>44450</v>
      </c>
      <c r="B143">
        <v>8.9019999999999992</v>
      </c>
      <c r="C143">
        <v>9.5500000000000007</v>
      </c>
      <c r="D143">
        <v>8.7159999999999993</v>
      </c>
      <c r="E143">
        <v>8.86</v>
      </c>
      <c r="F143">
        <v>361826.2</v>
      </c>
      <c r="G143">
        <v>8.86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-0.65467625899280601</v>
      </c>
      <c r="Q143">
        <f t="shared" ref="Q143" si="691">F143*P143</f>
        <v>-236879.02302158283</v>
      </c>
      <c r="R143">
        <f t="shared" ref="R143" si="692">R144+Q143</f>
        <v>-29808476.309947204</v>
      </c>
      <c r="S143">
        <f t="shared" ref="S143" si="693">R143/100000</f>
        <v>-298.08476309947201</v>
      </c>
      <c r="T143">
        <f t="shared" ref="T143" si="694">S143/1000</f>
        <v>-0.29808476309947202</v>
      </c>
    </row>
    <row r="144" spans="1:20" x14ac:dyDescent="0.25">
      <c r="A144" s="5">
        <v>44449</v>
      </c>
      <c r="B144">
        <v>9.8079999999999998</v>
      </c>
      <c r="C144">
        <v>9.984</v>
      </c>
      <c r="D144">
        <v>8.6069999999999993</v>
      </c>
      <c r="E144">
        <v>8.89</v>
      </c>
      <c r="F144">
        <v>561365</v>
      </c>
      <c r="G144">
        <v>8.89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-0.58896151053013635</v>
      </c>
      <c r="Q144">
        <f t="shared" ref="Q144" si="696">F144*P144</f>
        <v>-330622.37835874996</v>
      </c>
      <c r="R144">
        <f t="shared" ref="R144" si="697">R145+Q144</f>
        <v>-29571597.286925621</v>
      </c>
      <c r="S144">
        <f t="shared" ref="S144" si="698">R144/100000</f>
        <v>-295.71597286925623</v>
      </c>
      <c r="T144">
        <f t="shared" ref="T144" si="699">S144/1000</f>
        <v>-0.29571597286925622</v>
      </c>
    </row>
    <row r="145" spans="1:20" x14ac:dyDescent="0.25">
      <c r="A145" s="5">
        <v>44448</v>
      </c>
      <c r="B145">
        <v>9.4719999999999995</v>
      </c>
      <c r="C145">
        <v>10.505000000000001</v>
      </c>
      <c r="D145">
        <v>9.3330000000000002</v>
      </c>
      <c r="E145">
        <v>9.7899999999999991</v>
      </c>
      <c r="F145">
        <v>888244.7</v>
      </c>
      <c r="G145">
        <v>9.7899999999999991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-0.22013651877133322</v>
      </c>
      <c r="Q145">
        <f t="shared" ref="Q145" si="701">F145*P145</f>
        <v>-195535.09607508723</v>
      </c>
      <c r="R145">
        <f t="shared" ref="R145" si="702">R146+Q145</f>
        <v>-29240974.90856687</v>
      </c>
      <c r="S145">
        <f t="shared" ref="S145" si="703">R145/100000</f>
        <v>-292.40974908566869</v>
      </c>
      <c r="T145">
        <f t="shared" ref="T145" si="704">S145/1000</f>
        <v>-0.29240974908566869</v>
      </c>
    </row>
    <row r="146" spans="1:20" x14ac:dyDescent="0.25">
      <c r="A146" s="5">
        <v>44447</v>
      </c>
      <c r="B146">
        <v>9.1669999999999998</v>
      </c>
      <c r="C146">
        <v>10.404</v>
      </c>
      <c r="D146">
        <v>8.2010000000000005</v>
      </c>
      <c r="E146">
        <v>9.4700000000000006</v>
      </c>
      <c r="F146">
        <v>1824781.5</v>
      </c>
      <c r="G146">
        <v>9.4700000000000006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0.15206536541080387</v>
      </c>
      <c r="Q146">
        <f t="shared" ref="Q146" si="706">F146*P146</f>
        <v>277486.06559237483</v>
      </c>
      <c r="R146">
        <f t="shared" ref="R146" si="707">R147+Q146</f>
        <v>-29045439.812491782</v>
      </c>
      <c r="S146">
        <f t="shared" ref="S146" si="708">R146/100000</f>
        <v>-290.45439812491782</v>
      </c>
      <c r="T146">
        <f t="shared" ref="T146" si="709">S146/1000</f>
        <v>-0.2904543981249178</v>
      </c>
    </row>
    <row r="147" spans="1:20" x14ac:dyDescent="0.25">
      <c r="A147" s="5">
        <v>44446</v>
      </c>
      <c r="B147">
        <v>12.243</v>
      </c>
      <c r="C147">
        <v>12.526999999999999</v>
      </c>
      <c r="D147">
        <v>7.9</v>
      </c>
      <c r="E147">
        <v>9.1669999999999998</v>
      </c>
      <c r="F147">
        <v>2935596.19</v>
      </c>
      <c r="G147">
        <v>9.1669999999999998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-0.45234493192133141</v>
      </c>
      <c r="Q147">
        <f t="shared" ref="Q147" si="711">F147*P147</f>
        <v>-1327902.0587140699</v>
      </c>
      <c r="R147">
        <f t="shared" ref="R147" si="712">R148+Q147</f>
        <v>-29322925.878084157</v>
      </c>
      <c r="S147">
        <f t="shared" ref="S147" si="713">R147/100000</f>
        <v>-293.22925878084158</v>
      </c>
      <c r="T147">
        <f t="shared" ref="T147" si="714">S147/1000</f>
        <v>-0.29322925878084155</v>
      </c>
    </row>
    <row r="148" spans="1:20" x14ac:dyDescent="0.25">
      <c r="A148" s="5">
        <v>44445</v>
      </c>
      <c r="B148">
        <v>12.118</v>
      </c>
      <c r="C148">
        <v>12.606999999999999</v>
      </c>
      <c r="D148">
        <v>10.728</v>
      </c>
      <c r="E148">
        <v>12.243</v>
      </c>
      <c r="F148">
        <v>1424701.6</v>
      </c>
      <c r="G148">
        <v>12.243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0.61255987227248632</v>
      </c>
      <c r="Q148">
        <f t="shared" ref="Q148" si="716">F148*P148</f>
        <v>872715.0301224069</v>
      </c>
      <c r="R148">
        <f t="shared" ref="R148" si="717">R149+Q148</f>
        <v>-27995023.819370087</v>
      </c>
      <c r="S148">
        <f t="shared" ref="S148" si="718">R148/100000</f>
        <v>-279.9502381937009</v>
      </c>
      <c r="T148">
        <f t="shared" ref="T148" si="719">S148/1000</f>
        <v>-0.27995023819370091</v>
      </c>
    </row>
    <row r="149" spans="1:20" x14ac:dyDescent="0.25">
      <c r="A149" s="5">
        <v>44444</v>
      </c>
      <c r="B149">
        <v>11.847</v>
      </c>
      <c r="C149">
        <v>12.475</v>
      </c>
      <c r="D149">
        <v>11.763999999999999</v>
      </c>
      <c r="E149">
        <v>12.117000000000001</v>
      </c>
      <c r="F149">
        <v>572240</v>
      </c>
      <c r="G149">
        <v>12.117000000000001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-7.0323488044968024E-3</v>
      </c>
      <c r="Q149">
        <f t="shared" ref="Q149" si="721">F149*P149</f>
        <v>-4024.1912798852504</v>
      </c>
      <c r="R149">
        <f t="shared" ref="R149" si="722">R150+Q149</f>
        <v>-28867738.849492494</v>
      </c>
      <c r="S149">
        <f t="shared" ref="S149" si="723">R149/100000</f>
        <v>-288.67738849492491</v>
      </c>
      <c r="T149">
        <f t="shared" ref="T149" si="724">S149/1000</f>
        <v>-0.28867738849492491</v>
      </c>
    </row>
    <row r="150" spans="1:20" x14ac:dyDescent="0.25">
      <c r="A150" s="5">
        <v>44443</v>
      </c>
      <c r="B150">
        <v>12.3</v>
      </c>
      <c r="C150">
        <v>13.222</v>
      </c>
      <c r="D150">
        <v>11.263</v>
      </c>
      <c r="E150">
        <v>11.847</v>
      </c>
      <c r="F150">
        <v>1265412.1000000001</v>
      </c>
      <c r="G150">
        <v>11.847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-0.40377743746809625</v>
      </c>
      <c r="Q150">
        <f t="shared" ref="Q150" si="726">F150*P150</f>
        <v>-510944.85507912241</v>
      </c>
      <c r="R150">
        <f t="shared" ref="R150" si="727">R151+Q150</f>
        <v>-28863714.65821261</v>
      </c>
      <c r="S150">
        <f t="shared" ref="S150" si="728">R150/100000</f>
        <v>-288.63714658212609</v>
      </c>
      <c r="T150">
        <f t="shared" ref="T150" si="729">S150/1000</f>
        <v>-0.28863714658212608</v>
      </c>
    </row>
    <row r="151" spans="1:20" x14ac:dyDescent="0.25">
      <c r="A151" s="5">
        <v>44442</v>
      </c>
      <c r="B151">
        <v>12.3</v>
      </c>
      <c r="C151">
        <v>12.85</v>
      </c>
      <c r="D151">
        <v>12</v>
      </c>
      <c r="E151">
        <v>12.292999999999999</v>
      </c>
      <c r="F151">
        <v>888248.9</v>
      </c>
      <c r="G151">
        <v>12.292999999999999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-0.31058823529411911</v>
      </c>
      <c r="Q151">
        <f t="shared" ref="Q151" si="731">F151*P151</f>
        <v>-275879.6583529425</v>
      </c>
      <c r="R151">
        <f t="shared" ref="R151" si="732">R152+Q151</f>
        <v>-28352769.803133488</v>
      </c>
      <c r="S151">
        <f t="shared" ref="S151" si="733">R151/100000</f>
        <v>-283.52769803133486</v>
      </c>
      <c r="T151">
        <f t="shared" ref="T151" si="734">S151/1000</f>
        <v>-0.28352769803133487</v>
      </c>
    </row>
    <row r="152" spans="1:20" x14ac:dyDescent="0.25">
      <c r="A152" s="5">
        <v>44441</v>
      </c>
      <c r="B152">
        <v>12.275</v>
      </c>
      <c r="C152">
        <v>13.178000000000001</v>
      </c>
      <c r="D152">
        <v>12.115</v>
      </c>
      <c r="E152">
        <v>12.304</v>
      </c>
      <c r="F152">
        <v>910548.2</v>
      </c>
      <c r="G152">
        <v>12.304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-0.64440263405456266</v>
      </c>
      <c r="Q152">
        <f t="shared" ref="Q152" si="736">F152*P152</f>
        <v>-586759.65851364075</v>
      </c>
      <c r="R152">
        <f t="shared" ref="R152" si="737">R153+Q152</f>
        <v>-28076890.144780546</v>
      </c>
      <c r="S152">
        <f t="shared" ref="S152" si="738">R152/100000</f>
        <v>-280.76890144780549</v>
      </c>
      <c r="T152">
        <f t="shared" ref="T152" si="739">S152/1000</f>
        <v>-0.28076890144780547</v>
      </c>
    </row>
    <row r="153" spans="1:20" x14ac:dyDescent="0.25">
      <c r="A153" s="5">
        <v>44440</v>
      </c>
      <c r="B153">
        <v>11.78</v>
      </c>
      <c r="C153">
        <v>12.65</v>
      </c>
      <c r="D153">
        <v>11.417</v>
      </c>
      <c r="E153">
        <v>12.28</v>
      </c>
      <c r="F153">
        <v>1125877.8999999999</v>
      </c>
      <c r="G153">
        <v>12.28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0.3998377939983766</v>
      </c>
      <c r="Q153">
        <f t="shared" ref="Q153" si="741">F153*P153</f>
        <v>450168.53584752482</v>
      </c>
      <c r="R153">
        <f t="shared" ref="R153" si="742">R154+Q153</f>
        <v>-27490130.486266907</v>
      </c>
      <c r="S153">
        <f t="shared" ref="S153" si="743">R153/100000</f>
        <v>-274.90130486266906</v>
      </c>
      <c r="T153">
        <f t="shared" ref="T153" si="744">S153/1000</f>
        <v>-0.27490130486266906</v>
      </c>
    </row>
    <row r="154" spans="1:20" x14ac:dyDescent="0.25">
      <c r="A154" s="5">
        <v>44439</v>
      </c>
      <c r="B154">
        <v>11.708</v>
      </c>
      <c r="C154">
        <v>12.923999999999999</v>
      </c>
      <c r="D154">
        <v>11.352</v>
      </c>
      <c r="E154">
        <v>11.78</v>
      </c>
      <c r="F154">
        <v>1191580.5</v>
      </c>
      <c r="G154">
        <v>11.78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-0.45547073791348691</v>
      </c>
      <c r="Q154">
        <f t="shared" ref="Q154" si="746">F154*P154</f>
        <v>-542730.0496183217</v>
      </c>
      <c r="R154">
        <f t="shared" ref="R154" si="747">R155+Q154</f>
        <v>-27940299.022114433</v>
      </c>
      <c r="S154">
        <f t="shared" ref="S154" si="748">R154/100000</f>
        <v>-279.40299022114431</v>
      </c>
      <c r="T154">
        <f t="shared" ref="T154" si="749">S154/1000</f>
        <v>-0.27940299022114429</v>
      </c>
    </row>
    <row r="155" spans="1:20" x14ac:dyDescent="0.25">
      <c r="A155" s="5">
        <v>44438</v>
      </c>
      <c r="B155">
        <v>12.95</v>
      </c>
      <c r="C155">
        <v>13.236000000000001</v>
      </c>
      <c r="D155">
        <v>11.646000000000001</v>
      </c>
      <c r="E155">
        <v>11.734</v>
      </c>
      <c r="F155">
        <v>1346414.9</v>
      </c>
      <c r="G155">
        <v>11.734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-0.88930817610062995</v>
      </c>
      <c r="Q155">
        <f t="shared" ref="Q155" si="751">F155*P155</f>
        <v>-1197377.778993712</v>
      </c>
      <c r="R155">
        <f t="shared" ref="R155" si="752">R156+Q155</f>
        <v>-27397568.972496111</v>
      </c>
      <c r="S155">
        <f t="shared" ref="S155" si="753">R155/100000</f>
        <v>-273.97568972496111</v>
      </c>
      <c r="T155">
        <f t="shared" ref="T155" si="754">S155/1000</f>
        <v>-0.27397568972496111</v>
      </c>
    </row>
    <row r="156" spans="1:20" x14ac:dyDescent="0.25">
      <c r="A156" s="5">
        <v>44437</v>
      </c>
      <c r="B156">
        <v>13.923999999999999</v>
      </c>
      <c r="C156">
        <v>15.5</v>
      </c>
      <c r="D156">
        <v>12.712</v>
      </c>
      <c r="E156">
        <v>12.95</v>
      </c>
      <c r="F156">
        <v>5078581.92</v>
      </c>
      <c r="G156">
        <v>12.95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-0.82926829268292712</v>
      </c>
      <c r="Q156">
        <f t="shared" ref="Q156" si="756">F156*P156</f>
        <v>-4211506.9580487823</v>
      </c>
      <c r="R156">
        <f t="shared" ref="R156" si="757">R157+Q156</f>
        <v>-26200191.1935024</v>
      </c>
      <c r="S156">
        <f t="shared" ref="S156" si="758">R156/100000</f>
        <v>-262.001911935024</v>
      </c>
      <c r="T156">
        <f t="shared" ref="T156" si="759">S156/1000</f>
        <v>-0.26200191193502398</v>
      </c>
    </row>
    <row r="157" spans="1:20" x14ac:dyDescent="0.25">
      <c r="A157" s="5">
        <v>44436</v>
      </c>
      <c r="B157">
        <v>10.506</v>
      </c>
      <c r="C157">
        <v>14.44</v>
      </c>
      <c r="D157">
        <v>10.099</v>
      </c>
      <c r="E157">
        <v>13.917999999999999</v>
      </c>
      <c r="F157">
        <v>3943046.85</v>
      </c>
      <c r="G157">
        <v>13.917999999999999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0.7595024187975119</v>
      </c>
      <c r="Q157">
        <f t="shared" ref="Q157" si="761">F157*P157</f>
        <v>2994753.6200069101</v>
      </c>
      <c r="R157">
        <f t="shared" ref="R157" si="762">R158+Q157</f>
        <v>-21988684.235453617</v>
      </c>
      <c r="S157">
        <f t="shared" ref="S157" si="763">R157/100000</f>
        <v>-219.88684235453616</v>
      </c>
      <c r="T157">
        <f t="shared" ref="T157" si="764">S157/1000</f>
        <v>-0.21988684235453615</v>
      </c>
    </row>
    <row r="158" spans="1:20" x14ac:dyDescent="0.25">
      <c r="A158" s="5">
        <v>44435</v>
      </c>
      <c r="B158">
        <v>10.153</v>
      </c>
      <c r="C158">
        <v>11.047000000000001</v>
      </c>
      <c r="D158">
        <v>9.6170000000000009</v>
      </c>
      <c r="E158">
        <v>10.500999999999999</v>
      </c>
      <c r="F158">
        <v>2281964.9900000002</v>
      </c>
      <c r="G158">
        <v>10.500999999999999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0.23636363636363461</v>
      </c>
      <c r="Q158">
        <f t="shared" ref="Q158" si="766">F158*P158</f>
        <v>539373.54309090518</v>
      </c>
      <c r="R158">
        <f t="shared" ref="R158" si="767">R159+Q158</f>
        <v>-24983437.855460528</v>
      </c>
      <c r="S158">
        <f t="shared" ref="S158" si="768">R158/100000</f>
        <v>-249.83437855460528</v>
      </c>
      <c r="T158">
        <f t="shared" ref="T158" si="769">S158/1000</f>
        <v>-0.24983437855460527</v>
      </c>
    </row>
    <row r="159" spans="1:20" x14ac:dyDescent="0.25">
      <c r="A159" s="5">
        <v>44434</v>
      </c>
      <c r="B159">
        <v>11.71</v>
      </c>
      <c r="C159">
        <v>13.4</v>
      </c>
      <c r="D159">
        <v>10.004</v>
      </c>
      <c r="E159">
        <v>10.167999999999999</v>
      </c>
      <c r="F159">
        <v>5455156.6100000003</v>
      </c>
      <c r="G159">
        <v>10.167999999999999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-0.90341578327444072</v>
      </c>
      <c r="Q159">
        <f t="shared" ref="Q159" si="771">F159*P159</f>
        <v>-4928274.5817078929</v>
      </c>
      <c r="R159">
        <f t="shared" ref="R159" si="772">R160+Q159</f>
        <v>-25522811.398551434</v>
      </c>
      <c r="S159">
        <f t="shared" ref="S159" si="773">R159/100000</f>
        <v>-255.22811398551434</v>
      </c>
      <c r="T159">
        <f t="shared" ref="T159" si="774">S159/1000</f>
        <v>-0.25522811398551432</v>
      </c>
    </row>
    <row r="160" spans="1:20" x14ac:dyDescent="0.25">
      <c r="A160" s="5">
        <v>44433</v>
      </c>
      <c r="B160">
        <v>8.34</v>
      </c>
      <c r="C160">
        <v>12.23</v>
      </c>
      <c r="D160">
        <v>8.08</v>
      </c>
      <c r="E160">
        <v>11.71</v>
      </c>
      <c r="F160">
        <v>4178541.39</v>
      </c>
      <c r="G160">
        <v>11.71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0.74939759036144604</v>
      </c>
      <c r="Q160">
        <f t="shared" ref="Q160" si="776">F160*P160</f>
        <v>3131388.8488915674</v>
      </c>
      <c r="R160">
        <f t="shared" ref="R160" si="777">R161+Q160</f>
        <v>-20594536.816843539</v>
      </c>
      <c r="S160">
        <f t="shared" ref="S160" si="778">R160/100000</f>
        <v>-205.94536816843541</v>
      </c>
      <c r="T160">
        <f t="shared" ref="T160" si="779">S160/1000</f>
        <v>-0.20594536816843539</v>
      </c>
    </row>
    <row r="161" spans="1:20" x14ac:dyDescent="0.25">
      <c r="A161" s="5">
        <v>44432</v>
      </c>
      <c r="B161">
        <v>9.31</v>
      </c>
      <c r="C161">
        <v>9.5500000000000007</v>
      </c>
      <c r="D161">
        <v>7.93</v>
      </c>
      <c r="E161">
        <v>8.36</v>
      </c>
      <c r="F161">
        <v>1317172.8500000001</v>
      </c>
      <c r="G161">
        <v>8.36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-0.4691358024691365</v>
      </c>
      <c r="Q161">
        <f t="shared" ref="Q161" si="781">F161*P161</f>
        <v>-617932.94197530963</v>
      </c>
      <c r="R161">
        <f t="shared" ref="R161" si="782">R162+Q161</f>
        <v>-23725925.665735107</v>
      </c>
      <c r="S161">
        <f t="shared" ref="S161" si="783">R161/100000</f>
        <v>-237.25925665735107</v>
      </c>
      <c r="T161">
        <f t="shared" ref="T161" si="784">S161/1000</f>
        <v>-0.23725925665735106</v>
      </c>
    </row>
    <row r="162" spans="1:20" x14ac:dyDescent="0.25">
      <c r="A162" s="5">
        <v>44431</v>
      </c>
      <c r="B162">
        <v>8.94</v>
      </c>
      <c r="C162">
        <v>9.8000000000000007</v>
      </c>
      <c r="D162">
        <v>8.74</v>
      </c>
      <c r="E162">
        <v>9.2899999999999991</v>
      </c>
      <c r="F162">
        <v>1474764.97</v>
      </c>
      <c r="G162">
        <v>9.2899999999999991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3.7735849056601274E-2</v>
      </c>
      <c r="Q162">
        <f t="shared" ref="Q162" si="786">F162*P162</f>
        <v>55651.508301883106</v>
      </c>
      <c r="R162">
        <f t="shared" ref="R162" si="787">R163+Q162</f>
        <v>-23107992.723759796</v>
      </c>
      <c r="S162">
        <f t="shared" ref="S162" si="788">R162/100000</f>
        <v>-231.07992723759796</v>
      </c>
      <c r="T162">
        <f t="shared" ref="T162" si="789">S162/1000</f>
        <v>-0.23107992723759796</v>
      </c>
    </row>
    <row r="163" spans="1:20" x14ac:dyDescent="0.25">
      <c r="A163" s="5">
        <v>44430</v>
      </c>
      <c r="B163">
        <v>8.23</v>
      </c>
      <c r="C163">
        <v>8.39</v>
      </c>
      <c r="D163">
        <v>8.19</v>
      </c>
      <c r="E163">
        <v>8.3699999999999992</v>
      </c>
      <c r="F163">
        <v>112290.82</v>
      </c>
      <c r="G163">
        <v>8.3699999999999992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0.79999999999998761</v>
      </c>
      <c r="Q163">
        <f t="shared" ref="Q163" si="791">F163*P163</f>
        <v>89832.65599999862</v>
      </c>
      <c r="R163">
        <f t="shared" ref="R163" si="792">R164+Q163</f>
        <v>-23163644.23206168</v>
      </c>
      <c r="S163">
        <f t="shared" ref="S163" si="793">R163/100000</f>
        <v>-231.63644232061679</v>
      </c>
      <c r="T163">
        <f t="shared" ref="T163" si="794">S163/1000</f>
        <v>-0.23163644232061678</v>
      </c>
    </row>
    <row r="164" spans="1:20" x14ac:dyDescent="0.25">
      <c r="A164" s="5">
        <v>44429</v>
      </c>
      <c r="B164">
        <v>8.32</v>
      </c>
      <c r="C164">
        <v>8.7100000000000009</v>
      </c>
      <c r="D164">
        <v>8.08</v>
      </c>
      <c r="E164">
        <v>8.2200000000000006</v>
      </c>
      <c r="F164">
        <v>704270.34</v>
      </c>
      <c r="G164">
        <v>8.2200000000000006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-0.55555555555555425</v>
      </c>
      <c r="Q164">
        <f t="shared" ref="Q164" si="796">F164*P164</f>
        <v>-391261.29999999906</v>
      </c>
      <c r="R164">
        <f t="shared" ref="R164" si="797">R165+Q164</f>
        <v>-23253476.88806168</v>
      </c>
      <c r="S164">
        <f t="shared" ref="S164" si="798">R164/100000</f>
        <v>-232.53476888061681</v>
      </c>
      <c r="T164">
        <f t="shared" ref="T164" si="799">S164/1000</f>
        <v>-0.2325347688806168</v>
      </c>
    </row>
    <row r="165" spans="1:20" x14ac:dyDescent="0.25">
      <c r="A165" s="5">
        <v>44428</v>
      </c>
      <c r="B165">
        <v>8.14</v>
      </c>
      <c r="C165">
        <v>8.58</v>
      </c>
      <c r="D165">
        <v>8.01</v>
      </c>
      <c r="E165">
        <v>8.32</v>
      </c>
      <c r="F165">
        <v>704390.95</v>
      </c>
      <c r="G165">
        <v>8.32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8.7719298245615238E-2</v>
      </c>
      <c r="Q165">
        <f t="shared" ref="Q165" si="801">F165*P165</f>
        <v>61788.679824562249</v>
      </c>
      <c r="R165">
        <f t="shared" ref="R165" si="802">R166+Q165</f>
        <v>-22862215.588061679</v>
      </c>
      <c r="S165">
        <f t="shared" ref="S165" si="803">R165/100000</f>
        <v>-228.62215588061679</v>
      </c>
      <c r="T165">
        <f t="shared" ref="T165" si="804">S165/1000</f>
        <v>-0.2286221558806168</v>
      </c>
    </row>
    <row r="166" spans="1:20" x14ac:dyDescent="0.25">
      <c r="A166" s="5">
        <v>44427</v>
      </c>
      <c r="B166">
        <v>7.61</v>
      </c>
      <c r="C166">
        <v>8.17</v>
      </c>
      <c r="D166">
        <v>7.53</v>
      </c>
      <c r="E166">
        <v>8.14</v>
      </c>
      <c r="F166">
        <v>898086.54</v>
      </c>
      <c r="G166">
        <v>8.14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0.906250000000002</v>
      </c>
      <c r="Q166">
        <f t="shared" ref="Q166" si="806">F166*P166</f>
        <v>813890.92687500187</v>
      </c>
      <c r="R166">
        <f t="shared" ref="R166" si="807">R167+Q166</f>
        <v>-22924004.26788624</v>
      </c>
      <c r="S166">
        <f t="shared" ref="S166" si="808">R166/100000</f>
        <v>-229.24004267886241</v>
      </c>
      <c r="T166">
        <f t="shared" ref="T166" si="809">S166/1000</f>
        <v>-0.22924004267886242</v>
      </c>
    </row>
    <row r="167" spans="1:20" x14ac:dyDescent="0.25">
      <c r="A167" s="5">
        <v>44426</v>
      </c>
      <c r="B167">
        <v>8.4</v>
      </c>
      <c r="C167">
        <v>8.52</v>
      </c>
      <c r="D167">
        <v>7.55</v>
      </c>
      <c r="E167">
        <v>7.61</v>
      </c>
      <c r="F167">
        <v>1365778.56</v>
      </c>
      <c r="G167">
        <v>7.61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-0.87628865979381343</v>
      </c>
      <c r="Q167">
        <f t="shared" ref="Q167" si="811">F167*P167</f>
        <v>-1196816.2639175244</v>
      </c>
      <c r="R167">
        <f t="shared" ref="R167" si="812">R168+Q167</f>
        <v>-23737895.194761243</v>
      </c>
      <c r="S167">
        <f t="shared" ref="S167" si="813">R167/100000</f>
        <v>-237.37895194761242</v>
      </c>
      <c r="T167">
        <f t="shared" ref="T167" si="814">S167/1000</f>
        <v>-0.23737895194761241</v>
      </c>
    </row>
    <row r="168" spans="1:20" x14ac:dyDescent="0.25">
      <c r="A168" s="5">
        <v>44425</v>
      </c>
      <c r="B168">
        <v>9.0500000000000007</v>
      </c>
      <c r="C168">
        <v>9.6</v>
      </c>
      <c r="D168">
        <v>8.26</v>
      </c>
      <c r="E168">
        <v>8.4</v>
      </c>
      <c r="F168">
        <v>1284237.3700000001</v>
      </c>
      <c r="G168">
        <v>8.4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-0.79104477611940216</v>
      </c>
      <c r="Q168">
        <f t="shared" ref="Q168" si="816">F168*P168</f>
        <v>-1015889.26283582</v>
      </c>
      <c r="R168">
        <f t="shared" ref="R168" si="817">R169+Q168</f>
        <v>-22541078.930843718</v>
      </c>
      <c r="S168">
        <f t="shared" ref="S168" si="818">R168/100000</f>
        <v>-225.41078930843719</v>
      </c>
      <c r="T168">
        <f t="shared" ref="T168" si="819">S168/1000</f>
        <v>-0.22541078930843719</v>
      </c>
    </row>
    <row r="169" spans="1:20" x14ac:dyDescent="0.25">
      <c r="A169" s="5">
        <v>44424</v>
      </c>
      <c r="B169">
        <v>9.2799999999999994</v>
      </c>
      <c r="C169">
        <v>9.64</v>
      </c>
      <c r="D169">
        <v>8.99</v>
      </c>
      <c r="E169">
        <v>9.0299999999999994</v>
      </c>
      <c r="F169">
        <v>1156644.92</v>
      </c>
      <c r="G169">
        <v>9.0299999999999994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-0.87692307692307958</v>
      </c>
      <c r="Q169">
        <f t="shared" ref="Q169" si="821">F169*P169</f>
        <v>-1014288.6221538491</v>
      </c>
      <c r="R169">
        <f t="shared" ref="R169" si="822">R170+Q169</f>
        <v>-21525189.668007899</v>
      </c>
      <c r="S169">
        <f t="shared" ref="S169" si="823">R169/100000</f>
        <v>-215.251896680079</v>
      </c>
      <c r="T169">
        <f t="shared" ref="T169" si="824">S169/1000</f>
        <v>-0.21525189668007899</v>
      </c>
    </row>
    <row r="170" spans="1:20" x14ac:dyDescent="0.25">
      <c r="A170" s="5">
        <v>44423</v>
      </c>
      <c r="B170">
        <v>9.1</v>
      </c>
      <c r="C170">
        <v>9.34</v>
      </c>
      <c r="D170">
        <v>8.5399999999999991</v>
      </c>
      <c r="E170">
        <v>9.26</v>
      </c>
      <c r="F170">
        <v>992084.52</v>
      </c>
      <c r="G170">
        <v>9.26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0.8</v>
      </c>
      <c r="Q170">
        <f t="shared" ref="Q170" si="826">F170*P170</f>
        <v>793667.61600000004</v>
      </c>
      <c r="R170">
        <f t="shared" ref="R170" si="827">R171+Q170</f>
        <v>-20510901.045854051</v>
      </c>
      <c r="S170">
        <f t="shared" ref="S170" si="828">R170/100000</f>
        <v>-205.1090104585405</v>
      </c>
      <c r="T170">
        <f t="shared" ref="T170" si="829">S170/1000</f>
        <v>-0.20510901045854049</v>
      </c>
    </row>
    <row r="171" spans="1:20" x14ac:dyDescent="0.25">
      <c r="A171" s="5">
        <v>44422</v>
      </c>
      <c r="B171">
        <v>8.98</v>
      </c>
      <c r="C171">
        <v>9.35</v>
      </c>
      <c r="D171">
        <v>8.69</v>
      </c>
      <c r="E171">
        <v>9.1</v>
      </c>
      <c r="F171">
        <v>1115327.3400000001</v>
      </c>
      <c r="G171">
        <v>9.1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0.2424242424242426</v>
      </c>
      <c r="Q171">
        <f t="shared" ref="Q171" si="831">F171*P171</f>
        <v>270382.38545454567</v>
      </c>
      <c r="R171">
        <f t="shared" ref="R171" si="832">R172+Q171</f>
        <v>-21304568.661854051</v>
      </c>
      <c r="S171">
        <f t="shared" ref="S171" si="833">R171/100000</f>
        <v>-213.04568661854051</v>
      </c>
      <c r="T171">
        <f t="shared" ref="T171" si="834">S171/1000</f>
        <v>-0.21304568661854051</v>
      </c>
    </row>
    <row r="172" spans="1:20" x14ac:dyDescent="0.25">
      <c r="A172" s="5">
        <v>44421</v>
      </c>
      <c r="B172">
        <v>8.52</v>
      </c>
      <c r="C172">
        <v>8.99</v>
      </c>
      <c r="D172">
        <v>8.31</v>
      </c>
      <c r="E172">
        <v>8.98</v>
      </c>
      <c r="F172">
        <v>509219.55</v>
      </c>
      <c r="G172">
        <v>8.98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0.97058823529411831</v>
      </c>
      <c r="Q172">
        <f t="shared" ref="Q172" si="836">F172*P172</f>
        <v>494242.50441176502</v>
      </c>
      <c r="R172">
        <f t="shared" ref="R172" si="837">R173+Q172</f>
        <v>-21574951.047308598</v>
      </c>
      <c r="S172">
        <f t="shared" ref="S172" si="838">R172/100000</f>
        <v>-215.74951047308599</v>
      </c>
      <c r="T172">
        <f t="shared" ref="T172" si="839">S172/1000</f>
        <v>-0.21574951047308599</v>
      </c>
    </row>
    <row r="173" spans="1:20" x14ac:dyDescent="0.25">
      <c r="A173" s="5">
        <v>44420</v>
      </c>
      <c r="B173">
        <v>8.91</v>
      </c>
      <c r="C173">
        <v>9.35</v>
      </c>
      <c r="D173">
        <v>8.1</v>
      </c>
      <c r="E173">
        <v>8.52</v>
      </c>
      <c r="F173">
        <v>935758.82</v>
      </c>
      <c r="G173">
        <v>8.52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-0.32800000000000012</v>
      </c>
      <c r="Q173">
        <f t="shared" ref="Q173" si="841">F173*P173</f>
        <v>-306928.89296000008</v>
      </c>
      <c r="R173">
        <f t="shared" ref="R173" si="842">R174+Q173</f>
        <v>-22069193.551720362</v>
      </c>
      <c r="S173">
        <f t="shared" ref="S173" si="843">R173/100000</f>
        <v>-220.69193551720363</v>
      </c>
      <c r="T173">
        <f t="shared" ref="T173" si="844">S173/1000</f>
        <v>-0.22069193551720362</v>
      </c>
    </row>
    <row r="174" spans="1:20" x14ac:dyDescent="0.25">
      <c r="A174" s="5">
        <v>44419</v>
      </c>
      <c r="B174">
        <v>8.68</v>
      </c>
      <c r="C174">
        <v>9.68</v>
      </c>
      <c r="D174">
        <v>8.6199999999999992</v>
      </c>
      <c r="E174">
        <v>8.92</v>
      </c>
      <c r="F174">
        <v>1134988.3400000001</v>
      </c>
      <c r="G174">
        <v>8.92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-0.4339622641509423</v>
      </c>
      <c r="Q174">
        <f t="shared" ref="Q174" si="846">F174*P174</f>
        <v>-492542.10981131956</v>
      </c>
      <c r="R174">
        <f t="shared" ref="R174" si="847">R175+Q174</f>
        <v>-21762264.658760361</v>
      </c>
      <c r="S174">
        <f t="shared" ref="S174" si="848">R174/100000</f>
        <v>-217.62264658760361</v>
      </c>
      <c r="T174">
        <f t="shared" ref="T174" si="849">S174/1000</f>
        <v>-0.21762264658760361</v>
      </c>
    </row>
    <row r="175" spans="1:20" x14ac:dyDescent="0.25">
      <c r="A175" s="5">
        <v>44418</v>
      </c>
      <c r="B175">
        <v>8.83</v>
      </c>
      <c r="C175">
        <v>9.0299999999999994</v>
      </c>
      <c r="D175">
        <v>8.36</v>
      </c>
      <c r="E175">
        <v>8.68</v>
      </c>
      <c r="F175">
        <v>905766.02</v>
      </c>
      <c r="G175">
        <v>8.68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-4.4776119402984128E-2</v>
      </c>
      <c r="Q175">
        <f t="shared" ref="Q175" si="851">F175*P175</f>
        <v>-40556.68746268571</v>
      </c>
      <c r="R175">
        <f t="shared" ref="R175" si="852">R176+Q175</f>
        <v>-21269722.54894904</v>
      </c>
      <c r="S175">
        <f t="shared" ref="S175" si="853">R175/100000</f>
        <v>-212.69722548949039</v>
      </c>
      <c r="T175">
        <f t="shared" ref="T175" si="854">S175/1000</f>
        <v>-0.21269722548949038</v>
      </c>
    </row>
    <row r="176" spans="1:20" x14ac:dyDescent="0.25">
      <c r="A176" s="5">
        <v>44417</v>
      </c>
      <c r="B176">
        <v>8.48</v>
      </c>
      <c r="C176">
        <v>9.15</v>
      </c>
      <c r="D176">
        <v>8.06</v>
      </c>
      <c r="E176">
        <v>8.83</v>
      </c>
      <c r="F176">
        <v>734213.92</v>
      </c>
      <c r="G176">
        <v>8.83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0.41284403669724712</v>
      </c>
      <c r="Q176">
        <f t="shared" ref="Q176" si="856">F176*P176</f>
        <v>303115.83853210969</v>
      </c>
      <c r="R176">
        <f t="shared" ref="R176" si="857">R177+Q176</f>
        <v>-21229165.861486353</v>
      </c>
      <c r="S176">
        <f t="shared" ref="S176" si="858">R176/100000</f>
        <v>-212.29165861486354</v>
      </c>
      <c r="T176">
        <f t="shared" ref="T176" si="859">S176/1000</f>
        <v>-0.21229165861486354</v>
      </c>
    </row>
    <row r="177" spans="1:20" x14ac:dyDescent="0.25">
      <c r="A177" s="5">
        <v>44416</v>
      </c>
      <c r="B177">
        <v>9.15</v>
      </c>
      <c r="C177">
        <v>9.4700000000000006</v>
      </c>
      <c r="D177">
        <v>8.3699999999999992</v>
      </c>
      <c r="E177">
        <v>8.49</v>
      </c>
      <c r="F177">
        <v>1040615.86</v>
      </c>
      <c r="G177">
        <v>8.49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-0.7818181818181803</v>
      </c>
      <c r="Q177">
        <f t="shared" ref="Q177" si="861">F177*P177</f>
        <v>-813572.3996363621</v>
      </c>
      <c r="R177">
        <f t="shared" ref="R177" si="862">R178+Q177</f>
        <v>-21532281.700018462</v>
      </c>
      <c r="S177">
        <f t="shared" ref="S177" si="863">R177/100000</f>
        <v>-215.32281700018461</v>
      </c>
      <c r="T177">
        <f t="shared" ref="T177" si="864">S177/1000</f>
        <v>-0.2153228170001846</v>
      </c>
    </row>
    <row r="178" spans="1:20" x14ac:dyDescent="0.25">
      <c r="A178" s="5">
        <v>44415</v>
      </c>
      <c r="B178">
        <v>8.83</v>
      </c>
      <c r="C178">
        <v>9.58</v>
      </c>
      <c r="D178">
        <v>8.35</v>
      </c>
      <c r="E178">
        <v>9.14</v>
      </c>
      <c r="F178">
        <v>1552099.12</v>
      </c>
      <c r="G178">
        <v>9.14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0.28455284552845633</v>
      </c>
      <c r="Q178">
        <f t="shared" ref="Q178" si="866">F178*P178</f>
        <v>441654.22113821306</v>
      </c>
      <c r="R178">
        <f t="shared" ref="R178" si="867">R179+Q178</f>
        <v>-20718709.3003821</v>
      </c>
      <c r="S178">
        <f t="shared" ref="S178" si="868">R178/100000</f>
        <v>-207.18709300382099</v>
      </c>
      <c r="T178">
        <f t="shared" ref="T178" si="869">S178/1000</f>
        <v>-0.20718709300382099</v>
      </c>
    </row>
    <row r="179" spans="1:20" x14ac:dyDescent="0.25">
      <c r="A179" s="5">
        <v>44414</v>
      </c>
      <c r="B179">
        <v>7.84</v>
      </c>
      <c r="C179">
        <v>9.15</v>
      </c>
      <c r="D179">
        <v>7.52</v>
      </c>
      <c r="E179">
        <v>8.83</v>
      </c>
      <c r="F179">
        <v>1304723.6399999999</v>
      </c>
      <c r="G179">
        <v>8.83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0.60736196319018387</v>
      </c>
      <c r="Q179">
        <f t="shared" ref="Q179" si="871">F179*P179</f>
        <v>792439.51141104265</v>
      </c>
      <c r="R179">
        <f t="shared" ref="R179" si="872">R180+Q179</f>
        <v>-21160363.521520313</v>
      </c>
      <c r="S179">
        <f t="shared" ref="S179" si="873">R179/100000</f>
        <v>-211.60363521520313</v>
      </c>
      <c r="T179">
        <f t="shared" ref="T179" si="874">S179/1000</f>
        <v>-0.21160363521520312</v>
      </c>
    </row>
    <row r="180" spans="1:20" x14ac:dyDescent="0.25">
      <c r="A180" s="5">
        <v>44413</v>
      </c>
      <c r="B180">
        <v>7.83</v>
      </c>
      <c r="C180">
        <v>8.02</v>
      </c>
      <c r="D180">
        <v>7.3</v>
      </c>
      <c r="E180">
        <v>7.83</v>
      </c>
      <c r="F180">
        <v>563609.35</v>
      </c>
      <c r="G180">
        <v>7.83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0.47222222222222343</v>
      </c>
      <c r="Q180">
        <f t="shared" ref="Q180" si="876">F180*P180</f>
        <v>266148.8597222229</v>
      </c>
      <c r="R180">
        <f t="shared" ref="R180" si="877">R181+Q180</f>
        <v>-21952803.032931354</v>
      </c>
      <c r="S180">
        <f t="shared" ref="S180" si="878">R180/100000</f>
        <v>-219.52803032931354</v>
      </c>
      <c r="T180">
        <f t="shared" ref="T180" si="879">S180/1000</f>
        <v>-0.21952803032931353</v>
      </c>
    </row>
    <row r="181" spans="1:20" x14ac:dyDescent="0.25">
      <c r="A181" s="5">
        <v>44412</v>
      </c>
      <c r="B181">
        <v>7.39</v>
      </c>
      <c r="C181">
        <v>7.98</v>
      </c>
      <c r="D181">
        <v>7.23</v>
      </c>
      <c r="E181">
        <v>7.82</v>
      </c>
      <c r="F181">
        <v>530402.76</v>
      </c>
      <c r="G181">
        <v>7.82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0.57333333333333292</v>
      </c>
      <c r="Q181">
        <f t="shared" ref="Q181" si="881">F181*P181</f>
        <v>304097.58239999978</v>
      </c>
      <c r="R181">
        <f t="shared" ref="R181" si="882">R182+Q181</f>
        <v>-22218951.892653577</v>
      </c>
      <c r="S181">
        <f t="shared" ref="S181" si="883">R181/100000</f>
        <v>-222.18951892653578</v>
      </c>
      <c r="T181">
        <f t="shared" ref="T181" si="884">S181/1000</f>
        <v>-0.2221895189265358</v>
      </c>
    </row>
    <row r="182" spans="1:20" x14ac:dyDescent="0.25">
      <c r="A182" s="5">
        <v>44411</v>
      </c>
      <c r="B182">
        <v>7.86</v>
      </c>
      <c r="C182">
        <v>8.0500000000000007</v>
      </c>
      <c r="D182">
        <v>7.21</v>
      </c>
      <c r="E182">
        <v>7.39</v>
      </c>
      <c r="F182">
        <v>713961.52</v>
      </c>
      <c r="G182">
        <v>7.39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-0.57142857142857251</v>
      </c>
      <c r="Q182">
        <f t="shared" ref="Q182" si="886">F182*P182</f>
        <v>-407978.01142857224</v>
      </c>
      <c r="R182">
        <f t="shared" ref="R182" si="887">R183+Q182</f>
        <v>-22523049.475053579</v>
      </c>
      <c r="S182">
        <f t="shared" ref="S182" si="888">R182/100000</f>
        <v>-225.2304947505358</v>
      </c>
      <c r="T182">
        <f t="shared" ref="T182" si="889">S182/1000</f>
        <v>-0.2252304947505358</v>
      </c>
    </row>
    <row r="183" spans="1:20" x14ac:dyDescent="0.25">
      <c r="A183" s="5">
        <v>44410</v>
      </c>
      <c r="B183">
        <v>8.09</v>
      </c>
      <c r="C183">
        <v>8.3800000000000008</v>
      </c>
      <c r="D183">
        <v>7.8</v>
      </c>
      <c r="E183">
        <v>7.86</v>
      </c>
      <c r="F183">
        <v>948664.99</v>
      </c>
      <c r="G183">
        <v>7.86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-0.79310344827586066</v>
      </c>
      <c r="Q183">
        <f t="shared" ref="Q183" si="891">F183*P183</f>
        <v>-752389.47482758481</v>
      </c>
      <c r="R183">
        <f t="shared" ref="R183" si="892">R184+Q183</f>
        <v>-22115071.463625006</v>
      </c>
      <c r="S183">
        <f t="shared" ref="S183" si="893">R183/100000</f>
        <v>-221.15071463625006</v>
      </c>
      <c r="T183">
        <f t="shared" ref="T183" si="894">S183/1000</f>
        <v>-0.22115071463625005</v>
      </c>
    </row>
    <row r="184" spans="1:20" x14ac:dyDescent="0.25">
      <c r="A184" s="5">
        <v>44409</v>
      </c>
      <c r="B184">
        <v>7.18</v>
      </c>
      <c r="C184">
        <v>8.86</v>
      </c>
      <c r="D184">
        <v>7.14</v>
      </c>
      <c r="E184">
        <v>8.09</v>
      </c>
      <c r="F184">
        <v>2309473.25</v>
      </c>
      <c r="G184">
        <v>8.09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0.10465116279069804</v>
      </c>
      <c r="Q184">
        <f t="shared" ref="Q184" si="896">F184*P184</f>
        <v>241689.06104651248</v>
      </c>
      <c r="R184">
        <f t="shared" ref="R184" si="897">R185+Q184</f>
        <v>-21362681.988797422</v>
      </c>
      <c r="S184">
        <f t="shared" ref="S184" si="898">R184/100000</f>
        <v>-213.62681988797422</v>
      </c>
      <c r="T184">
        <f t="shared" ref="T184" si="899">S184/1000</f>
        <v>-0.21362681988797422</v>
      </c>
    </row>
    <row r="185" spans="1:20" x14ac:dyDescent="0.25">
      <c r="A185" s="5">
        <v>44408</v>
      </c>
      <c r="B185">
        <v>6.88</v>
      </c>
      <c r="C185">
        <v>7.35</v>
      </c>
      <c r="D185">
        <v>6.58</v>
      </c>
      <c r="E185">
        <v>7.17</v>
      </c>
      <c r="F185">
        <v>1033280.25</v>
      </c>
      <c r="G185">
        <v>7.17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0.53246753246753298</v>
      </c>
      <c r="Q185">
        <f t="shared" ref="Q185" si="901">F185*P185</f>
        <v>550188.18506493559</v>
      </c>
      <c r="R185">
        <f t="shared" ref="R185" si="902">R186+Q185</f>
        <v>-21604371.049843933</v>
      </c>
      <c r="S185">
        <f t="shared" ref="S185" si="903">R185/100000</f>
        <v>-216.04371049843934</v>
      </c>
      <c r="T185">
        <f t="shared" ref="T185" si="904">S185/1000</f>
        <v>-0.21604371049843935</v>
      </c>
    </row>
    <row r="186" spans="1:20" x14ac:dyDescent="0.25">
      <c r="A186" s="5">
        <v>44407</v>
      </c>
      <c r="B186">
        <v>6.82</v>
      </c>
      <c r="C186">
        <v>7.14</v>
      </c>
      <c r="D186">
        <v>6.43</v>
      </c>
      <c r="E186">
        <v>6.87</v>
      </c>
      <c r="F186">
        <v>1034412.17</v>
      </c>
      <c r="G186">
        <v>6.87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0.23943661971831101</v>
      </c>
      <c r="Q186">
        <f t="shared" ref="Q186" si="906">F186*P186</f>
        <v>247676.15338028289</v>
      </c>
      <c r="R186">
        <f t="shared" ref="R186" si="907">R187+Q186</f>
        <v>-22154559.234908868</v>
      </c>
      <c r="S186">
        <f t="shared" ref="S186" si="908">R186/100000</f>
        <v>-221.54559234908868</v>
      </c>
      <c r="T186">
        <f t="shared" ref="T186" si="909">S186/1000</f>
        <v>-0.22154559234908869</v>
      </c>
    </row>
    <row r="187" spans="1:20" x14ac:dyDescent="0.25">
      <c r="A187" s="5">
        <v>44406</v>
      </c>
      <c r="B187">
        <v>6.69</v>
      </c>
      <c r="C187">
        <v>6.89</v>
      </c>
      <c r="D187">
        <v>6.47</v>
      </c>
      <c r="E187">
        <v>6.81</v>
      </c>
      <c r="F187">
        <v>581460.15</v>
      </c>
      <c r="G187">
        <v>6.81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0.61904761904761862</v>
      </c>
      <c r="Q187">
        <f t="shared" ref="Q187" si="911">F187*P187</f>
        <v>359951.5214285712</v>
      </c>
      <c r="R187">
        <f t="shared" ref="R187" si="912">R188+Q187</f>
        <v>-22402235.38828915</v>
      </c>
      <c r="S187">
        <f t="shared" ref="S187" si="913">R187/100000</f>
        <v>-224.02235388289151</v>
      </c>
      <c r="T187">
        <f t="shared" ref="T187" si="914">S187/1000</f>
        <v>-0.22402235388289152</v>
      </c>
    </row>
    <row r="188" spans="1:20" x14ac:dyDescent="0.25">
      <c r="A188" s="5">
        <v>44405</v>
      </c>
      <c r="B188">
        <v>6.73</v>
      </c>
      <c r="C188">
        <v>7.03</v>
      </c>
      <c r="D188">
        <v>6.5</v>
      </c>
      <c r="E188">
        <v>6.69</v>
      </c>
      <c r="F188">
        <v>580892.52</v>
      </c>
      <c r="G188">
        <v>6.69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-0.28301886792452718</v>
      </c>
      <c r="Q188">
        <f t="shared" ref="Q188" si="916">F188*P188</f>
        <v>-164403.54339622578</v>
      </c>
      <c r="R188">
        <f t="shared" ref="R188" si="917">R189+Q188</f>
        <v>-22762186.90971772</v>
      </c>
      <c r="S188">
        <f t="shared" ref="S188" si="918">R188/100000</f>
        <v>-227.62186909717721</v>
      </c>
      <c r="T188">
        <f t="shared" ref="T188" si="919">S188/1000</f>
        <v>-0.22762186909717722</v>
      </c>
    </row>
    <row r="189" spans="1:20" x14ac:dyDescent="0.25">
      <c r="A189" s="5">
        <v>44404</v>
      </c>
      <c r="B189">
        <v>6.69</v>
      </c>
      <c r="C189">
        <v>6.95</v>
      </c>
      <c r="D189">
        <v>6.28</v>
      </c>
      <c r="E189">
        <v>6.73</v>
      </c>
      <c r="F189">
        <v>1159011.57</v>
      </c>
      <c r="G189">
        <v>6.73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0.3432835820895529</v>
      </c>
      <c r="Q189">
        <f t="shared" ref="Q189" si="921">F189*P189</f>
        <v>397869.64343283663</v>
      </c>
      <c r="R189">
        <f t="shared" ref="R189" si="922">R190+Q189</f>
        <v>-22597783.366321493</v>
      </c>
      <c r="S189">
        <f t="shared" ref="S189" si="923">R189/100000</f>
        <v>-225.97783366321494</v>
      </c>
      <c r="T189">
        <f t="shared" ref="T189" si="924">S189/1000</f>
        <v>-0.22597783366321494</v>
      </c>
    </row>
    <row r="190" spans="1:20" x14ac:dyDescent="0.25">
      <c r="A190" s="5">
        <v>44403</v>
      </c>
      <c r="B190">
        <v>6.31</v>
      </c>
      <c r="C190">
        <v>7.91</v>
      </c>
      <c r="D190">
        <v>6.25</v>
      </c>
      <c r="E190">
        <v>6.7</v>
      </c>
      <c r="F190">
        <v>2201793.64</v>
      </c>
      <c r="G190">
        <v>6.7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-0.45783132530120463</v>
      </c>
      <c r="Q190">
        <f t="shared" ref="Q190" si="926">F190*P190</f>
        <v>-1008050.1002409635</v>
      </c>
      <c r="R190">
        <f t="shared" ref="R190" si="927">R191+Q190</f>
        <v>-22995653.00975433</v>
      </c>
      <c r="S190">
        <f t="shared" ref="S190" si="928">R190/100000</f>
        <v>-229.95653009754329</v>
      </c>
      <c r="T190">
        <f t="shared" ref="T190" si="929">S190/1000</f>
        <v>-0.2299565300975433</v>
      </c>
    </row>
    <row r="191" spans="1:20" x14ac:dyDescent="0.25">
      <c r="A191" s="5">
        <v>44402</v>
      </c>
      <c r="B191">
        <v>6.68</v>
      </c>
      <c r="C191">
        <v>6.75</v>
      </c>
      <c r="D191">
        <v>6.06</v>
      </c>
      <c r="E191">
        <v>6.31</v>
      </c>
      <c r="F191">
        <v>1289551.44</v>
      </c>
      <c r="G191">
        <v>6.31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-0.2753623188405801</v>
      </c>
      <c r="Q191">
        <f t="shared" ref="Q191" si="931">F191*P191</f>
        <v>-355093.87478260917</v>
      </c>
      <c r="R191">
        <f t="shared" ref="R191" si="932">R192+Q191</f>
        <v>-21987602.909513365</v>
      </c>
      <c r="S191">
        <f t="shared" ref="S191" si="933">R191/100000</f>
        <v>-219.87602909513365</v>
      </c>
      <c r="T191">
        <f t="shared" ref="T191:T197" si="934">S191/1000</f>
        <v>-0.21987602909513365</v>
      </c>
    </row>
    <row r="192" spans="1:20" x14ac:dyDescent="0.25">
      <c r="A192" s="5">
        <v>44401</v>
      </c>
      <c r="B192">
        <v>5.82</v>
      </c>
      <c r="C192">
        <v>6.73</v>
      </c>
      <c r="D192">
        <v>5.75</v>
      </c>
      <c r="E192">
        <v>6.67</v>
      </c>
      <c r="F192">
        <v>1124596.92</v>
      </c>
      <c r="G192">
        <v>6.67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0.87755102040816235</v>
      </c>
      <c r="Q192">
        <f t="shared" ref="Q192" si="936">F192*P192</f>
        <v>986891.17469387641</v>
      </c>
      <c r="R192">
        <f t="shared" ref="R192" si="937">R193+Q192</f>
        <v>-21632509.034730755</v>
      </c>
      <c r="S192">
        <f t="shared" ref="S192" si="938">R192/100000</f>
        <v>-216.32509034730754</v>
      </c>
      <c r="T192">
        <f t="shared" si="934"/>
        <v>-0.21632509034730754</v>
      </c>
    </row>
    <row r="193" spans="1:20" x14ac:dyDescent="0.25">
      <c r="A193" s="5">
        <v>44400</v>
      </c>
      <c r="B193">
        <v>5.87</v>
      </c>
      <c r="C193">
        <v>5.99</v>
      </c>
      <c r="D193">
        <v>5.46</v>
      </c>
      <c r="E193">
        <v>5.81</v>
      </c>
      <c r="F193">
        <v>600149.49</v>
      </c>
      <c r="G193">
        <v>5.81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0.32075471698113012</v>
      </c>
      <c r="Q193">
        <f t="shared" ref="Q193" si="940">F193*P193</f>
        <v>192500.77981131957</v>
      </c>
      <c r="R193">
        <f t="shared" ref="R193" si="941">R194+Q193</f>
        <v>-22619400.20942463</v>
      </c>
      <c r="S193">
        <f t="shared" ref="S193" si="942">R193/100000</f>
        <v>-226.19400209424629</v>
      </c>
      <c r="T193">
        <f t="shared" si="934"/>
        <v>-0.22619400209424628</v>
      </c>
    </row>
    <row r="194" spans="1:20" x14ac:dyDescent="0.25">
      <c r="A194" s="5">
        <v>44399</v>
      </c>
      <c r="B194">
        <v>5.9</v>
      </c>
      <c r="C194">
        <v>6.06</v>
      </c>
      <c r="D194">
        <v>5.58</v>
      </c>
      <c r="E194">
        <v>5.86</v>
      </c>
      <c r="F194">
        <v>815113.94</v>
      </c>
      <c r="G194">
        <v>5.86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0.16666666666666882</v>
      </c>
      <c r="Q194">
        <f t="shared" ref="Q194" si="944">F194*P194</f>
        <v>135852.32333333508</v>
      </c>
      <c r="R194">
        <f t="shared" ref="R194" si="945">R195+Q194</f>
        <v>-22811900.989235949</v>
      </c>
      <c r="S194">
        <f t="shared" ref="S194" si="946">R194/100000</f>
        <v>-228.11900989235949</v>
      </c>
      <c r="T194">
        <f t="shared" si="934"/>
        <v>-0.22811900989235948</v>
      </c>
    </row>
    <row r="195" spans="1:20" x14ac:dyDescent="0.25">
      <c r="A195" s="5">
        <v>44398</v>
      </c>
      <c r="B195">
        <v>5.4</v>
      </c>
      <c r="C195">
        <v>5.93</v>
      </c>
      <c r="D195">
        <v>5.21</v>
      </c>
      <c r="E195">
        <v>5.89</v>
      </c>
      <c r="F195">
        <v>1162064.51</v>
      </c>
      <c r="G195">
        <v>5.89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0.88888888888888873</v>
      </c>
      <c r="Q195">
        <f t="shared" ref="Q195" si="948">F195*P195</f>
        <v>1032946.2311111109</v>
      </c>
      <c r="R195">
        <f t="shared" ref="R195" si="949">R196+Q195</f>
        <v>-22947753.312569283</v>
      </c>
      <c r="S195">
        <f t="shared" ref="S195" si="950">R195/100000</f>
        <v>-229.47753312569282</v>
      </c>
      <c r="T195">
        <f t="shared" si="934"/>
        <v>-0.22947753312569283</v>
      </c>
    </row>
    <row r="196" spans="1:20" x14ac:dyDescent="0.25">
      <c r="A196" s="5">
        <v>44397</v>
      </c>
      <c r="B196">
        <v>5.0599999999999996</v>
      </c>
      <c r="C196">
        <v>5.58</v>
      </c>
      <c r="D196">
        <v>4.79</v>
      </c>
      <c r="E196">
        <v>5.4</v>
      </c>
      <c r="F196">
        <v>1603348.76</v>
      </c>
      <c r="G196">
        <v>5.4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0.54430379746835522</v>
      </c>
      <c r="Q196">
        <f t="shared" ref="Q196" si="952">F196*P196</f>
        <v>872708.81873417844</v>
      </c>
      <c r="R196">
        <f t="shared" ref="R196" si="953">R197+Q196</f>
        <v>-23980699.543680392</v>
      </c>
      <c r="S196">
        <f t="shared" ref="S196" si="954">R196/100000</f>
        <v>-239.80699543680393</v>
      </c>
      <c r="T196">
        <f t="shared" si="934"/>
        <v>-0.23980699543680392</v>
      </c>
    </row>
    <row r="197" spans="1:20" x14ac:dyDescent="0.25">
      <c r="A197" s="5">
        <v>44396</v>
      </c>
      <c r="B197">
        <v>5.83</v>
      </c>
      <c r="C197">
        <v>5.89</v>
      </c>
      <c r="D197">
        <v>4.97</v>
      </c>
      <c r="E197">
        <v>5.0599999999999996</v>
      </c>
      <c r="F197">
        <v>1036380.49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-0.80434782608695676</v>
      </c>
      <c r="Q197">
        <f t="shared" ref="Q197" si="956">F197*P197</f>
        <v>-833610.39413043507</v>
      </c>
      <c r="R197">
        <f t="shared" ref="R197" si="957">R198+Q197</f>
        <v>-24853408.362414572</v>
      </c>
      <c r="S197">
        <f t="shared" ref="S197" si="958">R197/100000</f>
        <v>-248.53408362414572</v>
      </c>
      <c r="T197">
        <f t="shared" si="934"/>
        <v>-0.24853408362414572</v>
      </c>
    </row>
    <row r="198" spans="1:20" x14ac:dyDescent="0.25">
      <c r="A198" s="5">
        <v>44395</v>
      </c>
      <c r="B198">
        <v>6.04</v>
      </c>
      <c r="C198">
        <v>6.84</v>
      </c>
      <c r="D198">
        <v>5.7</v>
      </c>
      <c r="E198">
        <v>5.82</v>
      </c>
      <c r="F198">
        <v>2154723.4500000002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-0.78947368421052611</v>
      </c>
      <c r="Q198">
        <f t="shared" ref="Q198:Q261" si="960">F198*P198</f>
        <v>-1701097.4605263155</v>
      </c>
      <c r="R198">
        <f t="shared" ref="R198:R261" si="961">R199+Q198</f>
        <v>-24019797.968284138</v>
      </c>
      <c r="S198">
        <f t="shared" ref="S198:S261" si="962">R198/100000</f>
        <v>-240.19797968284138</v>
      </c>
      <c r="T198">
        <f t="shared" ref="T198:T261" si="963">S198/1000</f>
        <v>-0.24019797968284137</v>
      </c>
    </row>
    <row r="199" spans="1:20" x14ac:dyDescent="0.25">
      <c r="A199" s="5">
        <v>44394</v>
      </c>
      <c r="B199">
        <v>5.04</v>
      </c>
      <c r="C199">
        <v>6.22</v>
      </c>
      <c r="D199">
        <v>4.82</v>
      </c>
      <c r="E199">
        <v>6.04</v>
      </c>
      <c r="F199">
        <v>1645627.27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0.74285714285714322</v>
      </c>
      <c r="Q199">
        <f t="shared" si="960"/>
        <v>1222465.9720000005</v>
      </c>
      <c r="R199">
        <f t="shared" si="961"/>
        <v>-22318700.50775782</v>
      </c>
      <c r="S199">
        <f t="shared" si="962"/>
        <v>-223.18700507757819</v>
      </c>
      <c r="T199">
        <f t="shared" si="963"/>
        <v>-0.22318700507757819</v>
      </c>
    </row>
    <row r="200" spans="1:20" x14ac:dyDescent="0.25">
      <c r="A200" s="5">
        <v>44393</v>
      </c>
      <c r="B200">
        <v>5.4</v>
      </c>
      <c r="C200">
        <v>5.57</v>
      </c>
      <c r="D200">
        <v>5.0199999999999996</v>
      </c>
      <c r="E200">
        <v>5.05</v>
      </c>
      <c r="F200">
        <v>399214.55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-0.8909090909090901</v>
      </c>
      <c r="Q200">
        <f t="shared" si="960"/>
        <v>-355663.87181818148</v>
      </c>
      <c r="R200">
        <f t="shared" si="961"/>
        <v>-23541166.479757819</v>
      </c>
      <c r="S200">
        <f t="shared" si="962"/>
        <v>-235.4116647975782</v>
      </c>
      <c r="T200">
        <f t="shared" si="963"/>
        <v>-0.23541166479757819</v>
      </c>
    </row>
    <row r="201" spans="1:20" x14ac:dyDescent="0.25">
      <c r="A201" s="5">
        <v>44392</v>
      </c>
      <c r="B201">
        <v>5.75</v>
      </c>
      <c r="C201">
        <v>5.97</v>
      </c>
      <c r="D201">
        <v>5.21</v>
      </c>
      <c r="E201">
        <v>5.4</v>
      </c>
      <c r="F201">
        <v>851671.01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-0.49999999999999883</v>
      </c>
      <c r="Q201">
        <f t="shared" si="960"/>
        <v>-425835.50499999902</v>
      </c>
      <c r="R201">
        <f t="shared" si="961"/>
        <v>-23185502.607939638</v>
      </c>
      <c r="S201">
        <f t="shared" si="962"/>
        <v>-231.8550260793964</v>
      </c>
      <c r="T201">
        <f t="shared" si="963"/>
        <v>-0.2318550260793964</v>
      </c>
    </row>
    <row r="202" spans="1:20" x14ac:dyDescent="0.25">
      <c r="A202" s="5">
        <v>44391</v>
      </c>
      <c r="B202">
        <v>5.75</v>
      </c>
      <c r="C202">
        <v>5.98</v>
      </c>
      <c r="D202">
        <v>5.34</v>
      </c>
      <c r="E202">
        <v>5.75</v>
      </c>
      <c r="F202">
        <v>522126.67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0.28124999999999933</v>
      </c>
      <c r="Q202">
        <f t="shared" si="960"/>
        <v>146848.12593749966</v>
      </c>
      <c r="R202">
        <f t="shared" si="961"/>
        <v>-22759667.102939639</v>
      </c>
      <c r="S202">
        <f t="shared" si="962"/>
        <v>-227.59667102939639</v>
      </c>
      <c r="T202">
        <f t="shared" si="963"/>
        <v>-0.2275966710293964</v>
      </c>
    </row>
    <row r="203" spans="1:20" x14ac:dyDescent="0.25">
      <c r="A203" s="5">
        <v>44390</v>
      </c>
      <c r="B203">
        <v>6.1</v>
      </c>
      <c r="C203">
        <v>6.26</v>
      </c>
      <c r="D203">
        <v>5.56</v>
      </c>
      <c r="E203">
        <v>5.75</v>
      </c>
      <c r="F203">
        <v>714078.56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-0.45714285714285618</v>
      </c>
      <c r="Q203">
        <f t="shared" si="960"/>
        <v>-326435.9131428565</v>
      </c>
      <c r="R203">
        <f t="shared" si="961"/>
        <v>-22906515.228877138</v>
      </c>
      <c r="S203">
        <f t="shared" si="962"/>
        <v>-229.06515228877137</v>
      </c>
      <c r="T203">
        <f t="shared" si="963"/>
        <v>-0.22906515228877136</v>
      </c>
    </row>
    <row r="204" spans="1:20" x14ac:dyDescent="0.25">
      <c r="A204" s="5">
        <v>44389</v>
      </c>
      <c r="B204">
        <v>6.35</v>
      </c>
      <c r="C204">
        <v>6.45</v>
      </c>
      <c r="D204">
        <v>5.86</v>
      </c>
      <c r="E204">
        <v>6.12</v>
      </c>
      <c r="F204">
        <v>322382.90999999997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-0.11864406779661069</v>
      </c>
      <c r="Q204">
        <f t="shared" si="960"/>
        <v>-38248.819830508641</v>
      </c>
      <c r="R204">
        <f t="shared" si="961"/>
        <v>-22580079.315734282</v>
      </c>
      <c r="S204">
        <f t="shared" si="962"/>
        <v>-225.80079315734281</v>
      </c>
      <c r="T204">
        <f t="shared" si="963"/>
        <v>-0.22580079315734281</v>
      </c>
    </row>
    <row r="205" spans="1:20" x14ac:dyDescent="0.25">
      <c r="A205" s="5">
        <v>44388</v>
      </c>
      <c r="B205">
        <v>6.32</v>
      </c>
      <c r="C205">
        <v>6.53</v>
      </c>
      <c r="D205">
        <v>6.27</v>
      </c>
      <c r="E205">
        <v>6.36</v>
      </c>
      <c r="F205">
        <v>258364.03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-0.30769230769230377</v>
      </c>
      <c r="Q205">
        <f t="shared" si="960"/>
        <v>-79496.624615383596</v>
      </c>
      <c r="R205">
        <f t="shared" si="961"/>
        <v>-22541830.495903775</v>
      </c>
      <c r="S205">
        <f t="shared" si="962"/>
        <v>-225.41830495903775</v>
      </c>
      <c r="T205">
        <f t="shared" si="963"/>
        <v>-0.22541830495903775</v>
      </c>
    </row>
    <row r="206" spans="1:20" x14ac:dyDescent="0.25">
      <c r="A206" s="5">
        <v>44387</v>
      </c>
      <c r="B206">
        <v>6.48</v>
      </c>
      <c r="C206">
        <v>6.75</v>
      </c>
      <c r="D206">
        <v>6.14</v>
      </c>
      <c r="E206">
        <v>6.31</v>
      </c>
      <c r="F206">
        <v>570244.43000000005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-0.44262295081967268</v>
      </c>
      <c r="Q206">
        <f t="shared" si="960"/>
        <v>-252403.27229508231</v>
      </c>
      <c r="R206">
        <f t="shared" si="961"/>
        <v>-22462333.871288393</v>
      </c>
      <c r="S206">
        <f t="shared" si="962"/>
        <v>-224.62333871288394</v>
      </c>
      <c r="T206">
        <f t="shared" si="963"/>
        <v>-0.22462333871288392</v>
      </c>
    </row>
    <row r="207" spans="1:20" x14ac:dyDescent="0.25">
      <c r="A207" s="5">
        <v>44386</v>
      </c>
      <c r="B207">
        <v>6.49</v>
      </c>
      <c r="C207">
        <v>6.7</v>
      </c>
      <c r="D207">
        <v>6.16</v>
      </c>
      <c r="E207">
        <v>6.47</v>
      </c>
      <c r="F207">
        <v>603561.65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0.14814814814814661</v>
      </c>
      <c r="Q207">
        <f t="shared" si="960"/>
        <v>89416.540740739816</v>
      </c>
      <c r="R207">
        <f t="shared" si="961"/>
        <v>-22209930.598993309</v>
      </c>
      <c r="S207">
        <f t="shared" si="962"/>
        <v>-222.0993059899331</v>
      </c>
      <c r="T207">
        <f t="shared" si="963"/>
        <v>-0.2220993059899331</v>
      </c>
    </row>
    <row r="208" spans="1:20" x14ac:dyDescent="0.25">
      <c r="A208" s="5">
        <v>44385</v>
      </c>
      <c r="B208">
        <v>6.97</v>
      </c>
      <c r="C208">
        <v>7</v>
      </c>
      <c r="D208">
        <v>6.2</v>
      </c>
      <c r="E208">
        <v>6.51</v>
      </c>
      <c r="F208">
        <v>753029.39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-0.22500000000000081</v>
      </c>
      <c r="Q208">
        <f t="shared" si="960"/>
        <v>-169431.61275000061</v>
      </c>
      <c r="R208">
        <f t="shared" si="961"/>
        <v>-22299347.139734048</v>
      </c>
      <c r="S208">
        <f t="shared" si="962"/>
        <v>-222.99347139734047</v>
      </c>
      <c r="T208">
        <f t="shared" si="963"/>
        <v>-0.22299347139734046</v>
      </c>
    </row>
    <row r="209" spans="1:20" x14ac:dyDescent="0.25">
      <c r="A209" s="5">
        <v>44384</v>
      </c>
      <c r="B209">
        <v>7.13</v>
      </c>
      <c r="C209">
        <v>7.46</v>
      </c>
      <c r="D209">
        <v>6.91</v>
      </c>
      <c r="E209">
        <v>7</v>
      </c>
      <c r="F209">
        <v>703706.84</v>
      </c>
      <c r="G209">
        <v>0</v>
      </c>
      <c r="L209" t="s">
        <v>7</v>
      </c>
      <c r="M209" t="s">
        <v>7</v>
      </c>
      <c r="N209" t="s">
        <v>7</v>
      </c>
      <c r="P209">
        <f t="shared" si="959"/>
        <v>-0.67272727272727317</v>
      </c>
      <c r="Q209">
        <f t="shared" si="960"/>
        <v>-473402.78327272757</v>
      </c>
      <c r="R209">
        <f t="shared" si="961"/>
        <v>-22129915.526984047</v>
      </c>
      <c r="S209">
        <f t="shared" si="962"/>
        <v>-221.29915526984047</v>
      </c>
      <c r="T209">
        <f t="shared" si="963"/>
        <v>-0.22129915526984048</v>
      </c>
    </row>
    <row r="210" spans="1:20" x14ac:dyDescent="0.25">
      <c r="A210" s="5">
        <v>44383</v>
      </c>
      <c r="B210">
        <v>6.84</v>
      </c>
      <c r="C210">
        <v>7.46</v>
      </c>
      <c r="D210">
        <v>6.83</v>
      </c>
      <c r="E210">
        <v>7.13</v>
      </c>
      <c r="F210">
        <v>844664.4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-4.7619047619048019E-2</v>
      </c>
      <c r="Q210">
        <f t="shared" si="960"/>
        <v>-40222.114285714626</v>
      </c>
      <c r="R210">
        <f t="shared" si="961"/>
        <v>-21656512.743711319</v>
      </c>
      <c r="S210">
        <f t="shared" si="962"/>
        <v>-216.56512743711318</v>
      </c>
      <c r="T210">
        <f t="shared" si="963"/>
        <v>-0.21656512743711318</v>
      </c>
    </row>
    <row r="211" spans="1:20" x14ac:dyDescent="0.25">
      <c r="A211" s="5">
        <v>44382</v>
      </c>
      <c r="B211">
        <v>7.22</v>
      </c>
      <c r="C211">
        <v>7.29</v>
      </c>
      <c r="D211">
        <v>6.61</v>
      </c>
      <c r="E211">
        <v>6.82</v>
      </c>
      <c r="F211">
        <v>921379.55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-0.38235294117647045</v>
      </c>
      <c r="Q211">
        <f t="shared" si="960"/>
        <v>-352292.18088235281</v>
      </c>
      <c r="R211">
        <f t="shared" si="961"/>
        <v>-21616290.629425604</v>
      </c>
      <c r="S211">
        <f t="shared" si="962"/>
        <v>-216.16290629425603</v>
      </c>
      <c r="T211">
        <f t="shared" si="963"/>
        <v>-0.21616290629425602</v>
      </c>
    </row>
    <row r="212" spans="1:20" x14ac:dyDescent="0.25">
      <c r="A212" s="5">
        <v>44381</v>
      </c>
      <c r="B212">
        <v>7.36</v>
      </c>
      <c r="C212">
        <v>7.8</v>
      </c>
      <c r="D212">
        <v>6.96</v>
      </c>
      <c r="E212">
        <v>7.23</v>
      </c>
      <c r="F212">
        <v>717849.7</v>
      </c>
      <c r="G212">
        <v>0</v>
      </c>
      <c r="L212" t="s">
        <v>7</v>
      </c>
      <c r="M212" t="s">
        <v>8</v>
      </c>
      <c r="N212" t="s">
        <v>7</v>
      </c>
      <c r="P212">
        <f t="shared" si="959"/>
        <v>-0.35714285714285593</v>
      </c>
      <c r="Q212">
        <f t="shared" si="960"/>
        <v>-256374.89285714197</v>
      </c>
      <c r="R212">
        <f t="shared" si="961"/>
        <v>-21263998.448543251</v>
      </c>
      <c r="S212">
        <f t="shared" si="962"/>
        <v>-212.63998448543251</v>
      </c>
      <c r="T212">
        <f t="shared" si="963"/>
        <v>-0.2126399844854325</v>
      </c>
    </row>
    <row r="213" spans="1:20" x14ac:dyDescent="0.25">
      <c r="A213" s="5">
        <v>44380</v>
      </c>
      <c r="B213">
        <v>6.84</v>
      </c>
      <c r="C213">
        <v>7.9</v>
      </c>
      <c r="D213">
        <v>6.7</v>
      </c>
      <c r="E213">
        <v>7.36</v>
      </c>
      <c r="F213">
        <v>1166624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0.10000000000000007</v>
      </c>
      <c r="Q213">
        <f t="shared" si="960"/>
        <v>116662.40000000008</v>
      </c>
      <c r="R213">
        <f t="shared" si="961"/>
        <v>-21007623.555686109</v>
      </c>
      <c r="S213">
        <f t="shared" si="962"/>
        <v>-210.07623555686109</v>
      </c>
      <c r="T213">
        <f t="shared" si="963"/>
        <v>-0.21007623555686109</v>
      </c>
    </row>
    <row r="214" spans="1:20" x14ac:dyDescent="0.25">
      <c r="A214" s="5">
        <v>44379</v>
      </c>
      <c r="B214">
        <v>7.05</v>
      </c>
      <c r="C214">
        <v>7.36</v>
      </c>
      <c r="D214">
        <v>6.41</v>
      </c>
      <c r="E214">
        <v>6.87</v>
      </c>
      <c r="F214">
        <v>886583.44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-3.157894736842131E-2</v>
      </c>
      <c r="Q214">
        <f t="shared" si="960"/>
        <v>-27997.371789473909</v>
      </c>
      <c r="R214">
        <f t="shared" si="961"/>
        <v>-21124285.955686107</v>
      </c>
      <c r="S214">
        <f t="shared" si="962"/>
        <v>-211.24285955686108</v>
      </c>
      <c r="T214">
        <f t="shared" si="963"/>
        <v>-0.21124285955686109</v>
      </c>
    </row>
    <row r="215" spans="1:20" x14ac:dyDescent="0.25">
      <c r="A215" s="5">
        <v>44378</v>
      </c>
      <c r="B215">
        <v>7.76</v>
      </c>
      <c r="C215">
        <v>7.79</v>
      </c>
      <c r="D215">
        <v>6.68</v>
      </c>
      <c r="E215">
        <v>7.05</v>
      </c>
      <c r="F215">
        <v>1340832.6399999999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-0.33333333333333331</v>
      </c>
      <c r="Q215">
        <f t="shared" si="960"/>
        <v>-446944.21333333326</v>
      </c>
      <c r="R215">
        <f t="shared" si="961"/>
        <v>-21096288.583896633</v>
      </c>
      <c r="S215">
        <f t="shared" si="962"/>
        <v>-210.96288583896634</v>
      </c>
      <c r="T215">
        <f t="shared" si="963"/>
        <v>-0.21096288583896633</v>
      </c>
    </row>
    <row r="216" spans="1:20" x14ac:dyDescent="0.25">
      <c r="A216" s="5">
        <v>44377</v>
      </c>
      <c r="B216">
        <v>8.48</v>
      </c>
      <c r="C216">
        <v>8.8000000000000007</v>
      </c>
      <c r="D216">
        <v>7.19</v>
      </c>
      <c r="E216">
        <v>7.74</v>
      </c>
      <c r="F216">
        <v>1444834.34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-0.3167701863354041</v>
      </c>
      <c r="Q216">
        <f t="shared" si="960"/>
        <v>-457680.44310559065</v>
      </c>
      <c r="R216">
        <f t="shared" si="961"/>
        <v>-20649344.370563298</v>
      </c>
      <c r="S216">
        <f t="shared" si="962"/>
        <v>-206.49344370563298</v>
      </c>
      <c r="T216">
        <f t="shared" si="963"/>
        <v>-0.206493443705633</v>
      </c>
    </row>
    <row r="217" spans="1:20" x14ac:dyDescent="0.25">
      <c r="A217" s="5">
        <v>44376</v>
      </c>
      <c r="B217">
        <v>7.45</v>
      </c>
      <c r="C217">
        <v>9.02</v>
      </c>
      <c r="D217">
        <v>7.36</v>
      </c>
      <c r="E217">
        <v>8.49</v>
      </c>
      <c r="F217">
        <v>1975602.63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0.36144578313253062</v>
      </c>
      <c r="Q217">
        <f t="shared" si="960"/>
        <v>714073.23975903704</v>
      </c>
      <c r="R217">
        <f t="shared" si="961"/>
        <v>-20191663.927457709</v>
      </c>
      <c r="S217">
        <f t="shared" si="962"/>
        <v>-201.91663927457708</v>
      </c>
      <c r="T217">
        <f t="shared" si="963"/>
        <v>-0.20191663927457709</v>
      </c>
    </row>
    <row r="218" spans="1:20" x14ac:dyDescent="0.25">
      <c r="A218" s="5">
        <v>44375</v>
      </c>
      <c r="B218">
        <v>7.2</v>
      </c>
      <c r="C218">
        <v>8.59</v>
      </c>
      <c r="D218">
        <v>7.13</v>
      </c>
      <c r="E218">
        <v>7.45</v>
      </c>
      <c r="F218">
        <v>3638112.95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-0.56164383561643794</v>
      </c>
      <c r="Q218">
        <f t="shared" si="960"/>
        <v>-2043323.7116438341</v>
      </c>
      <c r="R218">
        <f t="shared" si="961"/>
        <v>-20905737.167216744</v>
      </c>
      <c r="S218">
        <f t="shared" si="962"/>
        <v>-209.05737167216745</v>
      </c>
      <c r="T218">
        <f t="shared" si="963"/>
        <v>-0.20905737167216745</v>
      </c>
    </row>
    <row r="219" spans="1:20" x14ac:dyDescent="0.25">
      <c r="A219" s="5">
        <v>44374</v>
      </c>
      <c r="B219">
        <v>5.82</v>
      </c>
      <c r="C219">
        <v>7.61</v>
      </c>
      <c r="D219">
        <v>5.58</v>
      </c>
      <c r="E219">
        <v>7.2</v>
      </c>
      <c r="F219">
        <v>2255156.4900000002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0.59605911330049255</v>
      </c>
      <c r="Q219">
        <f t="shared" si="960"/>
        <v>1344206.5777832512</v>
      </c>
      <c r="R219">
        <f t="shared" si="961"/>
        <v>-18862413.455572911</v>
      </c>
      <c r="S219">
        <f t="shared" si="962"/>
        <v>-188.62413455572911</v>
      </c>
      <c r="T219">
        <f t="shared" si="963"/>
        <v>-0.1886241345557291</v>
      </c>
    </row>
    <row r="220" spans="1:20" x14ac:dyDescent="0.25">
      <c r="A220" s="5">
        <v>44373</v>
      </c>
      <c r="B220">
        <v>5.72</v>
      </c>
      <c r="C220">
        <v>6.2</v>
      </c>
      <c r="D220">
        <v>5.29</v>
      </c>
      <c r="E220">
        <v>5.8</v>
      </c>
      <c r="F220">
        <v>861984.23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0.12087912087912024</v>
      </c>
      <c r="Q220">
        <f t="shared" si="960"/>
        <v>104195.89593406538</v>
      </c>
      <c r="R220">
        <f t="shared" si="961"/>
        <v>-20206620.033356164</v>
      </c>
      <c r="S220">
        <f t="shared" si="962"/>
        <v>-202.06620033356162</v>
      </c>
      <c r="T220">
        <f t="shared" si="963"/>
        <v>-0.20206620033356162</v>
      </c>
    </row>
    <row r="221" spans="1:20" x14ac:dyDescent="0.25">
      <c r="A221" s="5">
        <v>44372</v>
      </c>
      <c r="B221">
        <v>5.7</v>
      </c>
      <c r="C221">
        <v>6.8</v>
      </c>
      <c r="D221">
        <v>5.57</v>
      </c>
      <c r="E221">
        <v>5.74</v>
      </c>
      <c r="F221">
        <v>1658987.19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-0.72357723577235777</v>
      </c>
      <c r="Q221">
        <f t="shared" si="960"/>
        <v>-1200405.3651219513</v>
      </c>
      <c r="R221">
        <f t="shared" si="961"/>
        <v>-20310815.929290228</v>
      </c>
      <c r="S221">
        <f t="shared" si="962"/>
        <v>-203.10815929290229</v>
      </c>
      <c r="T221">
        <f t="shared" si="963"/>
        <v>-0.2031081592929023</v>
      </c>
    </row>
    <row r="222" spans="1:20" x14ac:dyDescent="0.25">
      <c r="A222" s="5">
        <v>44371</v>
      </c>
      <c r="B222">
        <v>5.73</v>
      </c>
      <c r="C222">
        <v>6.12</v>
      </c>
      <c r="D222">
        <v>5.26</v>
      </c>
      <c r="E222">
        <v>5.7</v>
      </c>
      <c r="F222">
        <v>868629.99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2.3255813953488899E-2</v>
      </c>
      <c r="Q222">
        <f t="shared" si="960"/>
        <v>20200.697441860924</v>
      </c>
      <c r="R222">
        <f t="shared" si="961"/>
        <v>-19110410.564168274</v>
      </c>
      <c r="S222">
        <f t="shared" si="962"/>
        <v>-191.10410564168274</v>
      </c>
      <c r="T222">
        <f t="shared" si="963"/>
        <v>-0.19110410564168273</v>
      </c>
    </row>
    <row r="223" spans="1:20" x14ac:dyDescent="0.25">
      <c r="A223" s="5">
        <v>44370</v>
      </c>
      <c r="B223">
        <v>5.24</v>
      </c>
      <c r="C223">
        <v>6.29</v>
      </c>
      <c r="D223">
        <v>5.09</v>
      </c>
      <c r="E223">
        <v>5.73</v>
      </c>
      <c r="F223">
        <v>1130490.53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6.6666666666667457E-2</v>
      </c>
      <c r="Q223">
        <f t="shared" si="960"/>
        <v>75366.035333334235</v>
      </c>
      <c r="R223">
        <f t="shared" si="961"/>
        <v>-19130611.261610135</v>
      </c>
      <c r="S223">
        <f t="shared" si="962"/>
        <v>-191.30611261610136</v>
      </c>
      <c r="T223">
        <f t="shared" si="963"/>
        <v>-0.19130611261610136</v>
      </c>
    </row>
    <row r="224" spans="1:20" x14ac:dyDescent="0.25">
      <c r="A224" s="5">
        <v>44369</v>
      </c>
      <c r="B224">
        <v>5.53</v>
      </c>
      <c r="C224">
        <v>6.17</v>
      </c>
      <c r="D224">
        <v>4.62</v>
      </c>
      <c r="E224">
        <v>5.25</v>
      </c>
      <c r="F224">
        <v>1597056.11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-0.18709677419354842</v>
      </c>
      <c r="Q224">
        <f t="shared" si="960"/>
        <v>-298804.04638709687</v>
      </c>
      <c r="R224">
        <f t="shared" si="961"/>
        <v>-19205977.296943471</v>
      </c>
      <c r="S224">
        <f t="shared" si="962"/>
        <v>-192.0597729694347</v>
      </c>
      <c r="T224">
        <f t="shared" si="963"/>
        <v>-0.19205977296943472</v>
      </c>
    </row>
    <row r="225" spans="1:20" x14ac:dyDescent="0.25">
      <c r="A225" s="5">
        <v>44368</v>
      </c>
      <c r="B225">
        <v>7.45</v>
      </c>
      <c r="C225">
        <v>7.68</v>
      </c>
      <c r="D225">
        <v>5.4</v>
      </c>
      <c r="E225">
        <v>5.53</v>
      </c>
      <c r="F225">
        <v>1826273.79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-0.88596491228070184</v>
      </c>
      <c r="Q225">
        <f t="shared" si="960"/>
        <v>-1618014.4981578949</v>
      </c>
      <c r="R225">
        <f t="shared" si="961"/>
        <v>-18907173.250556372</v>
      </c>
      <c r="S225">
        <f t="shared" si="962"/>
        <v>-189.07173250556372</v>
      </c>
      <c r="T225">
        <f t="shared" si="963"/>
        <v>-0.18907173250556372</v>
      </c>
    </row>
    <row r="226" spans="1:20" x14ac:dyDescent="0.25">
      <c r="A226" s="5">
        <v>44367</v>
      </c>
      <c r="B226">
        <v>7.98</v>
      </c>
      <c r="C226">
        <v>8.1199999999999992</v>
      </c>
      <c r="D226">
        <v>6.69</v>
      </c>
      <c r="E226">
        <v>7.45</v>
      </c>
      <c r="F226">
        <v>1317191.79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6.2937062937063512E-2</v>
      </c>
      <c r="Q226">
        <f t="shared" si="960"/>
        <v>82900.18258741335</v>
      </c>
      <c r="R226">
        <f t="shared" si="961"/>
        <v>-17289158.752398476</v>
      </c>
      <c r="S226">
        <f t="shared" si="962"/>
        <v>-172.89158752398475</v>
      </c>
      <c r="T226">
        <f t="shared" si="963"/>
        <v>-0.17289158752398476</v>
      </c>
    </row>
    <row r="227" spans="1:20" x14ac:dyDescent="0.25">
      <c r="A227" s="5">
        <v>44366</v>
      </c>
      <c r="B227">
        <v>7.99</v>
      </c>
      <c r="C227">
        <v>8.4</v>
      </c>
      <c r="D227">
        <v>7.82</v>
      </c>
      <c r="E227">
        <v>7.97</v>
      </c>
      <c r="F227">
        <v>830724.77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-0.48275862068965708</v>
      </c>
      <c r="Q227">
        <f t="shared" si="960"/>
        <v>-401039.54413793265</v>
      </c>
      <c r="R227">
        <f t="shared" si="961"/>
        <v>-17372058.934985891</v>
      </c>
      <c r="S227">
        <f t="shared" si="962"/>
        <v>-173.7205893498589</v>
      </c>
      <c r="T227">
        <f t="shared" si="963"/>
        <v>-0.1737205893498589</v>
      </c>
    </row>
    <row r="228" spans="1:20" x14ac:dyDescent="0.25">
      <c r="A228" s="5">
        <v>44365</v>
      </c>
      <c r="B228">
        <v>8.44</v>
      </c>
      <c r="C228">
        <v>8.9</v>
      </c>
      <c r="D228">
        <v>7.61</v>
      </c>
      <c r="E228">
        <v>7.97</v>
      </c>
      <c r="F228">
        <v>1929344.08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-0.44186046511627997</v>
      </c>
      <c r="Q228">
        <f t="shared" si="960"/>
        <v>-852500.87255814124</v>
      </c>
      <c r="R228">
        <f t="shared" si="961"/>
        <v>-16971019.390847959</v>
      </c>
      <c r="S228">
        <f t="shared" si="962"/>
        <v>-169.7101939084796</v>
      </c>
      <c r="T228">
        <f t="shared" si="963"/>
        <v>-0.16971019390847961</v>
      </c>
    </row>
    <row r="229" spans="1:20" x14ac:dyDescent="0.25">
      <c r="A229" s="5">
        <v>44364</v>
      </c>
      <c r="B229">
        <v>9.2100000000000009</v>
      </c>
      <c r="C229">
        <v>9.7200000000000006</v>
      </c>
      <c r="D229">
        <v>8.24</v>
      </c>
      <c r="E229">
        <v>8.43</v>
      </c>
      <c r="F229">
        <v>931958.7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-0.74324324324324398</v>
      </c>
      <c r="Q229">
        <f t="shared" si="960"/>
        <v>-692672.00675675739</v>
      </c>
      <c r="R229">
        <f t="shared" si="961"/>
        <v>-16118518.518289816</v>
      </c>
      <c r="S229">
        <f t="shared" si="962"/>
        <v>-161.18518518289815</v>
      </c>
      <c r="T229">
        <f t="shared" si="963"/>
        <v>-0.16118518518289815</v>
      </c>
    </row>
    <row r="230" spans="1:20" x14ac:dyDescent="0.25">
      <c r="A230" s="5">
        <v>44363</v>
      </c>
      <c r="B230">
        <v>10.7</v>
      </c>
      <c r="C230">
        <v>11.2</v>
      </c>
      <c r="D230">
        <v>8.9600000000000009</v>
      </c>
      <c r="E230">
        <v>9.19</v>
      </c>
      <c r="F230">
        <v>1381029.17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-0.79464285714285821</v>
      </c>
      <c r="Q230">
        <f t="shared" si="960"/>
        <v>-1097424.96544643</v>
      </c>
      <c r="R230">
        <f t="shared" si="961"/>
        <v>-15425846.511533057</v>
      </c>
      <c r="S230">
        <f t="shared" si="962"/>
        <v>-154.25846511533058</v>
      </c>
      <c r="T230">
        <f t="shared" si="963"/>
        <v>-0.15425846511533059</v>
      </c>
    </row>
    <row r="231" spans="1:20" x14ac:dyDescent="0.25">
      <c r="A231" s="5">
        <v>44362</v>
      </c>
      <c r="B231">
        <v>10.38</v>
      </c>
      <c r="C231">
        <v>11.11</v>
      </c>
      <c r="D231">
        <v>10.210000000000001</v>
      </c>
      <c r="E231">
        <v>10.73</v>
      </c>
      <c r="F231">
        <v>1093578.02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0.15555555555555645</v>
      </c>
      <c r="Q231">
        <f t="shared" si="960"/>
        <v>170112.13644444541</v>
      </c>
      <c r="R231">
        <f t="shared" si="961"/>
        <v>-14328421.546086628</v>
      </c>
      <c r="S231">
        <f t="shared" si="962"/>
        <v>-143.28421546086628</v>
      </c>
      <c r="T231">
        <f t="shared" si="963"/>
        <v>-0.14328421546086628</v>
      </c>
    </row>
    <row r="232" spans="1:20" x14ac:dyDescent="0.25">
      <c r="A232" s="5">
        <v>44361</v>
      </c>
      <c r="B232">
        <v>10.46</v>
      </c>
      <c r="C232">
        <v>12</v>
      </c>
      <c r="D232">
        <v>10</v>
      </c>
      <c r="E232">
        <v>10.4</v>
      </c>
      <c r="F232">
        <v>2088772.9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-0.59999999999999964</v>
      </c>
      <c r="Q232">
        <f t="shared" si="960"/>
        <v>-1253263.7399999993</v>
      </c>
      <c r="R232">
        <f t="shared" si="961"/>
        <v>-14498533.682531074</v>
      </c>
      <c r="S232">
        <f t="shared" si="962"/>
        <v>-144.98533682531072</v>
      </c>
      <c r="T232">
        <f t="shared" si="963"/>
        <v>-0.14498533682531073</v>
      </c>
    </row>
    <row r="233" spans="1:20" x14ac:dyDescent="0.25">
      <c r="A233" s="5">
        <v>44360</v>
      </c>
      <c r="B233">
        <v>11.22</v>
      </c>
      <c r="C233">
        <v>11.3</v>
      </c>
      <c r="D233">
        <v>9.5399999999999991</v>
      </c>
      <c r="E233">
        <v>10.48</v>
      </c>
      <c r="F233">
        <v>2158172.41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6.818181818181869E-2</v>
      </c>
      <c r="Q233">
        <f t="shared" si="960"/>
        <v>147148.11886363747</v>
      </c>
      <c r="R233">
        <f t="shared" si="961"/>
        <v>-13245269.942531075</v>
      </c>
      <c r="S233">
        <f t="shared" si="962"/>
        <v>-132.45269942531075</v>
      </c>
      <c r="T233">
        <f t="shared" si="963"/>
        <v>-0.13245269942531077</v>
      </c>
    </row>
    <row r="234" spans="1:20" x14ac:dyDescent="0.25">
      <c r="A234" s="5">
        <v>44359</v>
      </c>
      <c r="B234">
        <v>11.99</v>
      </c>
      <c r="C234">
        <v>12.25</v>
      </c>
      <c r="D234">
        <v>10.6</v>
      </c>
      <c r="E234">
        <v>11.21</v>
      </c>
      <c r="F234">
        <v>2520009.16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-0.26060606060605929</v>
      </c>
      <c r="Q234">
        <f t="shared" si="960"/>
        <v>-656729.65987878456</v>
      </c>
      <c r="R234">
        <f t="shared" si="961"/>
        <v>-13392418.061394712</v>
      </c>
      <c r="S234">
        <f t="shared" si="962"/>
        <v>-133.92418061394713</v>
      </c>
      <c r="T234">
        <f t="shared" si="963"/>
        <v>-0.13392418061394712</v>
      </c>
    </row>
    <row r="235" spans="1:20" x14ac:dyDescent="0.25">
      <c r="A235" s="5">
        <v>44358</v>
      </c>
      <c r="B235">
        <v>13.23</v>
      </c>
      <c r="C235">
        <v>18.36</v>
      </c>
      <c r="D235">
        <v>11.79</v>
      </c>
      <c r="E235">
        <v>11.97</v>
      </c>
      <c r="F235">
        <v>9870831.3200000003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-0.94520547945205435</v>
      </c>
      <c r="Q235">
        <f t="shared" si="960"/>
        <v>-9329963.850410955</v>
      </c>
      <c r="R235">
        <f t="shared" si="961"/>
        <v>-12735688.401515927</v>
      </c>
      <c r="S235">
        <f t="shared" si="962"/>
        <v>-127.35688401515927</v>
      </c>
      <c r="T235">
        <f t="shared" si="963"/>
        <v>-0.12735688401515927</v>
      </c>
    </row>
    <row r="236" spans="1:20" x14ac:dyDescent="0.25">
      <c r="A236" s="5">
        <v>44357</v>
      </c>
      <c r="B236">
        <v>9.52</v>
      </c>
      <c r="C236">
        <v>24</v>
      </c>
      <c r="D236">
        <v>9.52</v>
      </c>
      <c r="E236">
        <v>13.26</v>
      </c>
      <c r="F236">
        <v>7044984.5</v>
      </c>
      <c r="G236">
        <v>0</v>
      </c>
      <c r="P236">
        <f t="shared" si="959"/>
        <v>-0.48342541436464087</v>
      </c>
      <c r="Q236">
        <f t="shared" si="960"/>
        <v>-3405724.5511049721</v>
      </c>
      <c r="R236">
        <f t="shared" si="961"/>
        <v>-3405724.5511049721</v>
      </c>
      <c r="S236">
        <f t="shared" si="962"/>
        <v>-34.057245511049722</v>
      </c>
      <c r="T236">
        <f t="shared" si="963"/>
        <v>-3.4057245511049723E-2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X490" sqref="DX49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$A$489</v>
      </c>
      <c r="D111" s="1" t="str">
        <f>ADDRESS(C121-1,D121,1,1)</f>
        <v>$DX$489</v>
      </c>
      <c r="E111"/>
    </row>
    <row r="112" spans="1:5" x14ac:dyDescent="0.25">
      <c r="A112" s="7">
        <v>12164.144957890772</v>
      </c>
      <c r="C112" s="1" t="str">
        <f>ADDRESS(C121,1,1,1)</f>
        <v>$A$490</v>
      </c>
      <c r="D112" s="1" t="str">
        <f>ADDRESS(C121,D121-1,1,1)</f>
        <v>$DW$490</v>
      </c>
      <c r="E112"/>
    </row>
    <row r="113" spans="1:5" x14ac:dyDescent="0.25">
      <c r="A113" s="7">
        <v>11925.63231165762</v>
      </c>
      <c r="C113" s="1" t="str">
        <f>ADDRESS(C121+1,1,1,1)</f>
        <v>$A$491</v>
      </c>
      <c r="D113" s="1" t="str">
        <f>ADDRESS(C121-1,D121+1,1,1)</f>
        <v>$DY$489</v>
      </c>
    </row>
    <row r="114" spans="1:5" x14ac:dyDescent="0.25">
      <c r="A114" s="7">
        <v>11691.796383978059</v>
      </c>
      <c r="C114" s="1" t="str">
        <f>ADDRESS(C121,D121,1,1)</f>
        <v>$DX$490</v>
      </c>
      <c r="D114" s="1" t="str">
        <f>ADDRESS(C121+1,D121+1,1,1)</f>
        <v>$DY$491</v>
      </c>
    </row>
    <row r="115" spans="1:5" x14ac:dyDescent="0.25">
      <c r="A115" s="7">
        <v>11462.545474488292</v>
      </c>
      <c r="C115" s="1" t="str">
        <f>ADDRESS(C121+1,D121,1,1)</f>
        <v>$DX$491</v>
      </c>
    </row>
    <row r="116" spans="1:5" x14ac:dyDescent="0.25">
      <c r="A116" s="7">
        <v>11237.789680870874</v>
      </c>
      <c r="C116" s="1">
        <f>C117-1</f>
        <v>489</v>
      </c>
    </row>
    <row r="117" spans="1:5" x14ac:dyDescent="0.25">
      <c r="A117" s="7">
        <v>11017.440863598895</v>
      </c>
      <c r="C117" s="1">
        <f>C121</f>
        <v>490</v>
      </c>
      <c r="D117" s="1">
        <f>D121</f>
        <v>128</v>
      </c>
    </row>
    <row r="118" spans="1:5" x14ac:dyDescent="0.25">
      <c r="A118" s="7">
        <v>10801.412611371465</v>
      </c>
      <c r="C118" s="1">
        <f>C117+1</f>
        <v>491</v>
      </c>
      <c r="D118" s="1">
        <f>D117+1</f>
        <v>129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490</v>
      </c>
      <c r="D121" s="19">
        <v>128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R490</v>
      </c>
      <c r="D123" s="1" t="str">
        <f>"C"&amp;D121</f>
        <v>C128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6.8267918431187349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01" x14ac:dyDescent="0.25">
      <c r="A417" s="7">
        <v>28.975383953883185</v>
      </c>
      <c r="B417"/>
      <c r="C417"/>
      <c r="D417"/>
      <c r="E417"/>
      <c r="CU417" s="27" t="s">
        <v>8</v>
      </c>
    </row>
    <row r="418" spans="1:101" x14ac:dyDescent="0.25">
      <c r="A418" s="7">
        <v>28.407239170473709</v>
      </c>
      <c r="B418"/>
      <c r="C418"/>
      <c r="D418"/>
      <c r="E418"/>
      <c r="CU418" s="27" t="s">
        <v>8</v>
      </c>
      <c r="CV418" s="27" t="s">
        <v>7</v>
      </c>
    </row>
    <row r="419" spans="1:101" x14ac:dyDescent="0.25">
      <c r="A419" s="7">
        <v>27.850234480856578</v>
      </c>
      <c r="B419"/>
      <c r="C419"/>
      <c r="D419"/>
      <c r="E419"/>
      <c r="CU419" s="27" t="s">
        <v>8</v>
      </c>
      <c r="CV419" s="27" t="s">
        <v>7</v>
      </c>
    </row>
    <row r="420" spans="1:101" x14ac:dyDescent="0.25">
      <c r="A420" s="7">
        <v>27.304151451820175</v>
      </c>
      <c r="B420"/>
      <c r="C420"/>
      <c r="D420"/>
      <c r="E420"/>
      <c r="CU420" s="27" t="s">
        <v>8</v>
      </c>
      <c r="CV420" s="27" t="s">
        <v>7</v>
      </c>
    </row>
    <row r="421" spans="1:101" x14ac:dyDescent="0.25">
      <c r="A421" s="7">
        <v>26.768775933157034</v>
      </c>
      <c r="B421"/>
      <c r="C421"/>
      <c r="D421"/>
      <c r="E421"/>
      <c r="CU421" s="27" t="s">
        <v>8</v>
      </c>
      <c r="CV421" s="27" t="s">
        <v>7</v>
      </c>
    </row>
    <row r="422" spans="1:101" x14ac:dyDescent="0.25">
      <c r="A422" s="7">
        <v>26.243897973683367</v>
      </c>
      <c r="B422"/>
      <c r="C422"/>
      <c r="D422"/>
      <c r="E422"/>
      <c r="CU422" s="27" t="s">
        <v>8</v>
      </c>
      <c r="CV422" s="27" t="s">
        <v>7</v>
      </c>
    </row>
    <row r="423" spans="1:101" x14ac:dyDescent="0.25">
      <c r="A423" s="7">
        <v>25.729311738905263</v>
      </c>
      <c r="B423"/>
      <c r="C423"/>
      <c r="D423"/>
      <c r="E423"/>
      <c r="CU423" s="27" t="s">
        <v>8</v>
      </c>
      <c r="CV423" s="27" t="s">
        <v>7</v>
      </c>
    </row>
    <row r="424" spans="1:101" x14ac:dyDescent="0.25">
      <c r="A424" s="7">
        <v>25.224815430299277</v>
      </c>
      <c r="B424"/>
      <c r="C424"/>
      <c r="D424"/>
      <c r="E424"/>
      <c r="CU424" s="27" t="s">
        <v>8</v>
      </c>
      <c r="CV424" s="27" t="s">
        <v>7</v>
      </c>
    </row>
    <row r="425" spans="1:101" x14ac:dyDescent="0.25">
      <c r="A425" s="7">
        <v>24.73021120617576</v>
      </c>
      <c r="B425"/>
      <c r="C425"/>
      <c r="D425"/>
      <c r="E425"/>
      <c r="CU425" s="27" t="s">
        <v>8</v>
      </c>
      <c r="CV425" s="27" t="s">
        <v>7</v>
      </c>
    </row>
    <row r="426" spans="1:101" x14ac:dyDescent="0.25">
      <c r="A426" s="7">
        <v>24.24530510409388</v>
      </c>
      <c r="B426"/>
      <c r="C426"/>
      <c r="D426"/>
      <c r="E426"/>
      <c r="CU426" s="27" t="s">
        <v>8</v>
      </c>
      <c r="CV426" s="27" t="s">
        <v>7</v>
      </c>
    </row>
    <row r="427" spans="1:101" x14ac:dyDescent="0.25">
      <c r="A427" s="7">
        <v>23.769906964797922</v>
      </c>
      <c r="B427"/>
      <c r="C427"/>
      <c r="D427"/>
      <c r="E427"/>
      <c r="CU427" s="27" t="s">
        <v>8</v>
      </c>
      <c r="CV427" s="27" t="s">
        <v>7</v>
      </c>
    </row>
    <row r="428" spans="1:101" x14ac:dyDescent="0.25">
      <c r="A428" s="7">
        <v>23.303830357645023</v>
      </c>
      <c r="B428"/>
      <c r="C428"/>
      <c r="D428"/>
      <c r="E428"/>
      <c r="CU428" s="27" t="s">
        <v>8</v>
      </c>
      <c r="CV428" s="27" t="s">
        <v>7</v>
      </c>
    </row>
    <row r="429" spans="1:101" x14ac:dyDescent="0.25">
      <c r="A429" s="7">
        <v>22.84689250749512</v>
      </c>
      <c r="B429"/>
      <c r="C429"/>
      <c r="D429"/>
      <c r="E429"/>
      <c r="CU429" s="27" t="s">
        <v>8</v>
      </c>
      <c r="CV429" s="27" t="s">
        <v>7</v>
      </c>
    </row>
    <row r="430" spans="1:101" x14ac:dyDescent="0.25">
      <c r="A430" s="7">
        <v>22.398914223034431</v>
      </c>
      <c r="B430"/>
      <c r="C430"/>
      <c r="D430"/>
      <c r="E430"/>
      <c r="CU430" s="27" t="s">
        <v>8</v>
      </c>
      <c r="CV430" s="27" t="s">
        <v>7</v>
      </c>
    </row>
    <row r="431" spans="1:101" x14ac:dyDescent="0.25">
      <c r="A431" s="7">
        <v>21.959719826504344</v>
      </c>
      <c r="B431"/>
      <c r="C431"/>
      <c r="D431"/>
      <c r="E431"/>
      <c r="CU431" s="27" t="s">
        <v>8</v>
      </c>
      <c r="CV431" s="27" t="s">
        <v>7</v>
      </c>
    </row>
    <row r="432" spans="1:101" x14ac:dyDescent="0.25">
      <c r="A432" s="7">
        <v>21.52913708480818</v>
      </c>
      <c r="B432"/>
      <c r="C432"/>
      <c r="D432"/>
      <c r="E432"/>
      <c r="CU432" s="27" t="s">
        <v>8</v>
      </c>
      <c r="CV432" s="27" t="s">
        <v>7</v>
      </c>
      <c r="CW432" s="27" t="s">
        <v>8</v>
      </c>
    </row>
    <row r="433" spans="1:116" x14ac:dyDescent="0.25">
      <c r="A433" s="7">
        <v>21.106997141968804</v>
      </c>
      <c r="B433"/>
      <c r="C433"/>
      <c r="D433"/>
      <c r="E433"/>
      <c r="CU433" s="27" t="s">
        <v>8</v>
      </c>
      <c r="CV433" s="27" t="s">
        <v>7</v>
      </c>
      <c r="CW433" s="27" t="s">
        <v>8</v>
      </c>
      <c r="CX433" s="27" t="s">
        <v>7</v>
      </c>
    </row>
    <row r="434" spans="1:116" x14ac:dyDescent="0.25">
      <c r="A434" s="7">
        <v>20.693134452910591</v>
      </c>
      <c r="B434"/>
      <c r="C434"/>
      <c r="D434"/>
      <c r="E434"/>
      <c r="CU434" s="27" t="s">
        <v>8</v>
      </c>
      <c r="CV434" s="27" t="s">
        <v>7</v>
      </c>
      <c r="CW434" s="27" t="s">
        <v>8</v>
      </c>
      <c r="CX434" s="27" t="s">
        <v>7</v>
      </c>
    </row>
    <row r="435" spans="1:116" x14ac:dyDescent="0.25">
      <c r="A435" s="7">
        <v>20.287386718539796</v>
      </c>
      <c r="B435"/>
      <c r="C435"/>
      <c r="D435"/>
      <c r="E435"/>
      <c r="CU435" s="27" t="s">
        <v>8</v>
      </c>
      <c r="CV435" s="27" t="s">
        <v>7</v>
      </c>
      <c r="CW435" s="27" t="s">
        <v>8</v>
      </c>
      <c r="CX435" s="27" t="s">
        <v>7</v>
      </c>
    </row>
    <row r="436" spans="1:116" x14ac:dyDescent="0.25">
      <c r="A436" s="7">
        <v>19.889594822097838</v>
      </c>
      <c r="B436"/>
      <c r="C436"/>
      <c r="D436"/>
      <c r="E436"/>
      <c r="CU436" s="27" t="s">
        <v>8</v>
      </c>
      <c r="CV436" s="27" t="s">
        <v>7</v>
      </c>
      <c r="CW436" s="27" t="s">
        <v>8</v>
      </c>
      <c r="CX436" s="27" t="s">
        <v>7</v>
      </c>
    </row>
    <row r="437" spans="1:116" x14ac:dyDescent="0.25">
      <c r="A437" s="7">
        <v>19.499602766762585</v>
      </c>
      <c r="B437"/>
      <c r="C437"/>
      <c r="D437"/>
      <c r="E437"/>
      <c r="CU437" s="27" t="s">
        <v>8</v>
      </c>
      <c r="CV437" s="27" t="s">
        <v>7</v>
      </c>
      <c r="CW437" s="27" t="s">
        <v>8</v>
      </c>
      <c r="CX437" s="27" t="s">
        <v>7</v>
      </c>
      <c r="DG437" s="27" t="s">
        <v>8</v>
      </c>
    </row>
    <row r="438" spans="1:116" x14ac:dyDescent="0.25">
      <c r="A438" s="7">
        <v>19.117257614473122</v>
      </c>
      <c r="B438"/>
      <c r="C438"/>
      <c r="D438"/>
      <c r="E438"/>
      <c r="CU438" s="27" t="s">
        <v>8</v>
      </c>
      <c r="CV438" s="27" t="s">
        <v>7</v>
      </c>
      <c r="CW438" s="27" t="s">
        <v>8</v>
      </c>
      <c r="CX438" s="27" t="s">
        <v>7</v>
      </c>
      <c r="DG438" s="27" t="s">
        <v>8</v>
      </c>
      <c r="DH438" s="27" t="s">
        <v>7</v>
      </c>
    </row>
    <row r="439" spans="1:116" x14ac:dyDescent="0.25">
      <c r="A439" s="7">
        <v>18.74240942595404</v>
      </c>
      <c r="B439"/>
      <c r="C439"/>
      <c r="D439"/>
      <c r="E439"/>
      <c r="CU439" s="27" t="s">
        <v>8</v>
      </c>
      <c r="CV439" s="27" t="s">
        <v>7</v>
      </c>
      <c r="CW439" s="27" t="s">
        <v>8</v>
      </c>
      <c r="CX439" s="27" t="s">
        <v>7</v>
      </c>
      <c r="DG439" s="27" t="s">
        <v>8</v>
      </c>
      <c r="DH439" s="27" t="s">
        <v>7</v>
      </c>
    </row>
    <row r="440" spans="1:116" x14ac:dyDescent="0.25">
      <c r="A440" s="7">
        <v>18.374911201915726</v>
      </c>
      <c r="B440"/>
      <c r="C440"/>
      <c r="D440"/>
      <c r="E440"/>
      <c r="CU440" s="27" t="s">
        <v>8</v>
      </c>
      <c r="CV440" s="27" t="s">
        <v>7</v>
      </c>
      <c r="CW440" s="27" t="s">
        <v>8</v>
      </c>
      <c r="CX440" s="27" t="s">
        <v>7</v>
      </c>
      <c r="DG440" s="27" t="s">
        <v>8</v>
      </c>
      <c r="DH440" s="27" t="s">
        <v>7</v>
      </c>
    </row>
    <row r="441" spans="1:116" x14ac:dyDescent="0.25">
      <c r="A441" s="7">
        <v>18.014618825407574</v>
      </c>
      <c r="B441"/>
      <c r="C441"/>
      <c r="D441"/>
      <c r="E441" t="s">
        <v>8</v>
      </c>
      <c r="CU441" s="27" t="s">
        <v>8</v>
      </c>
      <c r="CV441" s="27" t="s">
        <v>7</v>
      </c>
      <c r="CW441" s="27" t="s">
        <v>8</v>
      </c>
      <c r="CX441" s="27" t="s">
        <v>7</v>
      </c>
      <c r="DG441" s="27" t="s">
        <v>8</v>
      </c>
      <c r="DH441" s="27" t="s">
        <v>7</v>
      </c>
    </row>
    <row r="442" spans="1:116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CU442" s="27" t="s">
        <v>8</v>
      </c>
      <c r="CV442" s="27" t="s">
        <v>7</v>
      </c>
      <c r="CX442" s="27" t="s">
        <v>7</v>
      </c>
      <c r="DG442" s="27" t="s">
        <v>8</v>
      </c>
      <c r="DH442" s="27" t="s">
        <v>7</v>
      </c>
    </row>
    <row r="443" spans="1:116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CU443" s="27" t="s">
        <v>8</v>
      </c>
      <c r="CX443" s="27" t="s">
        <v>7</v>
      </c>
      <c r="DG443" s="27" t="s">
        <v>8</v>
      </c>
      <c r="DH443" s="27" t="s">
        <v>7</v>
      </c>
    </row>
    <row r="444" spans="1:116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CU444" s="27" t="s">
        <v>8</v>
      </c>
      <c r="CX444" s="27" t="s">
        <v>7</v>
      </c>
      <c r="DG444" s="27" t="s">
        <v>8</v>
      </c>
      <c r="DH444" s="27" t="s">
        <v>7</v>
      </c>
    </row>
    <row r="445" spans="1:116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CU445" s="27" t="s">
        <v>8</v>
      </c>
      <c r="CX445" s="27" t="s">
        <v>7</v>
      </c>
      <c r="DG445" s="27" t="s">
        <v>8</v>
      </c>
      <c r="DH445" s="27" t="s">
        <v>7</v>
      </c>
    </row>
    <row r="446" spans="1:116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CU446" s="27" t="s">
        <v>8</v>
      </c>
      <c r="CX446" s="27" t="s">
        <v>7</v>
      </c>
      <c r="DG446" s="27" t="s">
        <v>8</v>
      </c>
      <c r="DH446" s="27" t="s">
        <v>7</v>
      </c>
    </row>
    <row r="447" spans="1:116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CU447" s="27" t="s">
        <v>8</v>
      </c>
      <c r="CX447" s="27" t="s">
        <v>7</v>
      </c>
      <c r="DG447" s="27" t="s">
        <v>8</v>
      </c>
      <c r="DH447" s="27" t="s">
        <v>7</v>
      </c>
      <c r="DK447" s="27" t="s">
        <v>8</v>
      </c>
    </row>
    <row r="448" spans="1:116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CU448" s="27" t="s">
        <v>8</v>
      </c>
      <c r="CX448" s="27" t="s">
        <v>7</v>
      </c>
      <c r="DG448" s="27" t="s">
        <v>8</v>
      </c>
      <c r="DH448" s="27" t="s">
        <v>7</v>
      </c>
      <c r="DK448" s="27" t="s">
        <v>8</v>
      </c>
      <c r="DL448" s="27" t="s">
        <v>7</v>
      </c>
    </row>
    <row r="449" spans="1:124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AU449" s="27" t="s">
        <v>8</v>
      </c>
      <c r="CU449" s="27" t="s">
        <v>8</v>
      </c>
      <c r="CX449" s="27" t="s">
        <v>7</v>
      </c>
      <c r="DG449" s="27" t="s">
        <v>8</v>
      </c>
      <c r="DH449" s="27" t="s">
        <v>7</v>
      </c>
      <c r="DK449" s="27" t="s">
        <v>8</v>
      </c>
      <c r="DL449" s="27" t="s">
        <v>7</v>
      </c>
    </row>
    <row r="450" spans="1:124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AU450" s="27" t="s">
        <v>8</v>
      </c>
      <c r="AV450" s="27" t="s">
        <v>7</v>
      </c>
      <c r="CU450" s="27" t="s">
        <v>8</v>
      </c>
      <c r="CX450" s="27" t="s">
        <v>7</v>
      </c>
      <c r="DG450" s="27" t="s">
        <v>8</v>
      </c>
      <c r="DH450" s="27" t="s">
        <v>7</v>
      </c>
      <c r="DI450" s="27" t="s">
        <v>8</v>
      </c>
      <c r="DK450" s="27" t="s">
        <v>8</v>
      </c>
      <c r="DL450" s="27" t="s">
        <v>7</v>
      </c>
    </row>
    <row r="451" spans="1:124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AU451" s="27" t="s">
        <v>8</v>
      </c>
      <c r="AV451" s="27" t="s">
        <v>7</v>
      </c>
      <c r="CU451" s="27" t="s">
        <v>8</v>
      </c>
      <c r="CX451" s="27" t="s">
        <v>7</v>
      </c>
      <c r="CY451" s="27" t="s">
        <v>8</v>
      </c>
      <c r="DG451" s="27" t="s">
        <v>8</v>
      </c>
      <c r="DH451" s="27" t="s">
        <v>7</v>
      </c>
      <c r="DI451" s="27" t="s">
        <v>8</v>
      </c>
      <c r="DJ451" s="27" t="s">
        <v>7</v>
      </c>
      <c r="DK451" s="27" t="s">
        <v>8</v>
      </c>
      <c r="DL451" s="27" t="s">
        <v>7</v>
      </c>
    </row>
    <row r="452" spans="1:124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AU452" s="27" t="s">
        <v>8</v>
      </c>
      <c r="AV452" s="27" t="s">
        <v>7</v>
      </c>
      <c r="CU452" s="27" t="s">
        <v>8</v>
      </c>
      <c r="CX452" s="27" t="s">
        <v>7</v>
      </c>
      <c r="CY452" s="27" t="s">
        <v>8</v>
      </c>
      <c r="CZ452" s="27" t="s">
        <v>7</v>
      </c>
      <c r="DG452" s="27" t="s">
        <v>8</v>
      </c>
      <c r="DH452" s="27" t="s">
        <v>7</v>
      </c>
      <c r="DI452" s="27" t="s">
        <v>8</v>
      </c>
      <c r="DJ452" s="27" t="s">
        <v>7</v>
      </c>
      <c r="DK452" s="27" t="s">
        <v>8</v>
      </c>
      <c r="DL452" s="27" t="s">
        <v>7</v>
      </c>
    </row>
    <row r="453" spans="1:124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AU453" s="27" t="s">
        <v>8</v>
      </c>
      <c r="AV453" s="27" t="s">
        <v>7</v>
      </c>
      <c r="CU453" s="27" t="s">
        <v>8</v>
      </c>
      <c r="CX453" s="27" t="s">
        <v>7</v>
      </c>
      <c r="CY453" s="27" t="s">
        <v>8</v>
      </c>
      <c r="CZ453" s="27" t="s">
        <v>7</v>
      </c>
      <c r="DG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</row>
    <row r="454" spans="1:124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AU454" s="27" t="s">
        <v>8</v>
      </c>
      <c r="AV454" s="27" t="s">
        <v>7</v>
      </c>
      <c r="CU454" s="27" t="s">
        <v>8</v>
      </c>
      <c r="CX454" s="27" t="s">
        <v>7</v>
      </c>
      <c r="CY454" s="27" t="s">
        <v>8</v>
      </c>
      <c r="CZ454" s="27" t="s">
        <v>7</v>
      </c>
      <c r="DE454" s="27" t="s">
        <v>8</v>
      </c>
      <c r="DG454" s="27" t="s">
        <v>8</v>
      </c>
      <c r="DH454" s="27" t="s">
        <v>7</v>
      </c>
      <c r="DI454" s="27" t="s">
        <v>8</v>
      </c>
      <c r="DJ454" s="27" t="s">
        <v>7</v>
      </c>
      <c r="DK454" s="27" t="s">
        <v>8</v>
      </c>
      <c r="DL454" s="27" t="s">
        <v>7</v>
      </c>
    </row>
    <row r="455" spans="1:124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AU455" s="27" t="s">
        <v>8</v>
      </c>
      <c r="AV455" s="27" t="s">
        <v>7</v>
      </c>
      <c r="CU455" s="27" t="s">
        <v>8</v>
      </c>
      <c r="CX455" s="27" t="s">
        <v>7</v>
      </c>
      <c r="CY455" s="27" t="s">
        <v>8</v>
      </c>
      <c r="CZ455" s="27" t="s">
        <v>7</v>
      </c>
      <c r="DE455" s="27" t="s">
        <v>8</v>
      </c>
      <c r="DF455" s="27" t="s">
        <v>7</v>
      </c>
      <c r="DG455" s="27" t="s">
        <v>8</v>
      </c>
      <c r="DH455" s="27" t="s">
        <v>7</v>
      </c>
      <c r="DI455" s="27" t="s">
        <v>8</v>
      </c>
      <c r="DJ455" s="27" t="s">
        <v>7</v>
      </c>
      <c r="DK455" s="27" t="s">
        <v>8</v>
      </c>
      <c r="DL455" s="27" t="s">
        <v>7</v>
      </c>
    </row>
    <row r="456" spans="1:124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AS456" s="27" t="s">
        <v>8</v>
      </c>
      <c r="AU456" s="27" t="s">
        <v>8</v>
      </c>
      <c r="AV456" s="27" t="s">
        <v>7</v>
      </c>
      <c r="CU456" s="27" t="s">
        <v>8</v>
      </c>
      <c r="CX456" s="27" t="s">
        <v>7</v>
      </c>
      <c r="CY456" s="27" t="s">
        <v>8</v>
      </c>
      <c r="CZ456" s="27" t="s">
        <v>7</v>
      </c>
      <c r="DE456" s="27" t="s">
        <v>8</v>
      </c>
      <c r="DF456" s="27" t="s">
        <v>7</v>
      </c>
      <c r="DG456" s="27" t="s">
        <v>8</v>
      </c>
      <c r="DH456" s="27" t="s">
        <v>7</v>
      </c>
      <c r="DI456" s="27" t="s">
        <v>8</v>
      </c>
      <c r="DJ456" s="27" t="s">
        <v>7</v>
      </c>
      <c r="DL456" s="27" t="s">
        <v>7</v>
      </c>
      <c r="DM456" s="27" t="s">
        <v>8</v>
      </c>
    </row>
    <row r="457" spans="1:124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AS457" s="27" t="s">
        <v>8</v>
      </c>
      <c r="AT457" s="27" t="s">
        <v>7</v>
      </c>
      <c r="AU457" s="27" t="s">
        <v>8</v>
      </c>
      <c r="AV457" s="27" t="s">
        <v>7</v>
      </c>
      <c r="AW457" s="27" t="s">
        <v>8</v>
      </c>
      <c r="CU457" s="27" t="s">
        <v>8</v>
      </c>
      <c r="CX457" s="27" t="s">
        <v>7</v>
      </c>
      <c r="CY457" s="27" t="s">
        <v>8</v>
      </c>
      <c r="CZ457" s="27" t="s">
        <v>7</v>
      </c>
      <c r="DE457" s="27" t="s">
        <v>8</v>
      </c>
      <c r="DF457" s="27" t="s">
        <v>7</v>
      </c>
      <c r="DG457" s="27" t="s">
        <v>8</v>
      </c>
      <c r="DH457" s="27" t="s">
        <v>7</v>
      </c>
      <c r="DI457" s="27" t="s">
        <v>8</v>
      </c>
      <c r="DL457" s="27" t="s">
        <v>7</v>
      </c>
      <c r="DM457" s="27" t="s">
        <v>8</v>
      </c>
      <c r="DN457" s="27" t="s">
        <v>7</v>
      </c>
      <c r="DS457" s="27" t="s">
        <v>8</v>
      </c>
    </row>
    <row r="458" spans="1:124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AS458" s="27" t="s">
        <v>8</v>
      </c>
      <c r="AT458" s="27" t="s">
        <v>7</v>
      </c>
      <c r="AU458" s="27" t="s">
        <v>8</v>
      </c>
      <c r="AV458" s="27" t="s">
        <v>7</v>
      </c>
      <c r="AW458" s="27" t="s">
        <v>8</v>
      </c>
      <c r="AX458" s="27" t="s">
        <v>7</v>
      </c>
      <c r="CU458" s="27" t="s">
        <v>8</v>
      </c>
      <c r="CX458" s="27" t="s">
        <v>7</v>
      </c>
      <c r="CY458" s="27" t="s">
        <v>8</v>
      </c>
      <c r="CZ458" s="27" t="s">
        <v>7</v>
      </c>
      <c r="DE458" s="27" t="s">
        <v>8</v>
      </c>
      <c r="DF458" s="27" t="s">
        <v>7</v>
      </c>
      <c r="DG458" s="27" t="s">
        <v>8</v>
      </c>
      <c r="DH458" s="27" t="s">
        <v>7</v>
      </c>
      <c r="DI458" s="27" t="s">
        <v>8</v>
      </c>
      <c r="DL458" s="27" t="s">
        <v>7</v>
      </c>
      <c r="DM458" s="27" t="s">
        <v>8</v>
      </c>
      <c r="DN458" s="27" t="s">
        <v>7</v>
      </c>
      <c r="DS458" s="27" t="s">
        <v>8</v>
      </c>
      <c r="DT458" s="27" t="s">
        <v>7</v>
      </c>
    </row>
    <row r="459" spans="1:124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AS459" s="27" t="s">
        <v>8</v>
      </c>
      <c r="AT459" s="27" t="s">
        <v>7</v>
      </c>
      <c r="AU459" s="27" t="s">
        <v>8</v>
      </c>
      <c r="AV459" s="27" t="s">
        <v>7</v>
      </c>
      <c r="AW459" s="27" t="s">
        <v>8</v>
      </c>
      <c r="AX459" s="27" t="s">
        <v>7</v>
      </c>
      <c r="CU459" s="27" t="s">
        <v>8</v>
      </c>
      <c r="CX459" s="27" t="s">
        <v>7</v>
      </c>
      <c r="CY459" s="27" t="s">
        <v>8</v>
      </c>
      <c r="CZ459" s="27" t="s">
        <v>7</v>
      </c>
      <c r="DE459" s="27" t="s">
        <v>8</v>
      </c>
      <c r="DF459" s="27" t="s">
        <v>7</v>
      </c>
      <c r="DG459" s="27" t="s">
        <v>8</v>
      </c>
      <c r="DH459" s="27" t="s">
        <v>7</v>
      </c>
      <c r="DI459" s="27" t="s">
        <v>8</v>
      </c>
      <c r="DL459" s="27" t="s">
        <v>7</v>
      </c>
      <c r="DN459" s="27" t="s">
        <v>7</v>
      </c>
      <c r="DS459" s="27" t="s">
        <v>8</v>
      </c>
      <c r="DT459" s="27" t="s">
        <v>7</v>
      </c>
    </row>
    <row r="460" spans="1:124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AS460" s="27" t="s">
        <v>8</v>
      </c>
      <c r="AT460" s="27" t="s">
        <v>7</v>
      </c>
      <c r="AU460" s="27" t="s">
        <v>8</v>
      </c>
      <c r="AV460" s="27" t="s">
        <v>7</v>
      </c>
      <c r="AW460" s="27" t="s">
        <v>8</v>
      </c>
      <c r="AX460" s="27" t="s">
        <v>7</v>
      </c>
      <c r="AY460" s="27" t="s">
        <v>8</v>
      </c>
      <c r="CU460" s="27" t="s">
        <v>8</v>
      </c>
      <c r="CX460" s="27" t="s">
        <v>7</v>
      </c>
      <c r="CY460" s="27" t="s">
        <v>8</v>
      </c>
      <c r="CZ460" s="27" t="s">
        <v>7</v>
      </c>
      <c r="DE460" s="27" t="s">
        <v>8</v>
      </c>
      <c r="DF460" s="27" t="s">
        <v>7</v>
      </c>
      <c r="DG460" s="27" t="s">
        <v>8</v>
      </c>
      <c r="DH460" s="27" t="s">
        <v>7</v>
      </c>
      <c r="DN460" s="27" t="s">
        <v>7</v>
      </c>
      <c r="DS460" s="27" t="s">
        <v>8</v>
      </c>
      <c r="DT460" s="27" t="s">
        <v>7</v>
      </c>
    </row>
    <row r="461" spans="1:124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AS461" s="27" t="s">
        <v>8</v>
      </c>
      <c r="AT461" s="27" t="s">
        <v>7</v>
      </c>
      <c r="AU461" s="27" t="s">
        <v>8</v>
      </c>
      <c r="AV461" s="27" t="s">
        <v>7</v>
      </c>
      <c r="AW461" s="27" t="s">
        <v>8</v>
      </c>
      <c r="AX461" s="27" t="s">
        <v>7</v>
      </c>
      <c r="AY461" s="27" t="s">
        <v>8</v>
      </c>
      <c r="AZ461" s="27" t="s">
        <v>7</v>
      </c>
      <c r="BS461" s="27" t="s">
        <v>8</v>
      </c>
      <c r="CU461" s="27" t="s">
        <v>8</v>
      </c>
      <c r="CX461" s="27" t="s">
        <v>7</v>
      </c>
      <c r="CY461" s="27" t="s">
        <v>8</v>
      </c>
      <c r="CZ461" s="27" t="s">
        <v>7</v>
      </c>
      <c r="DE461" s="27" t="s">
        <v>8</v>
      </c>
      <c r="DF461" s="27" t="s">
        <v>7</v>
      </c>
      <c r="DG461" s="27" t="s">
        <v>8</v>
      </c>
      <c r="DN461" s="27" t="s">
        <v>7</v>
      </c>
      <c r="DQ461" s="27" t="s">
        <v>8</v>
      </c>
      <c r="DS461" s="27" t="s">
        <v>8</v>
      </c>
      <c r="DT461" s="27" t="s">
        <v>7</v>
      </c>
    </row>
    <row r="462" spans="1:124" x14ac:dyDescent="0.25">
      <c r="A462" s="7">
        <v>11.88560984938044</v>
      </c>
      <c r="B462"/>
      <c r="C462"/>
      <c r="D462"/>
      <c r="E462" t="s">
        <v>8</v>
      </c>
      <c r="F462" s="27" t="s">
        <v>7</v>
      </c>
      <c r="G462" s="27" t="s">
        <v>8</v>
      </c>
      <c r="AS462" s="27" t="s">
        <v>8</v>
      </c>
      <c r="AT462" s="27" t="s">
        <v>7</v>
      </c>
      <c r="AU462" s="27" t="s">
        <v>8</v>
      </c>
      <c r="AV462" s="27" t="s">
        <v>7</v>
      </c>
      <c r="AW462" s="27" t="s">
        <v>8</v>
      </c>
      <c r="AX462" s="27" t="s">
        <v>7</v>
      </c>
      <c r="AY462" s="27" t="s">
        <v>8</v>
      </c>
      <c r="AZ462" s="27" t="s">
        <v>7</v>
      </c>
      <c r="BS462" s="27" t="s">
        <v>8</v>
      </c>
      <c r="BT462" s="27" t="s">
        <v>7</v>
      </c>
      <c r="BU462" s="27" t="s">
        <v>8</v>
      </c>
      <c r="CU462" s="27" t="s">
        <v>8</v>
      </c>
      <c r="CX462" s="27" t="s">
        <v>7</v>
      </c>
      <c r="CY462" s="27" t="s">
        <v>8</v>
      </c>
      <c r="CZ462" s="27" t="s">
        <v>7</v>
      </c>
      <c r="DE462" s="27" t="s">
        <v>8</v>
      </c>
      <c r="DF462" s="27" t="s">
        <v>7</v>
      </c>
      <c r="DG462" s="27" t="s">
        <v>8</v>
      </c>
      <c r="DN462" s="27" t="s">
        <v>7</v>
      </c>
      <c r="DQ462" s="27" t="s">
        <v>8</v>
      </c>
      <c r="DR462" s="27" t="s">
        <v>7</v>
      </c>
      <c r="DS462" s="27" t="s">
        <v>8</v>
      </c>
      <c r="DT462" s="27" t="s">
        <v>7</v>
      </c>
    </row>
    <row r="463" spans="1:124" x14ac:dyDescent="0.25">
      <c r="A463" s="7">
        <v>11.652558675863176</v>
      </c>
      <c r="B463"/>
      <c r="C463"/>
      <c r="D463"/>
      <c r="E463" t="s">
        <v>8</v>
      </c>
      <c r="F463" s="27" t="s">
        <v>7</v>
      </c>
      <c r="G463" s="27" t="s">
        <v>8</v>
      </c>
      <c r="H463" s="27" t="s">
        <v>7</v>
      </c>
      <c r="AS463" s="27" t="s">
        <v>8</v>
      </c>
      <c r="AT463" s="27" t="s">
        <v>7</v>
      </c>
      <c r="AU463" s="27" t="s">
        <v>8</v>
      </c>
      <c r="AV463" s="27" t="s">
        <v>7</v>
      </c>
      <c r="AW463" s="27" t="s">
        <v>8</v>
      </c>
      <c r="AX463" s="27" t="s">
        <v>7</v>
      </c>
      <c r="AY463" s="27" t="s">
        <v>8</v>
      </c>
      <c r="AZ463" s="27" t="s">
        <v>7</v>
      </c>
      <c r="BS463" s="27" t="s">
        <v>8</v>
      </c>
      <c r="BT463" s="27" t="s">
        <v>7</v>
      </c>
      <c r="BU463" s="27" t="s">
        <v>8</v>
      </c>
      <c r="BV463" s="27" t="s">
        <v>7</v>
      </c>
      <c r="CU463" s="27" t="s">
        <v>8</v>
      </c>
      <c r="CX463" s="27" t="s">
        <v>7</v>
      </c>
      <c r="CY463" s="27" t="s">
        <v>8</v>
      </c>
      <c r="CZ463" s="27" t="s">
        <v>7</v>
      </c>
      <c r="DE463" s="27" t="s">
        <v>8</v>
      </c>
      <c r="DF463" s="27" t="s">
        <v>7</v>
      </c>
      <c r="DG463" s="27" t="s">
        <v>8</v>
      </c>
      <c r="DN463" s="27" t="s">
        <v>7</v>
      </c>
      <c r="DO463" s="27" t="s">
        <v>8</v>
      </c>
      <c r="DQ463" s="27" t="s">
        <v>8</v>
      </c>
      <c r="DR463" s="27" t="s">
        <v>7</v>
      </c>
      <c r="DS463" s="27" t="s">
        <v>8</v>
      </c>
      <c r="DT463" s="27" t="s">
        <v>7</v>
      </c>
    </row>
    <row r="464" spans="1:124" x14ac:dyDescent="0.25">
      <c r="A464" s="7">
        <v>11.424077133199193</v>
      </c>
      <c r="B464"/>
      <c r="C464"/>
      <c r="D464"/>
      <c r="E464" t="s">
        <v>8</v>
      </c>
      <c r="F464" s="27" t="s">
        <v>7</v>
      </c>
      <c r="G464" s="27" t="s">
        <v>8</v>
      </c>
      <c r="H464" s="27" t="s">
        <v>7</v>
      </c>
      <c r="AS464" s="27" t="s">
        <v>8</v>
      </c>
      <c r="AT464" s="27" t="s">
        <v>7</v>
      </c>
      <c r="AU464" s="27" t="s">
        <v>8</v>
      </c>
      <c r="AV464" s="27" t="s">
        <v>7</v>
      </c>
      <c r="AX464" s="27" t="s">
        <v>7</v>
      </c>
      <c r="AZ464" s="27" t="s">
        <v>7</v>
      </c>
      <c r="BS464" s="27" t="s">
        <v>8</v>
      </c>
      <c r="BT464" s="27" t="s">
        <v>7</v>
      </c>
      <c r="BU464" s="27" t="s">
        <v>8</v>
      </c>
      <c r="BV464" s="27" t="s">
        <v>7</v>
      </c>
      <c r="CU464" s="27" t="s">
        <v>8</v>
      </c>
      <c r="CX464" s="27" t="s">
        <v>7</v>
      </c>
      <c r="CY464" s="27" t="s">
        <v>8</v>
      </c>
      <c r="CZ464" s="27" t="s">
        <v>7</v>
      </c>
      <c r="DE464" s="27" t="s">
        <v>8</v>
      </c>
      <c r="DF464" s="27" t="s">
        <v>7</v>
      </c>
      <c r="DG464" s="27" t="s">
        <v>8</v>
      </c>
      <c r="DN464" s="27" t="s">
        <v>7</v>
      </c>
      <c r="DO464" s="27" t="s">
        <v>8</v>
      </c>
      <c r="DP464" s="27" t="s">
        <v>7</v>
      </c>
      <c r="DQ464" s="27" t="s">
        <v>8</v>
      </c>
      <c r="DR464" s="27" t="s">
        <v>7</v>
      </c>
      <c r="DS464" s="27" t="s">
        <v>8</v>
      </c>
      <c r="DT464" s="27" t="s">
        <v>7</v>
      </c>
    </row>
    <row r="465" spans="1:124" x14ac:dyDescent="0.25">
      <c r="A465" s="7">
        <v>11.200075620783522</v>
      </c>
      <c r="B465"/>
      <c r="C465"/>
      <c r="D465"/>
      <c r="E465" t="s">
        <v>8</v>
      </c>
      <c r="F465" s="27" t="s">
        <v>7</v>
      </c>
      <c r="G465" s="27" t="s">
        <v>8</v>
      </c>
      <c r="H465" s="27" t="s">
        <v>7</v>
      </c>
      <c r="AS465" s="27" t="s">
        <v>8</v>
      </c>
      <c r="AT465" s="27" t="s">
        <v>7</v>
      </c>
      <c r="AU465" s="27" t="s">
        <v>8</v>
      </c>
      <c r="AZ465" s="27" t="s">
        <v>7</v>
      </c>
      <c r="BS465" s="27" t="s">
        <v>8</v>
      </c>
      <c r="BT465" s="27" t="s">
        <v>7</v>
      </c>
      <c r="BU465" s="27" t="s">
        <v>8</v>
      </c>
      <c r="BV465" s="27" t="s">
        <v>7</v>
      </c>
      <c r="CU465" s="27" t="s">
        <v>8</v>
      </c>
      <c r="CX465" s="27" t="s">
        <v>7</v>
      </c>
      <c r="CY465" s="27" t="s">
        <v>8</v>
      </c>
      <c r="CZ465" s="27" t="s">
        <v>7</v>
      </c>
      <c r="DC465" s="27" t="s">
        <v>8</v>
      </c>
      <c r="DE465" s="27" t="s">
        <v>8</v>
      </c>
      <c r="DF465" s="27" t="s">
        <v>7</v>
      </c>
      <c r="DG465" s="27" t="s">
        <v>8</v>
      </c>
      <c r="DN465" s="27" t="s">
        <v>7</v>
      </c>
      <c r="DO465" s="27" t="s">
        <v>8</v>
      </c>
      <c r="DP465" s="27" t="s">
        <v>7</v>
      </c>
      <c r="DQ465" s="27" t="s">
        <v>8</v>
      </c>
      <c r="DR465" s="27" t="s">
        <v>7</v>
      </c>
      <c r="DS465" s="27" t="s">
        <v>8</v>
      </c>
      <c r="DT465" s="27" t="s">
        <v>7</v>
      </c>
    </row>
    <row r="466" spans="1:124" x14ac:dyDescent="0.25">
      <c r="A466" s="7">
        <v>10.980466294885806</v>
      </c>
      <c r="B466"/>
      <c r="C466"/>
      <c r="D466"/>
      <c r="E466" t="s">
        <v>8</v>
      </c>
      <c r="F466" s="27" t="s">
        <v>7</v>
      </c>
      <c r="G466" s="27" t="s">
        <v>8</v>
      </c>
      <c r="H466" s="27" t="s">
        <v>7</v>
      </c>
      <c r="AS466" s="27" t="s">
        <v>8</v>
      </c>
      <c r="AT466" s="27" t="s">
        <v>7</v>
      </c>
      <c r="AU466" s="27" t="s">
        <v>8</v>
      </c>
      <c r="AZ466" s="27" t="s">
        <v>7</v>
      </c>
      <c r="BS466" s="27" t="s">
        <v>8</v>
      </c>
      <c r="BT466" s="27" t="s">
        <v>7</v>
      </c>
      <c r="BU466" s="27" t="s">
        <v>8</v>
      </c>
      <c r="BV466" s="27" t="s">
        <v>7</v>
      </c>
      <c r="CI466" s="27" t="s">
        <v>8</v>
      </c>
      <c r="CU466" s="27" t="s">
        <v>8</v>
      </c>
      <c r="CX466" s="27" t="s">
        <v>7</v>
      </c>
      <c r="CY466" s="27" t="s">
        <v>8</v>
      </c>
      <c r="CZ466" s="27" t="s">
        <v>7</v>
      </c>
      <c r="DC466" s="27" t="s">
        <v>8</v>
      </c>
      <c r="DD466" s="27" t="s">
        <v>7</v>
      </c>
      <c r="DE466" s="27" t="s">
        <v>8</v>
      </c>
      <c r="DF466" s="27" t="s">
        <v>7</v>
      </c>
      <c r="DG466" s="27" t="s">
        <v>8</v>
      </c>
      <c r="DN466" s="27" t="s">
        <v>7</v>
      </c>
      <c r="DO466" s="27" t="s">
        <v>8</v>
      </c>
      <c r="DP466" s="27" t="s">
        <v>7</v>
      </c>
      <c r="DQ466" s="27" t="s">
        <v>8</v>
      </c>
      <c r="DR466" s="27" t="s">
        <v>7</v>
      </c>
      <c r="DS466" s="27" t="s">
        <v>8</v>
      </c>
      <c r="DT466" s="27" t="s">
        <v>7</v>
      </c>
    </row>
    <row r="467" spans="1:124" x14ac:dyDescent="0.25">
      <c r="A467" s="7">
        <v>10.765163034201771</v>
      </c>
      <c r="B467"/>
      <c r="C467"/>
      <c r="D467"/>
      <c r="E467" t="s">
        <v>8</v>
      </c>
      <c r="F467" s="27" t="s">
        <v>7</v>
      </c>
      <c r="G467" s="27" t="s">
        <v>8</v>
      </c>
      <c r="H467" s="27" t="s">
        <v>7</v>
      </c>
      <c r="AS467" s="27" t="s">
        <v>8</v>
      </c>
      <c r="AT467" s="27" t="s">
        <v>7</v>
      </c>
      <c r="AU467" s="27" t="s">
        <v>8</v>
      </c>
      <c r="AZ467" s="27" t="s">
        <v>7</v>
      </c>
      <c r="BS467" s="27" t="s">
        <v>8</v>
      </c>
      <c r="BT467" s="27" t="s">
        <v>7</v>
      </c>
      <c r="BU467" s="27" t="s">
        <v>8</v>
      </c>
      <c r="BV467" s="27" t="s">
        <v>7</v>
      </c>
      <c r="BW467" s="27" t="s">
        <v>8</v>
      </c>
      <c r="CI467" s="27" t="s">
        <v>8</v>
      </c>
      <c r="CJ467" s="27" t="s">
        <v>7</v>
      </c>
      <c r="CU467" s="27" t="s">
        <v>8</v>
      </c>
      <c r="CX467" s="27" t="s">
        <v>7</v>
      </c>
      <c r="CY467" s="27" t="s">
        <v>8</v>
      </c>
      <c r="CZ467" s="27" t="s">
        <v>7</v>
      </c>
      <c r="DA467" s="27" t="s">
        <v>8</v>
      </c>
      <c r="DC467" s="27" t="s">
        <v>8</v>
      </c>
      <c r="DD467" s="27" t="s">
        <v>7</v>
      </c>
      <c r="DE467" s="27" t="s">
        <v>8</v>
      </c>
      <c r="DF467" s="27" t="s">
        <v>7</v>
      </c>
      <c r="DG467" s="27" t="s">
        <v>8</v>
      </c>
      <c r="DN467" s="27" t="s">
        <v>7</v>
      </c>
      <c r="DO467" s="27" t="s">
        <v>8</v>
      </c>
      <c r="DP467" s="27" t="s">
        <v>7</v>
      </c>
      <c r="DQ467" s="27" t="s">
        <v>8</v>
      </c>
      <c r="DR467" s="27" t="s">
        <v>7</v>
      </c>
      <c r="DT467" s="27" t="s">
        <v>7</v>
      </c>
    </row>
    <row r="468" spans="1:124" x14ac:dyDescent="0.25">
      <c r="A468" s="7">
        <v>10.554081406080169</v>
      </c>
      <c r="B468"/>
      <c r="C468"/>
      <c r="D468"/>
      <c r="E468" t="s">
        <v>8</v>
      </c>
      <c r="F468" s="27" t="s">
        <v>7</v>
      </c>
      <c r="G468" s="27" t="s">
        <v>8</v>
      </c>
      <c r="H468" s="27" t="s">
        <v>7</v>
      </c>
      <c r="AS468" s="27" t="s">
        <v>8</v>
      </c>
      <c r="AT468" s="27" t="s">
        <v>7</v>
      </c>
      <c r="AU468" s="27" t="s">
        <v>8</v>
      </c>
      <c r="AZ468" s="27" t="s">
        <v>7</v>
      </c>
      <c r="BS468" s="27" t="s">
        <v>8</v>
      </c>
      <c r="BT468" s="27" t="s">
        <v>7</v>
      </c>
      <c r="BU468" s="27" t="s">
        <v>8</v>
      </c>
      <c r="BV468" s="27" t="s">
        <v>7</v>
      </c>
      <c r="BW468" s="27" t="s">
        <v>8</v>
      </c>
      <c r="BX468" s="27" t="s">
        <v>7</v>
      </c>
      <c r="CI468" s="27" t="s">
        <v>8</v>
      </c>
      <c r="CJ468" s="27" t="s">
        <v>7</v>
      </c>
      <c r="CU468" s="27" t="s">
        <v>8</v>
      </c>
      <c r="CX468" s="27" t="s">
        <v>7</v>
      </c>
      <c r="CY468" s="27" t="s">
        <v>8</v>
      </c>
      <c r="CZ468" s="27" t="s">
        <v>7</v>
      </c>
      <c r="DA468" s="27" t="s">
        <v>8</v>
      </c>
      <c r="DB468" s="27" t="s">
        <v>7</v>
      </c>
      <c r="DC468" s="27" t="s">
        <v>8</v>
      </c>
      <c r="DD468" s="27" t="s">
        <v>7</v>
      </c>
      <c r="DE468" s="27" t="s">
        <v>8</v>
      </c>
      <c r="DF468" s="27" t="s">
        <v>7</v>
      </c>
      <c r="DN468" s="27" t="s">
        <v>7</v>
      </c>
      <c r="DP468" s="27" t="s">
        <v>7</v>
      </c>
      <c r="DQ468" s="27" t="s">
        <v>8</v>
      </c>
      <c r="DT468" s="27" t="s">
        <v>7</v>
      </c>
    </row>
    <row r="469" spans="1:124" x14ac:dyDescent="0.25">
      <c r="A469" s="7">
        <v>10.34713863341193</v>
      </c>
      <c r="B469"/>
      <c r="C469"/>
      <c r="D469"/>
      <c r="E469" t="s">
        <v>8</v>
      </c>
      <c r="F469" s="27" t="s">
        <v>7</v>
      </c>
      <c r="G469" s="27" t="s">
        <v>8</v>
      </c>
      <c r="H469" s="27" t="s">
        <v>7</v>
      </c>
      <c r="AS469" s="27" t="s">
        <v>8</v>
      </c>
      <c r="AT469" s="27" t="s">
        <v>7</v>
      </c>
      <c r="AU469" s="27" t="s">
        <v>8</v>
      </c>
      <c r="AZ469" s="27" t="s">
        <v>7</v>
      </c>
      <c r="BA469" s="27" t="s">
        <v>8</v>
      </c>
      <c r="BE469" s="27" t="s">
        <v>8</v>
      </c>
      <c r="BS469" s="27" t="s">
        <v>8</v>
      </c>
      <c r="BT469" s="27" t="s">
        <v>7</v>
      </c>
      <c r="BU469" s="27" t="s">
        <v>8</v>
      </c>
      <c r="BV469" s="27" t="s">
        <v>7</v>
      </c>
      <c r="BW469" s="27" t="s">
        <v>8</v>
      </c>
      <c r="BX469" s="27" t="s">
        <v>7</v>
      </c>
      <c r="BY469" s="27" t="s">
        <v>8</v>
      </c>
      <c r="CI469" s="27" t="s">
        <v>8</v>
      </c>
      <c r="CJ469" s="27" t="s">
        <v>7</v>
      </c>
      <c r="CU469" s="27" t="s">
        <v>8</v>
      </c>
      <c r="CX469" s="27" t="s">
        <v>7</v>
      </c>
      <c r="CY469" s="27" t="s">
        <v>8</v>
      </c>
      <c r="CZ469" s="27" t="s">
        <v>7</v>
      </c>
      <c r="DA469" s="27" t="s">
        <v>8</v>
      </c>
      <c r="DB469" s="27" t="s">
        <v>7</v>
      </c>
      <c r="DC469" s="27" t="s">
        <v>8</v>
      </c>
      <c r="DD469" s="27" t="s">
        <v>7</v>
      </c>
      <c r="DE469" s="27" t="s">
        <v>8</v>
      </c>
      <c r="DP469" s="27" t="s">
        <v>7</v>
      </c>
      <c r="DQ469" s="27" t="s">
        <v>8</v>
      </c>
      <c r="DT469" s="27" t="s">
        <v>7</v>
      </c>
    </row>
    <row r="470" spans="1:124" x14ac:dyDescent="0.25">
      <c r="A470" s="7">
        <v>10.14425356216856</v>
      </c>
      <c r="B470"/>
      <c r="C470"/>
      <c r="D470"/>
      <c r="E470" t="s">
        <v>8</v>
      </c>
      <c r="F470" s="27" t="s">
        <v>7</v>
      </c>
      <c r="G470" s="27" t="s">
        <v>8</v>
      </c>
      <c r="H470" s="27" t="s">
        <v>7</v>
      </c>
      <c r="AS470" s="27" t="s">
        <v>8</v>
      </c>
      <c r="AT470" s="27" t="s">
        <v>7</v>
      </c>
      <c r="AU470" s="27" t="s">
        <v>8</v>
      </c>
      <c r="AZ470" s="27" t="s">
        <v>7</v>
      </c>
      <c r="BA470" s="27" t="s">
        <v>8</v>
      </c>
      <c r="BB470" s="27" t="s">
        <v>7</v>
      </c>
      <c r="BE470" s="27" t="s">
        <v>8</v>
      </c>
      <c r="BF470" s="27" t="s">
        <v>7</v>
      </c>
      <c r="BS470" s="27" t="s">
        <v>8</v>
      </c>
      <c r="BT470" s="27" t="s">
        <v>7</v>
      </c>
      <c r="BU470" s="27" t="s">
        <v>8</v>
      </c>
      <c r="BV470" s="27" t="s">
        <v>7</v>
      </c>
      <c r="BW470" s="27" t="s">
        <v>8</v>
      </c>
      <c r="BX470" s="27" t="s">
        <v>7</v>
      </c>
      <c r="BY470" s="27" t="s">
        <v>8</v>
      </c>
      <c r="BZ470" s="27" t="s">
        <v>7</v>
      </c>
      <c r="CC470" s="27" t="s">
        <v>8</v>
      </c>
      <c r="CE470" s="27" t="s">
        <v>8</v>
      </c>
      <c r="CI470" s="27" t="s">
        <v>8</v>
      </c>
      <c r="CJ470" s="27" t="s">
        <v>7</v>
      </c>
      <c r="CU470" s="27" t="s">
        <v>8</v>
      </c>
      <c r="CX470" s="27" t="s">
        <v>7</v>
      </c>
      <c r="CZ470" s="27" t="s">
        <v>7</v>
      </c>
      <c r="DA470" s="27" t="s">
        <v>8</v>
      </c>
      <c r="DB470" s="27" t="s">
        <v>7</v>
      </c>
      <c r="DC470" s="27" t="s">
        <v>8</v>
      </c>
      <c r="DD470" s="27" t="s">
        <v>7</v>
      </c>
      <c r="DE470" s="27" t="s">
        <v>8</v>
      </c>
      <c r="DP470" s="27" t="s">
        <v>7</v>
      </c>
      <c r="DT470" s="27" t="s">
        <v>7</v>
      </c>
    </row>
    <row r="471" spans="1:124" x14ac:dyDescent="0.25">
      <c r="A471" s="7">
        <v>9.9453466295770188</v>
      </c>
      <c r="B471"/>
      <c r="C471"/>
      <c r="D471"/>
      <c r="E471" t="s">
        <v>8</v>
      </c>
      <c r="F471" s="27" t="s">
        <v>7</v>
      </c>
      <c r="G471" s="27" t="s">
        <v>8</v>
      </c>
      <c r="H471" s="27" t="s">
        <v>7</v>
      </c>
      <c r="AS471" s="27" t="s">
        <v>8</v>
      </c>
      <c r="AT471" s="27" t="s">
        <v>7</v>
      </c>
      <c r="AU471" s="27" t="s">
        <v>8</v>
      </c>
      <c r="AZ471" s="27" t="s">
        <v>7</v>
      </c>
      <c r="BA471" s="27" t="s">
        <v>8</v>
      </c>
      <c r="BB471" s="27" t="s">
        <v>7</v>
      </c>
      <c r="BE471" s="27" t="s">
        <v>8</v>
      </c>
      <c r="BF471" s="27" t="s">
        <v>7</v>
      </c>
      <c r="BS471" s="27" t="s">
        <v>8</v>
      </c>
      <c r="BT471" s="27" t="s">
        <v>7</v>
      </c>
      <c r="BU471" s="27" t="s">
        <v>8</v>
      </c>
      <c r="BV471" s="27" t="s">
        <v>7</v>
      </c>
      <c r="BX471" s="27" t="s">
        <v>7</v>
      </c>
      <c r="BY471" s="27" t="s">
        <v>8</v>
      </c>
      <c r="BZ471" s="27" t="s">
        <v>7</v>
      </c>
      <c r="CC471" s="27" t="s">
        <v>8</v>
      </c>
      <c r="CD471" s="27" t="s">
        <v>7</v>
      </c>
      <c r="CE471" s="27" t="s">
        <v>8</v>
      </c>
      <c r="CF471" s="27" t="s">
        <v>7</v>
      </c>
      <c r="CI471" s="27" t="s">
        <v>8</v>
      </c>
      <c r="CJ471" s="27" t="s">
        <v>7</v>
      </c>
      <c r="CU471" s="27" t="s">
        <v>8</v>
      </c>
      <c r="CZ471" s="27" t="s">
        <v>7</v>
      </c>
      <c r="DA471" s="27" t="s">
        <v>8</v>
      </c>
      <c r="DB471" s="27" t="s">
        <v>7</v>
      </c>
      <c r="DC471" s="27" t="s">
        <v>8</v>
      </c>
      <c r="DD471" s="27" t="s">
        <v>7</v>
      </c>
      <c r="DE471" s="27" t="s">
        <v>8</v>
      </c>
      <c r="DT471" s="27" t="s">
        <v>7</v>
      </c>
    </row>
    <row r="472" spans="1:124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G472" s="27" t="s">
        <v>8</v>
      </c>
      <c r="H472" s="27" t="s">
        <v>7</v>
      </c>
      <c r="AQ472" s="27" t="s">
        <v>8</v>
      </c>
      <c r="AS472" s="27" t="s">
        <v>8</v>
      </c>
      <c r="AT472" s="27" t="s">
        <v>7</v>
      </c>
      <c r="AZ472" s="27" t="s">
        <v>7</v>
      </c>
      <c r="BA472" s="27" t="s">
        <v>8</v>
      </c>
      <c r="BB472" s="27" t="s">
        <v>7</v>
      </c>
      <c r="BE472" s="27" t="s">
        <v>8</v>
      </c>
      <c r="BF472" s="27" t="s">
        <v>7</v>
      </c>
      <c r="BS472" s="27" t="s">
        <v>8</v>
      </c>
      <c r="BT472" s="27" t="s">
        <v>7</v>
      </c>
      <c r="BU472" s="27" t="s">
        <v>8</v>
      </c>
      <c r="BX472" s="27" t="s">
        <v>7</v>
      </c>
      <c r="BY472" s="27" t="s">
        <v>8</v>
      </c>
      <c r="BZ472" s="27" t="s">
        <v>7</v>
      </c>
      <c r="CC472" s="27" t="s">
        <v>8</v>
      </c>
      <c r="CD472" s="27" t="s">
        <v>7</v>
      </c>
      <c r="CE472" s="27" t="s">
        <v>8</v>
      </c>
      <c r="CF472" s="27" t="s">
        <v>7</v>
      </c>
      <c r="CI472" s="27" t="s">
        <v>8</v>
      </c>
      <c r="CJ472" s="27" t="s">
        <v>7</v>
      </c>
      <c r="CK472" s="27" t="s">
        <v>8</v>
      </c>
      <c r="CM472" s="27" t="s">
        <v>8</v>
      </c>
      <c r="CU472" s="27" t="s">
        <v>8</v>
      </c>
      <c r="CZ472" s="27" t="s">
        <v>7</v>
      </c>
      <c r="DB472" s="27" t="s">
        <v>7</v>
      </c>
      <c r="DC472" s="27" t="s">
        <v>8</v>
      </c>
      <c r="DD472" s="27" t="s">
        <v>7</v>
      </c>
      <c r="DE472" s="27" t="s">
        <v>8</v>
      </c>
      <c r="DT472" s="27" t="s">
        <v>7</v>
      </c>
    </row>
    <row r="473" spans="1:124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H473" s="27" t="s">
        <v>7</v>
      </c>
      <c r="AI473" s="27" t="s">
        <v>8</v>
      </c>
      <c r="AK473" s="27" t="s">
        <v>8</v>
      </c>
      <c r="AO473" s="27" t="s">
        <v>8</v>
      </c>
      <c r="AQ473" s="27" t="s">
        <v>8</v>
      </c>
      <c r="AR473" s="27" t="s">
        <v>7</v>
      </c>
      <c r="AS473" s="27" t="s">
        <v>8</v>
      </c>
      <c r="AZ473" s="27" t="s">
        <v>7</v>
      </c>
      <c r="BA473" s="27" t="s">
        <v>8</v>
      </c>
      <c r="BB473" s="27" t="s">
        <v>7</v>
      </c>
      <c r="BC473" s="27" t="s">
        <v>8</v>
      </c>
      <c r="BE473" s="27" t="s">
        <v>8</v>
      </c>
      <c r="BF473" s="27" t="s">
        <v>7</v>
      </c>
      <c r="BS473" s="27" t="s">
        <v>8</v>
      </c>
      <c r="BT473" s="27" t="s">
        <v>7</v>
      </c>
      <c r="BU473" s="27" t="s">
        <v>8</v>
      </c>
      <c r="BX473" s="27" t="s">
        <v>7</v>
      </c>
      <c r="BY473" s="27" t="s">
        <v>8</v>
      </c>
      <c r="BZ473" s="27" t="s">
        <v>7</v>
      </c>
      <c r="CC473" s="27" t="s">
        <v>8</v>
      </c>
      <c r="CD473" s="27" t="s">
        <v>7</v>
      </c>
      <c r="CE473" s="27" t="s">
        <v>8</v>
      </c>
      <c r="CF473" s="27" t="s">
        <v>7</v>
      </c>
      <c r="CI473" s="27" t="s">
        <v>8</v>
      </c>
      <c r="CJ473" s="27" t="s">
        <v>7</v>
      </c>
      <c r="CK473" s="27" t="s">
        <v>8</v>
      </c>
      <c r="CL473" s="27" t="s">
        <v>7</v>
      </c>
      <c r="CM473" s="27" t="s">
        <v>8</v>
      </c>
      <c r="CN473" s="27" t="s">
        <v>7</v>
      </c>
      <c r="CU473" s="27" t="s">
        <v>8</v>
      </c>
      <c r="DB473" s="27" t="s">
        <v>7</v>
      </c>
      <c r="DC473" s="27" t="s">
        <v>8</v>
      </c>
      <c r="DD473" s="27" t="s">
        <v>7</v>
      </c>
      <c r="DE473" s="27" t="s">
        <v>8</v>
      </c>
      <c r="DT473" s="27" t="s">
        <v>7</v>
      </c>
    </row>
    <row r="474" spans="1:124" x14ac:dyDescent="0.25">
      <c r="A474" s="7">
        <v>9.3717222538625968</v>
      </c>
      <c r="B474"/>
      <c r="C474"/>
      <c r="D474"/>
      <c r="E474" t="s">
        <v>8</v>
      </c>
      <c r="H474" s="27" t="s">
        <v>7</v>
      </c>
      <c r="AI474" s="27" t="s">
        <v>8</v>
      </c>
      <c r="AJ474" s="27" t="s">
        <v>7</v>
      </c>
      <c r="AK474" s="27" t="s">
        <v>8</v>
      </c>
      <c r="AL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S474" s="27" t="s">
        <v>8</v>
      </c>
      <c r="AZ474" s="27" t="s">
        <v>7</v>
      </c>
      <c r="BA474" s="27" t="s">
        <v>8</v>
      </c>
      <c r="BB474" s="27" t="s">
        <v>7</v>
      </c>
      <c r="BC474" s="27" t="s">
        <v>8</v>
      </c>
      <c r="BD474" s="27" t="s">
        <v>7</v>
      </c>
      <c r="BE474" s="27" t="s">
        <v>8</v>
      </c>
      <c r="BF474" s="27" t="s">
        <v>7</v>
      </c>
      <c r="BS474" s="27" t="s">
        <v>8</v>
      </c>
      <c r="BT474" s="27" t="s">
        <v>7</v>
      </c>
      <c r="BX474" s="27" t="s">
        <v>7</v>
      </c>
      <c r="BZ474" s="27" t="s">
        <v>7</v>
      </c>
      <c r="CC474" s="27" t="s">
        <v>8</v>
      </c>
      <c r="CD474" s="27" t="s">
        <v>7</v>
      </c>
      <c r="CE474" s="27" t="s">
        <v>8</v>
      </c>
      <c r="CF474" s="27" t="s">
        <v>7</v>
      </c>
      <c r="CG474" s="27" t="s">
        <v>8</v>
      </c>
      <c r="CI474" s="27" t="s">
        <v>8</v>
      </c>
      <c r="CJ474" s="27" t="s">
        <v>7</v>
      </c>
      <c r="CK474" s="27" t="s">
        <v>8</v>
      </c>
      <c r="CL474" s="27" t="s">
        <v>7</v>
      </c>
      <c r="CM474" s="27" t="s">
        <v>8</v>
      </c>
      <c r="CN474" s="27" t="s">
        <v>7</v>
      </c>
      <c r="CS474" s="27" t="s">
        <v>8</v>
      </c>
      <c r="CU474" s="27" t="s">
        <v>8</v>
      </c>
      <c r="DB474" s="27" t="s">
        <v>7</v>
      </c>
      <c r="DC474" s="27" t="s">
        <v>8</v>
      </c>
      <c r="DD474" s="27" t="s">
        <v>7</v>
      </c>
      <c r="DE474" s="27" t="s">
        <v>8</v>
      </c>
      <c r="DT474" s="27" t="s">
        <v>7</v>
      </c>
    </row>
    <row r="475" spans="1:124" x14ac:dyDescent="0.25">
      <c r="A475" s="7">
        <v>9.1879629939829375</v>
      </c>
      <c r="B475"/>
      <c r="C475"/>
      <c r="D475"/>
      <c r="E475" t="s">
        <v>8</v>
      </c>
      <c r="H475" s="27" t="s">
        <v>7</v>
      </c>
      <c r="AI475" s="27" t="s">
        <v>8</v>
      </c>
      <c r="AJ475" s="27" t="s">
        <v>7</v>
      </c>
      <c r="AK475" s="27" t="s">
        <v>8</v>
      </c>
      <c r="AL475" s="27" t="s">
        <v>7</v>
      </c>
      <c r="AM475" s="27" t="s">
        <v>8</v>
      </c>
      <c r="AO475" s="27" t="s">
        <v>8</v>
      </c>
      <c r="AP475" s="27" t="s">
        <v>7</v>
      </c>
      <c r="AQ475" s="27" t="s">
        <v>8</v>
      </c>
      <c r="AR475" s="27" t="s">
        <v>7</v>
      </c>
      <c r="AS475" s="27" t="s">
        <v>8</v>
      </c>
      <c r="AZ475" s="27" t="s">
        <v>7</v>
      </c>
      <c r="BA475" s="27" t="s">
        <v>8</v>
      </c>
      <c r="BB475" s="27" t="s">
        <v>7</v>
      </c>
      <c r="BC475" s="27" t="s">
        <v>8</v>
      </c>
      <c r="BD475" s="27" t="s">
        <v>7</v>
      </c>
      <c r="BE475" s="27" t="s">
        <v>8</v>
      </c>
      <c r="BF475" s="27" t="s">
        <v>7</v>
      </c>
      <c r="BS475" s="27" t="s">
        <v>8</v>
      </c>
      <c r="BZ475" s="27" t="s">
        <v>7</v>
      </c>
      <c r="CC475" s="27" t="s">
        <v>8</v>
      </c>
      <c r="CD475" s="27" t="s">
        <v>7</v>
      </c>
      <c r="CE475" s="27" t="s">
        <v>8</v>
      </c>
      <c r="CF475" s="27" t="s">
        <v>7</v>
      </c>
      <c r="CG475" s="27" t="s">
        <v>8</v>
      </c>
      <c r="CH475" s="27" t="s">
        <v>7</v>
      </c>
      <c r="CI475" s="27" t="s">
        <v>8</v>
      </c>
      <c r="CJ475" s="27" t="s">
        <v>7</v>
      </c>
      <c r="CK475" s="27" t="s">
        <v>8</v>
      </c>
      <c r="CL475" s="27" t="s">
        <v>7</v>
      </c>
      <c r="CN475" s="27" t="s">
        <v>7</v>
      </c>
      <c r="CS475" s="27" t="s">
        <v>8</v>
      </c>
      <c r="CT475" s="27" t="s">
        <v>7</v>
      </c>
      <c r="CU475" s="27" t="s">
        <v>8</v>
      </c>
      <c r="DB475" s="27" t="s">
        <v>7</v>
      </c>
      <c r="DC475" s="27" t="s">
        <v>8</v>
      </c>
      <c r="DD475" s="27" t="s">
        <v>7</v>
      </c>
      <c r="DE475" s="27" t="s">
        <v>8</v>
      </c>
      <c r="DT475" s="27" t="s">
        <v>7</v>
      </c>
    </row>
    <row r="476" spans="1:124" x14ac:dyDescent="0.25">
      <c r="A476" s="7">
        <v>9.0078068568460168</v>
      </c>
      <c r="B476"/>
      <c r="C476"/>
      <c r="D476"/>
      <c r="E476" t="s">
        <v>8</v>
      </c>
      <c r="H476" s="27" t="s">
        <v>7</v>
      </c>
      <c r="O476" s="27" t="s">
        <v>8</v>
      </c>
      <c r="AI476" s="27" t="s">
        <v>8</v>
      </c>
      <c r="AJ476" s="27" t="s">
        <v>7</v>
      </c>
      <c r="AK476" s="27" t="s">
        <v>8</v>
      </c>
      <c r="AL476" s="27" t="s">
        <v>7</v>
      </c>
      <c r="AM476" s="27" t="s">
        <v>8</v>
      </c>
      <c r="AN476" s="27" t="s">
        <v>7</v>
      </c>
      <c r="AO476" s="27" t="s">
        <v>8</v>
      </c>
      <c r="AP476" s="27" t="s">
        <v>7</v>
      </c>
      <c r="AQ476" s="27" t="s">
        <v>8</v>
      </c>
      <c r="AR476" s="27" t="s">
        <v>7</v>
      </c>
      <c r="AS476" s="27" t="s">
        <v>8</v>
      </c>
      <c r="AZ476" s="27" t="s">
        <v>7</v>
      </c>
      <c r="BA476" s="27" t="s">
        <v>8</v>
      </c>
      <c r="BB476" s="27" t="s">
        <v>7</v>
      </c>
      <c r="BC476" s="27" t="s">
        <v>8</v>
      </c>
      <c r="BD476" s="27" t="s">
        <v>7</v>
      </c>
      <c r="BE476" s="27" t="s">
        <v>8</v>
      </c>
      <c r="BF476" s="27" t="s">
        <v>7</v>
      </c>
      <c r="BK476" s="27" t="s">
        <v>8</v>
      </c>
      <c r="BS476" s="27" t="s">
        <v>8</v>
      </c>
      <c r="BZ476" s="27" t="s">
        <v>7</v>
      </c>
      <c r="CA476" s="27" t="s">
        <v>8</v>
      </c>
      <c r="CC476" s="27" t="s">
        <v>8</v>
      </c>
      <c r="CD476" s="27" t="s">
        <v>7</v>
      </c>
      <c r="CF476" s="27" t="s">
        <v>7</v>
      </c>
      <c r="CG476" s="27" t="s">
        <v>8</v>
      </c>
      <c r="CH476" s="27" t="s">
        <v>7</v>
      </c>
      <c r="CI476" s="27" t="s">
        <v>8</v>
      </c>
      <c r="CJ476" s="27" t="s">
        <v>7</v>
      </c>
      <c r="CK476" s="27" t="s">
        <v>8</v>
      </c>
      <c r="CN476" s="27" t="s">
        <v>7</v>
      </c>
      <c r="CS476" s="27" t="s">
        <v>8</v>
      </c>
      <c r="CT476" s="27" t="s">
        <v>7</v>
      </c>
      <c r="CU476" s="27" t="s">
        <v>8</v>
      </c>
      <c r="DB476" s="27" t="s">
        <v>7</v>
      </c>
      <c r="DC476" s="27" t="s">
        <v>8</v>
      </c>
      <c r="DD476" s="27" t="s">
        <v>7</v>
      </c>
      <c r="DE476" s="27" t="s">
        <v>8</v>
      </c>
      <c r="DT476" s="27" t="s">
        <v>7</v>
      </c>
    </row>
    <row r="477" spans="1:124" x14ac:dyDescent="0.25">
      <c r="A477" s="7">
        <v>8.8311831929862912</v>
      </c>
      <c r="B477"/>
      <c r="C477"/>
      <c r="D477"/>
      <c r="E477" t="s">
        <v>8</v>
      </c>
      <c r="H477" s="27" t="s">
        <v>7</v>
      </c>
      <c r="O477" s="27" t="s">
        <v>8</v>
      </c>
      <c r="P477" s="27" t="s">
        <v>7</v>
      </c>
      <c r="AG477" s="27" t="s">
        <v>8</v>
      </c>
      <c r="AI477" s="27" t="s">
        <v>8</v>
      </c>
      <c r="AJ477" s="27" t="s">
        <v>7</v>
      </c>
      <c r="AK477" s="27" t="s">
        <v>8</v>
      </c>
      <c r="AL477" s="27" t="s">
        <v>7</v>
      </c>
      <c r="AM477" s="27" t="s">
        <v>8</v>
      </c>
      <c r="AN477" s="27" t="s">
        <v>7</v>
      </c>
      <c r="AO477" s="27" t="s">
        <v>8</v>
      </c>
      <c r="AP477" s="27" t="s">
        <v>7</v>
      </c>
      <c r="AQ477" s="27" t="s">
        <v>8</v>
      </c>
      <c r="AR477" s="27" t="s">
        <v>7</v>
      </c>
      <c r="AS477" s="27" t="s">
        <v>8</v>
      </c>
      <c r="AZ477" s="27" t="s">
        <v>7</v>
      </c>
      <c r="BA477" s="27" t="s">
        <v>8</v>
      </c>
      <c r="BB477" s="27" t="s">
        <v>7</v>
      </c>
      <c r="BC477" s="27" t="s">
        <v>8</v>
      </c>
      <c r="BD477" s="27" t="s">
        <v>7</v>
      </c>
      <c r="BE477" s="27" t="s">
        <v>8</v>
      </c>
      <c r="BF477" s="27" t="s">
        <v>7</v>
      </c>
      <c r="BK477" s="27" t="s">
        <v>8</v>
      </c>
      <c r="BL477" s="27" t="s">
        <v>7</v>
      </c>
      <c r="BQ477" s="27" t="s">
        <v>8</v>
      </c>
      <c r="BS477" s="27" t="s">
        <v>8</v>
      </c>
      <c r="BZ477" s="27" t="s">
        <v>7</v>
      </c>
      <c r="CA477" s="27" t="s">
        <v>8</v>
      </c>
      <c r="CB477" s="27" t="s">
        <v>7</v>
      </c>
      <c r="CC477" s="27" t="s">
        <v>8</v>
      </c>
      <c r="CF477" s="27" t="s">
        <v>7</v>
      </c>
      <c r="CG477" s="27" t="s">
        <v>8</v>
      </c>
      <c r="CH477" s="27" t="s">
        <v>7</v>
      </c>
      <c r="CJ477" s="27" t="s">
        <v>7</v>
      </c>
      <c r="CK477" s="27" t="s">
        <v>8</v>
      </c>
      <c r="CN477" s="27" t="s">
        <v>7</v>
      </c>
      <c r="CS477" s="27" t="s">
        <v>8</v>
      </c>
      <c r="CT477" s="27" t="s">
        <v>7</v>
      </c>
      <c r="DB477" s="27" t="s">
        <v>7</v>
      </c>
      <c r="DC477" s="27" t="s">
        <v>8</v>
      </c>
      <c r="DD477" s="27" t="s">
        <v>7</v>
      </c>
      <c r="DE477" s="27" t="s">
        <v>8</v>
      </c>
      <c r="DT477" s="27" t="s">
        <v>7</v>
      </c>
    </row>
    <row r="478" spans="1:124" x14ac:dyDescent="0.25">
      <c r="A478" s="7">
        <v>8.6580227382218542</v>
      </c>
      <c r="B478"/>
      <c r="C478"/>
      <c r="D478"/>
      <c r="E478" t="s">
        <v>8</v>
      </c>
      <c r="H478" s="27" t="s">
        <v>7</v>
      </c>
      <c r="O478" s="27" t="s">
        <v>8</v>
      </c>
      <c r="P478" s="27" t="s">
        <v>7</v>
      </c>
      <c r="AG478" s="27" t="s">
        <v>8</v>
      </c>
      <c r="AH478" s="27" t="s">
        <v>7</v>
      </c>
      <c r="AI478" s="27" t="s">
        <v>8</v>
      </c>
      <c r="AJ478" s="27" t="s">
        <v>7</v>
      </c>
      <c r="AK478" s="27" t="s">
        <v>8</v>
      </c>
      <c r="AL478" s="27" t="s">
        <v>7</v>
      </c>
      <c r="AM478" s="27" t="s">
        <v>8</v>
      </c>
      <c r="AN478" s="27" t="s">
        <v>7</v>
      </c>
      <c r="AP478" s="27" t="s">
        <v>7</v>
      </c>
      <c r="AQ478" s="27" t="s">
        <v>8</v>
      </c>
      <c r="AR478" s="27" t="s">
        <v>7</v>
      </c>
      <c r="AS478" s="27" t="s">
        <v>8</v>
      </c>
      <c r="AZ478" s="27" t="s">
        <v>7</v>
      </c>
      <c r="BA478" s="27" t="s">
        <v>8</v>
      </c>
      <c r="BB478" s="27" t="s">
        <v>7</v>
      </c>
      <c r="BD478" s="27" t="s">
        <v>7</v>
      </c>
      <c r="BE478" s="27" t="s">
        <v>8</v>
      </c>
      <c r="BF478" s="27" t="s">
        <v>7</v>
      </c>
      <c r="BK478" s="27" t="s">
        <v>8</v>
      </c>
      <c r="BL478" s="27" t="s">
        <v>7</v>
      </c>
      <c r="BQ478" s="27" t="s">
        <v>8</v>
      </c>
      <c r="BR478" s="27" t="s">
        <v>7</v>
      </c>
      <c r="BS478" s="27" t="s">
        <v>8</v>
      </c>
      <c r="BZ478" s="27" t="s">
        <v>7</v>
      </c>
      <c r="CA478" s="27" t="s">
        <v>8</v>
      </c>
      <c r="CB478" s="27" t="s">
        <v>7</v>
      </c>
      <c r="CC478" s="27" t="s">
        <v>8</v>
      </c>
      <c r="CF478" s="27" t="s">
        <v>7</v>
      </c>
      <c r="CJ478" s="27" t="s">
        <v>7</v>
      </c>
      <c r="CK478" s="27" t="s">
        <v>8</v>
      </c>
      <c r="CN478" s="27" t="s">
        <v>7</v>
      </c>
      <c r="CS478" s="27" t="s">
        <v>8</v>
      </c>
      <c r="DB478" s="27" t="s">
        <v>7</v>
      </c>
      <c r="DC478" s="27" t="s">
        <v>8</v>
      </c>
      <c r="DD478" s="27" t="s">
        <v>7</v>
      </c>
      <c r="DT478" s="27" t="s">
        <v>7</v>
      </c>
    </row>
    <row r="479" spans="1:124" x14ac:dyDescent="0.25">
      <c r="A479" s="7">
        <v>8.4882575864920131</v>
      </c>
      <c r="B479"/>
      <c r="C479"/>
      <c r="D479"/>
      <c r="E479" t="s">
        <v>8</v>
      </c>
      <c r="H479" s="27" t="s">
        <v>7</v>
      </c>
      <c r="O479" s="27" t="s">
        <v>8</v>
      </c>
      <c r="P479" s="27" t="s">
        <v>7</v>
      </c>
      <c r="AG479" s="27" t="s">
        <v>8</v>
      </c>
      <c r="AH479" s="27" t="s">
        <v>7</v>
      </c>
      <c r="AI479" s="27" t="s">
        <v>8</v>
      </c>
      <c r="AJ479" s="27" t="s">
        <v>7</v>
      </c>
      <c r="AK479" s="27" t="s">
        <v>8</v>
      </c>
      <c r="AL479" s="27" t="s">
        <v>7</v>
      </c>
      <c r="AM479" s="27" t="s">
        <v>8</v>
      </c>
      <c r="AP479" s="27" t="s">
        <v>7</v>
      </c>
      <c r="AQ479" s="27" t="s">
        <v>8</v>
      </c>
      <c r="AR479" s="27" t="s">
        <v>7</v>
      </c>
      <c r="AS479" s="27" t="s">
        <v>8</v>
      </c>
      <c r="AZ479" s="27" t="s">
        <v>7</v>
      </c>
      <c r="BA479" s="27" t="s">
        <v>8</v>
      </c>
      <c r="BD479" s="27" t="s">
        <v>7</v>
      </c>
      <c r="BF479" s="27" t="s">
        <v>7</v>
      </c>
      <c r="BK479" s="27" t="s">
        <v>8</v>
      </c>
      <c r="BL479" s="27" t="s">
        <v>7</v>
      </c>
      <c r="BQ479" s="27" t="s">
        <v>8</v>
      </c>
      <c r="BR479" s="27" t="s">
        <v>7</v>
      </c>
      <c r="BS479" s="27" t="s">
        <v>8</v>
      </c>
      <c r="BZ479" s="27" t="s">
        <v>7</v>
      </c>
      <c r="CA479" s="27" t="s">
        <v>8</v>
      </c>
      <c r="CB479" s="27" t="s">
        <v>7</v>
      </c>
      <c r="CC479" s="27" t="s">
        <v>8</v>
      </c>
      <c r="CJ479" s="27" t="s">
        <v>7</v>
      </c>
      <c r="CN479" s="27" t="s">
        <v>7</v>
      </c>
      <c r="CS479" s="27" t="s">
        <v>8</v>
      </c>
      <c r="DB479" s="27" t="s">
        <v>7</v>
      </c>
      <c r="DT479" s="27" t="s">
        <v>7</v>
      </c>
    </row>
    <row r="480" spans="1:124" x14ac:dyDescent="0.25">
      <c r="A480" s="7">
        <v>8.3218211632274635</v>
      </c>
      <c r="B480"/>
      <c r="C480"/>
      <c r="D480"/>
      <c r="E480" t="s">
        <v>8</v>
      </c>
      <c r="H480" s="27" t="s">
        <v>7</v>
      </c>
      <c r="I480" s="27" t="s">
        <v>8</v>
      </c>
      <c r="O480" s="27" t="s">
        <v>8</v>
      </c>
      <c r="P480" s="27" t="s">
        <v>7</v>
      </c>
      <c r="AG480" s="27" t="s">
        <v>8</v>
      </c>
      <c r="AH480" s="27" t="s">
        <v>7</v>
      </c>
      <c r="AI480" s="27" t="s">
        <v>8</v>
      </c>
      <c r="AJ480" s="27" t="s">
        <v>7</v>
      </c>
      <c r="AK480" s="27" t="s">
        <v>8</v>
      </c>
      <c r="AL480" s="27" t="s">
        <v>7</v>
      </c>
      <c r="AM480" s="27" t="s">
        <v>8</v>
      </c>
      <c r="AP480" s="27" t="s">
        <v>7</v>
      </c>
      <c r="AQ480" s="27" t="s">
        <v>8</v>
      </c>
      <c r="AR480" s="27" t="s">
        <v>7</v>
      </c>
      <c r="AS480" s="27" t="s">
        <v>8</v>
      </c>
      <c r="AZ480" s="27" t="s">
        <v>7</v>
      </c>
      <c r="BA480" s="27" t="s">
        <v>8</v>
      </c>
      <c r="BF480" s="27" t="s">
        <v>7</v>
      </c>
      <c r="BG480" s="27" t="s">
        <v>8</v>
      </c>
      <c r="BK480" s="27" t="s">
        <v>8</v>
      </c>
      <c r="BL480" s="27" t="s">
        <v>7</v>
      </c>
      <c r="BM480" s="27" t="s">
        <v>8</v>
      </c>
      <c r="BO480" s="27" t="s">
        <v>8</v>
      </c>
      <c r="BQ480" s="27" t="s">
        <v>8</v>
      </c>
      <c r="BR480" s="27" t="s">
        <v>7</v>
      </c>
      <c r="BS480" s="27" t="s">
        <v>8</v>
      </c>
      <c r="BZ480" s="27" t="s">
        <v>7</v>
      </c>
      <c r="CA480" s="27" t="s">
        <v>8</v>
      </c>
      <c r="CB480" s="27" t="s">
        <v>7</v>
      </c>
      <c r="CC480" s="27" t="s">
        <v>8</v>
      </c>
      <c r="CN480" s="27" t="s">
        <v>7</v>
      </c>
      <c r="CO480" s="27" t="s">
        <v>8</v>
      </c>
      <c r="CQ480" s="27" t="s">
        <v>8</v>
      </c>
      <c r="CS480" s="27" t="s">
        <v>8</v>
      </c>
      <c r="DT480" s="27" t="s">
        <v>7</v>
      </c>
    </row>
    <row r="481" spans="1:128" x14ac:dyDescent="0.25">
      <c r="A481" s="7">
        <v>8.1586481992426112</v>
      </c>
      <c r="B481"/>
      <c r="C481"/>
      <c r="D481"/>
      <c r="E481" t="s">
        <v>8</v>
      </c>
      <c r="H481" s="27" t="s">
        <v>7</v>
      </c>
      <c r="I481" s="27" t="s">
        <v>8</v>
      </c>
      <c r="J481" s="27" t="s">
        <v>7</v>
      </c>
      <c r="O481" s="27" t="s">
        <v>8</v>
      </c>
      <c r="P481" s="27" t="s">
        <v>7</v>
      </c>
      <c r="AG481" s="27" t="s">
        <v>8</v>
      </c>
      <c r="AH481" s="27" t="s">
        <v>7</v>
      </c>
      <c r="AI481" s="27" t="s">
        <v>8</v>
      </c>
      <c r="AJ481" s="27" t="s">
        <v>7</v>
      </c>
      <c r="AL481" s="27" t="s">
        <v>7</v>
      </c>
      <c r="AP481" s="27" t="s">
        <v>7</v>
      </c>
      <c r="AQ481" s="27" t="s">
        <v>8</v>
      </c>
      <c r="AR481" s="27" t="s">
        <v>7</v>
      </c>
      <c r="AS481" s="27" t="s">
        <v>8</v>
      </c>
      <c r="AZ481" s="27" t="s">
        <v>7</v>
      </c>
      <c r="BA481" s="27" t="s">
        <v>8</v>
      </c>
      <c r="BF481" s="27" t="s">
        <v>7</v>
      </c>
      <c r="BG481" s="27" t="s">
        <v>8</v>
      </c>
      <c r="BH481" s="27" t="s">
        <v>7</v>
      </c>
      <c r="BK481" s="27" t="s">
        <v>8</v>
      </c>
      <c r="BL481" s="27" t="s">
        <v>7</v>
      </c>
      <c r="BM481" s="27" t="s">
        <v>8</v>
      </c>
      <c r="BN481" s="27" t="s">
        <v>7</v>
      </c>
      <c r="BO481" s="27" t="s">
        <v>8</v>
      </c>
      <c r="BP481" s="27" t="s">
        <v>7</v>
      </c>
      <c r="BQ481" s="27" t="s">
        <v>8</v>
      </c>
      <c r="BR481" s="27" t="s">
        <v>7</v>
      </c>
      <c r="BS481" s="27" t="s">
        <v>8</v>
      </c>
      <c r="BZ481" s="27" t="s">
        <v>7</v>
      </c>
      <c r="CA481" s="27" t="s">
        <v>8</v>
      </c>
      <c r="CB481" s="27" t="s">
        <v>7</v>
      </c>
      <c r="CN481" s="27" t="s">
        <v>7</v>
      </c>
      <c r="CO481" s="27" t="s">
        <v>8</v>
      </c>
      <c r="CP481" s="27" t="s">
        <v>7</v>
      </c>
      <c r="CQ481" s="27" t="s">
        <v>8</v>
      </c>
      <c r="CR481" s="27" t="s">
        <v>7</v>
      </c>
      <c r="CS481" s="27" t="s">
        <v>8</v>
      </c>
      <c r="DT481" s="27" t="s">
        <v>7</v>
      </c>
    </row>
    <row r="482" spans="1:128" x14ac:dyDescent="0.25">
      <c r="A482" s="7">
        <v>7.9986747051398144</v>
      </c>
      <c r="B482"/>
      <c r="C482"/>
      <c r="D482"/>
      <c r="E482" t="s">
        <v>8</v>
      </c>
      <c r="H482" s="27" t="s">
        <v>7</v>
      </c>
      <c r="I482" s="27" t="s">
        <v>8</v>
      </c>
      <c r="J482" s="27" t="s">
        <v>7</v>
      </c>
      <c r="O482" s="27" t="s">
        <v>8</v>
      </c>
      <c r="P482" s="27" t="s">
        <v>7</v>
      </c>
      <c r="AG482" s="27" t="s">
        <v>8</v>
      </c>
      <c r="AH482" s="27" t="s">
        <v>7</v>
      </c>
      <c r="AI482" s="27" t="s">
        <v>8</v>
      </c>
      <c r="AP482" s="27" t="s">
        <v>7</v>
      </c>
      <c r="AQ482" s="27" t="s">
        <v>8</v>
      </c>
      <c r="AR482" s="27" t="s">
        <v>7</v>
      </c>
      <c r="AZ482" s="27" t="s">
        <v>7</v>
      </c>
      <c r="BF482" s="27" t="s">
        <v>7</v>
      </c>
      <c r="BG482" s="27" t="s">
        <v>8</v>
      </c>
      <c r="BH482" s="27" t="s">
        <v>7</v>
      </c>
      <c r="BK482" s="27" t="s">
        <v>8</v>
      </c>
      <c r="BL482" s="27" t="s">
        <v>7</v>
      </c>
      <c r="BM482" s="27" t="s">
        <v>8</v>
      </c>
      <c r="BN482" s="27" t="s">
        <v>7</v>
      </c>
      <c r="BO482" s="27" t="s">
        <v>8</v>
      </c>
      <c r="BP482" s="27" t="s">
        <v>7</v>
      </c>
      <c r="BQ482" s="27" t="s">
        <v>8</v>
      </c>
      <c r="BR482" s="27" t="s">
        <v>7</v>
      </c>
      <c r="BZ482" s="27" t="s">
        <v>7</v>
      </c>
      <c r="CA482" s="27" t="s">
        <v>8</v>
      </c>
      <c r="CN482" s="27" t="s">
        <v>7</v>
      </c>
      <c r="CO482" s="27" t="s">
        <v>8</v>
      </c>
      <c r="CP482" s="27" t="s">
        <v>7</v>
      </c>
      <c r="CQ482" s="27" t="s">
        <v>8</v>
      </c>
      <c r="CR482" s="27" t="s">
        <v>7</v>
      </c>
      <c r="CS482" s="27" t="s">
        <v>8</v>
      </c>
      <c r="DT482" s="27" t="s">
        <v>7</v>
      </c>
    </row>
    <row r="483" spans="1:128" x14ac:dyDescent="0.25">
      <c r="A483" s="7">
        <v>7.8418379462155041</v>
      </c>
      <c r="B483"/>
      <c r="C483"/>
      <c r="D483"/>
      <c r="E483" t="s">
        <v>8</v>
      </c>
      <c r="H483" s="27" t="s">
        <v>7</v>
      </c>
      <c r="I483" s="27" t="s">
        <v>8</v>
      </c>
      <c r="J483" s="27" t="s">
        <v>7</v>
      </c>
      <c r="O483" s="27" t="s">
        <v>8</v>
      </c>
      <c r="P483" s="27" t="s">
        <v>7</v>
      </c>
      <c r="Q483" s="27" t="s">
        <v>8</v>
      </c>
      <c r="AC483" s="27" t="s">
        <v>8</v>
      </c>
      <c r="AG483" s="27" t="s">
        <v>8</v>
      </c>
      <c r="AH483" s="27" t="s">
        <v>7</v>
      </c>
      <c r="AI483" s="27" t="s">
        <v>8</v>
      </c>
      <c r="AP483" s="27" t="s">
        <v>7</v>
      </c>
      <c r="AQ483" s="27" t="s">
        <v>8</v>
      </c>
      <c r="BF483" s="27" t="s">
        <v>7</v>
      </c>
      <c r="BG483" s="27" t="s">
        <v>8</v>
      </c>
      <c r="BH483" s="27" t="s">
        <v>7</v>
      </c>
      <c r="BK483" s="27" t="s">
        <v>8</v>
      </c>
      <c r="BL483" s="27" t="s">
        <v>7</v>
      </c>
      <c r="BN483" s="27" t="s">
        <v>7</v>
      </c>
      <c r="BO483" s="27" t="s">
        <v>8</v>
      </c>
      <c r="BP483" s="27" t="s">
        <v>7</v>
      </c>
      <c r="BQ483" s="27" t="s">
        <v>8</v>
      </c>
      <c r="BZ483" s="27" t="s">
        <v>7</v>
      </c>
      <c r="CA483" s="27" t="s">
        <v>8</v>
      </c>
      <c r="CN483" s="27" t="s">
        <v>7</v>
      </c>
      <c r="CO483" s="27" t="s">
        <v>8</v>
      </c>
      <c r="CP483" s="27" t="s">
        <v>7</v>
      </c>
      <c r="CQ483" s="27" t="s">
        <v>8</v>
      </c>
      <c r="CR483" s="27" t="s">
        <v>7</v>
      </c>
      <c r="CS483" s="27" t="s">
        <v>8</v>
      </c>
      <c r="DT483" s="27" t="s">
        <v>7</v>
      </c>
    </row>
    <row r="484" spans="1:128" x14ac:dyDescent="0.25">
      <c r="A484" s="7">
        <v>7.688076417858337</v>
      </c>
      <c r="B484"/>
      <c r="C484"/>
      <c r="D484"/>
      <c r="E484" t="s">
        <v>8</v>
      </c>
      <c r="H484" s="27" t="s">
        <v>7</v>
      </c>
      <c r="J484" s="27" t="s">
        <v>7</v>
      </c>
      <c r="O484" s="27" t="s">
        <v>8</v>
      </c>
      <c r="P484" s="27" t="s">
        <v>7</v>
      </c>
      <c r="Q484" s="27" t="s">
        <v>8</v>
      </c>
      <c r="R484" s="27" t="s">
        <v>7</v>
      </c>
      <c r="AC484" s="27" t="s">
        <v>8</v>
      </c>
      <c r="AD484" s="27" t="s">
        <v>7</v>
      </c>
      <c r="AG484" s="27" t="s">
        <v>8</v>
      </c>
      <c r="AH484" s="27" t="s">
        <v>7</v>
      </c>
      <c r="AI484" s="27" t="s">
        <v>8</v>
      </c>
      <c r="AP484" s="27" t="s">
        <v>7</v>
      </c>
      <c r="AQ484" s="27" t="s">
        <v>8</v>
      </c>
      <c r="BF484" s="27" t="s">
        <v>7</v>
      </c>
      <c r="BG484" s="27" t="s">
        <v>8</v>
      </c>
      <c r="BH484" s="27" t="s">
        <v>7</v>
      </c>
      <c r="BK484" s="27" t="s">
        <v>8</v>
      </c>
      <c r="BN484" s="27" t="s">
        <v>7</v>
      </c>
      <c r="BP484" s="27" t="s">
        <v>7</v>
      </c>
      <c r="BQ484" s="27" t="s">
        <v>8</v>
      </c>
      <c r="BZ484" s="27" t="s">
        <v>7</v>
      </c>
      <c r="CA484" s="27" t="s">
        <v>8</v>
      </c>
      <c r="CN484" s="27" t="s">
        <v>7</v>
      </c>
      <c r="CP484" s="27" t="s">
        <v>7</v>
      </c>
      <c r="CQ484" s="27" t="s">
        <v>8</v>
      </c>
      <c r="CR484" s="27" t="s">
        <v>7</v>
      </c>
      <c r="CS484" s="27" t="s">
        <v>8</v>
      </c>
      <c r="DT484" s="27" t="s">
        <v>7</v>
      </c>
    </row>
    <row r="485" spans="1:128" x14ac:dyDescent="0.25">
      <c r="A485" s="7">
        <v>7.5373298214297417</v>
      </c>
      <c r="B485"/>
      <c r="C485"/>
      <c r="D485"/>
      <c r="E485" t="s">
        <v>8</v>
      </c>
      <c r="J485" s="27" t="s">
        <v>7</v>
      </c>
      <c r="O485" s="27" t="s">
        <v>8</v>
      </c>
      <c r="P485" s="27" t="s">
        <v>7</v>
      </c>
      <c r="Q485" s="27" t="s">
        <v>8</v>
      </c>
      <c r="R485" s="27" t="s">
        <v>7</v>
      </c>
      <c r="AC485" s="27" t="s">
        <v>8</v>
      </c>
      <c r="AD485" s="27" t="s">
        <v>7</v>
      </c>
      <c r="AG485" s="27" t="s">
        <v>8</v>
      </c>
      <c r="AH485" s="27" t="s">
        <v>7</v>
      </c>
      <c r="AI485" s="27" t="s">
        <v>8</v>
      </c>
      <c r="AP485" s="27" t="s">
        <v>7</v>
      </c>
      <c r="BF485" s="27" t="s">
        <v>7</v>
      </c>
      <c r="BG485" s="27" t="s">
        <v>8</v>
      </c>
      <c r="BH485" s="27" t="s">
        <v>7</v>
      </c>
      <c r="BK485" s="27" t="s">
        <v>8</v>
      </c>
      <c r="BP485" s="27" t="s">
        <v>7</v>
      </c>
      <c r="BQ485" s="27" t="s">
        <v>8</v>
      </c>
      <c r="BZ485" s="27" t="s">
        <v>7</v>
      </c>
      <c r="CP485" s="27" t="s">
        <v>7</v>
      </c>
      <c r="CQ485" s="27" t="s">
        <v>8</v>
      </c>
      <c r="CR485" s="27" t="s">
        <v>7</v>
      </c>
      <c r="DT485" s="27" t="s">
        <v>7</v>
      </c>
      <c r="DW485" s="27" t="s">
        <v>8</v>
      </c>
    </row>
    <row r="486" spans="1:128" x14ac:dyDescent="0.25">
      <c r="A486" s="7">
        <v>7.389539040617394</v>
      </c>
      <c r="B486"/>
      <c r="C486"/>
      <c r="D486"/>
      <c r="E486" t="s">
        <v>8</v>
      </c>
      <c r="J486" s="27" t="s">
        <v>7</v>
      </c>
      <c r="O486" s="27" t="s">
        <v>8</v>
      </c>
      <c r="P486" s="27" t="s">
        <v>7</v>
      </c>
      <c r="Q486" s="27" t="s">
        <v>8</v>
      </c>
      <c r="R486" s="27" t="s">
        <v>7</v>
      </c>
      <c r="S486" s="27" t="s">
        <v>8</v>
      </c>
      <c r="AC486" s="27" t="s">
        <v>8</v>
      </c>
      <c r="AD486" s="27" t="s">
        <v>7</v>
      </c>
      <c r="AG486" s="27" t="s">
        <v>8</v>
      </c>
      <c r="AH486" s="27" t="s">
        <v>7</v>
      </c>
      <c r="AI486" s="27" t="s">
        <v>8</v>
      </c>
      <c r="BF486" s="27" t="s">
        <v>7</v>
      </c>
      <c r="BG486" s="27" t="s">
        <v>8</v>
      </c>
      <c r="BH486" s="27" t="s">
        <v>7</v>
      </c>
      <c r="BK486" s="27" t="s">
        <v>8</v>
      </c>
      <c r="BP486" s="27" t="s">
        <v>7</v>
      </c>
      <c r="BQ486" s="27" t="s">
        <v>8</v>
      </c>
      <c r="CP486" s="27" t="s">
        <v>7</v>
      </c>
      <c r="CQ486" s="27" t="s">
        <v>8</v>
      </c>
      <c r="DT486" s="27" t="s">
        <v>7</v>
      </c>
      <c r="DU486" s="27" t="s">
        <v>8</v>
      </c>
      <c r="DW486" s="27" t="s">
        <v>8</v>
      </c>
      <c r="DX486" s="27" t="s">
        <v>7</v>
      </c>
    </row>
    <row r="487" spans="1:128" x14ac:dyDescent="0.25">
      <c r="A487" s="7">
        <v>7.2446461182523469</v>
      </c>
      <c r="B487"/>
      <c r="C487"/>
      <c r="D487"/>
      <c r="E487" t="s">
        <v>8</v>
      </c>
      <c r="J487" s="27" t="s">
        <v>7</v>
      </c>
      <c r="O487" s="27" t="s">
        <v>8</v>
      </c>
      <c r="P487" s="27" t="s">
        <v>7</v>
      </c>
      <c r="Q487" s="27" t="s">
        <v>8</v>
      </c>
      <c r="R487" s="27" t="s">
        <v>7</v>
      </c>
      <c r="S487" s="27" t="s">
        <v>8</v>
      </c>
      <c r="T487" s="27" t="s">
        <v>7</v>
      </c>
      <c r="AC487" s="27" t="s">
        <v>8</v>
      </c>
      <c r="AD487" s="27" t="s">
        <v>7</v>
      </c>
      <c r="AG487" s="27" t="s">
        <v>8</v>
      </c>
      <c r="AH487" s="27" t="s">
        <v>7</v>
      </c>
      <c r="BF487" s="27" t="s">
        <v>7</v>
      </c>
      <c r="BG487" s="27" t="s">
        <v>8</v>
      </c>
      <c r="BH487" s="27" t="s">
        <v>7</v>
      </c>
      <c r="BI487" s="27" t="s">
        <v>8</v>
      </c>
      <c r="BK487" s="27" t="s">
        <v>8</v>
      </c>
      <c r="BP487" s="27" t="s">
        <v>7</v>
      </c>
      <c r="BQ487" s="27" t="s">
        <v>8</v>
      </c>
      <c r="CP487" s="27" t="s">
        <v>7</v>
      </c>
      <c r="DT487" s="27" t="s">
        <v>7</v>
      </c>
      <c r="DU487" s="27" t="s">
        <v>8</v>
      </c>
      <c r="DV487" s="27" t="s">
        <v>7</v>
      </c>
      <c r="DW487" s="27" t="s">
        <v>8</v>
      </c>
      <c r="DX487" s="27" t="s">
        <v>7</v>
      </c>
    </row>
    <row r="488" spans="1:128" x14ac:dyDescent="0.25">
      <c r="A488" s="7">
        <v>7.1025942335807324</v>
      </c>
      <c r="B488"/>
      <c r="C488"/>
      <c r="D488"/>
      <c r="E488" t="s">
        <v>8</v>
      </c>
      <c r="J488" s="27" t="s">
        <v>7</v>
      </c>
      <c r="O488" s="27" t="s">
        <v>8</v>
      </c>
      <c r="P488" s="27" t="s">
        <v>7</v>
      </c>
      <c r="Q488" s="27" t="s">
        <v>8</v>
      </c>
      <c r="R488" s="27" t="s">
        <v>7</v>
      </c>
      <c r="S488" s="27" t="s">
        <v>8</v>
      </c>
      <c r="T488" s="27" t="s">
        <v>7</v>
      </c>
      <c r="AC488" s="27" t="s">
        <v>8</v>
      </c>
      <c r="AD488" s="27" t="s">
        <v>7</v>
      </c>
      <c r="AG488" s="27" t="s">
        <v>8</v>
      </c>
      <c r="BF488" s="27" t="s">
        <v>7</v>
      </c>
      <c r="BG488" s="27" t="s">
        <v>8</v>
      </c>
      <c r="BH488" s="27" t="s">
        <v>7</v>
      </c>
      <c r="BI488" s="27" t="s">
        <v>8</v>
      </c>
      <c r="BJ488" s="27" t="s">
        <v>7</v>
      </c>
      <c r="BK488" s="27" t="s">
        <v>8</v>
      </c>
      <c r="BP488" s="27" t="s">
        <v>7</v>
      </c>
      <c r="BQ488" s="27" t="s">
        <v>8</v>
      </c>
      <c r="DT488" s="27" t="s">
        <v>7</v>
      </c>
      <c r="DU488" s="27" t="s">
        <v>8</v>
      </c>
      <c r="DV488" s="27" t="s">
        <v>7</v>
      </c>
      <c r="DW488" s="27" t="s">
        <v>8</v>
      </c>
      <c r="DX488" s="27" t="s">
        <v>7</v>
      </c>
    </row>
    <row r="489" spans="1:128" x14ac:dyDescent="0.25">
      <c r="A489" s="7">
        <v>6.9633276799811101</v>
      </c>
      <c r="B489"/>
      <c r="C489"/>
      <c r="D489"/>
      <c r="E489" t="s">
        <v>8</v>
      </c>
      <c r="J489" s="27" t="s">
        <v>7</v>
      </c>
      <c r="O489" s="27" t="s">
        <v>8</v>
      </c>
      <c r="P489" s="27" t="s">
        <v>7</v>
      </c>
      <c r="Q489" s="27" t="s">
        <v>8</v>
      </c>
      <c r="R489" s="27" t="s">
        <v>7</v>
      </c>
      <c r="S489" s="27" t="s">
        <v>8</v>
      </c>
      <c r="T489" s="27" t="s">
        <v>7</v>
      </c>
      <c r="AC489" s="27" t="s">
        <v>8</v>
      </c>
      <c r="AD489" s="27" t="s">
        <v>7</v>
      </c>
      <c r="AE489" s="27" t="s">
        <v>8</v>
      </c>
      <c r="AG489" s="27" t="s">
        <v>8</v>
      </c>
      <c r="BF489" s="27" t="s">
        <v>7</v>
      </c>
      <c r="BG489" s="27" t="s">
        <v>8</v>
      </c>
      <c r="BH489" s="27" t="s">
        <v>7</v>
      </c>
      <c r="BI489" s="27" t="s">
        <v>8</v>
      </c>
      <c r="BJ489" s="27" t="s">
        <v>7</v>
      </c>
      <c r="BK489" s="27" t="s">
        <v>8</v>
      </c>
      <c r="BP489" s="27" t="s">
        <v>7</v>
      </c>
      <c r="BQ489" s="27" t="s">
        <v>8</v>
      </c>
      <c r="DT489" s="27" t="s">
        <v>7</v>
      </c>
      <c r="DU489" s="27" t="s">
        <v>8</v>
      </c>
      <c r="DV489" s="27" t="s">
        <v>7</v>
      </c>
      <c r="DW489" s="27" t="s">
        <v>8</v>
      </c>
      <c r="DX489" s="27" t="s">
        <v>7</v>
      </c>
    </row>
    <row r="490" spans="1:128" x14ac:dyDescent="0.25">
      <c r="A490" s="7">
        <v>6.8267918431187349</v>
      </c>
      <c r="B490"/>
      <c r="C490"/>
      <c r="D490"/>
      <c r="E490" t="s">
        <v>8</v>
      </c>
      <c r="J490" s="27" t="s">
        <v>7</v>
      </c>
      <c r="O490" s="27" t="s">
        <v>8</v>
      </c>
      <c r="P490" s="27" t="s">
        <v>7</v>
      </c>
      <c r="Q490" s="27" t="s">
        <v>8</v>
      </c>
      <c r="R490" s="27" t="s">
        <v>7</v>
      </c>
      <c r="S490" s="27" t="s">
        <v>8</v>
      </c>
      <c r="T490" s="27" t="s">
        <v>7</v>
      </c>
      <c r="W490" s="27" t="s">
        <v>8</v>
      </c>
      <c r="AC490" s="27" t="s">
        <v>8</v>
      </c>
      <c r="AD490" s="27" t="s">
        <v>7</v>
      </c>
      <c r="AE490" s="27" t="s">
        <v>8</v>
      </c>
      <c r="AF490" s="27" t="s">
        <v>7</v>
      </c>
      <c r="AG490" s="27" t="s">
        <v>8</v>
      </c>
      <c r="BF490" s="27" t="s">
        <v>7</v>
      </c>
      <c r="BG490" s="27" t="s">
        <v>8</v>
      </c>
      <c r="BH490" s="27" t="s">
        <v>7</v>
      </c>
      <c r="BI490" s="27" t="s">
        <v>8</v>
      </c>
      <c r="BJ490" s="27" t="s">
        <v>7</v>
      </c>
      <c r="BK490" s="27" t="s">
        <v>8</v>
      </c>
      <c r="BP490" s="27" t="s">
        <v>7</v>
      </c>
      <c r="DT490" s="27" t="s">
        <v>7</v>
      </c>
      <c r="DU490" s="27" t="s">
        <v>8</v>
      </c>
      <c r="DV490" s="27" t="s">
        <v>7</v>
      </c>
      <c r="DW490" s="27" t="s">
        <v>8</v>
      </c>
      <c r="DX490" s="27" t="s">
        <v>7</v>
      </c>
    </row>
    <row r="491" spans="1:128" x14ac:dyDescent="0.25">
      <c r="A491" s="7">
        <v>6.692933179528171</v>
      </c>
      <c r="B491"/>
      <c r="C491"/>
      <c r="D491"/>
      <c r="E491" t="s">
        <v>8</v>
      </c>
      <c r="J491" s="27" t="s">
        <v>7</v>
      </c>
      <c r="M491" s="27" t="s">
        <v>8</v>
      </c>
      <c r="O491" s="27" t="s">
        <v>8</v>
      </c>
      <c r="P491" s="27" t="s">
        <v>7</v>
      </c>
      <c r="Q491" s="27" t="s">
        <v>8</v>
      </c>
      <c r="R491" s="27" t="s">
        <v>7</v>
      </c>
      <c r="T491" s="27" t="s">
        <v>7</v>
      </c>
      <c r="U491" s="27" t="s">
        <v>8</v>
      </c>
      <c r="W491" s="27" t="s">
        <v>8</v>
      </c>
      <c r="X491" s="27" t="s">
        <v>7</v>
      </c>
      <c r="AA491" s="27" t="s">
        <v>8</v>
      </c>
      <c r="AC491" s="27" t="s">
        <v>8</v>
      </c>
      <c r="AD491" s="27" t="s">
        <v>7</v>
      </c>
      <c r="AE491" s="27" t="s">
        <v>8</v>
      </c>
      <c r="AF491" s="27" t="s">
        <v>7</v>
      </c>
      <c r="AG491" s="27" t="s">
        <v>8</v>
      </c>
      <c r="BF491" s="27" t="s">
        <v>7</v>
      </c>
      <c r="BH491" s="27" t="s">
        <v>7</v>
      </c>
      <c r="BI491" s="27" t="s">
        <v>8</v>
      </c>
      <c r="BJ491" s="27" t="s">
        <v>7</v>
      </c>
      <c r="BK491" s="27" t="s">
        <v>8</v>
      </c>
      <c r="DT491" s="27" t="s">
        <v>7</v>
      </c>
      <c r="DU491" s="27" t="s">
        <v>8</v>
      </c>
      <c r="DV491" s="27" t="s">
        <v>7</v>
      </c>
      <c r="DW491" s="27" t="s">
        <v>8</v>
      </c>
    </row>
    <row r="492" spans="1:128" x14ac:dyDescent="0.25">
      <c r="A492" s="7">
        <v>6.5616991956158541</v>
      </c>
      <c r="B492"/>
      <c r="C492"/>
      <c r="D492"/>
      <c r="E492" t="s">
        <v>8</v>
      </c>
      <c r="J492" s="27" t="s">
        <v>7</v>
      </c>
      <c r="M492" s="27" t="s">
        <v>8</v>
      </c>
      <c r="N492" s="27" t="s">
        <v>7</v>
      </c>
      <c r="O492" s="27" t="s">
        <v>8</v>
      </c>
      <c r="P492" s="27" t="s">
        <v>7</v>
      </c>
      <c r="Q492" s="27" t="s">
        <v>8</v>
      </c>
      <c r="T492" s="27" t="s">
        <v>7</v>
      </c>
      <c r="U492" s="27" t="s">
        <v>8</v>
      </c>
      <c r="V492" s="27" t="s">
        <v>7</v>
      </c>
      <c r="W492" s="27" t="s">
        <v>8</v>
      </c>
      <c r="X492" s="27" t="s">
        <v>7</v>
      </c>
      <c r="AA492" s="27" t="s">
        <v>8</v>
      </c>
      <c r="AB492" s="27" t="s">
        <v>7</v>
      </c>
      <c r="AC492" s="27" t="s">
        <v>8</v>
      </c>
      <c r="AD492" s="27" t="s">
        <v>7</v>
      </c>
      <c r="AE492" s="27" t="s">
        <v>8</v>
      </c>
      <c r="AF492" s="27" t="s">
        <v>7</v>
      </c>
      <c r="AG492" s="27" t="s">
        <v>8</v>
      </c>
      <c r="BH492" s="27" t="s">
        <v>7</v>
      </c>
      <c r="BI492" s="27" t="s">
        <v>8</v>
      </c>
      <c r="BJ492" s="27" t="s">
        <v>7</v>
      </c>
      <c r="BK492" s="27" t="s">
        <v>8</v>
      </c>
      <c r="DT492" s="27" t="s">
        <v>7</v>
      </c>
      <c r="DU492" s="27" t="s">
        <v>8</v>
      </c>
      <c r="DV492" s="27" t="s">
        <v>7</v>
      </c>
      <c r="DW492" s="27" t="s">
        <v>8</v>
      </c>
    </row>
    <row r="493" spans="1:128" x14ac:dyDescent="0.25">
      <c r="A493" s="7">
        <v>6.4330384270743668</v>
      </c>
      <c r="B493"/>
      <c r="C493"/>
      <c r="D493"/>
      <c r="E493" t="s">
        <v>8</v>
      </c>
      <c r="J493" s="27" t="s">
        <v>7</v>
      </c>
      <c r="M493" s="27" t="s">
        <v>8</v>
      </c>
      <c r="N493" s="27" t="s">
        <v>7</v>
      </c>
      <c r="O493" s="27" t="s">
        <v>8</v>
      </c>
      <c r="P493" s="27" t="s">
        <v>7</v>
      </c>
      <c r="T493" s="27" t="s">
        <v>7</v>
      </c>
      <c r="U493" s="27" t="s">
        <v>8</v>
      </c>
      <c r="V493" s="27" t="s">
        <v>7</v>
      </c>
      <c r="W493" s="27" t="s">
        <v>8</v>
      </c>
      <c r="X493" s="27" t="s">
        <v>7</v>
      </c>
      <c r="AA493" s="27" t="s">
        <v>8</v>
      </c>
      <c r="AB493" s="27" t="s">
        <v>7</v>
      </c>
      <c r="AC493" s="27" t="s">
        <v>8</v>
      </c>
      <c r="AD493" s="27" t="s">
        <v>7</v>
      </c>
      <c r="AE493" s="27" t="s">
        <v>8</v>
      </c>
      <c r="AF493" s="27" t="s">
        <v>7</v>
      </c>
      <c r="BH493" s="27" t="s">
        <v>7</v>
      </c>
      <c r="BI493" s="27" t="s">
        <v>8</v>
      </c>
      <c r="BJ493" s="27" t="s">
        <v>7</v>
      </c>
      <c r="BK493" s="27" t="s">
        <v>8</v>
      </c>
      <c r="DT493" s="27" t="s">
        <v>7</v>
      </c>
      <c r="DU493" s="27" t="s">
        <v>8</v>
      </c>
      <c r="DV493" s="27" t="s">
        <v>7</v>
      </c>
      <c r="DW493" s="27" t="s">
        <v>8</v>
      </c>
    </row>
    <row r="494" spans="1:128" x14ac:dyDescent="0.25">
      <c r="A494" s="7">
        <v>6.3069004187003594</v>
      </c>
      <c r="B494"/>
      <c r="C494"/>
      <c r="D494"/>
      <c r="E494" t="s">
        <v>8</v>
      </c>
      <c r="J494" s="27" t="s">
        <v>7</v>
      </c>
      <c r="M494" s="27" t="s">
        <v>8</v>
      </c>
      <c r="N494" s="27" t="s">
        <v>7</v>
      </c>
      <c r="O494" s="27" t="s">
        <v>8</v>
      </c>
      <c r="T494" s="27" t="s">
        <v>7</v>
      </c>
      <c r="U494" s="27" t="s">
        <v>8</v>
      </c>
      <c r="V494" s="27" t="s">
        <v>7</v>
      </c>
      <c r="W494" s="27" t="s">
        <v>8</v>
      </c>
      <c r="X494" s="27" t="s">
        <v>7</v>
      </c>
      <c r="AA494" s="27" t="s">
        <v>8</v>
      </c>
      <c r="AB494" s="27" t="s">
        <v>7</v>
      </c>
      <c r="AC494" s="27" t="s">
        <v>8</v>
      </c>
      <c r="AD494" s="27" t="s">
        <v>7</v>
      </c>
      <c r="BH494" s="27" t="s">
        <v>7</v>
      </c>
      <c r="BI494" s="27" t="s">
        <v>8</v>
      </c>
      <c r="BJ494" s="27" t="s">
        <v>7</v>
      </c>
      <c r="DT494" s="27" t="s">
        <v>7</v>
      </c>
      <c r="DU494" s="27" t="s">
        <v>8</v>
      </c>
      <c r="DV494" s="27" t="s">
        <v>7</v>
      </c>
      <c r="DW494" s="27" t="s">
        <v>8</v>
      </c>
    </row>
    <row r="495" spans="1:128" x14ac:dyDescent="0.25">
      <c r="A495" s="7">
        <v>6.1832357046081956</v>
      </c>
      <c r="B495"/>
      <c r="C495"/>
      <c r="D495"/>
      <c r="E495" t="s">
        <v>8</v>
      </c>
      <c r="J495" s="27" t="s">
        <v>7</v>
      </c>
      <c r="K495" s="27" t="s">
        <v>8</v>
      </c>
      <c r="M495" s="27" t="s">
        <v>8</v>
      </c>
      <c r="N495" s="27" t="s">
        <v>7</v>
      </c>
      <c r="O495" s="27" t="s">
        <v>8</v>
      </c>
      <c r="T495" s="27" t="s">
        <v>7</v>
      </c>
      <c r="V495" s="27" t="s">
        <v>7</v>
      </c>
      <c r="W495" s="27" t="s">
        <v>8</v>
      </c>
      <c r="X495" s="27" t="s">
        <v>7</v>
      </c>
      <c r="AA495" s="27" t="s">
        <v>8</v>
      </c>
      <c r="AB495" s="27" t="s">
        <v>7</v>
      </c>
      <c r="AC495" s="27" t="s">
        <v>8</v>
      </c>
      <c r="BH495" s="27" t="s">
        <v>7</v>
      </c>
      <c r="DT495" s="27" t="s">
        <v>7</v>
      </c>
      <c r="DV495" s="27" t="s">
        <v>7</v>
      </c>
      <c r="DW495" s="27" t="s">
        <v>8</v>
      </c>
    </row>
    <row r="496" spans="1:128" x14ac:dyDescent="0.25">
      <c r="A496" s="7">
        <v>6.0619957888315641</v>
      </c>
      <c r="B496"/>
      <c r="C496"/>
      <c r="D496"/>
      <c r="E496" t="s">
        <v>8</v>
      </c>
      <c r="J496" s="27" t="s">
        <v>7</v>
      </c>
      <c r="K496" s="27" t="s">
        <v>8</v>
      </c>
      <c r="L496" s="27" t="s">
        <v>7</v>
      </c>
      <c r="M496" s="27" t="s">
        <v>8</v>
      </c>
      <c r="N496" s="27" t="s">
        <v>7</v>
      </c>
      <c r="O496" s="27" t="s">
        <v>8</v>
      </c>
      <c r="V496" s="27" t="s">
        <v>7</v>
      </c>
      <c r="W496" s="27" t="s">
        <v>8</v>
      </c>
      <c r="X496" s="27" t="s">
        <v>7</v>
      </c>
      <c r="AA496" s="27" t="s">
        <v>8</v>
      </c>
      <c r="AB496" s="27" t="s">
        <v>7</v>
      </c>
      <c r="DV496" s="27" t="s">
        <v>7</v>
      </c>
      <c r="DW496" s="27" t="s">
        <v>8</v>
      </c>
    </row>
    <row r="497" spans="1:126" x14ac:dyDescent="0.25">
      <c r="A497" s="7">
        <v>5.9431331263054545</v>
      </c>
      <c r="B497"/>
      <c r="C497"/>
      <c r="D497"/>
      <c r="E497" t="s">
        <v>8</v>
      </c>
      <c r="J497" s="27" t="s">
        <v>7</v>
      </c>
      <c r="K497" s="27" t="s">
        <v>8</v>
      </c>
      <c r="L497" s="27" t="s">
        <v>7</v>
      </c>
      <c r="M497" s="27" t="s">
        <v>8</v>
      </c>
      <c r="N497" s="27" t="s">
        <v>7</v>
      </c>
      <c r="O497" s="27" t="s">
        <v>8</v>
      </c>
      <c r="V497" s="27" t="s">
        <v>7</v>
      </c>
      <c r="W497" s="27" t="s">
        <v>8</v>
      </c>
      <c r="X497" s="27" t="s">
        <v>7</v>
      </c>
      <c r="Y497" s="27" t="s">
        <v>8</v>
      </c>
      <c r="AA497" s="27" t="s">
        <v>8</v>
      </c>
      <c r="DV497" s="27" t="s">
        <v>7</v>
      </c>
    </row>
    <row r="498" spans="1:126" x14ac:dyDescent="0.25">
      <c r="A498" s="7">
        <v>5.8266011042210337</v>
      </c>
      <c r="B498"/>
      <c r="C498"/>
      <c r="D498"/>
      <c r="E498" t="s">
        <v>8</v>
      </c>
      <c r="J498" s="27" t="s">
        <v>7</v>
      </c>
      <c r="K498" s="27" t="s">
        <v>8</v>
      </c>
      <c r="L498" s="27" t="s">
        <v>7</v>
      </c>
      <c r="M498" s="27" t="s">
        <v>8</v>
      </c>
      <c r="N498" s="27" t="s">
        <v>7</v>
      </c>
      <c r="O498" s="27" t="s">
        <v>8</v>
      </c>
      <c r="V498" s="27" t="s">
        <v>7</v>
      </c>
      <c r="W498" s="27" t="s">
        <v>8</v>
      </c>
      <c r="X498" s="27" t="s">
        <v>7</v>
      </c>
      <c r="Y498" s="27" t="s">
        <v>8</v>
      </c>
      <c r="Z498" s="27" t="s">
        <v>7</v>
      </c>
      <c r="AA498" s="27" t="s">
        <v>8</v>
      </c>
    </row>
    <row r="499" spans="1:126" x14ac:dyDescent="0.25">
      <c r="A499" s="7">
        <v>5.7123540237461112</v>
      </c>
      <c r="B499"/>
      <c r="C499"/>
      <c r="D499"/>
      <c r="E499" t="s">
        <v>8</v>
      </c>
      <c r="J499" s="27" t="s">
        <v>7</v>
      </c>
      <c r="K499" s="27" t="s">
        <v>8</v>
      </c>
      <c r="L499" s="27" t="s">
        <v>7</v>
      </c>
      <c r="M499" s="27" t="s">
        <v>8</v>
      </c>
      <c r="N499" s="27" t="s">
        <v>7</v>
      </c>
      <c r="O499" s="27" t="s">
        <v>8</v>
      </c>
      <c r="V499" s="27" t="s">
        <v>7</v>
      </c>
      <c r="W499" s="27" t="s">
        <v>8</v>
      </c>
      <c r="X499" s="27" t="s">
        <v>7</v>
      </c>
      <c r="Y499" s="27" t="s">
        <v>8</v>
      </c>
      <c r="Z499" s="27" t="s">
        <v>7</v>
      </c>
      <c r="AA499" s="27" t="s">
        <v>8</v>
      </c>
    </row>
    <row r="500" spans="1:126" x14ac:dyDescent="0.25">
      <c r="A500" s="7">
        <v>5.6003470821040304</v>
      </c>
      <c r="B500"/>
      <c r="C500"/>
      <c r="D500"/>
      <c r="E500" t="s">
        <v>8</v>
      </c>
      <c r="J500" s="27" t="s">
        <v>7</v>
      </c>
      <c r="K500" s="27" t="s">
        <v>8</v>
      </c>
      <c r="L500" s="27" t="s">
        <v>7</v>
      </c>
      <c r="M500" s="27" t="s">
        <v>8</v>
      </c>
      <c r="N500" s="27" t="s">
        <v>7</v>
      </c>
      <c r="O500" s="27" t="s">
        <v>8</v>
      </c>
      <c r="V500" s="27" t="s">
        <v>7</v>
      </c>
      <c r="W500" s="27" t="s">
        <v>8</v>
      </c>
      <c r="X500" s="27" t="s">
        <v>7</v>
      </c>
      <c r="Y500" s="27" t="s">
        <v>8</v>
      </c>
      <c r="Z500" s="27" t="s">
        <v>7</v>
      </c>
      <c r="AA500" s="27" t="s">
        <v>8</v>
      </c>
    </row>
    <row r="501" spans="1:126" x14ac:dyDescent="0.25">
      <c r="A501" s="7">
        <v>5.4905363550039512</v>
      </c>
      <c r="B501"/>
      <c r="C501"/>
      <c r="D501"/>
      <c r="E501" t="s">
        <v>8</v>
      </c>
      <c r="J501" s="27" t="s">
        <v>7</v>
      </c>
      <c r="K501" s="27" t="s">
        <v>8</v>
      </c>
      <c r="L501" s="27" t="s">
        <v>7</v>
      </c>
      <c r="M501" s="27" t="s">
        <v>8</v>
      </c>
      <c r="N501" s="27" t="s">
        <v>7</v>
      </c>
      <c r="O501" s="27" t="s">
        <v>8</v>
      </c>
      <c r="V501" s="27" t="s">
        <v>7</v>
      </c>
      <c r="W501" s="27" t="s">
        <v>8</v>
      </c>
      <c r="X501" s="27" t="s">
        <v>7</v>
      </c>
      <c r="Y501" s="27" t="s">
        <v>8</v>
      </c>
      <c r="Z501" s="27" t="s">
        <v>7</v>
      </c>
    </row>
    <row r="502" spans="1:126" x14ac:dyDescent="0.25">
      <c r="A502" s="7">
        <v>5.3828787794156385</v>
      </c>
      <c r="B502"/>
      <c r="C502"/>
      <c r="D502"/>
      <c r="E502" t="s">
        <v>8</v>
      </c>
      <c r="J502" s="27" t="s">
        <v>7</v>
      </c>
      <c r="K502" s="27" t="s">
        <v>8</v>
      </c>
      <c r="L502" s="27" t="s">
        <v>7</v>
      </c>
      <c r="M502" s="27" t="s">
        <v>8</v>
      </c>
      <c r="N502" s="27" t="s">
        <v>7</v>
      </c>
      <c r="V502" s="27" t="s">
        <v>7</v>
      </c>
      <c r="W502" s="27" t="s">
        <v>8</v>
      </c>
      <c r="X502" s="27" t="s">
        <v>7</v>
      </c>
      <c r="Y502" s="27" t="s">
        <v>8</v>
      </c>
    </row>
    <row r="503" spans="1:126" x14ac:dyDescent="0.25">
      <c r="A503" s="7">
        <v>5.2773321366819985</v>
      </c>
      <c r="B503"/>
      <c r="C503"/>
      <c r="D503"/>
      <c r="E503" t="s">
        <v>8</v>
      </c>
      <c r="J503" s="27" t="s">
        <v>7</v>
      </c>
      <c r="K503" s="27" t="s">
        <v>8</v>
      </c>
      <c r="L503" s="27" t="s">
        <v>7</v>
      </c>
      <c r="V503" s="27" t="s">
        <v>7</v>
      </c>
      <c r="W503" s="27" t="s">
        <v>8</v>
      </c>
      <c r="X503" s="27" t="s">
        <v>7</v>
      </c>
      <c r="Y503" s="27" t="s">
        <v>8</v>
      </c>
    </row>
    <row r="504" spans="1:126" x14ac:dyDescent="0.25">
      <c r="A504" s="7">
        <v>5.1738550359627435</v>
      </c>
      <c r="B504"/>
      <c r="C504"/>
      <c r="D504"/>
      <c r="E504" t="s">
        <v>8</v>
      </c>
      <c r="J504" s="27" t="s">
        <v>7</v>
      </c>
      <c r="K504" s="27" t="s">
        <v>8</v>
      </c>
      <c r="V504" s="27" t="s">
        <v>7</v>
      </c>
      <c r="W504" s="27" t="s">
        <v>8</v>
      </c>
      <c r="X504" s="27" t="s">
        <v>7</v>
      </c>
      <c r="Y504" s="27" t="s">
        <v>8</v>
      </c>
    </row>
    <row r="505" spans="1:126" x14ac:dyDescent="0.25">
      <c r="A505" s="7">
        <v>5.07240689800269</v>
      </c>
      <c r="B505"/>
      <c r="C505"/>
      <c r="D505"/>
      <c r="E505" t="s">
        <v>8</v>
      </c>
      <c r="J505" s="27" t="s">
        <v>7</v>
      </c>
      <c r="K505" s="27" t="s">
        <v>8</v>
      </c>
      <c r="V505" s="27" t="s">
        <v>7</v>
      </c>
      <c r="W505" s="27" t="s">
        <v>8</v>
      </c>
      <c r="X505" s="27" t="s">
        <v>7</v>
      </c>
      <c r="Y505" s="27" t="s">
        <v>8</v>
      </c>
    </row>
    <row r="506" spans="1:126" x14ac:dyDescent="0.25">
      <c r="A506" s="7">
        <v>4.9729479392183231</v>
      </c>
      <c r="B506"/>
      <c r="C506"/>
      <c r="D506"/>
      <c r="E506" t="s">
        <v>8</v>
      </c>
      <c r="J506" s="27" t="s">
        <v>7</v>
      </c>
      <c r="K506" s="27" t="s">
        <v>8</v>
      </c>
      <c r="V506" s="27" t="s">
        <v>7</v>
      </c>
      <c r="W506" s="27" t="s">
        <v>8</v>
      </c>
      <c r="X506" s="18" t="s">
        <v>7</v>
      </c>
      <c r="Y506" s="27" t="s">
        <v>8</v>
      </c>
    </row>
    <row r="507" spans="1:126" x14ac:dyDescent="0.25">
      <c r="A507" s="7">
        <v>4.8754391560963954</v>
      </c>
      <c r="B507"/>
      <c r="C507"/>
      <c r="D507"/>
      <c r="E507" t="s">
        <v>8</v>
      </c>
      <c r="J507" s="27" t="s">
        <v>7</v>
      </c>
      <c r="K507" s="27" t="s">
        <v>8</v>
      </c>
      <c r="V507" s="27" t="s">
        <v>7</v>
      </c>
      <c r="X507" s="27" t="s">
        <v>7</v>
      </c>
    </row>
    <row r="508" spans="1:126" x14ac:dyDescent="0.25">
      <c r="A508" s="7">
        <v>4.7798423098984264</v>
      </c>
      <c r="B508"/>
      <c r="C508"/>
      <c r="D508"/>
      <c r="E508" t="s">
        <v>8</v>
      </c>
      <c r="J508" s="27" t="s">
        <v>7</v>
      </c>
      <c r="K508" s="27" t="s">
        <v>8</v>
      </c>
    </row>
    <row r="509" spans="1:126" x14ac:dyDescent="0.25">
      <c r="A509" s="7">
        <v>4.6861199116651235</v>
      </c>
      <c r="B509"/>
      <c r="C509"/>
      <c r="D509"/>
      <c r="E509" t="s">
        <v>8</v>
      </c>
      <c r="J509" s="27" t="s">
        <v>7</v>
      </c>
    </row>
    <row r="510" spans="1:126" x14ac:dyDescent="0.25">
      <c r="A510" s="7">
        <v>4.5942352075148269</v>
      </c>
      <c r="B510"/>
      <c r="C510"/>
      <c r="D510"/>
      <c r="E510" t="s">
        <v>8</v>
      </c>
    </row>
    <row r="511" spans="1:126" x14ac:dyDescent="0.25">
      <c r="A511" s="7">
        <v>4.5041521642302227</v>
      </c>
      <c r="B511"/>
      <c r="C511"/>
      <c r="D511"/>
      <c r="E511" t="s">
        <v>8</v>
      </c>
    </row>
    <row r="512" spans="1:126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37" operator="equal">
      <formula>$U$1</formula>
    </cfRule>
    <cfRule type="cellIs" dxfId="89" priority="638" operator="equal">
      <formula>$S$1</formula>
    </cfRule>
  </conditionalFormatting>
  <conditionalFormatting sqref="D27">
    <cfRule type="cellIs" dxfId="88" priority="635" operator="equal">
      <formula>$S$1</formula>
    </cfRule>
    <cfRule type="cellIs" dxfId="87" priority="636" operator="equal">
      <formula>$U$1</formula>
    </cfRule>
  </conditionalFormatting>
  <conditionalFormatting sqref="C164">
    <cfRule type="cellIs" dxfId="86" priority="633" operator="equal">
      <formula>$U$1</formula>
    </cfRule>
    <cfRule type="cellIs" dxfId="85" priority="634" operator="equal">
      <formula>$S$1</formula>
    </cfRule>
  </conditionalFormatting>
  <conditionalFormatting sqref="D164">
    <cfRule type="cellIs" dxfId="84" priority="631" operator="equal">
      <formula>$S$1</formula>
    </cfRule>
    <cfRule type="cellIs" dxfId="83" priority="632" operator="equal">
      <formula>$U$1</formula>
    </cfRule>
  </conditionalFormatting>
  <conditionalFormatting sqref="C55">
    <cfRule type="cellIs" dxfId="82" priority="629" operator="equal">
      <formula>$U$1</formula>
    </cfRule>
    <cfRule type="cellIs" dxfId="81" priority="630" operator="equal">
      <formula>$S$1</formula>
    </cfRule>
  </conditionalFormatting>
  <conditionalFormatting sqref="D55">
    <cfRule type="cellIs" dxfId="80" priority="627" operator="equal">
      <formula>$S$1</formula>
    </cfRule>
    <cfRule type="cellIs" dxfId="79" priority="628" operator="equal">
      <formula>$U$1</formula>
    </cfRule>
  </conditionalFormatting>
  <conditionalFormatting sqref="C89">
    <cfRule type="cellIs" dxfId="78" priority="625" operator="equal">
      <formula>$U$1</formula>
    </cfRule>
    <cfRule type="cellIs" dxfId="77" priority="626" operator="equal">
      <formula>$S$1</formula>
    </cfRule>
  </conditionalFormatting>
  <conditionalFormatting sqref="D89">
    <cfRule type="cellIs" dxfId="76" priority="623" operator="equal">
      <formula>$S$1</formula>
    </cfRule>
    <cfRule type="cellIs" dxfId="75" priority="624" operator="equal">
      <formula>$U$1</formula>
    </cfRule>
  </conditionalFormatting>
  <conditionalFormatting sqref="C136">
    <cfRule type="cellIs" dxfId="74" priority="621" operator="equal">
      <formula>$U$1</formula>
    </cfRule>
    <cfRule type="cellIs" dxfId="73" priority="622" operator="equal">
      <formula>$S$1</formula>
    </cfRule>
  </conditionalFormatting>
  <conditionalFormatting sqref="D136">
    <cfRule type="cellIs" dxfId="72" priority="619" operator="equal">
      <formula>$S$1</formula>
    </cfRule>
    <cfRule type="cellIs" dxfId="71" priority="620" operator="equal">
      <formula>$U$1</formula>
    </cfRule>
  </conditionalFormatting>
  <conditionalFormatting sqref="C1">
    <cfRule type="cellIs" dxfId="70" priority="61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5" zoomScale="90" zoomScaleNormal="90" workbookViewId="0">
      <pane xSplit="4" topLeftCell="G1" activePane="topRight" state="frozen"/>
      <selection activeCell="A109" sqref="A109"/>
      <selection pane="topRight" activeCell="BS199" sqref="BS19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$A$198</v>
      </c>
      <c r="D111" s="1" t="str">
        <f>ADDRESS(C121-1,D121,1,1)</f>
        <v>$BS$198</v>
      </c>
      <c r="E111"/>
    </row>
    <row r="112" spans="1:5" x14ac:dyDescent="0.25">
      <c r="A112" s="30">
        <v>515.50191262726139</v>
      </c>
      <c r="C112" s="1" t="str">
        <f>ADDRESS(C121,1,1,1)</f>
        <v>$A$199</v>
      </c>
      <c r="D112" s="1" t="str">
        <f>ADDRESS(C121,D121-1,1,1)</f>
        <v>$BR$199</v>
      </c>
      <c r="E112"/>
    </row>
    <row r="113" spans="1:5" x14ac:dyDescent="0.25">
      <c r="A113" s="30">
        <v>490.95420250215363</v>
      </c>
      <c r="C113" s="1" t="str">
        <f>ADDRESS(C121+1,1,1,1)</f>
        <v>$A$200</v>
      </c>
      <c r="D113" s="1" t="str">
        <f>ADDRESS(C121-1,D121+1,1,1)</f>
        <v>$BT$198</v>
      </c>
    </row>
    <row r="114" spans="1:5" x14ac:dyDescent="0.25">
      <c r="A114" s="30">
        <v>467.57543095443202</v>
      </c>
      <c r="C114" s="1" t="str">
        <f>ADDRESS(C121,D121,1,1)</f>
        <v>$BS$199</v>
      </c>
      <c r="D114" s="1" t="str">
        <f>ADDRESS(C121+1,D121+1,1,1)</f>
        <v>$BT$200</v>
      </c>
    </row>
    <row r="115" spans="1:5" x14ac:dyDescent="0.25">
      <c r="A115" s="30">
        <v>445.30993424231622</v>
      </c>
      <c r="C115" s="1" t="str">
        <f>ADDRESS(C121+1,D121,1,1)</f>
        <v>$BS$200</v>
      </c>
    </row>
    <row r="116" spans="1:5" x14ac:dyDescent="0.25">
      <c r="A116" s="30">
        <v>424.10469927839637</v>
      </c>
      <c r="C116" s="1">
        <f>C117-1</f>
        <v>198</v>
      </c>
    </row>
    <row r="117" spans="1:5" x14ac:dyDescent="0.25">
      <c r="A117" s="30">
        <v>403.9092374079965</v>
      </c>
      <c r="C117" s="1">
        <f>C121</f>
        <v>199</v>
      </c>
      <c r="D117" s="1">
        <f>D121</f>
        <v>71</v>
      </c>
    </row>
    <row r="118" spans="1:5" x14ac:dyDescent="0.25">
      <c r="A118" s="30">
        <v>384.6754641980919</v>
      </c>
      <c r="C118" s="1">
        <f>C117+1</f>
        <v>200</v>
      </c>
      <c r="D118" s="1">
        <f>D117+1</f>
        <v>72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199</v>
      </c>
      <c r="D121" s="19">
        <v>71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R199</v>
      </c>
      <c r="D123" s="1" t="str">
        <f>"C"&amp;D121</f>
        <v>C71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7.3919881477308929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0" x14ac:dyDescent="0.25">
      <c r="A161" s="30">
        <v>47.201372444612005</v>
      </c>
      <c r="E161"/>
    </row>
    <row r="162" spans="1:50" x14ac:dyDescent="0.25">
      <c r="A162" s="30">
        <v>44.95368804248762</v>
      </c>
      <c r="E162"/>
    </row>
    <row r="163" spans="1:50" x14ac:dyDescent="0.25">
      <c r="A163" s="30">
        <v>42.81303623094059</v>
      </c>
      <c r="E163"/>
    </row>
    <row r="164" spans="1:50" x14ac:dyDescent="0.25">
      <c r="A164" s="30">
        <v>40.774320219943419</v>
      </c>
      <c r="E164"/>
    </row>
    <row r="165" spans="1:50" x14ac:dyDescent="0.25">
      <c r="A165" s="30">
        <v>38.832685923755633</v>
      </c>
      <c r="E165"/>
    </row>
    <row r="166" spans="1:50" x14ac:dyDescent="0.25">
      <c r="A166" s="30">
        <v>36.983510403576794</v>
      </c>
      <c r="E166"/>
    </row>
    <row r="167" spans="1:50" x14ac:dyDescent="0.25">
      <c r="A167" s="30">
        <v>35.222390860549325</v>
      </c>
      <c r="E167"/>
    </row>
    <row r="168" spans="1:50" x14ac:dyDescent="0.25">
      <c r="A168" s="30">
        <v>33.545134152904119</v>
      </c>
      <c r="E168"/>
    </row>
    <row r="169" spans="1:50" x14ac:dyDescent="0.25">
      <c r="A169" s="30">
        <v>31.947746812289637</v>
      </c>
      <c r="E169"/>
    </row>
    <row r="170" spans="1:50" x14ac:dyDescent="0.25">
      <c r="A170" s="30">
        <v>30.426425535513939</v>
      </c>
      <c r="E170"/>
    </row>
    <row r="171" spans="1:50" x14ac:dyDescent="0.25">
      <c r="A171" s="30">
        <v>28.977548129060892</v>
      </c>
      <c r="E171"/>
      <c r="AW171" s="27" t="s">
        <v>8</v>
      </c>
    </row>
    <row r="172" spans="1:50" x14ac:dyDescent="0.25">
      <c r="A172" s="30">
        <v>27.597664884819896</v>
      </c>
      <c r="E172"/>
      <c r="AW172" s="27" t="s">
        <v>8</v>
      </c>
      <c r="AX172" s="27" t="s">
        <v>7</v>
      </c>
    </row>
    <row r="173" spans="1:50" x14ac:dyDescent="0.25">
      <c r="A173" s="30">
        <v>26.283490366495137</v>
      </c>
      <c r="E173"/>
      <c r="AW173" s="27" t="s">
        <v>8</v>
      </c>
      <c r="AX173" s="27" t="s">
        <v>7</v>
      </c>
    </row>
    <row r="174" spans="1:50" x14ac:dyDescent="0.25">
      <c r="A174" s="30">
        <v>25.031895587138223</v>
      </c>
      <c r="E174"/>
      <c r="AW174" s="27" t="s">
        <v>8</v>
      </c>
      <c r="AX174" s="27" t="s">
        <v>7</v>
      </c>
    </row>
    <row r="175" spans="1:50" x14ac:dyDescent="0.25">
      <c r="A175" s="30">
        <v>23.839900559179259</v>
      </c>
      <c r="E175"/>
      <c r="AW175" s="27" t="s">
        <v>8</v>
      </c>
      <c r="AX175" s="27" t="s">
        <v>7</v>
      </c>
    </row>
    <row r="176" spans="1:50" x14ac:dyDescent="0.25">
      <c r="A176" s="30">
        <v>22.704667199218342</v>
      </c>
      <c r="E176"/>
      <c r="AW176" s="27" t="s">
        <v>8</v>
      </c>
      <c r="AX176" s="27" t="s">
        <v>7</v>
      </c>
    </row>
    <row r="177" spans="1:68" x14ac:dyDescent="0.25">
      <c r="A177" s="30">
        <v>21.623492570684135</v>
      </c>
      <c r="E177"/>
      <c r="AW177" s="27" t="s">
        <v>8</v>
      </c>
      <c r="AX177" s="27" t="s">
        <v>7</v>
      </c>
    </row>
    <row r="178" spans="1:68" x14ac:dyDescent="0.25">
      <c r="A178" s="30">
        <v>20.593802448270605</v>
      </c>
      <c r="C178" s="7"/>
      <c r="D178"/>
      <c r="E178"/>
      <c r="AW178" s="27" t="s">
        <v>8</v>
      </c>
      <c r="AX178" s="27" t="s">
        <v>7</v>
      </c>
      <c r="AY178" s="27" t="s">
        <v>8</v>
      </c>
    </row>
    <row r="179" spans="1:68" x14ac:dyDescent="0.25">
      <c r="A179" s="30">
        <v>19.613145188829147</v>
      </c>
      <c r="E179"/>
      <c r="AW179" s="27" t="s">
        <v>8</v>
      </c>
      <c r="AX179" s="27" t="s">
        <v>7</v>
      </c>
      <c r="AY179" s="27" t="s">
        <v>8</v>
      </c>
      <c r="AZ179" s="27" t="s">
        <v>7</v>
      </c>
    </row>
    <row r="180" spans="1:68" x14ac:dyDescent="0.25">
      <c r="A180" s="30">
        <v>18.679185894122998</v>
      </c>
      <c r="E180"/>
      <c r="AW180" s="27" t="s">
        <v>8</v>
      </c>
      <c r="AX180" s="27" t="s">
        <v>7</v>
      </c>
      <c r="AY180" s="27" t="s">
        <v>8</v>
      </c>
      <c r="AZ180" s="27" t="s">
        <v>7</v>
      </c>
      <c r="BI180" s="27" t="s">
        <v>8</v>
      </c>
    </row>
    <row r="181" spans="1:68" x14ac:dyDescent="0.25">
      <c r="A181" s="30">
        <v>17.78970085154571</v>
      </c>
      <c r="C181"/>
      <c r="D181"/>
      <c r="E181" t="s">
        <v>8</v>
      </c>
      <c r="AW181" s="27" t="s">
        <v>8</v>
      </c>
      <c r="AX181" s="27" t="s">
        <v>7</v>
      </c>
      <c r="AZ181" s="27" t="s">
        <v>7</v>
      </c>
      <c r="BI181" s="27" t="s">
        <v>8</v>
      </c>
      <c r="BJ181" s="27" t="s">
        <v>7</v>
      </c>
    </row>
    <row r="182" spans="1:68" x14ac:dyDescent="0.25">
      <c r="A182" s="30">
        <v>16.942572239567344</v>
      </c>
      <c r="E182" t="s">
        <v>8</v>
      </c>
      <c r="F182" s="27" t="s">
        <v>7</v>
      </c>
      <c r="AW182" s="27" t="s">
        <v>8</v>
      </c>
      <c r="AZ182" s="27" t="s">
        <v>7</v>
      </c>
      <c r="BI182" s="27" t="s">
        <v>8</v>
      </c>
      <c r="BJ182" s="27" t="s">
        <v>7</v>
      </c>
    </row>
    <row r="183" spans="1:68" x14ac:dyDescent="0.25">
      <c r="A183" s="30">
        <v>16.135783085302233</v>
      </c>
      <c r="E183" t="s">
        <v>8</v>
      </c>
      <c r="F183" s="27" t="s">
        <v>7</v>
      </c>
      <c r="AW183" s="27" t="s">
        <v>8</v>
      </c>
      <c r="AZ183" s="27" t="s">
        <v>7</v>
      </c>
      <c r="BI183" s="27" t="s">
        <v>8</v>
      </c>
      <c r="BJ183" s="27" t="s">
        <v>7</v>
      </c>
      <c r="BK183" s="27" t="s">
        <v>8</v>
      </c>
    </row>
    <row r="184" spans="1:68" x14ac:dyDescent="0.25">
      <c r="A184" s="30">
        <v>15.367412462192602</v>
      </c>
      <c r="E184" t="s">
        <v>8</v>
      </c>
      <c r="F184" s="27" t="s">
        <v>7</v>
      </c>
      <c r="AE184" s="27" t="s">
        <v>8</v>
      </c>
      <c r="AW184" s="27" t="s">
        <v>8</v>
      </c>
      <c r="AZ184" s="27" t="s">
        <v>7</v>
      </c>
      <c r="BI184" s="27" t="s">
        <v>8</v>
      </c>
      <c r="BJ184" s="27" t="s">
        <v>7</v>
      </c>
      <c r="BK184" s="27" t="s">
        <v>8</v>
      </c>
      <c r="BL184" s="27" t="s">
        <v>7</v>
      </c>
      <c r="BM184" s="27" t="s">
        <v>8</v>
      </c>
    </row>
    <row r="185" spans="1:68" x14ac:dyDescent="0.25">
      <c r="A185" s="30">
        <v>14.635630916373906</v>
      </c>
      <c r="C185"/>
      <c r="E185" t="s">
        <v>8</v>
      </c>
      <c r="F185" s="27" t="s">
        <v>7</v>
      </c>
      <c r="AE185" s="27" t="s">
        <v>8</v>
      </c>
      <c r="AF185" s="27" t="s">
        <v>7</v>
      </c>
      <c r="AW185" s="27" t="s">
        <v>8</v>
      </c>
      <c r="AZ185" s="27" t="s">
        <v>7</v>
      </c>
      <c r="BC185" s="27" t="s">
        <v>8</v>
      </c>
      <c r="BI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N185" s="27" t="s">
        <v>7</v>
      </c>
    </row>
    <row r="186" spans="1:68" x14ac:dyDescent="0.25">
      <c r="A186" s="30">
        <v>13.938696110832291</v>
      </c>
      <c r="E186" t="s">
        <v>8</v>
      </c>
      <c r="F186" s="27" t="s">
        <v>7</v>
      </c>
      <c r="AE186" s="27" t="s">
        <v>8</v>
      </c>
      <c r="AF186" s="27" t="s">
        <v>7</v>
      </c>
      <c r="AW186" s="27" t="s">
        <v>8</v>
      </c>
      <c r="AZ186" s="27" t="s">
        <v>7</v>
      </c>
      <c r="BC186" s="27" t="s">
        <v>8</v>
      </c>
      <c r="BD186" s="27" t="s">
        <v>7</v>
      </c>
      <c r="BG186" s="27" t="s">
        <v>8</v>
      </c>
      <c r="BI186" s="27" t="s">
        <v>8</v>
      </c>
      <c r="BJ186" s="27" t="s">
        <v>7</v>
      </c>
      <c r="BL186" s="27" t="s">
        <v>7</v>
      </c>
      <c r="BM186" s="27" t="s">
        <v>8</v>
      </c>
      <c r="BN186" s="27" t="s">
        <v>7</v>
      </c>
    </row>
    <row r="187" spans="1:6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AC187" s="27" t="s">
        <v>8</v>
      </c>
      <c r="AE187" s="27" t="s">
        <v>8</v>
      </c>
      <c r="AF187" s="27" t="s">
        <v>7</v>
      </c>
      <c r="AW187" s="27" t="s">
        <v>8</v>
      </c>
      <c r="AZ187" s="27" t="s">
        <v>7</v>
      </c>
      <c r="BC187" s="27" t="s">
        <v>8</v>
      </c>
      <c r="BD187" s="27" t="s">
        <v>7</v>
      </c>
      <c r="BG187" s="27" t="s">
        <v>8</v>
      </c>
      <c r="BH187" s="27" t="s">
        <v>7</v>
      </c>
      <c r="BI187" s="27" t="s">
        <v>8</v>
      </c>
      <c r="BL187" s="27" t="s">
        <v>7</v>
      </c>
      <c r="BM187" s="27" t="s">
        <v>8</v>
      </c>
      <c r="BN187" s="27" t="s">
        <v>7</v>
      </c>
      <c r="BO187" s="27" t="s">
        <v>8</v>
      </c>
    </row>
    <row r="188" spans="1:68" x14ac:dyDescent="0.25">
      <c r="A188" s="30">
        <v>12.64280826379346</v>
      </c>
      <c r="E188" t="s">
        <v>8</v>
      </c>
      <c r="F188" s="27" t="s">
        <v>7</v>
      </c>
      <c r="AC188" s="27" t="s">
        <v>8</v>
      </c>
      <c r="AD188" s="27" t="s">
        <v>7</v>
      </c>
      <c r="AE188" s="27" t="s">
        <v>8</v>
      </c>
      <c r="AF188" s="27" t="s">
        <v>7</v>
      </c>
      <c r="AW188" s="27" t="s">
        <v>8</v>
      </c>
      <c r="AZ188" s="27" t="s">
        <v>7</v>
      </c>
      <c r="BC188" s="27" t="s">
        <v>8</v>
      </c>
      <c r="BD188" s="27" t="s">
        <v>7</v>
      </c>
      <c r="BG188" s="27" t="s">
        <v>8</v>
      </c>
      <c r="BH188" s="27" t="s">
        <v>7</v>
      </c>
      <c r="BI188" s="27" t="s">
        <v>8</v>
      </c>
      <c r="BL188" s="27" t="s">
        <v>7</v>
      </c>
      <c r="BN188" s="27" t="s">
        <v>7</v>
      </c>
      <c r="BO188" s="27" t="s">
        <v>8</v>
      </c>
      <c r="BP188" s="27" t="s">
        <v>7</v>
      </c>
    </row>
    <row r="189" spans="1:68" x14ac:dyDescent="0.25">
      <c r="A189" s="30">
        <v>12.04076977504139</v>
      </c>
      <c r="E189" t="s">
        <v>8</v>
      </c>
      <c r="F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AO189" s="27" t="s">
        <v>8</v>
      </c>
      <c r="AW189" s="27" t="s">
        <v>8</v>
      </c>
      <c r="AZ189" s="27" t="s">
        <v>7</v>
      </c>
      <c r="BA189" s="27" t="s">
        <v>8</v>
      </c>
      <c r="BC189" s="27" t="s">
        <v>8</v>
      </c>
      <c r="BD189" s="27" t="s">
        <v>7</v>
      </c>
      <c r="BG189" s="27" t="s">
        <v>8</v>
      </c>
      <c r="BH189" s="27" t="s">
        <v>7</v>
      </c>
      <c r="BI189" s="27" t="s">
        <v>8</v>
      </c>
      <c r="BN189" s="27" t="s">
        <v>7</v>
      </c>
      <c r="BO189" s="27" t="s">
        <v>8</v>
      </c>
      <c r="BP189" s="27" t="s">
        <v>7</v>
      </c>
    </row>
    <row r="190" spans="1:68" x14ac:dyDescent="0.25">
      <c r="A190" s="30">
        <v>11.467399785753704</v>
      </c>
      <c r="E190" t="s">
        <v>8</v>
      </c>
      <c r="F190" s="27" t="s">
        <v>7</v>
      </c>
      <c r="G190" s="27" t="s">
        <v>8</v>
      </c>
      <c r="AC190" s="27" t="s">
        <v>8</v>
      </c>
      <c r="AD190" s="27" t="s">
        <v>7</v>
      </c>
      <c r="AE190" s="27" t="s">
        <v>8</v>
      </c>
      <c r="AF190" s="27" t="s">
        <v>7</v>
      </c>
      <c r="AO190" s="27" t="s">
        <v>8</v>
      </c>
      <c r="AP190" s="27" t="s">
        <v>7</v>
      </c>
      <c r="AQ190" s="27" t="s">
        <v>8</v>
      </c>
      <c r="AW190" s="27" t="s">
        <v>8</v>
      </c>
      <c r="AZ190" s="27" t="s">
        <v>7</v>
      </c>
      <c r="BA190" s="27" t="s">
        <v>8</v>
      </c>
      <c r="BB190" s="27" t="s">
        <v>7</v>
      </c>
      <c r="BC190" s="27" t="s">
        <v>8</v>
      </c>
      <c r="BD190" s="27" t="s">
        <v>7</v>
      </c>
      <c r="BG190" s="27" t="s">
        <v>8</v>
      </c>
      <c r="BH190" s="27" t="s">
        <v>7</v>
      </c>
      <c r="BI190" s="27" t="s">
        <v>8</v>
      </c>
      <c r="BN190" s="27" t="s">
        <v>7</v>
      </c>
      <c r="BO190" s="27" t="s">
        <v>8</v>
      </c>
      <c r="BP190" s="27" t="s">
        <v>7</v>
      </c>
    </row>
    <row r="191" spans="1:68" x14ac:dyDescent="0.25">
      <c r="A191" s="30">
        <v>10.921333129289241</v>
      </c>
      <c r="E191" t="s">
        <v>8</v>
      </c>
      <c r="F191" s="27" t="s">
        <v>7</v>
      </c>
      <c r="G191" s="27" t="s">
        <v>8</v>
      </c>
      <c r="H191" s="27" t="s">
        <v>7</v>
      </c>
      <c r="AC191" s="27" t="s">
        <v>8</v>
      </c>
      <c r="AD191" s="27" t="s">
        <v>7</v>
      </c>
      <c r="AE191" s="27" t="s">
        <v>8</v>
      </c>
      <c r="AF191" s="27" t="s">
        <v>7</v>
      </c>
      <c r="AO191" s="27" t="s">
        <v>8</v>
      </c>
      <c r="AP191" s="27" t="s">
        <v>7</v>
      </c>
      <c r="AQ191" s="27" t="s">
        <v>8</v>
      </c>
      <c r="AR191" s="27" t="s">
        <v>7</v>
      </c>
      <c r="AU191" s="27" t="s">
        <v>8</v>
      </c>
      <c r="AW191" s="27" t="s">
        <v>8</v>
      </c>
      <c r="AZ191" s="27" t="s">
        <v>7</v>
      </c>
      <c r="BA191" s="27" t="s">
        <v>8</v>
      </c>
      <c r="BB191" s="27" t="s">
        <v>7</v>
      </c>
      <c r="BC191" s="27" t="s">
        <v>8</v>
      </c>
      <c r="BD191" s="27" t="s">
        <v>7</v>
      </c>
      <c r="BE191" s="27" t="s">
        <v>8</v>
      </c>
      <c r="BG191" s="27" t="s">
        <v>8</v>
      </c>
      <c r="BH191" s="27" t="s">
        <v>7</v>
      </c>
      <c r="BN191" s="27" t="s">
        <v>7</v>
      </c>
      <c r="BO191" s="27" t="s">
        <v>8</v>
      </c>
      <c r="BP191" s="27" t="s">
        <v>7</v>
      </c>
    </row>
    <row r="192" spans="1:68" x14ac:dyDescent="0.25">
      <c r="A192" s="30">
        <v>10.401269646942135</v>
      </c>
      <c r="E192" t="s">
        <v>8</v>
      </c>
      <c r="F192" s="27" t="s">
        <v>7</v>
      </c>
      <c r="G192" s="27" t="s">
        <v>8</v>
      </c>
      <c r="H192" s="27" t="s">
        <v>7</v>
      </c>
      <c r="AC192" s="27" t="s">
        <v>8</v>
      </c>
      <c r="AD192" s="27" t="s">
        <v>7</v>
      </c>
      <c r="AE192" s="27" t="s">
        <v>8</v>
      </c>
      <c r="AF192" s="27" t="s">
        <v>7</v>
      </c>
      <c r="AG192" s="27" t="s">
        <v>8</v>
      </c>
      <c r="AI192" s="27" t="s">
        <v>8</v>
      </c>
      <c r="AO192" s="27" t="s">
        <v>8</v>
      </c>
      <c r="AP192" s="27" t="s">
        <v>7</v>
      </c>
      <c r="AQ192" s="27" t="s">
        <v>8</v>
      </c>
      <c r="AR192" s="27" t="s">
        <v>7</v>
      </c>
      <c r="AU192" s="27" t="s">
        <v>8</v>
      </c>
      <c r="AV192" s="27" t="s">
        <v>7</v>
      </c>
      <c r="AW192" s="27" t="s">
        <v>8</v>
      </c>
      <c r="AZ192" s="27" t="s">
        <v>7</v>
      </c>
      <c r="BB192" s="27" t="s">
        <v>7</v>
      </c>
      <c r="BD192" s="27" t="s">
        <v>7</v>
      </c>
      <c r="BE192" s="27" t="s">
        <v>8</v>
      </c>
      <c r="BF192" s="27" t="s">
        <v>7</v>
      </c>
      <c r="BG192" s="27" t="s">
        <v>8</v>
      </c>
      <c r="BN192" s="27" t="s">
        <v>7</v>
      </c>
      <c r="BP192" s="27" t="s">
        <v>7</v>
      </c>
    </row>
    <row r="193" spans="1:71" x14ac:dyDescent="0.25">
      <c r="A193" s="30">
        <v>9.9059710923258422</v>
      </c>
      <c r="E193" t="s">
        <v>8</v>
      </c>
      <c r="F193" s="27" t="s">
        <v>7</v>
      </c>
      <c r="H193" s="27" t="s">
        <v>7</v>
      </c>
      <c r="AC193" s="27" t="s">
        <v>8</v>
      </c>
      <c r="AD193" s="27" t="s">
        <v>7</v>
      </c>
      <c r="AF193" s="27" t="s">
        <v>7</v>
      </c>
      <c r="AG193" s="27" t="s">
        <v>8</v>
      </c>
      <c r="AH193" s="27" t="s">
        <v>7</v>
      </c>
      <c r="AI193" s="27" t="s">
        <v>8</v>
      </c>
      <c r="AJ193" s="27" t="s">
        <v>7</v>
      </c>
      <c r="AO193" s="27" t="s">
        <v>8</v>
      </c>
      <c r="AP193" s="27" t="s">
        <v>7</v>
      </c>
      <c r="AQ193" s="27" t="s">
        <v>8</v>
      </c>
      <c r="AR193" s="27" t="s">
        <v>7</v>
      </c>
      <c r="AS193" s="27" t="s">
        <v>8</v>
      </c>
      <c r="AU193" s="27" t="s">
        <v>8</v>
      </c>
      <c r="AV193" s="27" t="s">
        <v>7</v>
      </c>
      <c r="AW193" s="27" t="s">
        <v>8</v>
      </c>
      <c r="BD193" s="27" t="s">
        <v>7</v>
      </c>
      <c r="BE193" s="27" t="s">
        <v>8</v>
      </c>
      <c r="BF193" s="27" t="s">
        <v>7</v>
      </c>
      <c r="BG193" s="27" t="s">
        <v>8</v>
      </c>
      <c r="BP193" s="27" t="s">
        <v>7</v>
      </c>
    </row>
    <row r="194" spans="1:71" x14ac:dyDescent="0.25">
      <c r="A194" s="30">
        <v>9.4342581831674686</v>
      </c>
      <c r="E194" t="s">
        <v>8</v>
      </c>
      <c r="H194" s="27" t="s">
        <v>7</v>
      </c>
      <c r="U194" s="27" t="s">
        <v>8</v>
      </c>
      <c r="W194" s="27" t="s">
        <v>8</v>
      </c>
      <c r="Y194" s="27" t="s">
        <v>8</v>
      </c>
      <c r="AA194" s="27" t="s">
        <v>8</v>
      </c>
      <c r="AC194" s="27" t="s">
        <v>8</v>
      </c>
      <c r="AF194" s="27" t="s">
        <v>7</v>
      </c>
      <c r="AG194" s="27" t="s">
        <v>8</v>
      </c>
      <c r="AH194" s="27" t="s">
        <v>7</v>
      </c>
      <c r="AI194" s="27" t="s">
        <v>8</v>
      </c>
      <c r="AJ194" s="27" t="s">
        <v>7</v>
      </c>
      <c r="AO194" s="27" t="s">
        <v>8</v>
      </c>
      <c r="AP194" s="27" t="s">
        <v>7</v>
      </c>
      <c r="AR194" s="27" t="s">
        <v>7</v>
      </c>
      <c r="AS194" s="27" t="s">
        <v>8</v>
      </c>
      <c r="AT194" s="27" t="s">
        <v>7</v>
      </c>
      <c r="AU194" s="27" t="s">
        <v>8</v>
      </c>
      <c r="AV194" s="27" t="s">
        <v>7</v>
      </c>
      <c r="AW194" s="27" t="s">
        <v>8</v>
      </c>
      <c r="BD194" s="27" t="s">
        <v>7</v>
      </c>
      <c r="BE194" s="27" t="s">
        <v>8</v>
      </c>
      <c r="BF194" s="27" t="s">
        <v>7</v>
      </c>
      <c r="BG194" s="27" t="s">
        <v>8</v>
      </c>
      <c r="BP194" s="27" t="s">
        <v>7</v>
      </c>
    </row>
    <row r="195" spans="1:71" x14ac:dyDescent="0.25">
      <c r="A195" s="30">
        <v>8.9850077934928265</v>
      </c>
      <c r="E195" t="s">
        <v>8</v>
      </c>
      <c r="H195" s="27" t="s">
        <v>7</v>
      </c>
      <c r="K195" s="27" t="s">
        <v>8</v>
      </c>
      <c r="U195" s="27" t="s">
        <v>8</v>
      </c>
      <c r="V195" s="27" t="s">
        <v>7</v>
      </c>
      <c r="W195" s="27" t="s">
        <v>8</v>
      </c>
      <c r="X195" s="27" t="s">
        <v>7</v>
      </c>
      <c r="Y195" s="27" t="s">
        <v>8</v>
      </c>
      <c r="Z195" s="27" t="s">
        <v>7</v>
      </c>
      <c r="AA195" s="27" t="s">
        <v>8</v>
      </c>
      <c r="AB195" s="27" t="s">
        <v>7</v>
      </c>
      <c r="AC195" s="27" t="s">
        <v>8</v>
      </c>
      <c r="AF195" s="27" t="s">
        <v>7</v>
      </c>
      <c r="AG195" s="27" t="s">
        <v>8</v>
      </c>
      <c r="AH195" s="27" t="s">
        <v>7</v>
      </c>
      <c r="AI195" s="27" t="s">
        <v>8</v>
      </c>
      <c r="AJ195" s="27" t="s">
        <v>7</v>
      </c>
      <c r="AM195" s="27" t="s">
        <v>8</v>
      </c>
      <c r="AO195" s="27" t="s">
        <v>8</v>
      </c>
      <c r="AR195" s="27" t="s">
        <v>7</v>
      </c>
      <c r="AS195" s="27" t="s">
        <v>8</v>
      </c>
      <c r="AT195" s="27" t="s">
        <v>7</v>
      </c>
      <c r="AU195" s="27" t="s">
        <v>8</v>
      </c>
      <c r="AV195" s="27" t="s">
        <v>7</v>
      </c>
      <c r="AW195" s="27" t="s">
        <v>8</v>
      </c>
      <c r="BD195" s="27" t="s">
        <v>7</v>
      </c>
      <c r="BE195" s="27" t="s">
        <v>8</v>
      </c>
      <c r="BF195" s="27" t="s">
        <v>7</v>
      </c>
      <c r="BG195" s="27" t="s">
        <v>8</v>
      </c>
      <c r="BP195" s="27" t="s">
        <v>7</v>
      </c>
    </row>
    <row r="196" spans="1:71" x14ac:dyDescent="0.25">
      <c r="A196" s="30">
        <v>8.5571502795169767</v>
      </c>
      <c r="E196" t="s">
        <v>8</v>
      </c>
      <c r="H196" s="27" t="s">
        <v>7</v>
      </c>
      <c r="K196" s="27" t="s">
        <v>8</v>
      </c>
      <c r="L196" s="27" t="s">
        <v>7</v>
      </c>
      <c r="S196" s="27" t="s">
        <v>8</v>
      </c>
      <c r="U196" s="27" t="s">
        <v>8</v>
      </c>
      <c r="V196" s="27" t="s">
        <v>7</v>
      </c>
      <c r="W196" s="27" t="s">
        <v>8</v>
      </c>
      <c r="X196" s="27" t="s">
        <v>7</v>
      </c>
      <c r="Y196" s="27" t="s">
        <v>8</v>
      </c>
      <c r="Z196" s="27" t="s">
        <v>7</v>
      </c>
      <c r="AA196" s="27" t="s">
        <v>8</v>
      </c>
      <c r="AB196" s="27" t="s">
        <v>7</v>
      </c>
      <c r="AC196" s="27" t="s">
        <v>8</v>
      </c>
      <c r="AF196" s="27" t="s">
        <v>7</v>
      </c>
      <c r="AG196" s="27" t="s">
        <v>8</v>
      </c>
      <c r="AH196" s="27" t="s">
        <v>7</v>
      </c>
      <c r="AJ196" s="27" t="s">
        <v>7</v>
      </c>
      <c r="AM196" s="27" t="s">
        <v>8</v>
      </c>
      <c r="AN196" s="27" t="s">
        <v>7</v>
      </c>
      <c r="AO196" s="27" t="s">
        <v>8</v>
      </c>
      <c r="AR196" s="27" t="s">
        <v>7</v>
      </c>
      <c r="AS196" s="27" t="s">
        <v>8</v>
      </c>
      <c r="AT196" s="27" t="s">
        <v>7</v>
      </c>
      <c r="AV196" s="27" t="s">
        <v>7</v>
      </c>
      <c r="AW196" s="27" t="s">
        <v>8</v>
      </c>
      <c r="BD196" s="27" t="s">
        <v>7</v>
      </c>
      <c r="BF196" s="27" t="s">
        <v>7</v>
      </c>
      <c r="BP196" s="27" t="s">
        <v>7</v>
      </c>
    </row>
    <row r="197" spans="1:71" x14ac:dyDescent="0.25">
      <c r="A197" s="30">
        <v>8.1496669328733109</v>
      </c>
      <c r="E197" t="s">
        <v>8</v>
      </c>
      <c r="H197" s="27" t="s">
        <v>7</v>
      </c>
      <c r="K197" s="27" t="s">
        <v>8</v>
      </c>
      <c r="L197" s="27" t="s">
        <v>7</v>
      </c>
      <c r="S197" s="27" t="s">
        <v>8</v>
      </c>
      <c r="T197" s="27" t="s">
        <v>7</v>
      </c>
      <c r="U197" s="27" t="s">
        <v>8</v>
      </c>
      <c r="V197" s="27" t="s">
        <v>7</v>
      </c>
      <c r="X197" s="27" t="s">
        <v>7</v>
      </c>
      <c r="Z197" s="27" t="s">
        <v>7</v>
      </c>
      <c r="AA197" s="27" t="s">
        <v>8</v>
      </c>
      <c r="AB197" s="27" t="s">
        <v>7</v>
      </c>
      <c r="AF197" s="27" t="s">
        <v>7</v>
      </c>
      <c r="AJ197" s="27" t="s">
        <v>7</v>
      </c>
      <c r="AK197" s="27" t="s">
        <v>8</v>
      </c>
      <c r="AM197" s="27" t="s">
        <v>8</v>
      </c>
      <c r="AN197" s="27" t="s">
        <v>7</v>
      </c>
      <c r="AO197" s="27" t="s">
        <v>8</v>
      </c>
      <c r="AR197" s="27" t="s">
        <v>7</v>
      </c>
      <c r="AS197" s="27" t="s">
        <v>8</v>
      </c>
      <c r="AV197" s="27" t="s">
        <v>7</v>
      </c>
      <c r="AW197" s="27" t="s">
        <v>8</v>
      </c>
      <c r="BP197" s="27" t="s">
        <v>7</v>
      </c>
    </row>
    <row r="198" spans="1:71" x14ac:dyDescent="0.25">
      <c r="A198" s="30">
        <v>7.7615875551174378</v>
      </c>
      <c r="E198" t="s">
        <v>8</v>
      </c>
      <c r="H198" s="27" t="s">
        <v>7</v>
      </c>
      <c r="K198" s="27" t="s">
        <v>8</v>
      </c>
      <c r="L198" s="27" t="s">
        <v>7</v>
      </c>
      <c r="M198" s="27" t="s">
        <v>8</v>
      </c>
      <c r="Q198" s="27" t="s">
        <v>8</v>
      </c>
      <c r="S198" s="27" t="s">
        <v>8</v>
      </c>
      <c r="T198" s="27" t="s">
        <v>7</v>
      </c>
      <c r="U198" s="27" t="s">
        <v>8</v>
      </c>
      <c r="Z198" s="27" t="s">
        <v>7</v>
      </c>
      <c r="AJ198" s="27" t="s">
        <v>7</v>
      </c>
      <c r="AK198" s="27" t="s">
        <v>8</v>
      </c>
      <c r="AL198" s="27" t="s">
        <v>7</v>
      </c>
      <c r="AM198" s="27" t="s">
        <v>8</v>
      </c>
      <c r="AN198" s="27" t="s">
        <v>7</v>
      </c>
      <c r="AO198" s="27" t="s">
        <v>8</v>
      </c>
      <c r="AR198" s="27" t="s">
        <v>7</v>
      </c>
      <c r="AV198" s="27" t="s">
        <v>7</v>
      </c>
      <c r="AW198" s="27" t="s">
        <v>8</v>
      </c>
      <c r="BP198" s="27" t="s">
        <v>7</v>
      </c>
    </row>
    <row r="199" spans="1:71" x14ac:dyDescent="0.25">
      <c r="A199" s="30">
        <v>7.3919881477308929</v>
      </c>
      <c r="E199" t="s">
        <v>8</v>
      </c>
      <c r="H199" s="27" t="s">
        <v>7</v>
      </c>
      <c r="K199" s="27" t="s">
        <v>8</v>
      </c>
      <c r="L199" s="27" t="s">
        <v>7</v>
      </c>
      <c r="M199" s="27" t="s">
        <v>8</v>
      </c>
      <c r="N199" s="27" t="s">
        <v>7</v>
      </c>
      <c r="Q199" s="27" t="s">
        <v>8</v>
      </c>
      <c r="R199" s="27" t="s">
        <v>7</v>
      </c>
      <c r="S199" s="27" t="s">
        <v>8</v>
      </c>
      <c r="T199" s="27" t="s">
        <v>7</v>
      </c>
      <c r="AJ199" s="27" t="s">
        <v>7</v>
      </c>
      <c r="AK199" s="27" t="s">
        <v>8</v>
      </c>
      <c r="AL199" s="27" t="s">
        <v>7</v>
      </c>
      <c r="AM199" s="27" t="s">
        <v>8</v>
      </c>
      <c r="AN199" s="27" t="s">
        <v>7</v>
      </c>
      <c r="AO199" s="27" t="s">
        <v>8</v>
      </c>
      <c r="AV199" s="27" t="s">
        <v>7</v>
      </c>
      <c r="BP199" s="27" t="s">
        <v>7</v>
      </c>
      <c r="BQ199" s="27" t="s">
        <v>8</v>
      </c>
      <c r="BS199" s="27" t="s">
        <v>8</v>
      </c>
    </row>
    <row r="200" spans="1:71" x14ac:dyDescent="0.25">
      <c r="A200" s="30">
        <v>7.0399887121246598</v>
      </c>
      <c r="E200" t="s">
        <v>8</v>
      </c>
      <c r="H200" s="27" t="s">
        <v>7</v>
      </c>
      <c r="K200" s="27" t="s">
        <v>8</v>
      </c>
      <c r="L200" s="27" t="s">
        <v>7</v>
      </c>
      <c r="M200" s="27" t="s">
        <v>8</v>
      </c>
      <c r="N200" s="27" t="s">
        <v>7</v>
      </c>
      <c r="Q200" s="32" t="s">
        <v>8</v>
      </c>
      <c r="R200" s="27" t="s">
        <v>7</v>
      </c>
      <c r="S200" s="27" t="s">
        <v>8</v>
      </c>
      <c r="AJ200" s="27" t="s">
        <v>7</v>
      </c>
      <c r="AK200" s="27" t="s">
        <v>8</v>
      </c>
      <c r="AL200" s="27" t="s">
        <v>7</v>
      </c>
      <c r="AM200" s="27" t="s">
        <v>8</v>
      </c>
      <c r="AN200" s="27" t="s">
        <v>7</v>
      </c>
      <c r="BP200" s="27" t="s">
        <v>7</v>
      </c>
      <c r="BQ200" s="27" t="s">
        <v>8</v>
      </c>
      <c r="BR200" s="27" t="s">
        <v>7</v>
      </c>
      <c r="BS200" s="27" t="s">
        <v>8</v>
      </c>
    </row>
    <row r="201" spans="1:71" x14ac:dyDescent="0.25">
      <c r="A201" s="30">
        <v>6.7047511544044376</v>
      </c>
      <c r="E201" t="s">
        <v>8</v>
      </c>
      <c r="H201" s="27" t="s">
        <v>7</v>
      </c>
      <c r="I201" s="27" t="s">
        <v>8</v>
      </c>
      <c r="K201" s="27" t="s">
        <v>8</v>
      </c>
      <c r="L201" s="27" t="s">
        <v>7</v>
      </c>
      <c r="N201" s="27" t="s">
        <v>7</v>
      </c>
      <c r="O201" s="27" t="s">
        <v>8</v>
      </c>
      <c r="Q201" s="27" t="s">
        <v>8</v>
      </c>
      <c r="R201" s="27" t="s">
        <v>7</v>
      </c>
      <c r="S201" s="27" t="s">
        <v>8</v>
      </c>
      <c r="AJ201" s="27" t="s">
        <v>7</v>
      </c>
      <c r="AL201" s="27" t="s">
        <v>7</v>
      </c>
      <c r="AM201" s="27" t="s">
        <v>8</v>
      </c>
      <c r="BP201" s="27" t="s">
        <v>7</v>
      </c>
      <c r="BQ201" s="27" t="s">
        <v>8</v>
      </c>
      <c r="BR201" s="27" t="s">
        <v>7</v>
      </c>
      <c r="BS201" s="27" t="s">
        <v>8</v>
      </c>
    </row>
    <row r="202" spans="1:71" x14ac:dyDescent="0.25">
      <c r="A202" s="30">
        <v>6.3854772899089882</v>
      </c>
      <c r="E202" t="s">
        <v>8</v>
      </c>
      <c r="H202" s="27" t="s">
        <v>7</v>
      </c>
      <c r="I202" s="27" t="s">
        <v>8</v>
      </c>
      <c r="J202" s="27" t="s">
        <v>7</v>
      </c>
      <c r="K202" s="27" t="s">
        <v>8</v>
      </c>
      <c r="N202" s="31" t="s">
        <v>7</v>
      </c>
      <c r="O202" s="27" t="s">
        <v>8</v>
      </c>
      <c r="P202" s="27" t="s">
        <v>7</v>
      </c>
      <c r="Q202" s="27" t="s">
        <v>8</v>
      </c>
      <c r="R202" s="27" t="s">
        <v>7</v>
      </c>
      <c r="AL202" s="27" t="s">
        <v>7</v>
      </c>
      <c r="BP202" s="27" t="s">
        <v>7</v>
      </c>
      <c r="BR202" s="27" t="s">
        <v>7</v>
      </c>
      <c r="BS202" s="27" t="s">
        <v>8</v>
      </c>
    </row>
    <row r="203" spans="1:71" x14ac:dyDescent="0.25">
      <c r="A203" s="30">
        <v>6.0814069427704647</v>
      </c>
      <c r="C203" s="7"/>
      <c r="D203"/>
      <c r="E203" t="s">
        <v>8</v>
      </c>
      <c r="H203" s="27" t="s">
        <v>7</v>
      </c>
      <c r="I203" s="27" t="s">
        <v>8</v>
      </c>
      <c r="J203" s="27" t="s">
        <v>7</v>
      </c>
      <c r="K203" s="27" t="s">
        <v>8</v>
      </c>
      <c r="N203" s="27" t="s">
        <v>7</v>
      </c>
      <c r="O203" s="27" t="s">
        <v>8</v>
      </c>
      <c r="P203" s="27" t="s">
        <v>7</v>
      </c>
      <c r="Q203" s="27" t="s">
        <v>8</v>
      </c>
      <c r="BR203" s="27" t="s">
        <v>7</v>
      </c>
    </row>
    <row r="204" spans="1:71" x14ac:dyDescent="0.25">
      <c r="A204" s="30">
        <v>5.7918161359718709</v>
      </c>
      <c r="E204" t="s">
        <v>8</v>
      </c>
      <c r="H204" s="27" t="s">
        <v>7</v>
      </c>
      <c r="I204" s="27" t="s">
        <v>8</v>
      </c>
      <c r="J204" s="27" t="s">
        <v>7</v>
      </c>
      <c r="K204" s="27" t="s">
        <v>8</v>
      </c>
      <c r="N204" s="27" t="s">
        <v>7</v>
      </c>
      <c r="O204" s="27" t="s">
        <v>8</v>
      </c>
      <c r="P204" s="27" t="s">
        <v>7</v>
      </c>
      <c r="Q204" s="27" t="s">
        <v>8</v>
      </c>
    </row>
    <row r="205" spans="1:71" x14ac:dyDescent="0.25">
      <c r="A205" s="30">
        <v>5.5160153675922574</v>
      </c>
      <c r="E205" t="s">
        <v>8</v>
      </c>
      <c r="H205" s="27" t="s">
        <v>7</v>
      </c>
      <c r="I205" s="27" t="s">
        <v>8</v>
      </c>
      <c r="J205" s="27" t="s">
        <v>7</v>
      </c>
      <c r="N205" s="27" t="s">
        <v>7</v>
      </c>
      <c r="O205" s="27" t="s">
        <v>8</v>
      </c>
      <c r="P205" s="27" t="s">
        <v>7</v>
      </c>
      <c r="Q205" s="27" t="s">
        <v>8</v>
      </c>
    </row>
    <row r="206" spans="1:71" x14ac:dyDescent="0.25">
      <c r="A206" s="30">
        <v>5.2533479691354827</v>
      </c>
      <c r="C206"/>
      <c r="D206"/>
      <c r="E206" t="s">
        <v>8</v>
      </c>
      <c r="H206" s="27" t="s">
        <v>7</v>
      </c>
      <c r="I206" s="27" t="s">
        <v>8</v>
      </c>
      <c r="N206" s="27" t="s">
        <v>7</v>
      </c>
      <c r="O206" s="27" t="s">
        <v>8</v>
      </c>
      <c r="P206" s="27" t="s">
        <v>7</v>
      </c>
      <c r="Q206" s="27" t="s">
        <v>8</v>
      </c>
    </row>
    <row r="207" spans="1:71" x14ac:dyDescent="0.25">
      <c r="A207" s="30">
        <v>5.0031885420337927</v>
      </c>
      <c r="E207" t="s">
        <v>8</v>
      </c>
      <c r="H207" s="27" t="s">
        <v>7</v>
      </c>
      <c r="I207" s="27" t="s">
        <v>8</v>
      </c>
      <c r="N207" s="27" t="s">
        <v>7</v>
      </c>
      <c r="P207" s="18" t="s">
        <v>7</v>
      </c>
    </row>
    <row r="208" spans="1:71" x14ac:dyDescent="0.25">
      <c r="A208" s="30">
        <v>4.7649414686036122</v>
      </c>
      <c r="E208" t="s">
        <v>8</v>
      </c>
      <c r="H208" s="27" t="s">
        <v>7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52" operator="equal">
      <formula>$U$1</formula>
    </cfRule>
    <cfRule type="cellIs" dxfId="67" priority="653" operator="equal">
      <formula>$S$1</formula>
    </cfRule>
  </conditionalFormatting>
  <conditionalFormatting sqref="D136">
    <cfRule type="cellIs" dxfId="66" priority="650" operator="equal">
      <formula>$S$1</formula>
    </cfRule>
    <cfRule type="cellIs" dxfId="65" priority="651" operator="equal">
      <formula>$U$1</formula>
    </cfRule>
  </conditionalFormatting>
  <conditionalFormatting sqref="C162">
    <cfRule type="cellIs" dxfId="64" priority="648" operator="equal">
      <formula>$U$1</formula>
    </cfRule>
    <cfRule type="cellIs" dxfId="63" priority="649" operator="equal">
      <formula>$S$1</formula>
    </cfRule>
  </conditionalFormatting>
  <conditionalFormatting sqref="D162">
    <cfRule type="cellIs" dxfId="62" priority="646" operator="equal">
      <formula>$S$1</formula>
    </cfRule>
    <cfRule type="cellIs" dxfId="61" priority="647" operator="equal">
      <formula>$U$1</formula>
    </cfRule>
  </conditionalFormatting>
  <conditionalFormatting sqref="C187">
    <cfRule type="cellIs" dxfId="60" priority="644" operator="equal">
      <formula>$U$1</formula>
    </cfRule>
    <cfRule type="cellIs" dxfId="59" priority="645" operator="equal">
      <formula>$S$1</formula>
    </cfRule>
  </conditionalFormatting>
  <conditionalFormatting sqref="D187">
    <cfRule type="cellIs" dxfId="58" priority="642" operator="equal">
      <formula>$S$1</formula>
    </cfRule>
    <cfRule type="cellIs" dxfId="57" priority="643" operator="equal">
      <formula>$U$1</formula>
    </cfRule>
  </conditionalFormatting>
  <conditionalFormatting sqref="C212">
    <cfRule type="cellIs" dxfId="56" priority="640" operator="equal">
      <formula>$U$1</formula>
    </cfRule>
    <cfRule type="cellIs" dxfId="55" priority="641" operator="equal">
      <formula>$S$1</formula>
    </cfRule>
  </conditionalFormatting>
  <conditionalFormatting sqref="D212">
    <cfRule type="cellIs" dxfId="54" priority="638" operator="equal">
      <formula>$S$1</formula>
    </cfRule>
    <cfRule type="cellIs" dxfId="53" priority="639" operator="equal">
      <formula>$U$1</formula>
    </cfRule>
  </conditionalFormatting>
  <conditionalFormatting sqref="C237">
    <cfRule type="cellIs" dxfId="52" priority="636" operator="equal">
      <formula>$U$1</formula>
    </cfRule>
    <cfRule type="cellIs" dxfId="51" priority="637" operator="equal">
      <formula>$S$1</formula>
    </cfRule>
  </conditionalFormatting>
  <conditionalFormatting sqref="D237">
    <cfRule type="cellIs" dxfId="50" priority="634" operator="equal">
      <formula>$S$1</formula>
    </cfRule>
    <cfRule type="cellIs" dxfId="49" priority="635" operator="equal">
      <formula>$U$1</formula>
    </cfRule>
  </conditionalFormatting>
  <conditionalFormatting sqref="C106">
    <cfRule type="cellIs" dxfId="48" priority="632" operator="equal">
      <formula>$U$1</formula>
    </cfRule>
    <cfRule type="cellIs" dxfId="47" priority="633" operator="equal">
      <formula>$S$1</formula>
    </cfRule>
  </conditionalFormatting>
  <conditionalFormatting sqref="D106">
    <cfRule type="cellIs" dxfId="46" priority="630" operator="equal">
      <formula>$S$1</formula>
    </cfRule>
    <cfRule type="cellIs" dxfId="45" priority="631" operator="equal">
      <formula>$U$1</formula>
    </cfRule>
  </conditionalFormatting>
  <conditionalFormatting sqref="C81">
    <cfRule type="cellIs" dxfId="44" priority="628" operator="equal">
      <formula>$U$1</formula>
    </cfRule>
    <cfRule type="cellIs" dxfId="43" priority="629" operator="equal">
      <formula>$S$1</formula>
    </cfRule>
  </conditionalFormatting>
  <conditionalFormatting sqref="D81">
    <cfRule type="cellIs" dxfId="42" priority="626" operator="equal">
      <formula>$S$1</formula>
    </cfRule>
    <cfRule type="cellIs" dxfId="41" priority="627" operator="equal">
      <formula>$U$1</formula>
    </cfRule>
  </conditionalFormatting>
  <conditionalFormatting sqref="C56">
    <cfRule type="cellIs" dxfId="40" priority="624" operator="equal">
      <formula>$U$1</formula>
    </cfRule>
    <cfRule type="cellIs" dxfId="39" priority="625" operator="equal">
      <formula>$S$1</formula>
    </cfRule>
  </conditionalFormatting>
  <conditionalFormatting sqref="D56">
    <cfRule type="cellIs" dxfId="38" priority="622" operator="equal">
      <formula>$S$1</formula>
    </cfRule>
    <cfRule type="cellIs" dxfId="37" priority="623" operator="equal">
      <formula>$U$1</formula>
    </cfRule>
  </conditionalFormatting>
  <conditionalFormatting sqref="C31">
    <cfRule type="cellIs" dxfId="36" priority="620" operator="equal">
      <formula>$U$1</formula>
    </cfRule>
    <cfRule type="cellIs" dxfId="35" priority="621" operator="equal">
      <formula>$S$1</formula>
    </cfRule>
  </conditionalFormatting>
  <conditionalFormatting sqref="D31">
    <cfRule type="cellIs" dxfId="34" priority="618" operator="equal">
      <formula>$S$1</formula>
    </cfRule>
    <cfRule type="cellIs" dxfId="33" priority="61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X102" sqref="X10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24" x14ac:dyDescent="0.25">
      <c r="A81" s="30">
        <v>45.259255568176073</v>
      </c>
      <c r="E81"/>
    </row>
    <row r="82" spans="1:24" x14ac:dyDescent="0.25">
      <c r="A82" s="30">
        <v>41.144777789250973</v>
      </c>
      <c r="E82"/>
    </row>
    <row r="83" spans="1:24" x14ac:dyDescent="0.25">
      <c r="A83" s="30">
        <v>37.404343444773609</v>
      </c>
      <c r="E83"/>
    </row>
    <row r="84" spans="1:24" x14ac:dyDescent="0.25">
      <c r="A84" s="30">
        <v>34.003948586157826</v>
      </c>
      <c r="E84"/>
    </row>
    <row r="85" spans="1:24" x14ac:dyDescent="0.25">
      <c r="A85" s="30">
        <v>30.912680532870748</v>
      </c>
      <c r="E85"/>
    </row>
    <row r="86" spans="1:24" x14ac:dyDescent="0.25">
      <c r="A86" s="30">
        <v>28.102436848064315</v>
      </c>
      <c r="E86"/>
      <c r="S86" s="27" t="s">
        <v>8</v>
      </c>
    </row>
    <row r="87" spans="1:24" x14ac:dyDescent="0.25">
      <c r="A87" s="30">
        <v>25.547669861876649</v>
      </c>
      <c r="E87"/>
      <c r="S87" s="27" t="s">
        <v>8</v>
      </c>
      <c r="T87" s="27" t="s">
        <v>7</v>
      </c>
    </row>
    <row r="88" spans="1:24" x14ac:dyDescent="0.25">
      <c r="A88" s="30">
        <v>23.225154419887861</v>
      </c>
      <c r="E88"/>
      <c r="S88" s="27" t="s">
        <v>8</v>
      </c>
      <c r="T88" s="27" t="s">
        <v>7</v>
      </c>
    </row>
    <row r="89" spans="1:24" x14ac:dyDescent="0.25">
      <c r="A89" s="30">
        <v>21.113776745352599</v>
      </c>
      <c r="E89"/>
      <c r="S89" s="27" t="s">
        <v>8</v>
      </c>
      <c r="T89" s="27" t="s">
        <v>7</v>
      </c>
    </row>
    <row r="90" spans="1:24" x14ac:dyDescent="0.25">
      <c r="A90" s="30">
        <v>19.194342495775089</v>
      </c>
      <c r="E90"/>
      <c r="S90" s="27" t="s">
        <v>8</v>
      </c>
      <c r="T90" s="27" t="s">
        <v>7</v>
      </c>
      <c r="W90" s="27" t="s">
        <v>8</v>
      </c>
    </row>
    <row r="91" spans="1:24" x14ac:dyDescent="0.25">
      <c r="A91" s="30">
        <v>17.449402268886445</v>
      </c>
      <c r="E91" t="s">
        <v>8</v>
      </c>
      <c r="S91" s="27" t="s">
        <v>8</v>
      </c>
      <c r="T91" s="27" t="s">
        <v>7</v>
      </c>
      <c r="W91" s="27" t="s">
        <v>8</v>
      </c>
      <c r="X91" s="27" t="s">
        <v>7</v>
      </c>
    </row>
    <row r="92" spans="1:24" x14ac:dyDescent="0.25">
      <c r="A92" s="30">
        <v>15.863092971714948</v>
      </c>
      <c r="C92" s="1" t="s">
        <v>15</v>
      </c>
      <c r="E92" t="s">
        <v>8</v>
      </c>
      <c r="F92" s="27" t="s">
        <v>7</v>
      </c>
      <c r="S92" s="27" t="s">
        <v>8</v>
      </c>
      <c r="T92" s="27" t="s">
        <v>7</v>
      </c>
      <c r="W92" s="27" t="s">
        <v>8</v>
      </c>
      <c r="X92" s="27" t="s">
        <v>7</v>
      </c>
    </row>
    <row r="93" spans="1:24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M93" s="27" t="s">
        <v>8</v>
      </c>
      <c r="S93" s="27" t="s">
        <v>8</v>
      </c>
      <c r="T93" s="27" t="s">
        <v>7</v>
      </c>
      <c r="U93" s="27" t="s">
        <v>8</v>
      </c>
      <c r="W93" s="27" t="s">
        <v>8</v>
      </c>
      <c r="X93" s="27" t="s">
        <v>7</v>
      </c>
    </row>
    <row r="94" spans="1:24" x14ac:dyDescent="0.25">
      <c r="A94" s="30">
        <v>13.109994191499954</v>
      </c>
      <c r="E94" t="s">
        <v>8</v>
      </c>
      <c r="F94" s="27" t="s">
        <v>7</v>
      </c>
      <c r="K94" s="27" t="s">
        <v>8</v>
      </c>
      <c r="M94" s="27" t="s">
        <v>8</v>
      </c>
      <c r="N94" s="27" t="s">
        <v>7</v>
      </c>
      <c r="S94" s="27" t="s">
        <v>8</v>
      </c>
      <c r="T94" s="27" t="s">
        <v>7</v>
      </c>
      <c r="U94" s="27" t="s">
        <v>8</v>
      </c>
      <c r="V94" s="27" t="s">
        <v>7</v>
      </c>
      <c r="W94" s="27" t="s">
        <v>8</v>
      </c>
      <c r="X94" s="27" t="s">
        <v>7</v>
      </c>
    </row>
    <row r="95" spans="1:24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K95" s="27" t="s">
        <v>8</v>
      </c>
      <c r="L95" s="27" t="s">
        <v>7</v>
      </c>
      <c r="M95" s="27" t="s">
        <v>8</v>
      </c>
      <c r="N95" s="27" t="s">
        <v>7</v>
      </c>
      <c r="O95" s="27" t="s">
        <v>8</v>
      </c>
      <c r="S95" s="27" t="s">
        <v>8</v>
      </c>
      <c r="T95" s="27" t="s">
        <v>7</v>
      </c>
      <c r="U95" s="27" t="s">
        <v>8</v>
      </c>
      <c r="V95" s="27" t="s">
        <v>7</v>
      </c>
      <c r="W95" s="27" t="s">
        <v>8</v>
      </c>
      <c r="X95" s="27" t="s">
        <v>7</v>
      </c>
    </row>
    <row r="96" spans="1:24" x14ac:dyDescent="0.25">
      <c r="A96" s="30">
        <v>10.834705943388391</v>
      </c>
      <c r="C96"/>
      <c r="D96"/>
      <c r="E96" t="s">
        <v>8</v>
      </c>
      <c r="F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  <c r="O96" s="27" t="s">
        <v>8</v>
      </c>
      <c r="P96" s="27" t="s">
        <v>7</v>
      </c>
      <c r="Q96" s="27" t="s">
        <v>8</v>
      </c>
      <c r="S96" s="27" t="s">
        <v>8</v>
      </c>
      <c r="T96" s="27" t="s">
        <v>7</v>
      </c>
      <c r="V96" s="27" t="s">
        <v>7</v>
      </c>
      <c r="W96" s="27" t="s">
        <v>8</v>
      </c>
      <c r="X96" s="27" t="s">
        <v>7</v>
      </c>
    </row>
    <row r="97" spans="1:24" x14ac:dyDescent="0.25">
      <c r="A97" s="30">
        <v>9.849732675807628</v>
      </c>
      <c r="E97" t="s">
        <v>8</v>
      </c>
      <c r="F97" s="27" t="s">
        <v>7</v>
      </c>
      <c r="K97" s="27" t="s">
        <v>8</v>
      </c>
      <c r="L97" s="27" t="s">
        <v>7</v>
      </c>
      <c r="N97" s="27" t="s">
        <v>7</v>
      </c>
      <c r="O97" s="27" t="s">
        <v>8</v>
      </c>
      <c r="P97" s="27" t="s">
        <v>7</v>
      </c>
      <c r="Q97" s="27" t="s">
        <v>8</v>
      </c>
      <c r="R97" s="27" t="s">
        <v>7</v>
      </c>
      <c r="S97" s="27" t="s">
        <v>8</v>
      </c>
      <c r="V97" s="27" t="s">
        <v>7</v>
      </c>
      <c r="W97" s="27" t="s">
        <v>8</v>
      </c>
      <c r="X97" s="27" t="s">
        <v>7</v>
      </c>
    </row>
    <row r="98" spans="1:24" x14ac:dyDescent="0.25">
      <c r="A98" s="30">
        <v>8.9543024325523888</v>
      </c>
      <c r="C98" s="1" t="s">
        <v>13</v>
      </c>
      <c r="E98" t="s">
        <v>8</v>
      </c>
      <c r="F98" s="27" t="s">
        <v>7</v>
      </c>
      <c r="G98" s="27" t="s">
        <v>8</v>
      </c>
      <c r="K98" s="27" t="s">
        <v>8</v>
      </c>
      <c r="N98" s="27" t="s">
        <v>7</v>
      </c>
      <c r="O98" s="27" t="s">
        <v>8</v>
      </c>
      <c r="P98" s="27" t="s">
        <v>7</v>
      </c>
      <c r="Q98" s="27" t="s">
        <v>8</v>
      </c>
      <c r="R98" s="27" t="s">
        <v>7</v>
      </c>
      <c r="S98" s="27" t="s">
        <v>8</v>
      </c>
      <c r="V98" s="27" t="s">
        <v>7</v>
      </c>
      <c r="X98" s="27" t="s">
        <v>7</v>
      </c>
    </row>
    <row r="99" spans="1:24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G99" s="27" t="s">
        <v>8</v>
      </c>
      <c r="H99" s="27" t="s">
        <v>7</v>
      </c>
      <c r="K99" s="27" t="s">
        <v>8</v>
      </c>
      <c r="N99" s="27" t="s">
        <v>7</v>
      </c>
      <c r="O99" s="27" t="s">
        <v>8</v>
      </c>
      <c r="P99" s="27" t="s">
        <v>7</v>
      </c>
      <c r="R99" s="27" t="s">
        <v>7</v>
      </c>
      <c r="S99" s="27" t="s">
        <v>8</v>
      </c>
      <c r="X99" s="27" t="s">
        <v>7</v>
      </c>
    </row>
    <row r="100" spans="1:24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  <c r="H100" s="27" t="s">
        <v>7</v>
      </c>
      <c r="K100" s="27" t="s">
        <v>8</v>
      </c>
      <c r="N100" s="27" t="s">
        <v>7</v>
      </c>
      <c r="O100" s="27" t="s">
        <v>8</v>
      </c>
      <c r="R100" s="27" t="s">
        <v>7</v>
      </c>
      <c r="X100" s="27" t="s">
        <v>7</v>
      </c>
    </row>
    <row r="101" spans="1:24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H101" s="27" t="s">
        <v>7</v>
      </c>
      <c r="I101" s="27" t="s">
        <v>8</v>
      </c>
      <c r="K101" s="27" t="s">
        <v>8</v>
      </c>
      <c r="N101" s="27" t="s">
        <v>7</v>
      </c>
      <c r="X101" s="27" t="s">
        <v>7</v>
      </c>
    </row>
    <row r="102" spans="1:2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27" t="s">
        <v>7</v>
      </c>
      <c r="I102" s="27" t="s">
        <v>8</v>
      </c>
      <c r="J102" s="27" t="s">
        <v>7</v>
      </c>
      <c r="K102" s="27" t="s">
        <v>8</v>
      </c>
      <c r="X102" s="27" t="s">
        <v>7</v>
      </c>
    </row>
    <row r="103" spans="1:24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J103" s="27" t="s">
        <v>7</v>
      </c>
      <c r="K103" s="27" t="s">
        <v>8</v>
      </c>
    </row>
    <row r="104" spans="1:24" x14ac:dyDescent="0.25">
      <c r="A104" s="30">
        <v>5.0544702849929442</v>
      </c>
      <c r="E104" t="s">
        <v>8</v>
      </c>
      <c r="F104" s="27" t="s">
        <v>7</v>
      </c>
      <c r="H104" s="27" t="s">
        <v>7</v>
      </c>
      <c r="J104" s="18" t="s">
        <v>7</v>
      </c>
    </row>
    <row r="105" spans="1:24" x14ac:dyDescent="0.25">
      <c r="A105" s="30">
        <v>4.594972986357222</v>
      </c>
      <c r="E105" t="s">
        <v>8</v>
      </c>
    </row>
    <row r="106" spans="1:24" x14ac:dyDescent="0.25">
      <c r="A106" s="30">
        <v>4.1772481694156562</v>
      </c>
      <c r="E106" t="s">
        <v>8</v>
      </c>
    </row>
    <row r="107" spans="1:24" x14ac:dyDescent="0.25">
      <c r="A107" s="30">
        <v>3.7974983358324148</v>
      </c>
      <c r="E107" t="s">
        <v>8</v>
      </c>
    </row>
    <row r="108" spans="1:24" x14ac:dyDescent="0.25">
      <c r="A108" s="30">
        <v>3.4522712143931042</v>
      </c>
      <c r="E108" t="s">
        <v>8</v>
      </c>
    </row>
    <row r="109" spans="1:24" x14ac:dyDescent="0.25">
      <c r="A109" s="30">
        <v>3.1384283767210035</v>
      </c>
      <c r="E109" t="s">
        <v>8</v>
      </c>
    </row>
    <row r="110" spans="1:24" x14ac:dyDescent="0.25">
      <c r="A110" s="30">
        <v>2.8531167061100029</v>
      </c>
      <c r="E110" t="s">
        <v>8</v>
      </c>
    </row>
    <row r="111" spans="1:24" x14ac:dyDescent="0.25">
      <c r="A111" s="30">
        <v>2.5937424601000023</v>
      </c>
      <c r="C111" s="1" t="str">
        <f>ADDRESS(C121-1,1,1,1)</f>
        <v>$A$101</v>
      </c>
      <c r="D111" s="1" t="str">
        <f>ADDRESS(C121-1,D121,1,1)</f>
        <v>$X$101</v>
      </c>
      <c r="E111" t="s">
        <v>8</v>
      </c>
    </row>
    <row r="112" spans="1:24" x14ac:dyDescent="0.25">
      <c r="A112" s="30">
        <v>2.3579476910000019</v>
      </c>
      <c r="C112" s="1" t="str">
        <f>ADDRESS(C121,1,1,1)</f>
        <v>$A$102</v>
      </c>
      <c r="D112" s="1" t="str">
        <f>ADDRESS(C121,D121-1,1,1)</f>
        <v>$W$102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$A$103</v>
      </c>
      <c r="D113" s="1" t="str">
        <f>ADDRESS(C121-1,D121+1,1,1)</f>
        <v>$Y$101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$X$102</v>
      </c>
      <c r="D114" s="1" t="str">
        <f>ADDRESS(C121+1,D121+1,1,1)</f>
        <v>$Y$103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$X$103</v>
      </c>
      <c r="E115" s="1" t="s">
        <v>8</v>
      </c>
    </row>
    <row r="116" spans="1:5" x14ac:dyDescent="0.25">
      <c r="A116" s="30">
        <v>1.6105100000000008</v>
      </c>
      <c r="C116" s="1">
        <f>C117-1</f>
        <v>101</v>
      </c>
      <c r="E116" s="1" t="s">
        <v>8</v>
      </c>
    </row>
    <row r="117" spans="1:5" x14ac:dyDescent="0.25">
      <c r="A117" s="30">
        <v>1.4641000000000006</v>
      </c>
      <c r="C117" s="1">
        <f>C121</f>
        <v>102</v>
      </c>
      <c r="D117" s="1">
        <f>D121</f>
        <v>24</v>
      </c>
      <c r="E117" s="1" t="s">
        <v>8</v>
      </c>
    </row>
    <row r="118" spans="1:5" x14ac:dyDescent="0.25">
      <c r="A118" s="30">
        <v>1.3310000000000004</v>
      </c>
      <c r="C118" s="1">
        <f>C117+1</f>
        <v>103</v>
      </c>
      <c r="D118" s="1">
        <f>D117+1</f>
        <v>25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102</v>
      </c>
      <c r="D121" s="19">
        <v>24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R102</v>
      </c>
      <c r="D123" s="1" t="str">
        <f>"C"&amp;D121</f>
        <v>C24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6.1159090448414632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36" operator="equal">
      <formula>$U$1</formula>
    </cfRule>
    <cfRule type="cellIs" dxfId="30" priority="637" operator="equal">
      <formula>$S$1</formula>
    </cfRule>
  </conditionalFormatting>
  <conditionalFormatting sqref="D136">
    <cfRule type="cellIs" dxfId="29" priority="634" operator="equal">
      <formula>$S$1</formula>
    </cfRule>
    <cfRule type="cellIs" dxfId="28" priority="635" operator="equal">
      <formula>$U$1</formula>
    </cfRule>
  </conditionalFormatting>
  <conditionalFormatting sqref="C102">
    <cfRule type="cellIs" dxfId="27" priority="632" operator="equal">
      <formula>$U$1</formula>
    </cfRule>
    <cfRule type="cellIs" dxfId="26" priority="633" operator="equal">
      <formula>$S$1</formula>
    </cfRule>
  </conditionalFormatting>
  <conditionalFormatting sqref="D102">
    <cfRule type="cellIs" dxfId="25" priority="630" operator="equal">
      <formula>$S$1</formula>
    </cfRule>
    <cfRule type="cellIs" dxfId="24" priority="631" operator="equal">
      <formula>$U$1</formula>
    </cfRule>
  </conditionalFormatting>
  <conditionalFormatting sqref="C77">
    <cfRule type="cellIs" dxfId="23" priority="628" operator="equal">
      <formula>$U$1</formula>
    </cfRule>
    <cfRule type="cellIs" dxfId="22" priority="629" operator="equal">
      <formula>$S$1</formula>
    </cfRule>
  </conditionalFormatting>
  <conditionalFormatting sqref="D77">
    <cfRule type="cellIs" dxfId="21" priority="626" operator="equal">
      <formula>$S$1</formula>
    </cfRule>
    <cfRule type="cellIs" dxfId="20" priority="627" operator="equal">
      <formula>$U$1</formula>
    </cfRule>
  </conditionalFormatting>
  <conditionalFormatting sqref="C52">
    <cfRule type="cellIs" dxfId="19" priority="624" operator="equal">
      <formula>$U$1</formula>
    </cfRule>
    <cfRule type="cellIs" dxfId="18" priority="625" operator="equal">
      <formula>$S$1</formula>
    </cfRule>
  </conditionalFormatting>
  <conditionalFormatting sqref="D52">
    <cfRule type="cellIs" dxfId="17" priority="622" operator="equal">
      <formula>$S$1</formula>
    </cfRule>
    <cfRule type="cellIs" dxfId="16" priority="623" operator="equal">
      <formula>$U$1</formula>
    </cfRule>
  </conditionalFormatting>
  <conditionalFormatting sqref="C26">
    <cfRule type="cellIs" dxfId="15" priority="620" operator="equal">
      <formula>$U$1</formula>
    </cfRule>
    <cfRule type="cellIs" dxfId="14" priority="621" operator="equal">
      <formula>$S$1</formula>
    </cfRule>
  </conditionalFormatting>
  <conditionalFormatting sqref="D26">
    <cfRule type="cellIs" dxfId="13" priority="618" operator="equal">
      <formula>$S$1</formula>
    </cfRule>
    <cfRule type="cellIs" dxfId="12" priority="61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5.0031885420337927</v>
      </c>
      <c r="F3" s="30">
        <v>5.2533479691354827</v>
      </c>
      <c r="G3" s="30">
        <v>7.7615875551174378</v>
      </c>
      <c r="H3" s="25">
        <f>IF(G3="","",(3*(G3-F3))+E3)</f>
        <v>12.527907299979658</v>
      </c>
      <c r="I3" s="7"/>
      <c r="J3" s="7">
        <f>(E3+G3)/2</f>
        <v>6.3823880485756153</v>
      </c>
      <c r="K3" s="7">
        <f>H3/2</f>
        <v>6.263953649989829</v>
      </c>
      <c r="M3" s="26">
        <f>IF(OR(J3="",H3=""),"",H3/J3)</f>
        <v>1.9628871207189549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2022-01-28T01:17:11Z</dcterms:modified>
</cp:coreProperties>
</file>