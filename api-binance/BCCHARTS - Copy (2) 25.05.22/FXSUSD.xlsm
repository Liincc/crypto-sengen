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2BD3CE3-B9C4-4C23-8C71-765A3412CD1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5"/>
  <c r="C122" i="4"/>
  <c r="C133" i="4" s="1"/>
  <c r="C136" i="4" s="1"/>
  <c r="C116" i="4"/>
  <c r="C116" i="3"/>
  <c r="C122" i="3"/>
  <c r="C133" i="3" s="1"/>
  <c r="C136" i="3" s="1"/>
  <c r="R765" i="1"/>
  <c r="D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<sst xmlns="http://schemas.openxmlformats.org/spreadsheetml/2006/main" count="4316" uniqueCount="34">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</sst>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18.547000000000001</c:v>
                </c:pt>
                <c:pt idx="1">
                  <c:v>18.8</c:v>
                </c:pt>
                <c:pt idx="2">
                  <c:v>18.032</c:v>
                </c:pt>
                <c:pt idx="3">
                  <c:v>17.98</c:v>
                </c:pt>
                <c:pt idx="4">
                  <c:v>20.350000000000001</c:v>
                </c:pt>
                <c:pt idx="5">
                  <c:v>19.484000000000002</c:v>
                </c:pt>
                <c:pt idx="6">
                  <c:v>21.827999999999999</c:v>
                </c:pt>
                <c:pt idx="7">
                  <c:v>26.82</c:v>
                </c:pt>
                <c:pt idx="8">
                  <c:v>28.062999999999999</c:v>
                </c:pt>
                <c:pt idx="9">
                  <c:v>30.902000000000001</c:v>
                </c:pt>
                <c:pt idx="10">
                  <c:v>32.07</c:v>
                </c:pt>
                <c:pt idx="11">
                  <c:v>37.08</c:v>
                </c:pt>
                <c:pt idx="12">
                  <c:v>36.795999999999999</c:v>
                </c:pt>
                <c:pt idx="13">
                  <c:v>38.564999999999998</c:v>
                </c:pt>
                <c:pt idx="14">
                  <c:v>37.659999999999997</c:v>
                </c:pt>
                <c:pt idx="15">
                  <c:v>41.49</c:v>
                </c:pt>
                <c:pt idx="16">
                  <c:v>34.942</c:v>
                </c:pt>
                <c:pt idx="17">
                  <c:v>34.723999999999997</c:v>
                </c:pt>
                <c:pt idx="18">
                  <c:v>36.151000000000003</c:v>
                </c:pt>
                <c:pt idx="19">
                  <c:v>38.1</c:v>
                </c:pt>
                <c:pt idx="20">
                  <c:v>38.277000000000001</c:v>
                </c:pt>
                <c:pt idx="21">
                  <c:v>34.496000000000002</c:v>
                </c:pt>
                <c:pt idx="22">
                  <c:v>34.447000000000003</c:v>
                </c:pt>
                <c:pt idx="23">
                  <c:v>37.844000000000001</c:v>
                </c:pt>
                <c:pt idx="24">
                  <c:v>32.81</c:v>
                </c:pt>
                <c:pt idx="25">
                  <c:v>35.049999999999997</c:v>
                </c:pt>
                <c:pt idx="26">
                  <c:v>36.716000000000001</c:v>
                </c:pt>
                <c:pt idx="27">
                  <c:v>39.158000000000001</c:v>
                </c:pt>
                <c:pt idx="28">
                  <c:v>30</c:v>
                </c:pt>
                <c:pt idx="29">
                  <c:v>26.175000000000001</c:v>
                </c:pt>
                <c:pt idx="30">
                  <c:v>22.148</c:v>
                </c:pt>
                <c:pt idx="31">
                  <c:v>23.693999999999999</c:v>
                </c:pt>
                <c:pt idx="32">
                  <c:v>20.503</c:v>
                </c:pt>
                <c:pt idx="33">
                  <c:v>20.413</c:v>
                </c:pt>
                <c:pt idx="34">
                  <c:v>21.2</c:v>
                </c:pt>
                <c:pt idx="35">
                  <c:v>20.161999999999999</c:v>
                </c:pt>
                <c:pt idx="36">
                  <c:v>18.018000000000001</c:v>
                </c:pt>
                <c:pt idx="37">
                  <c:v>17.289000000000001</c:v>
                </c:pt>
                <c:pt idx="38">
                  <c:v>13.958</c:v>
                </c:pt>
                <c:pt idx="39">
                  <c:v>14.414</c:v>
                </c:pt>
                <c:pt idx="40">
                  <c:v>14.000999999999999</c:v>
                </c:pt>
                <c:pt idx="41">
                  <c:v>15.375</c:v>
                </c:pt>
                <c:pt idx="42">
                  <c:v>16.425999999999998</c:v>
                </c:pt>
                <c:pt idx="43">
                  <c:v>16.916</c:v>
                </c:pt>
                <c:pt idx="44">
                  <c:v>17.274999999999999</c:v>
                </c:pt>
                <c:pt idx="45">
                  <c:v>17.574999999999999</c:v>
                </c:pt>
                <c:pt idx="46">
                  <c:v>18.545999999999999</c:v>
                </c:pt>
                <c:pt idx="47">
                  <c:v>19.722000000000001</c:v>
                </c:pt>
                <c:pt idx="48">
                  <c:v>19.576000000000001</c:v>
                </c:pt>
                <c:pt idx="49">
                  <c:v>21.096</c:v>
                </c:pt>
                <c:pt idx="50">
                  <c:v>21.349</c:v>
                </c:pt>
                <c:pt idx="51">
                  <c:v>18.931000000000001</c:v>
                </c:pt>
                <c:pt idx="52">
                  <c:v>17.71</c:v>
                </c:pt>
                <c:pt idx="53">
                  <c:v>15.207000000000001</c:v>
                </c:pt>
                <c:pt idx="54">
                  <c:v>15.478999999999999</c:v>
                </c:pt>
                <c:pt idx="55">
                  <c:v>16.370999999999999</c:v>
                </c:pt>
                <c:pt idx="56">
                  <c:v>17.356000000000002</c:v>
                </c:pt>
                <c:pt idx="57">
                  <c:v>17.861999999999998</c:v>
                </c:pt>
                <c:pt idx="58">
                  <c:v>17.834</c:v>
                </c:pt>
                <c:pt idx="59">
                  <c:v>18.3</c:v>
                </c:pt>
                <c:pt idx="60">
                  <c:v>17.768999999999998</c:v>
                </c:pt>
                <c:pt idx="61">
                  <c:v>17.577999999999999</c:v>
                </c:pt>
                <c:pt idx="62">
                  <c:v>17.443999999999999</c:v>
                </c:pt>
                <c:pt idx="63">
                  <c:v>18.838999999999999</c:v>
                </c:pt>
                <c:pt idx="64">
                  <c:v>18.641999999999999</c:v>
                </c:pt>
                <c:pt idx="65">
                  <c:v>17.905000000000001</c:v>
                </c:pt>
                <c:pt idx="66">
                  <c:v>17.677</c:v>
                </c:pt>
                <c:pt idx="67">
                  <c:v>18.026</c:v>
                </c:pt>
                <c:pt idx="68">
                  <c:v>19.056999999999999</c:v>
                </c:pt>
                <c:pt idx="69">
                  <c:v>19.765999999999998</c:v>
                </c:pt>
                <c:pt idx="70">
                  <c:v>16.442</c:v>
                </c:pt>
                <c:pt idx="71">
                  <c:v>17.702999999999999</c:v>
                </c:pt>
                <c:pt idx="72">
                  <c:v>17.199000000000002</c:v>
                </c:pt>
                <c:pt idx="73">
                  <c:v>19.117999999999999</c:v>
                </c:pt>
                <c:pt idx="74">
                  <c:v>20.402000000000001</c:v>
                </c:pt>
                <c:pt idx="75">
                  <c:v>22.568999999999999</c:v>
                </c:pt>
                <c:pt idx="76">
                  <c:v>23.225000000000001</c:v>
                </c:pt>
                <c:pt idx="77">
                  <c:v>24.991</c:v>
                </c:pt>
                <c:pt idx="78">
                  <c:v>23.045000000000002</c:v>
                </c:pt>
                <c:pt idx="79">
                  <c:v>22.800999999999998</c:v>
                </c:pt>
                <c:pt idx="80">
                  <c:v>22.954999999999998</c:v>
                </c:pt>
                <c:pt idx="81">
                  <c:v>18.335000000000001</c:v>
                </c:pt>
                <c:pt idx="82">
                  <c:v>18.052</c:v>
                </c:pt>
                <c:pt idx="83">
                  <c:v>16.286999999999999</c:v>
                </c:pt>
                <c:pt idx="84">
                  <c:v>17.692</c:v>
                </c:pt>
                <c:pt idx="85">
                  <c:v>17.904</c:v>
                </c:pt>
                <c:pt idx="86">
                  <c:v>16.044</c:v>
                </c:pt>
                <c:pt idx="87">
                  <c:v>14.015000000000001</c:v>
                </c:pt>
                <c:pt idx="88">
                  <c:v>13.935</c:v>
                </c:pt>
                <c:pt idx="89">
                  <c:v>12.686</c:v>
                </c:pt>
                <c:pt idx="90">
                  <c:v>13.468</c:v>
                </c:pt>
                <c:pt idx="91">
                  <c:v>14.741</c:v>
                </c:pt>
                <c:pt idx="92">
                  <c:v>13.403</c:v>
                </c:pt>
                <c:pt idx="93">
                  <c:v>11.504</c:v>
                </c:pt>
                <c:pt idx="94">
                  <c:v>10.430999999999999</c:v>
                </c:pt>
                <c:pt idx="95">
                  <c:v>7.1139999999999999</c:v>
                </c:pt>
                <c:pt idx="96">
                  <c:v>7.1379999999999999</c:v>
                </c:pt>
                <c:pt idx="97">
                  <c:v>6.6150000000000002</c:v>
                </c:pt>
                <c:pt idx="98">
                  <c:v>6.5060000000000002</c:v>
                </c:pt>
                <c:pt idx="99">
                  <c:v>5.7</c:v>
                </c:pt>
                <c:pt idx="100">
                  <c:v>5.6790000000000003</c:v>
                </c:pt>
                <c:pt idx="101">
                  <c:v>6.2190000000000003</c:v>
                </c:pt>
                <c:pt idx="102">
                  <c:v>6.1989999999999998</c:v>
                </c:pt>
                <c:pt idx="103">
                  <c:v>6.1989999999999998</c:v>
                </c:pt>
                <c:pt idx="104">
                  <c:v>6.25</c:v>
                </c:pt>
                <c:pt idx="105">
                  <c:v>6.5279999999999996</c:v>
                </c:pt>
                <c:pt idx="106">
                  <c:v>6.8330000000000002</c:v>
                </c:pt>
                <c:pt idx="107">
                  <c:v>7.13</c:v>
                </c:pt>
                <c:pt idx="108">
                  <c:v>6.06</c:v>
                </c:pt>
                <c:pt idx="109">
                  <c:v>5.59</c:v>
                </c:pt>
                <c:pt idx="110">
                  <c:v>5.53</c:v>
                </c:pt>
                <c:pt idx="111">
                  <c:v>5.5439999999999996</c:v>
                </c:pt>
                <c:pt idx="112">
                  <c:v>4.923</c:v>
                </c:pt>
                <c:pt idx="113">
                  <c:v>4.7530000000000001</c:v>
                </c:pt>
                <c:pt idx="114">
                  <c:v>4.633</c:v>
                </c:pt>
                <c:pt idx="115">
                  <c:v>4.7380000000000004</c:v>
                </c:pt>
                <c:pt idx="116">
                  <c:v>4.63</c:v>
                </c:pt>
                <c:pt idx="117">
                  <c:v>4.5579999999999998</c:v>
                </c:pt>
                <c:pt idx="118">
                  <c:v>4.6539999999999999</c:v>
                </c:pt>
                <c:pt idx="119">
                  <c:v>4.4809999999999999</c:v>
                </c:pt>
                <c:pt idx="120">
                  <c:v>4.4180000000000001</c:v>
                </c:pt>
                <c:pt idx="121">
                  <c:v>4.3600000000000003</c:v>
                </c:pt>
                <c:pt idx="122">
                  <c:v>4.4139999999999997</c:v>
                </c:pt>
                <c:pt idx="123">
                  <c:v>4.62</c:v>
                </c:pt>
                <c:pt idx="124">
                  <c:v>4.641</c:v>
                </c:pt>
                <c:pt idx="125">
                  <c:v>4.6369999999999996</c:v>
                </c:pt>
                <c:pt idx="126">
                  <c:v>4.7190000000000003</c:v>
                </c:pt>
                <c:pt idx="127">
                  <c:v>4.7439999999999998</c:v>
                </c:pt>
                <c:pt idx="128">
                  <c:v>4.492</c:v>
                </c:pt>
                <c:pt idx="129">
                  <c:v>4.7270000000000003</c:v>
                </c:pt>
                <c:pt idx="130">
                  <c:v>6.0949999999999998</c:v>
                </c:pt>
                <c:pt idx="131">
                  <c:v>5.1289999999999996</c:v>
                </c:pt>
                <c:pt idx="132">
                  <c:v>5.0350000000000001</c:v>
                </c:pt>
                <c:pt idx="133">
                  <c:v>5.1680000000000001</c:v>
                </c:pt>
                <c:pt idx="134">
                  <c:v>5.117</c:v>
                </c:pt>
                <c:pt idx="135">
                  <c:v>5.157</c:v>
                </c:pt>
                <c:pt idx="136">
                  <c:v>5.2210000000000001</c:v>
                </c:pt>
                <c:pt idx="137">
                  <c:v>5.2089999999999996</c:v>
                </c:pt>
                <c:pt idx="138">
                  <c:v>5.13</c:v>
                </c:pt>
                <c:pt idx="139">
                  <c:v>5.0060000000000002</c:v>
                </c:pt>
                <c:pt idx="140">
                  <c:v>5.2859999999999996</c:v>
                </c:pt>
                <c:pt idx="141">
                  <c:v>5.2069999999999999</c:v>
                </c:pt>
                <c:pt idx="142">
                  <c:v>5.1550000000000002</c:v>
                </c:pt>
                <c:pt idx="143">
                  <c:v>5.9160000000000004</c:v>
                </c:pt>
                <c:pt idx="144">
                  <c:v>5.7830000000000004</c:v>
                </c:pt>
                <c:pt idx="145">
                  <c:v>5.7759999999999998</c:v>
                </c:pt>
                <c:pt idx="146">
                  <c:v>5.806</c:v>
                </c:pt>
                <c:pt idx="147">
                  <c:v>6.0880000000000001</c:v>
                </c:pt>
                <c:pt idx="148">
                  <c:v>6.22</c:v>
                </c:pt>
                <c:pt idx="149">
                  <c:v>6.1520000000000001</c:v>
                </c:pt>
                <c:pt idx="150">
                  <c:v>6.15</c:v>
                </c:pt>
                <c:pt idx="151">
                  <c:v>6.4240000000000004</c:v>
                </c:pt>
                <c:pt idx="152">
                  <c:v>6.657</c:v>
                </c:pt>
                <c:pt idx="153">
                  <c:v>7.0369999999999999</c:v>
                </c:pt>
                <c:pt idx="154">
                  <c:v>6.2409999999999997</c:v>
                </c:pt>
                <c:pt idx="155">
                  <c:v>6.7210000000000001</c:v>
                </c:pt>
                <c:pt idx="156">
                  <c:v>6.54</c:v>
                </c:pt>
                <c:pt idx="157">
                  <c:v>6.0119999999999996</c:v>
                </c:pt>
                <c:pt idx="158">
                  <c:v>4.0860000000000003</c:v>
                </c:pt>
                <c:pt idx="159">
                  <c:v>4.1509999999999998</c:v>
                </c:pt>
                <c:pt idx="160">
                  <c:v>4.09</c:v>
                </c:pt>
                <c:pt idx="161">
                  <c:v>3.8159999999999998</c:v>
                </c:pt>
                <c:pt idx="162">
                  <c:v>3.73</c:v>
                </c:pt>
                <c:pt idx="163">
                  <c:v>3.7120000000000002</c:v>
                </c:pt>
                <c:pt idx="164">
                  <c:v>3.9849999999999999</c:v>
                </c:pt>
                <c:pt idx="165">
                  <c:v>3.9529999999999998</c:v>
                </c:pt>
                <c:pt idx="166">
                  <c:v>4.0910000000000002</c:v>
                </c:pt>
                <c:pt idx="167">
                  <c:v>3.4220000000000002</c:v>
                </c:pt>
                <c:pt idx="168">
                  <c:v>3.2120000000000002</c:v>
                </c:pt>
                <c:pt idx="169">
                  <c:v>3.3340000000000001</c:v>
                </c:pt>
                <c:pt idx="170">
                  <c:v>3.2080000000000002</c:v>
                </c:pt>
                <c:pt idx="171">
                  <c:v>3.2349999999999999</c:v>
                </c:pt>
                <c:pt idx="172">
                  <c:v>3.1779999999999999</c:v>
                </c:pt>
                <c:pt idx="173">
                  <c:v>3.12</c:v>
                </c:pt>
                <c:pt idx="174">
                  <c:v>3.0259999999999998</c:v>
                </c:pt>
                <c:pt idx="175">
                  <c:v>2.976</c:v>
                </c:pt>
                <c:pt idx="176">
                  <c:v>3.008</c:v>
                </c:pt>
                <c:pt idx="177">
                  <c:v>2.9660000000000002</c:v>
                </c:pt>
                <c:pt idx="178">
                  <c:v>3.0950000000000002</c:v>
                </c:pt>
                <c:pt idx="179">
                  <c:v>2.9740000000000002</c:v>
                </c:pt>
                <c:pt idx="180">
                  <c:v>3.0510000000000002</c:v>
                </c:pt>
                <c:pt idx="181">
                  <c:v>3.0550000000000002</c:v>
                </c:pt>
                <c:pt idx="182">
                  <c:v>2.9569999999999999</c:v>
                </c:pt>
                <c:pt idx="183">
                  <c:v>2.9060000000000001</c:v>
                </c:pt>
                <c:pt idx="184">
                  <c:v>3.0960000000000001</c:v>
                </c:pt>
                <c:pt idx="185">
                  <c:v>3.1509999999999998</c:v>
                </c:pt>
                <c:pt idx="186">
                  <c:v>3.391</c:v>
                </c:pt>
                <c:pt idx="187">
                  <c:v>3.3359999999999999</c:v>
                </c:pt>
                <c:pt idx="188">
                  <c:v>3.4209999999999998</c:v>
                </c:pt>
                <c:pt idx="189">
                  <c:v>3.4209999999999998</c:v>
                </c:pt>
                <c:pt idx="190">
                  <c:v>3.476</c:v>
                </c:pt>
                <c:pt idx="191">
                  <c:v>3.496</c:v>
                </c:pt>
                <c:pt idx="192">
                  <c:v>3.22</c:v>
                </c:pt>
                <c:pt idx="193">
                  <c:v>3.044</c:v>
                </c:pt>
                <c:pt idx="194">
                  <c:v>3.0830000000000002</c:v>
                </c:pt>
                <c:pt idx="195">
                  <c:v>3.085</c:v>
                </c:pt>
                <c:pt idx="196">
                  <c:v>3.246</c:v>
                </c:pt>
                <c:pt idx="197">
                  <c:v>2.972</c:v>
                </c:pt>
                <c:pt idx="198">
                  <c:v>2.972</c:v>
                </c:pt>
                <c:pt idx="199">
                  <c:v>2.8420000000000001</c:v>
                </c:pt>
                <c:pt idx="200">
                  <c:v>3.008</c:v>
                </c:pt>
                <c:pt idx="201">
                  <c:v>3.0870000000000002</c:v>
                </c:pt>
                <c:pt idx="202">
                  <c:v>3.1110000000000002</c:v>
                </c:pt>
                <c:pt idx="203">
                  <c:v>3.3279999999999998</c:v>
                </c:pt>
                <c:pt idx="204">
                  <c:v>2.7389999999999999</c:v>
                </c:pt>
                <c:pt idx="205">
                  <c:v>2.6709999999999998</c:v>
                </c:pt>
                <c:pt idx="206">
                  <c:v>2.6179999999999999</c:v>
                </c:pt>
                <c:pt idx="207">
                  <c:v>2.8170000000000002</c:v>
                </c:pt>
                <c:pt idx="208">
                  <c:v>2.8679999999999999</c:v>
                </c:pt>
                <c:pt idx="209">
                  <c:v>2.2970000000000002</c:v>
                </c:pt>
                <c:pt idx="210">
                  <c:v>2.165</c:v>
                </c:pt>
                <c:pt idx="211">
                  <c:v>1.9750000000000001</c:v>
                </c:pt>
                <c:pt idx="212">
                  <c:v>2.0139999999999998</c:v>
                </c:pt>
                <c:pt idx="213">
                  <c:v>1.8480000000000001</c:v>
                </c:pt>
                <c:pt idx="214">
                  <c:v>1.9319999999999999</c:v>
                </c:pt>
                <c:pt idx="215">
                  <c:v>1.8009999999999999</c:v>
                </c:pt>
                <c:pt idx="216">
                  <c:v>1.532</c:v>
                </c:pt>
                <c:pt idx="217">
                  <c:v>1.585</c:v>
                </c:pt>
                <c:pt idx="218">
                  <c:v>1.6679999999999999</c:v>
                </c:pt>
                <c:pt idx="219">
                  <c:v>1.7150000000000001</c:v>
                </c:pt>
                <c:pt idx="220">
                  <c:v>1.917</c:v>
                </c:pt>
                <c:pt idx="221">
                  <c:v>1.9610000000000001</c:v>
                </c:pt>
                <c:pt idx="222">
                  <c:v>1.9159999999999999</c:v>
                </c:pt>
                <c:pt idx="223">
                  <c:v>1.915</c:v>
                </c:pt>
                <c:pt idx="224">
                  <c:v>2.0499999999999998</c:v>
                </c:pt>
                <c:pt idx="225">
                  <c:v>1.986</c:v>
                </c:pt>
                <c:pt idx="226">
                  <c:v>2.0449999999999999</c:v>
                </c:pt>
                <c:pt idx="227">
                  <c:v>2.1080000000000001</c:v>
                </c:pt>
                <c:pt idx="228">
                  <c:v>2.04</c:v>
                </c:pt>
                <c:pt idx="229">
                  <c:v>2.036</c:v>
                </c:pt>
                <c:pt idx="230">
                  <c:v>2.1520000000000001</c:v>
                </c:pt>
                <c:pt idx="231">
                  <c:v>2.3079999999999998</c:v>
                </c:pt>
                <c:pt idx="232">
                  <c:v>2.298</c:v>
                </c:pt>
                <c:pt idx="233">
                  <c:v>2.2210000000000001</c:v>
                </c:pt>
                <c:pt idx="234">
                  <c:v>2.3439999999999999</c:v>
                </c:pt>
                <c:pt idx="235">
                  <c:v>2.6920000000000002</c:v>
                </c:pt>
                <c:pt idx="236">
                  <c:v>2.613</c:v>
                </c:pt>
                <c:pt idx="237">
                  <c:v>2.5499999999999998</c:v>
                </c:pt>
                <c:pt idx="238">
                  <c:v>2.7080000000000002</c:v>
                </c:pt>
                <c:pt idx="239">
                  <c:v>2.6269999999999998</c:v>
                </c:pt>
                <c:pt idx="240">
                  <c:v>2.5209999999999999</c:v>
                </c:pt>
                <c:pt idx="241">
                  <c:v>2.6960000000000002</c:v>
                </c:pt>
                <c:pt idx="242">
                  <c:v>2.62</c:v>
                </c:pt>
                <c:pt idx="243">
                  <c:v>2.5419999999999998</c:v>
                </c:pt>
                <c:pt idx="244">
                  <c:v>2.1419999999999999</c:v>
                </c:pt>
                <c:pt idx="245">
                  <c:v>2.3610000000000002</c:v>
                </c:pt>
                <c:pt idx="246">
                  <c:v>2.4689999999999999</c:v>
                </c:pt>
                <c:pt idx="247">
                  <c:v>2.13</c:v>
                </c:pt>
                <c:pt idx="248">
                  <c:v>2.2749999999999999</c:v>
                </c:pt>
                <c:pt idx="249">
                  <c:v>2.008</c:v>
                </c:pt>
                <c:pt idx="250">
                  <c:v>2.65</c:v>
                </c:pt>
                <c:pt idx="251">
                  <c:v>2.827</c:v>
                </c:pt>
                <c:pt idx="252">
                  <c:v>3.17</c:v>
                </c:pt>
                <c:pt idx="253">
                  <c:v>3.2149999999999999</c:v>
                </c:pt>
                <c:pt idx="254">
                  <c:v>4.0149999999999997</c:v>
                </c:pt>
                <c:pt idx="255">
                  <c:v>3.9830000000000001</c:v>
                </c:pt>
                <c:pt idx="256">
                  <c:v>4.5199999999999996</c:v>
                </c:pt>
                <c:pt idx="257">
                  <c:v>4.7489999999999997</c:v>
                </c:pt>
                <c:pt idx="258">
                  <c:v>5.149</c:v>
                </c:pt>
                <c:pt idx="259">
                  <c:v>4.8440000000000003</c:v>
                </c:pt>
                <c:pt idx="260">
                  <c:v>5.0490000000000004</c:v>
                </c:pt>
                <c:pt idx="261">
                  <c:v>5.5149999999999997</c:v>
                </c:pt>
                <c:pt idx="262">
                  <c:v>5.3849999999999998</c:v>
                </c:pt>
                <c:pt idx="263">
                  <c:v>5.907</c:v>
                </c:pt>
                <c:pt idx="264">
                  <c:v>6.4009999999999998</c:v>
                </c:pt>
                <c:pt idx="265">
                  <c:v>6.3730000000000002</c:v>
                </c:pt>
                <c:pt idx="266">
                  <c:v>6.5439999999999996</c:v>
                </c:pt>
                <c:pt idx="267">
                  <c:v>7.2450000000000001</c:v>
                </c:pt>
                <c:pt idx="268">
                  <c:v>7.2149999999999999</c:v>
                </c:pt>
                <c:pt idx="269">
                  <c:v>7.33</c:v>
                </c:pt>
                <c:pt idx="270">
                  <c:v>6.1749999999999998</c:v>
                </c:pt>
                <c:pt idx="271">
                  <c:v>6.3879999999999999</c:v>
                </c:pt>
                <c:pt idx="272">
                  <c:v>6.6289999999999996</c:v>
                </c:pt>
                <c:pt idx="273">
                  <c:v>6.899</c:v>
                </c:pt>
                <c:pt idx="274">
                  <c:v>5.5709999999999997</c:v>
                </c:pt>
                <c:pt idx="275">
                  <c:v>5.8849999999999998</c:v>
                </c:pt>
                <c:pt idx="276">
                  <c:v>5.2320000000000002</c:v>
                </c:pt>
                <c:pt idx="277">
                  <c:v>4.742</c:v>
                </c:pt>
                <c:pt idx="278">
                  <c:v>4.6890000000000001</c:v>
                </c:pt>
                <c:pt idx="279">
                  <c:v>5.22</c:v>
                </c:pt>
                <c:pt idx="280">
                  <c:v>5.3529999999999998</c:v>
                </c:pt>
                <c:pt idx="281">
                  <c:v>6.0679999999999996</c:v>
                </c:pt>
                <c:pt idx="282">
                  <c:v>5.133</c:v>
                </c:pt>
                <c:pt idx="283">
                  <c:v>5.1020000000000003</c:v>
                </c:pt>
                <c:pt idx="284">
                  <c:v>5.8609999999999998</c:v>
                </c:pt>
                <c:pt idx="285">
                  <c:v>7.1349999999999998</c:v>
                </c:pt>
                <c:pt idx="286">
                  <c:v>6.9969999999999999</c:v>
                </c:pt>
                <c:pt idx="287">
                  <c:v>7.2670000000000003</c:v>
                </c:pt>
                <c:pt idx="288">
                  <c:v>6.9669999999999996</c:v>
                </c:pt>
                <c:pt idx="289">
                  <c:v>7.2240000000000002</c:v>
                </c:pt>
                <c:pt idx="290">
                  <c:v>7.35</c:v>
                </c:pt>
                <c:pt idx="291">
                  <c:v>7.8289999999999997</c:v>
                </c:pt>
                <c:pt idx="292">
                  <c:v>8.0009999999999994</c:v>
                </c:pt>
                <c:pt idx="293">
                  <c:v>8.2739999999999991</c:v>
                </c:pt>
                <c:pt idx="294">
                  <c:v>8.0719999999999992</c:v>
                </c:pt>
                <c:pt idx="295">
                  <c:v>7.8470000000000004</c:v>
                </c:pt>
                <c:pt idx="296">
                  <c:v>8.34</c:v>
                </c:pt>
                <c:pt idx="297">
                  <c:v>9.1549999999999994</c:v>
                </c:pt>
                <c:pt idx="298">
                  <c:v>8.5749999999999993</c:v>
                </c:pt>
                <c:pt idx="299">
                  <c:v>7.96</c:v>
                </c:pt>
                <c:pt idx="300">
                  <c:v>8.7200000000000006</c:v>
                </c:pt>
                <c:pt idx="301">
                  <c:v>8.69</c:v>
                </c:pt>
                <c:pt idx="302">
                  <c:v>9.2539999999999996</c:v>
                </c:pt>
                <c:pt idx="303">
                  <c:v>9.5310000000000006</c:v>
                </c:pt>
                <c:pt idx="304">
                  <c:v>8.9779999999999998</c:v>
                </c:pt>
                <c:pt idx="305">
                  <c:v>8.2530000000000001</c:v>
                </c:pt>
                <c:pt idx="306">
                  <c:v>8.9649999999999999</c:v>
                </c:pt>
                <c:pt idx="307">
                  <c:v>8.5410000000000004</c:v>
                </c:pt>
                <c:pt idx="308">
                  <c:v>7.7729999999999997</c:v>
                </c:pt>
                <c:pt idx="309">
                  <c:v>7.8339999999999996</c:v>
                </c:pt>
                <c:pt idx="310">
                  <c:v>7.95</c:v>
                </c:pt>
                <c:pt idx="311">
                  <c:v>8.3710000000000004</c:v>
                </c:pt>
                <c:pt idx="312">
                  <c:v>9.4049999999999994</c:v>
                </c:pt>
                <c:pt idx="313">
                  <c:v>10.605</c:v>
                </c:pt>
                <c:pt idx="314">
                  <c:v>10.91</c:v>
                </c:pt>
                <c:pt idx="315">
                  <c:v>9.9550000000000001</c:v>
                </c:pt>
                <c:pt idx="316">
                  <c:v>11.215999999999999</c:v>
                </c:pt>
                <c:pt idx="317">
                  <c:v>11.565</c:v>
                </c:pt>
                <c:pt idx="318">
                  <c:v>14.206</c:v>
                </c:pt>
                <c:pt idx="319">
                  <c:v>14.315</c:v>
                </c:pt>
                <c:pt idx="320">
                  <c:v>13.502000000000001</c:v>
                </c:pt>
                <c:pt idx="321">
                  <c:v>11.911</c:v>
                </c:pt>
                <c:pt idx="322">
                  <c:v>10.3</c:v>
                </c:pt>
                <c:pt idx="323">
                  <c:v>8.2219999999999995</c:v>
                </c:pt>
                <c:pt idx="324">
                  <c:v>9.0540000000000003</c:v>
                </c:pt>
                <c:pt idx="325">
                  <c:v>7.2850000000000001</c:v>
                </c:pt>
                <c:pt idx="326">
                  <c:v>7.2880000000000003</c:v>
                </c:pt>
                <c:pt idx="327">
                  <c:v>6.6109999999999998</c:v>
                </c:pt>
                <c:pt idx="328">
                  <c:v>6.76</c:v>
                </c:pt>
                <c:pt idx="329">
                  <c:v>6.7</c:v>
                </c:pt>
                <c:pt idx="330">
                  <c:v>7.6029999999999998</c:v>
                </c:pt>
                <c:pt idx="331">
                  <c:v>7.5</c:v>
                </c:pt>
                <c:pt idx="332">
                  <c:v>8.2739999999999991</c:v>
                </c:pt>
                <c:pt idx="333">
                  <c:v>7.8289999999999997</c:v>
                </c:pt>
                <c:pt idx="334">
                  <c:v>7.9980000000000002</c:v>
                </c:pt>
                <c:pt idx="335">
                  <c:v>6.0860000000000003</c:v>
                </c:pt>
                <c:pt idx="336">
                  <c:v>6.8090000000000002</c:v>
                </c:pt>
                <c:pt idx="337">
                  <c:v>7.5019999999999998</c:v>
                </c:pt>
                <c:pt idx="338">
                  <c:v>7.5350000000000001</c:v>
                </c:pt>
                <c:pt idx="339">
                  <c:v>9.3520000000000003</c:v>
                </c:pt>
                <c:pt idx="340">
                  <c:v>10.305999999999999</c:v>
                </c:pt>
                <c:pt idx="341">
                  <c:v>9.8000000000000007</c:v>
                </c:pt>
                <c:pt idx="342">
                  <c:v>11</c:v>
                </c:pt>
                <c:pt idx="343">
                  <c:v>13.695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7-42DA-8B29-31D1CB4976B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-0.23804215913703552</c:v>
                </c:pt>
                <c:pt idx="1">
                  <c:v>-0.23800401999997969</c:v>
                </c:pt>
                <c:pt idx="2">
                  <c:v>-0.23715682394734811</c:v>
                </c:pt>
                <c:pt idx="3">
                  <c:v>-0.23802900601584126</c:v>
                </c:pt>
                <c:pt idx="4">
                  <c:v>-0.23625570476655594</c:v>
                </c:pt>
                <c:pt idx="5">
                  <c:v>-0.23663970815305904</c:v>
                </c:pt>
                <c:pt idx="6">
                  <c:v>-0.23509433859953485</c:v>
                </c:pt>
                <c:pt idx="7">
                  <c:v>-0.23306478721906543</c:v>
                </c:pt>
                <c:pt idx="8">
                  <c:v>-0.23095663712549308</c:v>
                </c:pt>
                <c:pt idx="9">
                  <c:v>-0.22956178260981364</c:v>
                </c:pt>
                <c:pt idx="10">
                  <c:v>-0.22893600036267583</c:v>
                </c:pt>
                <c:pt idx="11">
                  <c:v>-0.22774349533437716</c:v>
                </c:pt>
                <c:pt idx="12">
                  <c:v>-0.22808631771768548</c:v>
                </c:pt>
                <c:pt idx="13">
                  <c:v>-0.22735426652228319</c:v>
                </c:pt>
                <c:pt idx="14">
                  <c:v>-0.22755542471136342</c:v>
                </c:pt>
                <c:pt idx="15">
                  <c:v>-0.22589654608783402</c:v>
                </c:pt>
                <c:pt idx="16">
                  <c:v>-0.22674376457054568</c:v>
                </c:pt>
                <c:pt idx="17">
                  <c:v>-0.22646454847416017</c:v>
                </c:pt>
                <c:pt idx="18">
                  <c:v>-0.22495730697076152</c:v>
                </c:pt>
                <c:pt idx="19">
                  <c:v>-0.22377149161296123</c:v>
                </c:pt>
                <c:pt idx="20">
                  <c:v>-0.22196513598796122</c:v>
                </c:pt>
                <c:pt idx="21">
                  <c:v>-0.22451856598796122</c:v>
                </c:pt>
                <c:pt idx="22">
                  <c:v>-0.22433790004923215</c:v>
                </c:pt>
                <c:pt idx="23">
                  <c:v>-0.22221823996043216</c:v>
                </c:pt>
                <c:pt idx="24">
                  <c:v>-0.22266066719900984</c:v>
                </c:pt>
                <c:pt idx="25">
                  <c:v>-0.22205447344127927</c:v>
                </c:pt>
                <c:pt idx="26">
                  <c:v>-0.22103054137822759</c:v>
                </c:pt>
                <c:pt idx="27">
                  <c:v>-0.21970839887901697</c:v>
                </c:pt>
                <c:pt idx="28">
                  <c:v>-0.22305277657536127</c:v>
                </c:pt>
                <c:pt idx="29">
                  <c:v>-0.22388352738532716</c:v>
                </c:pt>
                <c:pt idx="30">
                  <c:v>-0.22536614651136422</c:v>
                </c:pt>
                <c:pt idx="31">
                  <c:v>-0.22307372825392113</c:v>
                </c:pt>
                <c:pt idx="32">
                  <c:v>-0.22378339282550211</c:v>
                </c:pt>
                <c:pt idx="33">
                  <c:v>-0.22391150020453437</c:v>
                </c:pt>
                <c:pt idx="34">
                  <c:v>-0.22343337044526573</c:v>
                </c:pt>
                <c:pt idx="35">
                  <c:v>-0.22324962362295306</c:v>
                </c:pt>
                <c:pt idx="36">
                  <c:v>-0.22408622776023482</c:v>
                </c:pt>
                <c:pt idx="37">
                  <c:v>-0.2241968912001501</c:v>
                </c:pt>
                <c:pt idx="38">
                  <c:v>-0.22559702363627257</c:v>
                </c:pt>
                <c:pt idx="39">
                  <c:v>-0.22524347208573287</c:v>
                </c:pt>
                <c:pt idx="40">
                  <c:v>-0.22522424446378164</c:v>
                </c:pt>
                <c:pt idx="41">
                  <c:v>-0.22463526906735307</c:v>
                </c:pt>
                <c:pt idx="42">
                  <c:v>-0.22444529485655615</c:v>
                </c:pt>
                <c:pt idx="43">
                  <c:v>-0.22435691830664692</c:v>
                </c:pt>
                <c:pt idx="44">
                  <c:v>-0.22433567490877662</c:v>
                </c:pt>
                <c:pt idx="45">
                  <c:v>-0.22423837642069189</c:v>
                </c:pt>
                <c:pt idx="46">
                  <c:v>-0.2239820440740686</c:v>
                </c:pt>
                <c:pt idx="47">
                  <c:v>-0.22395889284002601</c:v>
                </c:pt>
                <c:pt idx="48">
                  <c:v>-0.22395522541016177</c:v>
                </c:pt>
                <c:pt idx="49">
                  <c:v>-0.22217087837299235</c:v>
                </c:pt>
                <c:pt idx="50">
                  <c:v>-0.21877311418380316</c:v>
                </c:pt>
                <c:pt idx="51">
                  <c:v>-0.22049569896562132</c:v>
                </c:pt>
                <c:pt idx="52">
                  <c:v>-0.22081147918841482</c:v>
                </c:pt>
                <c:pt idx="53">
                  <c:v>-0.22229131359352566</c:v>
                </c:pt>
                <c:pt idx="54">
                  <c:v>-0.22188387531766357</c:v>
                </c:pt>
                <c:pt idx="55">
                  <c:v>-0.22226495822269485</c:v>
                </c:pt>
                <c:pt idx="56">
                  <c:v>-0.22144407204278049</c:v>
                </c:pt>
                <c:pt idx="57">
                  <c:v>-0.22093104057936591</c:v>
                </c:pt>
                <c:pt idx="58">
                  <c:v>-0.22060112826013978</c:v>
                </c:pt>
                <c:pt idx="59">
                  <c:v>-0.21994744805648445</c:v>
                </c:pt>
                <c:pt idx="60">
                  <c:v>-0.22043471493376468</c:v>
                </c:pt>
                <c:pt idx="61">
                  <c:v>-0.22079213978908382</c:v>
                </c:pt>
                <c:pt idx="62">
                  <c:v>-0.22018074813632171</c:v>
                </c:pt>
                <c:pt idx="63">
                  <c:v>-0.21917319517735276</c:v>
                </c:pt>
                <c:pt idx="64">
                  <c:v>-0.21916610032163134</c:v>
                </c:pt>
                <c:pt idx="65">
                  <c:v>-0.219800212161254</c:v>
                </c:pt>
                <c:pt idx="66">
                  <c:v>-0.22044680379476184</c:v>
                </c:pt>
                <c:pt idx="67">
                  <c:v>-0.22064404773923746</c:v>
                </c:pt>
                <c:pt idx="68">
                  <c:v>-0.21988293673923748</c:v>
                </c:pt>
                <c:pt idx="69">
                  <c:v>-0.21785845606532439</c:v>
                </c:pt>
                <c:pt idx="70">
                  <c:v>-0.22064516260271569</c:v>
                </c:pt>
                <c:pt idx="71">
                  <c:v>-0.21903873252559486</c:v>
                </c:pt>
                <c:pt idx="72">
                  <c:v>-0.22053952209136754</c:v>
                </c:pt>
                <c:pt idx="73">
                  <c:v>-0.21729400424141504</c:v>
                </c:pt>
                <c:pt idx="74">
                  <c:v>-0.2152395834931157</c:v>
                </c:pt>
                <c:pt idx="75">
                  <c:v>-0.21431335861689024</c:v>
                </c:pt>
                <c:pt idx="76">
                  <c:v>-0.21439915178372343</c:v>
                </c:pt>
                <c:pt idx="77">
                  <c:v>-0.21027180007962507</c:v>
                </c:pt>
                <c:pt idx="78">
                  <c:v>-0.21167700977174253</c:v>
                </c:pt>
                <c:pt idx="79">
                  <c:v>-0.20847516437686894</c:v>
                </c:pt>
                <c:pt idx="80">
                  <c:v>-0.20360941694118265</c:v>
                </c:pt>
                <c:pt idx="81">
                  <c:v>-0.21017208522119707</c:v>
                </c:pt>
                <c:pt idx="82">
                  <c:v>-0.21031228484188672</c:v>
                </c:pt>
                <c:pt idx="83">
                  <c:v>-0.21172563585699875</c:v>
                </c:pt>
                <c:pt idx="84">
                  <c:v>-0.21035871465248185</c:v>
                </c:pt>
                <c:pt idx="85">
                  <c:v>-0.20542868783541698</c:v>
                </c:pt>
                <c:pt idx="86">
                  <c:v>-0.20983457412965784</c:v>
                </c:pt>
                <c:pt idx="87">
                  <c:v>-0.21315990188998138</c:v>
                </c:pt>
                <c:pt idx="88">
                  <c:v>-0.21134161905252555</c:v>
                </c:pt>
                <c:pt idx="89">
                  <c:v>-0.21401926374865815</c:v>
                </c:pt>
                <c:pt idx="90">
                  <c:v>-0.21210031310848154</c:v>
                </c:pt>
                <c:pt idx="91">
                  <c:v>-0.20615165804444496</c:v>
                </c:pt>
                <c:pt idx="92">
                  <c:v>-0.20256610639049058</c:v>
                </c:pt>
                <c:pt idx="93">
                  <c:v>-0.21495860923139967</c:v>
                </c:pt>
                <c:pt idx="94">
                  <c:v>-0.15217997396516342</c:v>
                </c:pt>
                <c:pt idx="95">
                  <c:v>-0.19174866002966506</c:v>
                </c:pt>
                <c:pt idx="96">
                  <c:v>-0.18764857430042317</c:v>
                </c:pt>
                <c:pt idx="97">
                  <c:v>-0.18850726759108422</c:v>
                </c:pt>
                <c:pt idx="98">
                  <c:v>-0.19020279878463264</c:v>
                </c:pt>
                <c:pt idx="99">
                  <c:v>-0.18196688398429711</c:v>
                </c:pt>
                <c:pt idx="100">
                  <c:v>-0.18332769005005053</c:v>
                </c:pt>
                <c:pt idx="101">
                  <c:v>-0.18110073692582693</c:v>
                </c:pt>
                <c:pt idx="102">
                  <c:v>-0.17912064587263543</c:v>
                </c:pt>
                <c:pt idx="103">
                  <c:v>-0.17850817436361016</c:v>
                </c:pt>
                <c:pt idx="104">
                  <c:v>-0.17795762108316734</c:v>
                </c:pt>
                <c:pt idx="105">
                  <c:v>-0.17617127036316735</c:v>
                </c:pt>
                <c:pt idx="106">
                  <c:v>-0.17400453467614443</c:v>
                </c:pt>
                <c:pt idx="107">
                  <c:v>-0.16679222346646699</c:v>
                </c:pt>
                <c:pt idx="108">
                  <c:v>-0.17472160731244532</c:v>
                </c:pt>
                <c:pt idx="109">
                  <c:v>-0.17412054774487773</c:v>
                </c:pt>
                <c:pt idx="110">
                  <c:v>-0.17350928374487776</c:v>
                </c:pt>
                <c:pt idx="111">
                  <c:v>-0.16311204214723685</c:v>
                </c:pt>
                <c:pt idx="112">
                  <c:v>-0.16687395658880874</c:v>
                </c:pt>
                <c:pt idx="113">
                  <c:v>-0.16038124392522135</c:v>
                </c:pt>
                <c:pt idx="114">
                  <c:v>-0.16250434129469929</c:v>
                </c:pt>
                <c:pt idx="115">
                  <c:v>-0.16135703334598131</c:v>
                </c:pt>
                <c:pt idx="116">
                  <c:v>-0.16211854278849003</c:v>
                </c:pt>
                <c:pt idx="117">
                  <c:v>-0.16165518901071227</c:v>
                </c:pt>
                <c:pt idx="118">
                  <c:v>-0.16053691070426065</c:v>
                </c:pt>
                <c:pt idx="119">
                  <c:v>-0.16260431606722361</c:v>
                </c:pt>
                <c:pt idx="120">
                  <c:v>-0.16308994633749388</c:v>
                </c:pt>
                <c:pt idx="121">
                  <c:v>-0.16034345711831577</c:v>
                </c:pt>
                <c:pt idx="122">
                  <c:v>-0.15927326708001791</c:v>
                </c:pt>
                <c:pt idx="123">
                  <c:v>-0.15606854975430362</c:v>
                </c:pt>
                <c:pt idx="124">
                  <c:v>-0.14858469382984779</c:v>
                </c:pt>
                <c:pt idx="125">
                  <c:v>-0.14850400404375153</c:v>
                </c:pt>
                <c:pt idx="126">
                  <c:v>-0.14054887670796359</c:v>
                </c:pt>
                <c:pt idx="127">
                  <c:v>-0.13967422760902368</c:v>
                </c:pt>
                <c:pt idx="128">
                  <c:v>-0.12686729981254791</c:v>
                </c:pt>
                <c:pt idx="129">
                  <c:v>-0.12382799743673796</c:v>
                </c:pt>
                <c:pt idx="130">
                  <c:v>-0.10818008809679713</c:v>
                </c:pt>
                <c:pt idx="131">
                  <c:v>-5.4773396908722835E-2</c:v>
                </c:pt>
                <c:pt idx="132">
                  <c:v>-5.4817788288813327E-2</c:v>
                </c:pt>
                <c:pt idx="133">
                  <c:v>-5.5066546295733751E-2</c:v>
                </c:pt>
                <c:pt idx="134">
                  <c:v>-5.4387206549392289E-2</c:v>
                </c:pt>
                <c:pt idx="135">
                  <c:v>-5.3723351108832841E-2</c:v>
                </c:pt>
                <c:pt idx="136">
                  <c:v>-5.3674473062749896E-2</c:v>
                </c:pt>
                <c:pt idx="137">
                  <c:v>-3.0607846304705595E-2</c:v>
                </c:pt>
                <c:pt idx="138">
                  <c:v>-3.0774875215596683E-2</c:v>
                </c:pt>
                <c:pt idx="139">
                  <c:v>-3.1022721661542629E-2</c:v>
                </c:pt>
                <c:pt idx="140">
                  <c:v>-3.0135383110454547E-2</c:v>
                </c:pt>
                <c:pt idx="141">
                  <c:v>-3.0222219698821436E-2</c:v>
                </c:pt>
                <c:pt idx="142">
                  <c:v>-3.0227802444129752E-2</c:v>
                </c:pt>
                <c:pt idx="143">
                  <c:v>-2.8092773945627134E-2</c:v>
                </c:pt>
                <c:pt idx="144">
                  <c:v>-3.0255664421817617E-2</c:v>
                </c:pt>
                <c:pt idx="145">
                  <c:v>-3.0230337344894543E-2</c:v>
                </c:pt>
                <c:pt idx="146">
                  <c:v>-3.0052793344894545E-2</c:v>
                </c:pt>
                <c:pt idx="147">
                  <c:v>-2.8255513426101438E-2</c:v>
                </c:pt>
                <c:pt idx="148">
                  <c:v>-2.714185015943477E-2</c:v>
                </c:pt>
                <c:pt idx="149">
                  <c:v>-2.7431812483759088E-2</c:v>
                </c:pt>
                <c:pt idx="150">
                  <c:v>-2.6318508369473376E-2</c:v>
                </c:pt>
                <c:pt idx="151">
                  <c:v>-2.5017108886230138E-2</c:v>
                </c:pt>
                <c:pt idx="152">
                  <c:v>-2.4056021212589974E-2</c:v>
                </c:pt>
                <c:pt idx="153">
                  <c:v>-2.3260398597911073E-2</c:v>
                </c:pt>
                <c:pt idx="154">
                  <c:v>-2.4502147469156747E-2</c:v>
                </c:pt>
                <c:pt idx="155">
                  <c:v>-2.0339053370638228E-2</c:v>
                </c:pt>
                <c:pt idx="156">
                  <c:v>-2.3339770299196788E-2</c:v>
                </c:pt>
                <c:pt idx="157">
                  <c:v>-2.8284044300758246E-2</c:v>
                </c:pt>
                <c:pt idx="158">
                  <c:v>-5.5270190191467929E-2</c:v>
                </c:pt>
                <c:pt idx="159">
                  <c:v>-5.4952870007908605E-2</c:v>
                </c:pt>
                <c:pt idx="160">
                  <c:v>-5.6165238480969285E-2</c:v>
                </c:pt>
                <c:pt idx="161">
                  <c:v>-5.9257705252557379E-2</c:v>
                </c:pt>
                <c:pt idx="162">
                  <c:v>-5.8243667169460597E-2</c:v>
                </c:pt>
                <c:pt idx="163">
                  <c:v>-5.6793082946819097E-2</c:v>
                </c:pt>
                <c:pt idx="164">
                  <c:v>-5.3800817902555136E-2</c:v>
                </c:pt>
                <c:pt idx="165">
                  <c:v>-5.7084891180527744E-2</c:v>
                </c:pt>
                <c:pt idx="166">
                  <c:v>-5.7442891782459538E-2</c:v>
                </c:pt>
                <c:pt idx="167">
                  <c:v>-7.0623300055736554E-2</c:v>
                </c:pt>
                <c:pt idx="168">
                  <c:v>-7.519921776869376E-2</c:v>
                </c:pt>
                <c:pt idx="169">
                  <c:v>-7.0511579016749329E-2</c:v>
                </c:pt>
                <c:pt idx="170">
                  <c:v>-7.1417007156003576E-2</c:v>
                </c:pt>
                <c:pt idx="171">
                  <c:v>-7.0822901770637728E-2</c:v>
                </c:pt>
                <c:pt idx="172">
                  <c:v>-6.4926580154854988E-2</c:v>
                </c:pt>
                <c:pt idx="173">
                  <c:v>-6.5375652119654987E-2</c:v>
                </c:pt>
                <c:pt idx="174">
                  <c:v>-6.8294141226189625E-2</c:v>
                </c:pt>
                <c:pt idx="175">
                  <c:v>-6.8318908406067663E-2</c:v>
                </c:pt>
                <c:pt idx="176">
                  <c:v>-6.6964910889401E-2</c:v>
                </c:pt>
                <c:pt idx="177">
                  <c:v>-6.6964910889401E-2</c:v>
                </c:pt>
                <c:pt idx="178">
                  <c:v>-6.6383413817972428E-2</c:v>
                </c:pt>
                <c:pt idx="179">
                  <c:v>-6.6014257605781945E-2</c:v>
                </c:pt>
                <c:pt idx="180">
                  <c:v>-6.4576946226680837E-2</c:v>
                </c:pt>
                <c:pt idx="181">
                  <c:v>-6.3857203131314988E-2</c:v>
                </c:pt>
                <c:pt idx="182">
                  <c:v>-5.9037808836236175E-2</c:v>
                </c:pt>
                <c:pt idx="183">
                  <c:v>-6.1275278833655522E-2</c:v>
                </c:pt>
                <c:pt idx="184">
                  <c:v>-5.9570239781823464E-2</c:v>
                </c:pt>
                <c:pt idx="185">
                  <c:v>-5.9261500834436542E-2</c:v>
                </c:pt>
                <c:pt idx="186">
                  <c:v>-5.7470199499309781E-2</c:v>
                </c:pt>
                <c:pt idx="187">
                  <c:v>-5.6985549232457931E-2</c:v>
                </c:pt>
                <c:pt idx="188">
                  <c:v>-5.6263412323261146E-2</c:v>
                </c:pt>
                <c:pt idx="189">
                  <c:v>-5.5529985716798548E-2</c:v>
                </c:pt>
                <c:pt idx="190">
                  <c:v>-5.5339902546922774E-2</c:v>
                </c:pt>
                <c:pt idx="191">
                  <c:v>-5.4561256283172765E-2</c:v>
                </c:pt>
                <c:pt idx="192">
                  <c:v>-5.7169544248874368E-2</c:v>
                </c:pt>
                <c:pt idx="193">
                  <c:v>-5.7585163380834171E-2</c:v>
                </c:pt>
                <c:pt idx="194">
                  <c:v>-5.7032447335672885E-2</c:v>
                </c:pt>
                <c:pt idx="195">
                  <c:v>-5.7914303951387164E-2</c:v>
                </c:pt>
                <c:pt idx="196">
                  <c:v>-5.6470351494764474E-2</c:v>
                </c:pt>
                <c:pt idx="197">
                  <c:v>-5.6162816133255036E-2</c:v>
                </c:pt>
                <c:pt idx="198">
                  <c:v>-5.5980905762395311E-2</c:v>
                </c:pt>
                <c:pt idx="199">
                  <c:v>-5.6653132739771732E-2</c:v>
                </c:pt>
                <c:pt idx="200">
                  <c:v>-5.5565844742549518E-2</c:v>
                </c:pt>
                <c:pt idx="201">
                  <c:v>-5.4362088329351549E-2</c:v>
                </c:pt>
                <c:pt idx="202">
                  <c:v>-5.2760315800133691E-2</c:v>
                </c:pt>
                <c:pt idx="203">
                  <c:v>-4.305215864318402E-2</c:v>
                </c:pt>
                <c:pt idx="204">
                  <c:v>-5.0327886535145215E-2</c:v>
                </c:pt>
                <c:pt idx="205">
                  <c:v>-5.0989675229186668E-2</c:v>
                </c:pt>
                <c:pt idx="206">
                  <c:v>-5.0700159210209921E-2</c:v>
                </c:pt>
                <c:pt idx="207">
                  <c:v>-4.8297382028708216E-2</c:v>
                </c:pt>
                <c:pt idx="208">
                  <c:v>-3.4365985790116051E-2</c:v>
                </c:pt>
                <c:pt idx="209">
                  <c:v>-4.274564157195624E-2</c:v>
                </c:pt>
                <c:pt idx="210">
                  <c:v>-4.8443927383095491E-2</c:v>
                </c:pt>
                <c:pt idx="211">
                  <c:v>-5.243076040609549E-2</c:v>
                </c:pt>
                <c:pt idx="212">
                  <c:v>-5.26151886153726E-2</c:v>
                </c:pt>
                <c:pt idx="213">
                  <c:v>-5.3405280276518835E-2</c:v>
                </c:pt>
                <c:pt idx="214">
                  <c:v>-5.0698440552998839E-2</c:v>
                </c:pt>
                <c:pt idx="215">
                  <c:v>-5.8737273665339262E-2</c:v>
                </c:pt>
                <c:pt idx="216">
                  <c:v>-5.466262720667061E-2</c:v>
                </c:pt>
                <c:pt idx="217">
                  <c:v>-5.2555044148535013E-2</c:v>
                </c:pt>
                <c:pt idx="218">
                  <c:v>-5.1117247724806192E-2</c:v>
                </c:pt>
                <c:pt idx="219">
                  <c:v>-4.7513622336073792E-2</c:v>
                </c:pt>
                <c:pt idx="220">
                  <c:v>-4.2665265317062391E-2</c:v>
                </c:pt>
                <c:pt idx="221">
                  <c:v>-3.7601753286932528E-2</c:v>
                </c:pt>
                <c:pt idx="222">
                  <c:v>-3.7601753286932535E-2</c:v>
                </c:pt>
                <c:pt idx="223">
                  <c:v>-3.8453325878169652E-2</c:v>
                </c:pt>
                <c:pt idx="224">
                  <c:v>-3.6218467046169649E-2</c:v>
                </c:pt>
                <c:pt idx="225">
                  <c:v>-3.7415621296531094E-2</c:v>
                </c:pt>
                <c:pt idx="226">
                  <c:v>-3.6212246773627867E-2</c:v>
                </c:pt>
                <c:pt idx="227">
                  <c:v>-3.4795411579708946E-2</c:v>
                </c:pt>
                <c:pt idx="228">
                  <c:v>-3.6084685942016671E-2</c:v>
                </c:pt>
                <c:pt idx="229">
                  <c:v>-3.6386328537363212E-2</c:v>
                </c:pt>
                <c:pt idx="230">
                  <c:v>-3.4957175447363216E-2</c:v>
                </c:pt>
                <c:pt idx="231">
                  <c:v>-3.3724377477074199E-2</c:v>
                </c:pt>
                <c:pt idx="232">
                  <c:v>-3.4172558443537608E-2</c:v>
                </c:pt>
                <c:pt idx="233">
                  <c:v>-3.6132323339334714E-2</c:v>
                </c:pt>
                <c:pt idx="234">
                  <c:v>-3.5856193167737485E-2</c:v>
                </c:pt>
                <c:pt idx="235">
                  <c:v>-3.2706198419574221E-2</c:v>
                </c:pt>
                <c:pt idx="236">
                  <c:v>-3.4300085299574228E-2</c:v>
                </c:pt>
                <c:pt idx="237">
                  <c:v>-3.6117896489574225E-2</c:v>
                </c:pt>
                <c:pt idx="238">
                  <c:v>-3.395550833901867E-2</c:v>
                </c:pt>
                <c:pt idx="239">
                  <c:v>-3.3763952487503524E-2</c:v>
                </c:pt>
                <c:pt idx="240">
                  <c:v>-3.527791136454056E-2</c:v>
                </c:pt>
                <c:pt idx="241">
                  <c:v>-3.3518392857527564E-2</c:v>
                </c:pt>
                <c:pt idx="242">
                  <c:v>-3.5885079581688649E-2</c:v>
                </c:pt>
                <c:pt idx="243">
                  <c:v>-3.6269414104901955E-2</c:v>
                </c:pt>
                <c:pt idx="244">
                  <c:v>-4.351371364011429E-2</c:v>
                </c:pt>
                <c:pt idx="245">
                  <c:v>-4.135382186880994E-2</c:v>
                </c:pt>
                <c:pt idx="246">
                  <c:v>-3.2626735709471735E-2</c:v>
                </c:pt>
                <c:pt idx="247">
                  <c:v>-3.9156403759372724E-2</c:v>
                </c:pt>
                <c:pt idx="248">
                  <c:v>-3.8357939328367133E-2</c:v>
                </c:pt>
                <c:pt idx="249">
                  <c:v>-4.3941684840237631E-2</c:v>
                </c:pt>
                <c:pt idx="250">
                  <c:v>-4.2068951791470514E-2</c:v>
                </c:pt>
                <c:pt idx="251">
                  <c:v>-4.0810803655608449E-2</c:v>
                </c:pt>
                <c:pt idx="252">
                  <c:v>-3.8670522268941784E-2</c:v>
                </c:pt>
                <c:pt idx="253">
                  <c:v>-3.9585973191723849E-2</c:v>
                </c:pt>
                <c:pt idx="254">
                  <c:v>-4.0886551809875347E-2</c:v>
                </c:pt>
                <c:pt idx="255">
                  <c:v>-4.0018255292781316E-2</c:v>
                </c:pt>
                <c:pt idx="256">
                  <c:v>-3.7162830671173611E-2</c:v>
                </c:pt>
                <c:pt idx="257">
                  <c:v>-3.5750871975298609E-2</c:v>
                </c:pt>
                <c:pt idx="258">
                  <c:v>-3.3621531659684574E-2</c:v>
                </c:pt>
                <c:pt idx="259">
                  <c:v>-3.6776441298737819E-2</c:v>
                </c:pt>
                <c:pt idx="260">
                  <c:v>-3.4155592683100762E-2</c:v>
                </c:pt>
                <c:pt idx="261">
                  <c:v>-3.1109691648285951E-2</c:v>
                </c:pt>
                <c:pt idx="262">
                  <c:v>-3.2777914849477022E-2</c:v>
                </c:pt>
                <c:pt idx="263">
                  <c:v>-2.953256163581814E-2</c:v>
                </c:pt>
                <c:pt idx="264">
                  <c:v>-2.644567314232087E-2</c:v>
                </c:pt>
                <c:pt idx="265">
                  <c:v>-2.7976679835489186E-2</c:v>
                </c:pt>
                <c:pt idx="266">
                  <c:v>-2.7827495400708831E-2</c:v>
                </c:pt>
                <c:pt idx="267">
                  <c:v>-2.4815124968746598E-2</c:v>
                </c:pt>
                <c:pt idx="268">
                  <c:v>-2.3612467731753597E-2</c:v>
                </c:pt>
                <c:pt idx="269">
                  <c:v>-2.7524384385849612E-2</c:v>
                </c:pt>
                <c:pt idx="270">
                  <c:v>-3.5592376584785188E-2</c:v>
                </c:pt>
                <c:pt idx="271">
                  <c:v>-3.299215106537589E-2</c:v>
                </c:pt>
                <c:pt idx="272">
                  <c:v>-3.0089191261739527E-2</c:v>
                </c:pt>
                <c:pt idx="273">
                  <c:v>-2.5951712889466315E-2</c:v>
                </c:pt>
                <c:pt idx="274">
                  <c:v>-3.9471795074816921E-2</c:v>
                </c:pt>
                <c:pt idx="275">
                  <c:v>-3.5974150949884473E-2</c:v>
                </c:pt>
                <c:pt idx="276">
                  <c:v>-3.9799924454961E-2</c:v>
                </c:pt>
                <c:pt idx="277">
                  <c:v>-4.0750431621553874E-2</c:v>
                </c:pt>
                <c:pt idx="278">
                  <c:v>-4.0716611814627643E-2</c:v>
                </c:pt>
                <c:pt idx="279">
                  <c:v>-3.9468593473777777E-2</c:v>
                </c:pt>
                <c:pt idx="280">
                  <c:v>-4.3245852907346456E-2</c:v>
                </c:pt>
                <c:pt idx="281">
                  <c:v>-3.795747845010506E-2</c:v>
                </c:pt>
                <c:pt idx="282">
                  <c:v>-4.2176898171077178E-2</c:v>
                </c:pt>
                <c:pt idx="283">
                  <c:v>-4.5126368615664325E-2</c:v>
                </c:pt>
                <c:pt idx="284">
                  <c:v>-4.0695466529744602E-2</c:v>
                </c:pt>
                <c:pt idx="285">
                  <c:v>-3.7151663025001086E-2</c:v>
                </c:pt>
                <c:pt idx="286">
                  <c:v>-3.7991266568804506E-2</c:v>
                </c:pt>
                <c:pt idx="287">
                  <c:v>-3.6019500340175065E-2</c:v>
                </c:pt>
                <c:pt idx="288">
                  <c:v>-3.9775338480551641E-2</c:v>
                </c:pt>
                <c:pt idx="289">
                  <c:v>-3.8291530438877217E-2</c:v>
                </c:pt>
                <c:pt idx="290">
                  <c:v>-3.9531250443253181E-2</c:v>
                </c:pt>
                <c:pt idx="291">
                  <c:v>-3.6681712764390126E-2</c:v>
                </c:pt>
                <c:pt idx="292">
                  <c:v>-3.7063194280498327E-2</c:v>
                </c:pt>
                <c:pt idx="293">
                  <c:v>-3.4625168546490767E-2</c:v>
                </c:pt>
                <c:pt idx="294">
                  <c:v>-3.3955998110490757E-2</c:v>
                </c:pt>
                <c:pt idx="295">
                  <c:v>-3.5108722242175268E-2</c:v>
                </c:pt>
                <c:pt idx="296">
                  <c:v>-3.3185588210872488E-2</c:v>
                </c:pt>
                <c:pt idx="297">
                  <c:v>-3.0280269088426896E-2</c:v>
                </c:pt>
                <c:pt idx="298">
                  <c:v>-3.299501706625841E-2</c:v>
                </c:pt>
                <c:pt idx="299">
                  <c:v>-3.5417713419701194E-2</c:v>
                </c:pt>
                <c:pt idx="300">
                  <c:v>-3.3367283791274897E-2</c:v>
                </c:pt>
                <c:pt idx="301">
                  <c:v>-3.5898730548447041E-2</c:v>
                </c:pt>
                <c:pt idx="302">
                  <c:v>-3.3231992560974512E-2</c:v>
                </c:pt>
                <c:pt idx="303">
                  <c:v>-3.078896932126542E-2</c:v>
                </c:pt>
                <c:pt idx="304">
                  <c:v>-3.1643699287729088E-2</c:v>
                </c:pt>
                <c:pt idx="305">
                  <c:v>-3.5776286229639201E-2</c:v>
                </c:pt>
                <c:pt idx="306">
                  <c:v>-3.2757526512525295E-2</c:v>
                </c:pt>
                <c:pt idx="307">
                  <c:v>-3.4037875459003698E-2</c:v>
                </c:pt>
                <c:pt idx="308">
                  <c:v>-3.8250981843222447E-2</c:v>
                </c:pt>
                <c:pt idx="309">
                  <c:v>-4.0023206974272675E-2</c:v>
                </c:pt>
                <c:pt idx="310">
                  <c:v>-3.4428280786267806E-2</c:v>
                </c:pt>
                <c:pt idx="311">
                  <c:v>-3.340397664980075E-2</c:v>
                </c:pt>
                <c:pt idx="312">
                  <c:v>-2.9000384850775225E-2</c:v>
                </c:pt>
                <c:pt idx="313">
                  <c:v>-2.5534543990555741E-2</c:v>
                </c:pt>
                <c:pt idx="314">
                  <c:v>-2.3135931820036967E-2</c:v>
                </c:pt>
                <c:pt idx="315">
                  <c:v>-2.6630997847761382E-2</c:v>
                </c:pt>
                <c:pt idx="316">
                  <c:v>-2.2098782983993263E-2</c:v>
                </c:pt>
                <c:pt idx="317">
                  <c:v>-2.2837626497101509E-2</c:v>
                </c:pt>
                <c:pt idx="318">
                  <c:v>-1.8453750620630916E-2</c:v>
                </c:pt>
                <c:pt idx="319">
                  <c:v>-1.6782809169530916E-2</c:v>
                </c:pt>
                <c:pt idx="320">
                  <c:v>-1.8047500250220571E-2</c:v>
                </c:pt>
                <c:pt idx="321">
                  <c:v>-1.6153232340262041E-2</c:v>
                </c:pt>
                <c:pt idx="322">
                  <c:v>-2.2876201189699796E-2</c:v>
                </c:pt>
                <c:pt idx="323">
                  <c:v>-2.8847044041715609E-2</c:v>
                </c:pt>
                <c:pt idx="324">
                  <c:v>-2.2576982557644808E-2</c:v>
                </c:pt>
                <c:pt idx="325">
                  <c:v>-2.8264741616629587E-2</c:v>
                </c:pt>
                <c:pt idx="326">
                  <c:v>-3.1092510545201017E-2</c:v>
                </c:pt>
                <c:pt idx="327">
                  <c:v>-3.3365505324375169E-2</c:v>
                </c:pt>
                <c:pt idx="328">
                  <c:v>-3.2902594193568321E-2</c:v>
                </c:pt>
                <c:pt idx="329">
                  <c:v>-3.5378543039282603E-2</c:v>
                </c:pt>
                <c:pt idx="330">
                  <c:v>-3.1082886800560702E-2</c:v>
                </c:pt>
                <c:pt idx="331">
                  <c:v>-3.071085477709664E-2</c:v>
                </c:pt>
                <c:pt idx="332">
                  <c:v>-2.6810083028366481E-2</c:v>
                </c:pt>
                <c:pt idx="333">
                  <c:v>-2.5948098280319236E-2</c:v>
                </c:pt>
                <c:pt idx="334">
                  <c:v>-2.8285185605611923E-2</c:v>
                </c:pt>
                <c:pt idx="335">
                  <c:v>-3.4089377007100255E-2</c:v>
                </c:pt>
                <c:pt idx="336">
                  <c:v>-3.1012918796298652E-2</c:v>
                </c:pt>
                <c:pt idx="337">
                  <c:v>-2.5679419424582114E-2</c:v>
                </c:pt>
                <c:pt idx="338">
                  <c:v>-2.3034138237500775E-2</c:v>
                </c:pt>
                <c:pt idx="339">
                  <c:v>-2.1093953761140236E-2</c:v>
                </c:pt>
                <c:pt idx="340">
                  <c:v>-1.7984198366340236E-2</c:v>
                </c:pt>
                <c:pt idx="341">
                  <c:v>-1.5951388388892155E-2</c:v>
                </c:pt>
                <c:pt idx="342">
                  <c:v>-1.2386062647914102E-2</c:v>
                </c:pt>
                <c:pt idx="343">
                  <c:v>3.900709621830872E-3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7-42DA-8B29-31D1CB497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046352"/>
        <c:axId val="599046768"/>
      </c:lineChart>
      <c:dateAx>
        <c:axId val="59904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46768"/>
        <c:crosses val="autoZero"/>
        <c:auto val="1"/>
        <c:lblOffset val="100"/>
        <c:baseTimeUnit val="days"/>
      </c:dateAx>
      <c:valAx>
        <c:axId val="59904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4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681C70-F335-4895-8B7E-CE82BD9A0CA9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0A1A5-7616-4879-9A41-5D6BAE89BBB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45.9</v>
      </c>
      <c r="D2" s="4">
        <f>MIN(D3:D1912)</f>
        <v>1.516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18.800999999999998</v>
      </c>
      <c r="C5">
        <v>18.946000000000002</v>
      </c>
      <c r="D5">
        <v>18.355</v>
      </c>
      <c r="E5">
        <v>18.547000000000001</v>
      </c>
      <c r="F5">
        <v>10889</v>
      </c>
      <c r="G5">
        <v>18.547000000000001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-0.35025380710659959</v>
      </c>
      <c r="Q5">
        <f t="shared" ref="Q5" si="1">F5*P5</f>
        <v>-3813.9137055837627</v>
      </c>
      <c r="R5">
        <f t="shared" ref="R5" si="2">R6+Q5</f>
        <v>-23804215.913703553</v>
      </c>
      <c r="S5">
        <f t="shared" ref="S5" si="3">R5/100000</f>
        <v>-238.04215913703553</v>
      </c>
      <c r="T5">
        <f t="shared" ref="T5" si="4">S5/1000</f>
        <v>-0.23804215913703552</v>
      </c>
    </row>
    <row r="6" spans="1:20" x14ac:dyDescent="0.25">
      <c r="A6" s="5">
        <v>44587</v>
      </c>
      <c r="B6">
        <v>18.027999999999999</v>
      </c>
      <c r="C6">
        <v>20.617000000000001</v>
      </c>
      <c r="D6">
        <v>17.558</v>
      </c>
      <c r="E6">
        <v>18.8</v>
      </c>
      <c r="F6">
        <v>450708.3</v>
      </c>
      <c r="G6">
        <v>18.8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-0.18796992481202979</v>
      </c>
      <c r="Q6">
        <f t="shared" ref="Q6" si="6">F6*P6</f>
        <v>-84719.605263157762</v>
      </c>
      <c r="R6">
        <f t="shared" ref="R6" si="7">R7+Q6</f>
        <v>-23800401.99999797</v>
      </c>
      <c r="S6">
        <f t="shared" ref="S6" si="8">R6/100000</f>
        <v>-238.0040199999797</v>
      </c>
      <c r="T6">
        <f t="shared" ref="T6" si="9">S6/1000</f>
        <v>-0.23800401999997969</v>
      </c>
    </row>
    <row r="7" spans="1:20" x14ac:dyDescent="0.25">
      <c r="A7" s="5">
        <v>44586</v>
      </c>
      <c r="B7">
        <v>17.852</v>
      </c>
      <c r="C7">
        <v>18.8</v>
      </c>
      <c r="D7">
        <v>16.756</v>
      </c>
      <c r="E7">
        <v>18.032</v>
      </c>
      <c r="F7">
        <v>350933.1</v>
      </c>
      <c r="G7">
        <v>18.032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0.24853228962817955</v>
      </c>
      <c r="Q7">
        <f t="shared" ref="Q7" si="11">F7*P7</f>
        <v>87218.206849314898</v>
      </c>
      <c r="R7">
        <f t="shared" ref="R7" si="12">R8+Q7</f>
        <v>-23715682.394734811</v>
      </c>
      <c r="S7">
        <f t="shared" ref="S7" si="13">R7/100000</f>
        <v>-237.1568239473481</v>
      </c>
      <c r="T7">
        <f t="shared" ref="T7" si="14">S7/1000</f>
        <v>-0.23715682394734811</v>
      </c>
    </row>
    <row r="8" spans="1:20" x14ac:dyDescent="0.25">
      <c r="A8" s="5">
        <v>44585</v>
      </c>
      <c r="B8">
        <v>20.359000000000002</v>
      </c>
      <c r="C8">
        <v>20.498000000000001</v>
      </c>
      <c r="D8">
        <v>17</v>
      </c>
      <c r="E8">
        <v>17.98</v>
      </c>
      <c r="F8">
        <v>403316.5</v>
      </c>
      <c r="G8">
        <v>17.98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-0.43967981703830755</v>
      </c>
      <c r="Q8">
        <f t="shared" ref="Q8" si="16">F8*P8</f>
        <v>-177330.12492853057</v>
      </c>
      <c r="R8">
        <f t="shared" ref="R8" si="17">R9+Q8</f>
        <v>-23802900.601584125</v>
      </c>
      <c r="S8">
        <f t="shared" ref="S8" si="18">R8/100000</f>
        <v>-238.02900601584125</v>
      </c>
      <c r="T8">
        <f t="shared" ref="T8" si="19">S8/1000</f>
        <v>-0.23802900601584126</v>
      </c>
    </row>
    <row r="9" spans="1:20" x14ac:dyDescent="0.25">
      <c r="A9" s="5">
        <v>44584</v>
      </c>
      <c r="B9">
        <v>19.568000000000001</v>
      </c>
      <c r="C9">
        <v>21</v>
      </c>
      <c r="D9">
        <v>19.37</v>
      </c>
      <c r="E9">
        <v>20.350000000000001</v>
      </c>
      <c r="F9">
        <v>189674.4</v>
      </c>
      <c r="G9">
        <v>20.350000000000001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0.2024539877300626</v>
      </c>
      <c r="Q9">
        <f t="shared" ref="Q9" si="21">F9*P9</f>
        <v>38400.338650306985</v>
      </c>
      <c r="R9">
        <f t="shared" ref="R9" si="22">R10+Q9</f>
        <v>-23625570.476655595</v>
      </c>
      <c r="S9">
        <f t="shared" ref="S9" si="23">R9/100000</f>
        <v>-236.25570476655594</v>
      </c>
      <c r="T9">
        <f t="shared" ref="T9" si="24">S9/1000</f>
        <v>-0.23625570476655594</v>
      </c>
    </row>
    <row r="10" spans="1:20" x14ac:dyDescent="0.25">
      <c r="A10" s="5">
        <v>44583</v>
      </c>
      <c r="B10">
        <v>21.847999999999999</v>
      </c>
      <c r="C10">
        <v>22.856999999999999</v>
      </c>
      <c r="D10">
        <v>18.7</v>
      </c>
      <c r="E10">
        <v>19.484000000000002</v>
      </c>
      <c r="F10">
        <v>248130.6</v>
      </c>
      <c r="G10">
        <v>19.484000000000002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-0.62280490738513228</v>
      </c>
      <c r="Q10">
        <f t="shared" ref="Q10" si="26">F10*P10</f>
        <v>-154536.95535241731</v>
      </c>
      <c r="R10">
        <f t="shared" ref="R10" si="27">R11+Q10</f>
        <v>-23663970.815305904</v>
      </c>
      <c r="S10">
        <f t="shared" ref="S10" si="28">R10/100000</f>
        <v>-236.63970815305905</v>
      </c>
      <c r="T10">
        <f t="shared" ref="T10" si="29">S10/1000</f>
        <v>-0.23663970815305904</v>
      </c>
    </row>
    <row r="11" spans="1:20" x14ac:dyDescent="0.25">
      <c r="A11" s="5">
        <v>44582</v>
      </c>
      <c r="B11">
        <v>26.817</v>
      </c>
      <c r="C11">
        <v>27.902000000000001</v>
      </c>
      <c r="D11">
        <v>21</v>
      </c>
      <c r="E11">
        <v>21.827999999999999</v>
      </c>
      <c r="F11">
        <v>267021.8</v>
      </c>
      <c r="G11">
        <v>21.827999999999999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-0.76006954505940327</v>
      </c>
      <c r="Q11">
        <f t="shared" ref="Q11" si="31">F11*P11</f>
        <v>-202955.13804694297</v>
      </c>
      <c r="R11">
        <f t="shared" ref="R11" si="32">R12+Q11</f>
        <v>-23509433.859953485</v>
      </c>
      <c r="S11">
        <f t="shared" ref="S11" si="33">R11/100000</f>
        <v>-235.09433859953486</v>
      </c>
      <c r="T11">
        <f t="shared" ref="T11" si="34">S11/1000</f>
        <v>-0.23509433859953485</v>
      </c>
    </row>
    <row r="12" spans="1:20" x14ac:dyDescent="0.25">
      <c r="A12" s="5">
        <v>44581</v>
      </c>
      <c r="B12">
        <v>28.064</v>
      </c>
      <c r="C12">
        <v>30.739000000000001</v>
      </c>
      <c r="D12">
        <v>26.164999999999999</v>
      </c>
      <c r="E12">
        <v>26.82</v>
      </c>
      <c r="F12">
        <v>295425.2</v>
      </c>
      <c r="G12">
        <v>26.82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-0.71359860078705684</v>
      </c>
      <c r="Q12">
        <f t="shared" ref="Q12" si="36">F12*P12</f>
        <v>-210815.00935723644</v>
      </c>
      <c r="R12">
        <f t="shared" ref="R12" si="37">R13+Q12</f>
        <v>-23306478.721906543</v>
      </c>
      <c r="S12">
        <f t="shared" ref="S12" si="38">R12/100000</f>
        <v>-233.06478721906544</v>
      </c>
      <c r="T12">
        <f t="shared" ref="T12" si="39">S12/1000</f>
        <v>-0.23306478721906543</v>
      </c>
    </row>
    <row r="13" spans="1:20" x14ac:dyDescent="0.25">
      <c r="A13" s="5">
        <v>44580</v>
      </c>
      <c r="B13">
        <v>30.902999999999999</v>
      </c>
      <c r="C13">
        <v>32.494999999999997</v>
      </c>
      <c r="D13">
        <v>27.902999999999999</v>
      </c>
      <c r="E13">
        <v>28.062999999999999</v>
      </c>
      <c r="F13">
        <v>149933.79999999999</v>
      </c>
      <c r="G13">
        <v>28.062999999999999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-0.93031358885017412</v>
      </c>
      <c r="Q13">
        <f t="shared" ref="Q13" si="41">F13*P13</f>
        <v>-139485.45156794423</v>
      </c>
      <c r="R13">
        <f t="shared" ref="R13" si="42">R14+Q13</f>
        <v>-23095663.712549306</v>
      </c>
      <c r="S13">
        <f t="shared" ref="S13" si="43">R13/100000</f>
        <v>-230.95663712549307</v>
      </c>
      <c r="T13">
        <f t="shared" ref="T13" si="44">S13/1000</f>
        <v>-0.23095663712549308</v>
      </c>
    </row>
    <row r="14" spans="1:20" x14ac:dyDescent="0.25">
      <c r="A14" s="5">
        <v>44579</v>
      </c>
      <c r="B14">
        <v>32.070999999999998</v>
      </c>
      <c r="C14">
        <v>34.331000000000003</v>
      </c>
      <c r="D14">
        <v>29.265000000000001</v>
      </c>
      <c r="E14">
        <v>30.902000000000001</v>
      </c>
      <c r="F14">
        <v>176909.2</v>
      </c>
      <c r="G14">
        <v>30.902000000000001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-0.35373075404658522</v>
      </c>
      <c r="Q14">
        <f t="shared" ref="Q14" si="46">F14*P14</f>
        <v>-62578.22471377816</v>
      </c>
      <c r="R14">
        <f t="shared" ref="R14" si="47">R15+Q14</f>
        <v>-22956178.260981362</v>
      </c>
      <c r="S14">
        <f t="shared" ref="S14" si="48">R14/100000</f>
        <v>-229.56178260981363</v>
      </c>
      <c r="T14">
        <f t="shared" ref="T14" si="49">S14/1000</f>
        <v>-0.22956178260981364</v>
      </c>
    </row>
    <row r="15" spans="1:20" x14ac:dyDescent="0.25">
      <c r="A15" s="5">
        <v>44578</v>
      </c>
      <c r="B15">
        <v>37.067</v>
      </c>
      <c r="C15">
        <v>37.067</v>
      </c>
      <c r="D15">
        <v>31.201000000000001</v>
      </c>
      <c r="E15">
        <v>32.07</v>
      </c>
      <c r="F15">
        <v>169458.2</v>
      </c>
      <c r="G15">
        <v>32.07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-0.70371633140129564</v>
      </c>
      <c r="Q15">
        <f t="shared" ref="Q15" si="51">F15*P15</f>
        <v>-119250.50282986705</v>
      </c>
      <c r="R15">
        <f t="shared" ref="R15" si="52">R16+Q15</f>
        <v>-22893600.036267582</v>
      </c>
      <c r="S15">
        <f t="shared" ref="S15" si="53">R15/100000</f>
        <v>-228.93600036267583</v>
      </c>
      <c r="T15">
        <f t="shared" ref="T15" si="54">S15/1000</f>
        <v>-0.22893600036267583</v>
      </c>
    </row>
    <row r="16" spans="1:20" x14ac:dyDescent="0.25">
      <c r="A16" s="5">
        <v>44577</v>
      </c>
      <c r="B16">
        <v>36.793999999999997</v>
      </c>
      <c r="C16">
        <v>37.741</v>
      </c>
      <c r="D16">
        <v>35.74</v>
      </c>
      <c r="E16">
        <v>37.08</v>
      </c>
      <c r="F16">
        <v>101029.1</v>
      </c>
      <c r="G16">
        <v>37.08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0.33933033483258157</v>
      </c>
      <c r="Q16">
        <f t="shared" ref="Q16" si="56">F16*P16</f>
        <v>34282.238330834371</v>
      </c>
      <c r="R16">
        <f t="shared" ref="R16" si="57">R17+Q16</f>
        <v>-22774349.533437714</v>
      </c>
      <c r="S16">
        <f t="shared" ref="S16" si="58">R16/100000</f>
        <v>-227.74349533437714</v>
      </c>
      <c r="T16">
        <f t="shared" ref="T16" si="59">S16/1000</f>
        <v>-0.22774349533437716</v>
      </c>
    </row>
    <row r="17" spans="1:20" x14ac:dyDescent="0.25">
      <c r="A17" s="5">
        <v>44576</v>
      </c>
      <c r="B17">
        <v>38.564999999999998</v>
      </c>
      <c r="C17">
        <v>38.616</v>
      </c>
      <c r="D17">
        <v>36.527999999999999</v>
      </c>
      <c r="E17">
        <v>36.795999999999999</v>
      </c>
      <c r="F17">
        <v>98487.3</v>
      </c>
      <c r="G17">
        <v>36.795999999999999</v>
      </c>
      <c r="L17" t="s">
        <v>7</v>
      </c>
      <c r="M17" t="s">
        <v>7</v>
      </c>
      <c r="N17" t="s">
        <v>8</v>
      </c>
      <c r="P17">
        <f t="shared" ref="P17" si="60">IF(C17=D17,0,((E17-D17)-(C17-E17))/(C17-D17))</f>
        <v>-0.74329501915708762</v>
      </c>
      <c r="Q17">
        <f t="shared" ref="Q17" si="61">F17*P17</f>
        <v>-73205.119540229833</v>
      </c>
      <c r="R17">
        <f t="shared" ref="R17" si="62">R18+Q17</f>
        <v>-22808631.771768548</v>
      </c>
      <c r="S17">
        <f t="shared" ref="S17" si="63">R17/100000</f>
        <v>-228.08631771768549</v>
      </c>
      <c r="T17">
        <f t="shared" ref="T17" si="64">S17/1000</f>
        <v>-0.22808631771768548</v>
      </c>
    </row>
    <row r="18" spans="1:20" x14ac:dyDescent="0.25">
      <c r="A18" s="5">
        <v>44575</v>
      </c>
      <c r="B18">
        <v>37.665999999999997</v>
      </c>
      <c r="C18">
        <v>39.783000000000001</v>
      </c>
      <c r="D18">
        <v>37.054000000000002</v>
      </c>
      <c r="E18">
        <v>38.564999999999998</v>
      </c>
      <c r="F18">
        <v>187358.6</v>
      </c>
      <c r="G18">
        <v>38.564999999999998</v>
      </c>
      <c r="L18" t="s">
        <v>8</v>
      </c>
      <c r="M18" t="s">
        <v>7</v>
      </c>
      <c r="N18" t="s">
        <v>8</v>
      </c>
      <c r="P18">
        <f t="shared" ref="P18" si="65">IF(C18=D18,0,((E18-D18)-(C18-E18))/(C18-D18))</f>
        <v>0.10736533528764831</v>
      </c>
      <c r="Q18">
        <f t="shared" ref="Q18" si="66">F18*P18</f>
        <v>20115.818908024386</v>
      </c>
      <c r="R18">
        <f t="shared" ref="R18" si="67">R19+Q18</f>
        <v>-22735426.652228318</v>
      </c>
      <c r="S18">
        <f t="shared" ref="S18" si="68">R18/100000</f>
        <v>-227.35426652228318</v>
      </c>
      <c r="T18">
        <f t="shared" ref="T18" si="69">S18/1000</f>
        <v>-0.22735426652228319</v>
      </c>
    </row>
    <row r="19" spans="1:20" x14ac:dyDescent="0.25">
      <c r="A19" s="5">
        <v>44574</v>
      </c>
      <c r="B19">
        <v>41.289000000000001</v>
      </c>
      <c r="C19">
        <v>41.6</v>
      </c>
      <c r="D19">
        <v>36.075000000000003</v>
      </c>
      <c r="E19">
        <v>37.659999999999997</v>
      </c>
      <c r="F19">
        <v>389184.9</v>
      </c>
      <c r="G19">
        <v>37.659999999999997</v>
      </c>
      <c r="L19" t="s">
        <v>7</v>
      </c>
      <c r="M19" t="s">
        <v>7</v>
      </c>
      <c r="N19" t="s">
        <v>8</v>
      </c>
      <c r="P19">
        <f t="shared" ref="P19" si="70">IF(C19=D19,0,((E19-D19)-(C19-E19))/(C19-D19))</f>
        <v>-0.42624434389140481</v>
      </c>
      <c r="Q19">
        <f t="shared" ref="Q19" si="71">F19*P19</f>
        <v>-165887.862352942</v>
      </c>
      <c r="R19">
        <f t="shared" ref="R19" si="72">R20+Q19</f>
        <v>-22755542.471136343</v>
      </c>
      <c r="S19">
        <f t="shared" ref="S19" si="73">R19/100000</f>
        <v>-227.55542471136343</v>
      </c>
      <c r="T19">
        <f t="shared" ref="T19" si="74">S19/1000</f>
        <v>-0.22755542471136342</v>
      </c>
    </row>
    <row r="20" spans="1:20" x14ac:dyDescent="0.25">
      <c r="A20" s="5">
        <v>44573</v>
      </c>
      <c r="B20">
        <v>34.893000000000001</v>
      </c>
      <c r="C20">
        <v>45.9</v>
      </c>
      <c r="D20">
        <v>34.881</v>
      </c>
      <c r="E20">
        <v>41.49</v>
      </c>
      <c r="F20">
        <v>424533.9</v>
      </c>
      <c r="G20">
        <v>41.49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0.19956438878301166</v>
      </c>
      <c r="Q20">
        <f t="shared" ref="Q20" si="76">F20*P20</f>
        <v>84721.848271168201</v>
      </c>
      <c r="R20">
        <f t="shared" ref="R20" si="77">R21+Q20</f>
        <v>-22589654.608783402</v>
      </c>
      <c r="S20">
        <f t="shared" ref="S20" si="78">R20/100000</f>
        <v>-225.89654608783403</v>
      </c>
      <c r="T20">
        <f t="shared" ref="T20" si="79">S20/1000</f>
        <v>-0.22589654608783402</v>
      </c>
    </row>
    <row r="21" spans="1:20" x14ac:dyDescent="0.25">
      <c r="A21" s="5">
        <v>44572</v>
      </c>
      <c r="B21">
        <v>34.734000000000002</v>
      </c>
      <c r="C21">
        <v>36.256</v>
      </c>
      <c r="D21">
        <v>34.015000000000001</v>
      </c>
      <c r="E21">
        <v>34.942</v>
      </c>
      <c r="F21">
        <v>161685.6</v>
      </c>
      <c r="G21">
        <v>34.942</v>
      </c>
      <c r="L21" t="s">
        <v>7</v>
      </c>
      <c r="M21" t="s">
        <v>7</v>
      </c>
      <c r="N21" t="s">
        <v>8</v>
      </c>
      <c r="P21">
        <f t="shared" ref="P21" si="80">IF(C21=D21,0,((E21-D21)-(C21-E21))/(C21-D21))</f>
        <v>-0.17269076305220907</v>
      </c>
      <c r="Q21">
        <f t="shared" ref="Q21" si="81">F21*P21</f>
        <v>-27921.609638554255</v>
      </c>
      <c r="R21">
        <f t="shared" ref="R21" si="82">R22+Q21</f>
        <v>-22674376.45705457</v>
      </c>
      <c r="S21">
        <f t="shared" ref="S21" si="83">R21/100000</f>
        <v>-226.74376457054569</v>
      </c>
      <c r="T21">
        <f t="shared" ref="T21" si="84">S21/1000</f>
        <v>-0.22674376457054568</v>
      </c>
    </row>
    <row r="22" spans="1:20" x14ac:dyDescent="0.25">
      <c r="A22" s="5">
        <v>44571</v>
      </c>
      <c r="B22">
        <v>36.209000000000003</v>
      </c>
      <c r="C22">
        <v>39.299999999999997</v>
      </c>
      <c r="D22">
        <v>34.298000000000002</v>
      </c>
      <c r="E22">
        <v>34.723999999999997</v>
      </c>
      <c r="F22">
        <v>181668</v>
      </c>
      <c r="G22">
        <v>34.723999999999997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-0.8296681327469031</v>
      </c>
      <c r="Q22">
        <f t="shared" ref="Q22" si="86">F22*P22</f>
        <v>-150724.1503398644</v>
      </c>
      <c r="R22">
        <f t="shared" ref="R22" si="87">R23+Q22</f>
        <v>-22646454.847416017</v>
      </c>
      <c r="S22">
        <f t="shared" ref="S22" si="88">R22/100000</f>
        <v>-226.46454847416018</v>
      </c>
      <c r="T22">
        <f t="shared" ref="T22" si="89">S22/1000</f>
        <v>-0.22646454847416017</v>
      </c>
    </row>
    <row r="23" spans="1:20" x14ac:dyDescent="0.25">
      <c r="A23" s="5">
        <v>44570</v>
      </c>
      <c r="B23">
        <v>38.1</v>
      </c>
      <c r="C23">
        <v>39.25</v>
      </c>
      <c r="D23">
        <v>35.012999999999998</v>
      </c>
      <c r="E23">
        <v>36.151000000000003</v>
      </c>
      <c r="F23">
        <v>256211.1</v>
      </c>
      <c r="G23">
        <v>36.151000000000003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-0.46282747226811199</v>
      </c>
      <c r="Q23">
        <f t="shared" ref="Q23" si="91">F23*P23</f>
        <v>-118581.53578003247</v>
      </c>
      <c r="R23">
        <f t="shared" ref="R23" si="92">R24+Q23</f>
        <v>-22495730.697076153</v>
      </c>
      <c r="S23">
        <f t="shared" ref="S23" si="93">R23/100000</f>
        <v>-224.95730697076152</v>
      </c>
      <c r="T23">
        <f t="shared" ref="T23" si="94">S23/1000</f>
        <v>-0.22495730697076152</v>
      </c>
    </row>
    <row r="24" spans="1:20" x14ac:dyDescent="0.25">
      <c r="A24" s="5">
        <v>44569</v>
      </c>
      <c r="B24">
        <v>38.292000000000002</v>
      </c>
      <c r="C24">
        <v>42</v>
      </c>
      <c r="D24">
        <v>37.200000000000003</v>
      </c>
      <c r="E24">
        <v>38.1</v>
      </c>
      <c r="F24">
        <v>289016.90000000002</v>
      </c>
      <c r="G24">
        <v>38.1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-0.62500000000000033</v>
      </c>
      <c r="Q24">
        <f t="shared" ref="Q24" si="96">F24*P24</f>
        <v>-180635.56250000012</v>
      </c>
      <c r="R24">
        <f t="shared" ref="R24" si="97">R25+Q24</f>
        <v>-22377149.161296122</v>
      </c>
      <c r="S24">
        <f t="shared" ref="S24" si="98">R24/100000</f>
        <v>-223.77149161296123</v>
      </c>
      <c r="T24">
        <f t="shared" ref="T24" si="99">S24/1000</f>
        <v>-0.22377149161296123</v>
      </c>
    </row>
    <row r="25" spans="1:20" x14ac:dyDescent="0.25">
      <c r="A25" s="5">
        <v>44568</v>
      </c>
      <c r="B25">
        <v>34.506</v>
      </c>
      <c r="C25">
        <v>39.674999999999997</v>
      </c>
      <c r="D25">
        <v>34.098999999999997</v>
      </c>
      <c r="E25">
        <v>38.277000000000001</v>
      </c>
      <c r="F25">
        <v>512155.6</v>
      </c>
      <c r="G25">
        <v>38.277000000000001</v>
      </c>
      <c r="L25" t="s">
        <v>8</v>
      </c>
      <c r="M25" t="s">
        <v>8</v>
      </c>
      <c r="N25" t="s">
        <v>8</v>
      </c>
      <c r="P25">
        <f t="shared" ref="P25" si="100">IF(C25=D25,0,((E25-D25)-(C25-E25))/(C25-D25))</f>
        <v>0.49856527977044618</v>
      </c>
      <c r="Q25">
        <f t="shared" ref="Q25" si="101">F25*P25</f>
        <v>255343.00000000073</v>
      </c>
      <c r="R25">
        <f t="shared" ref="R25" si="102">R26+Q25</f>
        <v>-22196513.598796122</v>
      </c>
      <c r="S25">
        <f t="shared" ref="S25" si="103">R25/100000</f>
        <v>-221.96513598796122</v>
      </c>
      <c r="T25">
        <f t="shared" ref="T25" si="104">S25/1000</f>
        <v>-0.22196513598796122</v>
      </c>
    </row>
    <row r="26" spans="1:20" x14ac:dyDescent="0.25">
      <c r="A26" s="5">
        <v>44567</v>
      </c>
      <c r="B26">
        <v>34.432000000000002</v>
      </c>
      <c r="C26">
        <v>37.064</v>
      </c>
      <c r="D26">
        <v>32.232999999999997</v>
      </c>
      <c r="E26">
        <v>34.496000000000002</v>
      </c>
      <c r="F26">
        <v>286163</v>
      </c>
      <c r="G26">
        <v>34.496000000000002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-6.3133926723244138E-2</v>
      </c>
      <c r="Q26">
        <f t="shared" ref="Q26" si="106">F26*P26</f>
        <v>-18066.593872903712</v>
      </c>
      <c r="R26">
        <f t="shared" ref="R26" si="107">R27+Q26</f>
        <v>-22451856.598796122</v>
      </c>
      <c r="S26">
        <f t="shared" ref="S26" si="108">R26/100000</f>
        <v>-224.51856598796121</v>
      </c>
      <c r="T26">
        <f t="shared" ref="T26" si="109">S26/1000</f>
        <v>-0.22451856598796122</v>
      </c>
    </row>
    <row r="27" spans="1:20" x14ac:dyDescent="0.25">
      <c r="A27" s="5">
        <v>44566</v>
      </c>
      <c r="B27">
        <v>37.843000000000004</v>
      </c>
      <c r="C27">
        <v>39</v>
      </c>
      <c r="D27">
        <v>34</v>
      </c>
      <c r="E27">
        <v>34.447000000000003</v>
      </c>
      <c r="F27">
        <v>258117.4</v>
      </c>
      <c r="G27">
        <v>34.447000000000003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-0.82119999999999893</v>
      </c>
      <c r="Q27">
        <f t="shared" ref="Q27" si="111">F27*P27</f>
        <v>-211966.00887999972</v>
      </c>
      <c r="R27">
        <f t="shared" ref="R27" si="112">R28+Q27</f>
        <v>-22433790.004923217</v>
      </c>
      <c r="S27">
        <f t="shared" ref="S27" si="113">R27/100000</f>
        <v>-224.33790004923216</v>
      </c>
      <c r="T27">
        <f t="shared" ref="T27" si="114">S27/1000</f>
        <v>-0.22433790004923215</v>
      </c>
    </row>
    <row r="28" spans="1:20" x14ac:dyDescent="0.25">
      <c r="A28" s="5">
        <v>44565</v>
      </c>
      <c r="B28">
        <v>32.814999999999998</v>
      </c>
      <c r="C28">
        <v>42.499000000000002</v>
      </c>
      <c r="D28">
        <v>32.430999999999997</v>
      </c>
      <c r="E28">
        <v>37.844000000000001</v>
      </c>
      <c r="F28">
        <v>587646.1</v>
      </c>
      <c r="G28">
        <v>37.844000000000001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7.5288041319030816E-2</v>
      </c>
      <c r="Q28">
        <f t="shared" ref="Q28" si="116">F28*P28</f>
        <v>44242.723857767312</v>
      </c>
      <c r="R28">
        <f t="shared" ref="R28" si="117">R29+Q28</f>
        <v>-22221823.996043216</v>
      </c>
      <c r="S28">
        <f t="shared" ref="S28" si="118">R28/100000</f>
        <v>-222.21823996043216</v>
      </c>
      <c r="T28">
        <f t="shared" ref="T28" si="119">S28/1000</f>
        <v>-0.22221823996043216</v>
      </c>
    </row>
    <row r="29" spans="1:20" x14ac:dyDescent="0.25">
      <c r="A29" s="5">
        <v>44564</v>
      </c>
      <c r="B29">
        <v>35.049999999999997</v>
      </c>
      <c r="C29">
        <v>35.283000000000001</v>
      </c>
      <c r="D29">
        <v>31.564</v>
      </c>
      <c r="E29">
        <v>32.81</v>
      </c>
      <c r="F29">
        <v>183735.5</v>
      </c>
      <c r="G29">
        <v>32.81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-0.32992739983866531</v>
      </c>
      <c r="Q29">
        <f t="shared" ref="Q29" si="121">F29*P29</f>
        <v>-60619.375773057094</v>
      </c>
      <c r="R29">
        <f t="shared" ref="R29" si="122">R30+Q29</f>
        <v>-22266066.719900984</v>
      </c>
      <c r="S29">
        <f t="shared" ref="S29" si="123">R29/100000</f>
        <v>-222.66066719900985</v>
      </c>
      <c r="T29">
        <f t="shared" ref="T29" si="124">S29/1000</f>
        <v>-0.22266066719900984</v>
      </c>
    </row>
    <row r="30" spans="1:20" x14ac:dyDescent="0.25">
      <c r="A30" s="5">
        <v>44563</v>
      </c>
      <c r="B30">
        <v>36.777999999999999</v>
      </c>
      <c r="C30">
        <v>37.1</v>
      </c>
      <c r="D30">
        <v>34.720999999999997</v>
      </c>
      <c r="E30">
        <v>35.049999999999997</v>
      </c>
      <c r="F30">
        <v>141541.79999999999</v>
      </c>
      <c r="G30">
        <v>35.049999999999997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-0.7234131988230349</v>
      </c>
      <c r="Q30">
        <f t="shared" ref="Q30" si="126">F30*P30</f>
        <v>-102393.20630517023</v>
      </c>
      <c r="R30">
        <f t="shared" ref="R30" si="127">R31+Q30</f>
        <v>-22205447.344127927</v>
      </c>
      <c r="S30">
        <f t="shared" ref="S30" si="128">R30/100000</f>
        <v>-222.05447344127927</v>
      </c>
      <c r="T30">
        <f t="shared" ref="T30" si="129">S30/1000</f>
        <v>-0.22205447344127927</v>
      </c>
    </row>
    <row r="31" spans="1:20" x14ac:dyDescent="0.25">
      <c r="A31" s="5">
        <v>44562</v>
      </c>
      <c r="B31">
        <v>39.154000000000003</v>
      </c>
      <c r="C31">
        <v>41</v>
      </c>
      <c r="D31">
        <v>34.665999999999997</v>
      </c>
      <c r="E31">
        <v>36.716000000000001</v>
      </c>
      <c r="F31">
        <v>374863.5</v>
      </c>
      <c r="G31">
        <v>36.716000000000001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-0.35269971581938642</v>
      </c>
      <c r="Q31">
        <f t="shared" ref="Q31" si="131">F31*P31</f>
        <v>-132214.24992106055</v>
      </c>
      <c r="R31">
        <f t="shared" ref="R31" si="132">R32+Q31</f>
        <v>-22103054.137822758</v>
      </c>
      <c r="S31">
        <f t="shared" ref="S31" si="133">R31/100000</f>
        <v>-221.03054137822758</v>
      </c>
      <c r="T31">
        <f t="shared" ref="T31" si="134">S31/1000</f>
        <v>-0.22103054137822759</v>
      </c>
    </row>
    <row r="32" spans="1:20" x14ac:dyDescent="0.25">
      <c r="A32" s="5">
        <v>44561</v>
      </c>
      <c r="B32">
        <v>29.963999999999999</v>
      </c>
      <c r="C32">
        <v>43.899000000000001</v>
      </c>
      <c r="D32">
        <v>29.702000000000002</v>
      </c>
      <c r="E32">
        <v>39.158000000000001</v>
      </c>
      <c r="F32">
        <v>1007001.7</v>
      </c>
      <c r="G32">
        <v>39.158000000000001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0.33211241811650349</v>
      </c>
      <c r="Q32">
        <f t="shared" ref="Q32" si="136">F32*P32</f>
        <v>334437.76963442977</v>
      </c>
      <c r="R32">
        <f t="shared" ref="R32" si="137">R33+Q32</f>
        <v>-21970839.887901697</v>
      </c>
      <c r="S32">
        <f t="shared" ref="S32" si="138">R32/100000</f>
        <v>-219.70839887901698</v>
      </c>
      <c r="T32">
        <f t="shared" ref="T32" si="139">S32/1000</f>
        <v>-0.21970839887901697</v>
      </c>
    </row>
    <row r="33" spans="1:20" x14ac:dyDescent="0.25">
      <c r="A33" s="5">
        <v>44560</v>
      </c>
      <c r="B33">
        <v>26.271999999999998</v>
      </c>
      <c r="C33">
        <v>34</v>
      </c>
      <c r="D33">
        <v>25.491</v>
      </c>
      <c r="E33">
        <v>30</v>
      </c>
      <c r="F33">
        <v>1388773.8</v>
      </c>
      <c r="G33">
        <v>30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5.9819015160418418E-2</v>
      </c>
      <c r="Q33">
        <f t="shared" ref="Q33" si="141">F33*P33</f>
        <v>83075.080996591903</v>
      </c>
      <c r="R33">
        <f t="shared" ref="R33" si="142">R34+Q33</f>
        <v>-22305277.657536127</v>
      </c>
      <c r="S33">
        <f t="shared" ref="S33" si="143">R33/100000</f>
        <v>-223.05277657536126</v>
      </c>
      <c r="T33">
        <f t="shared" ref="T33" si="144">S33/1000</f>
        <v>-0.22305277657536127</v>
      </c>
    </row>
    <row r="34" spans="1:20" x14ac:dyDescent="0.25">
      <c r="A34" s="5">
        <v>44559</v>
      </c>
      <c r="B34">
        <v>22.109000000000002</v>
      </c>
      <c r="C34">
        <v>27.9</v>
      </c>
      <c r="D34">
        <v>21.632000000000001</v>
      </c>
      <c r="E34">
        <v>26.175000000000001</v>
      </c>
      <c r="F34">
        <v>329774.90000000002</v>
      </c>
      <c r="G34">
        <v>26.175000000000001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0.44958519463943886</v>
      </c>
      <c r="Q34">
        <f t="shared" ref="Q34" si="146">F34*P34</f>
        <v>148261.91260370149</v>
      </c>
      <c r="R34">
        <f t="shared" ref="R34" si="147">R35+Q34</f>
        <v>-22388352.738532718</v>
      </c>
      <c r="S34">
        <f t="shared" ref="S34" si="148">R34/100000</f>
        <v>-223.88352738532717</v>
      </c>
      <c r="T34">
        <f t="shared" ref="T34" si="149">S34/1000</f>
        <v>-0.22388352738532716</v>
      </c>
    </row>
    <row r="35" spans="1:20" x14ac:dyDescent="0.25">
      <c r="A35" s="5">
        <v>44558</v>
      </c>
      <c r="B35">
        <v>23.763999999999999</v>
      </c>
      <c r="C35">
        <v>25.998000000000001</v>
      </c>
      <c r="D35">
        <v>22.001000000000001</v>
      </c>
      <c r="E35">
        <v>22.148</v>
      </c>
      <c r="F35">
        <v>247442.5</v>
      </c>
      <c r="G35">
        <v>22.148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-0.92644483362521968</v>
      </c>
      <c r="Q35">
        <f t="shared" ref="Q35" si="151">F35*P35</f>
        <v>-229241.82574430841</v>
      </c>
      <c r="R35">
        <f t="shared" ref="R35" si="152">R36+Q35</f>
        <v>-22536614.651136421</v>
      </c>
      <c r="S35">
        <f t="shared" ref="S35" si="153">R35/100000</f>
        <v>-225.36614651136421</v>
      </c>
      <c r="T35">
        <f t="shared" ref="T35" si="154">S35/1000</f>
        <v>-0.22536614651136422</v>
      </c>
    </row>
    <row r="36" spans="1:20" x14ac:dyDescent="0.25">
      <c r="A36" s="5">
        <v>44557</v>
      </c>
      <c r="B36">
        <v>20.431000000000001</v>
      </c>
      <c r="C36">
        <v>25.745000000000001</v>
      </c>
      <c r="D36">
        <v>20.122</v>
      </c>
      <c r="E36">
        <v>23.693999999999999</v>
      </c>
      <c r="F36">
        <v>262356.59999999998</v>
      </c>
      <c r="G36">
        <v>23.693999999999999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0.2704961764182815</v>
      </c>
      <c r="Q36">
        <f t="shared" ref="Q36" si="156">F36*P36</f>
        <v>70966.4571581005</v>
      </c>
      <c r="R36">
        <f t="shared" ref="R36" si="157">R37+Q36</f>
        <v>-22307372.825392112</v>
      </c>
      <c r="S36">
        <f t="shared" ref="S36" si="158">R36/100000</f>
        <v>-223.07372825392113</v>
      </c>
      <c r="T36">
        <f t="shared" ref="T36" si="159">S36/1000</f>
        <v>-0.22307372825392113</v>
      </c>
    </row>
    <row r="37" spans="1:20" x14ac:dyDescent="0.25">
      <c r="A37" s="5">
        <v>44556</v>
      </c>
      <c r="B37">
        <v>20.411999999999999</v>
      </c>
      <c r="C37">
        <v>20.74</v>
      </c>
      <c r="D37">
        <v>19.995999999999999</v>
      </c>
      <c r="E37">
        <v>20.503</v>
      </c>
      <c r="F37">
        <v>35300.699999999997</v>
      </c>
      <c r="G37">
        <v>20.503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0.36290322580645595</v>
      </c>
      <c r="Q37">
        <f t="shared" ref="Q37" si="161">F37*P37</f>
        <v>12810.737903225958</v>
      </c>
      <c r="R37">
        <f t="shared" ref="R37" si="162">R38+Q37</f>
        <v>-22378339.282550212</v>
      </c>
      <c r="S37">
        <f t="shared" ref="S37" si="163">R37/100000</f>
        <v>-223.78339282550212</v>
      </c>
      <c r="T37">
        <f t="shared" ref="T37" si="164">S37/1000</f>
        <v>-0.22378339282550211</v>
      </c>
    </row>
    <row r="38" spans="1:20" x14ac:dyDescent="0.25">
      <c r="A38" s="5">
        <v>44555</v>
      </c>
      <c r="B38">
        <v>21.198</v>
      </c>
      <c r="C38">
        <v>22.061</v>
      </c>
      <c r="D38">
        <v>20.091999999999999</v>
      </c>
      <c r="E38">
        <v>20.413</v>
      </c>
      <c r="F38">
        <v>70944.800000000003</v>
      </c>
      <c r="G38">
        <v>20.413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-0.67394616556627596</v>
      </c>
      <c r="Q38">
        <f t="shared" ref="Q38" si="166">F38*P38</f>
        <v>-47812.975926866333</v>
      </c>
      <c r="R38">
        <f t="shared" ref="R38" si="167">R39+Q38</f>
        <v>-22391150.020453438</v>
      </c>
      <c r="S38">
        <f t="shared" ref="S38" si="168">R38/100000</f>
        <v>-223.91150020453438</v>
      </c>
      <c r="T38">
        <f t="shared" ref="T38" si="169">S38/1000</f>
        <v>-0.22391150020453437</v>
      </c>
    </row>
    <row r="39" spans="1:20" x14ac:dyDescent="0.25">
      <c r="A39" s="5">
        <v>44554</v>
      </c>
      <c r="B39">
        <v>20.175000000000001</v>
      </c>
      <c r="C39">
        <v>22.95</v>
      </c>
      <c r="D39">
        <v>20.001000000000001</v>
      </c>
      <c r="E39">
        <v>21.2</v>
      </c>
      <c r="F39">
        <v>98342.9</v>
      </c>
      <c r="G39">
        <v>21.2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-0.18684299762631479</v>
      </c>
      <c r="Q39">
        <f t="shared" ref="Q39" si="171">F39*P39</f>
        <v>-18374.682231264913</v>
      </c>
      <c r="R39">
        <f t="shared" ref="R39" si="172">R40+Q39</f>
        <v>-22343337.044526573</v>
      </c>
      <c r="S39">
        <f t="shared" ref="S39" si="173">R39/100000</f>
        <v>-223.43337044526572</v>
      </c>
      <c r="T39">
        <f t="shared" ref="T39" si="174">S39/1000</f>
        <v>-0.22343337044526573</v>
      </c>
    </row>
    <row r="40" spans="1:20" x14ac:dyDescent="0.25">
      <c r="A40" s="5">
        <v>44553</v>
      </c>
      <c r="B40">
        <v>18.015999999999998</v>
      </c>
      <c r="C40">
        <v>20.75</v>
      </c>
      <c r="D40">
        <v>17.829000000000001</v>
      </c>
      <c r="E40">
        <v>20.161999999999999</v>
      </c>
      <c r="F40">
        <v>140041.29999999999</v>
      </c>
      <c r="G40">
        <v>20.161999999999999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0.59739815131804097</v>
      </c>
      <c r="Q40">
        <f t="shared" ref="Q40" si="176">F40*P40</f>
        <v>83660.413728175161</v>
      </c>
      <c r="R40">
        <f t="shared" ref="R40" si="177">R41+Q40</f>
        <v>-22324962.362295307</v>
      </c>
      <c r="S40">
        <f t="shared" ref="S40" si="178">R40/100000</f>
        <v>-223.24962362295307</v>
      </c>
      <c r="T40">
        <f t="shared" ref="T40" si="179">S40/1000</f>
        <v>-0.22324962362295306</v>
      </c>
    </row>
    <row r="41" spans="1:20" x14ac:dyDescent="0.25">
      <c r="A41" s="5">
        <v>44552</v>
      </c>
      <c r="B41">
        <v>17.297000000000001</v>
      </c>
      <c r="C41">
        <v>18.925999999999998</v>
      </c>
      <c r="D41">
        <v>17.036999999999999</v>
      </c>
      <c r="E41">
        <v>18.018000000000001</v>
      </c>
      <c r="F41">
        <v>286360.59999999998</v>
      </c>
      <c r="G41">
        <v>18.018000000000001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3.8644785600849114E-2</v>
      </c>
      <c r="Q41">
        <f t="shared" ref="Q41" si="181">F41*P41</f>
        <v>11066.343991530512</v>
      </c>
      <c r="R41">
        <f t="shared" ref="R41" si="182">R42+Q41</f>
        <v>-22408622.776023481</v>
      </c>
      <c r="S41">
        <f t="shared" ref="S41" si="183">R41/100000</f>
        <v>-224.08622776023481</v>
      </c>
      <c r="T41">
        <f t="shared" ref="T41" si="184">S41/1000</f>
        <v>-0.22408622776023482</v>
      </c>
    </row>
    <row r="42" spans="1:20" x14ac:dyDescent="0.25">
      <c r="A42" s="5">
        <v>44551</v>
      </c>
      <c r="B42">
        <v>13.904999999999999</v>
      </c>
      <c r="C42">
        <v>18.89</v>
      </c>
      <c r="D42">
        <v>13.763</v>
      </c>
      <c r="E42">
        <v>17.289000000000001</v>
      </c>
      <c r="F42">
        <v>372908</v>
      </c>
      <c r="G42">
        <v>17.289000000000001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0.3754632338599575</v>
      </c>
      <c r="Q42">
        <f t="shared" ref="Q42" si="186">F42*P42</f>
        <v>140013.24361224903</v>
      </c>
      <c r="R42">
        <f t="shared" ref="R42" si="187">R43+Q42</f>
        <v>-22419689.12001501</v>
      </c>
      <c r="S42">
        <f t="shared" ref="S42" si="188">R42/100000</f>
        <v>-224.19689120015011</v>
      </c>
      <c r="T42">
        <f t="shared" ref="T42" si="189">S42/1000</f>
        <v>-0.2241968912001501</v>
      </c>
    </row>
    <row r="43" spans="1:20" x14ac:dyDescent="0.25">
      <c r="A43" s="5">
        <v>44550</v>
      </c>
      <c r="B43">
        <v>14.409000000000001</v>
      </c>
      <c r="C43">
        <v>14.77</v>
      </c>
      <c r="D43">
        <v>13.750999999999999</v>
      </c>
      <c r="E43">
        <v>13.958</v>
      </c>
      <c r="F43">
        <v>59548.6</v>
      </c>
      <c r="G43">
        <v>13.958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-0.59371933267909571</v>
      </c>
      <c r="Q43">
        <f t="shared" ref="Q43" si="191">F43*P43</f>
        <v>-35355.155053974398</v>
      </c>
      <c r="R43">
        <f t="shared" ref="R43" si="192">R44+Q43</f>
        <v>-22559702.363627259</v>
      </c>
      <c r="S43">
        <f t="shared" ref="S43" si="193">R43/100000</f>
        <v>-225.59702363627258</v>
      </c>
      <c r="T43">
        <f t="shared" ref="T43" si="194">S43/1000</f>
        <v>-0.22559702363627257</v>
      </c>
    </row>
    <row r="44" spans="1:20" x14ac:dyDescent="0.25">
      <c r="A44" s="5">
        <v>44549</v>
      </c>
      <c r="B44">
        <v>14.000999999999999</v>
      </c>
      <c r="C44">
        <v>14.923</v>
      </c>
      <c r="D44">
        <v>13.939</v>
      </c>
      <c r="E44">
        <v>14.414</v>
      </c>
      <c r="F44">
        <v>55647</v>
      </c>
      <c r="G44">
        <v>14.414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-3.4552845528455993E-2</v>
      </c>
      <c r="Q44">
        <f t="shared" ref="Q44" si="196">F44*P44</f>
        <v>-1922.7621951219905</v>
      </c>
      <c r="R44">
        <f t="shared" ref="R44" si="197">R45+Q44</f>
        <v>-22524347.208573285</v>
      </c>
      <c r="S44">
        <f t="shared" ref="S44" si="198">R44/100000</f>
        <v>-225.24347208573286</v>
      </c>
      <c r="T44">
        <f t="shared" ref="T44" si="199">S44/1000</f>
        <v>-0.22524347208573287</v>
      </c>
    </row>
    <row r="45" spans="1:20" x14ac:dyDescent="0.25">
      <c r="A45" s="5">
        <v>44548</v>
      </c>
      <c r="B45">
        <v>15.537000000000001</v>
      </c>
      <c r="C45">
        <v>15.587999999999999</v>
      </c>
      <c r="D45">
        <v>13.348000000000001</v>
      </c>
      <c r="E45">
        <v>14.000999999999999</v>
      </c>
      <c r="F45">
        <v>141253.20000000001</v>
      </c>
      <c r="G45">
        <v>14.000999999999999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-0.41696428571428645</v>
      </c>
      <c r="Q45">
        <f t="shared" ref="Q45" si="201">F45*P45</f>
        <v>-58897.539642857249</v>
      </c>
      <c r="R45">
        <f t="shared" ref="R45" si="202">R46+Q45</f>
        <v>-22522424.446378164</v>
      </c>
      <c r="S45">
        <f t="shared" ref="S45" si="203">R45/100000</f>
        <v>-225.22424446378164</v>
      </c>
      <c r="T45">
        <f t="shared" ref="T45" si="204">S45/1000</f>
        <v>-0.22522424446378164</v>
      </c>
    </row>
    <row r="46" spans="1:20" x14ac:dyDescent="0.25">
      <c r="A46" s="5">
        <v>44547</v>
      </c>
      <c r="B46">
        <v>16.425999999999998</v>
      </c>
      <c r="C46">
        <v>17.454000000000001</v>
      </c>
      <c r="D46">
        <v>15.12</v>
      </c>
      <c r="E46">
        <v>15.375</v>
      </c>
      <c r="F46">
        <v>24309.200000000001</v>
      </c>
      <c r="G46">
        <v>15.375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-0.78149100257069359</v>
      </c>
      <c r="Q46">
        <f t="shared" ref="Q46" si="206">F46*P46</f>
        <v>-18997.421079691507</v>
      </c>
      <c r="R46">
        <f t="shared" ref="R46" si="207">R47+Q46</f>
        <v>-22463526.906735308</v>
      </c>
      <c r="S46">
        <f t="shared" ref="S46" si="208">R46/100000</f>
        <v>-224.63526906735308</v>
      </c>
      <c r="T46">
        <f t="shared" ref="T46" si="209">S46/1000</f>
        <v>-0.22463526906735307</v>
      </c>
    </row>
    <row r="47" spans="1:20" x14ac:dyDescent="0.25">
      <c r="A47" s="5">
        <v>44546</v>
      </c>
      <c r="B47">
        <v>16.917999999999999</v>
      </c>
      <c r="C47">
        <v>17.277999999999999</v>
      </c>
      <c r="D47">
        <v>16.175999999999998</v>
      </c>
      <c r="E47">
        <v>16.425999999999998</v>
      </c>
      <c r="F47">
        <v>16177.9</v>
      </c>
      <c r="G47">
        <v>16.425999999999998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-0.54627949183303093</v>
      </c>
      <c r="Q47">
        <f t="shared" ref="Q47" si="211">F47*P47</f>
        <v>-8837.65499092559</v>
      </c>
      <c r="R47">
        <f t="shared" ref="R47" si="212">R48+Q47</f>
        <v>-22444529.485655617</v>
      </c>
      <c r="S47">
        <f t="shared" ref="S47" si="213">R47/100000</f>
        <v>-224.44529485655616</v>
      </c>
      <c r="T47">
        <f t="shared" ref="T47" si="214">S47/1000</f>
        <v>-0.22444529485655615</v>
      </c>
    </row>
    <row r="48" spans="1:20" x14ac:dyDescent="0.25">
      <c r="A48" s="5">
        <v>44545</v>
      </c>
      <c r="B48">
        <v>17.198</v>
      </c>
      <c r="C48">
        <v>17.518000000000001</v>
      </c>
      <c r="D48">
        <v>16.484999999999999</v>
      </c>
      <c r="E48">
        <v>16.916</v>
      </c>
      <c r="F48">
        <v>12833</v>
      </c>
      <c r="G48">
        <v>16.916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-0.16553727008712407</v>
      </c>
      <c r="Q48">
        <f t="shared" ref="Q48" si="216">F48*P48</f>
        <v>-2124.3397870280633</v>
      </c>
      <c r="R48">
        <f t="shared" ref="R48" si="217">R49+Q48</f>
        <v>-22435691.830664691</v>
      </c>
      <c r="S48">
        <f t="shared" ref="S48" si="218">R48/100000</f>
        <v>-224.35691830664692</v>
      </c>
      <c r="T48">
        <f t="shared" ref="T48" si="219">S48/1000</f>
        <v>-0.22435691830664692</v>
      </c>
    </row>
    <row r="49" spans="1:20" x14ac:dyDescent="0.25">
      <c r="A49" s="5">
        <v>44544</v>
      </c>
      <c r="B49">
        <v>17.600999999999999</v>
      </c>
      <c r="C49">
        <v>18.135000000000002</v>
      </c>
      <c r="D49">
        <v>17.001999999999999</v>
      </c>
      <c r="E49">
        <v>17.274999999999999</v>
      </c>
      <c r="F49">
        <v>18780.099999999999</v>
      </c>
      <c r="G49">
        <v>17.274999999999999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-0.51809355692851011</v>
      </c>
      <c r="Q49">
        <f t="shared" ref="Q49" si="221">F49*P49</f>
        <v>-9729.8488084731125</v>
      </c>
      <c r="R49">
        <f t="shared" ref="R49" si="222">R50+Q49</f>
        <v>-22433567.490877662</v>
      </c>
      <c r="S49">
        <f t="shared" ref="S49" si="223">R49/100000</f>
        <v>-224.33567490877661</v>
      </c>
      <c r="T49">
        <f t="shared" ref="T49" si="224">S49/1000</f>
        <v>-0.22433567490877662</v>
      </c>
    </row>
    <row r="50" spans="1:20" x14ac:dyDescent="0.25">
      <c r="A50" s="5">
        <v>44543</v>
      </c>
      <c r="B50">
        <v>18.54</v>
      </c>
      <c r="C50">
        <v>18.734000000000002</v>
      </c>
      <c r="D50">
        <v>17.504999999999999</v>
      </c>
      <c r="E50">
        <v>17.574999999999999</v>
      </c>
      <c r="F50">
        <v>28928.6</v>
      </c>
      <c r="G50">
        <v>17.574999999999999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-0.88608624898291277</v>
      </c>
      <c r="Q50">
        <f t="shared" ref="Q50" si="226">F50*P50</f>
        <v>-25633.23466232709</v>
      </c>
      <c r="R50">
        <f t="shared" ref="R50" si="227">R51+Q50</f>
        <v>-22423837.642069187</v>
      </c>
      <c r="S50">
        <f t="shared" ref="S50" si="228">R50/100000</f>
        <v>-224.23837642069188</v>
      </c>
      <c r="T50">
        <f t="shared" ref="T50" si="229">S50/1000</f>
        <v>-0.22423837642069189</v>
      </c>
    </row>
    <row r="51" spans="1:20" x14ac:dyDescent="0.25">
      <c r="A51" s="5">
        <v>44542</v>
      </c>
      <c r="B51">
        <v>19.548999999999999</v>
      </c>
      <c r="C51">
        <v>19.574999999999999</v>
      </c>
      <c r="D51">
        <v>17.600999999999999</v>
      </c>
      <c r="E51">
        <v>18.545999999999999</v>
      </c>
      <c r="F51">
        <v>54405.4</v>
      </c>
      <c r="G51">
        <v>18.545999999999999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-4.2553191489361514E-2</v>
      </c>
      <c r="Q51">
        <f t="shared" ref="Q51" si="231">F51*P51</f>
        <v>-2315.1234042553087</v>
      </c>
      <c r="R51">
        <f t="shared" ref="R51" si="232">R52+Q51</f>
        <v>-22398204.407406859</v>
      </c>
      <c r="S51">
        <f t="shared" ref="S51" si="233">R51/100000</f>
        <v>-223.9820440740686</v>
      </c>
      <c r="T51">
        <f t="shared" ref="T51" si="234">S51/1000</f>
        <v>-0.2239820440740686</v>
      </c>
    </row>
    <row r="52" spans="1:20" x14ac:dyDescent="0.25">
      <c r="A52" s="5">
        <v>44541</v>
      </c>
      <c r="B52">
        <v>19.657</v>
      </c>
      <c r="C52">
        <v>20.02</v>
      </c>
      <c r="D52">
        <v>19.577999999999999</v>
      </c>
      <c r="E52">
        <v>19.722000000000001</v>
      </c>
      <c r="F52">
        <v>1052.5999999999999</v>
      </c>
      <c r="G52">
        <v>19.722000000000001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-0.34841628959275184</v>
      </c>
      <c r="Q52">
        <f t="shared" ref="Q52" si="236">F52*P52</f>
        <v>-366.74298642533057</v>
      </c>
      <c r="R52">
        <f t="shared" ref="R52" si="237">R53+Q52</f>
        <v>-22395889.284002602</v>
      </c>
      <c r="S52">
        <f t="shared" ref="S52" si="238">R52/100000</f>
        <v>-223.95889284002601</v>
      </c>
      <c r="T52">
        <f t="shared" ref="T52" si="239">S52/1000</f>
        <v>-0.22395889284002601</v>
      </c>
    </row>
    <row r="53" spans="1:20" x14ac:dyDescent="0.25">
      <c r="A53" s="5">
        <v>44540</v>
      </c>
      <c r="B53">
        <v>21.456</v>
      </c>
      <c r="C53">
        <v>24.38</v>
      </c>
      <c r="D53">
        <v>18.783999999999999</v>
      </c>
      <c r="E53">
        <v>19.576000000000001</v>
      </c>
      <c r="F53">
        <v>248883.5</v>
      </c>
      <c r="G53">
        <v>19.576000000000001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-0.71694067190850552</v>
      </c>
      <c r="Q53">
        <f t="shared" ref="Q53" si="241">F53*P53</f>
        <v>-178434.70371694054</v>
      </c>
      <c r="R53">
        <f t="shared" ref="R53" si="242">R54+Q53</f>
        <v>-22395522.541016176</v>
      </c>
      <c r="S53">
        <f t="shared" ref="S53" si="243">R53/100000</f>
        <v>-223.95522541016177</v>
      </c>
      <c r="T53">
        <f t="shared" ref="T53" si="244">S53/1000</f>
        <v>-0.22395522541016177</v>
      </c>
    </row>
    <row r="54" spans="1:20" x14ac:dyDescent="0.25">
      <c r="A54" s="5">
        <v>44539</v>
      </c>
      <c r="B54">
        <v>21.382000000000001</v>
      </c>
      <c r="C54">
        <v>25.588000000000001</v>
      </c>
      <c r="D54">
        <v>20.704000000000001</v>
      </c>
      <c r="E54">
        <v>21.096</v>
      </c>
      <c r="F54">
        <v>404748.3</v>
      </c>
      <c r="G54">
        <v>21.096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-0.8394758394758397</v>
      </c>
      <c r="Q54">
        <f t="shared" ref="Q54" si="246">F54*P54</f>
        <v>-339776.41891891899</v>
      </c>
      <c r="R54">
        <f t="shared" ref="R54" si="247">R55+Q54</f>
        <v>-22217087.837299235</v>
      </c>
      <c r="S54">
        <f t="shared" ref="S54" si="248">R54/100000</f>
        <v>-222.17087837299235</v>
      </c>
      <c r="T54">
        <f t="shared" ref="T54" si="249">S54/1000</f>
        <v>-0.22217087837299235</v>
      </c>
    </row>
    <row r="55" spans="1:20" x14ac:dyDescent="0.25">
      <c r="A55" s="5">
        <v>44538</v>
      </c>
      <c r="B55">
        <v>18.956</v>
      </c>
      <c r="C55">
        <v>22</v>
      </c>
      <c r="D55">
        <v>18.7</v>
      </c>
      <c r="E55">
        <v>21.349</v>
      </c>
      <c r="F55">
        <v>284511</v>
      </c>
      <c r="G55">
        <v>21.349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0.60545454545454569</v>
      </c>
      <c r="Q55">
        <f t="shared" ref="Q55" si="251">F55*P55</f>
        <v>172258.47818181824</v>
      </c>
      <c r="R55">
        <f t="shared" ref="R55" si="252">R56+Q55</f>
        <v>-21877311.418380316</v>
      </c>
      <c r="S55">
        <f t="shared" ref="S55" si="253">R55/100000</f>
        <v>-218.77311418380316</v>
      </c>
      <c r="T55">
        <f t="shared" ref="T55" si="254">S55/1000</f>
        <v>-0.21877311418380316</v>
      </c>
    </row>
    <row r="56" spans="1:20" x14ac:dyDescent="0.25">
      <c r="A56" s="5">
        <v>44537</v>
      </c>
      <c r="B56">
        <v>17.709</v>
      </c>
      <c r="C56">
        <v>19.777999999999999</v>
      </c>
      <c r="D56">
        <v>17.443999999999999</v>
      </c>
      <c r="E56">
        <v>18.931000000000001</v>
      </c>
      <c r="F56">
        <v>115161.1</v>
      </c>
      <c r="G56">
        <v>18.931000000000001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0.27420736932305234</v>
      </c>
      <c r="Q56">
        <f t="shared" ref="Q56" si="256">F56*P56</f>
        <v>31578.022279348963</v>
      </c>
      <c r="R56">
        <f t="shared" ref="R56" si="257">R57+Q56</f>
        <v>-22049569.896562133</v>
      </c>
      <c r="S56">
        <f t="shared" ref="S56" si="258">R56/100000</f>
        <v>-220.49569896562133</v>
      </c>
      <c r="T56">
        <f t="shared" ref="T56" si="259">S56/1000</f>
        <v>-0.22049569896562132</v>
      </c>
    </row>
    <row r="57" spans="1:20" x14ac:dyDescent="0.25">
      <c r="A57" s="5">
        <v>44536</v>
      </c>
      <c r="B57">
        <v>15.207000000000001</v>
      </c>
      <c r="C57">
        <v>19.295000000000002</v>
      </c>
      <c r="D57">
        <v>13.973000000000001</v>
      </c>
      <c r="E57">
        <v>17.71</v>
      </c>
      <c r="F57">
        <v>365970.2</v>
      </c>
      <c r="G57">
        <v>17.71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0.40435926343479872</v>
      </c>
      <c r="Q57">
        <f t="shared" ref="Q57" si="261">F57*P57</f>
        <v>147983.44051108597</v>
      </c>
      <c r="R57">
        <f t="shared" ref="R57" si="262">R58+Q57</f>
        <v>-22081147.918841481</v>
      </c>
      <c r="S57">
        <f t="shared" ref="S57" si="263">R57/100000</f>
        <v>-220.81147918841481</v>
      </c>
      <c r="T57">
        <f t="shared" ref="T57" si="264">S57/1000</f>
        <v>-0.22081147918841482</v>
      </c>
    </row>
    <row r="58" spans="1:20" x14ac:dyDescent="0.25">
      <c r="A58" s="5">
        <v>44535</v>
      </c>
      <c r="B58">
        <v>15.478</v>
      </c>
      <c r="C58">
        <v>15.999000000000001</v>
      </c>
      <c r="D58">
        <v>14.955</v>
      </c>
      <c r="E58">
        <v>15.207000000000001</v>
      </c>
      <c r="F58">
        <v>78771.399999999994</v>
      </c>
      <c r="G58">
        <v>15.207000000000001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-0.51724137931034375</v>
      </c>
      <c r="Q58">
        <f t="shared" ref="Q58" si="266">F58*P58</f>
        <v>-40743.827586206811</v>
      </c>
      <c r="R58">
        <f t="shared" ref="R58" si="267">R59+Q58</f>
        <v>-22229131.359352566</v>
      </c>
      <c r="S58">
        <f t="shared" ref="S58" si="268">R58/100000</f>
        <v>-222.29131359352567</v>
      </c>
      <c r="T58">
        <f t="shared" ref="T58" si="269">S58/1000</f>
        <v>-0.22229131359352566</v>
      </c>
    </row>
    <row r="59" spans="1:20" x14ac:dyDescent="0.25">
      <c r="A59" s="5">
        <v>44534</v>
      </c>
      <c r="B59">
        <v>16.373999999999999</v>
      </c>
      <c r="C59">
        <v>16.643999999999998</v>
      </c>
      <c r="D59">
        <v>13.285</v>
      </c>
      <c r="E59">
        <v>15.478999999999999</v>
      </c>
      <c r="F59">
        <v>124398.2</v>
      </c>
      <c r="G59">
        <v>15.478999999999999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0.30634117296814539</v>
      </c>
      <c r="Q59">
        <f t="shared" ref="Q59" si="271">F59*P59</f>
        <v>38108.290503125943</v>
      </c>
      <c r="R59">
        <f t="shared" ref="R59" si="272">R60+Q59</f>
        <v>-22188387.531766359</v>
      </c>
      <c r="S59">
        <f t="shared" ref="S59" si="273">R59/100000</f>
        <v>-221.88387531766358</v>
      </c>
      <c r="T59">
        <f t="shared" ref="T59" si="274">S59/1000</f>
        <v>-0.22188387531766357</v>
      </c>
    </row>
    <row r="60" spans="1:20" x14ac:dyDescent="0.25">
      <c r="A60" s="5">
        <v>44533</v>
      </c>
      <c r="B60">
        <v>17.369</v>
      </c>
      <c r="C60">
        <v>18.100000000000001</v>
      </c>
      <c r="D60">
        <v>15.999000000000001</v>
      </c>
      <c r="E60">
        <v>16.370999999999999</v>
      </c>
      <c r="F60">
        <v>127095.2</v>
      </c>
      <c r="G60">
        <v>16.370999999999999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-0.64588291289862165</v>
      </c>
      <c r="Q60">
        <f t="shared" ref="Q60" si="276">F60*P60</f>
        <v>-82088.617991432897</v>
      </c>
      <c r="R60">
        <f t="shared" ref="R60" si="277">R61+Q60</f>
        <v>-22226495.822269484</v>
      </c>
      <c r="S60">
        <f t="shared" ref="S60" si="278">R60/100000</f>
        <v>-222.26495822269484</v>
      </c>
      <c r="T60">
        <f t="shared" ref="T60" si="279">S60/1000</f>
        <v>-0.22226495822269485</v>
      </c>
    </row>
    <row r="61" spans="1:20" x14ac:dyDescent="0.25">
      <c r="A61" s="5">
        <v>44532</v>
      </c>
      <c r="B61">
        <v>17.919</v>
      </c>
      <c r="C61">
        <v>18.123999999999999</v>
      </c>
      <c r="D61">
        <v>17.303999999999998</v>
      </c>
      <c r="E61">
        <v>17.356000000000002</v>
      </c>
      <c r="F61">
        <v>58755</v>
      </c>
      <c r="G61">
        <v>17.356000000000002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-0.87317073170730941</v>
      </c>
      <c r="Q61">
        <f t="shared" ref="Q61" si="281">F61*P61</f>
        <v>-51303.146341462962</v>
      </c>
      <c r="R61">
        <f t="shared" ref="R61" si="282">R62+Q61</f>
        <v>-22144407.204278052</v>
      </c>
      <c r="S61">
        <f t="shared" ref="S61" si="283">R61/100000</f>
        <v>-221.4440720427805</v>
      </c>
      <c r="T61">
        <f t="shared" ref="T61" si="284">S61/1000</f>
        <v>-0.22144407204278049</v>
      </c>
    </row>
    <row r="62" spans="1:20" x14ac:dyDescent="0.25">
      <c r="A62" s="5">
        <v>44531</v>
      </c>
      <c r="B62">
        <v>17.867999999999999</v>
      </c>
      <c r="C62">
        <v>18.545000000000002</v>
      </c>
      <c r="D62">
        <v>17.718</v>
      </c>
      <c r="E62">
        <v>17.861999999999998</v>
      </c>
      <c r="F62">
        <v>50619.199999999997</v>
      </c>
      <c r="G62">
        <v>17.861999999999998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-0.65175332527207241</v>
      </c>
      <c r="Q62">
        <f t="shared" ref="Q62" si="286">F62*P62</f>
        <v>-32991.231922612089</v>
      </c>
      <c r="R62">
        <f t="shared" ref="R62" si="287">R63+Q62</f>
        <v>-22093104.05793659</v>
      </c>
      <c r="S62">
        <f t="shared" ref="S62" si="288">R62/100000</f>
        <v>-220.93104057936591</v>
      </c>
      <c r="T62">
        <f t="shared" ref="T62" si="289">S62/1000</f>
        <v>-0.22093104057936591</v>
      </c>
    </row>
    <row r="63" spans="1:20" x14ac:dyDescent="0.25">
      <c r="A63" s="5">
        <v>44530</v>
      </c>
      <c r="B63">
        <v>18.309000000000001</v>
      </c>
      <c r="C63">
        <v>18.928000000000001</v>
      </c>
      <c r="D63">
        <v>17.779</v>
      </c>
      <c r="E63">
        <v>17.834</v>
      </c>
      <c r="F63">
        <v>72288.600000000006</v>
      </c>
      <c r="G63">
        <v>17.834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-0.90426457789382131</v>
      </c>
      <c r="Q63">
        <f t="shared" ref="Q63" si="291">F63*P63</f>
        <v>-65368.020365535296</v>
      </c>
      <c r="R63">
        <f t="shared" ref="R63" si="292">R64+Q63</f>
        <v>-22060112.826013979</v>
      </c>
      <c r="S63">
        <f t="shared" ref="S63" si="293">R63/100000</f>
        <v>-220.60112826013977</v>
      </c>
      <c r="T63">
        <f t="shared" ref="T63" si="294">S63/1000</f>
        <v>-0.22060112826013978</v>
      </c>
    </row>
    <row r="64" spans="1:20" x14ac:dyDescent="0.25">
      <c r="A64" s="5">
        <v>44529</v>
      </c>
      <c r="B64">
        <v>17.744</v>
      </c>
      <c r="C64">
        <v>18.405999999999999</v>
      </c>
      <c r="D64">
        <v>17.2</v>
      </c>
      <c r="E64">
        <v>18.3</v>
      </c>
      <c r="F64">
        <v>59119.1</v>
      </c>
      <c r="G64">
        <v>18.3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0.82421227197346913</v>
      </c>
      <c r="Q64">
        <f t="shared" ref="Q64" si="296">F64*P64</f>
        <v>48726.687728026714</v>
      </c>
      <c r="R64">
        <f t="shared" ref="R64" si="297">R65+Q64</f>
        <v>-21994744.805648442</v>
      </c>
      <c r="S64">
        <f t="shared" ref="S64" si="298">R64/100000</f>
        <v>-219.94744805648443</v>
      </c>
      <c r="T64">
        <f t="shared" ref="T64" si="299">S64/1000</f>
        <v>-0.21994744805648445</v>
      </c>
    </row>
    <row r="65" spans="1:20" x14ac:dyDescent="0.25">
      <c r="A65" s="5">
        <v>44528</v>
      </c>
      <c r="B65">
        <v>17.654</v>
      </c>
      <c r="C65">
        <v>18.093</v>
      </c>
      <c r="D65">
        <v>16.917999999999999</v>
      </c>
      <c r="E65">
        <v>17.768999999999998</v>
      </c>
      <c r="F65">
        <v>79691.5</v>
      </c>
      <c r="G65">
        <v>17.768999999999998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0.44851063829786991</v>
      </c>
      <c r="Q65">
        <f t="shared" ref="Q65" si="301">F65*P65</f>
        <v>35742.485531914703</v>
      </c>
      <c r="R65">
        <f t="shared" ref="R65" si="302">R66+Q65</f>
        <v>-22043471.493376467</v>
      </c>
      <c r="S65">
        <f t="shared" ref="S65" si="303">R65/100000</f>
        <v>-220.43471493376467</v>
      </c>
      <c r="T65">
        <f t="shared" ref="T65" si="304">S65/1000</f>
        <v>-0.22043471493376468</v>
      </c>
    </row>
    <row r="66" spans="1:20" x14ac:dyDescent="0.25">
      <c r="A66" s="5">
        <v>44527</v>
      </c>
      <c r="B66">
        <v>17.492999999999999</v>
      </c>
      <c r="C66">
        <v>18.332000000000001</v>
      </c>
      <c r="D66">
        <v>17.445</v>
      </c>
      <c r="E66">
        <v>17.577999999999999</v>
      </c>
      <c r="F66">
        <v>87327.6</v>
      </c>
      <c r="G66">
        <v>17.577999999999999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-0.70011273957159181</v>
      </c>
      <c r="Q66">
        <f t="shared" ref="Q66" si="306">F66*P66</f>
        <v>-61139.165276212145</v>
      </c>
      <c r="R66">
        <f t="shared" ref="R66" si="307">R67+Q66</f>
        <v>-22079213.978908382</v>
      </c>
      <c r="S66">
        <f t="shared" ref="S66" si="308">R66/100000</f>
        <v>-220.79213978908382</v>
      </c>
      <c r="T66">
        <f t="shared" ref="T66" si="309">S66/1000</f>
        <v>-0.22079213978908382</v>
      </c>
    </row>
    <row r="67" spans="1:20" x14ac:dyDescent="0.25">
      <c r="A67" s="5">
        <v>44526</v>
      </c>
      <c r="B67">
        <v>18.914000000000001</v>
      </c>
      <c r="C67">
        <v>19.2</v>
      </c>
      <c r="D67">
        <v>17.298999999999999</v>
      </c>
      <c r="E67">
        <v>17.443999999999999</v>
      </c>
      <c r="F67">
        <v>118892.5</v>
      </c>
      <c r="G67">
        <v>17.443999999999999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-0.84744871120462961</v>
      </c>
      <c r="Q67">
        <f t="shared" ref="Q67" si="311">F67*P67</f>
        <v>-100755.29589689642</v>
      </c>
      <c r="R67">
        <f t="shared" ref="R67" si="312">R68+Q67</f>
        <v>-22018074.813632172</v>
      </c>
      <c r="S67">
        <f t="shared" ref="S67" si="313">R67/100000</f>
        <v>-220.18074813632171</v>
      </c>
      <c r="T67">
        <f t="shared" ref="T67" si="314">S67/1000</f>
        <v>-0.22018074813632171</v>
      </c>
    </row>
    <row r="68" spans="1:20" x14ac:dyDescent="0.25">
      <c r="A68" s="5">
        <v>44525</v>
      </c>
      <c r="B68">
        <v>18.664000000000001</v>
      </c>
      <c r="C68">
        <v>19.448</v>
      </c>
      <c r="D68">
        <v>18.242000000000001</v>
      </c>
      <c r="E68">
        <v>18.838999999999999</v>
      </c>
      <c r="F68">
        <v>71303.3</v>
      </c>
      <c r="G68">
        <v>18.838999999999999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-9.9502487562222325E-3</v>
      </c>
      <c r="Q68">
        <f t="shared" ref="Q68" si="316">F68*P68</f>
        <v>-709.48557213954075</v>
      </c>
      <c r="R68">
        <f t="shared" ref="R68" si="317">R69+Q68</f>
        <v>-21917319.517735276</v>
      </c>
      <c r="S68">
        <f t="shared" ref="S68" si="318">R68/100000</f>
        <v>-219.17319517735277</v>
      </c>
      <c r="T68">
        <f t="shared" ref="T68" si="319">S68/1000</f>
        <v>-0.21917319517735276</v>
      </c>
    </row>
    <row r="69" spans="1:20" x14ac:dyDescent="0.25">
      <c r="A69" s="5">
        <v>44524</v>
      </c>
      <c r="B69">
        <v>17.943999999999999</v>
      </c>
      <c r="C69">
        <v>18.646000000000001</v>
      </c>
      <c r="D69">
        <v>17.797999999999998</v>
      </c>
      <c r="E69">
        <v>18.641999999999999</v>
      </c>
      <c r="F69">
        <v>64015.1</v>
      </c>
      <c r="G69">
        <v>18.641999999999999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0.99056603773584595</v>
      </c>
      <c r="Q69">
        <f t="shared" ref="Q69" si="321">F69*P69</f>
        <v>63411.183962263953</v>
      </c>
      <c r="R69">
        <f t="shared" ref="R69" si="322">R70+Q69</f>
        <v>-21916610.032163136</v>
      </c>
      <c r="S69">
        <f t="shared" ref="S69" si="323">R69/100000</f>
        <v>-219.16610032163135</v>
      </c>
      <c r="T69">
        <f t="shared" ref="T69" si="324">S69/1000</f>
        <v>-0.21916610032163134</v>
      </c>
    </row>
    <row r="70" spans="1:20" x14ac:dyDescent="0.25">
      <c r="A70" s="5">
        <v>44523</v>
      </c>
      <c r="B70">
        <v>17.731000000000002</v>
      </c>
      <c r="C70">
        <v>18.084</v>
      </c>
      <c r="D70">
        <v>17.129000000000001</v>
      </c>
      <c r="E70">
        <v>17.905000000000001</v>
      </c>
      <c r="F70">
        <v>103433</v>
      </c>
      <c r="G70">
        <v>17.905000000000001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0.62513089005235856</v>
      </c>
      <c r="Q70">
        <f t="shared" ref="Q70" si="326">F70*P70</f>
        <v>64659.163350785602</v>
      </c>
      <c r="R70">
        <f t="shared" ref="R70" si="327">R71+Q70</f>
        <v>-21980021.216125399</v>
      </c>
      <c r="S70">
        <f t="shared" ref="S70" si="328">R70/100000</f>
        <v>-219.800212161254</v>
      </c>
      <c r="T70">
        <f t="shared" ref="T70" si="329">S70/1000</f>
        <v>-0.219800212161254</v>
      </c>
    </row>
    <row r="71" spans="1:20" x14ac:dyDescent="0.25">
      <c r="A71" s="5">
        <v>44522</v>
      </c>
      <c r="B71">
        <v>18.062999999999999</v>
      </c>
      <c r="C71">
        <v>18.483000000000001</v>
      </c>
      <c r="D71">
        <v>16.7</v>
      </c>
      <c r="E71">
        <v>17.677</v>
      </c>
      <c r="F71">
        <v>205664.3</v>
      </c>
      <c r="G71">
        <v>17.677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9.5905776780706262E-2</v>
      </c>
      <c r="Q71">
        <f t="shared" ref="Q71" si="331">F71*P71</f>
        <v>19724.394447560207</v>
      </c>
      <c r="R71">
        <f t="shared" ref="R71" si="332">R72+Q71</f>
        <v>-22044680.379476186</v>
      </c>
      <c r="S71">
        <f t="shared" ref="S71" si="333">R71/100000</f>
        <v>-220.44680379476185</v>
      </c>
      <c r="T71">
        <f t="shared" ref="T71" si="334">S71/1000</f>
        <v>-0.22044680379476184</v>
      </c>
    </row>
    <row r="72" spans="1:20" x14ac:dyDescent="0.25">
      <c r="A72" s="5">
        <v>44521</v>
      </c>
      <c r="B72">
        <v>19.088999999999999</v>
      </c>
      <c r="C72">
        <v>19.568999999999999</v>
      </c>
      <c r="D72">
        <v>18.026</v>
      </c>
      <c r="E72">
        <v>18.026</v>
      </c>
      <c r="F72">
        <v>76111.100000000006</v>
      </c>
      <c r="G72">
        <v>18.026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-1</v>
      </c>
      <c r="Q72">
        <f t="shared" ref="Q72" si="336">F72*P72</f>
        <v>-76111.100000000006</v>
      </c>
      <c r="R72">
        <f t="shared" ref="R72" si="337">R73+Q72</f>
        <v>-22064404.773923747</v>
      </c>
      <c r="S72">
        <f t="shared" ref="S72" si="338">R72/100000</f>
        <v>-220.64404773923746</v>
      </c>
      <c r="T72">
        <f t="shared" ref="T72" si="339">S72/1000</f>
        <v>-0.22064404773923746</v>
      </c>
    </row>
    <row r="73" spans="1:20" x14ac:dyDescent="0.25">
      <c r="A73" s="5">
        <v>44520</v>
      </c>
      <c r="B73">
        <v>19.791</v>
      </c>
      <c r="C73">
        <v>20.95</v>
      </c>
      <c r="D73">
        <v>19.018000000000001</v>
      </c>
      <c r="E73">
        <v>19.056999999999999</v>
      </c>
      <c r="F73">
        <v>210965.3</v>
      </c>
      <c r="G73">
        <v>19.056999999999999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-0.95962732919254867</v>
      </c>
      <c r="Q73">
        <f t="shared" ref="Q73" si="341">F73*P73</f>
        <v>-202448.06739130476</v>
      </c>
      <c r="R73">
        <f t="shared" ref="R73" si="342">R74+Q73</f>
        <v>-21988293.673923746</v>
      </c>
      <c r="S73">
        <f t="shared" ref="S73" si="343">R73/100000</f>
        <v>-219.88293673923746</v>
      </c>
      <c r="T73">
        <f t="shared" ref="T73" si="344">S73/1000</f>
        <v>-0.21988293673923748</v>
      </c>
    </row>
    <row r="74" spans="1:20" x14ac:dyDescent="0.25">
      <c r="A74" s="5">
        <v>44519</v>
      </c>
      <c r="B74">
        <v>16.442</v>
      </c>
      <c r="C74">
        <v>20.3</v>
      </c>
      <c r="D74">
        <v>15.7</v>
      </c>
      <c r="E74">
        <v>19.765999999999998</v>
      </c>
      <c r="F74">
        <v>362934.6</v>
      </c>
      <c r="G74">
        <v>19.765999999999998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0.76782608695652077</v>
      </c>
      <c r="Q74">
        <f t="shared" ref="Q74" si="346">F74*P74</f>
        <v>278670.65373913007</v>
      </c>
      <c r="R74">
        <f t="shared" ref="R74" si="347">R75+Q74</f>
        <v>-21785845.60653244</v>
      </c>
      <c r="S74">
        <f t="shared" ref="S74" si="348">R74/100000</f>
        <v>-217.85845606532439</v>
      </c>
      <c r="T74">
        <f t="shared" ref="T74" si="349">S74/1000</f>
        <v>-0.21785845606532439</v>
      </c>
    </row>
    <row r="75" spans="1:20" x14ac:dyDescent="0.25">
      <c r="A75" s="5">
        <v>44518</v>
      </c>
      <c r="B75">
        <v>17.742999999999999</v>
      </c>
      <c r="C75">
        <v>18.847999999999999</v>
      </c>
      <c r="D75">
        <v>15.736000000000001</v>
      </c>
      <c r="E75">
        <v>16.442</v>
      </c>
      <c r="F75">
        <v>294071.2</v>
      </c>
      <c r="G75">
        <v>16.442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-0.54627249357326479</v>
      </c>
      <c r="Q75">
        <f t="shared" ref="Q75" si="351">F75*P75</f>
        <v>-160643.00771208227</v>
      </c>
      <c r="R75">
        <f t="shared" ref="R75" si="352">R76+Q75</f>
        <v>-22064516.260271568</v>
      </c>
      <c r="S75">
        <f t="shared" ref="S75" si="353">R75/100000</f>
        <v>-220.64516260271569</v>
      </c>
      <c r="T75">
        <f t="shared" ref="T75" si="354">S75/1000</f>
        <v>-0.22064516260271569</v>
      </c>
    </row>
    <row r="76" spans="1:20" x14ac:dyDescent="0.25">
      <c r="A76" s="5">
        <v>44517</v>
      </c>
      <c r="B76">
        <v>17.202000000000002</v>
      </c>
      <c r="C76">
        <v>17.771000000000001</v>
      </c>
      <c r="D76">
        <v>16.204999999999998</v>
      </c>
      <c r="E76">
        <v>17.702999999999999</v>
      </c>
      <c r="F76">
        <v>164352.20000000001</v>
      </c>
      <c r="G76">
        <v>17.702999999999999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0.91315453384418732</v>
      </c>
      <c r="Q76">
        <f t="shared" ref="Q76" si="356">F76*P76</f>
        <v>150078.95657726665</v>
      </c>
      <c r="R76">
        <f t="shared" ref="R76" si="357">R77+Q76</f>
        <v>-21903873.252559487</v>
      </c>
      <c r="S76">
        <f t="shared" ref="S76" si="358">R76/100000</f>
        <v>-219.03873252559487</v>
      </c>
      <c r="T76">
        <f t="shared" ref="T76" si="359">S76/1000</f>
        <v>-0.21903873252559486</v>
      </c>
    </row>
    <row r="77" spans="1:20" x14ac:dyDescent="0.25">
      <c r="A77" s="5">
        <v>44516</v>
      </c>
      <c r="B77">
        <v>19.053000000000001</v>
      </c>
      <c r="C77">
        <v>19.184000000000001</v>
      </c>
      <c r="D77">
        <v>17.077999999999999</v>
      </c>
      <c r="E77">
        <v>17.199000000000002</v>
      </c>
      <c r="F77">
        <v>366687.8</v>
      </c>
      <c r="G77">
        <v>17.199000000000002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-0.88509021842354973</v>
      </c>
      <c r="Q77">
        <f t="shared" ref="Q77" si="361">F77*P77</f>
        <v>-324551.78499525093</v>
      </c>
      <c r="R77">
        <f t="shared" ref="R77" si="362">R78+Q77</f>
        <v>-22053952.209136754</v>
      </c>
      <c r="S77">
        <f t="shared" ref="S77" si="363">R77/100000</f>
        <v>-220.53952209136753</v>
      </c>
      <c r="T77">
        <f t="shared" ref="T77" si="364">S77/1000</f>
        <v>-0.22053952209136754</v>
      </c>
    </row>
    <row r="78" spans="1:20" x14ac:dyDescent="0.25">
      <c r="A78" s="5">
        <v>44515</v>
      </c>
      <c r="B78">
        <v>20.402000000000001</v>
      </c>
      <c r="C78">
        <v>22.314</v>
      </c>
      <c r="D78">
        <v>18.786000000000001</v>
      </c>
      <c r="E78">
        <v>19.117999999999999</v>
      </c>
      <c r="F78">
        <v>253072.5</v>
      </c>
      <c r="G78">
        <v>19.117999999999999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-0.81179138321995614</v>
      </c>
      <c r="Q78">
        <f t="shared" ref="Q78" si="366">F78*P78</f>
        <v>-205442.07482993236</v>
      </c>
      <c r="R78">
        <f t="shared" ref="R78" si="367">R79+Q78</f>
        <v>-21729400.424141504</v>
      </c>
      <c r="S78">
        <f t="shared" ref="S78" si="368">R78/100000</f>
        <v>-217.29400424141505</v>
      </c>
      <c r="T78">
        <f t="shared" ref="T78" si="369">S78/1000</f>
        <v>-0.21729400424141504</v>
      </c>
    </row>
    <row r="79" spans="1:20" x14ac:dyDescent="0.25">
      <c r="A79" s="5">
        <v>44514</v>
      </c>
      <c r="B79">
        <v>22.59</v>
      </c>
      <c r="C79">
        <v>22.800999999999998</v>
      </c>
      <c r="D79">
        <v>19.536999999999999</v>
      </c>
      <c r="E79">
        <v>20.402000000000001</v>
      </c>
      <c r="F79">
        <v>197079.4</v>
      </c>
      <c r="G79">
        <v>20.402000000000001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-0.46997549019607709</v>
      </c>
      <c r="Q79">
        <f t="shared" ref="Q79" si="371">F79*P79</f>
        <v>-92622.487622548753</v>
      </c>
      <c r="R79">
        <f t="shared" ref="R79" si="372">R80+Q79</f>
        <v>-21523958.349311572</v>
      </c>
      <c r="S79">
        <f t="shared" ref="S79" si="373">R79/100000</f>
        <v>-215.2395834931157</v>
      </c>
      <c r="T79">
        <f t="shared" ref="T79" si="374">S79/1000</f>
        <v>-0.2152395834931157</v>
      </c>
    </row>
    <row r="80" spans="1:20" x14ac:dyDescent="0.25">
      <c r="A80" s="5">
        <v>44513</v>
      </c>
      <c r="B80">
        <v>23.350999999999999</v>
      </c>
      <c r="C80">
        <v>23.521999999999998</v>
      </c>
      <c r="D80">
        <v>21.52</v>
      </c>
      <c r="E80">
        <v>22.568999999999999</v>
      </c>
      <c r="F80">
        <v>178914.5</v>
      </c>
      <c r="G80">
        <v>22.568999999999999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4.7952047952048021E-2</v>
      </c>
      <c r="Q80">
        <f t="shared" ref="Q80" si="376">F80*P80</f>
        <v>8579.3166833166961</v>
      </c>
      <c r="R80">
        <f t="shared" ref="R80" si="377">R81+Q80</f>
        <v>-21431335.861689024</v>
      </c>
      <c r="S80">
        <f t="shared" ref="S80" si="378">R80/100000</f>
        <v>-214.31335861689024</v>
      </c>
      <c r="T80">
        <f t="shared" ref="T80" si="379">S80/1000</f>
        <v>-0.21431335861689024</v>
      </c>
    </row>
    <row r="81" spans="1:20" x14ac:dyDescent="0.25">
      <c r="A81" s="5">
        <v>44512</v>
      </c>
      <c r="B81">
        <v>24.959</v>
      </c>
      <c r="C81">
        <v>27.498999999999999</v>
      </c>
      <c r="D81">
        <v>23.106999999999999</v>
      </c>
      <c r="E81">
        <v>23.225000000000001</v>
      </c>
      <c r="F81">
        <v>436172.49</v>
      </c>
      <c r="G81">
        <v>23.225000000000001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-0.94626593806921577</v>
      </c>
      <c r="Q81">
        <f t="shared" ref="Q81" si="381">F81*P81</f>
        <v>-412735.17040983564</v>
      </c>
      <c r="R81">
        <f t="shared" ref="R81" si="382">R82+Q81</f>
        <v>-21439915.178372342</v>
      </c>
      <c r="S81">
        <f t="shared" ref="S81" si="383">R81/100000</f>
        <v>-214.39915178372343</v>
      </c>
      <c r="T81">
        <f t="shared" ref="T81" si="384">S81/1000</f>
        <v>-0.21439915178372343</v>
      </c>
    </row>
    <row r="82" spans="1:20" x14ac:dyDescent="0.25">
      <c r="A82" s="5">
        <v>44511</v>
      </c>
      <c r="B82">
        <v>23.003</v>
      </c>
      <c r="C82">
        <v>25.998999999999999</v>
      </c>
      <c r="D82">
        <v>22.763999999999999</v>
      </c>
      <c r="E82">
        <v>24.991</v>
      </c>
      <c r="F82">
        <v>372916.6</v>
      </c>
      <c r="G82">
        <v>24.991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0.37681607418856305</v>
      </c>
      <c r="Q82">
        <f t="shared" ref="Q82" si="386">F82*P82</f>
        <v>140520.96921174668</v>
      </c>
      <c r="R82">
        <f t="shared" ref="R82" si="387">R83+Q82</f>
        <v>-21027180.007962506</v>
      </c>
      <c r="S82">
        <f t="shared" ref="S82" si="388">R82/100000</f>
        <v>-210.27180007962505</v>
      </c>
      <c r="T82">
        <f t="shared" ref="T82" si="389">S82/1000</f>
        <v>-0.21027180007962507</v>
      </c>
    </row>
    <row r="83" spans="1:20" x14ac:dyDescent="0.25">
      <c r="A83" s="5">
        <v>44510</v>
      </c>
      <c r="B83">
        <v>22.800999999999998</v>
      </c>
      <c r="C83">
        <v>25.998999999999999</v>
      </c>
      <c r="D83">
        <v>22.242000000000001</v>
      </c>
      <c r="E83">
        <v>23.045000000000002</v>
      </c>
      <c r="F83">
        <v>559243.75399999996</v>
      </c>
      <c r="G83">
        <v>23.045000000000002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-0.5725312749534196</v>
      </c>
      <c r="Q83">
        <f t="shared" ref="Q83" si="391">F83*P83</f>
        <v>-320184.53948735655</v>
      </c>
      <c r="R83">
        <f t="shared" ref="R83" si="392">R84+Q83</f>
        <v>-21167700.977174252</v>
      </c>
      <c r="S83">
        <f t="shared" ref="S83" si="393">R83/100000</f>
        <v>-211.67700977174252</v>
      </c>
      <c r="T83">
        <f t="shared" ref="T83" si="394">S83/1000</f>
        <v>-0.21167700977174253</v>
      </c>
    </row>
    <row r="84" spans="1:20" x14ac:dyDescent="0.25">
      <c r="A84" s="5">
        <v>44509</v>
      </c>
      <c r="B84">
        <v>22.954999999999998</v>
      </c>
      <c r="C84">
        <v>25.498999999999999</v>
      </c>
      <c r="D84">
        <v>22.591999999999999</v>
      </c>
      <c r="E84">
        <v>22.800999999999998</v>
      </c>
      <c r="F84">
        <v>568289.58600000001</v>
      </c>
      <c r="G84">
        <v>22.800999999999998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-0.85620915032679767</v>
      </c>
      <c r="Q84">
        <f t="shared" ref="Q84" si="396">F84*P84</f>
        <v>-486574.74356862763</v>
      </c>
      <c r="R84">
        <f t="shared" ref="R84" si="397">R85+Q84</f>
        <v>-20847516.437686894</v>
      </c>
      <c r="S84">
        <f t="shared" ref="S84" si="398">R84/100000</f>
        <v>-208.47516437686895</v>
      </c>
      <c r="T84">
        <f t="shared" ref="T84" si="399">S84/1000</f>
        <v>-0.20847516437686894</v>
      </c>
    </row>
    <row r="85" spans="1:20" x14ac:dyDescent="0.25">
      <c r="A85" s="5">
        <v>44508</v>
      </c>
      <c r="B85">
        <v>18.335000000000001</v>
      </c>
      <c r="C85">
        <v>23.547999999999998</v>
      </c>
      <c r="D85">
        <v>18</v>
      </c>
      <c r="E85">
        <v>22.954999999999998</v>
      </c>
      <c r="F85">
        <v>834701.59600000002</v>
      </c>
      <c r="G85">
        <v>22.954999999999998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0.78622927180966107</v>
      </c>
      <c r="Q85">
        <f t="shared" ref="Q85" si="401">F85*P85</f>
        <v>656266.8280014419</v>
      </c>
      <c r="R85">
        <f t="shared" ref="R85" si="402">R86+Q85</f>
        <v>-20360941.694118265</v>
      </c>
      <c r="S85">
        <f t="shared" ref="S85" si="403">R85/100000</f>
        <v>-203.60941694118264</v>
      </c>
      <c r="T85">
        <f t="shared" ref="T85" si="404">S85/1000</f>
        <v>-0.20360941694118265</v>
      </c>
    </row>
    <row r="86" spans="1:20" x14ac:dyDescent="0.25">
      <c r="A86" s="5">
        <v>44507</v>
      </c>
      <c r="B86">
        <v>18.050999999999998</v>
      </c>
      <c r="C86">
        <v>18.850000000000001</v>
      </c>
      <c r="D86">
        <v>17.690000000000001</v>
      </c>
      <c r="E86">
        <v>18.335000000000001</v>
      </c>
      <c r="F86">
        <v>125101.2</v>
      </c>
      <c r="G86">
        <v>18.335000000000001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0.11206896551724051</v>
      </c>
      <c r="Q86">
        <f t="shared" ref="Q86" si="406">F86*P86</f>
        <v>14019.962068965408</v>
      </c>
      <c r="R86">
        <f t="shared" ref="R86" si="407">R87+Q86</f>
        <v>-21017208.522119708</v>
      </c>
      <c r="S86">
        <f t="shared" ref="S86" si="408">R86/100000</f>
        <v>-210.17208522119708</v>
      </c>
      <c r="T86">
        <f t="shared" ref="T86" si="409">S86/1000</f>
        <v>-0.21017208522119707</v>
      </c>
    </row>
    <row r="87" spans="1:20" x14ac:dyDescent="0.25">
      <c r="A87" s="5">
        <v>44506</v>
      </c>
      <c r="B87">
        <v>16.309000000000001</v>
      </c>
      <c r="C87">
        <v>18.157</v>
      </c>
      <c r="D87">
        <v>16.238</v>
      </c>
      <c r="E87">
        <v>18.052</v>
      </c>
      <c r="F87">
        <v>158702.20000000001</v>
      </c>
      <c r="G87">
        <v>18.052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0.89056800416883752</v>
      </c>
      <c r="Q87">
        <f t="shared" ref="Q87" si="411">F87*P87</f>
        <v>141335.10151120368</v>
      </c>
      <c r="R87">
        <f t="shared" ref="R87" si="412">R88+Q87</f>
        <v>-21031228.484188672</v>
      </c>
      <c r="S87">
        <f t="shared" ref="S87" si="413">R87/100000</f>
        <v>-210.31228484188671</v>
      </c>
      <c r="T87">
        <f t="shared" ref="T87" si="414">S87/1000</f>
        <v>-0.21031228484188672</v>
      </c>
    </row>
    <row r="88" spans="1:20" x14ac:dyDescent="0.25">
      <c r="A88" s="5">
        <v>44505</v>
      </c>
      <c r="B88">
        <v>17.719000000000001</v>
      </c>
      <c r="C88">
        <v>17.879000000000001</v>
      </c>
      <c r="D88">
        <v>16.285</v>
      </c>
      <c r="E88">
        <v>16.286999999999999</v>
      </c>
      <c r="F88">
        <v>137036</v>
      </c>
      <c r="G88">
        <v>16.286999999999999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-0.99749058971141924</v>
      </c>
      <c r="Q88">
        <f t="shared" ref="Q88" si="416">F88*P88</f>
        <v>-136692.12045169403</v>
      </c>
      <c r="R88">
        <f t="shared" ref="R88" si="417">R89+Q88</f>
        <v>-21172563.585699875</v>
      </c>
      <c r="S88">
        <f t="shared" ref="S88" si="418">R88/100000</f>
        <v>-211.72563585699874</v>
      </c>
      <c r="T88">
        <f t="shared" ref="T88" si="419">S88/1000</f>
        <v>-0.21172563585699875</v>
      </c>
    </row>
    <row r="89" spans="1:20" x14ac:dyDescent="0.25">
      <c r="A89" s="5">
        <v>44504</v>
      </c>
      <c r="B89">
        <v>17.899999999999999</v>
      </c>
      <c r="C89">
        <v>20.597999999999999</v>
      </c>
      <c r="D89">
        <v>17.375</v>
      </c>
      <c r="E89">
        <v>17.692</v>
      </c>
      <c r="F89">
        <v>613730.26</v>
      </c>
      <c r="G89">
        <v>17.692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-0.80328886130933896</v>
      </c>
      <c r="Q89">
        <f t="shared" ref="Q89" si="421">F89*P89</f>
        <v>-493002.68170648452</v>
      </c>
      <c r="R89">
        <f t="shared" ref="R89" si="422">R90+Q89</f>
        <v>-21035871.465248182</v>
      </c>
      <c r="S89">
        <f t="shared" ref="S89" si="423">R89/100000</f>
        <v>-210.35871465248184</v>
      </c>
      <c r="T89">
        <f t="shared" ref="T89" si="424">S89/1000</f>
        <v>-0.21035871465248185</v>
      </c>
    </row>
    <row r="90" spans="1:20" x14ac:dyDescent="0.25">
      <c r="A90" s="5">
        <v>44503</v>
      </c>
      <c r="B90">
        <v>16.016999999999999</v>
      </c>
      <c r="C90">
        <v>18.21</v>
      </c>
      <c r="D90">
        <v>15.917999999999999</v>
      </c>
      <c r="E90">
        <v>17.904</v>
      </c>
      <c r="F90">
        <v>601088.77300000004</v>
      </c>
      <c r="G90">
        <v>17.904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0.73298429319371661</v>
      </c>
      <c r="Q90">
        <f t="shared" ref="Q90" si="426">F90*P90</f>
        <v>440588.6294240834</v>
      </c>
      <c r="R90">
        <f t="shared" ref="R90" si="427">R91+Q90</f>
        <v>-20542868.783541698</v>
      </c>
      <c r="S90">
        <f t="shared" ref="S90" si="428">R90/100000</f>
        <v>-205.42868783541698</v>
      </c>
      <c r="T90">
        <f t="shared" ref="T90" si="429">S90/1000</f>
        <v>-0.20542868783541698</v>
      </c>
    </row>
    <row r="91" spans="1:20" x14ac:dyDescent="0.25">
      <c r="A91" s="5">
        <v>44502</v>
      </c>
      <c r="B91">
        <v>14.009</v>
      </c>
      <c r="C91">
        <v>16.213999999999999</v>
      </c>
      <c r="D91">
        <v>13.865</v>
      </c>
      <c r="E91">
        <v>16.044</v>
      </c>
      <c r="F91">
        <v>388810.1</v>
      </c>
      <c r="G91">
        <v>16.044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0.8552575564069832</v>
      </c>
      <c r="Q91">
        <f t="shared" ref="Q91" si="431">F91*P91</f>
        <v>332532.77603235474</v>
      </c>
      <c r="R91">
        <f t="shared" ref="R91" si="432">R92+Q91</f>
        <v>-20983457.412965782</v>
      </c>
      <c r="S91">
        <f t="shared" ref="S91" si="433">R91/100000</f>
        <v>-209.83457412965782</v>
      </c>
      <c r="T91">
        <f t="shared" ref="T91" si="434">S91/1000</f>
        <v>-0.20983457412965784</v>
      </c>
    </row>
    <row r="92" spans="1:20" x14ac:dyDescent="0.25">
      <c r="A92" s="5">
        <v>44501</v>
      </c>
      <c r="B92">
        <v>13.928000000000001</v>
      </c>
      <c r="C92">
        <v>15.39</v>
      </c>
      <c r="D92">
        <v>13.409000000000001</v>
      </c>
      <c r="E92">
        <v>14.015000000000001</v>
      </c>
      <c r="F92">
        <v>468402.9</v>
      </c>
      <c r="G92">
        <v>14.015000000000001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-0.38818778394750136</v>
      </c>
      <c r="Q92">
        <f t="shared" ref="Q92" si="436">F92*P92</f>
        <v>-181828.28374558309</v>
      </c>
      <c r="R92">
        <f t="shared" ref="R92" si="437">R93+Q92</f>
        <v>-21315990.188998137</v>
      </c>
      <c r="S92">
        <f t="shared" ref="S92" si="438">R92/100000</f>
        <v>-213.15990188998137</v>
      </c>
      <c r="T92">
        <f t="shared" ref="T92" si="439">S92/1000</f>
        <v>-0.21315990188998138</v>
      </c>
    </row>
    <row r="93" spans="1:20" x14ac:dyDescent="0.25">
      <c r="A93" s="5">
        <v>44500</v>
      </c>
      <c r="B93">
        <v>12.686</v>
      </c>
      <c r="C93">
        <v>14.039</v>
      </c>
      <c r="D93">
        <v>12.590999999999999</v>
      </c>
      <c r="E93">
        <v>13.935</v>
      </c>
      <c r="F93">
        <v>312679.8</v>
      </c>
      <c r="G93">
        <v>13.935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0.85635359116022214</v>
      </c>
      <c r="Q93">
        <f t="shared" ref="Q93" si="441">F93*P93</f>
        <v>267764.46961326001</v>
      </c>
      <c r="R93">
        <f t="shared" ref="R93" si="442">R94+Q93</f>
        <v>-21134161.905252554</v>
      </c>
      <c r="S93">
        <f t="shared" ref="S93" si="443">R93/100000</f>
        <v>-211.34161905252554</v>
      </c>
      <c r="T93">
        <f t="shared" ref="T93" si="444">S93/1000</f>
        <v>-0.21134161905252555</v>
      </c>
    </row>
    <row r="94" spans="1:20" x14ac:dyDescent="0.25">
      <c r="A94" s="5">
        <v>44499</v>
      </c>
      <c r="B94">
        <v>13.497999999999999</v>
      </c>
      <c r="C94">
        <v>13.573</v>
      </c>
      <c r="D94">
        <v>12.667</v>
      </c>
      <c r="E94">
        <v>12.686</v>
      </c>
      <c r="F94">
        <v>200296</v>
      </c>
      <c r="G94">
        <v>12.686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-0.95805739514348764</v>
      </c>
      <c r="Q94">
        <f t="shared" ref="Q94" si="446">F94*P94</f>
        <v>-191895.06401766001</v>
      </c>
      <c r="R94">
        <f t="shared" ref="R94" si="447">R95+Q94</f>
        <v>-21401926.374865815</v>
      </c>
      <c r="S94">
        <f t="shared" ref="S94" si="448">R94/100000</f>
        <v>-214.01926374865815</v>
      </c>
      <c r="T94">
        <f t="shared" ref="T94" si="449">S94/1000</f>
        <v>-0.21401926374865815</v>
      </c>
    </row>
    <row r="95" spans="1:20" x14ac:dyDescent="0.25">
      <c r="A95" s="5">
        <v>44498</v>
      </c>
      <c r="B95">
        <v>14.741</v>
      </c>
      <c r="C95">
        <v>15.119</v>
      </c>
      <c r="D95">
        <v>13.37</v>
      </c>
      <c r="E95">
        <v>13.468</v>
      </c>
      <c r="F95">
        <v>669941.9</v>
      </c>
      <c r="G95">
        <v>13.468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-0.88793596340766068</v>
      </c>
      <c r="Q95">
        <f t="shared" ref="Q95" si="451">F95*P95</f>
        <v>-594865.50640365866</v>
      </c>
      <c r="R95">
        <f t="shared" ref="R95" si="452">R96+Q95</f>
        <v>-21210031.310848154</v>
      </c>
      <c r="S95">
        <f t="shared" ref="S95" si="453">R95/100000</f>
        <v>-212.10031310848154</v>
      </c>
      <c r="T95">
        <f t="shared" ref="T95" si="454">S95/1000</f>
        <v>-0.21210031310848154</v>
      </c>
    </row>
    <row r="96" spans="1:20" x14ac:dyDescent="0.25">
      <c r="A96" s="5">
        <v>44497</v>
      </c>
      <c r="B96">
        <v>13.412000000000001</v>
      </c>
      <c r="C96">
        <v>16.600000000000001</v>
      </c>
      <c r="D96">
        <v>13.401</v>
      </c>
      <c r="E96">
        <v>14.741</v>
      </c>
      <c r="F96">
        <v>2210053.9</v>
      </c>
      <c r="G96">
        <v>14.741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-0.16223819943732468</v>
      </c>
      <c r="Q96">
        <f t="shared" ref="Q96" si="456">F96*P96</f>
        <v>-358555.16539543722</v>
      </c>
      <c r="R96">
        <f t="shared" ref="R96" si="457">R97+Q96</f>
        <v>-20615165.804444496</v>
      </c>
      <c r="S96">
        <f t="shared" ref="S96" si="458">R96/100000</f>
        <v>-206.15165804444496</v>
      </c>
      <c r="T96">
        <f t="shared" ref="T96" si="459">S96/1000</f>
        <v>-0.20615165804444496</v>
      </c>
    </row>
    <row r="97" spans="1:20" x14ac:dyDescent="0.25">
      <c r="A97" s="5">
        <v>44496</v>
      </c>
      <c r="B97">
        <v>11.516999999999999</v>
      </c>
      <c r="C97">
        <v>14.391</v>
      </c>
      <c r="D97">
        <v>9.8149999999999995</v>
      </c>
      <c r="E97">
        <v>13.403</v>
      </c>
      <c r="F97">
        <v>2181080.5</v>
      </c>
      <c r="G97">
        <v>13.403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0.56818181818181845</v>
      </c>
      <c r="Q97">
        <f t="shared" ref="Q97" si="461">F97*P97</f>
        <v>1239250.2840909096</v>
      </c>
      <c r="R97">
        <f t="shared" ref="R97" si="462">R98+Q97</f>
        <v>-20256610.639049057</v>
      </c>
      <c r="S97">
        <f t="shared" ref="S97" si="463">R97/100000</f>
        <v>-202.56610639049057</v>
      </c>
      <c r="T97">
        <f t="shared" ref="T97" si="464">S97/1000</f>
        <v>-0.20256610639049058</v>
      </c>
    </row>
    <row r="98" spans="1:20" x14ac:dyDescent="0.25">
      <c r="A98" s="5">
        <v>44495</v>
      </c>
      <c r="B98">
        <v>10.430999999999999</v>
      </c>
      <c r="C98">
        <v>16.664999999999999</v>
      </c>
      <c r="D98">
        <v>10.4</v>
      </c>
      <c r="E98">
        <v>11.504</v>
      </c>
      <c r="F98">
        <v>9694556.3210000005</v>
      </c>
      <c r="G98">
        <v>11.504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-0.64756584197924993</v>
      </c>
      <c r="Q98">
        <f t="shared" ref="Q98" si="466">F98*P98</f>
        <v>-6277863.5266236253</v>
      </c>
      <c r="R98">
        <f t="shared" ref="R98" si="467">R99+Q98</f>
        <v>-21495860.923139967</v>
      </c>
      <c r="S98">
        <f t="shared" ref="S98" si="468">R98/100000</f>
        <v>-214.95860923139966</v>
      </c>
      <c r="T98">
        <f t="shared" ref="T98" si="469">S98/1000</f>
        <v>-0.21495860923139967</v>
      </c>
    </row>
    <row r="99" spans="1:20" x14ac:dyDescent="0.25">
      <c r="A99" s="5">
        <v>44494</v>
      </c>
      <c r="B99">
        <v>7.101</v>
      </c>
      <c r="C99">
        <v>10.654</v>
      </c>
      <c r="D99">
        <v>7.0819999999999999</v>
      </c>
      <c r="E99">
        <v>10.430999999999999</v>
      </c>
      <c r="F99">
        <v>4521412.24</v>
      </c>
      <c r="G99">
        <v>10.430999999999999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0.87513997760358297</v>
      </c>
      <c r="Q99">
        <f t="shared" ref="Q99" si="471">F99*P99</f>
        <v>3956868.6064501661</v>
      </c>
      <c r="R99">
        <f t="shared" ref="R99" si="472">R100+Q99</f>
        <v>-15217997.396516342</v>
      </c>
      <c r="S99">
        <f t="shared" ref="S99" si="473">R99/100000</f>
        <v>-152.17997396516341</v>
      </c>
      <c r="T99">
        <f t="shared" ref="T99" si="474">S99/1000</f>
        <v>-0.15217997396516342</v>
      </c>
    </row>
    <row r="100" spans="1:20" x14ac:dyDescent="0.25">
      <c r="A100" s="5">
        <v>44493</v>
      </c>
      <c r="B100">
        <v>7.1239999999999997</v>
      </c>
      <c r="C100">
        <v>7.78</v>
      </c>
      <c r="D100">
        <v>6.9489999999999998</v>
      </c>
      <c r="E100">
        <v>7.1139999999999999</v>
      </c>
      <c r="F100">
        <v>680074.1</v>
      </c>
      <c r="G100">
        <v>7.1139999999999999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-0.60288808664259941</v>
      </c>
      <c r="Q100">
        <f t="shared" ref="Q100" si="476">F100*P100</f>
        <v>-410008.57292418781</v>
      </c>
      <c r="R100">
        <f t="shared" ref="R100" si="477">R101+Q100</f>
        <v>-19174866.002966508</v>
      </c>
      <c r="S100">
        <f t="shared" ref="S100" si="478">R100/100000</f>
        <v>-191.74866002966507</v>
      </c>
      <c r="T100">
        <f t="shared" ref="T100" si="479">S100/1000</f>
        <v>-0.19174866002966506</v>
      </c>
    </row>
    <row r="101" spans="1:20" x14ac:dyDescent="0.25">
      <c r="A101" s="5">
        <v>44492</v>
      </c>
      <c r="B101">
        <v>6.6070000000000002</v>
      </c>
      <c r="C101">
        <v>7.5</v>
      </c>
      <c r="D101">
        <v>6.5469999999999997</v>
      </c>
      <c r="E101">
        <v>7.1379999999999999</v>
      </c>
      <c r="F101">
        <v>357351.4</v>
      </c>
      <c r="G101">
        <v>7.1379999999999999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0.24029380902413433</v>
      </c>
      <c r="Q101">
        <f t="shared" ref="Q101" si="481">F101*P101</f>
        <v>85869.32906610705</v>
      </c>
      <c r="R101">
        <f t="shared" ref="R101" si="482">R102+Q101</f>
        <v>-18764857.430042319</v>
      </c>
      <c r="S101">
        <f t="shared" ref="S101" si="483">R101/100000</f>
        <v>-187.64857430042318</v>
      </c>
      <c r="T101">
        <f t="shared" ref="T101" si="484">S101/1000</f>
        <v>-0.18764857430042317</v>
      </c>
    </row>
    <row r="102" spans="1:20" x14ac:dyDescent="0.25">
      <c r="A102" s="5">
        <v>44491</v>
      </c>
      <c r="B102">
        <v>6.5039999999999996</v>
      </c>
      <c r="C102">
        <v>6.6890000000000001</v>
      </c>
      <c r="D102">
        <v>6.3789999999999996</v>
      </c>
      <c r="E102">
        <v>6.6150000000000002</v>
      </c>
      <c r="F102">
        <v>324453.5</v>
      </c>
      <c r="G102">
        <v>6.6150000000000002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0.5225806451612921</v>
      </c>
      <c r="Q102">
        <f t="shared" ref="Q102" si="486">F102*P102</f>
        <v>169553.11935483929</v>
      </c>
      <c r="R102">
        <f t="shared" ref="R102" si="487">R103+Q102</f>
        <v>-18850726.759108424</v>
      </c>
      <c r="S102">
        <f t="shared" ref="S102" si="488">R102/100000</f>
        <v>-188.50726759108423</v>
      </c>
      <c r="T102">
        <f t="shared" ref="T102" si="489">S102/1000</f>
        <v>-0.18850726759108422</v>
      </c>
    </row>
    <row r="103" spans="1:20" x14ac:dyDescent="0.25">
      <c r="A103" s="5">
        <v>44490</v>
      </c>
      <c r="B103">
        <v>5.6909999999999998</v>
      </c>
      <c r="C103">
        <v>8.0749999999999993</v>
      </c>
      <c r="D103">
        <v>5.6909999999999998</v>
      </c>
      <c r="E103">
        <v>6.5060000000000002</v>
      </c>
      <c r="F103">
        <v>2604034.6</v>
      </c>
      <c r="G103">
        <v>6.5060000000000002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-0.3162751677852344</v>
      </c>
      <c r="Q103">
        <f t="shared" ref="Q103" si="491">F103*P103</f>
        <v>-823591.48003355577</v>
      </c>
      <c r="R103">
        <f t="shared" ref="R103" si="492">R104+Q103</f>
        <v>-19020279.878463265</v>
      </c>
      <c r="S103">
        <f t="shared" ref="S103" si="493">R103/100000</f>
        <v>-190.20279878463265</v>
      </c>
      <c r="T103">
        <f t="shared" ref="T103" si="494">S103/1000</f>
        <v>-0.19020279878463264</v>
      </c>
    </row>
    <row r="104" spans="1:20" x14ac:dyDescent="0.25">
      <c r="A104" s="5">
        <v>44489</v>
      </c>
      <c r="B104">
        <v>5.6909999999999998</v>
      </c>
      <c r="C104">
        <v>5.7939999999999996</v>
      </c>
      <c r="D104">
        <v>5.4290000000000003</v>
      </c>
      <c r="E104">
        <v>5.7</v>
      </c>
      <c r="F104">
        <v>280618.2</v>
      </c>
      <c r="G104">
        <v>5.7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0.4849315068493173</v>
      </c>
      <c r="Q104">
        <f t="shared" ref="Q104" si="496">F104*P104</f>
        <v>136080.60657534309</v>
      </c>
      <c r="R104">
        <f t="shared" ref="R104" si="497">R105+Q104</f>
        <v>-18196688.39842971</v>
      </c>
      <c r="S104">
        <f t="shared" ref="S104" si="498">R104/100000</f>
        <v>-181.96688398429711</v>
      </c>
      <c r="T104">
        <f t="shared" ref="T104" si="499">S104/1000</f>
        <v>-0.18196688398429711</v>
      </c>
    </row>
    <row r="105" spans="1:20" x14ac:dyDescent="0.25">
      <c r="A105" s="5">
        <v>44488</v>
      </c>
      <c r="B105">
        <v>6.2270000000000003</v>
      </c>
      <c r="C105">
        <v>6.2439999999999998</v>
      </c>
      <c r="D105">
        <v>5.6</v>
      </c>
      <c r="E105">
        <v>5.6790000000000003</v>
      </c>
      <c r="F105">
        <v>295094.2</v>
      </c>
      <c r="G105">
        <v>5.6790000000000003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-0.75465838509316585</v>
      </c>
      <c r="Q105">
        <f t="shared" ref="Q105" si="501">F105*P105</f>
        <v>-222695.31242235971</v>
      </c>
      <c r="R105">
        <f t="shared" ref="R105" si="502">R106+Q105</f>
        <v>-18332769.005005054</v>
      </c>
      <c r="S105">
        <f t="shared" ref="S105" si="503">R105/100000</f>
        <v>-183.32769005005053</v>
      </c>
      <c r="T105">
        <f t="shared" ref="T105" si="504">S105/1000</f>
        <v>-0.18332769005005053</v>
      </c>
    </row>
    <row r="106" spans="1:20" x14ac:dyDescent="0.25">
      <c r="A106" s="5">
        <v>44487</v>
      </c>
      <c r="B106">
        <v>6.1849999999999996</v>
      </c>
      <c r="C106">
        <v>6.5490000000000004</v>
      </c>
      <c r="D106">
        <v>6.173</v>
      </c>
      <c r="E106">
        <v>6.2190000000000003</v>
      </c>
      <c r="F106">
        <v>262152.90000000002</v>
      </c>
      <c r="G106">
        <v>6.2190000000000003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-0.75531914893616903</v>
      </c>
      <c r="Q106">
        <f t="shared" ref="Q106" si="506">F106*P106</f>
        <v>-198009.10531914866</v>
      </c>
      <c r="R106">
        <f t="shared" ref="R106" si="507">R107+Q106</f>
        <v>-18110073.692582693</v>
      </c>
      <c r="S106">
        <f t="shared" ref="S106" si="508">R106/100000</f>
        <v>-181.10073692582694</v>
      </c>
      <c r="T106">
        <f t="shared" ref="T106" si="509">S106/1000</f>
        <v>-0.18110073692582693</v>
      </c>
    </row>
    <row r="107" spans="1:20" x14ac:dyDescent="0.25">
      <c r="A107" s="5">
        <v>44486</v>
      </c>
      <c r="B107">
        <v>6.1989999999999998</v>
      </c>
      <c r="C107">
        <v>6.4020000000000001</v>
      </c>
      <c r="D107">
        <v>6.125</v>
      </c>
      <c r="E107">
        <v>6.1989999999999998</v>
      </c>
      <c r="F107">
        <v>131515.20000000001</v>
      </c>
      <c r="G107">
        <v>6.1989999999999998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-0.46570397111913497</v>
      </c>
      <c r="Q107">
        <f t="shared" ref="Q107" si="511">F107*P107</f>
        <v>-61247.150902527268</v>
      </c>
      <c r="R107">
        <f t="shared" ref="R107" si="512">R108+Q107</f>
        <v>-17912064.587263543</v>
      </c>
      <c r="S107">
        <f t="shared" ref="S107" si="513">R107/100000</f>
        <v>-179.12064587263544</v>
      </c>
      <c r="T107">
        <f t="shared" ref="T107" si="514">S107/1000</f>
        <v>-0.17912064587263543</v>
      </c>
    </row>
    <row r="108" spans="1:20" x14ac:dyDescent="0.25">
      <c r="A108" s="5">
        <v>44485</v>
      </c>
      <c r="B108">
        <v>6.2460000000000004</v>
      </c>
      <c r="C108">
        <v>6.3940000000000001</v>
      </c>
      <c r="D108">
        <v>6.1230000000000002</v>
      </c>
      <c r="E108">
        <v>6.1989999999999998</v>
      </c>
      <c r="F108">
        <v>125378.1</v>
      </c>
      <c r="G108">
        <v>6.1989999999999998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-0.43911439114391404</v>
      </c>
      <c r="Q108">
        <f t="shared" ref="Q108" si="516">F108*P108</f>
        <v>-55055.328044280774</v>
      </c>
      <c r="R108">
        <f t="shared" ref="R108" si="517">R109+Q108</f>
        <v>-17850817.436361015</v>
      </c>
      <c r="S108">
        <f t="shared" ref="S108" si="518">R108/100000</f>
        <v>-178.50817436361015</v>
      </c>
      <c r="T108">
        <f t="shared" ref="T108" si="519">S108/1000</f>
        <v>-0.17850817436361016</v>
      </c>
    </row>
    <row r="109" spans="1:20" x14ac:dyDescent="0.25">
      <c r="A109" s="5">
        <v>44484</v>
      </c>
      <c r="B109">
        <v>6.5129999999999999</v>
      </c>
      <c r="C109">
        <v>6.6420000000000003</v>
      </c>
      <c r="D109">
        <v>6.242</v>
      </c>
      <c r="E109">
        <v>6.25</v>
      </c>
      <c r="F109">
        <v>186078.2</v>
      </c>
      <c r="G109">
        <v>6.25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-0.96</v>
      </c>
      <c r="Q109">
        <f t="shared" ref="Q109" si="521">F109*P109</f>
        <v>-178635.07200000001</v>
      </c>
      <c r="R109">
        <f t="shared" ref="R109" si="522">R110+Q109</f>
        <v>-17795762.108316734</v>
      </c>
      <c r="S109">
        <f t="shared" ref="S109" si="523">R109/100000</f>
        <v>-177.95762108316734</v>
      </c>
      <c r="T109">
        <f t="shared" ref="T109" si="524">S109/1000</f>
        <v>-0.17795762108316734</v>
      </c>
    </row>
    <row r="110" spans="1:20" x14ac:dyDescent="0.25">
      <c r="A110" s="5">
        <v>44483</v>
      </c>
      <c r="B110">
        <v>6.835</v>
      </c>
      <c r="C110">
        <v>6.8440000000000003</v>
      </c>
      <c r="D110">
        <v>6.4509999999999996</v>
      </c>
      <c r="E110">
        <v>6.5279999999999996</v>
      </c>
      <c r="F110">
        <v>356287.5</v>
      </c>
      <c r="G110">
        <v>6.5279999999999996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-0.60814249363867778</v>
      </c>
      <c r="Q110">
        <f t="shared" ref="Q110" si="526">F110*P110</f>
        <v>-216673.56870229042</v>
      </c>
      <c r="R110">
        <f t="shared" ref="R110" si="527">R111+Q110</f>
        <v>-17617127.036316734</v>
      </c>
      <c r="S110">
        <f t="shared" ref="S110" si="528">R110/100000</f>
        <v>-176.17127036316734</v>
      </c>
      <c r="T110">
        <f t="shared" ref="T110" si="529">S110/1000</f>
        <v>-0.17617127036316735</v>
      </c>
    </row>
    <row r="111" spans="1:20" x14ac:dyDescent="0.25">
      <c r="A111" s="5">
        <v>44482</v>
      </c>
      <c r="B111">
        <v>7.141</v>
      </c>
      <c r="C111">
        <v>7.4</v>
      </c>
      <c r="D111">
        <v>6.78</v>
      </c>
      <c r="E111">
        <v>6.8330000000000002</v>
      </c>
      <c r="F111">
        <v>869967.5</v>
      </c>
      <c r="G111">
        <v>6.8330000000000002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-0.82903225806451641</v>
      </c>
      <c r="Q111">
        <f t="shared" ref="Q111" si="531">F111*P111</f>
        <v>-721231.12096774217</v>
      </c>
      <c r="R111">
        <f t="shared" ref="R111" si="532">R112+Q111</f>
        <v>-17400453.467614442</v>
      </c>
      <c r="S111">
        <f t="shared" ref="S111" si="533">R111/100000</f>
        <v>-174.00453467614443</v>
      </c>
      <c r="T111">
        <f t="shared" ref="T111" si="534">S111/1000</f>
        <v>-0.17400453467614443</v>
      </c>
    </row>
    <row r="112" spans="1:20" x14ac:dyDescent="0.25">
      <c r="A112" s="5">
        <v>44481</v>
      </c>
      <c r="B112">
        <v>6.0549999999999997</v>
      </c>
      <c r="C112">
        <v>7.7469999999999999</v>
      </c>
      <c r="D112">
        <v>5.9939999999999998</v>
      </c>
      <c r="E112">
        <v>7.13</v>
      </c>
      <c r="F112">
        <v>2678267.7999999998</v>
      </c>
      <c r="G112">
        <v>7.13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0.29606389047347409</v>
      </c>
      <c r="Q112">
        <f t="shared" ref="Q112" si="536">F112*P112</f>
        <v>792938.38459783234</v>
      </c>
      <c r="R112">
        <f t="shared" ref="R112" si="537">R113+Q112</f>
        <v>-16679222.346646698</v>
      </c>
      <c r="S112">
        <f t="shared" ref="S112" si="538">R112/100000</f>
        <v>-166.79222346646699</v>
      </c>
      <c r="T112">
        <f t="shared" ref="T112" si="539">S112/1000</f>
        <v>-0.16679222346646699</v>
      </c>
    </row>
    <row r="113" spans="1:20" x14ac:dyDescent="0.25">
      <c r="A113" s="5">
        <v>44480</v>
      </c>
      <c r="B113">
        <v>5.5949999999999998</v>
      </c>
      <c r="C113">
        <v>6.68</v>
      </c>
      <c r="D113">
        <v>5.5330000000000004</v>
      </c>
      <c r="E113">
        <v>6.06</v>
      </c>
      <c r="F113">
        <v>741306.8</v>
      </c>
      <c r="G113">
        <v>6.06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-8.1081081081081877E-2</v>
      </c>
      <c r="Q113">
        <f t="shared" ref="Q113" si="541">F113*P113</f>
        <v>-60105.956756757347</v>
      </c>
      <c r="R113">
        <f t="shared" ref="R113" si="542">R114+Q113</f>
        <v>-17472160.731244531</v>
      </c>
      <c r="S113">
        <f t="shared" ref="S113" si="543">R113/100000</f>
        <v>-174.72160731244531</v>
      </c>
      <c r="T113">
        <f t="shared" ref="T113" si="544">S113/1000</f>
        <v>-0.17472160731244532</v>
      </c>
    </row>
    <row r="114" spans="1:20" x14ac:dyDescent="0.25">
      <c r="A114" s="5">
        <v>44479</v>
      </c>
      <c r="B114">
        <v>5.532</v>
      </c>
      <c r="C114">
        <v>5.74</v>
      </c>
      <c r="D114">
        <v>5.5039999999999996</v>
      </c>
      <c r="E114">
        <v>5.59</v>
      </c>
      <c r="F114">
        <v>225403.6</v>
      </c>
      <c r="G114">
        <v>5.59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-0.2711864406779656</v>
      </c>
      <c r="Q114">
        <f t="shared" ref="Q114" si="546">F114*P114</f>
        <v>-61126.399999999892</v>
      </c>
      <c r="R114">
        <f t="shared" ref="R114" si="547">R115+Q114</f>
        <v>-17412054.774487775</v>
      </c>
      <c r="S114">
        <f t="shared" ref="S114" si="548">R114/100000</f>
        <v>-174.12054774487774</v>
      </c>
      <c r="T114">
        <f t="shared" ref="T114" si="549">S114/1000</f>
        <v>-0.17412054774487773</v>
      </c>
    </row>
    <row r="115" spans="1:20" x14ac:dyDescent="0.25">
      <c r="A115" s="5">
        <v>44478</v>
      </c>
      <c r="B115">
        <v>5.5279999999999996</v>
      </c>
      <c r="C115">
        <v>6.2430000000000003</v>
      </c>
      <c r="D115">
        <v>5.48</v>
      </c>
      <c r="E115">
        <v>5.53</v>
      </c>
      <c r="F115">
        <v>1196545.3</v>
      </c>
      <c r="G115">
        <v>5.53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-0.86893840104849329</v>
      </c>
      <c r="Q115">
        <f t="shared" ref="Q115" si="551">F115*P115</f>
        <v>-1039724.1597640897</v>
      </c>
      <c r="R115">
        <f t="shared" ref="R115" si="552">R116+Q115</f>
        <v>-17350928.374487776</v>
      </c>
      <c r="S115">
        <f t="shared" ref="S115" si="553">R115/100000</f>
        <v>-173.50928374487776</v>
      </c>
      <c r="T115">
        <f t="shared" ref="T115" si="554">S115/1000</f>
        <v>-0.17350928374487776</v>
      </c>
    </row>
    <row r="116" spans="1:20" x14ac:dyDescent="0.25">
      <c r="A116" s="5">
        <v>44477</v>
      </c>
      <c r="B116">
        <v>4.9249999999999998</v>
      </c>
      <c r="C116">
        <v>5.85</v>
      </c>
      <c r="D116">
        <v>4.883</v>
      </c>
      <c r="E116">
        <v>5.5439999999999996</v>
      </c>
      <c r="F116">
        <v>1024724.3</v>
      </c>
      <c r="G116">
        <v>5.5439999999999996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0.36711478800413616</v>
      </c>
      <c r="Q116">
        <f t="shared" ref="Q116" si="556">F116*P116</f>
        <v>376191.44415718684</v>
      </c>
      <c r="R116">
        <f t="shared" ref="R116" si="557">R117+Q116</f>
        <v>-16311204.214723686</v>
      </c>
      <c r="S116">
        <f t="shared" ref="S116" si="558">R116/100000</f>
        <v>-163.11204214723685</v>
      </c>
      <c r="T116">
        <f t="shared" ref="T116" si="559">S116/1000</f>
        <v>-0.16311204214723685</v>
      </c>
    </row>
    <row r="117" spans="1:20" x14ac:dyDescent="0.25">
      <c r="A117" s="5">
        <v>44476</v>
      </c>
      <c r="B117">
        <v>4.7530000000000001</v>
      </c>
      <c r="C117">
        <v>5.9349999999999996</v>
      </c>
      <c r="D117">
        <v>4.6360000000000001</v>
      </c>
      <c r="E117">
        <v>4.923</v>
      </c>
      <c r="F117">
        <v>1163315</v>
      </c>
      <c r="G117">
        <v>4.923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-0.55812163202463427</v>
      </c>
      <c r="Q117">
        <f t="shared" ref="Q117" si="561">F117*P117</f>
        <v>-649271.26635873737</v>
      </c>
      <c r="R117">
        <f t="shared" ref="R117" si="562">R118+Q117</f>
        <v>-16687395.658880873</v>
      </c>
      <c r="S117">
        <f t="shared" ref="S117" si="563">R117/100000</f>
        <v>-166.87395658880874</v>
      </c>
      <c r="T117">
        <f t="shared" ref="T117" si="564">S117/1000</f>
        <v>-0.16687395658880874</v>
      </c>
    </row>
    <row r="118" spans="1:20" x14ac:dyDescent="0.25">
      <c r="A118" s="5">
        <v>44475</v>
      </c>
      <c r="B118">
        <v>4.6340000000000003</v>
      </c>
      <c r="C118">
        <v>4.7699999999999996</v>
      </c>
      <c r="D118">
        <v>4.5209999999999999</v>
      </c>
      <c r="E118">
        <v>4.7530000000000001</v>
      </c>
      <c r="F118">
        <v>245884.3</v>
      </c>
      <c r="G118">
        <v>4.7530000000000001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0.86345381526104836</v>
      </c>
      <c r="Q118">
        <f t="shared" ref="Q118" si="566">F118*P118</f>
        <v>212309.73694779217</v>
      </c>
      <c r="R118">
        <f t="shared" ref="R118" si="567">R119+Q118</f>
        <v>-16038124.392522136</v>
      </c>
      <c r="S118">
        <f t="shared" ref="S118" si="568">R118/100000</f>
        <v>-160.38124392522136</v>
      </c>
      <c r="T118">
        <f t="shared" ref="T118" si="569">S118/1000</f>
        <v>-0.16038124392522135</v>
      </c>
    </row>
    <row r="119" spans="1:20" x14ac:dyDescent="0.25">
      <c r="A119" s="5">
        <v>44474</v>
      </c>
      <c r="B119">
        <v>4.72</v>
      </c>
      <c r="C119">
        <v>4.8090000000000002</v>
      </c>
      <c r="D119">
        <v>4.5750000000000002</v>
      </c>
      <c r="E119">
        <v>4.633</v>
      </c>
      <c r="F119">
        <v>227517</v>
      </c>
      <c r="G119">
        <v>4.633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-0.5042735042735057</v>
      </c>
      <c r="Q119">
        <f t="shared" ref="Q119" si="571">F119*P119</f>
        <v>-114730.79487179519</v>
      </c>
      <c r="R119">
        <f t="shared" ref="R119" si="572">R120+Q119</f>
        <v>-16250434.129469927</v>
      </c>
      <c r="S119">
        <f t="shared" ref="S119" si="573">R119/100000</f>
        <v>-162.50434129469929</v>
      </c>
      <c r="T119">
        <f t="shared" ref="T119" si="574">S119/1000</f>
        <v>-0.16250434129469929</v>
      </c>
    </row>
    <row r="120" spans="1:20" x14ac:dyDescent="0.25">
      <c r="A120" s="5">
        <v>44473</v>
      </c>
      <c r="B120">
        <v>4.6159999999999997</v>
      </c>
      <c r="C120">
        <v>4.859</v>
      </c>
      <c r="D120">
        <v>4.5720000000000001</v>
      </c>
      <c r="E120">
        <v>4.7380000000000004</v>
      </c>
      <c r="F120">
        <v>485673.8</v>
      </c>
      <c r="G120">
        <v>4.7380000000000004</v>
      </c>
      <c r="L120" t="s">
        <v>8</v>
      </c>
      <c r="M120" t="s">
        <v>7</v>
      </c>
      <c r="N120" t="s">
        <v>7</v>
      </c>
      <c r="P120">
        <f t="shared" ref="P120" si="575">IF(C120=D120,0,((E120-D120)-(C120-E120))/(C120-D120))</f>
        <v>0.15679442508711092</v>
      </c>
      <c r="Q120">
        <f t="shared" ref="Q120" si="576">F120*P120</f>
        <v>76150.94425087249</v>
      </c>
      <c r="R120">
        <f t="shared" ref="R120" si="577">R121+Q120</f>
        <v>-16135703.334598131</v>
      </c>
      <c r="S120">
        <f t="shared" ref="S120" si="578">R120/100000</f>
        <v>-161.35703334598131</v>
      </c>
      <c r="T120">
        <f t="shared" ref="T120" si="579">S120/1000</f>
        <v>-0.16135703334598131</v>
      </c>
    </row>
    <row r="121" spans="1:20" x14ac:dyDescent="0.25">
      <c r="A121" s="5">
        <v>44472</v>
      </c>
      <c r="B121">
        <v>4.556</v>
      </c>
      <c r="C121">
        <v>4.87</v>
      </c>
      <c r="D121">
        <v>4.4379999999999997</v>
      </c>
      <c r="E121">
        <v>4.63</v>
      </c>
      <c r="F121">
        <v>417018.4</v>
      </c>
      <c r="G121">
        <v>4.63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-0.1111111111111111</v>
      </c>
      <c r="Q121">
        <f t="shared" ref="Q121" si="581">F121*P121</f>
        <v>-46335.37777777778</v>
      </c>
      <c r="R121">
        <f t="shared" ref="R121" si="582">R122+Q121</f>
        <v>-16211854.278849004</v>
      </c>
      <c r="S121">
        <f t="shared" ref="S121" si="583">R121/100000</f>
        <v>-162.11854278849003</v>
      </c>
      <c r="T121">
        <f t="shared" ref="T121" si="584">S121/1000</f>
        <v>-0.16211854278849003</v>
      </c>
    </row>
    <row r="122" spans="1:20" x14ac:dyDescent="0.25">
      <c r="A122" s="5">
        <v>44471</v>
      </c>
      <c r="B122">
        <v>4.6449999999999996</v>
      </c>
      <c r="C122">
        <v>4.6609999999999996</v>
      </c>
      <c r="D122">
        <v>4.5369999999999999</v>
      </c>
      <c r="E122">
        <v>4.5579999999999998</v>
      </c>
      <c r="F122">
        <v>169105.5</v>
      </c>
      <c r="G122">
        <v>4.5579999999999998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-0.66129032258064568</v>
      </c>
      <c r="Q122">
        <f t="shared" ref="Q122" si="586">F122*P122</f>
        <v>-111827.83064516138</v>
      </c>
      <c r="R122">
        <f t="shared" ref="R122" si="587">R123+Q122</f>
        <v>-16165518.901071226</v>
      </c>
      <c r="S122">
        <f t="shared" ref="S122" si="588">R122/100000</f>
        <v>-161.65518901071226</v>
      </c>
      <c r="T122">
        <f t="shared" ref="T122" si="589">S122/1000</f>
        <v>-0.16165518901071227</v>
      </c>
    </row>
    <row r="123" spans="1:20" x14ac:dyDescent="0.25">
      <c r="A123" s="5">
        <v>44470</v>
      </c>
      <c r="B123">
        <v>4.4950000000000001</v>
      </c>
      <c r="C123">
        <v>4.6950000000000003</v>
      </c>
      <c r="D123">
        <v>4.4249999999999998</v>
      </c>
      <c r="E123">
        <v>4.6539999999999999</v>
      </c>
      <c r="F123">
        <v>296914.59999999998</v>
      </c>
      <c r="G123">
        <v>4.6539999999999999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0.69629629629629408</v>
      </c>
      <c r="Q123">
        <f t="shared" ref="Q123" si="591">F123*P123</f>
        <v>206740.53629629561</v>
      </c>
      <c r="R123">
        <f t="shared" ref="R123" si="592">R124+Q123</f>
        <v>-16053691.070426065</v>
      </c>
      <c r="S123">
        <f t="shared" ref="S123" si="593">R123/100000</f>
        <v>-160.53691070426066</v>
      </c>
      <c r="T123">
        <f t="shared" ref="T123" si="594">S123/1000</f>
        <v>-0.16053691070426065</v>
      </c>
    </row>
    <row r="124" spans="1:20" x14ac:dyDescent="0.25">
      <c r="A124" s="5">
        <v>44469</v>
      </c>
      <c r="B124">
        <v>4.42</v>
      </c>
      <c r="C124">
        <v>4.5110000000000001</v>
      </c>
      <c r="D124">
        <v>4.4000000000000004</v>
      </c>
      <c r="E124">
        <v>4.4809999999999999</v>
      </c>
      <c r="F124">
        <v>105696</v>
      </c>
      <c r="G124">
        <v>4.4809999999999999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0.45945945945945382</v>
      </c>
      <c r="Q124">
        <f t="shared" ref="Q124" si="596">F124*P124</f>
        <v>48563.02702702643</v>
      </c>
      <c r="R124">
        <f t="shared" ref="R124" si="597">R125+Q124</f>
        <v>-16260431.60672236</v>
      </c>
      <c r="S124">
        <f t="shared" ref="S124" si="598">R124/100000</f>
        <v>-162.60431606722361</v>
      </c>
      <c r="T124">
        <f t="shared" ref="T124" si="599">S124/1000</f>
        <v>-0.16260431606722361</v>
      </c>
    </row>
    <row r="125" spans="1:20" x14ac:dyDescent="0.25">
      <c r="A125" s="5">
        <v>44468</v>
      </c>
      <c r="B125">
        <v>4.3650000000000002</v>
      </c>
      <c r="C125">
        <v>4.7300000000000004</v>
      </c>
      <c r="D125">
        <v>4.3650000000000002</v>
      </c>
      <c r="E125">
        <v>4.4180000000000001</v>
      </c>
      <c r="F125">
        <v>387053.5</v>
      </c>
      <c r="G125">
        <v>4.4180000000000001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-0.70958904109589094</v>
      </c>
      <c r="Q125">
        <f t="shared" ref="Q125" si="601">F125*P125</f>
        <v>-274648.92191780842</v>
      </c>
      <c r="R125">
        <f t="shared" ref="R125" si="602">R126+Q125</f>
        <v>-16308994.633749386</v>
      </c>
      <c r="S125">
        <f t="shared" ref="S125" si="603">R125/100000</f>
        <v>-163.08994633749387</v>
      </c>
      <c r="T125">
        <f t="shared" ref="T125" si="604">S125/1000</f>
        <v>-0.16308994633749388</v>
      </c>
    </row>
    <row r="126" spans="1:20" x14ac:dyDescent="0.25">
      <c r="A126" s="5">
        <v>44467</v>
      </c>
      <c r="B126">
        <v>4.4130000000000003</v>
      </c>
      <c r="C126">
        <v>4.5359999999999996</v>
      </c>
      <c r="D126">
        <v>4.3010000000000002</v>
      </c>
      <c r="E126">
        <v>4.3600000000000003</v>
      </c>
      <c r="F126">
        <v>214952.7</v>
      </c>
      <c r="G126">
        <v>4.3600000000000003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-0.4978723404255293</v>
      </c>
      <c r="Q126">
        <f t="shared" ref="Q126" si="606">F126*P126</f>
        <v>-107019.00382978668</v>
      </c>
      <c r="R126">
        <f t="shared" ref="R126" si="607">R127+Q126</f>
        <v>-16034345.711831577</v>
      </c>
      <c r="S126">
        <f t="shared" ref="S126" si="608">R126/100000</f>
        <v>-160.34345711831577</v>
      </c>
      <c r="T126">
        <f t="shared" ref="T126" si="609">S126/1000</f>
        <v>-0.16034345711831577</v>
      </c>
    </row>
    <row r="127" spans="1:20" x14ac:dyDescent="0.25">
      <c r="A127" s="5">
        <v>44466</v>
      </c>
      <c r="B127">
        <v>4.6100000000000003</v>
      </c>
      <c r="C127">
        <v>4.7510000000000003</v>
      </c>
      <c r="D127">
        <v>4.4009999999999998</v>
      </c>
      <c r="E127">
        <v>4.4139999999999997</v>
      </c>
      <c r="F127">
        <v>346188.6</v>
      </c>
      <c r="G127">
        <v>4.4139999999999997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-0.92571428571428638</v>
      </c>
      <c r="Q127">
        <f t="shared" ref="Q127" si="611">F127*P127</f>
        <v>-320471.73257142876</v>
      </c>
      <c r="R127">
        <f t="shared" ref="R127" si="612">R128+Q127</f>
        <v>-15927326.708001791</v>
      </c>
      <c r="S127">
        <f t="shared" ref="S127" si="613">R127/100000</f>
        <v>-159.27326708001792</v>
      </c>
      <c r="T127">
        <f t="shared" ref="T127" si="614">S127/1000</f>
        <v>-0.15927326708001791</v>
      </c>
    </row>
    <row r="128" spans="1:20" x14ac:dyDescent="0.25">
      <c r="A128" s="5">
        <v>44465</v>
      </c>
      <c r="B128">
        <v>4.6669999999999998</v>
      </c>
      <c r="C128">
        <v>5.3109999999999999</v>
      </c>
      <c r="D128">
        <v>4.53</v>
      </c>
      <c r="E128">
        <v>4.62</v>
      </c>
      <c r="F128">
        <v>972527.7</v>
      </c>
      <c r="G128">
        <v>4.62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-0.76952624839948813</v>
      </c>
      <c r="Q128">
        <f t="shared" ref="Q128" si="616">F128*P128</f>
        <v>-748385.59244558285</v>
      </c>
      <c r="R128">
        <f t="shared" ref="R128" si="617">R129+Q128</f>
        <v>-15606854.975430362</v>
      </c>
      <c r="S128">
        <f t="shared" ref="S128" si="618">R128/100000</f>
        <v>-156.06854975430363</v>
      </c>
      <c r="T128">
        <f t="shared" ref="T128" si="619">S128/1000</f>
        <v>-0.15606854975430362</v>
      </c>
    </row>
    <row r="129" spans="1:20" x14ac:dyDescent="0.25">
      <c r="A129" s="5">
        <v>44464</v>
      </c>
      <c r="B129">
        <v>4.6349999999999998</v>
      </c>
      <c r="C129">
        <v>4.7380000000000004</v>
      </c>
      <c r="D129">
        <v>4.5510000000000002</v>
      </c>
      <c r="E129">
        <v>4.641</v>
      </c>
      <c r="F129">
        <v>215557</v>
      </c>
      <c r="G129">
        <v>4.641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-3.743315508021685E-2</v>
      </c>
      <c r="Q129">
        <f t="shared" ref="Q129" si="621">F129*P129</f>
        <v>-8068.9786096263033</v>
      </c>
      <c r="R129">
        <f t="shared" ref="R129" si="622">R130+Q129</f>
        <v>-14858469.38298478</v>
      </c>
      <c r="S129">
        <f t="shared" ref="S129" si="623">R129/100000</f>
        <v>-148.58469382984779</v>
      </c>
      <c r="T129">
        <f t="shared" ref="T129" si="624">S129/1000</f>
        <v>-0.14858469382984779</v>
      </c>
    </row>
    <row r="130" spans="1:20" x14ac:dyDescent="0.25">
      <c r="A130" s="5">
        <v>44463</v>
      </c>
      <c r="B130">
        <v>4.7329999999999997</v>
      </c>
      <c r="C130">
        <v>5.2</v>
      </c>
      <c r="D130">
        <v>4.5209999999999999</v>
      </c>
      <c r="E130">
        <v>4.6369999999999996</v>
      </c>
      <c r="F130">
        <v>1208396.3</v>
      </c>
      <c r="G130">
        <v>4.6369999999999996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-0.65832106038291716</v>
      </c>
      <c r="Q130">
        <f t="shared" ref="Q130" si="626">F130*P130</f>
        <v>-795512.7335787937</v>
      </c>
      <c r="R130">
        <f t="shared" ref="R130" si="627">R131+Q130</f>
        <v>-14850400.404375153</v>
      </c>
      <c r="S130">
        <f t="shared" ref="S130" si="628">R130/100000</f>
        <v>-148.50400404375154</v>
      </c>
      <c r="T130">
        <f t="shared" ref="T130" si="629">S130/1000</f>
        <v>-0.14850400404375153</v>
      </c>
    </row>
    <row r="131" spans="1:20" x14ac:dyDescent="0.25">
      <c r="A131" s="5">
        <v>44462</v>
      </c>
      <c r="B131">
        <v>4.7439999999999998</v>
      </c>
      <c r="C131">
        <v>4.8860000000000001</v>
      </c>
      <c r="D131">
        <v>4.6029999999999998</v>
      </c>
      <c r="E131">
        <v>4.7190000000000003</v>
      </c>
      <c r="F131">
        <v>485344.5</v>
      </c>
      <c r="G131">
        <v>4.7190000000000003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-0.18021201413427279</v>
      </c>
      <c r="Q131">
        <f t="shared" ref="Q131" si="631">F131*P131</f>
        <v>-87464.909893991557</v>
      </c>
      <c r="R131">
        <f t="shared" ref="R131" si="632">R132+Q131</f>
        <v>-14054887.670796359</v>
      </c>
      <c r="S131">
        <f t="shared" ref="S131" si="633">R131/100000</f>
        <v>-140.54887670796359</v>
      </c>
      <c r="T131">
        <f t="shared" ref="T131" si="634">S131/1000</f>
        <v>-0.14054887670796359</v>
      </c>
    </row>
    <row r="132" spans="1:20" x14ac:dyDescent="0.25">
      <c r="A132" s="5">
        <v>44461</v>
      </c>
      <c r="B132">
        <v>4.476</v>
      </c>
      <c r="C132">
        <v>5.6</v>
      </c>
      <c r="D132">
        <v>4.4649999999999999</v>
      </c>
      <c r="E132">
        <v>4.7439999999999998</v>
      </c>
      <c r="F132">
        <v>2519213.7000000002</v>
      </c>
      <c r="G132">
        <v>4.7439999999999998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-0.50837004405286346</v>
      </c>
      <c r="Q132">
        <f t="shared" ref="Q132" si="636">F132*P132</f>
        <v>-1280692.7796475773</v>
      </c>
      <c r="R132">
        <f t="shared" ref="R132" si="637">R133+Q132</f>
        <v>-13967422.760902368</v>
      </c>
      <c r="S132">
        <f t="shared" ref="S132" si="638">R132/100000</f>
        <v>-139.67422760902369</v>
      </c>
      <c r="T132">
        <f t="shared" ref="T132" si="639">S132/1000</f>
        <v>-0.13967422760902368</v>
      </c>
    </row>
    <row r="133" spans="1:20" x14ac:dyDescent="0.25">
      <c r="A133" s="5">
        <v>44460</v>
      </c>
      <c r="B133">
        <v>4.7039999999999997</v>
      </c>
      <c r="C133">
        <v>4.8280000000000003</v>
      </c>
      <c r="D133">
        <v>4.3650000000000002</v>
      </c>
      <c r="E133">
        <v>4.492</v>
      </c>
      <c r="F133">
        <v>673300</v>
      </c>
      <c r="G133">
        <v>4.492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-0.45140388768898593</v>
      </c>
      <c r="Q133">
        <f t="shared" ref="Q133" si="641">F133*P133</f>
        <v>-303930.2375809942</v>
      </c>
      <c r="R133">
        <f t="shared" ref="R133" si="642">R134+Q133</f>
        <v>-12686729.98125479</v>
      </c>
      <c r="S133">
        <f t="shared" ref="S133" si="643">R133/100000</f>
        <v>-126.8672998125479</v>
      </c>
      <c r="T133">
        <f t="shared" ref="T133" si="644">S133/1000</f>
        <v>-0.12686729981254791</v>
      </c>
    </row>
    <row r="134" spans="1:20" x14ac:dyDescent="0.25">
      <c r="A134" s="5">
        <v>44459</v>
      </c>
      <c r="B134">
        <v>6.0949999999999998</v>
      </c>
      <c r="C134">
        <v>6.101</v>
      </c>
      <c r="D134">
        <v>4.58</v>
      </c>
      <c r="E134">
        <v>4.7270000000000003</v>
      </c>
      <c r="F134">
        <v>1939728.615</v>
      </c>
      <c r="G134">
        <v>4.7270000000000003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-0.80670611439842177</v>
      </c>
      <c r="Q134">
        <f t="shared" ref="Q134" si="646">F134*P134</f>
        <v>-1564790.9339940823</v>
      </c>
      <c r="R134">
        <f t="shared" ref="R134" si="647">R135+Q134</f>
        <v>-12382799.743673796</v>
      </c>
      <c r="S134">
        <f t="shared" ref="S134" si="648">R134/100000</f>
        <v>-123.82799743673796</v>
      </c>
      <c r="T134">
        <f t="shared" ref="T134" si="649">S134/1000</f>
        <v>-0.12382799743673796</v>
      </c>
    </row>
    <row r="135" spans="1:20" x14ac:dyDescent="0.25">
      <c r="A135" s="5">
        <v>44458</v>
      </c>
      <c r="B135">
        <v>5.1260000000000003</v>
      </c>
      <c r="C135">
        <v>9.8000000000000007</v>
      </c>
      <c r="D135">
        <v>5.0330000000000004</v>
      </c>
      <c r="E135">
        <v>6.0949999999999998</v>
      </c>
      <c r="F135">
        <v>9632602.9849999994</v>
      </c>
      <c r="G135">
        <v>6.0949999999999998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-0.55443675267463843</v>
      </c>
      <c r="Q135">
        <f t="shared" ref="Q135" si="651">F135*P135</f>
        <v>-5340669.1188074285</v>
      </c>
      <c r="R135">
        <f t="shared" ref="R135" si="652">R136+Q135</f>
        <v>-10818008.809679713</v>
      </c>
      <c r="S135">
        <f t="shared" ref="S135" si="653">R135/100000</f>
        <v>-108.18008809679714</v>
      </c>
      <c r="T135">
        <f t="shared" ref="T135" si="654">S135/1000</f>
        <v>-0.10818008809679713</v>
      </c>
    </row>
    <row r="136" spans="1:20" x14ac:dyDescent="0.25">
      <c r="A136" s="5">
        <v>44457</v>
      </c>
      <c r="B136">
        <v>5.0229999999999997</v>
      </c>
      <c r="C136">
        <v>5.2370000000000001</v>
      </c>
      <c r="D136">
        <v>5.016</v>
      </c>
      <c r="E136">
        <v>5.1289999999999996</v>
      </c>
      <c r="F136">
        <v>196209.9</v>
      </c>
      <c r="G136">
        <v>5.1289999999999996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2.2624434389135761E-2</v>
      </c>
      <c r="Q136">
        <f t="shared" ref="Q136" si="656">F136*P136</f>
        <v>4439.1380090488883</v>
      </c>
      <c r="R136">
        <f t="shared" ref="R136" si="657">R137+Q136</f>
        <v>-5477339.6908722837</v>
      </c>
      <c r="S136">
        <f t="shared" ref="S136" si="658">R136/100000</f>
        <v>-54.773396908722837</v>
      </c>
      <c r="T136">
        <f t="shared" ref="T136" si="659">S136/1000</f>
        <v>-5.4773396908722835E-2</v>
      </c>
    </row>
    <row r="137" spans="1:20" x14ac:dyDescent="0.25">
      <c r="A137" s="5">
        <v>44456</v>
      </c>
      <c r="B137">
        <v>5.165</v>
      </c>
      <c r="C137">
        <v>5.1689999999999996</v>
      </c>
      <c r="D137">
        <v>4.88</v>
      </c>
      <c r="E137">
        <v>5.0350000000000001</v>
      </c>
      <c r="F137">
        <v>342338.4</v>
      </c>
      <c r="G137">
        <v>5.0350000000000001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7.266435986159453E-2</v>
      </c>
      <c r="Q137">
        <f t="shared" ref="Q137" si="661">F137*P137</f>
        <v>24875.800692042496</v>
      </c>
      <c r="R137">
        <f t="shared" ref="R137" si="662">R138+Q137</f>
        <v>-5481778.8288813327</v>
      </c>
      <c r="S137">
        <f t="shared" ref="S137" si="663">R137/100000</f>
        <v>-54.817788288813325</v>
      </c>
      <c r="T137">
        <f t="shared" ref="T137" si="664">S137/1000</f>
        <v>-5.4817788288813327E-2</v>
      </c>
    </row>
    <row r="138" spans="1:20" x14ac:dyDescent="0.25">
      <c r="A138" s="5">
        <v>44455</v>
      </c>
      <c r="B138">
        <v>5.117</v>
      </c>
      <c r="C138">
        <v>5.4349999999999996</v>
      </c>
      <c r="D138">
        <v>5.0250000000000004</v>
      </c>
      <c r="E138">
        <v>5.1680000000000001</v>
      </c>
      <c r="F138">
        <v>224620.4</v>
      </c>
      <c r="G138">
        <v>5.1680000000000001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-0.30243902439024362</v>
      </c>
      <c r="Q138">
        <f t="shared" ref="Q138" si="666">F138*P138</f>
        <v>-67933.974634146274</v>
      </c>
      <c r="R138">
        <f t="shared" ref="R138" si="667">R139+Q138</f>
        <v>-5506654.629573375</v>
      </c>
      <c r="S138">
        <f t="shared" ref="S138" si="668">R138/100000</f>
        <v>-55.066546295733751</v>
      </c>
      <c r="T138">
        <f t="shared" ref="T138" si="669">S138/1000</f>
        <v>-5.5066546295733751E-2</v>
      </c>
    </row>
    <row r="139" spans="1:20" x14ac:dyDescent="0.25">
      <c r="A139" s="5">
        <v>44454</v>
      </c>
      <c r="B139">
        <v>5.1630000000000003</v>
      </c>
      <c r="C139">
        <v>5.3079999999999998</v>
      </c>
      <c r="D139">
        <v>5.0220000000000002</v>
      </c>
      <c r="E139">
        <v>5.117</v>
      </c>
      <c r="F139">
        <v>197773.6</v>
      </c>
      <c r="G139">
        <v>5.117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-0.33566433566433646</v>
      </c>
      <c r="Q139">
        <f t="shared" ref="Q139" si="671">F139*P139</f>
        <v>-66385.544055944221</v>
      </c>
      <c r="R139">
        <f t="shared" ref="R139" si="672">R140+Q139</f>
        <v>-5438720.6549392287</v>
      </c>
      <c r="S139">
        <f t="shared" ref="S139" si="673">R139/100000</f>
        <v>-54.387206549392289</v>
      </c>
      <c r="T139">
        <f t="shared" ref="T139" si="674">S139/1000</f>
        <v>-5.4387206549392289E-2</v>
      </c>
    </row>
    <row r="140" spans="1:20" x14ac:dyDescent="0.25">
      <c r="A140" s="5">
        <v>44453</v>
      </c>
      <c r="B140">
        <v>5.2460000000000004</v>
      </c>
      <c r="C140">
        <v>5.2670000000000003</v>
      </c>
      <c r="D140">
        <v>5.05</v>
      </c>
      <c r="E140">
        <v>5.157</v>
      </c>
      <c r="F140">
        <v>353551.2</v>
      </c>
      <c r="G140">
        <v>5.157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-1.3824884792627218E-2</v>
      </c>
      <c r="Q140">
        <f t="shared" ref="Q140" si="676">F140*P140</f>
        <v>-4887.8046082951041</v>
      </c>
      <c r="R140">
        <f t="shared" ref="R140" si="677">R141+Q140</f>
        <v>-5372335.1108832844</v>
      </c>
      <c r="S140">
        <f t="shared" ref="S140" si="678">R140/100000</f>
        <v>-53.723351108832844</v>
      </c>
      <c r="T140">
        <f t="shared" ref="T140" si="679">S140/1000</f>
        <v>-5.3723351108832841E-2</v>
      </c>
    </row>
    <row r="141" spans="1:20" x14ac:dyDescent="0.25">
      <c r="A141" s="5">
        <v>44452</v>
      </c>
      <c r="B141">
        <v>5.2069999999999999</v>
      </c>
      <c r="C141">
        <v>7.476</v>
      </c>
      <c r="D141">
        <v>5.0830000000000002</v>
      </c>
      <c r="E141">
        <v>5.2210000000000001</v>
      </c>
      <c r="F141">
        <v>2607389.6</v>
      </c>
      <c r="G141">
        <v>5.2210000000000001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-0.88466360217300466</v>
      </c>
      <c r="Q141">
        <f t="shared" ref="Q141" si="681">F141*P141</f>
        <v>-2306662.6758044297</v>
      </c>
      <c r="R141">
        <f t="shared" ref="R141" si="682">R142+Q141</f>
        <v>-5367447.3062749896</v>
      </c>
      <c r="S141">
        <f t="shared" ref="S141" si="683">R141/100000</f>
        <v>-53.674473062749897</v>
      </c>
      <c r="T141">
        <f t="shared" ref="T141" si="684">S141/1000</f>
        <v>-5.3674473062749896E-2</v>
      </c>
    </row>
    <row r="142" spans="1:20" x14ac:dyDescent="0.25">
      <c r="A142" s="5">
        <v>44451</v>
      </c>
      <c r="B142">
        <v>5.141</v>
      </c>
      <c r="C142">
        <v>5.3</v>
      </c>
      <c r="D142">
        <v>5.0979999999999999</v>
      </c>
      <c r="E142">
        <v>5.2089999999999996</v>
      </c>
      <c r="F142">
        <v>168699.2</v>
      </c>
      <c r="G142">
        <v>5.2089999999999996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9.9009900990096919E-2</v>
      </c>
      <c r="Q142">
        <f t="shared" ref="Q142" si="686">F142*P142</f>
        <v>16702.891089108558</v>
      </c>
      <c r="R142">
        <f t="shared" ref="R142" si="687">R143+Q142</f>
        <v>-3060784.6304705595</v>
      </c>
      <c r="S142">
        <f t="shared" ref="S142" si="688">R142/100000</f>
        <v>-30.607846304705596</v>
      </c>
      <c r="T142">
        <f t="shared" ref="T142" si="689">S142/1000</f>
        <v>-3.0607846304705595E-2</v>
      </c>
    </row>
    <row r="143" spans="1:20" x14ac:dyDescent="0.25">
      <c r="A143" s="5">
        <v>44450</v>
      </c>
      <c r="B143">
        <v>5.0060000000000002</v>
      </c>
      <c r="C143">
        <v>5.2549999999999999</v>
      </c>
      <c r="D143">
        <v>4.9589999999999996</v>
      </c>
      <c r="E143">
        <v>5.13</v>
      </c>
      <c r="F143">
        <v>159483.79999999999</v>
      </c>
      <c r="G143">
        <v>5.13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0.15540540540540615</v>
      </c>
      <c r="Q143">
        <f t="shared" ref="Q143" si="691">F143*P143</f>
        <v>24784.644594594713</v>
      </c>
      <c r="R143">
        <f t="shared" ref="R143" si="692">R144+Q143</f>
        <v>-3077487.5215596682</v>
      </c>
      <c r="S143">
        <f t="shared" ref="S143" si="693">R143/100000</f>
        <v>-30.774875215596683</v>
      </c>
      <c r="T143">
        <f t="shared" ref="T143" si="694">S143/1000</f>
        <v>-3.0774875215596683E-2</v>
      </c>
    </row>
    <row r="144" spans="1:20" x14ac:dyDescent="0.25">
      <c r="A144" s="5">
        <v>44449</v>
      </c>
      <c r="B144">
        <v>5.2850000000000001</v>
      </c>
      <c r="C144">
        <v>5.3360000000000003</v>
      </c>
      <c r="D144">
        <v>4.95</v>
      </c>
      <c r="E144">
        <v>5.0060000000000002</v>
      </c>
      <c r="F144">
        <v>125004.628</v>
      </c>
      <c r="G144">
        <v>5.0060000000000002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-0.70984455958549209</v>
      </c>
      <c r="Q144">
        <f t="shared" ref="Q144" si="696">F144*P144</f>
        <v>-88733.855108808275</v>
      </c>
      <c r="R144">
        <f t="shared" ref="R144" si="697">R145+Q144</f>
        <v>-3102272.1661542631</v>
      </c>
      <c r="S144">
        <f t="shared" ref="S144" si="698">R144/100000</f>
        <v>-31.022721661542629</v>
      </c>
      <c r="T144">
        <f t="shared" ref="T144" si="699">S144/1000</f>
        <v>-3.1022721661542629E-2</v>
      </c>
    </row>
    <row r="145" spans="1:20" x14ac:dyDescent="0.25">
      <c r="A145" s="5">
        <v>44448</v>
      </c>
      <c r="B145">
        <v>5.2</v>
      </c>
      <c r="C145">
        <v>5.5</v>
      </c>
      <c r="D145">
        <v>5.0529999999999999</v>
      </c>
      <c r="E145">
        <v>5.2859999999999996</v>
      </c>
      <c r="F145">
        <v>204294.5</v>
      </c>
      <c r="G145">
        <v>5.2859999999999996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4.2505592841161607E-2</v>
      </c>
      <c r="Q145">
        <f t="shared" ref="Q145" si="701">F145*P145</f>
        <v>8683.6588366886899</v>
      </c>
      <c r="R145">
        <f t="shared" ref="R145" si="702">R146+Q145</f>
        <v>-3013538.3110454548</v>
      </c>
      <c r="S145">
        <f t="shared" ref="S145" si="703">R145/100000</f>
        <v>-30.135383110454548</v>
      </c>
      <c r="T145">
        <f t="shared" ref="T145" si="704">S145/1000</f>
        <v>-3.0135383110454547E-2</v>
      </c>
    </row>
    <row r="146" spans="1:20" x14ac:dyDescent="0.25">
      <c r="A146" s="5">
        <v>44447</v>
      </c>
      <c r="B146">
        <v>5.149</v>
      </c>
      <c r="C146">
        <v>5.3929999999999998</v>
      </c>
      <c r="D146">
        <v>5.0199999999999996</v>
      </c>
      <c r="E146">
        <v>5.2069999999999999</v>
      </c>
      <c r="F146">
        <v>208236.4</v>
      </c>
      <c r="G146">
        <v>5.2069999999999999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2.680965147453977E-3</v>
      </c>
      <c r="Q146">
        <f t="shared" ref="Q146" si="706">F146*P146</f>
        <v>558.27453083128535</v>
      </c>
      <c r="R146">
        <f t="shared" ref="R146" si="707">R147+Q146</f>
        <v>-3022221.9698821437</v>
      </c>
      <c r="S146">
        <f t="shared" ref="S146" si="708">R146/100000</f>
        <v>-30.222219698821437</v>
      </c>
      <c r="T146">
        <f t="shared" ref="T146" si="709">S146/1000</f>
        <v>-3.0222219698821436E-2</v>
      </c>
    </row>
    <row r="147" spans="1:20" x14ac:dyDescent="0.25">
      <c r="A147" s="5">
        <v>44446</v>
      </c>
      <c r="B147">
        <v>5.9160000000000004</v>
      </c>
      <c r="C147">
        <v>5.9790000000000001</v>
      </c>
      <c r="D147">
        <v>5.024</v>
      </c>
      <c r="E147">
        <v>5.1550000000000002</v>
      </c>
      <c r="F147">
        <v>294221.09899999999</v>
      </c>
      <c r="G147">
        <v>5.1550000000000002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-0.72565445026177966</v>
      </c>
      <c r="Q147">
        <f t="shared" ref="Q147" si="711">F147*P147</f>
        <v>-213502.84985026164</v>
      </c>
      <c r="R147">
        <f t="shared" ref="R147" si="712">R148+Q147</f>
        <v>-3022780.2444129749</v>
      </c>
      <c r="S147">
        <f t="shared" ref="S147" si="713">R147/100000</f>
        <v>-30.22780244412975</v>
      </c>
      <c r="T147">
        <f t="shared" ref="T147" si="714">S147/1000</f>
        <v>-3.0227802444129752E-2</v>
      </c>
    </row>
    <row r="148" spans="1:20" x14ac:dyDescent="0.25">
      <c r="A148" s="5">
        <v>44445</v>
      </c>
      <c r="B148">
        <v>5.7839999999999998</v>
      </c>
      <c r="C148">
        <v>5.9539999999999997</v>
      </c>
      <c r="D148">
        <v>5.6180000000000003</v>
      </c>
      <c r="E148">
        <v>5.9160000000000004</v>
      </c>
      <c r="F148">
        <v>279512</v>
      </c>
      <c r="G148">
        <v>5.9160000000000004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0.77380952380952717</v>
      </c>
      <c r="Q148">
        <f t="shared" ref="Q148" si="716">F148*P148</f>
        <v>216289.04761904856</v>
      </c>
      <c r="R148">
        <f t="shared" ref="R148" si="717">R149+Q148</f>
        <v>-2809277.3945627133</v>
      </c>
      <c r="S148">
        <f t="shared" ref="S148" si="718">R148/100000</f>
        <v>-28.092773945627133</v>
      </c>
      <c r="T148">
        <f t="shared" ref="T148" si="719">S148/1000</f>
        <v>-2.8092773945627134E-2</v>
      </c>
    </row>
    <row r="149" spans="1:20" x14ac:dyDescent="0.25">
      <c r="A149" s="5">
        <v>44444</v>
      </c>
      <c r="B149">
        <v>5.774</v>
      </c>
      <c r="C149">
        <v>5.8970000000000002</v>
      </c>
      <c r="D149">
        <v>5.6760000000000002</v>
      </c>
      <c r="E149">
        <v>5.7830000000000004</v>
      </c>
      <c r="F149">
        <v>79961.2</v>
      </c>
      <c r="G149">
        <v>5.7830000000000004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-3.1674208144794887E-2</v>
      </c>
      <c r="Q149">
        <f t="shared" ref="Q149" si="721">F149*P149</f>
        <v>-2532.7076923075729</v>
      </c>
      <c r="R149">
        <f t="shared" ref="R149" si="722">R150+Q149</f>
        <v>-3025566.4421817618</v>
      </c>
      <c r="S149">
        <f t="shared" ref="S149" si="723">R149/100000</f>
        <v>-30.255664421817617</v>
      </c>
      <c r="T149">
        <f t="shared" ref="T149" si="724">S149/1000</f>
        <v>-3.0255664421817617E-2</v>
      </c>
    </row>
    <row r="150" spans="1:20" x14ac:dyDescent="0.25">
      <c r="A150" s="5">
        <v>44443</v>
      </c>
      <c r="B150">
        <v>5.8070000000000004</v>
      </c>
      <c r="C150">
        <v>5.9189999999999996</v>
      </c>
      <c r="D150">
        <v>5.6769999999999996</v>
      </c>
      <c r="E150">
        <v>5.7759999999999998</v>
      </c>
      <c r="F150">
        <v>97649.2</v>
      </c>
      <c r="G150">
        <v>5.7759999999999998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-0.18181818181818016</v>
      </c>
      <c r="Q150">
        <f t="shared" ref="Q150" si="726">F150*P150</f>
        <v>-17754.399999999838</v>
      </c>
      <c r="R150">
        <f t="shared" ref="R150" si="727">R151+Q150</f>
        <v>-3023033.7344894544</v>
      </c>
      <c r="S150">
        <f t="shared" ref="S150" si="728">R150/100000</f>
        <v>-30.230337344894544</v>
      </c>
      <c r="T150">
        <f t="shared" ref="T150" si="729">S150/1000</f>
        <v>-3.0230337344894543E-2</v>
      </c>
    </row>
    <row r="151" spans="1:20" x14ac:dyDescent="0.25">
      <c r="A151" s="5">
        <v>44442</v>
      </c>
      <c r="B151">
        <v>6.0869999999999997</v>
      </c>
      <c r="C151">
        <v>6.21</v>
      </c>
      <c r="D151">
        <v>5.7460000000000004</v>
      </c>
      <c r="E151">
        <v>5.806</v>
      </c>
      <c r="F151">
        <v>242423.80300000001</v>
      </c>
      <c r="G151">
        <v>5.806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-0.74137931034482896</v>
      </c>
      <c r="Q151">
        <f t="shared" ref="Q151" si="731">F151*P151</f>
        <v>-179727.99187931069</v>
      </c>
      <c r="R151">
        <f t="shared" ref="R151" si="732">R152+Q151</f>
        <v>-3005279.3344894545</v>
      </c>
      <c r="S151">
        <f t="shared" ref="S151" si="733">R151/100000</f>
        <v>-30.052793344894546</v>
      </c>
      <c r="T151">
        <f t="shared" ref="T151" si="734">S151/1000</f>
        <v>-3.0052793344894545E-2</v>
      </c>
    </row>
    <row r="152" spans="1:20" x14ac:dyDescent="0.25">
      <c r="A152" s="5">
        <v>44441</v>
      </c>
      <c r="B152">
        <v>6.2270000000000003</v>
      </c>
      <c r="C152">
        <v>6.4189999999999996</v>
      </c>
      <c r="D152">
        <v>6.0739999999999998</v>
      </c>
      <c r="E152">
        <v>6.0880000000000001</v>
      </c>
      <c r="F152">
        <v>121203.1</v>
      </c>
      <c r="G152">
        <v>6.0880000000000001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-0.91884057971014355</v>
      </c>
      <c r="Q152">
        <f t="shared" ref="Q152" si="736">F152*P152</f>
        <v>-111366.3266666665</v>
      </c>
      <c r="R152">
        <f t="shared" ref="R152" si="737">R153+Q152</f>
        <v>-2825551.3426101436</v>
      </c>
      <c r="S152">
        <f t="shared" ref="S152" si="738">R152/100000</f>
        <v>-28.255513426101437</v>
      </c>
      <c r="T152">
        <f t="shared" ref="T152" si="739">S152/1000</f>
        <v>-2.8255513426101438E-2</v>
      </c>
    </row>
    <row r="153" spans="1:20" x14ac:dyDescent="0.25">
      <c r="A153" s="5">
        <v>44440</v>
      </c>
      <c r="B153">
        <v>6.1210000000000004</v>
      </c>
      <c r="C153">
        <v>6.3630000000000004</v>
      </c>
      <c r="D153">
        <v>5.9930000000000003</v>
      </c>
      <c r="E153">
        <v>6.22</v>
      </c>
      <c r="F153">
        <v>127721.5</v>
      </c>
      <c r="G153">
        <v>6.22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0.22702702702702357</v>
      </c>
      <c r="Q153">
        <f t="shared" ref="Q153" si="741">F153*P153</f>
        <v>28996.232432431992</v>
      </c>
      <c r="R153">
        <f t="shared" ref="R153" si="742">R154+Q153</f>
        <v>-2714185.0159434769</v>
      </c>
      <c r="S153">
        <f t="shared" ref="S153" si="743">R153/100000</f>
        <v>-27.141850159434771</v>
      </c>
      <c r="T153">
        <f t="shared" ref="T153" si="744">S153/1000</f>
        <v>-2.714185015943477E-2</v>
      </c>
    </row>
    <row r="154" spans="1:20" x14ac:dyDescent="0.25">
      <c r="A154" s="5">
        <v>44439</v>
      </c>
      <c r="B154">
        <v>6.165</v>
      </c>
      <c r="C154">
        <v>6.4930000000000003</v>
      </c>
      <c r="D154">
        <v>6.1079999999999997</v>
      </c>
      <c r="E154">
        <v>6.1520000000000001</v>
      </c>
      <c r="F154">
        <v>144317.20000000001</v>
      </c>
      <c r="G154">
        <v>6.1520000000000001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-0.77142857142856935</v>
      </c>
      <c r="Q154">
        <f t="shared" ref="Q154" si="746">F154*P154</f>
        <v>-111330.41142857114</v>
      </c>
      <c r="R154">
        <f t="shared" ref="R154" si="747">R155+Q154</f>
        <v>-2743181.2483759089</v>
      </c>
      <c r="S154">
        <f t="shared" ref="S154" si="748">R154/100000</f>
        <v>-27.431812483759089</v>
      </c>
      <c r="T154">
        <f t="shared" ref="T154" si="749">S154/1000</f>
        <v>-2.7431812483759088E-2</v>
      </c>
    </row>
    <row r="155" spans="1:20" x14ac:dyDescent="0.25">
      <c r="A155" s="5">
        <v>44438</v>
      </c>
      <c r="B155">
        <v>6.4039999999999999</v>
      </c>
      <c r="C155">
        <v>6.6509999999999998</v>
      </c>
      <c r="D155">
        <v>5.9850000000000003</v>
      </c>
      <c r="E155">
        <v>6.15</v>
      </c>
      <c r="F155">
        <v>257955.96900000001</v>
      </c>
      <c r="G155">
        <v>6.15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-0.50450450450450401</v>
      </c>
      <c r="Q155">
        <f t="shared" ref="Q155" si="751">F155*P155</f>
        <v>-130139.9483243242</v>
      </c>
      <c r="R155">
        <f t="shared" ref="R155" si="752">R156+Q155</f>
        <v>-2631850.8369473377</v>
      </c>
      <c r="S155">
        <f t="shared" ref="S155" si="753">R155/100000</f>
        <v>-26.318508369473378</v>
      </c>
      <c r="T155">
        <f t="shared" ref="T155" si="754">S155/1000</f>
        <v>-2.6318508369473376E-2</v>
      </c>
    </row>
    <row r="156" spans="1:20" x14ac:dyDescent="0.25">
      <c r="A156" s="5">
        <v>44437</v>
      </c>
      <c r="B156">
        <v>6.6289999999999996</v>
      </c>
      <c r="C156">
        <v>6.85</v>
      </c>
      <c r="D156">
        <v>6.3719999999999999</v>
      </c>
      <c r="E156">
        <v>6.4240000000000004</v>
      </c>
      <c r="F156">
        <v>122834.2</v>
      </c>
      <c r="G156">
        <v>6.4240000000000004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-0.7824267782426757</v>
      </c>
      <c r="Q156">
        <f t="shared" ref="Q156" si="756">F156*P156</f>
        <v>-96108.767364016472</v>
      </c>
      <c r="R156">
        <f t="shared" ref="R156" si="757">R157+Q156</f>
        <v>-2501710.8886230136</v>
      </c>
      <c r="S156">
        <f t="shared" ref="S156" si="758">R156/100000</f>
        <v>-25.017108886230137</v>
      </c>
      <c r="T156">
        <f t="shared" ref="T156" si="759">S156/1000</f>
        <v>-2.5017108886230138E-2</v>
      </c>
    </row>
    <row r="157" spans="1:20" x14ac:dyDescent="0.25">
      <c r="A157" s="5">
        <v>44436</v>
      </c>
      <c r="B157">
        <v>7.0359999999999996</v>
      </c>
      <c r="C157">
        <v>7.1420000000000003</v>
      </c>
      <c r="D157">
        <v>6.5970000000000004</v>
      </c>
      <c r="E157">
        <v>6.657</v>
      </c>
      <c r="F157">
        <v>102026.9</v>
      </c>
      <c r="G157">
        <v>6.657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-0.77981651376146932</v>
      </c>
      <c r="Q157">
        <f t="shared" ref="Q157" si="761">F157*P157</f>
        <v>-79562.261467890043</v>
      </c>
      <c r="R157">
        <f t="shared" ref="R157" si="762">R158+Q157</f>
        <v>-2405602.1212589974</v>
      </c>
      <c r="S157">
        <f t="shared" ref="S157" si="763">R157/100000</f>
        <v>-24.056021212589975</v>
      </c>
      <c r="T157">
        <f t="shared" ref="T157" si="764">S157/1000</f>
        <v>-2.4056021212589974E-2</v>
      </c>
    </row>
    <row r="158" spans="1:20" x14ac:dyDescent="0.25">
      <c r="A158" s="5">
        <v>44435</v>
      </c>
      <c r="B158">
        <v>6.2409999999999997</v>
      </c>
      <c r="C158">
        <v>7.3570000000000002</v>
      </c>
      <c r="D158">
        <v>6.2009999999999996</v>
      </c>
      <c r="E158">
        <v>7.0369999999999999</v>
      </c>
      <c r="F158">
        <v>278190.25099999999</v>
      </c>
      <c r="G158">
        <v>7.0369999999999999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0.4463667820069202</v>
      </c>
      <c r="Q158">
        <f t="shared" ref="Q158" si="766">F158*P158</f>
        <v>124174.88712456741</v>
      </c>
      <c r="R158">
        <f t="shared" ref="R158" si="767">R159+Q158</f>
        <v>-2326039.8597911075</v>
      </c>
      <c r="S158">
        <f t="shared" ref="S158" si="768">R158/100000</f>
        <v>-23.260398597911074</v>
      </c>
      <c r="T158">
        <f t="shared" ref="T158" si="769">S158/1000</f>
        <v>-2.3260398597911073E-2</v>
      </c>
    </row>
    <row r="159" spans="1:20" x14ac:dyDescent="0.25">
      <c r="A159" s="5">
        <v>44434</v>
      </c>
      <c r="B159">
        <v>6.7210000000000001</v>
      </c>
      <c r="C159">
        <v>7.3159999999999998</v>
      </c>
      <c r="D159">
        <v>6.2359999999999998</v>
      </c>
      <c r="E159">
        <v>6.2409999999999997</v>
      </c>
      <c r="F159">
        <v>420200.152</v>
      </c>
      <c r="G159">
        <v>6.2409999999999997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-0.99074074074074092</v>
      </c>
      <c r="Q159">
        <f t="shared" ref="Q159" si="771">F159*P159</f>
        <v>-416309.40985185193</v>
      </c>
      <c r="R159">
        <f t="shared" ref="R159" si="772">R160+Q159</f>
        <v>-2450214.7469156748</v>
      </c>
      <c r="S159">
        <f t="shared" ref="S159" si="773">R159/100000</f>
        <v>-24.502147469156746</v>
      </c>
      <c r="T159">
        <f t="shared" ref="T159" si="774">S159/1000</f>
        <v>-2.4502147469156747E-2</v>
      </c>
    </row>
    <row r="160" spans="1:20" x14ac:dyDescent="0.25">
      <c r="A160" s="5">
        <v>44433</v>
      </c>
      <c r="B160">
        <v>6.556</v>
      </c>
      <c r="C160">
        <v>7</v>
      </c>
      <c r="D160">
        <v>6.0010000000000003</v>
      </c>
      <c r="E160">
        <v>6.7210000000000001</v>
      </c>
      <c r="F160">
        <v>679754.24300000002</v>
      </c>
      <c r="G160">
        <v>6.7210000000000001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0.44144144144144143</v>
      </c>
      <c r="Q160">
        <f t="shared" ref="Q160" si="776">F160*P160</f>
        <v>300071.69285585586</v>
      </c>
      <c r="R160">
        <f t="shared" ref="R160" si="777">R161+Q160</f>
        <v>-2033905.3370638229</v>
      </c>
      <c r="S160">
        <f t="shared" ref="S160" si="778">R160/100000</f>
        <v>-20.339053370638229</v>
      </c>
      <c r="T160">
        <f t="shared" ref="T160" si="779">S160/1000</f>
        <v>-2.0339053370638228E-2</v>
      </c>
    </row>
    <row r="161" spans="1:20" x14ac:dyDescent="0.25">
      <c r="A161" s="5">
        <v>44432</v>
      </c>
      <c r="B161">
        <v>6.0209999999999999</v>
      </c>
      <c r="C161">
        <v>7.12</v>
      </c>
      <c r="D161">
        <v>5.6150000000000002</v>
      </c>
      <c r="E161">
        <v>6.54</v>
      </c>
      <c r="F161">
        <v>2156849.963</v>
      </c>
      <c r="G161">
        <v>6.54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0.22923588039867096</v>
      </c>
      <c r="Q161">
        <f t="shared" ref="Q161" si="781">F161*P161</f>
        <v>494427.40015614586</v>
      </c>
      <c r="R161">
        <f t="shared" ref="R161" si="782">R162+Q161</f>
        <v>-2333977.0299196788</v>
      </c>
      <c r="S161">
        <f t="shared" ref="S161" si="783">R161/100000</f>
        <v>-23.33977029919679</v>
      </c>
      <c r="T161">
        <f t="shared" ref="T161" si="784">S161/1000</f>
        <v>-2.3339770299196788E-2</v>
      </c>
    </row>
    <row r="162" spans="1:20" x14ac:dyDescent="0.25">
      <c r="A162" s="5">
        <v>44431</v>
      </c>
      <c r="B162">
        <v>4.1619999999999999</v>
      </c>
      <c r="C162">
        <v>6.4</v>
      </c>
      <c r="D162">
        <v>4.0609999999999999</v>
      </c>
      <c r="E162">
        <v>6.0119999999999996</v>
      </c>
      <c r="F162">
        <v>4038425.7990000001</v>
      </c>
      <c r="G162">
        <v>6.0119999999999996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0.66823428815733155</v>
      </c>
      <c r="Q162">
        <f t="shared" ref="Q162" si="786">F162*P162</f>
        <v>2698614.5890709679</v>
      </c>
      <c r="R162">
        <f t="shared" ref="R162" si="787">R163+Q162</f>
        <v>-2828404.4300758247</v>
      </c>
      <c r="S162">
        <f t="shared" ref="S162" si="788">R162/100000</f>
        <v>-28.284044300758246</v>
      </c>
      <c r="T162">
        <f t="shared" ref="T162" si="789">S162/1000</f>
        <v>-2.8284044300758246E-2</v>
      </c>
    </row>
    <row r="163" spans="1:20" x14ac:dyDescent="0.25">
      <c r="A163" s="5">
        <v>44430</v>
      </c>
      <c r="B163">
        <v>4.1619999999999999</v>
      </c>
      <c r="C163">
        <v>4.2389999999999999</v>
      </c>
      <c r="D163">
        <v>4.0620000000000003</v>
      </c>
      <c r="E163">
        <v>4.0860000000000003</v>
      </c>
      <c r="F163">
        <v>43539.281000000003</v>
      </c>
      <c r="G163">
        <v>4.0860000000000003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-0.72881355932203307</v>
      </c>
      <c r="Q163">
        <f t="shared" ref="Q163" si="791">F163*P163</f>
        <v>-31732.01835593217</v>
      </c>
      <c r="R163">
        <f t="shared" ref="R163" si="792">R164+Q163</f>
        <v>-5527019.0191467926</v>
      </c>
      <c r="S163">
        <f t="shared" ref="S163" si="793">R163/100000</f>
        <v>-55.270190191467925</v>
      </c>
      <c r="T163">
        <f t="shared" ref="T163" si="794">S163/1000</f>
        <v>-5.5270190191467929E-2</v>
      </c>
    </row>
    <row r="164" spans="1:20" x14ac:dyDescent="0.25">
      <c r="A164" s="5">
        <v>44429</v>
      </c>
      <c r="B164">
        <v>4.0910000000000002</v>
      </c>
      <c r="C164">
        <v>4.2850000000000001</v>
      </c>
      <c r="D164">
        <v>3.9060000000000001</v>
      </c>
      <c r="E164">
        <v>4.1509999999999998</v>
      </c>
      <c r="F164">
        <v>413952.83899999998</v>
      </c>
      <c r="G164">
        <v>4.1509999999999998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0.29287598944590848</v>
      </c>
      <c r="Q164">
        <f t="shared" ref="Q164" si="796">F164*P164</f>
        <v>121236.84730606785</v>
      </c>
      <c r="R164">
        <f t="shared" ref="R164" si="797">R165+Q164</f>
        <v>-5495287.0007908605</v>
      </c>
      <c r="S164">
        <f t="shared" ref="S164" si="798">R164/100000</f>
        <v>-54.952870007908608</v>
      </c>
      <c r="T164">
        <f t="shared" ref="T164" si="799">S164/1000</f>
        <v>-5.4952870007908605E-2</v>
      </c>
    </row>
    <row r="165" spans="1:20" x14ac:dyDescent="0.25">
      <c r="A165" s="5">
        <v>44428</v>
      </c>
      <c r="B165">
        <v>3.8159999999999998</v>
      </c>
      <c r="C165">
        <v>4.1909999999999998</v>
      </c>
      <c r="D165">
        <v>3.7879999999999998</v>
      </c>
      <c r="E165">
        <v>4.09</v>
      </c>
      <c r="F165">
        <v>620031.89500000002</v>
      </c>
      <c r="G165">
        <v>4.09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0.49875930521091827</v>
      </c>
      <c r="Q165">
        <f t="shared" ref="Q165" si="801">F165*P165</f>
        <v>309246.67715880903</v>
      </c>
      <c r="R165">
        <f t="shared" ref="R165" si="802">R166+Q165</f>
        <v>-5616523.8480969286</v>
      </c>
      <c r="S165">
        <f t="shared" ref="S165" si="803">R165/100000</f>
        <v>-56.165238480969286</v>
      </c>
      <c r="T165">
        <f t="shared" ref="T165" si="804">S165/1000</f>
        <v>-5.6165238480969285E-2</v>
      </c>
    </row>
    <row r="166" spans="1:20" x14ac:dyDescent="0.25">
      <c r="A166" s="5">
        <v>44427</v>
      </c>
      <c r="B166">
        <v>3.7290000000000001</v>
      </c>
      <c r="C166">
        <v>4</v>
      </c>
      <c r="D166">
        <v>3.69</v>
      </c>
      <c r="E166">
        <v>3.8159999999999998</v>
      </c>
      <c r="F166">
        <v>541985.87199999997</v>
      </c>
      <c r="G166">
        <v>3.8159999999999998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-0.18709677419354923</v>
      </c>
      <c r="Q166">
        <f t="shared" ref="Q166" si="806">F166*P166</f>
        <v>-101403.80830967787</v>
      </c>
      <c r="R166">
        <f t="shared" ref="R166" si="807">R167+Q166</f>
        <v>-5925770.5252557378</v>
      </c>
      <c r="S166">
        <f t="shared" ref="S166" si="808">R166/100000</f>
        <v>-59.257705252557379</v>
      </c>
      <c r="T166">
        <f t="shared" ref="T166" si="809">S166/1000</f>
        <v>-5.9257705252557379E-2</v>
      </c>
    </row>
    <row r="167" spans="1:20" x14ac:dyDescent="0.25">
      <c r="A167" s="5">
        <v>44426</v>
      </c>
      <c r="B167">
        <v>3.7109999999999999</v>
      </c>
      <c r="C167">
        <v>3.92</v>
      </c>
      <c r="D167">
        <v>3.6549999999999998</v>
      </c>
      <c r="E167">
        <v>3.73</v>
      </c>
      <c r="F167">
        <v>334265.06</v>
      </c>
      <c r="G167">
        <v>3.73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-0.4339622641509423</v>
      </c>
      <c r="Q167">
        <f t="shared" ref="Q167" si="811">F167*P167</f>
        <v>-145058.42226415058</v>
      </c>
      <c r="R167">
        <f t="shared" ref="R167" si="812">R168+Q167</f>
        <v>-5824366.7169460598</v>
      </c>
      <c r="S167">
        <f t="shared" ref="S167" si="813">R167/100000</f>
        <v>-58.243667169460601</v>
      </c>
      <c r="T167">
        <f t="shared" ref="T167" si="814">S167/1000</f>
        <v>-5.8243667169460597E-2</v>
      </c>
    </row>
    <row r="168" spans="1:20" x14ac:dyDescent="0.25">
      <c r="A168" s="5">
        <v>44425</v>
      </c>
      <c r="B168">
        <v>3.97</v>
      </c>
      <c r="C168">
        <v>4.08</v>
      </c>
      <c r="D168">
        <v>3.6859999999999999</v>
      </c>
      <c r="E168">
        <v>3.7120000000000002</v>
      </c>
      <c r="F168">
        <v>344722.93199999997</v>
      </c>
      <c r="G168">
        <v>3.7120000000000002</v>
      </c>
      <c r="L168" t="s">
        <v>8</v>
      </c>
      <c r="M168" t="s">
        <v>7</v>
      </c>
      <c r="N168" t="s">
        <v>8</v>
      </c>
      <c r="P168">
        <f t="shared" ref="P168" si="815">IF(C168=D168,0,((E168-D168)-(C168-E168))/(C168-D168))</f>
        <v>-0.86802030456852675</v>
      </c>
      <c r="Q168">
        <f t="shared" ref="Q168" si="816">F168*P168</f>
        <v>-299226.50442639552</v>
      </c>
      <c r="R168">
        <f t="shared" ref="R168" si="817">R169+Q168</f>
        <v>-5679308.2946819095</v>
      </c>
      <c r="S168">
        <f t="shared" ref="S168" si="818">R168/100000</f>
        <v>-56.793082946819098</v>
      </c>
      <c r="T168">
        <f t="shared" ref="T168" si="819">S168/1000</f>
        <v>-5.6793082946819097E-2</v>
      </c>
    </row>
    <row r="169" spans="1:20" x14ac:dyDescent="0.25">
      <c r="A169" s="5">
        <v>44424</v>
      </c>
      <c r="B169">
        <v>3.9390000000000001</v>
      </c>
      <c r="C169">
        <v>4.0659999999999998</v>
      </c>
      <c r="D169">
        <v>3.7010000000000001</v>
      </c>
      <c r="E169">
        <v>3.9849999999999999</v>
      </c>
      <c r="F169">
        <v>590486.08200000005</v>
      </c>
      <c r="G169">
        <v>3.9849999999999999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0.55616438356164377</v>
      </c>
      <c r="Q169">
        <f t="shared" ref="Q169" si="821">F169*P169</f>
        <v>328407.32779726025</v>
      </c>
      <c r="R169">
        <f t="shared" ref="R169" si="822">R170+Q169</f>
        <v>-5380081.790255514</v>
      </c>
      <c r="S169">
        <f t="shared" ref="S169" si="823">R169/100000</f>
        <v>-53.800817902555139</v>
      </c>
      <c r="T169">
        <f t="shared" ref="T169" si="824">S169/1000</f>
        <v>-5.3800817902555136E-2</v>
      </c>
    </row>
    <row r="170" spans="1:20" x14ac:dyDescent="0.25">
      <c r="A170" s="5">
        <v>44423</v>
      </c>
      <c r="B170">
        <v>4.0919999999999996</v>
      </c>
      <c r="C170">
        <v>4.2080000000000002</v>
      </c>
      <c r="D170">
        <v>3.68</v>
      </c>
      <c r="E170">
        <v>3.9529999999999998</v>
      </c>
      <c r="F170">
        <v>1050135.0989999999</v>
      </c>
      <c r="G170">
        <v>3.9529999999999998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3.409090909090786E-2</v>
      </c>
      <c r="Q170">
        <f t="shared" ref="Q170" si="826">F170*P170</f>
        <v>35800.060193180521</v>
      </c>
      <c r="R170">
        <f t="shared" ref="R170" si="827">R171+Q170</f>
        <v>-5708489.1180527741</v>
      </c>
      <c r="S170">
        <f t="shared" ref="S170" si="828">R170/100000</f>
        <v>-57.084891180527741</v>
      </c>
      <c r="T170">
        <f t="shared" ref="T170" si="829">S170/1000</f>
        <v>-5.7084891180527744E-2</v>
      </c>
    </row>
    <row r="171" spans="1:20" x14ac:dyDescent="0.25">
      <c r="A171" s="5">
        <v>44422</v>
      </c>
      <c r="B171">
        <v>3.4220000000000002</v>
      </c>
      <c r="C171">
        <v>4.42</v>
      </c>
      <c r="D171">
        <v>3.355</v>
      </c>
      <c r="E171">
        <v>4.0910000000000002</v>
      </c>
      <c r="F171">
        <v>3448927.4720000001</v>
      </c>
      <c r="G171">
        <v>4.0910000000000002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0.38215962441314599</v>
      </c>
      <c r="Q171">
        <f t="shared" ref="Q171" si="831">F171*P171</f>
        <v>1318040.827327701</v>
      </c>
      <c r="R171">
        <f t="shared" ref="R171" si="832">R172+Q171</f>
        <v>-5744289.1782459542</v>
      </c>
      <c r="S171">
        <f t="shared" ref="S171" si="833">R171/100000</f>
        <v>-57.44289178245954</v>
      </c>
      <c r="T171">
        <f t="shared" ref="T171" si="834">S171/1000</f>
        <v>-5.7442891782459538E-2</v>
      </c>
    </row>
    <row r="172" spans="1:20" x14ac:dyDescent="0.25">
      <c r="A172" s="5">
        <v>44421</v>
      </c>
      <c r="B172">
        <v>3.214</v>
      </c>
      <c r="C172">
        <v>3.4590000000000001</v>
      </c>
      <c r="D172">
        <v>3.202</v>
      </c>
      <c r="E172">
        <v>3.4220000000000002</v>
      </c>
      <c r="F172">
        <v>642628.88100000005</v>
      </c>
      <c r="G172">
        <v>3.4220000000000002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0.71206225680933921</v>
      </c>
      <c r="Q172">
        <f t="shared" ref="Q172" si="836">F172*P172</f>
        <v>457591.7712957203</v>
      </c>
      <c r="R172">
        <f t="shared" ref="R172" si="837">R173+Q172</f>
        <v>-7062330.0055736555</v>
      </c>
      <c r="S172">
        <f t="shared" ref="S172" si="838">R172/100000</f>
        <v>-70.62330005573655</v>
      </c>
      <c r="T172">
        <f t="shared" ref="T172" si="839">S172/1000</f>
        <v>-7.0623300055736554E-2</v>
      </c>
    </row>
    <row r="173" spans="1:20" x14ac:dyDescent="0.25">
      <c r="A173" s="5">
        <v>44420</v>
      </c>
      <c r="B173">
        <v>3.3340000000000001</v>
      </c>
      <c r="C173">
        <v>3.45</v>
      </c>
      <c r="D173">
        <v>3.1619999999999999</v>
      </c>
      <c r="E173">
        <v>3.2120000000000002</v>
      </c>
      <c r="F173">
        <v>718106.36199999996</v>
      </c>
      <c r="G173">
        <v>3.2120000000000002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-0.65277777777777624</v>
      </c>
      <c r="Q173">
        <f t="shared" ref="Q173" si="841">F173*P173</f>
        <v>-468763.87519444333</v>
      </c>
      <c r="R173">
        <f t="shared" ref="R173" si="842">R174+Q173</f>
        <v>-7519921.7768693762</v>
      </c>
      <c r="S173">
        <f t="shared" ref="S173" si="843">R173/100000</f>
        <v>-75.199217768693757</v>
      </c>
      <c r="T173">
        <f t="shared" ref="T173" si="844">S173/1000</f>
        <v>-7.519921776869376E-2</v>
      </c>
    </row>
    <row r="174" spans="1:20" x14ac:dyDescent="0.25">
      <c r="A174" s="5">
        <v>44419</v>
      </c>
      <c r="B174">
        <v>3.2069999999999999</v>
      </c>
      <c r="C174">
        <v>3.4609999999999999</v>
      </c>
      <c r="D174">
        <v>3.1659999999999999</v>
      </c>
      <c r="E174">
        <v>3.3340000000000001</v>
      </c>
      <c r="F174">
        <v>651466.58799999999</v>
      </c>
      <c r="G174">
        <v>3.3340000000000001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0.13898305084745891</v>
      </c>
      <c r="Q174">
        <f t="shared" ref="Q174" si="846">F174*P174</f>
        <v>90542.813925424562</v>
      </c>
      <c r="R174">
        <f t="shared" ref="R174" si="847">R175+Q174</f>
        <v>-7051157.9016749328</v>
      </c>
      <c r="S174">
        <f t="shared" ref="S174" si="848">R174/100000</f>
        <v>-70.511579016749323</v>
      </c>
      <c r="T174">
        <f t="shared" ref="T174" si="849">S174/1000</f>
        <v>-7.0511579016749329E-2</v>
      </c>
    </row>
    <row r="175" spans="1:20" x14ac:dyDescent="0.25">
      <c r="A175" s="5">
        <v>44418</v>
      </c>
      <c r="B175">
        <v>3.2410000000000001</v>
      </c>
      <c r="C175">
        <v>3.323</v>
      </c>
      <c r="D175">
        <v>3.1179999999999999</v>
      </c>
      <c r="E175">
        <v>3.2080000000000002</v>
      </c>
      <c r="F175">
        <v>487166.41600000003</v>
      </c>
      <c r="G175">
        <v>3.2080000000000002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-0.12195121951219248</v>
      </c>
      <c r="Q175">
        <f t="shared" ref="Q175" si="851">F175*P175</f>
        <v>-59410.538536584085</v>
      </c>
      <c r="R175">
        <f t="shared" ref="R175" si="852">R176+Q175</f>
        <v>-7141700.7156003574</v>
      </c>
      <c r="S175">
        <f t="shared" ref="S175" si="853">R175/100000</f>
        <v>-71.417007156003578</v>
      </c>
      <c r="T175">
        <f t="shared" ref="T175" si="854">S175/1000</f>
        <v>-7.1417007156003576E-2</v>
      </c>
    </row>
    <row r="176" spans="1:20" x14ac:dyDescent="0.25">
      <c r="A176" s="5">
        <v>44417</v>
      </c>
      <c r="B176">
        <v>3.1789999999999998</v>
      </c>
      <c r="C176">
        <v>3.48</v>
      </c>
      <c r="D176">
        <v>3.1669999999999998</v>
      </c>
      <c r="E176">
        <v>3.2349999999999999</v>
      </c>
      <c r="F176">
        <v>1042682.862</v>
      </c>
      <c r="G176">
        <v>3.2349999999999999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-0.56549520766773143</v>
      </c>
      <c r="Q176">
        <f t="shared" ref="Q176" si="856">F176*P176</f>
        <v>-589632.16157827456</v>
      </c>
      <c r="R176">
        <f t="shared" ref="R176" si="857">R177+Q176</f>
        <v>-7082290.1770637734</v>
      </c>
      <c r="S176">
        <f t="shared" ref="S176" si="858">R176/100000</f>
        <v>-70.822901770637728</v>
      </c>
      <c r="T176">
        <f t="shared" ref="T176" si="859">S176/1000</f>
        <v>-7.0822901770637728E-2</v>
      </c>
    </row>
    <row r="177" spans="1:20" x14ac:dyDescent="0.25">
      <c r="A177" s="5">
        <v>44416</v>
      </c>
      <c r="B177">
        <v>3.1179999999999999</v>
      </c>
      <c r="C177">
        <v>3.2930000000000001</v>
      </c>
      <c r="D177">
        <v>3.0430000000000001</v>
      </c>
      <c r="E177">
        <v>3.1779999999999999</v>
      </c>
      <c r="F177">
        <v>561339.95600000001</v>
      </c>
      <c r="G177">
        <v>3.1779999999999999</v>
      </c>
      <c r="L177" t="s">
        <v>8</v>
      </c>
      <c r="M177" t="s">
        <v>7</v>
      </c>
      <c r="N177" t="s">
        <v>8</v>
      </c>
      <c r="P177">
        <f t="shared" ref="P177" si="860">IF(C177=D177,0,((E177-D177)-(C177-E177))/(C177-D177))</f>
        <v>7.9999999999998295E-2</v>
      </c>
      <c r="Q177">
        <f t="shared" ref="Q177" si="861">F177*P177</f>
        <v>44907.196479999046</v>
      </c>
      <c r="R177">
        <f t="shared" ref="R177" si="862">R178+Q177</f>
        <v>-6492658.0154854991</v>
      </c>
      <c r="S177">
        <f t="shared" ref="S177" si="863">R177/100000</f>
        <v>-64.926580154854989</v>
      </c>
      <c r="T177">
        <f t="shared" ref="T177" si="864">S177/1000</f>
        <v>-6.4926580154854988E-2</v>
      </c>
    </row>
    <row r="178" spans="1:20" x14ac:dyDescent="0.25">
      <c r="A178" s="5">
        <v>44415</v>
      </c>
      <c r="B178">
        <v>3.0150000000000001</v>
      </c>
      <c r="C178">
        <v>3.1840000000000002</v>
      </c>
      <c r="D178">
        <v>2.9820000000000002</v>
      </c>
      <c r="E178">
        <v>3.12</v>
      </c>
      <c r="F178">
        <v>796668.64800000004</v>
      </c>
      <c r="G178">
        <v>3.12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0.36633663366336566</v>
      </c>
      <c r="Q178">
        <f t="shared" ref="Q178" si="866">F178*P178</f>
        <v>291848.91065346485</v>
      </c>
      <c r="R178">
        <f t="shared" ref="R178" si="867">R179+Q178</f>
        <v>-6537565.2119654985</v>
      </c>
      <c r="S178">
        <f t="shared" ref="S178" si="868">R178/100000</f>
        <v>-65.375652119654987</v>
      </c>
      <c r="T178">
        <f t="shared" ref="T178" si="869">S178/1000</f>
        <v>-6.5375652119654987E-2</v>
      </c>
    </row>
    <row r="179" spans="1:20" x14ac:dyDescent="0.25">
      <c r="A179" s="5">
        <v>44414</v>
      </c>
      <c r="B179">
        <v>2.9860000000000002</v>
      </c>
      <c r="C179">
        <v>3.1070000000000002</v>
      </c>
      <c r="D179">
        <v>2.9430000000000001</v>
      </c>
      <c r="E179">
        <v>3.0259999999999998</v>
      </c>
      <c r="F179">
        <v>203090.875</v>
      </c>
      <c r="G179">
        <v>3.0259999999999998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1.219512195121545E-2</v>
      </c>
      <c r="Q179">
        <f t="shared" ref="Q179" si="871">F179*P179</f>
        <v>2476.7179878040529</v>
      </c>
      <c r="R179">
        <f t="shared" ref="R179" si="872">R180+Q179</f>
        <v>-6829414.122618963</v>
      </c>
      <c r="S179">
        <f t="shared" ref="S179" si="873">R179/100000</f>
        <v>-68.294141226189623</v>
      </c>
      <c r="T179">
        <f t="shared" ref="T179" si="874">S179/1000</f>
        <v>-6.8294141226189625E-2</v>
      </c>
    </row>
    <row r="180" spans="1:20" x14ac:dyDescent="0.25">
      <c r="A180" s="5">
        <v>44413</v>
      </c>
      <c r="B180">
        <v>3.0019999999999998</v>
      </c>
      <c r="C180">
        <v>3.2</v>
      </c>
      <c r="D180">
        <v>2.9119999999999999</v>
      </c>
      <c r="E180">
        <v>2.976</v>
      </c>
      <c r="F180">
        <v>243719.55300000001</v>
      </c>
      <c r="G180">
        <v>2.976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-0.55555555555555558</v>
      </c>
      <c r="Q180">
        <f t="shared" ref="Q180" si="876">F180*P180</f>
        <v>-135399.75166666668</v>
      </c>
      <c r="R180">
        <f t="shared" ref="R180" si="877">R181+Q180</f>
        <v>-6831890.8406067668</v>
      </c>
      <c r="S180">
        <f t="shared" ref="S180" si="878">R180/100000</f>
        <v>-68.318908406067663</v>
      </c>
      <c r="T180">
        <f t="shared" ref="T180" si="879">S180/1000</f>
        <v>-6.8318908406067663E-2</v>
      </c>
    </row>
    <row r="181" spans="1:20" x14ac:dyDescent="0.25">
      <c r="A181" s="5">
        <v>44412</v>
      </c>
      <c r="B181">
        <v>2.9670000000000001</v>
      </c>
      <c r="C181">
        <v>3.0750000000000002</v>
      </c>
      <c r="D181">
        <v>2.9409999999999998</v>
      </c>
      <c r="E181">
        <v>3.008</v>
      </c>
      <c r="F181">
        <v>88032.523000000001</v>
      </c>
      <c r="G181">
        <v>3.008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</v>
      </c>
      <c r="Q181">
        <f t="shared" ref="Q181" si="881">F181*P181</f>
        <v>0</v>
      </c>
      <c r="R181">
        <f t="shared" ref="R181" si="882">R182+Q181</f>
        <v>-6696491.0889400998</v>
      </c>
      <c r="S181">
        <f t="shared" ref="S181" si="883">R181/100000</f>
        <v>-66.964910889400997</v>
      </c>
      <c r="T181">
        <f t="shared" ref="T181" si="884">S181/1000</f>
        <v>-6.6964910889401E-2</v>
      </c>
    </row>
    <row r="182" spans="1:20" x14ac:dyDescent="0.25">
      <c r="A182" s="5">
        <v>44411</v>
      </c>
      <c r="B182">
        <v>3.081</v>
      </c>
      <c r="C182">
        <v>3.125</v>
      </c>
      <c r="D182">
        <v>2.9569999999999999</v>
      </c>
      <c r="E182">
        <v>2.9660000000000002</v>
      </c>
      <c r="F182">
        <v>65127.671999999999</v>
      </c>
      <c r="G182">
        <v>2.9660000000000002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-0.89285714285713891</v>
      </c>
      <c r="Q182">
        <f t="shared" ref="Q182" si="886">F182*P182</f>
        <v>-58149.707142856882</v>
      </c>
      <c r="R182">
        <f t="shared" ref="R182" si="887">R183+Q182</f>
        <v>-6696491.0889400998</v>
      </c>
      <c r="S182">
        <f t="shared" ref="S182" si="888">R182/100000</f>
        <v>-66.964910889400997</v>
      </c>
      <c r="T182">
        <f t="shared" ref="T182" si="889">S182/1000</f>
        <v>-6.6964910889401E-2</v>
      </c>
    </row>
    <row r="183" spans="1:20" x14ac:dyDescent="0.25">
      <c r="A183" s="5">
        <v>44410</v>
      </c>
      <c r="B183">
        <v>2.968</v>
      </c>
      <c r="C183">
        <v>3.274</v>
      </c>
      <c r="D183">
        <v>2.9590000000000001</v>
      </c>
      <c r="E183">
        <v>3.0950000000000002</v>
      </c>
      <c r="F183">
        <v>270428.38799999998</v>
      </c>
      <c r="G183">
        <v>3.0950000000000002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-0.13650793650793561</v>
      </c>
      <c r="Q183">
        <f t="shared" ref="Q183" si="891">F183*P183</f>
        <v>-36915.621219047374</v>
      </c>
      <c r="R183">
        <f t="shared" ref="R183" si="892">R184+Q183</f>
        <v>-6638341.3817972429</v>
      </c>
      <c r="S183">
        <f t="shared" ref="S183" si="893">R183/100000</f>
        <v>-66.383413817972425</v>
      </c>
      <c r="T183">
        <f t="shared" ref="T183" si="894">S183/1000</f>
        <v>-6.6383413817972428E-2</v>
      </c>
    </row>
    <row r="184" spans="1:20" x14ac:dyDescent="0.25">
      <c r="A184" s="5">
        <v>44409</v>
      </c>
      <c r="B184">
        <v>3.052</v>
      </c>
      <c r="C184">
        <v>3.15</v>
      </c>
      <c r="D184">
        <v>2.972</v>
      </c>
      <c r="E184">
        <v>2.9740000000000002</v>
      </c>
      <c r="F184">
        <v>147035.302</v>
      </c>
      <c r="G184">
        <v>2.9740000000000002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-0.97752808988763795</v>
      </c>
      <c r="Q184">
        <f t="shared" ref="Q184" si="896">F184*P184</f>
        <v>-143731.13791011198</v>
      </c>
      <c r="R184">
        <f t="shared" ref="R184" si="897">R185+Q184</f>
        <v>-6601425.7605781956</v>
      </c>
      <c r="S184">
        <f t="shared" ref="S184" si="898">R184/100000</f>
        <v>-66.01425760578195</v>
      </c>
      <c r="T184">
        <f t="shared" ref="T184" si="899">S184/1000</f>
        <v>-6.6014257605781945E-2</v>
      </c>
    </row>
    <row r="185" spans="1:20" x14ac:dyDescent="0.25">
      <c r="A185" s="5">
        <v>44408</v>
      </c>
      <c r="B185">
        <v>3.0569999999999999</v>
      </c>
      <c r="C185">
        <v>3.113</v>
      </c>
      <c r="D185">
        <v>3.0310000000000001</v>
      </c>
      <c r="E185">
        <v>3.0510000000000002</v>
      </c>
      <c r="F185">
        <v>140521.27100000001</v>
      </c>
      <c r="G185">
        <v>3.0510000000000002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-0.51219512195121819</v>
      </c>
      <c r="Q185">
        <f t="shared" ref="Q185" si="901">F185*P185</f>
        <v>-71974.309536585191</v>
      </c>
      <c r="R185">
        <f t="shared" ref="R185" si="902">R186+Q185</f>
        <v>-6457694.6226680838</v>
      </c>
      <c r="S185">
        <f t="shared" ref="S185" si="903">R185/100000</f>
        <v>-64.576946226680832</v>
      </c>
      <c r="T185">
        <f t="shared" ref="T185" si="904">S185/1000</f>
        <v>-6.4576946226680837E-2</v>
      </c>
    </row>
    <row r="186" spans="1:20" x14ac:dyDescent="0.25">
      <c r="A186" s="5">
        <v>44407</v>
      </c>
      <c r="B186">
        <v>2.9569999999999999</v>
      </c>
      <c r="C186">
        <v>3.5</v>
      </c>
      <c r="D186">
        <v>2.9289999999999998</v>
      </c>
      <c r="E186">
        <v>3.0550000000000002</v>
      </c>
      <c r="F186">
        <v>862656.47100000002</v>
      </c>
      <c r="G186">
        <v>3.0550000000000002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-0.5586690017513124</v>
      </c>
      <c r="Q186">
        <f t="shared" ref="Q186" si="906">F186*P186</f>
        <v>-481939.42950788001</v>
      </c>
      <c r="R186">
        <f t="shared" ref="R186" si="907">R187+Q186</f>
        <v>-6385720.3131314982</v>
      </c>
      <c r="S186">
        <f t="shared" ref="S186" si="908">R186/100000</f>
        <v>-63.857203131314982</v>
      </c>
      <c r="T186">
        <f t="shared" ref="T186" si="909">S186/1000</f>
        <v>-6.3857203131314988E-2</v>
      </c>
    </row>
    <row r="187" spans="1:20" x14ac:dyDescent="0.25">
      <c r="A187" s="5">
        <v>44406</v>
      </c>
      <c r="B187">
        <v>2.919</v>
      </c>
      <c r="C187">
        <v>2.9790000000000001</v>
      </c>
      <c r="D187">
        <v>2.7930000000000001</v>
      </c>
      <c r="E187">
        <v>2.9569999999999999</v>
      </c>
      <c r="F187">
        <v>293077.05599999998</v>
      </c>
      <c r="G187">
        <v>2.9569999999999999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0.76344086021505109</v>
      </c>
      <c r="Q187">
        <f t="shared" ref="Q187" si="911">F187*P187</f>
        <v>223746.99974193468</v>
      </c>
      <c r="R187">
        <f t="shared" ref="R187" si="912">R188+Q187</f>
        <v>-5903780.8836236177</v>
      </c>
      <c r="S187">
        <f t="shared" ref="S187" si="913">R187/100000</f>
        <v>-59.037808836236174</v>
      </c>
      <c r="T187">
        <f t="shared" ref="T187" si="914">S187/1000</f>
        <v>-5.9037808836236175E-2</v>
      </c>
    </row>
    <row r="188" spans="1:20" x14ac:dyDescent="0.25">
      <c r="A188" s="5">
        <v>44405</v>
      </c>
      <c r="B188">
        <v>3.085</v>
      </c>
      <c r="C188">
        <v>3.0859999999999999</v>
      </c>
      <c r="D188">
        <v>2.8239999999999998</v>
      </c>
      <c r="E188">
        <v>2.9060000000000001</v>
      </c>
      <c r="F188">
        <v>455836.97100000002</v>
      </c>
      <c r="G188">
        <v>2.9060000000000001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-0.37404580152671535</v>
      </c>
      <c r="Q188">
        <f t="shared" ref="Q188" si="916">F188*P188</f>
        <v>-170503.90518320512</v>
      </c>
      <c r="R188">
        <f t="shared" ref="R188" si="917">R189+Q188</f>
        <v>-6127527.8833655519</v>
      </c>
      <c r="S188">
        <f t="shared" ref="S188" si="918">R188/100000</f>
        <v>-61.27527883365552</v>
      </c>
      <c r="T188">
        <f t="shared" ref="T188" si="919">S188/1000</f>
        <v>-6.1275278833655522E-2</v>
      </c>
    </row>
    <row r="189" spans="1:20" x14ac:dyDescent="0.25">
      <c r="A189" s="5">
        <v>44404</v>
      </c>
      <c r="B189">
        <v>3.1429999999999998</v>
      </c>
      <c r="C189">
        <v>3.2090000000000001</v>
      </c>
      <c r="D189">
        <v>3.01</v>
      </c>
      <c r="E189">
        <v>3.0960000000000001</v>
      </c>
      <c r="F189">
        <v>227552.03899999999</v>
      </c>
      <c r="G189">
        <v>3.0960000000000001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-0.13567839195979725</v>
      </c>
      <c r="Q189">
        <f t="shared" ref="Q189" si="921">F189*P189</f>
        <v>-30873.89473869307</v>
      </c>
      <c r="R189">
        <f t="shared" ref="R189" si="922">R190+Q189</f>
        <v>-5957023.9781823466</v>
      </c>
      <c r="S189">
        <f t="shared" ref="S189" si="923">R189/100000</f>
        <v>-59.570239781823467</v>
      </c>
      <c r="T189">
        <f t="shared" ref="T189" si="924">S189/1000</f>
        <v>-5.9570239781823464E-2</v>
      </c>
    </row>
    <row r="190" spans="1:20" x14ac:dyDescent="0.25">
      <c r="A190" s="5">
        <v>44403</v>
      </c>
      <c r="B190">
        <v>3.391</v>
      </c>
      <c r="C190">
        <v>3.4649999999999999</v>
      </c>
      <c r="D190">
        <v>3.11</v>
      </c>
      <c r="E190">
        <v>3.1509999999999998</v>
      </c>
      <c r="F190">
        <v>232934.78899999999</v>
      </c>
      <c r="G190">
        <v>3.1509999999999998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-0.76901408450704267</v>
      </c>
      <c r="Q190">
        <f t="shared" ref="Q190" si="926">F190*P190</f>
        <v>-179130.13351267614</v>
      </c>
      <c r="R190">
        <f t="shared" ref="R190" si="927">R191+Q190</f>
        <v>-5926150.0834436538</v>
      </c>
      <c r="S190">
        <f t="shared" ref="S190" si="928">R190/100000</f>
        <v>-59.261500834436539</v>
      </c>
      <c r="T190">
        <f t="shared" ref="T190" si="929">S190/1000</f>
        <v>-5.9261500834436542E-2</v>
      </c>
    </row>
    <row r="191" spans="1:20" x14ac:dyDescent="0.25">
      <c r="A191" s="5">
        <v>44402</v>
      </c>
      <c r="B191">
        <v>3.3340000000000001</v>
      </c>
      <c r="C191">
        <v>3.6349999999999998</v>
      </c>
      <c r="D191">
        <v>3.2029999999999998</v>
      </c>
      <c r="E191">
        <v>3.391</v>
      </c>
      <c r="F191">
        <v>373873.06300000002</v>
      </c>
      <c r="G191">
        <v>3.391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-0.12962962962962873</v>
      </c>
      <c r="Q191">
        <f t="shared" ref="Q191" si="931">F191*P191</f>
        <v>-48465.02668518485</v>
      </c>
      <c r="R191">
        <f t="shared" ref="R191" si="932">R192+Q191</f>
        <v>-5747019.949930978</v>
      </c>
      <c r="S191">
        <f t="shared" ref="S191" si="933">R191/100000</f>
        <v>-57.470199499309778</v>
      </c>
      <c r="T191">
        <f t="shared" ref="T191:T197" si="934">S191/1000</f>
        <v>-5.7470199499309781E-2</v>
      </c>
    </row>
    <row r="192" spans="1:20" x14ac:dyDescent="0.25">
      <c r="A192" s="5">
        <v>44401</v>
      </c>
      <c r="B192">
        <v>3.43</v>
      </c>
      <c r="C192">
        <v>3.5</v>
      </c>
      <c r="D192">
        <v>3.2509999999999999</v>
      </c>
      <c r="E192">
        <v>3.3359999999999999</v>
      </c>
      <c r="F192">
        <v>227610.24100000001</v>
      </c>
      <c r="G192">
        <v>3.3359999999999999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-0.3172690763052215</v>
      </c>
      <c r="Q192">
        <f t="shared" ref="Q192" si="936">F192*P192</f>
        <v>-72213.690919678862</v>
      </c>
      <c r="R192">
        <f t="shared" ref="R192" si="937">R193+Q192</f>
        <v>-5698554.9232457932</v>
      </c>
      <c r="S192">
        <f t="shared" ref="S192" si="938">R192/100000</f>
        <v>-56.985549232457934</v>
      </c>
      <c r="T192">
        <f t="shared" si="934"/>
        <v>-5.6985549232457931E-2</v>
      </c>
    </row>
    <row r="193" spans="1:20" x14ac:dyDescent="0.25">
      <c r="A193" s="5">
        <v>44400</v>
      </c>
      <c r="B193">
        <v>3.4180000000000001</v>
      </c>
      <c r="C193">
        <v>3.5990000000000002</v>
      </c>
      <c r="D193">
        <v>3.3050000000000002</v>
      </c>
      <c r="E193">
        <v>3.4209999999999998</v>
      </c>
      <c r="F193">
        <v>347786.16499999998</v>
      </c>
      <c r="G193">
        <v>3.4209999999999998</v>
      </c>
      <c r="L193" t="s">
        <v>7</v>
      </c>
      <c r="M193" t="s">
        <v>8</v>
      </c>
      <c r="N193" t="s">
        <v>8</v>
      </c>
      <c r="P193">
        <f t="shared" ref="P193" si="939">IF(C193=D193,0,((E193-D193)-(C193-E193))/(C193-D193))</f>
        <v>-0.21088435374149903</v>
      </c>
      <c r="Q193">
        <f t="shared" ref="Q193" si="940">F193*P193</f>
        <v>-73342.660646259348</v>
      </c>
      <c r="R193">
        <f t="shared" ref="R193" si="941">R194+Q193</f>
        <v>-5626341.2323261146</v>
      </c>
      <c r="S193">
        <f t="shared" ref="S193" si="942">R193/100000</f>
        <v>-56.263412323261143</v>
      </c>
      <c r="T193">
        <f t="shared" si="934"/>
        <v>-5.6263412323261146E-2</v>
      </c>
    </row>
    <row r="194" spans="1:20" x14ac:dyDescent="0.25">
      <c r="A194" s="5">
        <v>44399</v>
      </c>
      <c r="B194">
        <v>3.4849999999999999</v>
      </c>
      <c r="C194">
        <v>3.508</v>
      </c>
      <c r="D194">
        <v>3.347</v>
      </c>
      <c r="E194">
        <v>3.4209999999999998</v>
      </c>
      <c r="F194">
        <v>235410.69500000001</v>
      </c>
      <c r="G194">
        <v>3.4209999999999998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-8.0745341614908955E-2</v>
      </c>
      <c r="Q194">
        <f t="shared" ref="Q194" si="944">F194*P194</f>
        <v>-19008.316987578139</v>
      </c>
      <c r="R194">
        <f t="shared" ref="R194" si="945">R195+Q194</f>
        <v>-5552998.5716798548</v>
      </c>
      <c r="S194">
        <f t="shared" ref="S194" si="946">R194/100000</f>
        <v>-55.529985716798549</v>
      </c>
      <c r="T194">
        <f t="shared" si="934"/>
        <v>-5.5529985716798548E-2</v>
      </c>
    </row>
    <row r="195" spans="1:20" x14ac:dyDescent="0.25">
      <c r="A195" s="5">
        <v>44398</v>
      </c>
      <c r="B195">
        <v>3.5009999999999999</v>
      </c>
      <c r="C195">
        <v>3.6379999999999999</v>
      </c>
      <c r="D195">
        <v>3.35</v>
      </c>
      <c r="E195">
        <v>3.476</v>
      </c>
      <c r="F195">
        <v>622917.01100000006</v>
      </c>
      <c r="G195">
        <v>3.476</v>
      </c>
      <c r="L195" t="s">
        <v>7</v>
      </c>
      <c r="M195" t="s">
        <v>8</v>
      </c>
      <c r="N195" t="s">
        <v>8</v>
      </c>
      <c r="P195">
        <f t="shared" ref="P195" si="947">IF(C195=D195,0,((E195-D195)-(C195-E195))/(C195-D195))</f>
        <v>-0.12500000000000019</v>
      </c>
      <c r="Q195">
        <f t="shared" ref="Q195" si="948">F195*P195</f>
        <v>-77864.626375000124</v>
      </c>
      <c r="R195">
        <f t="shared" ref="R195" si="949">R196+Q195</f>
        <v>-5533990.2546922769</v>
      </c>
      <c r="S195">
        <f t="shared" ref="S195" si="950">R195/100000</f>
        <v>-55.339902546922772</v>
      </c>
      <c r="T195">
        <f t="shared" si="934"/>
        <v>-5.5339902546922774E-2</v>
      </c>
    </row>
    <row r="196" spans="1:20" x14ac:dyDescent="0.25">
      <c r="A196" s="5">
        <v>44397</v>
      </c>
      <c r="B196">
        <v>3.2210000000000001</v>
      </c>
      <c r="C196">
        <v>3.6960000000000002</v>
      </c>
      <c r="D196">
        <v>3.133</v>
      </c>
      <c r="E196">
        <v>3.496</v>
      </c>
      <c r="F196">
        <v>900899.46299999999</v>
      </c>
      <c r="G196">
        <v>3.496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0.28952042628774383</v>
      </c>
      <c r="Q196">
        <f t="shared" ref="Q196" si="952">F196*P196</f>
        <v>260828.79657015949</v>
      </c>
      <c r="R196">
        <f t="shared" ref="R196" si="953">R197+Q196</f>
        <v>-5456125.6283172769</v>
      </c>
      <c r="S196">
        <f t="shared" ref="S196" si="954">R196/100000</f>
        <v>-54.561256283172767</v>
      </c>
      <c r="T196">
        <f t="shared" si="934"/>
        <v>-5.4561256283172765E-2</v>
      </c>
    </row>
    <row r="197" spans="1:20" x14ac:dyDescent="0.25">
      <c r="A197" s="5">
        <v>44396</v>
      </c>
      <c r="B197">
        <v>3.03</v>
      </c>
      <c r="C197">
        <v>3.4</v>
      </c>
      <c r="D197">
        <v>3.0019999999999998</v>
      </c>
      <c r="E197">
        <v>3.22</v>
      </c>
      <c r="F197">
        <v>435306.35399999999</v>
      </c>
      <c r="G197">
        <v>0</v>
      </c>
      <c r="L197" t="s">
        <v>8</v>
      </c>
      <c r="M197" t="s">
        <v>8</v>
      </c>
      <c r="N197" t="s">
        <v>8</v>
      </c>
      <c r="P197">
        <f t="shared" ref="P197" si="955">IF(C197=D197,0,((E197-D197)-(C197-E197))/(C197-D197))</f>
        <v>9.5477386934675099E-2</v>
      </c>
      <c r="Q197">
        <f t="shared" ref="Q197" si="956">F197*P197</f>
        <v>41561.913195980655</v>
      </c>
      <c r="R197">
        <f t="shared" ref="R197" si="957">R198+Q197</f>
        <v>-5716954.4248874364</v>
      </c>
      <c r="S197">
        <f t="shared" ref="S197" si="958">R197/100000</f>
        <v>-57.169544248874367</v>
      </c>
      <c r="T197">
        <f t="shared" si="934"/>
        <v>-5.7169544248874368E-2</v>
      </c>
    </row>
    <row r="198" spans="1:20" x14ac:dyDescent="0.25">
      <c r="A198" s="5">
        <v>44395</v>
      </c>
      <c r="B198">
        <v>3.0819999999999999</v>
      </c>
      <c r="C198">
        <v>3.218</v>
      </c>
      <c r="D198">
        <v>3.0009999999999999</v>
      </c>
      <c r="E198">
        <v>3.044</v>
      </c>
      <c r="F198">
        <v>91556.78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-0.60368663594469929</v>
      </c>
      <c r="Q198">
        <f t="shared" ref="Q198:Q261" si="960">F198*P198</f>
        <v>-55271.604516128922</v>
      </c>
      <c r="R198">
        <f t="shared" ref="R198:R261" si="961">R199+Q198</f>
        <v>-5758516.3380834172</v>
      </c>
      <c r="S198">
        <f t="shared" ref="S198:S261" si="962">R198/100000</f>
        <v>-57.585163380834175</v>
      </c>
      <c r="T198">
        <f t="shared" ref="T198:T261" si="963">S198/1000</f>
        <v>-5.7585163380834171E-2</v>
      </c>
    </row>
    <row r="199" spans="1:20" x14ac:dyDescent="0.25">
      <c r="A199" s="5">
        <v>44394</v>
      </c>
      <c r="B199">
        <v>3.085</v>
      </c>
      <c r="C199">
        <v>3.1030000000000002</v>
      </c>
      <c r="D199">
        <v>2.9209999999999998</v>
      </c>
      <c r="E199">
        <v>3.0830000000000002</v>
      </c>
      <c r="F199">
        <v>113026.693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0.78021978021978045</v>
      </c>
      <c r="Q199">
        <f t="shared" si="960"/>
        <v>88185.661571428602</v>
      </c>
      <c r="R199">
        <f t="shared" si="961"/>
        <v>-5703244.7335672881</v>
      </c>
      <c r="S199">
        <f t="shared" si="962"/>
        <v>-57.032447335672884</v>
      </c>
      <c r="T199">
        <f t="shared" si="963"/>
        <v>-5.7032447335672885E-2</v>
      </c>
    </row>
    <row r="200" spans="1:20" x14ac:dyDescent="0.25">
      <c r="A200" s="5">
        <v>44393</v>
      </c>
      <c r="B200">
        <v>3.2450000000000001</v>
      </c>
      <c r="C200">
        <v>3.383</v>
      </c>
      <c r="D200">
        <v>3.004</v>
      </c>
      <c r="E200">
        <v>3.085</v>
      </c>
      <c r="F200">
        <v>252192.61799999999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-0.5725593667546176</v>
      </c>
      <c r="Q200">
        <f t="shared" si="960"/>
        <v>-144395.24566226918</v>
      </c>
      <c r="R200">
        <f t="shared" si="961"/>
        <v>-5791430.3951387163</v>
      </c>
      <c r="S200">
        <f t="shared" si="962"/>
        <v>-57.914303951387161</v>
      </c>
      <c r="T200">
        <f t="shared" si="963"/>
        <v>-5.7914303951387164E-2</v>
      </c>
    </row>
    <row r="201" spans="1:20" x14ac:dyDescent="0.25">
      <c r="A201" s="5">
        <v>44392</v>
      </c>
      <c r="B201">
        <v>2.972</v>
      </c>
      <c r="C201">
        <v>3.5819999999999999</v>
      </c>
      <c r="D201">
        <v>2.9460000000000002</v>
      </c>
      <c r="E201">
        <v>3.246</v>
      </c>
      <c r="F201">
        <v>543312.47199999995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-5.6603773584905738E-2</v>
      </c>
      <c r="Q201">
        <f t="shared" si="960"/>
        <v>-30753.536150943437</v>
      </c>
      <c r="R201">
        <f t="shared" si="961"/>
        <v>-5647035.1494764471</v>
      </c>
      <c r="S201">
        <f t="shared" si="962"/>
        <v>-56.470351494764472</v>
      </c>
      <c r="T201">
        <f t="shared" si="963"/>
        <v>-5.6470351494764474E-2</v>
      </c>
    </row>
    <row r="202" spans="1:20" x14ac:dyDescent="0.25">
      <c r="A202" s="5">
        <v>44391</v>
      </c>
      <c r="B202">
        <v>2.972</v>
      </c>
      <c r="C202">
        <v>3.0920000000000001</v>
      </c>
      <c r="D202">
        <v>2.871</v>
      </c>
      <c r="E202">
        <v>2.972</v>
      </c>
      <c r="F202">
        <v>211590.484</v>
      </c>
      <c r="G202">
        <v>0</v>
      </c>
      <c r="L202" t="s">
        <v>8</v>
      </c>
      <c r="M202" t="s">
        <v>7</v>
      </c>
      <c r="N202" t="s">
        <v>8</v>
      </c>
      <c r="P202">
        <f t="shared" si="959"/>
        <v>-8.5972850678733573E-2</v>
      </c>
      <c r="Q202">
        <f t="shared" si="960"/>
        <v>-18191.037085972966</v>
      </c>
      <c r="R202">
        <f t="shared" si="961"/>
        <v>-5616281.6133255037</v>
      </c>
      <c r="S202">
        <f t="shared" si="962"/>
        <v>-56.162816133255035</v>
      </c>
      <c r="T202">
        <f t="shared" si="963"/>
        <v>-5.6162816133255036E-2</v>
      </c>
    </row>
    <row r="203" spans="1:20" x14ac:dyDescent="0.25">
      <c r="A203" s="5">
        <v>44390</v>
      </c>
      <c r="B203">
        <v>2.8359999999999999</v>
      </c>
      <c r="C203">
        <v>3.0710000000000002</v>
      </c>
      <c r="D203">
        <v>2.8079999999999998</v>
      </c>
      <c r="E203">
        <v>2.972</v>
      </c>
      <c r="F203">
        <v>271993.37699999998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0.24714828897338351</v>
      </c>
      <c r="Q203">
        <f t="shared" si="960"/>
        <v>67222.697737642433</v>
      </c>
      <c r="R203">
        <f t="shared" si="961"/>
        <v>-5598090.5762395309</v>
      </c>
      <c r="S203">
        <f t="shared" si="962"/>
        <v>-55.980905762395309</v>
      </c>
      <c r="T203">
        <f t="shared" si="963"/>
        <v>-5.5980905762395311E-2</v>
      </c>
    </row>
    <row r="204" spans="1:20" x14ac:dyDescent="0.25">
      <c r="A204" s="5">
        <v>44389</v>
      </c>
      <c r="B204">
        <v>3.0310000000000001</v>
      </c>
      <c r="C204">
        <v>3.0680000000000001</v>
      </c>
      <c r="D204">
        <v>2.78</v>
      </c>
      <c r="E204">
        <v>2.8420000000000001</v>
      </c>
      <c r="F204">
        <v>190938.38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-0.56944444444444287</v>
      </c>
      <c r="Q204">
        <f t="shared" si="960"/>
        <v>-108728.79972222193</v>
      </c>
      <c r="R204">
        <f t="shared" si="961"/>
        <v>-5665313.2739771735</v>
      </c>
      <c r="S204">
        <f t="shared" si="962"/>
        <v>-56.653132739771735</v>
      </c>
      <c r="T204">
        <f t="shared" si="963"/>
        <v>-5.6653132739771732E-2</v>
      </c>
    </row>
    <row r="205" spans="1:20" x14ac:dyDescent="0.25">
      <c r="A205" s="5">
        <v>44388</v>
      </c>
      <c r="B205">
        <v>3.0979999999999999</v>
      </c>
      <c r="C205">
        <v>3.17</v>
      </c>
      <c r="D205">
        <v>2.9729999999999999</v>
      </c>
      <c r="E205">
        <v>3.008</v>
      </c>
      <c r="F205">
        <v>186724.42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-0.64467005076142003</v>
      </c>
      <c r="Q205">
        <f t="shared" si="960"/>
        <v>-120375.64131979672</v>
      </c>
      <c r="R205">
        <f t="shared" si="961"/>
        <v>-5556584.4742549518</v>
      </c>
      <c r="S205">
        <f t="shared" si="962"/>
        <v>-55.565844742549515</v>
      </c>
      <c r="T205">
        <f t="shared" si="963"/>
        <v>-5.5565844742549518E-2</v>
      </c>
    </row>
    <row r="206" spans="1:20" x14ac:dyDescent="0.25">
      <c r="A206" s="5">
        <v>44387</v>
      </c>
      <c r="B206">
        <v>3.1110000000000002</v>
      </c>
      <c r="C206">
        <v>3.2130000000000001</v>
      </c>
      <c r="D206">
        <v>3.0339999999999998</v>
      </c>
      <c r="E206">
        <v>3.0870000000000002</v>
      </c>
      <c r="F206">
        <v>392763.40100000001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-0.40782122905027596</v>
      </c>
      <c r="Q206">
        <f t="shared" si="960"/>
        <v>-160177.25292178639</v>
      </c>
      <c r="R206">
        <f t="shared" si="961"/>
        <v>-5436208.8329351554</v>
      </c>
      <c r="S206">
        <f t="shared" si="962"/>
        <v>-54.36208832935155</v>
      </c>
      <c r="T206">
        <f t="shared" si="963"/>
        <v>-5.4362088329351549E-2</v>
      </c>
    </row>
    <row r="207" spans="1:20" x14ac:dyDescent="0.25">
      <c r="A207" s="5">
        <v>44386</v>
      </c>
      <c r="B207">
        <v>3.335</v>
      </c>
      <c r="C207">
        <v>3.67</v>
      </c>
      <c r="D207">
        <v>3.0339999999999998</v>
      </c>
      <c r="E207">
        <v>3.1110000000000002</v>
      </c>
      <c r="F207">
        <v>1280993.351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-0.75786163522012462</v>
      </c>
      <c r="Q207">
        <f t="shared" si="960"/>
        <v>-970815.71569496708</v>
      </c>
      <c r="R207">
        <f t="shared" si="961"/>
        <v>-5276031.5800133692</v>
      </c>
      <c r="S207">
        <f t="shared" si="962"/>
        <v>-52.760315800133689</v>
      </c>
      <c r="T207">
        <f t="shared" si="963"/>
        <v>-5.2760315800133691E-2</v>
      </c>
    </row>
    <row r="208" spans="1:20" x14ac:dyDescent="0.25">
      <c r="A208" s="5">
        <v>44385</v>
      </c>
      <c r="B208">
        <v>2.738</v>
      </c>
      <c r="C208">
        <v>3.629</v>
      </c>
      <c r="D208">
        <v>2.7010000000000001</v>
      </c>
      <c r="E208">
        <v>3.3279999999999998</v>
      </c>
      <c r="F208">
        <v>2071127.449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0.35129310344827547</v>
      </c>
      <c r="Q208">
        <f t="shared" si="960"/>
        <v>727572.78919611988</v>
      </c>
      <c r="R208">
        <f t="shared" si="961"/>
        <v>-4305215.8643184025</v>
      </c>
      <c r="S208">
        <f t="shared" si="962"/>
        <v>-43.052158643184022</v>
      </c>
      <c r="T208">
        <f t="shared" si="963"/>
        <v>-4.305215864318402E-2</v>
      </c>
    </row>
    <row r="209" spans="1:20" x14ac:dyDescent="0.25">
      <c r="A209" s="5">
        <v>44384</v>
      </c>
      <c r="B209">
        <v>2.6709999999999998</v>
      </c>
      <c r="C209">
        <v>2.819</v>
      </c>
      <c r="D209">
        <v>2.6259999999999999</v>
      </c>
      <c r="E209">
        <v>2.7389999999999999</v>
      </c>
      <c r="F209">
        <v>387046.11499999999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0.17098445595854875</v>
      </c>
      <c r="Q209">
        <f t="shared" si="960"/>
        <v>66178.869404144891</v>
      </c>
      <c r="R209">
        <f t="shared" si="961"/>
        <v>-5032788.6535145221</v>
      </c>
      <c r="S209">
        <f t="shared" si="962"/>
        <v>-50.327886535145218</v>
      </c>
      <c r="T209">
        <f t="shared" si="963"/>
        <v>-5.0327886535145215E-2</v>
      </c>
    </row>
    <row r="210" spans="1:20" x14ac:dyDescent="0.25">
      <c r="A210" s="5">
        <v>44383</v>
      </c>
      <c r="B210">
        <v>2.601</v>
      </c>
      <c r="C210">
        <v>2.7879999999999998</v>
      </c>
      <c r="D210">
        <v>2.573</v>
      </c>
      <c r="E210">
        <v>2.6709999999999998</v>
      </c>
      <c r="F210">
        <v>327610.23200000002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-8.8372093023256465E-2</v>
      </c>
      <c r="Q210">
        <f t="shared" si="960"/>
        <v>-28951.601897674635</v>
      </c>
      <c r="R210">
        <f t="shared" si="961"/>
        <v>-5098967.5229186667</v>
      </c>
      <c r="S210">
        <f t="shared" si="962"/>
        <v>-50.989675229186666</v>
      </c>
      <c r="T210">
        <f t="shared" si="963"/>
        <v>-5.0989675229186668E-2</v>
      </c>
    </row>
    <row r="211" spans="1:20" x14ac:dyDescent="0.25">
      <c r="A211" s="5">
        <v>44382</v>
      </c>
      <c r="B211">
        <v>2.806</v>
      </c>
      <c r="C211">
        <v>2.8380000000000001</v>
      </c>
      <c r="D211">
        <v>2.5449999999999999</v>
      </c>
      <c r="E211">
        <v>2.6179999999999999</v>
      </c>
      <c r="F211">
        <v>478920.89399999997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-0.50170648464163881</v>
      </c>
      <c r="Q211">
        <f t="shared" si="960"/>
        <v>-240277.7181501709</v>
      </c>
      <c r="R211">
        <f t="shared" si="961"/>
        <v>-5070015.9210209921</v>
      </c>
      <c r="S211">
        <f t="shared" si="962"/>
        <v>-50.700159210209918</v>
      </c>
      <c r="T211">
        <f t="shared" si="963"/>
        <v>-5.0700159210209921E-2</v>
      </c>
    </row>
    <row r="212" spans="1:20" x14ac:dyDescent="0.25">
      <c r="A212" s="5">
        <v>44381</v>
      </c>
      <c r="B212">
        <v>2.8660000000000001</v>
      </c>
      <c r="C212">
        <v>3.45</v>
      </c>
      <c r="D212">
        <v>2.7610000000000001</v>
      </c>
      <c r="E212">
        <v>2.8170000000000002</v>
      </c>
      <c r="F212">
        <v>1663558.4069999999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-0.83744557329462976</v>
      </c>
      <c r="Q212">
        <f t="shared" si="960"/>
        <v>-1393139.623859216</v>
      </c>
      <c r="R212">
        <f t="shared" si="961"/>
        <v>-4829738.2028708216</v>
      </c>
      <c r="S212">
        <f t="shared" si="962"/>
        <v>-48.297382028708213</v>
      </c>
      <c r="T212">
        <f t="shared" si="963"/>
        <v>-4.8297382028708216E-2</v>
      </c>
    </row>
    <row r="213" spans="1:20" x14ac:dyDescent="0.25">
      <c r="A213" s="5">
        <v>44380</v>
      </c>
      <c r="B213">
        <v>2.298</v>
      </c>
      <c r="C213">
        <v>3.0960000000000001</v>
      </c>
      <c r="D213">
        <v>2.27</v>
      </c>
      <c r="E213">
        <v>2.8679999999999999</v>
      </c>
      <c r="F213">
        <v>1870701.534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0.44794188861985429</v>
      </c>
      <c r="Q213">
        <f t="shared" si="960"/>
        <v>837965.57818401861</v>
      </c>
      <c r="R213">
        <f t="shared" si="961"/>
        <v>-3436598.5790116051</v>
      </c>
      <c r="S213">
        <f t="shared" si="962"/>
        <v>-34.365985790116049</v>
      </c>
      <c r="T213">
        <f t="shared" si="963"/>
        <v>-3.4365985790116051E-2</v>
      </c>
    </row>
    <row r="214" spans="1:20" x14ac:dyDescent="0.25">
      <c r="A214" s="5">
        <v>44379</v>
      </c>
      <c r="B214">
        <v>2.1739999999999999</v>
      </c>
      <c r="C214">
        <v>2.327</v>
      </c>
      <c r="D214">
        <v>2.09</v>
      </c>
      <c r="E214">
        <v>2.2970000000000002</v>
      </c>
      <c r="F214">
        <v>762990.81200000003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0.74683544303797644</v>
      </c>
      <c r="Q214">
        <f t="shared" si="960"/>
        <v>569828.58111392544</v>
      </c>
      <c r="R214">
        <f t="shared" si="961"/>
        <v>-4274564.157195624</v>
      </c>
      <c r="S214">
        <f t="shared" si="962"/>
        <v>-42.745641571956241</v>
      </c>
      <c r="T214">
        <f t="shared" si="963"/>
        <v>-4.274564157195624E-2</v>
      </c>
    </row>
    <row r="215" spans="1:20" x14ac:dyDescent="0.25">
      <c r="A215" s="5">
        <v>44378</v>
      </c>
      <c r="B215">
        <v>1.9710000000000001</v>
      </c>
      <c r="C215">
        <v>2.2200000000000002</v>
      </c>
      <c r="D215">
        <v>1.92</v>
      </c>
      <c r="E215">
        <v>2.165</v>
      </c>
      <c r="F215">
        <v>629499.951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0.63333333333333264</v>
      </c>
      <c r="Q215">
        <f t="shared" si="960"/>
        <v>398683.30229999957</v>
      </c>
      <c r="R215">
        <f t="shared" si="961"/>
        <v>-4844392.7383095492</v>
      </c>
      <c r="S215">
        <f t="shared" si="962"/>
        <v>-48.443927383095492</v>
      </c>
      <c r="T215">
        <f t="shared" si="963"/>
        <v>-4.8443927383095491E-2</v>
      </c>
    </row>
    <row r="216" spans="1:20" x14ac:dyDescent="0.25">
      <c r="A216" s="5">
        <v>44377</v>
      </c>
      <c r="B216">
        <v>2.0219999999999998</v>
      </c>
      <c r="C216">
        <v>2.0470000000000002</v>
      </c>
      <c r="D216">
        <v>1.881</v>
      </c>
      <c r="E216">
        <v>1.9750000000000001</v>
      </c>
      <c r="F216">
        <v>139159.467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0.13253012048192772</v>
      </c>
      <c r="Q216">
        <f t="shared" si="960"/>
        <v>18442.820927710847</v>
      </c>
      <c r="R216">
        <f t="shared" si="961"/>
        <v>-5243076.0406095488</v>
      </c>
      <c r="S216">
        <f t="shared" si="962"/>
        <v>-52.430760406095487</v>
      </c>
      <c r="T216">
        <f t="shared" si="963"/>
        <v>-5.243076040609549E-2</v>
      </c>
    </row>
    <row r="217" spans="1:20" x14ac:dyDescent="0.25">
      <c r="A217" s="5">
        <v>44376</v>
      </c>
      <c r="B217">
        <v>1.8540000000000001</v>
      </c>
      <c r="C217">
        <v>2.0990000000000002</v>
      </c>
      <c r="D217">
        <v>1.8460000000000001</v>
      </c>
      <c r="E217">
        <v>2.0139999999999998</v>
      </c>
      <c r="F217">
        <v>240835.16899999999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0.32806324110671642</v>
      </c>
      <c r="Q217">
        <f t="shared" si="960"/>
        <v>79009.166114623789</v>
      </c>
      <c r="R217">
        <f t="shared" si="961"/>
        <v>-5261518.86153726</v>
      </c>
      <c r="S217">
        <f t="shared" si="962"/>
        <v>-52.615188615372602</v>
      </c>
      <c r="T217">
        <f t="shared" si="963"/>
        <v>-5.26151886153726E-2</v>
      </c>
    </row>
    <row r="218" spans="1:20" x14ac:dyDescent="0.25">
      <c r="A218" s="5">
        <v>44375</v>
      </c>
      <c r="B218">
        <v>1.927</v>
      </c>
      <c r="C218">
        <v>1.9590000000000001</v>
      </c>
      <c r="D218">
        <v>1.8340000000000001</v>
      </c>
      <c r="E218">
        <v>1.8480000000000001</v>
      </c>
      <c r="F218">
        <v>348819.55200000003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-0.7759999999999998</v>
      </c>
      <c r="Q218">
        <f t="shared" si="960"/>
        <v>-270683.97235199995</v>
      </c>
      <c r="R218">
        <f t="shared" si="961"/>
        <v>-5340528.0276518837</v>
      </c>
      <c r="S218">
        <f t="shared" si="962"/>
        <v>-53.405280276518837</v>
      </c>
      <c r="T218">
        <f t="shared" si="963"/>
        <v>-5.3405280276518835E-2</v>
      </c>
    </row>
    <row r="219" spans="1:20" x14ac:dyDescent="0.25">
      <c r="A219" s="5">
        <v>44374</v>
      </c>
      <c r="B219">
        <v>1.7949999999999999</v>
      </c>
      <c r="C219">
        <v>1.948</v>
      </c>
      <c r="D219">
        <v>1.76</v>
      </c>
      <c r="E219">
        <v>1.9319999999999999</v>
      </c>
      <c r="F219">
        <v>968782.45200000005</v>
      </c>
      <c r="G219">
        <v>0</v>
      </c>
      <c r="L219" t="s">
        <v>7</v>
      </c>
      <c r="M219" t="s">
        <v>7</v>
      </c>
      <c r="N219" t="s">
        <v>8</v>
      </c>
      <c r="P219">
        <f t="shared" si="959"/>
        <v>0.82978723404255295</v>
      </c>
      <c r="Q219">
        <f t="shared" si="960"/>
        <v>803883.3112340424</v>
      </c>
      <c r="R219">
        <f t="shared" si="961"/>
        <v>-5069844.0552998837</v>
      </c>
      <c r="S219">
        <f t="shared" si="962"/>
        <v>-50.698440552998839</v>
      </c>
      <c r="T219">
        <f t="shared" si="963"/>
        <v>-5.0698440552998839E-2</v>
      </c>
    </row>
    <row r="220" spans="1:20" x14ac:dyDescent="0.25">
      <c r="A220" s="5">
        <v>44373</v>
      </c>
      <c r="B220">
        <v>1.53</v>
      </c>
      <c r="C220">
        <v>2.2000000000000002</v>
      </c>
      <c r="D220">
        <v>1.524</v>
      </c>
      <c r="E220">
        <v>1.8009999999999999</v>
      </c>
      <c r="F220">
        <v>2257754.923</v>
      </c>
      <c r="G220">
        <v>0</v>
      </c>
      <c r="L220" t="s">
        <v>8</v>
      </c>
      <c r="M220" t="s">
        <v>8</v>
      </c>
      <c r="N220" t="s">
        <v>8</v>
      </c>
      <c r="P220">
        <f t="shared" si="959"/>
        <v>-0.18047337278106554</v>
      </c>
      <c r="Q220">
        <f t="shared" si="960"/>
        <v>-407464.64586686488</v>
      </c>
      <c r="R220">
        <f t="shared" si="961"/>
        <v>-5873727.3665339258</v>
      </c>
      <c r="S220">
        <f t="shared" si="962"/>
        <v>-58.737273665339259</v>
      </c>
      <c r="T220">
        <f t="shared" si="963"/>
        <v>-5.8737273665339262E-2</v>
      </c>
    </row>
    <row r="221" spans="1:20" x14ac:dyDescent="0.25">
      <c r="A221" s="5">
        <v>44372</v>
      </c>
      <c r="B221">
        <v>1.585</v>
      </c>
      <c r="C221">
        <v>1.6339999999999999</v>
      </c>
      <c r="D221">
        <v>1.516</v>
      </c>
      <c r="E221">
        <v>1.532</v>
      </c>
      <c r="F221">
        <v>289180.00099999999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-0.7288135593220334</v>
      </c>
      <c r="Q221">
        <f t="shared" si="960"/>
        <v>-210758.30581355916</v>
      </c>
      <c r="R221">
        <f t="shared" si="961"/>
        <v>-5466262.7206670605</v>
      </c>
      <c r="S221">
        <f t="shared" si="962"/>
        <v>-54.662627206670606</v>
      </c>
      <c r="T221">
        <f t="shared" si="963"/>
        <v>-5.466262720667061E-2</v>
      </c>
    </row>
    <row r="222" spans="1:20" x14ac:dyDescent="0.25">
      <c r="A222" s="5">
        <v>44371</v>
      </c>
      <c r="B222">
        <v>1.663</v>
      </c>
      <c r="C222">
        <v>1.6739999999999999</v>
      </c>
      <c r="D222">
        <v>1.556</v>
      </c>
      <c r="E222">
        <v>1.585</v>
      </c>
      <c r="F222">
        <v>282766.63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-0.50847457627118742</v>
      </c>
      <c r="Q222">
        <f t="shared" si="960"/>
        <v>-143779.64237288164</v>
      </c>
      <c r="R222">
        <f t="shared" si="961"/>
        <v>-5255504.4148535011</v>
      </c>
      <c r="S222">
        <f t="shared" si="962"/>
        <v>-52.555044148535011</v>
      </c>
      <c r="T222">
        <f t="shared" si="963"/>
        <v>-5.2555044148535013E-2</v>
      </c>
    </row>
    <row r="223" spans="1:20" x14ac:dyDescent="0.25">
      <c r="A223" s="5">
        <v>44370</v>
      </c>
      <c r="B223">
        <v>1.722</v>
      </c>
      <c r="C223">
        <v>1.77</v>
      </c>
      <c r="D223">
        <v>1.6279999999999999</v>
      </c>
      <c r="E223">
        <v>1.6679999999999999</v>
      </c>
      <c r="F223">
        <v>825346.46</v>
      </c>
      <c r="G223">
        <v>0</v>
      </c>
      <c r="L223" t="s">
        <v>7</v>
      </c>
      <c r="M223" t="s">
        <v>7</v>
      </c>
      <c r="N223" t="s">
        <v>7</v>
      </c>
      <c r="P223">
        <f t="shared" si="959"/>
        <v>-0.43661971830985913</v>
      </c>
      <c r="Q223">
        <f t="shared" si="960"/>
        <v>-360362.53887323942</v>
      </c>
      <c r="R223">
        <f t="shared" si="961"/>
        <v>-5111724.7724806191</v>
      </c>
      <c r="S223">
        <f t="shared" si="962"/>
        <v>-51.117247724806191</v>
      </c>
      <c r="T223">
        <f t="shared" si="963"/>
        <v>-5.1117247724806192E-2</v>
      </c>
    </row>
    <row r="224" spans="1:20" x14ac:dyDescent="0.25">
      <c r="A224" s="5">
        <v>44369</v>
      </c>
      <c r="B224">
        <v>1.923</v>
      </c>
      <c r="C224">
        <v>1.964</v>
      </c>
      <c r="D224">
        <v>1.7010000000000001</v>
      </c>
      <c r="E224">
        <v>1.7150000000000001</v>
      </c>
      <c r="F224">
        <v>542603.36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-0.89353612167300367</v>
      </c>
      <c r="Q224">
        <f t="shared" si="960"/>
        <v>-484835.70190114062</v>
      </c>
      <c r="R224">
        <f t="shared" si="961"/>
        <v>-4751362.2336073797</v>
      </c>
      <c r="S224">
        <f t="shared" si="962"/>
        <v>-47.513622336073794</v>
      </c>
      <c r="T224">
        <f t="shared" si="963"/>
        <v>-4.7513622336073792E-2</v>
      </c>
    </row>
    <row r="225" spans="1:20" x14ac:dyDescent="0.25">
      <c r="A225" s="5">
        <v>44368</v>
      </c>
      <c r="B225">
        <v>1.9570000000000001</v>
      </c>
      <c r="C225">
        <v>2.1429999999999998</v>
      </c>
      <c r="D225">
        <v>1.835</v>
      </c>
      <c r="E225">
        <v>1.917</v>
      </c>
      <c r="F225">
        <v>1083028.9620000001</v>
      </c>
      <c r="G225">
        <v>0</v>
      </c>
      <c r="L225" t="s">
        <v>8</v>
      </c>
      <c r="M225" t="s">
        <v>7</v>
      </c>
      <c r="N225" t="s">
        <v>7</v>
      </c>
      <c r="P225">
        <f t="shared" si="959"/>
        <v>-0.46753246753246674</v>
      </c>
      <c r="Q225">
        <f t="shared" si="960"/>
        <v>-506351.20301298617</v>
      </c>
      <c r="R225">
        <f t="shared" si="961"/>
        <v>-4266526.5317062391</v>
      </c>
      <c r="S225">
        <f t="shared" si="962"/>
        <v>-42.665265317062392</v>
      </c>
      <c r="T225">
        <f t="shared" si="963"/>
        <v>-4.2665265317062391E-2</v>
      </c>
    </row>
    <row r="226" spans="1:20" x14ac:dyDescent="0.25">
      <c r="A226" s="5">
        <v>44367</v>
      </c>
      <c r="B226">
        <v>1.9159999999999999</v>
      </c>
      <c r="C226">
        <v>2.0409999999999999</v>
      </c>
      <c r="D226">
        <v>1.881</v>
      </c>
      <c r="E226">
        <v>1.9610000000000001</v>
      </c>
      <c r="F226">
        <v>295048.53499999997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1.3877787807814465E-15</v>
      </c>
      <c r="Q226">
        <f t="shared" si="960"/>
        <v>4.0946209617365191E-10</v>
      </c>
      <c r="R226">
        <f t="shared" si="961"/>
        <v>-3760175.328693253</v>
      </c>
      <c r="S226">
        <f t="shared" si="962"/>
        <v>-37.601753286932528</v>
      </c>
      <c r="T226">
        <f t="shared" si="963"/>
        <v>-3.7601753286932528E-2</v>
      </c>
    </row>
    <row r="227" spans="1:20" x14ac:dyDescent="0.25">
      <c r="A227" s="5">
        <v>44366</v>
      </c>
      <c r="B227">
        <v>1.9259999999999999</v>
      </c>
      <c r="C227">
        <v>1.9419999999999999</v>
      </c>
      <c r="D227">
        <v>1.845</v>
      </c>
      <c r="E227">
        <v>1.9159999999999999</v>
      </c>
      <c r="F227">
        <v>183561.20300000001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0.46391752577319528</v>
      </c>
      <c r="Q227">
        <f t="shared" si="960"/>
        <v>85157.259123711236</v>
      </c>
      <c r="R227">
        <f t="shared" si="961"/>
        <v>-3760175.3286932535</v>
      </c>
      <c r="S227">
        <f t="shared" si="962"/>
        <v>-37.601753286932535</v>
      </c>
      <c r="T227">
        <f t="shared" si="963"/>
        <v>-3.7601753286932535E-2</v>
      </c>
    </row>
    <row r="228" spans="1:20" x14ac:dyDescent="0.25">
      <c r="A228" s="5">
        <v>44365</v>
      </c>
      <c r="B228">
        <v>2.0379999999999998</v>
      </c>
      <c r="C228">
        <v>2.0720000000000001</v>
      </c>
      <c r="D228">
        <v>1.9019999999999999</v>
      </c>
      <c r="E228">
        <v>1.915</v>
      </c>
      <c r="F228">
        <v>263837.50099999999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-0.84705882352941042</v>
      </c>
      <c r="Q228">
        <f t="shared" si="960"/>
        <v>-223485.88319999963</v>
      </c>
      <c r="R228">
        <f t="shared" si="961"/>
        <v>-3845332.5878169648</v>
      </c>
      <c r="S228">
        <f t="shared" si="962"/>
        <v>-38.45332587816965</v>
      </c>
      <c r="T228">
        <f t="shared" si="963"/>
        <v>-3.8453325878169652E-2</v>
      </c>
    </row>
    <row r="229" spans="1:20" x14ac:dyDescent="0.25">
      <c r="A229" s="5">
        <v>44364</v>
      </c>
      <c r="B229">
        <v>1.9730000000000001</v>
      </c>
      <c r="C229">
        <v>2.056</v>
      </c>
      <c r="D229">
        <v>1.9730000000000001</v>
      </c>
      <c r="E229">
        <v>2.0499999999999998</v>
      </c>
      <c r="F229">
        <v>139949.01800000001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0.85542168674698238</v>
      </c>
      <c r="Q229">
        <f t="shared" si="960"/>
        <v>119715.4250361438</v>
      </c>
      <c r="R229">
        <f t="shared" si="961"/>
        <v>-3621846.7046169653</v>
      </c>
      <c r="S229">
        <f t="shared" si="962"/>
        <v>-36.21846704616965</v>
      </c>
      <c r="T229">
        <f t="shared" si="963"/>
        <v>-3.6218467046169649E-2</v>
      </c>
    </row>
    <row r="230" spans="1:20" x14ac:dyDescent="0.25">
      <c r="A230" s="5">
        <v>44363</v>
      </c>
      <c r="B230">
        <v>2.0369999999999999</v>
      </c>
      <c r="C230">
        <v>2.069</v>
      </c>
      <c r="D230">
        <v>1.9450000000000001</v>
      </c>
      <c r="E230">
        <v>1.986</v>
      </c>
      <c r="F230">
        <v>355282.00199999998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-0.33870967741935543</v>
      </c>
      <c r="Q230">
        <f t="shared" si="960"/>
        <v>-120337.45229032278</v>
      </c>
      <c r="R230">
        <f t="shared" si="961"/>
        <v>-3741562.1296531092</v>
      </c>
      <c r="S230">
        <f t="shared" si="962"/>
        <v>-37.415621296531093</v>
      </c>
      <c r="T230">
        <f t="shared" si="963"/>
        <v>-3.7415621296531094E-2</v>
      </c>
    </row>
    <row r="231" spans="1:20" x14ac:dyDescent="0.25">
      <c r="A231" s="5">
        <v>44362</v>
      </c>
      <c r="B231">
        <v>2.1150000000000002</v>
      </c>
      <c r="C231">
        <v>2.1539999999999999</v>
      </c>
      <c r="D231">
        <v>2.0059999999999998</v>
      </c>
      <c r="E231">
        <v>2.0449999999999999</v>
      </c>
      <c r="F231">
        <v>299559.44099999999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-0.47297297297297147</v>
      </c>
      <c r="Q231">
        <f t="shared" si="960"/>
        <v>-141683.51939189143</v>
      </c>
      <c r="R231">
        <f t="shared" si="961"/>
        <v>-3621224.6773627866</v>
      </c>
      <c r="S231">
        <f t="shared" si="962"/>
        <v>-36.212246773627868</v>
      </c>
      <c r="T231">
        <f t="shared" si="963"/>
        <v>-3.6212246773627867E-2</v>
      </c>
    </row>
    <row r="232" spans="1:20" x14ac:dyDescent="0.25">
      <c r="A232" s="5">
        <v>44361</v>
      </c>
      <c r="B232">
        <v>2.04</v>
      </c>
      <c r="C232">
        <v>2.1789999999999998</v>
      </c>
      <c r="D232">
        <v>2.0099999999999998</v>
      </c>
      <c r="E232">
        <v>2.1080000000000001</v>
      </c>
      <c r="F232">
        <v>806990.24899999995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0.15976331360947085</v>
      </c>
      <c r="Q232">
        <f t="shared" si="960"/>
        <v>128927.43623077197</v>
      </c>
      <c r="R232">
        <f t="shared" si="961"/>
        <v>-3479541.1579708951</v>
      </c>
      <c r="S232">
        <f t="shared" si="962"/>
        <v>-34.795411579708947</v>
      </c>
      <c r="T232">
        <f t="shared" si="963"/>
        <v>-3.4795411579708946E-2</v>
      </c>
    </row>
    <row r="233" spans="1:20" x14ac:dyDescent="0.25">
      <c r="A233" s="5">
        <v>44360</v>
      </c>
      <c r="B233">
        <v>2.036</v>
      </c>
      <c r="C233">
        <v>2.0819999999999999</v>
      </c>
      <c r="D233">
        <v>1.9810000000000001</v>
      </c>
      <c r="E233">
        <v>2.04</v>
      </c>
      <c r="F233">
        <v>179211.18900000001</v>
      </c>
      <c r="G233">
        <v>0</v>
      </c>
      <c r="L233" t="s">
        <v>7</v>
      </c>
      <c r="M233" t="s">
        <v>7</v>
      </c>
      <c r="N233" t="s">
        <v>8</v>
      </c>
      <c r="P233">
        <f t="shared" si="959"/>
        <v>0.16831683168316997</v>
      </c>
      <c r="Q233">
        <f t="shared" si="960"/>
        <v>30164.259534653764</v>
      </c>
      <c r="R233">
        <f t="shared" si="961"/>
        <v>-3608468.5942016672</v>
      </c>
      <c r="S233">
        <f t="shared" si="962"/>
        <v>-36.084685942016669</v>
      </c>
      <c r="T233">
        <f t="shared" si="963"/>
        <v>-3.6084685942016671E-2</v>
      </c>
    </row>
    <row r="234" spans="1:20" x14ac:dyDescent="0.25">
      <c r="A234" s="5">
        <v>44359</v>
      </c>
      <c r="B234">
        <v>2.177</v>
      </c>
      <c r="C234">
        <v>2.1970000000000001</v>
      </c>
      <c r="D234">
        <v>2.036</v>
      </c>
      <c r="E234">
        <v>2.036</v>
      </c>
      <c r="F234">
        <v>142915.30900000001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-1</v>
      </c>
      <c r="Q234">
        <f t="shared" si="960"/>
        <v>-142915.30900000001</v>
      </c>
      <c r="R234">
        <f t="shared" si="961"/>
        <v>-3638632.853736321</v>
      </c>
      <c r="S234">
        <f t="shared" si="962"/>
        <v>-36.386328537363212</v>
      </c>
      <c r="T234">
        <f t="shared" si="963"/>
        <v>-3.6386328537363212E-2</v>
      </c>
    </row>
    <row r="235" spans="1:20" x14ac:dyDescent="0.25">
      <c r="A235" s="5">
        <v>44358</v>
      </c>
      <c r="B235">
        <v>2.3079999999999998</v>
      </c>
      <c r="C235">
        <v>2.3239999999999998</v>
      </c>
      <c r="D235">
        <v>2.1509999999999998</v>
      </c>
      <c r="E235">
        <v>2.1520000000000001</v>
      </c>
      <c r="F235">
        <v>124721.666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-0.98843930635837762</v>
      </c>
      <c r="Q235">
        <f t="shared" si="960"/>
        <v>-123279.79702890124</v>
      </c>
      <c r="R235">
        <f t="shared" si="961"/>
        <v>-3495717.5447363211</v>
      </c>
      <c r="S235">
        <f t="shared" si="962"/>
        <v>-34.957175447363213</v>
      </c>
      <c r="T235">
        <f t="shared" si="963"/>
        <v>-3.4957175447363216E-2</v>
      </c>
    </row>
    <row r="236" spans="1:20" x14ac:dyDescent="0.25">
      <c r="A236" s="5">
        <v>44357</v>
      </c>
      <c r="B236">
        <v>2.2989999999999999</v>
      </c>
      <c r="C236">
        <v>2.3650000000000002</v>
      </c>
      <c r="D236">
        <v>2.2010000000000001</v>
      </c>
      <c r="E236">
        <v>2.3079999999999998</v>
      </c>
      <c r="F236">
        <v>147003.35699999999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0.30487804878048375</v>
      </c>
      <c r="Q236">
        <f t="shared" si="960"/>
        <v>44818.096646340862</v>
      </c>
      <c r="R236">
        <f t="shared" si="961"/>
        <v>-3372437.74770742</v>
      </c>
      <c r="S236">
        <f t="shared" si="962"/>
        <v>-33.724377477074199</v>
      </c>
      <c r="T236">
        <f t="shared" si="963"/>
        <v>-3.3724377477074199E-2</v>
      </c>
    </row>
    <row r="237" spans="1:20" x14ac:dyDescent="0.25">
      <c r="A237" s="5">
        <v>44356</v>
      </c>
      <c r="B237">
        <v>2.2090000000000001</v>
      </c>
      <c r="C237">
        <v>2.3570000000000002</v>
      </c>
      <c r="D237">
        <v>2.081</v>
      </c>
      <c r="E237">
        <v>2.298</v>
      </c>
      <c r="F237">
        <v>342338.67800000001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0.57246376811594124</v>
      </c>
      <c r="Q237">
        <f t="shared" si="960"/>
        <v>195976.48957970989</v>
      </c>
      <c r="R237">
        <f t="shared" si="961"/>
        <v>-3417255.8443537611</v>
      </c>
      <c r="S237">
        <f t="shared" si="962"/>
        <v>-34.172558443537611</v>
      </c>
      <c r="T237">
        <f t="shared" si="963"/>
        <v>-3.4172558443537608E-2</v>
      </c>
    </row>
    <row r="238" spans="1:20" x14ac:dyDescent="0.25">
      <c r="A238" s="5">
        <v>44355</v>
      </c>
      <c r="B238">
        <v>2.3479999999999999</v>
      </c>
      <c r="C238">
        <v>2.3780000000000001</v>
      </c>
      <c r="D238">
        <v>2.09</v>
      </c>
      <c r="E238">
        <v>2.2210000000000001</v>
      </c>
      <c r="F238">
        <v>305867.26699999999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-9.0277777777777013E-2</v>
      </c>
      <c r="Q238">
        <f t="shared" si="960"/>
        <v>-27613.017159721989</v>
      </c>
      <c r="R238">
        <f t="shared" si="961"/>
        <v>-3613232.3339334708</v>
      </c>
      <c r="S238">
        <f t="shared" si="962"/>
        <v>-36.132323339334711</v>
      </c>
      <c r="T238">
        <f t="shared" si="963"/>
        <v>-3.6132323339334714E-2</v>
      </c>
    </row>
    <row r="239" spans="1:20" x14ac:dyDescent="0.25">
      <c r="A239" s="5">
        <v>44354</v>
      </c>
      <c r="B239">
        <v>2.6920000000000002</v>
      </c>
      <c r="C239">
        <v>2.6970000000000001</v>
      </c>
      <c r="D239">
        <v>2.3050000000000002</v>
      </c>
      <c r="E239">
        <v>2.3439999999999999</v>
      </c>
      <c r="F239">
        <v>393247.75199999998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-0.80102040816326681</v>
      </c>
      <c r="Q239">
        <f t="shared" si="960"/>
        <v>-314999.4748163271</v>
      </c>
      <c r="R239">
        <f t="shared" si="961"/>
        <v>-3585619.316773749</v>
      </c>
      <c r="S239">
        <f t="shared" si="962"/>
        <v>-35.856193167737487</v>
      </c>
      <c r="T239">
        <f t="shared" si="963"/>
        <v>-3.5856193167737485E-2</v>
      </c>
    </row>
    <row r="240" spans="1:20" x14ac:dyDescent="0.25">
      <c r="A240" s="5">
        <v>44353</v>
      </c>
      <c r="B240">
        <v>2.605</v>
      </c>
      <c r="C240">
        <v>2.7469999999999999</v>
      </c>
      <c r="D240">
        <v>2.5569999999999999</v>
      </c>
      <c r="E240">
        <v>2.6920000000000002</v>
      </c>
      <c r="F240">
        <v>378548.13400000002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0.42105263157895018</v>
      </c>
      <c r="Q240">
        <f t="shared" si="960"/>
        <v>159388.68800000107</v>
      </c>
      <c r="R240">
        <f t="shared" si="961"/>
        <v>-3270619.841957422</v>
      </c>
      <c r="S240">
        <f t="shared" si="962"/>
        <v>-32.706198419574221</v>
      </c>
      <c r="T240">
        <f t="shared" si="963"/>
        <v>-3.2706198419574221E-2</v>
      </c>
    </row>
    <row r="241" spans="1:20" x14ac:dyDescent="0.25">
      <c r="A241" s="5">
        <v>44352</v>
      </c>
      <c r="B241">
        <v>2.5499999999999998</v>
      </c>
      <c r="C241">
        <v>2.613</v>
      </c>
      <c r="D241">
        <v>2.5009999999999999</v>
      </c>
      <c r="E241">
        <v>2.613</v>
      </c>
      <c r="F241">
        <v>181781.11900000001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1</v>
      </c>
      <c r="Q241">
        <f t="shared" si="960"/>
        <v>181781.11900000001</v>
      </c>
      <c r="R241">
        <f t="shared" si="961"/>
        <v>-3430008.529957423</v>
      </c>
      <c r="S241">
        <f t="shared" si="962"/>
        <v>-34.300085299574228</v>
      </c>
      <c r="T241">
        <f t="shared" si="963"/>
        <v>-3.4300085299574228E-2</v>
      </c>
    </row>
    <row r="242" spans="1:20" x14ac:dyDescent="0.25">
      <c r="A242" s="5">
        <v>44351</v>
      </c>
      <c r="B242">
        <v>2.7029999999999998</v>
      </c>
      <c r="C242">
        <v>2.7269999999999999</v>
      </c>
      <c r="D242">
        <v>2.5110000000000001</v>
      </c>
      <c r="E242">
        <v>2.5499999999999998</v>
      </c>
      <c r="F242">
        <v>338460.75400000002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-0.63888888888889128</v>
      </c>
      <c r="Q242">
        <f t="shared" si="960"/>
        <v>-216238.81505555636</v>
      </c>
      <c r="R242">
        <f t="shared" si="961"/>
        <v>-3611789.6489574229</v>
      </c>
      <c r="S242">
        <f t="shared" si="962"/>
        <v>-36.117896489574228</v>
      </c>
      <c r="T242">
        <f t="shared" si="963"/>
        <v>-3.6117896489574225E-2</v>
      </c>
    </row>
    <row r="243" spans="1:20" x14ac:dyDescent="0.25">
      <c r="A243" s="5">
        <v>44350</v>
      </c>
      <c r="B243">
        <v>2.6269999999999998</v>
      </c>
      <c r="C243">
        <v>2.85</v>
      </c>
      <c r="D243">
        <v>2.5859999999999999</v>
      </c>
      <c r="E243">
        <v>2.7080000000000002</v>
      </c>
      <c r="F243">
        <v>252853.72399999999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-7.575757575757408E-2</v>
      </c>
      <c r="Q243">
        <f t="shared" si="960"/>
        <v>-19155.585151514726</v>
      </c>
      <c r="R243">
        <f t="shared" si="961"/>
        <v>-3395550.8339018668</v>
      </c>
      <c r="S243">
        <f t="shared" si="962"/>
        <v>-33.955508339018671</v>
      </c>
      <c r="T243">
        <f t="shared" si="963"/>
        <v>-3.395550833901867E-2</v>
      </c>
    </row>
    <row r="244" spans="1:20" x14ac:dyDescent="0.25">
      <c r="A244" s="5">
        <v>44349</v>
      </c>
      <c r="B244">
        <v>2.5299999999999998</v>
      </c>
      <c r="C244">
        <v>2.65</v>
      </c>
      <c r="D244">
        <v>2.488</v>
      </c>
      <c r="E244">
        <v>2.6269999999999998</v>
      </c>
      <c r="F244">
        <v>211432.18799999999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0.71604938271604768</v>
      </c>
      <c r="Q244">
        <f t="shared" si="960"/>
        <v>151395.88770370334</v>
      </c>
      <c r="R244">
        <f t="shared" si="961"/>
        <v>-3376395.2487503523</v>
      </c>
      <c r="S244">
        <f t="shared" si="962"/>
        <v>-33.763952487503524</v>
      </c>
      <c r="T244">
        <f t="shared" si="963"/>
        <v>-3.3763952487503524E-2</v>
      </c>
    </row>
    <row r="245" spans="1:20" x14ac:dyDescent="0.25">
      <c r="A245" s="5">
        <v>44348</v>
      </c>
      <c r="B245">
        <v>2.6890000000000001</v>
      </c>
      <c r="C245">
        <v>2.7480000000000002</v>
      </c>
      <c r="D245">
        <v>2.44</v>
      </c>
      <c r="E245">
        <v>2.5209999999999999</v>
      </c>
      <c r="F245">
        <v>371186.09600000002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-0.47402597402597474</v>
      </c>
      <c r="Q245">
        <f t="shared" si="960"/>
        <v>-175951.85070129897</v>
      </c>
      <c r="R245">
        <f t="shared" si="961"/>
        <v>-3527791.1364540556</v>
      </c>
      <c r="S245">
        <f t="shared" si="962"/>
        <v>-35.277911364540557</v>
      </c>
      <c r="T245">
        <f t="shared" si="963"/>
        <v>-3.527791136454056E-2</v>
      </c>
    </row>
    <row r="246" spans="1:20" x14ac:dyDescent="0.25">
      <c r="A246" s="5">
        <v>44347</v>
      </c>
      <c r="B246">
        <v>2.62</v>
      </c>
      <c r="C246">
        <v>2.7629999999999999</v>
      </c>
      <c r="D246">
        <v>2.4649999999999999</v>
      </c>
      <c r="E246">
        <v>2.6960000000000002</v>
      </c>
      <c r="F246">
        <v>430044.29499999998</v>
      </c>
      <c r="G246">
        <v>0</v>
      </c>
      <c r="L246" t="s">
        <v>7</v>
      </c>
      <c r="M246" t="s">
        <v>8</v>
      </c>
      <c r="N246" t="s">
        <v>8</v>
      </c>
      <c r="P246">
        <f t="shared" si="959"/>
        <v>0.55033557046980053</v>
      </c>
      <c r="Q246">
        <f t="shared" si="960"/>
        <v>236668.67241610817</v>
      </c>
      <c r="R246">
        <f t="shared" si="961"/>
        <v>-3351839.2857527565</v>
      </c>
      <c r="S246">
        <f t="shared" si="962"/>
        <v>-33.518392857527566</v>
      </c>
      <c r="T246">
        <f t="shared" si="963"/>
        <v>-3.3518392857527564E-2</v>
      </c>
    </row>
    <row r="247" spans="1:20" x14ac:dyDescent="0.25">
      <c r="A247" s="5">
        <v>44346</v>
      </c>
      <c r="B247">
        <v>2.556</v>
      </c>
      <c r="C247">
        <v>2.7919999999999998</v>
      </c>
      <c r="D247">
        <v>2.431</v>
      </c>
      <c r="E247">
        <v>2.62</v>
      </c>
      <c r="F247">
        <v>816145.66399999999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4.7091412742383265E-2</v>
      </c>
      <c r="Q247">
        <f t="shared" si="960"/>
        <v>38433.452321330449</v>
      </c>
      <c r="R247">
        <f t="shared" si="961"/>
        <v>-3588507.9581688647</v>
      </c>
      <c r="S247">
        <f t="shared" si="962"/>
        <v>-35.88507958168865</v>
      </c>
      <c r="T247">
        <f t="shared" si="963"/>
        <v>-3.5885079581688649E-2</v>
      </c>
    </row>
    <row r="248" spans="1:20" x14ac:dyDescent="0.25">
      <c r="A248" s="5">
        <v>44345</v>
      </c>
      <c r="B248">
        <v>2.1419999999999999</v>
      </c>
      <c r="C248">
        <v>2.66</v>
      </c>
      <c r="D248">
        <v>2.1419999999999999</v>
      </c>
      <c r="E248">
        <v>2.5419999999999998</v>
      </c>
      <c r="F248">
        <v>1330690.4820000001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0.54440154440154331</v>
      </c>
      <c r="Q248">
        <f t="shared" si="960"/>
        <v>724429.9535212341</v>
      </c>
      <c r="R248">
        <f t="shared" si="961"/>
        <v>-3626941.4104901953</v>
      </c>
      <c r="S248">
        <f t="shared" si="962"/>
        <v>-36.269414104901955</v>
      </c>
      <c r="T248">
        <f t="shared" si="963"/>
        <v>-3.6269414104901955E-2</v>
      </c>
    </row>
    <row r="249" spans="1:20" x14ac:dyDescent="0.25">
      <c r="A249" s="5">
        <v>44344</v>
      </c>
      <c r="B249">
        <v>2.3570000000000002</v>
      </c>
      <c r="C249">
        <v>2.427</v>
      </c>
      <c r="D249">
        <v>2.0129999999999999</v>
      </c>
      <c r="E249">
        <v>2.1419999999999999</v>
      </c>
      <c r="F249">
        <v>573202.04700000002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-0.37681159420289873</v>
      </c>
      <c r="Q249">
        <f t="shared" si="960"/>
        <v>-215989.17713043489</v>
      </c>
      <c r="R249">
        <f t="shared" si="961"/>
        <v>-4351371.3640114293</v>
      </c>
      <c r="S249">
        <f t="shared" si="962"/>
        <v>-43.51371364011429</v>
      </c>
      <c r="T249">
        <f t="shared" si="963"/>
        <v>-4.351371364011429E-2</v>
      </c>
    </row>
    <row r="250" spans="1:20" x14ac:dyDescent="0.25">
      <c r="A250" s="5">
        <v>44343</v>
      </c>
      <c r="B250">
        <v>2.4700000000000002</v>
      </c>
      <c r="C250">
        <v>2.6</v>
      </c>
      <c r="D250">
        <v>2.3279999999999998</v>
      </c>
      <c r="E250">
        <v>2.3610000000000002</v>
      </c>
      <c r="F250">
        <v>1152314.2890000001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-0.75735294117646812</v>
      </c>
      <c r="Q250">
        <f t="shared" si="960"/>
        <v>-872708.61593382072</v>
      </c>
      <c r="R250">
        <f t="shared" si="961"/>
        <v>-4135382.1868809941</v>
      </c>
      <c r="S250">
        <f t="shared" si="962"/>
        <v>-41.353821868809938</v>
      </c>
      <c r="T250">
        <f t="shared" si="963"/>
        <v>-4.135382186880994E-2</v>
      </c>
    </row>
    <row r="251" spans="1:20" x14ac:dyDescent="0.25">
      <c r="A251" s="5">
        <v>44342</v>
      </c>
      <c r="B251">
        <v>2.13</v>
      </c>
      <c r="C251">
        <v>2.6659999999999999</v>
      </c>
      <c r="D251">
        <v>2.06</v>
      </c>
      <c r="E251">
        <v>2.4689999999999999</v>
      </c>
      <c r="F251">
        <v>1866499.452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0.34983498349834946</v>
      </c>
      <c r="Q251">
        <f t="shared" si="960"/>
        <v>652966.80499009835</v>
      </c>
      <c r="R251">
        <f t="shared" si="961"/>
        <v>-3262673.5709471735</v>
      </c>
      <c r="S251">
        <f t="shared" si="962"/>
        <v>-32.626735709471738</v>
      </c>
      <c r="T251">
        <f t="shared" si="963"/>
        <v>-3.2626735709471735E-2</v>
      </c>
    </row>
    <row r="252" spans="1:20" x14ac:dyDescent="0.25">
      <c r="A252" s="5">
        <v>44341</v>
      </c>
      <c r="B252">
        <v>2.2749999999999999</v>
      </c>
      <c r="C252">
        <v>2.3359999999999999</v>
      </c>
      <c r="D252">
        <v>1.978</v>
      </c>
      <c r="E252">
        <v>2.13</v>
      </c>
      <c r="F252">
        <v>529352.34499999997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-0.15083798882681582</v>
      </c>
      <c r="Q252">
        <f t="shared" si="960"/>
        <v>-79846.443100558754</v>
      </c>
      <c r="R252">
        <f t="shared" si="961"/>
        <v>-3915640.3759372719</v>
      </c>
      <c r="S252">
        <f t="shared" si="962"/>
        <v>-39.156403759372722</v>
      </c>
      <c r="T252">
        <f t="shared" si="963"/>
        <v>-3.9156403759372724E-2</v>
      </c>
    </row>
    <row r="253" spans="1:20" x14ac:dyDescent="0.25">
      <c r="A253" s="5">
        <v>44340</v>
      </c>
      <c r="B253">
        <v>2.0139999999999998</v>
      </c>
      <c r="C253">
        <v>2.3559999999999999</v>
      </c>
      <c r="D253">
        <v>1.9390000000000001</v>
      </c>
      <c r="E253">
        <v>2.2749999999999999</v>
      </c>
      <c r="F253">
        <v>913106.61899999995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0.61151079136690645</v>
      </c>
      <c r="Q253">
        <f t="shared" si="960"/>
        <v>558374.5511870503</v>
      </c>
      <c r="R253">
        <f t="shared" si="961"/>
        <v>-3835793.9328367133</v>
      </c>
      <c r="S253">
        <f t="shared" si="962"/>
        <v>-38.357939328367131</v>
      </c>
      <c r="T253">
        <f t="shared" si="963"/>
        <v>-3.8357939328367133E-2</v>
      </c>
    </row>
    <row r="254" spans="1:20" x14ac:dyDescent="0.25">
      <c r="A254" s="5">
        <v>44339</v>
      </c>
      <c r="B254">
        <v>2.641</v>
      </c>
      <c r="C254">
        <v>2.7</v>
      </c>
      <c r="D254">
        <v>1.532</v>
      </c>
      <c r="E254">
        <v>2.008</v>
      </c>
      <c r="F254">
        <v>1012663.056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-0.1849315068493152</v>
      </c>
      <c r="Q254">
        <f t="shared" si="960"/>
        <v>-187273.30487671244</v>
      </c>
      <c r="R254">
        <f t="shared" si="961"/>
        <v>-4394168.4840237638</v>
      </c>
      <c r="S254">
        <f t="shared" si="962"/>
        <v>-43.941684840237635</v>
      </c>
      <c r="T254">
        <f t="shared" si="963"/>
        <v>-4.3941684840237631E-2</v>
      </c>
    </row>
    <row r="255" spans="1:20" x14ac:dyDescent="0.25">
      <c r="A255" s="5">
        <v>44338</v>
      </c>
      <c r="B255">
        <v>2.8279999999999998</v>
      </c>
      <c r="C255">
        <v>2.835</v>
      </c>
      <c r="D255">
        <v>2.5739999999999998</v>
      </c>
      <c r="E255">
        <v>2.65</v>
      </c>
      <c r="F255">
        <v>301262.99400000001</v>
      </c>
      <c r="G255">
        <v>0</v>
      </c>
      <c r="L255" t="s">
        <v>8</v>
      </c>
      <c r="M255" t="s">
        <v>7</v>
      </c>
      <c r="N255" t="s">
        <v>8</v>
      </c>
      <c r="P255">
        <f t="shared" si="959"/>
        <v>-0.41762452107279668</v>
      </c>
      <c r="Q255">
        <f t="shared" si="960"/>
        <v>-125814.81358620683</v>
      </c>
      <c r="R255">
        <f t="shared" si="961"/>
        <v>-4206895.1791470516</v>
      </c>
      <c r="S255">
        <f t="shared" si="962"/>
        <v>-42.068951791470518</v>
      </c>
      <c r="T255">
        <f t="shared" si="963"/>
        <v>-4.2068951791470514E-2</v>
      </c>
    </row>
    <row r="256" spans="1:20" x14ac:dyDescent="0.25">
      <c r="A256" s="5">
        <v>44337</v>
      </c>
      <c r="B256">
        <v>3.169</v>
      </c>
      <c r="C256">
        <v>3.4359999999999999</v>
      </c>
      <c r="D256">
        <v>2.5539999999999998</v>
      </c>
      <c r="E256">
        <v>2.827</v>
      </c>
      <c r="F256">
        <v>561823.86399999994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-0.38095238095238071</v>
      </c>
      <c r="Q256">
        <f t="shared" si="960"/>
        <v>-214028.13866666652</v>
      </c>
      <c r="R256">
        <f t="shared" si="961"/>
        <v>-4081080.3655608445</v>
      </c>
      <c r="S256">
        <f t="shared" si="962"/>
        <v>-40.810803655608446</v>
      </c>
      <c r="T256">
        <f t="shared" si="963"/>
        <v>-4.0810803655608449E-2</v>
      </c>
    </row>
    <row r="257" spans="1:20" x14ac:dyDescent="0.25">
      <c r="A257" s="5">
        <v>44336</v>
      </c>
      <c r="B257">
        <v>3.2210000000000001</v>
      </c>
      <c r="C257">
        <v>3.4249999999999998</v>
      </c>
      <c r="D257">
        <v>2.778</v>
      </c>
      <c r="E257">
        <v>3.17</v>
      </c>
      <c r="F257">
        <v>432333.39199999999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0.21174652241112837</v>
      </c>
      <c r="Q257">
        <f t="shared" si="960"/>
        <v>91545.092278207143</v>
      </c>
      <c r="R257">
        <f t="shared" si="961"/>
        <v>-3867052.226894178</v>
      </c>
      <c r="S257">
        <f t="shared" si="962"/>
        <v>-38.670522268941781</v>
      </c>
      <c r="T257">
        <f t="shared" si="963"/>
        <v>-3.8670522268941784E-2</v>
      </c>
    </row>
    <row r="258" spans="1:20" x14ac:dyDescent="0.25">
      <c r="A258" s="5">
        <v>44335</v>
      </c>
      <c r="B258">
        <v>4.0149999999999997</v>
      </c>
      <c r="C258">
        <v>4.0979999999999999</v>
      </c>
      <c r="D258">
        <v>1.9990000000000001</v>
      </c>
      <c r="E258">
        <v>3.2149999999999999</v>
      </c>
      <c r="F258">
        <v>819794.15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0.15864697474988079</v>
      </c>
      <c r="Q258">
        <f t="shared" si="960"/>
        <v>130057.86181515</v>
      </c>
      <c r="R258">
        <f t="shared" si="961"/>
        <v>-3958597.3191723851</v>
      </c>
      <c r="S258">
        <f t="shared" si="962"/>
        <v>-39.585973191723852</v>
      </c>
      <c r="T258">
        <f t="shared" si="963"/>
        <v>-3.9585973191723849E-2</v>
      </c>
    </row>
    <row r="259" spans="1:20" x14ac:dyDescent="0.25">
      <c r="A259" s="5">
        <v>44334</v>
      </c>
      <c r="B259">
        <v>4.0110000000000001</v>
      </c>
      <c r="C259">
        <v>4.157</v>
      </c>
      <c r="D259">
        <v>3.923</v>
      </c>
      <c r="E259">
        <v>4.0149999999999997</v>
      </c>
      <c r="F259">
        <v>406362.77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-0.21367521367521672</v>
      </c>
      <c r="Q259">
        <f t="shared" si="960"/>
        <v>-86829.651709402955</v>
      </c>
      <c r="R259">
        <f t="shared" si="961"/>
        <v>-4088655.180987535</v>
      </c>
      <c r="S259">
        <f t="shared" si="962"/>
        <v>-40.88655180987535</v>
      </c>
      <c r="T259">
        <f t="shared" si="963"/>
        <v>-4.0886551809875347E-2</v>
      </c>
    </row>
    <row r="260" spans="1:20" x14ac:dyDescent="0.25">
      <c r="A260" s="5">
        <v>44333</v>
      </c>
      <c r="B260">
        <v>4.5199999999999996</v>
      </c>
      <c r="C260">
        <v>4.5229999999999997</v>
      </c>
      <c r="D260">
        <v>3.9009999999999998</v>
      </c>
      <c r="E260">
        <v>3.9830000000000001</v>
      </c>
      <c r="F260">
        <v>387789.10800000001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-0.7363344051446935</v>
      </c>
      <c r="Q260">
        <f t="shared" si="960"/>
        <v>-285542.46216077131</v>
      </c>
      <c r="R260">
        <f t="shared" si="961"/>
        <v>-4001825.5292781321</v>
      </c>
      <c r="S260">
        <f t="shared" si="962"/>
        <v>-40.018255292781319</v>
      </c>
      <c r="T260">
        <f t="shared" si="963"/>
        <v>-4.0018255292781316E-2</v>
      </c>
    </row>
    <row r="261" spans="1:20" x14ac:dyDescent="0.25">
      <c r="A261" s="5">
        <v>44332</v>
      </c>
      <c r="B261">
        <v>4.7610000000000001</v>
      </c>
      <c r="C261">
        <v>4.9589999999999996</v>
      </c>
      <c r="D261">
        <v>4.319</v>
      </c>
      <c r="E261">
        <v>4.5199999999999996</v>
      </c>
      <c r="F261">
        <v>379686.37199999997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-0.37187500000000084</v>
      </c>
      <c r="Q261">
        <f t="shared" si="960"/>
        <v>-141195.86958750032</v>
      </c>
      <c r="R261">
        <f t="shared" si="961"/>
        <v>-3716283.0671173609</v>
      </c>
      <c r="S261">
        <f t="shared" si="962"/>
        <v>-37.162830671173609</v>
      </c>
      <c r="T261">
        <f t="shared" si="963"/>
        <v>-3.7162830671173611E-2</v>
      </c>
    </row>
    <row r="262" spans="1:20" x14ac:dyDescent="0.25">
      <c r="A262" s="5">
        <v>44331</v>
      </c>
      <c r="B262">
        <v>5.1230000000000002</v>
      </c>
      <c r="C262">
        <v>5.2880000000000003</v>
      </c>
      <c r="D262">
        <v>4.6609999999999996</v>
      </c>
      <c r="E262">
        <v>4.7489999999999997</v>
      </c>
      <c r="F262">
        <v>296030.239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-0.7192982456140351</v>
      </c>
      <c r="Q262">
        <f t="shared" ref="Q262:Q325" si="965">F262*P262</f>
        <v>-212934.03156140351</v>
      </c>
      <c r="R262">
        <f t="shared" ref="R262:R325" si="966">R263+Q262</f>
        <v>-3575087.1975298608</v>
      </c>
      <c r="S262">
        <f t="shared" ref="S262:S325" si="967">R262/100000</f>
        <v>-35.750871975298608</v>
      </c>
      <c r="T262">
        <f t="shared" ref="T262:T325" si="968">S262/1000</f>
        <v>-3.5750871975298609E-2</v>
      </c>
    </row>
    <row r="263" spans="1:20" x14ac:dyDescent="0.25">
      <c r="A263" s="5">
        <v>44330</v>
      </c>
      <c r="B263">
        <v>4.8609999999999998</v>
      </c>
      <c r="C263">
        <v>5.165</v>
      </c>
      <c r="D263">
        <v>4.6580000000000004</v>
      </c>
      <c r="E263">
        <v>5.149</v>
      </c>
      <c r="F263">
        <v>336745.092</v>
      </c>
      <c r="G263">
        <v>0</v>
      </c>
      <c r="L263" t="s">
        <v>7</v>
      </c>
      <c r="M263" t="s">
        <v>7</v>
      </c>
      <c r="N263" t="s">
        <v>7</v>
      </c>
      <c r="P263">
        <f t="shared" si="964"/>
        <v>0.9368836291913214</v>
      </c>
      <c r="Q263">
        <f t="shared" si="965"/>
        <v>315490.96390532539</v>
      </c>
      <c r="R263">
        <f t="shared" si="966"/>
        <v>-3362153.1659684572</v>
      </c>
      <c r="S263">
        <f t="shared" si="967"/>
        <v>-33.621531659684571</v>
      </c>
      <c r="T263">
        <f t="shared" si="968"/>
        <v>-3.3621531659684574E-2</v>
      </c>
    </row>
    <row r="264" spans="1:20" x14ac:dyDescent="0.25">
      <c r="A264" s="5">
        <v>44329</v>
      </c>
      <c r="B264">
        <v>5.0069999999999997</v>
      </c>
      <c r="C264">
        <v>5.2679999999999998</v>
      </c>
      <c r="D264">
        <v>4.75</v>
      </c>
      <c r="E264">
        <v>4.8440000000000003</v>
      </c>
      <c r="F264">
        <v>411393.81300000002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-0.63706563706563579</v>
      </c>
      <c r="Q264">
        <f t="shared" si="965"/>
        <v>-262084.86156370604</v>
      </c>
      <c r="R264">
        <f t="shared" si="966"/>
        <v>-3677644.1298737824</v>
      </c>
      <c r="S264">
        <f t="shared" si="967"/>
        <v>-36.776441298737822</v>
      </c>
      <c r="T264">
        <f t="shared" si="968"/>
        <v>-3.6776441298737819E-2</v>
      </c>
    </row>
    <row r="265" spans="1:20" x14ac:dyDescent="0.25">
      <c r="A265" s="5">
        <v>44328</v>
      </c>
      <c r="B265">
        <v>5.5060000000000002</v>
      </c>
      <c r="C265">
        <v>5.7290000000000001</v>
      </c>
      <c r="D265">
        <v>5</v>
      </c>
      <c r="E265">
        <v>5.0490000000000004</v>
      </c>
      <c r="F265">
        <v>351895.69799999997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-0.8655692729766794</v>
      </c>
      <c r="Q265">
        <f t="shared" si="965"/>
        <v>-304590.10348148114</v>
      </c>
      <c r="R265">
        <f t="shared" si="966"/>
        <v>-3415559.2683100766</v>
      </c>
      <c r="S265">
        <f t="shared" si="967"/>
        <v>-34.155592683100764</v>
      </c>
      <c r="T265">
        <f t="shared" si="968"/>
        <v>-3.4155592683100762E-2</v>
      </c>
    </row>
    <row r="266" spans="1:20" x14ac:dyDescent="0.25">
      <c r="A266" s="5">
        <v>44327</v>
      </c>
      <c r="B266">
        <v>5.4</v>
      </c>
      <c r="C266">
        <v>5.6</v>
      </c>
      <c r="D266">
        <v>5.1970000000000001</v>
      </c>
      <c r="E266">
        <v>5.5149999999999997</v>
      </c>
      <c r="F266">
        <v>288538.17599999998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0.57816377171215849</v>
      </c>
      <c r="Q266">
        <f t="shared" si="965"/>
        <v>166822.32011910659</v>
      </c>
      <c r="R266">
        <f t="shared" si="966"/>
        <v>-3110969.1648285952</v>
      </c>
      <c r="S266">
        <f t="shared" si="967"/>
        <v>-31.109691648285953</v>
      </c>
      <c r="T266">
        <f t="shared" si="968"/>
        <v>-3.1109691648285951E-2</v>
      </c>
    </row>
    <row r="267" spans="1:20" x14ac:dyDescent="0.25">
      <c r="A267" s="5">
        <v>44326</v>
      </c>
      <c r="B267">
        <v>5.9509999999999996</v>
      </c>
      <c r="C267">
        <v>6.0279999999999996</v>
      </c>
      <c r="D267">
        <v>5.3010000000000002</v>
      </c>
      <c r="E267">
        <v>5.3849999999999998</v>
      </c>
      <c r="F267">
        <v>422070.087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-0.76891334250343968</v>
      </c>
      <c r="Q267">
        <f t="shared" si="965"/>
        <v>-324535.32136588759</v>
      </c>
      <c r="R267">
        <f t="shared" si="966"/>
        <v>-3277791.4849477019</v>
      </c>
      <c r="S267">
        <f t="shared" si="967"/>
        <v>-32.777914849477021</v>
      </c>
      <c r="T267">
        <f t="shared" si="968"/>
        <v>-3.2777914849477022E-2</v>
      </c>
    </row>
    <row r="268" spans="1:20" x14ac:dyDescent="0.25">
      <c r="A268" s="5">
        <v>44325</v>
      </c>
      <c r="B268">
        <v>6.4039999999999999</v>
      </c>
      <c r="C268">
        <v>6.4219999999999997</v>
      </c>
      <c r="D268">
        <v>5.8730000000000002</v>
      </c>
      <c r="E268">
        <v>5.907</v>
      </c>
      <c r="F268">
        <v>352328.853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-0.87613843351548326</v>
      </c>
      <c r="Q268">
        <f t="shared" si="965"/>
        <v>-308688.84934972698</v>
      </c>
      <c r="R268">
        <f t="shared" si="966"/>
        <v>-2953256.1635818142</v>
      </c>
      <c r="S268">
        <f t="shared" si="967"/>
        <v>-29.532561635818141</v>
      </c>
      <c r="T268">
        <f t="shared" si="968"/>
        <v>-2.953256163581814E-2</v>
      </c>
    </row>
    <row r="269" spans="1:20" x14ac:dyDescent="0.25">
      <c r="A269" s="5">
        <v>44324</v>
      </c>
      <c r="B269">
        <v>6.3730000000000002</v>
      </c>
      <c r="C269">
        <v>6.5049999999999999</v>
      </c>
      <c r="D269">
        <v>6.101</v>
      </c>
      <c r="E269">
        <v>6.4009999999999998</v>
      </c>
      <c r="F269">
        <v>315574.84899999999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0.48514851485148458</v>
      </c>
      <c r="Q269">
        <f t="shared" si="965"/>
        <v>153100.66931683151</v>
      </c>
      <c r="R269">
        <f t="shared" si="966"/>
        <v>-2644567.3142320872</v>
      </c>
      <c r="S269">
        <f t="shared" si="967"/>
        <v>-26.445673142320871</v>
      </c>
      <c r="T269">
        <f t="shared" si="968"/>
        <v>-2.644567314232087E-2</v>
      </c>
    </row>
    <row r="270" spans="1:20" x14ac:dyDescent="0.25">
      <c r="A270" s="5">
        <v>44323</v>
      </c>
      <c r="B270">
        <v>6.5469999999999997</v>
      </c>
      <c r="C270">
        <v>6.5750000000000002</v>
      </c>
      <c r="D270">
        <v>6.1879999999999997</v>
      </c>
      <c r="E270">
        <v>6.3730000000000002</v>
      </c>
      <c r="F270">
        <v>339613.978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-4.3927648578809923E-2</v>
      </c>
      <c r="Q270">
        <f t="shared" si="965"/>
        <v>-14918.443478035684</v>
      </c>
      <c r="R270">
        <f t="shared" si="966"/>
        <v>-2797667.9835489187</v>
      </c>
      <c r="S270">
        <f t="shared" si="967"/>
        <v>-27.976679835489186</v>
      </c>
      <c r="T270">
        <f t="shared" si="968"/>
        <v>-2.7976679835489186E-2</v>
      </c>
    </row>
    <row r="271" spans="1:20" x14ac:dyDescent="0.25">
      <c r="A271" s="5">
        <v>44322</v>
      </c>
      <c r="B271">
        <v>7.2919999999999998</v>
      </c>
      <c r="C271">
        <v>7.2969999999999997</v>
      </c>
      <c r="D271">
        <v>6.3440000000000003</v>
      </c>
      <c r="E271">
        <v>6.5439999999999996</v>
      </c>
      <c r="F271">
        <v>519130.022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-0.58027282266526881</v>
      </c>
      <c r="Q271">
        <f t="shared" si="965"/>
        <v>-301237.04319622309</v>
      </c>
      <c r="R271">
        <f t="shared" si="966"/>
        <v>-2782749.540070883</v>
      </c>
      <c r="S271">
        <f t="shared" si="967"/>
        <v>-27.82749540070883</v>
      </c>
      <c r="T271">
        <f t="shared" si="968"/>
        <v>-2.7827495400708831E-2</v>
      </c>
    </row>
    <row r="272" spans="1:20" x14ac:dyDescent="0.25">
      <c r="A272" s="5">
        <v>44321</v>
      </c>
      <c r="B272">
        <v>7.1849999999999996</v>
      </c>
      <c r="C272">
        <v>7.5</v>
      </c>
      <c r="D272">
        <v>7.0709999999999997</v>
      </c>
      <c r="E272">
        <v>7.2450000000000001</v>
      </c>
      <c r="F272">
        <v>636962.90700000001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-0.18881118881118755</v>
      </c>
      <c r="Q272">
        <f t="shared" si="965"/>
        <v>-120265.7236992999</v>
      </c>
      <c r="R272">
        <f t="shared" si="966"/>
        <v>-2481512.4968746598</v>
      </c>
      <c r="S272">
        <f t="shared" si="967"/>
        <v>-24.815124968746598</v>
      </c>
      <c r="T272">
        <f t="shared" si="968"/>
        <v>-2.4815124968746598E-2</v>
      </c>
    </row>
    <row r="273" spans="1:20" x14ac:dyDescent="0.25">
      <c r="A273" s="5">
        <v>44320</v>
      </c>
      <c r="B273">
        <v>7.3310000000000004</v>
      </c>
      <c r="C273">
        <v>7.5</v>
      </c>
      <c r="D273">
        <v>6.5209999999999999</v>
      </c>
      <c r="E273">
        <v>7.2149999999999999</v>
      </c>
      <c r="F273">
        <v>936373.20400000003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0.41777323799795685</v>
      </c>
      <c r="Q273">
        <f t="shared" si="965"/>
        <v>391191.66540960141</v>
      </c>
      <c r="R273">
        <f t="shared" si="966"/>
        <v>-2361246.7731753597</v>
      </c>
      <c r="S273">
        <f t="shared" si="967"/>
        <v>-23.612467731753597</v>
      </c>
      <c r="T273">
        <f t="shared" si="968"/>
        <v>-2.3612467731753597E-2</v>
      </c>
    </row>
    <row r="274" spans="1:20" x14ac:dyDescent="0.25">
      <c r="A274" s="5">
        <v>44319</v>
      </c>
      <c r="B274">
        <v>6.1740000000000004</v>
      </c>
      <c r="C274">
        <v>7.59</v>
      </c>
      <c r="D274">
        <v>6.1619999999999999</v>
      </c>
      <c r="E274">
        <v>7.33</v>
      </c>
      <c r="F274">
        <v>1268842.8259999999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0.63585434173669497</v>
      </c>
      <c r="Q274">
        <f t="shared" si="965"/>
        <v>806799.21989355772</v>
      </c>
      <c r="R274">
        <f t="shared" si="966"/>
        <v>-2752438.438584961</v>
      </c>
      <c r="S274">
        <f t="shared" si="967"/>
        <v>-27.524384385849611</v>
      </c>
      <c r="T274">
        <f t="shared" si="968"/>
        <v>-2.7524384385849612E-2</v>
      </c>
    </row>
    <row r="275" spans="1:20" x14ac:dyDescent="0.25">
      <c r="A275" s="5">
        <v>44318</v>
      </c>
      <c r="B275">
        <v>6.383</v>
      </c>
      <c r="C275">
        <v>6.5570000000000004</v>
      </c>
      <c r="D275">
        <v>6.0830000000000002</v>
      </c>
      <c r="E275">
        <v>6.1749999999999998</v>
      </c>
      <c r="F275">
        <v>425002.37800000003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-0.61181434599156292</v>
      </c>
      <c r="Q275">
        <f t="shared" si="965"/>
        <v>-260022.55194092903</v>
      </c>
      <c r="R275">
        <f t="shared" si="966"/>
        <v>-3559237.6584785185</v>
      </c>
      <c r="S275">
        <f t="shared" si="967"/>
        <v>-35.592376584785185</v>
      </c>
      <c r="T275">
        <f t="shared" si="968"/>
        <v>-3.5592376584785188E-2</v>
      </c>
    </row>
    <row r="276" spans="1:20" x14ac:dyDescent="0.25">
      <c r="A276" s="5">
        <v>44317</v>
      </c>
      <c r="B276">
        <v>6.649</v>
      </c>
      <c r="C276">
        <v>6.9390000000000001</v>
      </c>
      <c r="D276">
        <v>6.3010000000000002</v>
      </c>
      <c r="E276">
        <v>6.3879999999999999</v>
      </c>
      <c r="F276">
        <v>399156.973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-0.72727272727272807</v>
      </c>
      <c r="Q276">
        <f t="shared" si="965"/>
        <v>-290295.98036363669</v>
      </c>
      <c r="R276">
        <f t="shared" si="966"/>
        <v>-3299215.1065375893</v>
      </c>
      <c r="S276">
        <f t="shared" si="967"/>
        <v>-32.992151065375893</v>
      </c>
      <c r="T276">
        <f t="shared" si="968"/>
        <v>-3.299215106537589E-2</v>
      </c>
    </row>
    <row r="277" spans="1:20" x14ac:dyDescent="0.25">
      <c r="A277" s="5">
        <v>44316</v>
      </c>
      <c r="B277">
        <v>6.9</v>
      </c>
      <c r="C277">
        <v>7.2889999999999997</v>
      </c>
      <c r="D277">
        <v>6.33</v>
      </c>
      <c r="E277">
        <v>6.6289999999999996</v>
      </c>
      <c r="F277">
        <v>1099125.1410000001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-0.3764337851929101</v>
      </c>
      <c r="Q277">
        <f t="shared" si="965"/>
        <v>-413747.83722732106</v>
      </c>
      <c r="R277">
        <f t="shared" si="966"/>
        <v>-3008919.1261739526</v>
      </c>
      <c r="S277">
        <f t="shared" si="967"/>
        <v>-30.089191261739526</v>
      </c>
      <c r="T277">
        <f t="shared" si="968"/>
        <v>-3.0089191261739527E-2</v>
      </c>
    </row>
    <row r="278" spans="1:20" x14ac:dyDescent="0.25">
      <c r="A278" s="5">
        <v>44315</v>
      </c>
      <c r="B278">
        <v>5.5730000000000004</v>
      </c>
      <c r="C278">
        <v>6.9489999999999998</v>
      </c>
      <c r="D278">
        <v>5.3659999999999997</v>
      </c>
      <c r="E278">
        <v>6.899</v>
      </c>
      <c r="F278">
        <v>1443175.327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0.93682880606443486</v>
      </c>
      <c r="Q278">
        <f t="shared" si="965"/>
        <v>1352008.2185350603</v>
      </c>
      <c r="R278">
        <f t="shared" si="966"/>
        <v>-2595171.2889466314</v>
      </c>
      <c r="S278">
        <f t="shared" si="967"/>
        <v>-25.951712889466314</v>
      </c>
      <c r="T278">
        <f t="shared" si="968"/>
        <v>-2.5951712889466315E-2</v>
      </c>
    </row>
    <row r="279" spans="1:20" x14ac:dyDescent="0.25">
      <c r="A279" s="5">
        <v>44314</v>
      </c>
      <c r="B279">
        <v>5.8920000000000003</v>
      </c>
      <c r="C279">
        <v>6.2480000000000002</v>
      </c>
      <c r="D279">
        <v>5.36</v>
      </c>
      <c r="E279">
        <v>5.5709999999999997</v>
      </c>
      <c r="F279">
        <v>666503.85900000005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-0.52477477477477608</v>
      </c>
      <c r="Q279">
        <f t="shared" si="965"/>
        <v>-349764.41249324416</v>
      </c>
      <c r="R279">
        <f t="shared" si="966"/>
        <v>-3947179.5074816914</v>
      </c>
      <c r="S279">
        <f t="shared" si="967"/>
        <v>-39.471795074816917</v>
      </c>
      <c r="T279">
        <f t="shared" si="968"/>
        <v>-3.9471795074816921E-2</v>
      </c>
    </row>
    <row r="280" spans="1:20" x14ac:dyDescent="0.25">
      <c r="A280" s="5">
        <v>44313</v>
      </c>
      <c r="B280">
        <v>5.2270000000000003</v>
      </c>
      <c r="C280">
        <v>6.01</v>
      </c>
      <c r="D280">
        <v>5.226</v>
      </c>
      <c r="E280">
        <v>5.8849999999999998</v>
      </c>
      <c r="F280">
        <v>561686.59699999995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0.68112244897959173</v>
      </c>
      <c r="Q280">
        <f t="shared" si="965"/>
        <v>382577.35050765297</v>
      </c>
      <c r="R280">
        <f t="shared" si="966"/>
        <v>-3597415.0949884471</v>
      </c>
      <c r="S280">
        <f t="shared" si="967"/>
        <v>-35.974150949884475</v>
      </c>
      <c r="T280">
        <f t="shared" si="968"/>
        <v>-3.5974150949884473E-2</v>
      </c>
    </row>
    <row r="281" spans="1:20" x14ac:dyDescent="0.25">
      <c r="A281" s="5">
        <v>44312</v>
      </c>
      <c r="B281">
        <v>4.7519999999999998</v>
      </c>
      <c r="C281">
        <v>5.5549999999999997</v>
      </c>
      <c r="D281">
        <v>4.742</v>
      </c>
      <c r="E281">
        <v>5.2320000000000002</v>
      </c>
      <c r="F281">
        <v>462731.93199999997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0.20541205412054214</v>
      </c>
      <c r="Q281">
        <f t="shared" si="965"/>
        <v>95050.71665928702</v>
      </c>
      <c r="R281">
        <f t="shared" si="966"/>
        <v>-3979992.4454961</v>
      </c>
      <c r="S281">
        <f t="shared" si="967"/>
        <v>-39.799924454961001</v>
      </c>
      <c r="T281">
        <f t="shared" si="968"/>
        <v>-3.9799924454961E-2</v>
      </c>
    </row>
    <row r="282" spans="1:20" x14ac:dyDescent="0.25">
      <c r="A282" s="5">
        <v>44311</v>
      </c>
      <c r="B282">
        <v>4.6760000000000002</v>
      </c>
      <c r="C282">
        <v>4.9889999999999999</v>
      </c>
      <c r="D282">
        <v>4.5010000000000003</v>
      </c>
      <c r="E282">
        <v>4.742</v>
      </c>
      <c r="F282">
        <v>275067.76299999998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-1.2295081967213592E-2</v>
      </c>
      <c r="Q282">
        <f t="shared" si="965"/>
        <v>-3381.9806926230817</v>
      </c>
      <c r="R282">
        <f t="shared" si="966"/>
        <v>-4075043.162155387</v>
      </c>
      <c r="S282">
        <f t="shared" si="967"/>
        <v>-40.750431621553872</v>
      </c>
      <c r="T282">
        <f t="shared" si="968"/>
        <v>-4.0750431621553874E-2</v>
      </c>
    </row>
    <row r="283" spans="1:20" x14ac:dyDescent="0.25">
      <c r="A283" s="5">
        <v>44310</v>
      </c>
      <c r="B283">
        <v>5.2009999999999996</v>
      </c>
      <c r="C283">
        <v>5.2060000000000004</v>
      </c>
      <c r="D283">
        <v>4.5</v>
      </c>
      <c r="E283">
        <v>4.6890000000000001</v>
      </c>
      <c r="F283">
        <v>268628.33799999999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-0.46458923512747891</v>
      </c>
      <c r="Q283">
        <f t="shared" si="965"/>
        <v>-124801.83408498587</v>
      </c>
      <c r="R283">
        <f t="shared" si="966"/>
        <v>-4071661.1814627638</v>
      </c>
      <c r="S283">
        <f t="shared" si="967"/>
        <v>-40.71661181462764</v>
      </c>
      <c r="T283">
        <f t="shared" si="968"/>
        <v>-4.0716611814627643E-2</v>
      </c>
    </row>
    <row r="284" spans="1:20" x14ac:dyDescent="0.25">
      <c r="A284" s="5">
        <v>44309</v>
      </c>
      <c r="B284">
        <v>5.3529999999999998</v>
      </c>
      <c r="C284">
        <v>5.3970000000000002</v>
      </c>
      <c r="D284">
        <v>4.6180000000000003</v>
      </c>
      <c r="E284">
        <v>5.22</v>
      </c>
      <c r="F284">
        <v>692349.43500000006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0.54557124518613476</v>
      </c>
      <c r="Q284">
        <f t="shared" si="965"/>
        <v>377725.94335686689</v>
      </c>
      <c r="R284">
        <f t="shared" si="966"/>
        <v>-3946859.347377778</v>
      </c>
      <c r="S284">
        <f t="shared" si="967"/>
        <v>-39.46859347377778</v>
      </c>
      <c r="T284">
        <f t="shared" si="968"/>
        <v>-3.9468593473777777E-2</v>
      </c>
    </row>
    <row r="285" spans="1:20" x14ac:dyDescent="0.25">
      <c r="A285" s="5">
        <v>44308</v>
      </c>
      <c r="B285">
        <v>6.069</v>
      </c>
      <c r="C285">
        <v>6.2290000000000001</v>
      </c>
      <c r="D285">
        <v>5.2430000000000003</v>
      </c>
      <c r="E285">
        <v>5.3529999999999998</v>
      </c>
      <c r="F285">
        <v>680722.87399999995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-0.77687626774847984</v>
      </c>
      <c r="Q285">
        <f t="shared" si="965"/>
        <v>-528837.44572413864</v>
      </c>
      <c r="R285">
        <f t="shared" si="966"/>
        <v>-4324585.290734645</v>
      </c>
      <c r="S285">
        <f t="shared" si="967"/>
        <v>-43.245852907346453</v>
      </c>
      <c r="T285">
        <f t="shared" si="968"/>
        <v>-4.3245852907346456E-2</v>
      </c>
    </row>
    <row r="286" spans="1:20" x14ac:dyDescent="0.25">
      <c r="A286" s="5">
        <v>44307</v>
      </c>
      <c r="B286">
        <v>5.141</v>
      </c>
      <c r="C286">
        <v>6.4580000000000002</v>
      </c>
      <c r="D286">
        <v>5.0590000000000002</v>
      </c>
      <c r="E286">
        <v>6.0679999999999996</v>
      </c>
      <c r="F286">
        <v>953629.75600000005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0.44245889921372328</v>
      </c>
      <c r="Q286">
        <f t="shared" si="965"/>
        <v>421941.97209721152</v>
      </c>
      <c r="R286">
        <f t="shared" si="966"/>
        <v>-3795747.845010506</v>
      </c>
      <c r="S286">
        <f t="shared" si="967"/>
        <v>-37.957478450105057</v>
      </c>
      <c r="T286">
        <f t="shared" si="968"/>
        <v>-3.795747845010506E-2</v>
      </c>
    </row>
    <row r="287" spans="1:20" x14ac:dyDescent="0.25">
      <c r="A287" s="5">
        <v>44306</v>
      </c>
      <c r="B287">
        <v>5.1020000000000003</v>
      </c>
      <c r="C287">
        <v>5.274</v>
      </c>
      <c r="D287">
        <v>4.62</v>
      </c>
      <c r="E287">
        <v>5.133</v>
      </c>
      <c r="F287">
        <v>518535.93300000002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0.5688073394495412</v>
      </c>
      <c r="Q287">
        <f t="shared" si="965"/>
        <v>294947.04445871559</v>
      </c>
      <c r="R287">
        <f t="shared" si="966"/>
        <v>-4217689.8171077175</v>
      </c>
      <c r="S287">
        <f t="shared" si="967"/>
        <v>-42.176898171077177</v>
      </c>
      <c r="T287">
        <f t="shared" si="968"/>
        <v>-4.2176898171077178E-2</v>
      </c>
    </row>
    <row r="288" spans="1:20" x14ac:dyDescent="0.25">
      <c r="A288" s="5">
        <v>44305</v>
      </c>
      <c r="B288">
        <v>5.86</v>
      </c>
      <c r="C288">
        <v>6.0990000000000002</v>
      </c>
      <c r="D288">
        <v>4.9029999999999996</v>
      </c>
      <c r="E288">
        <v>5.1020000000000003</v>
      </c>
      <c r="F288">
        <v>664080.06200000003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-0.66722408026755753</v>
      </c>
      <c r="Q288">
        <f t="shared" si="965"/>
        <v>-443090.20859197259</v>
      </c>
      <c r="R288">
        <f t="shared" si="966"/>
        <v>-4512636.8615664328</v>
      </c>
      <c r="S288">
        <f t="shared" si="967"/>
        <v>-45.126368615664326</v>
      </c>
      <c r="T288">
        <f t="shared" si="968"/>
        <v>-4.5126368615664325E-2</v>
      </c>
    </row>
    <row r="289" spans="1:20" x14ac:dyDescent="0.25">
      <c r="A289" s="5">
        <v>44304</v>
      </c>
      <c r="B289">
        <v>7.133</v>
      </c>
      <c r="C289">
        <v>7.2050000000000001</v>
      </c>
      <c r="D289">
        <v>5.47</v>
      </c>
      <c r="E289">
        <v>5.8609999999999998</v>
      </c>
      <c r="F289">
        <v>645173.04099999997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-0.54927953890489922</v>
      </c>
      <c r="Q289">
        <f t="shared" si="965"/>
        <v>-354380.35047435161</v>
      </c>
      <c r="R289">
        <f t="shared" si="966"/>
        <v>-4069546.6529744603</v>
      </c>
      <c r="S289">
        <f t="shared" si="967"/>
        <v>-40.6954665297446</v>
      </c>
      <c r="T289">
        <f t="shared" si="968"/>
        <v>-4.0695466529744602E-2</v>
      </c>
    </row>
    <row r="290" spans="1:20" x14ac:dyDescent="0.25">
      <c r="A290" s="5">
        <v>44303</v>
      </c>
      <c r="B290">
        <v>6.96</v>
      </c>
      <c r="C290">
        <v>7.3079999999999998</v>
      </c>
      <c r="D290">
        <v>6.84</v>
      </c>
      <c r="E290">
        <v>7.1349999999999998</v>
      </c>
      <c r="F290">
        <v>322077.42499999999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0.26068376068376048</v>
      </c>
      <c r="Q290">
        <f t="shared" si="965"/>
        <v>83960.354380341814</v>
      </c>
      <c r="R290">
        <f t="shared" si="966"/>
        <v>-3715166.3025001087</v>
      </c>
      <c r="S290">
        <f t="shared" si="967"/>
        <v>-37.151663025001085</v>
      </c>
      <c r="T290">
        <f t="shared" si="968"/>
        <v>-3.7151663025001086E-2</v>
      </c>
    </row>
    <row r="291" spans="1:20" x14ac:dyDescent="0.25">
      <c r="A291" s="5">
        <v>44302</v>
      </c>
      <c r="B291">
        <v>7.2670000000000003</v>
      </c>
      <c r="C291">
        <v>7.5990000000000002</v>
      </c>
      <c r="D291">
        <v>6.8109999999999999</v>
      </c>
      <c r="E291">
        <v>6.9969999999999999</v>
      </c>
      <c r="F291">
        <v>373498.02600000001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-0.52791878172588858</v>
      </c>
      <c r="Q291">
        <f t="shared" si="965"/>
        <v>-197176.62286294426</v>
      </c>
      <c r="R291">
        <f t="shared" si="966"/>
        <v>-3799126.6568804504</v>
      </c>
      <c r="S291">
        <f t="shared" si="967"/>
        <v>-37.991266568804505</v>
      </c>
      <c r="T291">
        <f t="shared" si="968"/>
        <v>-3.7991266568804506E-2</v>
      </c>
    </row>
    <row r="292" spans="1:20" x14ac:dyDescent="0.25">
      <c r="A292" s="5">
        <v>44301</v>
      </c>
      <c r="B292">
        <v>6.9660000000000002</v>
      </c>
      <c r="C292">
        <v>7.2789999999999999</v>
      </c>
      <c r="D292">
        <v>6.8010000000000002</v>
      </c>
      <c r="E292">
        <v>7.2670000000000003</v>
      </c>
      <c r="F292">
        <v>395438.46500000003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0.94979079497908125</v>
      </c>
      <c r="Q292">
        <f t="shared" si="965"/>
        <v>375583.81403765763</v>
      </c>
      <c r="R292">
        <f t="shared" si="966"/>
        <v>-3601950.0340175061</v>
      </c>
      <c r="S292">
        <f t="shared" si="967"/>
        <v>-36.019500340175064</v>
      </c>
      <c r="T292">
        <f t="shared" si="968"/>
        <v>-3.6019500340175065E-2</v>
      </c>
    </row>
    <row r="293" spans="1:20" x14ac:dyDescent="0.25">
      <c r="A293" s="5">
        <v>44300</v>
      </c>
      <c r="B293">
        <v>7.2229999999999999</v>
      </c>
      <c r="C293">
        <v>7.29</v>
      </c>
      <c r="D293">
        <v>6.86</v>
      </c>
      <c r="E293">
        <v>6.9669999999999996</v>
      </c>
      <c r="F293">
        <v>295387.712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-0.50232558139535166</v>
      </c>
      <c r="Q293">
        <f t="shared" si="965"/>
        <v>-148380.80416744269</v>
      </c>
      <c r="R293">
        <f t="shared" si="966"/>
        <v>-3977533.8480551639</v>
      </c>
      <c r="S293">
        <f t="shared" si="967"/>
        <v>-39.775338480551639</v>
      </c>
      <c r="T293">
        <f t="shared" si="968"/>
        <v>-3.9775338480551641E-2</v>
      </c>
    </row>
    <row r="294" spans="1:20" x14ac:dyDescent="0.25">
      <c r="A294" s="5">
        <v>44299</v>
      </c>
      <c r="B294">
        <v>7.3529999999999998</v>
      </c>
      <c r="C294">
        <v>7.45</v>
      </c>
      <c r="D294">
        <v>6.8010000000000002</v>
      </c>
      <c r="E294">
        <v>7.2240000000000002</v>
      </c>
      <c r="F294">
        <v>408415.37199999997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0.30354391371340533</v>
      </c>
      <c r="Q294">
        <f t="shared" si="965"/>
        <v>123972.00043759633</v>
      </c>
      <c r="R294">
        <f t="shared" si="966"/>
        <v>-3829153.0438877214</v>
      </c>
      <c r="S294">
        <f t="shared" si="967"/>
        <v>-38.291530438877217</v>
      </c>
      <c r="T294">
        <f t="shared" si="968"/>
        <v>-3.8291530438877217E-2</v>
      </c>
    </row>
    <row r="295" spans="1:20" x14ac:dyDescent="0.25">
      <c r="A295" s="5">
        <v>44298</v>
      </c>
      <c r="B295">
        <v>7.8289999999999997</v>
      </c>
      <c r="C295">
        <v>7.9749999999999996</v>
      </c>
      <c r="D295">
        <v>7.2009999999999996</v>
      </c>
      <c r="E295">
        <v>7.35</v>
      </c>
      <c r="F295">
        <v>463349.19400000002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-0.61498708010335912</v>
      </c>
      <c r="Q295">
        <f t="shared" si="965"/>
        <v>-284953.76788630488</v>
      </c>
      <c r="R295">
        <f t="shared" si="966"/>
        <v>-3953125.0443253177</v>
      </c>
      <c r="S295">
        <f t="shared" si="967"/>
        <v>-39.531250443253178</v>
      </c>
      <c r="T295">
        <f t="shared" si="968"/>
        <v>-3.9531250443253181E-2</v>
      </c>
    </row>
    <row r="296" spans="1:20" x14ac:dyDescent="0.25">
      <c r="A296" s="5">
        <v>44297</v>
      </c>
      <c r="B296">
        <v>8.0009999999999994</v>
      </c>
      <c r="C296">
        <v>8.0739999999999998</v>
      </c>
      <c r="D296">
        <v>7.5010000000000003</v>
      </c>
      <c r="E296">
        <v>7.8289999999999997</v>
      </c>
      <c r="F296">
        <v>263360.13099999999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0.14485165794066207</v>
      </c>
      <c r="Q296">
        <f t="shared" si="965"/>
        <v>38148.15161081995</v>
      </c>
      <c r="R296">
        <f t="shared" si="966"/>
        <v>-3668171.276439013</v>
      </c>
      <c r="S296">
        <f t="shared" si="967"/>
        <v>-36.681712764390127</v>
      </c>
      <c r="T296">
        <f t="shared" si="968"/>
        <v>-3.6681712764390126E-2</v>
      </c>
    </row>
    <row r="297" spans="1:20" x14ac:dyDescent="0.25">
      <c r="A297" s="5">
        <v>44296</v>
      </c>
      <c r="B297">
        <v>8.2769999999999992</v>
      </c>
      <c r="C297">
        <v>8.44</v>
      </c>
      <c r="D297">
        <v>7.9109999999999996</v>
      </c>
      <c r="E297">
        <v>8.0009999999999994</v>
      </c>
      <c r="F297">
        <v>369546.02100000001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-0.65973534971644665</v>
      </c>
      <c r="Q297">
        <f t="shared" si="965"/>
        <v>-243802.57340075634</v>
      </c>
      <c r="R297">
        <f t="shared" si="966"/>
        <v>-3706319.428049833</v>
      </c>
      <c r="S297">
        <f t="shared" si="967"/>
        <v>-37.06319428049833</v>
      </c>
      <c r="T297">
        <f t="shared" si="968"/>
        <v>-3.7063194280498327E-2</v>
      </c>
    </row>
    <row r="298" spans="1:20" x14ac:dyDescent="0.25">
      <c r="A298" s="5">
        <v>44295</v>
      </c>
      <c r="B298">
        <v>8.0730000000000004</v>
      </c>
      <c r="C298">
        <v>8.73</v>
      </c>
      <c r="D298">
        <v>7.95</v>
      </c>
      <c r="E298">
        <v>8.2739999999999991</v>
      </c>
      <c r="F298">
        <v>395418.89399999997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-0.16923076923077218</v>
      </c>
      <c r="Q298">
        <f t="shared" si="965"/>
        <v>-66917.043600001169</v>
      </c>
      <c r="R298">
        <f t="shared" si="966"/>
        <v>-3462516.8546490767</v>
      </c>
      <c r="S298">
        <f t="shared" si="967"/>
        <v>-34.625168546490769</v>
      </c>
      <c r="T298">
        <f t="shared" si="968"/>
        <v>-3.4625168546490767E-2</v>
      </c>
    </row>
    <row r="299" spans="1:20" x14ac:dyDescent="0.25">
      <c r="A299" s="5">
        <v>44294</v>
      </c>
      <c r="B299">
        <v>7.8460000000000001</v>
      </c>
      <c r="C299">
        <v>8.3000000000000007</v>
      </c>
      <c r="D299">
        <v>7.6470000000000002</v>
      </c>
      <c r="E299">
        <v>8.0719999999999992</v>
      </c>
      <c r="F299">
        <v>382095.86700000003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0.3016845329249575</v>
      </c>
      <c r="Q299">
        <f t="shared" si="965"/>
        <v>115272.41316845169</v>
      </c>
      <c r="R299">
        <f t="shared" si="966"/>
        <v>-3395599.8110490753</v>
      </c>
      <c r="S299">
        <f t="shared" si="967"/>
        <v>-33.955998110490754</v>
      </c>
      <c r="T299">
        <f t="shared" si="968"/>
        <v>-3.3955998110490757E-2</v>
      </c>
    </row>
    <row r="300" spans="1:20" x14ac:dyDescent="0.25">
      <c r="A300" s="5">
        <v>44293</v>
      </c>
      <c r="B300">
        <v>8.3390000000000004</v>
      </c>
      <c r="C300">
        <v>8.6280000000000001</v>
      </c>
      <c r="D300">
        <v>7.5149999999999997</v>
      </c>
      <c r="E300">
        <v>7.8470000000000004</v>
      </c>
      <c r="F300">
        <v>476714.516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-0.40341419586702498</v>
      </c>
      <c r="Q300">
        <f t="shared" si="965"/>
        <v>-192313.40313027802</v>
      </c>
      <c r="R300">
        <f t="shared" si="966"/>
        <v>-3510872.2242175271</v>
      </c>
      <c r="S300">
        <f t="shared" si="967"/>
        <v>-35.108722242175268</v>
      </c>
      <c r="T300">
        <f t="shared" si="968"/>
        <v>-3.5108722242175268E-2</v>
      </c>
    </row>
    <row r="301" spans="1:20" x14ac:dyDescent="0.25">
      <c r="A301" s="5">
        <v>44292</v>
      </c>
      <c r="B301">
        <v>9.1519999999999992</v>
      </c>
      <c r="C301">
        <v>9.1539999999999999</v>
      </c>
      <c r="D301">
        <v>8.1890000000000001</v>
      </c>
      <c r="E301">
        <v>8.34</v>
      </c>
      <c r="F301">
        <v>422870.73200000002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-0.68704663212435269</v>
      </c>
      <c r="Q301">
        <f t="shared" si="965"/>
        <v>-290531.91224455973</v>
      </c>
      <c r="R301">
        <f t="shared" si="966"/>
        <v>-3318558.8210872491</v>
      </c>
      <c r="S301">
        <f t="shared" si="967"/>
        <v>-33.185588210872488</v>
      </c>
      <c r="T301">
        <f t="shared" si="968"/>
        <v>-3.3185588210872488E-2</v>
      </c>
    </row>
    <row r="302" spans="1:20" x14ac:dyDescent="0.25">
      <c r="A302" s="5">
        <v>44291</v>
      </c>
      <c r="B302">
        <v>8.5739999999999998</v>
      </c>
      <c r="C302">
        <v>9.42</v>
      </c>
      <c r="D302">
        <v>8.2210000000000001</v>
      </c>
      <c r="E302">
        <v>9.1549999999999994</v>
      </c>
      <c r="F302">
        <v>486544.51799999998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0.55796497080900653</v>
      </c>
      <c r="Q302">
        <f t="shared" si="965"/>
        <v>271474.79778315214</v>
      </c>
      <c r="R302">
        <f t="shared" si="966"/>
        <v>-3028026.9088426894</v>
      </c>
      <c r="S302">
        <f t="shared" si="967"/>
        <v>-30.280269088426895</v>
      </c>
      <c r="T302">
        <f t="shared" si="968"/>
        <v>-3.0280269088426896E-2</v>
      </c>
    </row>
    <row r="303" spans="1:20" x14ac:dyDescent="0.25">
      <c r="A303" s="5">
        <v>44290</v>
      </c>
      <c r="B303">
        <v>7.9029999999999996</v>
      </c>
      <c r="C303">
        <v>8.673</v>
      </c>
      <c r="D303">
        <v>7.6680000000000001</v>
      </c>
      <c r="E303">
        <v>8.5749999999999993</v>
      </c>
      <c r="F303">
        <v>300965.36900000001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0.80497512437810792</v>
      </c>
      <c r="Q303">
        <f t="shared" si="965"/>
        <v>242269.63534427815</v>
      </c>
      <c r="R303">
        <f t="shared" si="966"/>
        <v>-3299501.7066258416</v>
      </c>
      <c r="S303">
        <f t="shared" si="967"/>
        <v>-32.995017066258413</v>
      </c>
      <c r="T303">
        <f t="shared" si="968"/>
        <v>-3.299501706625841E-2</v>
      </c>
    </row>
    <row r="304" spans="1:20" x14ac:dyDescent="0.25">
      <c r="A304" s="5">
        <v>44289</v>
      </c>
      <c r="B304">
        <v>8.6809999999999992</v>
      </c>
      <c r="C304">
        <v>8.8610000000000007</v>
      </c>
      <c r="D304">
        <v>7.8570000000000002</v>
      </c>
      <c r="E304">
        <v>7.96</v>
      </c>
      <c r="F304">
        <v>257973.853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-0.79482071713147473</v>
      </c>
      <c r="Q304">
        <f t="shared" si="965"/>
        <v>-205042.96284262964</v>
      </c>
      <c r="R304">
        <f t="shared" si="966"/>
        <v>-3541771.3419701196</v>
      </c>
      <c r="S304">
        <f t="shared" si="967"/>
        <v>-35.417713419701194</v>
      </c>
      <c r="T304">
        <f t="shared" si="968"/>
        <v>-3.5417713419701194E-2</v>
      </c>
    </row>
    <row r="305" spans="1:20" x14ac:dyDescent="0.25">
      <c r="A305" s="5">
        <v>44288</v>
      </c>
      <c r="B305">
        <v>8.69</v>
      </c>
      <c r="C305">
        <v>8.7889999999999997</v>
      </c>
      <c r="D305">
        <v>8.3010000000000002</v>
      </c>
      <c r="E305">
        <v>8.7200000000000006</v>
      </c>
      <c r="F305">
        <v>352956.005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0.71721311475410199</v>
      </c>
      <c r="Q305">
        <f t="shared" si="965"/>
        <v>253144.67571721438</v>
      </c>
      <c r="R305">
        <f t="shared" si="966"/>
        <v>-3336728.3791274899</v>
      </c>
      <c r="S305">
        <f t="shared" si="967"/>
        <v>-33.3672837912749</v>
      </c>
      <c r="T305">
        <f t="shared" si="968"/>
        <v>-3.3367283791274897E-2</v>
      </c>
    </row>
    <row r="306" spans="1:20" x14ac:dyDescent="0.25">
      <c r="A306" s="5">
        <v>44287</v>
      </c>
      <c r="B306">
        <v>9.2550000000000008</v>
      </c>
      <c r="C306">
        <v>9.51</v>
      </c>
      <c r="D306">
        <v>8.6</v>
      </c>
      <c r="E306">
        <v>8.69</v>
      </c>
      <c r="F306">
        <v>332428.98200000002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-0.80219780219780257</v>
      </c>
      <c r="Q306">
        <f t="shared" si="965"/>
        <v>-266673.79874725291</v>
      </c>
      <c r="R306">
        <f t="shared" si="966"/>
        <v>-3589873.0548447045</v>
      </c>
      <c r="S306">
        <f t="shared" si="967"/>
        <v>-35.898730548447041</v>
      </c>
      <c r="T306">
        <f t="shared" si="968"/>
        <v>-3.5898730548447041E-2</v>
      </c>
    </row>
    <row r="307" spans="1:20" x14ac:dyDescent="0.25">
      <c r="A307" s="5">
        <v>44286</v>
      </c>
      <c r="B307">
        <v>9.5850000000000009</v>
      </c>
      <c r="C307">
        <v>10.1</v>
      </c>
      <c r="D307">
        <v>9</v>
      </c>
      <c r="E307">
        <v>9.2539999999999996</v>
      </c>
      <c r="F307">
        <v>453940.12900000002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-0.53818181818181887</v>
      </c>
      <c r="Q307">
        <f t="shared" si="965"/>
        <v>-244302.32397090941</v>
      </c>
      <c r="R307">
        <f t="shared" si="966"/>
        <v>-3323199.2560974513</v>
      </c>
      <c r="S307">
        <f t="shared" si="967"/>
        <v>-33.231992560974511</v>
      </c>
      <c r="T307">
        <f t="shared" si="968"/>
        <v>-3.3231992560974512E-2</v>
      </c>
    </row>
    <row r="308" spans="1:20" x14ac:dyDescent="0.25">
      <c r="A308" s="5">
        <v>44285</v>
      </c>
      <c r="B308">
        <v>8.9770000000000003</v>
      </c>
      <c r="C308">
        <v>9.9489999999999998</v>
      </c>
      <c r="D308">
        <v>8.9309999999999992</v>
      </c>
      <c r="E308">
        <v>9.5310000000000006</v>
      </c>
      <c r="F308">
        <v>478085.223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0.1787819253438134</v>
      </c>
      <c r="Q308">
        <f t="shared" si="965"/>
        <v>85472.996646366388</v>
      </c>
      <c r="R308">
        <f t="shared" si="966"/>
        <v>-3078896.9321265421</v>
      </c>
      <c r="S308">
        <f t="shared" si="967"/>
        <v>-30.788969321265419</v>
      </c>
      <c r="T308">
        <f t="shared" si="968"/>
        <v>-3.078896932126542E-2</v>
      </c>
    </row>
    <row r="309" spans="1:20" x14ac:dyDescent="0.25">
      <c r="A309" s="5">
        <v>44284</v>
      </c>
      <c r="B309">
        <v>8.2539999999999996</v>
      </c>
      <c r="C309">
        <v>8.9789999999999992</v>
      </c>
      <c r="D309">
        <v>8</v>
      </c>
      <c r="E309">
        <v>8.9779999999999998</v>
      </c>
      <c r="F309">
        <v>414104.66899999999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0.99795709908069574</v>
      </c>
      <c r="Q309">
        <f t="shared" si="965"/>
        <v>413258.69419101172</v>
      </c>
      <c r="R309">
        <f t="shared" si="966"/>
        <v>-3164369.9287729086</v>
      </c>
      <c r="S309">
        <f t="shared" si="967"/>
        <v>-31.643699287729085</v>
      </c>
      <c r="T309">
        <f t="shared" si="968"/>
        <v>-3.1643699287729088E-2</v>
      </c>
    </row>
    <row r="310" spans="1:20" x14ac:dyDescent="0.25">
      <c r="A310" s="5">
        <v>44283</v>
      </c>
      <c r="B310">
        <v>8.9770000000000003</v>
      </c>
      <c r="C310">
        <v>9.52</v>
      </c>
      <c r="D310">
        <v>8.0890000000000004</v>
      </c>
      <c r="E310">
        <v>8.2530000000000001</v>
      </c>
      <c r="F310">
        <v>391645.07299999997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-0.77078965758211071</v>
      </c>
      <c r="Q310">
        <f t="shared" si="965"/>
        <v>-301875.97171139071</v>
      </c>
      <c r="R310">
        <f t="shared" si="966"/>
        <v>-3577628.6229639202</v>
      </c>
      <c r="S310">
        <f t="shared" si="967"/>
        <v>-35.776286229639204</v>
      </c>
      <c r="T310">
        <f t="shared" si="968"/>
        <v>-3.5776286229639201E-2</v>
      </c>
    </row>
    <row r="311" spans="1:20" x14ac:dyDescent="0.25">
      <c r="A311" s="5">
        <v>44282</v>
      </c>
      <c r="B311">
        <v>8.5410000000000004</v>
      </c>
      <c r="C311">
        <v>9.4499999999999993</v>
      </c>
      <c r="D311">
        <v>8.2460000000000004</v>
      </c>
      <c r="E311">
        <v>8.9649999999999999</v>
      </c>
      <c r="F311">
        <v>658777.83400000003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0.1943521594684387</v>
      </c>
      <c r="Q311">
        <f t="shared" si="965"/>
        <v>128034.89464784064</v>
      </c>
      <c r="R311">
        <f t="shared" si="966"/>
        <v>-3275752.6512525296</v>
      </c>
      <c r="S311">
        <f t="shared" si="967"/>
        <v>-32.757526512525295</v>
      </c>
      <c r="T311">
        <f t="shared" si="968"/>
        <v>-3.2757526512525295E-2</v>
      </c>
    </row>
    <row r="312" spans="1:20" x14ac:dyDescent="0.25">
      <c r="A312" s="5">
        <v>44281</v>
      </c>
      <c r="B312">
        <v>7.8109999999999999</v>
      </c>
      <c r="C312">
        <v>8.5790000000000006</v>
      </c>
      <c r="D312">
        <v>7.8109999999999999</v>
      </c>
      <c r="E312">
        <v>8.5410000000000004</v>
      </c>
      <c r="F312">
        <v>467581.74900000001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0.90104166666666607</v>
      </c>
      <c r="Q312">
        <f t="shared" si="965"/>
        <v>421310.63842187473</v>
      </c>
      <c r="R312">
        <f t="shared" si="966"/>
        <v>-3403787.54590037</v>
      </c>
      <c r="S312">
        <f t="shared" si="967"/>
        <v>-34.0378754590037</v>
      </c>
      <c r="T312">
        <f t="shared" si="968"/>
        <v>-3.4037875459003698E-2</v>
      </c>
    </row>
    <row r="313" spans="1:20" x14ac:dyDescent="0.25">
      <c r="A313" s="5">
        <v>44280</v>
      </c>
      <c r="B313">
        <v>7.8310000000000004</v>
      </c>
      <c r="C313">
        <v>7.9580000000000002</v>
      </c>
      <c r="D313">
        <v>7.3010000000000002</v>
      </c>
      <c r="E313">
        <v>7.7729999999999997</v>
      </c>
      <c r="F313">
        <v>405697.53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0.43683409436833948</v>
      </c>
      <c r="Q313">
        <f t="shared" si="965"/>
        <v>177222.51310502226</v>
      </c>
      <c r="R313">
        <f t="shared" si="966"/>
        <v>-3825098.184322245</v>
      </c>
      <c r="S313">
        <f t="shared" si="967"/>
        <v>-38.250981843222448</v>
      </c>
      <c r="T313">
        <f t="shared" si="968"/>
        <v>-3.8250981843222447E-2</v>
      </c>
    </row>
    <row r="314" spans="1:20" x14ac:dyDescent="0.25">
      <c r="A314" s="5">
        <v>44279</v>
      </c>
      <c r="B314">
        <v>7.952</v>
      </c>
      <c r="C314">
        <v>8.9740000000000002</v>
      </c>
      <c r="D314">
        <v>7.7409999999999997</v>
      </c>
      <c r="E314">
        <v>7.8339999999999996</v>
      </c>
      <c r="F314">
        <v>658886.723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-0.84914841849148426</v>
      </c>
      <c r="Q314">
        <f t="shared" si="965"/>
        <v>-559492.61880048667</v>
      </c>
      <c r="R314">
        <f t="shared" si="966"/>
        <v>-4002320.6974272672</v>
      </c>
      <c r="S314">
        <f t="shared" si="967"/>
        <v>-40.023206974272675</v>
      </c>
      <c r="T314">
        <f t="shared" si="968"/>
        <v>-4.0023206974272675E-2</v>
      </c>
    </row>
    <row r="315" spans="1:20" x14ac:dyDescent="0.25">
      <c r="A315" s="5">
        <v>44278</v>
      </c>
      <c r="B315">
        <v>8.3800000000000008</v>
      </c>
      <c r="C315">
        <v>8.4350000000000005</v>
      </c>
      <c r="D315">
        <v>7.6</v>
      </c>
      <c r="E315">
        <v>7.95</v>
      </c>
      <c r="F315">
        <v>633551.07700000005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-0.16167664670658641</v>
      </c>
      <c r="Q315">
        <f t="shared" si="965"/>
        <v>-102430.41364670634</v>
      </c>
      <c r="R315">
        <f t="shared" si="966"/>
        <v>-3442828.0786267808</v>
      </c>
      <c r="S315">
        <f t="shared" si="967"/>
        <v>-34.428280786267806</v>
      </c>
      <c r="T315">
        <f t="shared" si="968"/>
        <v>-3.4428280786267806E-2</v>
      </c>
    </row>
    <row r="316" spans="1:20" x14ac:dyDescent="0.25">
      <c r="A316" s="5">
        <v>44277</v>
      </c>
      <c r="B316">
        <v>9.4049999999999994</v>
      </c>
      <c r="C316">
        <v>9.5939999999999994</v>
      </c>
      <c r="D316">
        <v>8.3010000000000002</v>
      </c>
      <c r="E316">
        <v>8.3710000000000004</v>
      </c>
      <c r="F316">
        <v>493828.63799999998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-0.89172467130703736</v>
      </c>
      <c r="Q316">
        <f t="shared" si="965"/>
        <v>-440359.17990255193</v>
      </c>
      <c r="R316">
        <f t="shared" si="966"/>
        <v>-3340397.6649800744</v>
      </c>
      <c r="S316">
        <f t="shared" si="967"/>
        <v>-33.403976649800747</v>
      </c>
      <c r="T316">
        <f t="shared" si="968"/>
        <v>-3.340397664980075E-2</v>
      </c>
    </row>
    <row r="317" spans="1:20" x14ac:dyDescent="0.25">
      <c r="A317" s="5">
        <v>44276</v>
      </c>
      <c r="B317">
        <v>10.606999999999999</v>
      </c>
      <c r="C317">
        <v>10.669</v>
      </c>
      <c r="D317">
        <v>9.2110000000000003</v>
      </c>
      <c r="E317">
        <v>9.4049999999999994</v>
      </c>
      <c r="F317">
        <v>472261.30599999998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-0.73388203017832776</v>
      </c>
      <c r="Q317">
        <f t="shared" si="965"/>
        <v>-346584.08602194849</v>
      </c>
      <c r="R317">
        <f t="shared" si="966"/>
        <v>-2900038.4850775227</v>
      </c>
      <c r="S317">
        <f t="shared" si="967"/>
        <v>-29.000384850775227</v>
      </c>
      <c r="T317">
        <f t="shared" si="968"/>
        <v>-2.9000384850775225E-2</v>
      </c>
    </row>
    <row r="318" spans="1:20" x14ac:dyDescent="0.25">
      <c r="A318" s="5">
        <v>44275</v>
      </c>
      <c r="B318">
        <v>10.909000000000001</v>
      </c>
      <c r="C318">
        <v>11.6</v>
      </c>
      <c r="D318">
        <v>10.481999999999999</v>
      </c>
      <c r="E318">
        <v>10.605</v>
      </c>
      <c r="F318">
        <v>307528.48700000002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-0.77996422182468506</v>
      </c>
      <c r="Q318">
        <f t="shared" si="965"/>
        <v>-239861.21705187779</v>
      </c>
      <c r="R318">
        <f t="shared" si="966"/>
        <v>-2553454.3990555741</v>
      </c>
      <c r="S318">
        <f t="shared" si="967"/>
        <v>-25.53454399055574</v>
      </c>
      <c r="T318">
        <f t="shared" si="968"/>
        <v>-2.5534543990555741E-2</v>
      </c>
    </row>
    <row r="319" spans="1:20" x14ac:dyDescent="0.25">
      <c r="A319" s="5">
        <v>44274</v>
      </c>
      <c r="B319">
        <v>9.9280000000000008</v>
      </c>
      <c r="C319">
        <v>11.298999999999999</v>
      </c>
      <c r="D319">
        <v>9.5500000000000007</v>
      </c>
      <c r="E319">
        <v>10.91</v>
      </c>
      <c r="F319">
        <v>629543.81900000002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0.55517438536306507</v>
      </c>
      <c r="Q319">
        <f t="shared" si="965"/>
        <v>349506.60277244169</v>
      </c>
      <c r="R319">
        <f t="shared" si="966"/>
        <v>-2313593.1820036964</v>
      </c>
      <c r="S319">
        <f t="shared" si="967"/>
        <v>-23.135931820036966</v>
      </c>
      <c r="T319">
        <f t="shared" si="968"/>
        <v>-2.3135931820036967E-2</v>
      </c>
    </row>
    <row r="320" spans="1:20" x14ac:dyDescent="0.25">
      <c r="A320" s="5">
        <v>44273</v>
      </c>
      <c r="B320">
        <v>11.169</v>
      </c>
      <c r="C320">
        <v>11.95</v>
      </c>
      <c r="D320">
        <v>9.8800000000000008</v>
      </c>
      <c r="E320">
        <v>9.9550000000000001</v>
      </c>
      <c r="F320">
        <v>488629.41499999998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-0.92753623188405865</v>
      </c>
      <c r="Q320">
        <f t="shared" si="965"/>
        <v>-453221.48637681192</v>
      </c>
      <c r="R320">
        <f t="shared" si="966"/>
        <v>-2663099.7847761381</v>
      </c>
      <c r="S320">
        <f t="shared" si="967"/>
        <v>-26.630997847761382</v>
      </c>
      <c r="T320">
        <f t="shared" si="968"/>
        <v>-2.6630997847761382E-2</v>
      </c>
    </row>
    <row r="321" spans="1:20" x14ac:dyDescent="0.25">
      <c r="A321" s="5">
        <v>44272</v>
      </c>
      <c r="B321">
        <v>11.565</v>
      </c>
      <c r="C321">
        <v>12.5</v>
      </c>
      <c r="D321">
        <v>9.7010000000000005</v>
      </c>
      <c r="E321">
        <v>11.215999999999999</v>
      </c>
      <c r="F321">
        <v>895248.049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8.2529474812432349E-2</v>
      </c>
      <c r="Q321">
        <f t="shared" si="965"/>
        <v>73884.351310824699</v>
      </c>
      <c r="R321">
        <f t="shared" si="966"/>
        <v>-2209878.2983993264</v>
      </c>
      <c r="S321">
        <f t="shared" si="967"/>
        <v>-22.098782983993264</v>
      </c>
      <c r="T321">
        <f t="shared" si="968"/>
        <v>-2.2098782983993263E-2</v>
      </c>
    </row>
    <row r="322" spans="1:20" x14ac:dyDescent="0.25">
      <c r="A322" s="5">
        <v>44271</v>
      </c>
      <c r="B322">
        <v>14.206</v>
      </c>
      <c r="C322">
        <v>14.324999999999999</v>
      </c>
      <c r="D322">
        <v>10.653</v>
      </c>
      <c r="E322">
        <v>11.565</v>
      </c>
      <c r="F322">
        <v>871081.83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-0.50326797385620947</v>
      </c>
      <c r="Q322">
        <f t="shared" si="965"/>
        <v>-438387.58764705906</v>
      </c>
      <c r="R322">
        <f t="shared" si="966"/>
        <v>-2283762.6497101509</v>
      </c>
      <c r="S322">
        <f t="shared" si="967"/>
        <v>-22.83762649710151</v>
      </c>
      <c r="T322">
        <f t="shared" si="968"/>
        <v>-2.2837626497101509E-2</v>
      </c>
    </row>
    <row r="323" spans="1:20" x14ac:dyDescent="0.25">
      <c r="A323" s="5">
        <v>44270</v>
      </c>
      <c r="B323">
        <v>14.315</v>
      </c>
      <c r="C323">
        <v>16</v>
      </c>
      <c r="D323">
        <v>13.2</v>
      </c>
      <c r="E323">
        <v>14.206</v>
      </c>
      <c r="F323">
        <v>593735.54099999997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-0.28142857142857147</v>
      </c>
      <c r="Q323">
        <f t="shared" si="965"/>
        <v>-167094.14511000001</v>
      </c>
      <c r="R323">
        <f t="shared" si="966"/>
        <v>-1845375.0620630917</v>
      </c>
      <c r="S323">
        <f t="shared" si="967"/>
        <v>-18.453750620630917</v>
      </c>
      <c r="T323">
        <f t="shared" si="968"/>
        <v>-1.8453750620630916E-2</v>
      </c>
    </row>
    <row r="324" spans="1:20" x14ac:dyDescent="0.25">
      <c r="A324" s="5">
        <v>44269</v>
      </c>
      <c r="B324">
        <v>13.503</v>
      </c>
      <c r="C324">
        <v>15.5</v>
      </c>
      <c r="D324">
        <v>12.6</v>
      </c>
      <c r="E324">
        <v>14.315</v>
      </c>
      <c r="F324">
        <v>692000.78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0.18275862068965493</v>
      </c>
      <c r="Q324">
        <f t="shared" si="965"/>
        <v>126469.10806896535</v>
      </c>
      <c r="R324">
        <f t="shared" si="966"/>
        <v>-1678280.9169530917</v>
      </c>
      <c r="S324">
        <f t="shared" si="967"/>
        <v>-16.782809169530918</v>
      </c>
      <c r="T324">
        <f t="shared" si="968"/>
        <v>-1.6782809169530916E-2</v>
      </c>
    </row>
    <row r="325" spans="1:20" x14ac:dyDescent="0.25">
      <c r="A325" s="5">
        <v>44268</v>
      </c>
      <c r="B325">
        <v>11.911</v>
      </c>
      <c r="C325">
        <v>15.77</v>
      </c>
      <c r="D325">
        <v>11.911</v>
      </c>
      <c r="E325">
        <v>13.502000000000001</v>
      </c>
      <c r="F325">
        <v>1079760.689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-0.17543405027209066</v>
      </c>
      <c r="Q325">
        <f t="shared" si="965"/>
        <v>-189426.79099585325</v>
      </c>
      <c r="R325">
        <f t="shared" si="966"/>
        <v>-1804750.0250220571</v>
      </c>
      <c r="S325">
        <f t="shared" si="967"/>
        <v>-18.047500250220573</v>
      </c>
      <c r="T325">
        <f t="shared" si="968"/>
        <v>-1.8047500250220571E-2</v>
      </c>
    </row>
    <row r="326" spans="1:20" x14ac:dyDescent="0.25">
      <c r="A326" s="5">
        <v>44267</v>
      </c>
      <c r="B326">
        <v>10.298999999999999</v>
      </c>
      <c r="C326">
        <v>12.48</v>
      </c>
      <c r="D326">
        <v>9.9009999999999998</v>
      </c>
      <c r="E326">
        <v>11.911</v>
      </c>
      <c r="F326">
        <v>1203229.47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0.55874369910818089</v>
      </c>
      <c r="Q326">
        <f t="shared" ref="Q326:Q389" si="970">F326*P326</f>
        <v>672296.88494377595</v>
      </c>
      <c r="R326">
        <f t="shared" ref="R326:R389" si="971">R327+Q326</f>
        <v>-1615323.2340262039</v>
      </c>
      <c r="S326">
        <f t="shared" ref="S326:S389" si="972">R326/100000</f>
        <v>-16.15323234026204</v>
      </c>
      <c r="T326">
        <f t="shared" ref="T326:T389" si="973">S326/1000</f>
        <v>-1.6153232340262041E-2</v>
      </c>
    </row>
    <row r="327" spans="1:20" x14ac:dyDescent="0.25">
      <c r="A327" s="5">
        <v>44266</v>
      </c>
      <c r="B327">
        <v>8.1669999999999998</v>
      </c>
      <c r="C327">
        <v>10.66</v>
      </c>
      <c r="D327">
        <v>8.1300000000000008</v>
      </c>
      <c r="E327">
        <v>10.3</v>
      </c>
      <c r="F327">
        <v>834598.47600000002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0.71541501976284627</v>
      </c>
      <c r="Q327">
        <f t="shared" si="970"/>
        <v>597084.28520158143</v>
      </c>
      <c r="R327">
        <f t="shared" si="971"/>
        <v>-2287620.1189699797</v>
      </c>
      <c r="S327">
        <f t="shared" si="972"/>
        <v>-22.876201189699795</v>
      </c>
      <c r="T327">
        <f t="shared" si="973"/>
        <v>-2.2876201189699796E-2</v>
      </c>
    </row>
    <row r="328" spans="1:20" x14ac:dyDescent="0.25">
      <c r="A328" s="5">
        <v>44265</v>
      </c>
      <c r="B328">
        <v>9.0549999999999997</v>
      </c>
      <c r="C328">
        <v>9.6430000000000007</v>
      </c>
      <c r="D328">
        <v>8.0609999999999999</v>
      </c>
      <c r="E328">
        <v>8.2219999999999995</v>
      </c>
      <c r="F328">
        <v>787241.05299999996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-0.79646017699115101</v>
      </c>
      <c r="Q328">
        <f t="shared" si="970"/>
        <v>-627006.14840708009</v>
      </c>
      <c r="R328">
        <f t="shared" si="971"/>
        <v>-2884704.4041715609</v>
      </c>
      <c r="S328">
        <f t="shared" si="972"/>
        <v>-28.847044041715609</v>
      </c>
      <c r="T328">
        <f t="shared" si="973"/>
        <v>-2.8847044041715609E-2</v>
      </c>
    </row>
    <row r="329" spans="1:20" x14ac:dyDescent="0.25">
      <c r="A329" s="5">
        <v>44264</v>
      </c>
      <c r="B329">
        <v>7.2450000000000001</v>
      </c>
      <c r="C329">
        <v>9.6</v>
      </c>
      <c r="D329">
        <v>7.0389999999999997</v>
      </c>
      <c r="E329">
        <v>9.0540000000000003</v>
      </c>
      <c r="F329">
        <v>991582.77399999998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0.57360406091370608</v>
      </c>
      <c r="Q329">
        <f t="shared" si="970"/>
        <v>568775.90589847765</v>
      </c>
      <c r="R329">
        <f t="shared" si="971"/>
        <v>-2257698.2557644807</v>
      </c>
      <c r="S329">
        <f t="shared" si="972"/>
        <v>-22.576982557644808</v>
      </c>
      <c r="T329">
        <f t="shared" si="973"/>
        <v>-2.2576982557644808E-2</v>
      </c>
    </row>
    <row r="330" spans="1:20" x14ac:dyDescent="0.25">
      <c r="A330" s="5">
        <v>44263</v>
      </c>
      <c r="B330">
        <v>7.2869999999999999</v>
      </c>
      <c r="C330">
        <v>7.3929999999999998</v>
      </c>
      <c r="D330">
        <v>6.7770000000000001</v>
      </c>
      <c r="E330">
        <v>7.2850000000000001</v>
      </c>
      <c r="F330">
        <v>435476.41499999998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0.64935064935065023</v>
      </c>
      <c r="Q330">
        <f t="shared" si="970"/>
        <v>282776.89285714325</v>
      </c>
      <c r="R330">
        <f t="shared" si="971"/>
        <v>-2826474.1616629586</v>
      </c>
      <c r="S330">
        <f t="shared" si="972"/>
        <v>-28.264741616629586</v>
      </c>
      <c r="T330">
        <f t="shared" si="973"/>
        <v>-2.8264741616629587E-2</v>
      </c>
    </row>
    <row r="331" spans="1:20" x14ac:dyDescent="0.25">
      <c r="A331" s="5">
        <v>44262</v>
      </c>
      <c r="B331">
        <v>6.609</v>
      </c>
      <c r="C331">
        <v>7.65</v>
      </c>
      <c r="D331">
        <v>6.5359999999999996</v>
      </c>
      <c r="E331">
        <v>7.2880000000000003</v>
      </c>
      <c r="F331">
        <v>649260.56000000006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0.35008976660682251</v>
      </c>
      <c r="Q331">
        <f t="shared" si="970"/>
        <v>227299.47791741489</v>
      </c>
      <c r="R331">
        <f t="shared" si="971"/>
        <v>-3109251.0545201018</v>
      </c>
      <c r="S331">
        <f t="shared" si="972"/>
        <v>-31.092510545201016</v>
      </c>
      <c r="T331">
        <f t="shared" si="973"/>
        <v>-3.1092510545201017E-2</v>
      </c>
    </row>
    <row r="332" spans="1:20" x14ac:dyDescent="0.25">
      <c r="A332" s="5">
        <v>44261</v>
      </c>
      <c r="B332">
        <v>6.7610000000000001</v>
      </c>
      <c r="C332">
        <v>6.85</v>
      </c>
      <c r="D332">
        <v>6.4409999999999998</v>
      </c>
      <c r="E332">
        <v>6.6109999999999998</v>
      </c>
      <c r="F332">
        <v>274392.25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-0.16870415647921755</v>
      </c>
      <c r="Q332">
        <f t="shared" si="970"/>
        <v>-46291.113080684583</v>
      </c>
      <c r="R332">
        <f t="shared" si="971"/>
        <v>-3336550.5324375168</v>
      </c>
      <c r="S332">
        <f t="shared" si="972"/>
        <v>-33.365505324375171</v>
      </c>
      <c r="T332">
        <f t="shared" si="973"/>
        <v>-3.3365505324375169E-2</v>
      </c>
    </row>
    <row r="333" spans="1:20" x14ac:dyDescent="0.25">
      <c r="A333" s="5">
        <v>44260</v>
      </c>
      <c r="B333">
        <v>6.7009999999999996</v>
      </c>
      <c r="C333">
        <v>6.92</v>
      </c>
      <c r="D333">
        <v>6.22</v>
      </c>
      <c r="E333">
        <v>6.76</v>
      </c>
      <c r="F333">
        <v>456095.84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0.54285714285714259</v>
      </c>
      <c r="Q333">
        <f t="shared" si="970"/>
        <v>247594.88457142847</v>
      </c>
      <c r="R333">
        <f t="shared" si="971"/>
        <v>-3290259.4193568323</v>
      </c>
      <c r="S333">
        <f t="shared" si="972"/>
        <v>-32.902594193568319</v>
      </c>
      <c r="T333">
        <f t="shared" si="973"/>
        <v>-3.2902594193568321E-2</v>
      </c>
    </row>
    <row r="334" spans="1:20" x14ac:dyDescent="0.25">
      <c r="A334" s="5">
        <v>44259</v>
      </c>
      <c r="B334">
        <v>7.5990000000000002</v>
      </c>
      <c r="C334">
        <v>7.9109999999999996</v>
      </c>
      <c r="D334">
        <v>6.4870000000000001</v>
      </c>
      <c r="E334">
        <v>6.7</v>
      </c>
      <c r="F334">
        <v>612927.30299999996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-0.70084269662921328</v>
      </c>
      <c r="Q334">
        <f t="shared" si="970"/>
        <v>-429565.62387219083</v>
      </c>
      <c r="R334">
        <f t="shared" si="971"/>
        <v>-3537854.3039282607</v>
      </c>
      <c r="S334">
        <f t="shared" si="972"/>
        <v>-35.378543039282604</v>
      </c>
      <c r="T334">
        <f t="shared" si="973"/>
        <v>-3.5378543039282603E-2</v>
      </c>
    </row>
    <row r="335" spans="1:20" x14ac:dyDescent="0.25">
      <c r="A335" s="5">
        <v>44258</v>
      </c>
      <c r="B335">
        <v>7.4969999999999999</v>
      </c>
      <c r="C335">
        <v>8.0150000000000006</v>
      </c>
      <c r="D335">
        <v>7.25</v>
      </c>
      <c r="E335">
        <v>7.6029999999999998</v>
      </c>
      <c r="F335">
        <v>482380.505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-7.712418300653727E-2</v>
      </c>
      <c r="Q335">
        <f t="shared" si="970"/>
        <v>-37203.202346405866</v>
      </c>
      <c r="R335">
        <f t="shared" si="971"/>
        <v>-3108288.68005607</v>
      </c>
      <c r="S335">
        <f t="shared" si="972"/>
        <v>-31.082886800560701</v>
      </c>
      <c r="T335">
        <f t="shared" si="973"/>
        <v>-3.1082886800560702E-2</v>
      </c>
    </row>
    <row r="336" spans="1:20" x14ac:dyDescent="0.25">
      <c r="A336" s="5">
        <v>44257</v>
      </c>
      <c r="B336">
        <v>8.1920000000000002</v>
      </c>
      <c r="C336">
        <v>8.56</v>
      </c>
      <c r="D336">
        <v>7.3</v>
      </c>
      <c r="E336">
        <v>7.5</v>
      </c>
      <c r="F336">
        <v>571508.41899999999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-0.68253968253968245</v>
      </c>
      <c r="Q336">
        <f t="shared" si="970"/>
        <v>-390077.17487301584</v>
      </c>
      <c r="R336">
        <f t="shared" si="971"/>
        <v>-3071085.477709664</v>
      </c>
      <c r="S336">
        <f t="shared" si="972"/>
        <v>-30.710854777096639</v>
      </c>
      <c r="T336">
        <f t="shared" si="973"/>
        <v>-3.071085477709664E-2</v>
      </c>
    </row>
    <row r="337" spans="1:20" x14ac:dyDescent="0.25">
      <c r="A337" s="5">
        <v>44256</v>
      </c>
      <c r="B337">
        <v>7.8280000000000003</v>
      </c>
      <c r="C337">
        <v>8.9</v>
      </c>
      <c r="D337">
        <v>7.7990000000000004</v>
      </c>
      <c r="E337">
        <v>8.2739999999999991</v>
      </c>
      <c r="F337">
        <v>628506.76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-0.13714804722979335</v>
      </c>
      <c r="Q337">
        <f t="shared" si="970"/>
        <v>-86198.474804724392</v>
      </c>
      <c r="R337">
        <f t="shared" si="971"/>
        <v>-2681008.3028366482</v>
      </c>
      <c r="S337">
        <f t="shared" si="972"/>
        <v>-26.810083028366481</v>
      </c>
      <c r="T337">
        <f t="shared" si="973"/>
        <v>-2.6810083028366481E-2</v>
      </c>
    </row>
    <row r="338" spans="1:20" x14ac:dyDescent="0.25">
      <c r="A338" s="5">
        <v>44255</v>
      </c>
      <c r="B338">
        <v>7.9969999999999999</v>
      </c>
      <c r="C338">
        <v>8.4309999999999992</v>
      </c>
      <c r="D338">
        <v>6.7910000000000004</v>
      </c>
      <c r="E338">
        <v>7.8289999999999997</v>
      </c>
      <c r="F338">
        <v>879087.89300000004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0.26585365853658555</v>
      </c>
      <c r="Q338">
        <f t="shared" si="970"/>
        <v>233708.73252926845</v>
      </c>
      <c r="R338">
        <f t="shared" si="971"/>
        <v>-2594809.8280319236</v>
      </c>
      <c r="S338">
        <f t="shared" si="972"/>
        <v>-25.948098280319236</v>
      </c>
      <c r="T338">
        <f t="shared" si="973"/>
        <v>-2.5948098280319236E-2</v>
      </c>
    </row>
    <row r="339" spans="1:20" x14ac:dyDescent="0.25">
      <c r="A339" s="5">
        <v>44254</v>
      </c>
      <c r="B339">
        <v>6.0510000000000002</v>
      </c>
      <c r="C339">
        <v>8.9169999999999998</v>
      </c>
      <c r="D339">
        <v>6.048</v>
      </c>
      <c r="E339">
        <v>7.9980000000000002</v>
      </c>
      <c r="F339">
        <v>1615152.777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0.35935866155454887</v>
      </c>
      <c r="Q339">
        <f t="shared" si="970"/>
        <v>580419.1401488327</v>
      </c>
      <c r="R339">
        <f t="shared" si="971"/>
        <v>-2828518.5605611922</v>
      </c>
      <c r="S339">
        <f t="shared" si="972"/>
        <v>-28.285185605611922</v>
      </c>
      <c r="T339">
        <f t="shared" si="973"/>
        <v>-2.8285185605611923E-2</v>
      </c>
    </row>
    <row r="340" spans="1:20" x14ac:dyDescent="0.25">
      <c r="A340" s="5">
        <v>44253</v>
      </c>
      <c r="B340">
        <v>6.8109999999999999</v>
      </c>
      <c r="C340">
        <v>6.8780000000000001</v>
      </c>
      <c r="D340">
        <v>5.88</v>
      </c>
      <c r="E340">
        <v>6.0860000000000003</v>
      </c>
      <c r="F340">
        <v>523942.88299999997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-0.58717434869739404</v>
      </c>
      <c r="Q340">
        <f t="shared" si="970"/>
        <v>-307645.82108015992</v>
      </c>
      <c r="R340">
        <f t="shared" si="971"/>
        <v>-3408937.7007100252</v>
      </c>
      <c r="S340">
        <f t="shared" si="972"/>
        <v>-34.089377007100254</v>
      </c>
      <c r="T340">
        <f t="shared" si="973"/>
        <v>-3.4089377007100255E-2</v>
      </c>
    </row>
    <row r="341" spans="1:20" x14ac:dyDescent="0.25">
      <c r="A341" s="5">
        <v>44252</v>
      </c>
      <c r="B341">
        <v>7.5019999999999998</v>
      </c>
      <c r="C341">
        <v>8.0500000000000007</v>
      </c>
      <c r="D341">
        <v>6.78</v>
      </c>
      <c r="E341">
        <v>6.8090000000000002</v>
      </c>
      <c r="F341">
        <v>558873.28399999999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-0.95433070866141745</v>
      </c>
      <c r="Q341">
        <f t="shared" si="970"/>
        <v>-533349.93717165361</v>
      </c>
      <c r="R341">
        <f t="shared" si="971"/>
        <v>-3101291.8796298653</v>
      </c>
      <c r="S341">
        <f t="shared" si="972"/>
        <v>-31.012918796298653</v>
      </c>
      <c r="T341">
        <f t="shared" si="973"/>
        <v>-3.1012918796298652E-2</v>
      </c>
    </row>
    <row r="342" spans="1:20" x14ac:dyDescent="0.25">
      <c r="A342" s="5">
        <v>44251</v>
      </c>
      <c r="B342">
        <v>7.6449999999999996</v>
      </c>
      <c r="C342">
        <v>8.4390000000000001</v>
      </c>
      <c r="D342">
        <v>7.1849999999999996</v>
      </c>
      <c r="E342">
        <v>7.5019999999999998</v>
      </c>
      <c r="F342">
        <v>535029.45299999998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-0.49441786283891537</v>
      </c>
      <c r="Q342">
        <f t="shared" si="970"/>
        <v>-264528.11870813393</v>
      </c>
      <c r="R342">
        <f t="shared" si="971"/>
        <v>-2567941.9424582114</v>
      </c>
      <c r="S342">
        <f t="shared" si="972"/>
        <v>-25.679419424582115</v>
      </c>
      <c r="T342">
        <f t="shared" si="973"/>
        <v>-2.5679419424582114E-2</v>
      </c>
    </row>
    <row r="343" spans="1:20" x14ac:dyDescent="0.25">
      <c r="A343" s="5">
        <v>44250</v>
      </c>
      <c r="B343">
        <v>9.3260000000000005</v>
      </c>
      <c r="C343">
        <v>9.7289999999999992</v>
      </c>
      <c r="D343">
        <v>6.2009999999999996</v>
      </c>
      <c r="E343">
        <v>7.5350000000000001</v>
      </c>
      <c r="F343">
        <v>795926.84100000001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-0.24376417233560052</v>
      </c>
      <c r="Q343">
        <f t="shared" si="970"/>
        <v>-194018.44763605413</v>
      </c>
      <c r="R343">
        <f t="shared" si="971"/>
        <v>-2303413.8237500777</v>
      </c>
      <c r="S343">
        <f t="shared" si="972"/>
        <v>-23.034138237500777</v>
      </c>
      <c r="T343">
        <f t="shared" si="973"/>
        <v>-2.3034138237500775E-2</v>
      </c>
    </row>
    <row r="344" spans="1:20" x14ac:dyDescent="0.25">
      <c r="A344" s="5">
        <v>44249</v>
      </c>
      <c r="B344">
        <v>10.307</v>
      </c>
      <c r="C344">
        <v>11.05</v>
      </c>
      <c r="D344">
        <v>8.5</v>
      </c>
      <c r="E344">
        <v>9.3520000000000003</v>
      </c>
      <c r="F344">
        <v>937337.61899999995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-0.33176470588235291</v>
      </c>
      <c r="Q344">
        <f t="shared" si="970"/>
        <v>-310975.53947999998</v>
      </c>
      <c r="R344">
        <f t="shared" si="971"/>
        <v>-2109395.3761140238</v>
      </c>
      <c r="S344">
        <f t="shared" si="972"/>
        <v>-21.093953761140238</v>
      </c>
      <c r="T344">
        <f t="shared" si="973"/>
        <v>-2.1093953761140236E-2</v>
      </c>
    </row>
    <row r="345" spans="1:20" x14ac:dyDescent="0.25">
      <c r="A345" s="5">
        <v>44248</v>
      </c>
      <c r="B345">
        <v>9.8000000000000007</v>
      </c>
      <c r="C345">
        <v>11.9</v>
      </c>
      <c r="D345">
        <v>9.2040000000000006</v>
      </c>
      <c r="E345">
        <v>10.305999999999999</v>
      </c>
      <c r="F345">
        <v>1113913.76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-0.18249258160237489</v>
      </c>
      <c r="Q345">
        <f t="shared" si="970"/>
        <v>-203280.99774480824</v>
      </c>
      <c r="R345">
        <f t="shared" si="971"/>
        <v>-1798419.8366340238</v>
      </c>
      <c r="S345">
        <f t="shared" si="972"/>
        <v>-17.984198366340237</v>
      </c>
      <c r="T345">
        <f t="shared" si="973"/>
        <v>-1.7984198366340236E-2</v>
      </c>
    </row>
    <row r="346" spans="1:20" x14ac:dyDescent="0.25">
      <c r="A346" s="5">
        <v>44247</v>
      </c>
      <c r="B346">
        <v>10.971</v>
      </c>
      <c r="C346">
        <v>11.49</v>
      </c>
      <c r="D346">
        <v>8.8010000000000002</v>
      </c>
      <c r="E346">
        <v>9.8000000000000007</v>
      </c>
      <c r="F346">
        <v>1387432.8389999999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-0.25697285236147227</v>
      </c>
      <c r="Q346">
        <f t="shared" si="970"/>
        <v>-356532.57409780531</v>
      </c>
      <c r="R346">
        <f t="shared" si="971"/>
        <v>-1595138.8388892156</v>
      </c>
      <c r="S346">
        <f t="shared" si="972"/>
        <v>-15.951388388892155</v>
      </c>
      <c r="T346">
        <f t="shared" si="973"/>
        <v>-1.5951388388892155E-2</v>
      </c>
    </row>
    <row r="347" spans="1:20" x14ac:dyDescent="0.25">
      <c r="A347" s="5">
        <v>44246</v>
      </c>
      <c r="B347">
        <v>13.69</v>
      </c>
      <c r="C347">
        <v>16.666</v>
      </c>
      <c r="D347">
        <v>10</v>
      </c>
      <c r="E347">
        <v>11</v>
      </c>
      <c r="F347">
        <v>2326781.4819999998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-0.69996999699969997</v>
      </c>
      <c r="Q347">
        <f t="shared" si="970"/>
        <v>-1628677.2269744973</v>
      </c>
      <c r="R347">
        <f t="shared" si="971"/>
        <v>-1238606.2647914102</v>
      </c>
      <c r="S347">
        <f t="shared" si="972"/>
        <v>-12.386062647914102</v>
      </c>
      <c r="T347">
        <f t="shared" si="973"/>
        <v>-1.2386062647914102E-2</v>
      </c>
    </row>
    <row r="348" spans="1:20" x14ac:dyDescent="0.25">
      <c r="A348" s="5">
        <v>44245</v>
      </c>
      <c r="B348">
        <v>7.43</v>
      </c>
      <c r="C348">
        <v>18.899999999999999</v>
      </c>
      <c r="D348">
        <v>7.43</v>
      </c>
      <c r="E348">
        <v>13.695</v>
      </c>
      <c r="F348">
        <v>4220862.2039999999</v>
      </c>
      <c r="G348">
        <v>0</v>
      </c>
      <c r="P348">
        <f t="shared" si="969"/>
        <v>9.24149956408023E-2</v>
      </c>
      <c r="Q348">
        <f t="shared" si="970"/>
        <v>390070.96218308719</v>
      </c>
      <c r="R348">
        <f t="shared" si="971"/>
        <v>390070.96218308719</v>
      </c>
      <c r="S348">
        <f t="shared" si="972"/>
        <v>3.9007096218308721</v>
      </c>
      <c r="T348">
        <f t="shared" si="973"/>
        <v>3.900709621830872E-3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J440" sqref="FJ44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$A$439</v>
      </c>
      <c r="D111" s="1" t="str">
        <f>ADDRESS(C121-1,D121,1,1)</f>
        <v>$FJ$439</v>
      </c>
      <c r="E111"/>
    </row>
    <row r="112" spans="1:5" x14ac:dyDescent="0.25">
      <c r="A112" s="7">
        <v>12164.144957890772</v>
      </c>
      <c r="C112" s="1" t="str">
        <f>ADDRESS(C121,1,1,1)</f>
        <v>$A$440</v>
      </c>
      <c r="D112" s="1" t="str">
        <f>ADDRESS(C121,D121-1,1,1)</f>
        <v>$FI$440</v>
      </c>
      <c r="E112"/>
    </row>
    <row r="113" spans="1:5" x14ac:dyDescent="0.25">
      <c r="A113" s="7">
        <v>11925.63231165762</v>
      </c>
      <c r="C113" s="1" t="str">
        <f>ADDRESS(C121+1,1,1,1)</f>
        <v>$A$441</v>
      </c>
      <c r="D113" s="1" t="str">
        <f>ADDRESS(C121-1,D121+1,1,1)</f>
        <v>$FK$439</v>
      </c>
    </row>
    <row r="114" spans="1:5" x14ac:dyDescent="0.25">
      <c r="A114" s="7">
        <v>11691.796383978059</v>
      </c>
      <c r="C114" s="1" t="str">
        <f>ADDRESS(C121,D121,1,1)</f>
        <v>$FJ$440</v>
      </c>
      <c r="D114" s="1" t="str">
        <f>ADDRESS(C121+1,D121+1,1,1)</f>
        <v>$FK$441</v>
      </c>
    </row>
    <row r="115" spans="1:5" x14ac:dyDescent="0.25">
      <c r="A115" s="7">
        <v>11462.545474488292</v>
      </c>
      <c r="C115" s="1" t="str">
        <f>ADDRESS(C121+1,D121,1,1)</f>
        <v>$FJ$441</v>
      </c>
    </row>
    <row r="116" spans="1:5" x14ac:dyDescent="0.25">
      <c r="A116" s="7">
        <v>11237.789680870874</v>
      </c>
      <c r="C116" s="1">
        <f>C117-1</f>
        <v>439</v>
      </c>
    </row>
    <row r="117" spans="1:5" x14ac:dyDescent="0.25">
      <c r="A117" s="7">
        <v>11017.440863598895</v>
      </c>
      <c r="C117" s="1">
        <f>C121</f>
        <v>440</v>
      </c>
      <c r="D117" s="1">
        <f>D121</f>
        <v>166</v>
      </c>
    </row>
    <row r="118" spans="1:5" x14ac:dyDescent="0.25">
      <c r="A118" s="7">
        <v>10801.412611371465</v>
      </c>
      <c r="C118" s="1">
        <f>C117+1</f>
        <v>441</v>
      </c>
      <c r="D118" s="1">
        <f>D117+1</f>
        <v>167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440</v>
      </c>
      <c r="D121" s="19">
        <v>166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R440</v>
      </c>
      <c r="D123" s="1" t="str">
        <f>"C"&amp;D121</f>
        <v>C166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18.374911201915726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160" x14ac:dyDescent="0.25">
      <c r="A385" s="7">
        <v>54.605287232808607</v>
      </c>
      <c r="B385"/>
      <c r="C385"/>
      <c r="D385"/>
      <c r="E385"/>
    </row>
    <row r="386" spans="1:160" x14ac:dyDescent="0.25">
      <c r="A386" s="7">
        <v>53.534595326282947</v>
      </c>
      <c r="B386"/>
      <c r="C386"/>
      <c r="D386"/>
      <c r="E386"/>
    </row>
    <row r="387" spans="1:160" x14ac:dyDescent="0.25">
      <c r="A387" s="7">
        <v>52.484897378708773</v>
      </c>
      <c r="B387"/>
      <c r="C387"/>
      <c r="D387"/>
      <c r="E387"/>
    </row>
    <row r="388" spans="1:160" x14ac:dyDescent="0.25">
      <c r="A388" s="7">
        <v>51.455781743832127</v>
      </c>
      <c r="B388"/>
      <c r="C388"/>
      <c r="D388"/>
      <c r="E388"/>
    </row>
    <row r="389" spans="1:160" x14ac:dyDescent="0.25">
      <c r="A389" s="7">
        <v>50.446844846894244</v>
      </c>
      <c r="B389"/>
      <c r="C389"/>
      <c r="D389"/>
      <c r="E389"/>
    </row>
    <row r="390" spans="1:160" x14ac:dyDescent="0.25">
      <c r="A390" s="7">
        <v>49.457691026366902</v>
      </c>
      <c r="B390"/>
      <c r="C390"/>
      <c r="D390"/>
      <c r="E390"/>
    </row>
    <row r="391" spans="1:160" x14ac:dyDescent="0.25">
      <c r="A391" s="7">
        <v>48.487932378791079</v>
      </c>
      <c r="B391"/>
      <c r="C391"/>
      <c r="D391"/>
      <c r="E391"/>
    </row>
    <row r="392" spans="1:160" x14ac:dyDescent="0.25">
      <c r="A392" s="7">
        <v>47.537188606657921</v>
      </c>
      <c r="B392"/>
      <c r="C392"/>
      <c r="D392"/>
      <c r="E392"/>
    </row>
    <row r="393" spans="1:160" x14ac:dyDescent="0.25">
      <c r="A393" s="7">
        <v>46.605086869272469</v>
      </c>
      <c r="B393"/>
      <c r="C393"/>
      <c r="D393"/>
      <c r="E393"/>
    </row>
    <row r="394" spans="1:160" x14ac:dyDescent="0.25">
      <c r="A394" s="7">
        <v>45.691261636541633</v>
      </c>
      <c r="B394"/>
      <c r="C394"/>
      <c r="D394"/>
      <c r="E394"/>
      <c r="FC394" s="27" t="s">
        <v>8</v>
      </c>
    </row>
    <row r="395" spans="1:160" x14ac:dyDescent="0.25">
      <c r="A395" s="7">
        <v>44.795354545629053</v>
      </c>
      <c r="B395"/>
      <c r="C395"/>
      <c r="D395"/>
      <c r="E395"/>
      <c r="FC395" s="27" t="s">
        <v>8</v>
      </c>
      <c r="FD395" s="27" t="s">
        <v>7</v>
      </c>
    </row>
    <row r="396" spans="1:160" x14ac:dyDescent="0.25">
      <c r="A396" s="7">
        <v>43.917014260420636</v>
      </c>
      <c r="B396"/>
      <c r="C396"/>
      <c r="D396"/>
      <c r="E396"/>
      <c r="FC396" s="27" t="s">
        <v>8</v>
      </c>
      <c r="FD396" s="27" t="s">
        <v>7</v>
      </c>
    </row>
    <row r="397" spans="1:160" x14ac:dyDescent="0.25">
      <c r="A397" s="7">
        <v>43.055896333745721</v>
      </c>
      <c r="B397"/>
      <c r="C397"/>
      <c r="D397"/>
      <c r="E397"/>
      <c r="EW397" s="27" t="s">
        <v>8</v>
      </c>
      <c r="FC397" s="27" t="s">
        <v>8</v>
      </c>
      <c r="FD397" s="27" t="s">
        <v>7</v>
      </c>
    </row>
    <row r="398" spans="1:160" x14ac:dyDescent="0.25">
      <c r="A398" s="7">
        <v>42.211663072299729</v>
      </c>
      <c r="B398"/>
      <c r="C398"/>
      <c r="D398"/>
      <c r="E398"/>
      <c r="EW398" s="27" t="s">
        <v>8</v>
      </c>
      <c r="EX398" s="27" t="s">
        <v>7</v>
      </c>
      <c r="EY398" s="27" t="s">
        <v>8</v>
      </c>
      <c r="FC398" s="27" t="s">
        <v>8</v>
      </c>
      <c r="FD398" s="27" t="s">
        <v>7</v>
      </c>
    </row>
    <row r="399" spans="1:160" x14ac:dyDescent="0.25">
      <c r="A399" s="7">
        <v>41.383983404215421</v>
      </c>
      <c r="B399"/>
      <c r="C399"/>
      <c r="D399"/>
      <c r="E399"/>
      <c r="EW399" s="27" t="s">
        <v>8</v>
      </c>
      <c r="EX399" s="27" t="s">
        <v>7</v>
      </c>
      <c r="EY399" s="27" t="s">
        <v>8</v>
      </c>
      <c r="EZ399" s="27" t="s">
        <v>7</v>
      </c>
      <c r="FA399" s="27" t="s">
        <v>8</v>
      </c>
      <c r="FC399" s="27" t="s">
        <v>8</v>
      </c>
      <c r="FD399" s="27" t="s">
        <v>7</v>
      </c>
    </row>
    <row r="400" spans="1:160" x14ac:dyDescent="0.25">
      <c r="A400" s="7">
        <v>40.572532749230803</v>
      </c>
      <c r="B400"/>
      <c r="C400"/>
      <c r="D400"/>
      <c r="E400"/>
      <c r="EW400" s="27" t="s">
        <v>8</v>
      </c>
      <c r="EX400" s="27" t="s">
        <v>7</v>
      </c>
      <c r="EY400" s="27" t="s">
        <v>8</v>
      </c>
      <c r="EZ400" s="27" t="s">
        <v>7</v>
      </c>
      <c r="FA400" s="27" t="s">
        <v>8</v>
      </c>
      <c r="FB400" s="27" t="s">
        <v>7</v>
      </c>
      <c r="FC400" s="27" t="s">
        <v>8</v>
      </c>
      <c r="FD400" s="27" t="s">
        <v>7</v>
      </c>
    </row>
    <row r="401" spans="1:162" x14ac:dyDescent="0.25">
      <c r="A401" s="7">
        <v>39.776992891402749</v>
      </c>
      <c r="B401"/>
      <c r="C401"/>
      <c r="D401"/>
      <c r="E401"/>
      <c r="EW401" s="27" t="s">
        <v>8</v>
      </c>
      <c r="EX401" s="27" t="s">
        <v>7</v>
      </c>
      <c r="EY401" s="27" t="s">
        <v>8</v>
      </c>
      <c r="EZ401" s="27" t="s">
        <v>7</v>
      </c>
      <c r="FA401" s="27" t="s">
        <v>8</v>
      </c>
      <c r="FB401" s="27" t="s">
        <v>7</v>
      </c>
      <c r="FC401" s="27" t="s">
        <v>8</v>
      </c>
      <c r="FD401" s="27" t="s">
        <v>7</v>
      </c>
      <c r="FE401" s="27" t="s">
        <v>8</v>
      </c>
    </row>
    <row r="402" spans="1:162" x14ac:dyDescent="0.25">
      <c r="A402" s="7">
        <v>38.997051854316418</v>
      </c>
      <c r="B402"/>
      <c r="C402"/>
      <c r="D402"/>
      <c r="E402"/>
      <c r="EW402" s="27" t="s">
        <v>8</v>
      </c>
      <c r="EX402" s="27" t="s">
        <v>7</v>
      </c>
      <c r="EY402" s="27" t="s">
        <v>8</v>
      </c>
      <c r="EZ402" s="27" t="s">
        <v>7</v>
      </c>
      <c r="FA402" s="27" t="s">
        <v>8</v>
      </c>
      <c r="FB402" s="27" t="s">
        <v>7</v>
      </c>
      <c r="FC402" s="27" t="s">
        <v>8</v>
      </c>
      <c r="FD402" s="27" t="s">
        <v>7</v>
      </c>
      <c r="FE402" s="27" t="s">
        <v>8</v>
      </c>
      <c r="FF402" s="27" t="s">
        <v>7</v>
      </c>
    </row>
    <row r="403" spans="1:162" x14ac:dyDescent="0.25">
      <c r="A403" s="7">
        <v>38.232403778741585</v>
      </c>
      <c r="B403"/>
      <c r="C403"/>
      <c r="D403"/>
      <c r="E403"/>
      <c r="EW403" s="27" t="s">
        <v>8</v>
      </c>
      <c r="EX403" s="27" t="s">
        <v>7</v>
      </c>
      <c r="EY403" s="27" t="s">
        <v>8</v>
      </c>
      <c r="EZ403" s="27" t="s">
        <v>7</v>
      </c>
      <c r="FA403" s="27" t="s">
        <v>8</v>
      </c>
      <c r="FB403" s="27" t="s">
        <v>7</v>
      </c>
      <c r="FC403" s="27" t="s">
        <v>8</v>
      </c>
      <c r="FD403" s="27" t="s">
        <v>7</v>
      </c>
      <c r="FE403" s="27" t="s">
        <v>8</v>
      </c>
      <c r="FF403" s="27" t="s">
        <v>7</v>
      </c>
    </row>
    <row r="404" spans="1:162" x14ac:dyDescent="0.25">
      <c r="A404" s="7">
        <v>37.48274880268783</v>
      </c>
      <c r="B404"/>
      <c r="C404"/>
      <c r="D404"/>
      <c r="E404"/>
      <c r="EW404" s="27" t="s">
        <v>8</v>
      </c>
      <c r="EX404" s="27" t="s">
        <v>7</v>
      </c>
      <c r="EY404" s="27" t="s">
        <v>8</v>
      </c>
      <c r="EZ404" s="27" t="s">
        <v>7</v>
      </c>
      <c r="FA404" s="27" t="s">
        <v>8</v>
      </c>
      <c r="FB404" s="27" t="s">
        <v>7</v>
      </c>
      <c r="FC404" s="27" t="s">
        <v>8</v>
      </c>
      <c r="FD404" s="27" t="s">
        <v>7</v>
      </c>
      <c r="FE404" s="27" t="s">
        <v>8</v>
      </c>
      <c r="FF404" s="27" t="s">
        <v>7</v>
      </c>
    </row>
    <row r="405" spans="1:162" x14ac:dyDescent="0.25">
      <c r="A405" s="7">
        <v>36.747792943811596</v>
      </c>
      <c r="B405"/>
      <c r="C405"/>
      <c r="D405"/>
      <c r="E405"/>
      <c r="EW405" s="27" t="s">
        <v>8</v>
      </c>
      <c r="EX405" s="27" t="s">
        <v>7</v>
      </c>
      <c r="EY405" s="27" t="s">
        <v>8</v>
      </c>
      <c r="EZ405" s="27" t="s">
        <v>7</v>
      </c>
      <c r="FA405" s="27" t="s">
        <v>8</v>
      </c>
      <c r="FB405" s="27" t="s">
        <v>7</v>
      </c>
      <c r="FC405" s="27" t="s">
        <v>8</v>
      </c>
      <c r="FD405" s="27" t="s">
        <v>7</v>
      </c>
      <c r="FF405" s="27" t="s">
        <v>7</v>
      </c>
    </row>
    <row r="406" spans="1:162" x14ac:dyDescent="0.25">
      <c r="A406" s="7">
        <v>36.027247984129012</v>
      </c>
      <c r="B406"/>
      <c r="C406"/>
      <c r="D406"/>
      <c r="E406"/>
      <c r="EW406" s="27" t="s">
        <v>8</v>
      </c>
      <c r="EX406" s="27" t="s">
        <v>7</v>
      </c>
      <c r="EY406" s="27" t="s">
        <v>8</v>
      </c>
      <c r="EZ406" s="27" t="s">
        <v>7</v>
      </c>
      <c r="FA406" s="27" t="s">
        <v>8</v>
      </c>
      <c r="FB406" s="27" t="s">
        <v>7</v>
      </c>
      <c r="FC406" s="27" t="s">
        <v>8</v>
      </c>
      <c r="FF406" s="27" t="s">
        <v>7</v>
      </c>
    </row>
    <row r="407" spans="1:162" x14ac:dyDescent="0.25">
      <c r="A407" s="7">
        <v>35.320831356989224</v>
      </c>
      <c r="B407"/>
      <c r="C407"/>
      <c r="D407"/>
      <c r="E407"/>
      <c r="EW407" s="27" t="s">
        <v>8</v>
      </c>
      <c r="EX407" s="27" t="s">
        <v>7</v>
      </c>
      <c r="EY407" s="27" t="s">
        <v>8</v>
      </c>
      <c r="EZ407" s="27" t="s">
        <v>7</v>
      </c>
      <c r="FA407" s="27" t="s">
        <v>8</v>
      </c>
      <c r="FB407" s="27" t="s">
        <v>7</v>
      </c>
      <c r="FC407" s="27" t="s">
        <v>8</v>
      </c>
      <c r="FF407" s="27" t="s">
        <v>7</v>
      </c>
    </row>
    <row r="408" spans="1:162" x14ac:dyDescent="0.25">
      <c r="A408" s="7">
        <v>34.628266036263945</v>
      </c>
      <c r="B408"/>
      <c r="C408"/>
      <c r="D408"/>
      <c r="E408"/>
      <c r="EW408" s="27" t="s">
        <v>8</v>
      </c>
      <c r="EX408" s="27" t="s">
        <v>7</v>
      </c>
      <c r="EY408" s="27" t="s">
        <v>8</v>
      </c>
      <c r="EZ408" s="27" t="s">
        <v>7</v>
      </c>
      <c r="FA408" s="27" t="s">
        <v>8</v>
      </c>
      <c r="FB408" s="27" t="s">
        <v>7</v>
      </c>
      <c r="FF408" s="27" t="s">
        <v>7</v>
      </c>
    </row>
    <row r="409" spans="1:162" x14ac:dyDescent="0.25">
      <c r="A409" s="7">
        <v>33.949280427709752</v>
      </c>
      <c r="B409"/>
      <c r="C409"/>
      <c r="D409"/>
      <c r="E409"/>
      <c r="EW409" s="27" t="s">
        <v>8</v>
      </c>
      <c r="EX409" s="27" t="s">
        <v>7</v>
      </c>
      <c r="EY409" s="27" t="s">
        <v>8</v>
      </c>
      <c r="EZ409" s="27" t="s">
        <v>7</v>
      </c>
      <c r="FA409" s="27" t="s">
        <v>8</v>
      </c>
      <c r="FF409" s="27" t="s">
        <v>7</v>
      </c>
    </row>
    <row r="410" spans="1:162" x14ac:dyDescent="0.25">
      <c r="A410" s="7">
        <v>33.28360826246054</v>
      </c>
      <c r="B410"/>
      <c r="C410"/>
      <c r="D410"/>
      <c r="E410"/>
      <c r="EW410" s="27" t="s">
        <v>8</v>
      </c>
      <c r="EX410" s="27" t="s">
        <v>7</v>
      </c>
      <c r="EY410" s="27" t="s">
        <v>8</v>
      </c>
      <c r="EZ410" s="27" t="s">
        <v>7</v>
      </c>
      <c r="FA410" s="27" t="s">
        <v>8</v>
      </c>
      <c r="FF410" s="27" t="s">
        <v>7</v>
      </c>
    </row>
    <row r="411" spans="1:162" x14ac:dyDescent="0.25">
      <c r="A411" s="7">
        <v>32.630988492608374</v>
      </c>
      <c r="B411"/>
      <c r="C411"/>
      <c r="D411"/>
      <c r="E411"/>
      <c r="EW411" s="27" t="s">
        <v>8</v>
      </c>
      <c r="EX411" s="27" t="s">
        <v>7</v>
      </c>
      <c r="EY411" s="27" t="s">
        <v>8</v>
      </c>
      <c r="EZ411" s="27" t="s">
        <v>7</v>
      </c>
      <c r="FF411" s="27" t="s">
        <v>7</v>
      </c>
    </row>
    <row r="412" spans="1:162" x14ac:dyDescent="0.25">
      <c r="A412" s="7">
        <v>31.99116518883174</v>
      </c>
      <c r="B412"/>
      <c r="C412"/>
      <c r="D412"/>
      <c r="E412"/>
      <c r="EW412" s="27" t="s">
        <v>8</v>
      </c>
      <c r="EX412" s="27" t="s">
        <v>7</v>
      </c>
      <c r="FF412" s="27" t="s">
        <v>7</v>
      </c>
    </row>
    <row r="413" spans="1:162" x14ac:dyDescent="0.25">
      <c r="A413" s="7">
        <v>31.363887440031117</v>
      </c>
      <c r="B413"/>
      <c r="C413"/>
      <c r="D413"/>
      <c r="E413"/>
      <c r="EW413" s="27" t="s">
        <v>8</v>
      </c>
      <c r="FF413" s="27" t="s">
        <v>7</v>
      </c>
    </row>
    <row r="414" spans="1:162" x14ac:dyDescent="0.25">
      <c r="A414" s="7">
        <v>30.748909254932467</v>
      </c>
      <c r="B414"/>
      <c r="C414"/>
      <c r="D414"/>
      <c r="E414"/>
      <c r="EW414" s="27" t="s">
        <v>8</v>
      </c>
      <c r="FF414" s="27" t="s">
        <v>7</v>
      </c>
    </row>
    <row r="415" spans="1:162" x14ac:dyDescent="0.25">
      <c r="A415" s="7">
        <v>30.145989465620065</v>
      </c>
      <c r="B415"/>
      <c r="C415"/>
      <c r="D415"/>
      <c r="E415"/>
      <c r="EW415" s="27" t="s">
        <v>8</v>
      </c>
      <c r="FF415" s="27" t="s">
        <v>7</v>
      </c>
    </row>
    <row r="416" spans="1:162" x14ac:dyDescent="0.25">
      <c r="A416" s="7">
        <v>29.55489163296085</v>
      </c>
      <c r="B416"/>
      <c r="C416"/>
      <c r="D416"/>
      <c r="E416"/>
      <c r="EW416" s="27" t="s">
        <v>8</v>
      </c>
      <c r="FF416" s="27" t="s">
        <v>7</v>
      </c>
    </row>
    <row r="417" spans="1:162" x14ac:dyDescent="0.25">
      <c r="A417" s="7">
        <v>28.975383953883185</v>
      </c>
      <c r="B417"/>
      <c r="C417"/>
      <c r="D417"/>
      <c r="E417"/>
      <c r="EW417" s="27" t="s">
        <v>8</v>
      </c>
      <c r="FF417" s="27" t="s">
        <v>7</v>
      </c>
    </row>
    <row r="418" spans="1:162" x14ac:dyDescent="0.25">
      <c r="A418" s="7">
        <v>28.407239170473709</v>
      </c>
      <c r="B418"/>
      <c r="C418"/>
      <c r="D418"/>
      <c r="E418"/>
      <c r="EW418" s="27" t="s">
        <v>8</v>
      </c>
      <c r="FF418" s="27" t="s">
        <v>7</v>
      </c>
    </row>
    <row r="419" spans="1:162" x14ac:dyDescent="0.25">
      <c r="A419" s="7">
        <v>27.850234480856578</v>
      </c>
      <c r="B419"/>
      <c r="C419"/>
      <c r="D419"/>
      <c r="E419"/>
      <c r="EW419" s="27" t="s">
        <v>8</v>
      </c>
      <c r="FF419" s="27" t="s">
        <v>7</v>
      </c>
    </row>
    <row r="420" spans="1:162" x14ac:dyDescent="0.25">
      <c r="A420" s="7">
        <v>27.304151451820175</v>
      </c>
      <c r="B420"/>
      <c r="C420"/>
      <c r="D420"/>
      <c r="E420"/>
      <c r="EE420" s="27" t="s">
        <v>8</v>
      </c>
      <c r="EW420" s="27" t="s">
        <v>8</v>
      </c>
      <c r="FF420" s="27" t="s">
        <v>7</v>
      </c>
    </row>
    <row r="421" spans="1:162" x14ac:dyDescent="0.25">
      <c r="A421" s="7">
        <v>26.768775933157034</v>
      </c>
      <c r="B421"/>
      <c r="C421"/>
      <c r="D421"/>
      <c r="E421"/>
      <c r="EE421" s="27" t="s">
        <v>8</v>
      </c>
      <c r="EF421" s="27" t="s">
        <v>7</v>
      </c>
      <c r="EW421" s="27" t="s">
        <v>8</v>
      </c>
      <c r="FF421" s="27" t="s">
        <v>7</v>
      </c>
    </row>
    <row r="422" spans="1:162" x14ac:dyDescent="0.25">
      <c r="A422" s="7">
        <v>26.243897973683367</v>
      </c>
      <c r="B422"/>
      <c r="C422"/>
      <c r="D422"/>
      <c r="E422"/>
      <c r="EE422" s="27" t="s">
        <v>8</v>
      </c>
      <c r="EF422" s="27" t="s">
        <v>7</v>
      </c>
      <c r="EW422" s="27" t="s">
        <v>8</v>
      </c>
      <c r="FF422" s="27" t="s">
        <v>7</v>
      </c>
    </row>
    <row r="423" spans="1:162" x14ac:dyDescent="0.25">
      <c r="A423" s="7">
        <v>25.729311738905263</v>
      </c>
      <c r="B423"/>
      <c r="C423"/>
      <c r="D423"/>
      <c r="E423"/>
      <c r="EC423" s="27" t="s">
        <v>8</v>
      </c>
      <c r="EE423" s="27" t="s">
        <v>8</v>
      </c>
      <c r="EF423" s="27" t="s">
        <v>7</v>
      </c>
      <c r="EU423" s="27" t="s">
        <v>8</v>
      </c>
      <c r="EW423" s="27" t="s">
        <v>8</v>
      </c>
      <c r="FF423" s="27" t="s">
        <v>7</v>
      </c>
    </row>
    <row r="424" spans="1:162" x14ac:dyDescent="0.25">
      <c r="A424" s="7">
        <v>25.224815430299277</v>
      </c>
      <c r="B424"/>
      <c r="C424"/>
      <c r="D424"/>
      <c r="E424"/>
      <c r="EC424" s="27" t="s">
        <v>8</v>
      </c>
      <c r="ED424" s="27" t="s">
        <v>7</v>
      </c>
      <c r="EE424" s="27" t="s">
        <v>8</v>
      </c>
      <c r="EF424" s="27" t="s">
        <v>7</v>
      </c>
      <c r="EM424" s="27" t="s">
        <v>8</v>
      </c>
      <c r="EU424" s="27" t="s">
        <v>8</v>
      </c>
      <c r="EV424" s="27" t="s">
        <v>7</v>
      </c>
      <c r="EW424" s="27" t="s">
        <v>8</v>
      </c>
      <c r="FF424" s="27" t="s">
        <v>7</v>
      </c>
    </row>
    <row r="425" spans="1:162" x14ac:dyDescent="0.25">
      <c r="A425" s="7">
        <v>24.73021120617576</v>
      </c>
      <c r="B425"/>
      <c r="C425"/>
      <c r="D425"/>
      <c r="E425"/>
      <c r="EC425" s="27" t="s">
        <v>8</v>
      </c>
      <c r="ED425" s="27" t="s">
        <v>7</v>
      </c>
      <c r="EE425" s="27" t="s">
        <v>8</v>
      </c>
      <c r="EF425" s="27" t="s">
        <v>7</v>
      </c>
      <c r="EM425" s="27" t="s">
        <v>8</v>
      </c>
      <c r="EN425" s="27" t="s">
        <v>7</v>
      </c>
      <c r="EU425" s="27" t="s">
        <v>8</v>
      </c>
      <c r="EV425" s="27" t="s">
        <v>7</v>
      </c>
      <c r="EW425" s="27" t="s">
        <v>8</v>
      </c>
      <c r="FF425" s="27" t="s">
        <v>7</v>
      </c>
    </row>
    <row r="426" spans="1:162" x14ac:dyDescent="0.25">
      <c r="A426" s="7">
        <v>24.24530510409388</v>
      </c>
      <c r="B426"/>
      <c r="C426"/>
      <c r="D426"/>
      <c r="E426"/>
      <c r="EC426" s="27" t="s">
        <v>8</v>
      </c>
      <c r="ED426" s="27" t="s">
        <v>7</v>
      </c>
      <c r="EE426" s="27" t="s">
        <v>8</v>
      </c>
      <c r="EF426" s="27" t="s">
        <v>7</v>
      </c>
      <c r="EM426" s="27" t="s">
        <v>8</v>
      </c>
      <c r="EN426" s="27" t="s">
        <v>7</v>
      </c>
      <c r="EU426" s="27" t="s">
        <v>8</v>
      </c>
      <c r="EV426" s="27" t="s">
        <v>7</v>
      </c>
      <c r="EW426" s="27" t="s">
        <v>8</v>
      </c>
      <c r="FF426" s="27" t="s">
        <v>7</v>
      </c>
    </row>
    <row r="427" spans="1:162" x14ac:dyDescent="0.25">
      <c r="A427" s="7">
        <v>23.769906964797922</v>
      </c>
      <c r="B427"/>
      <c r="C427"/>
      <c r="D427"/>
      <c r="E427"/>
      <c r="EC427" s="27" t="s">
        <v>8</v>
      </c>
      <c r="ED427" s="27" t="s">
        <v>7</v>
      </c>
      <c r="EE427" s="27" t="s">
        <v>8</v>
      </c>
      <c r="EF427" s="27" t="s">
        <v>7</v>
      </c>
      <c r="EM427" s="27" t="s">
        <v>8</v>
      </c>
      <c r="EN427" s="27" t="s">
        <v>7</v>
      </c>
      <c r="EU427" s="27" t="s">
        <v>8</v>
      </c>
      <c r="EV427" s="27" t="s">
        <v>7</v>
      </c>
      <c r="EW427" s="27" t="s">
        <v>8</v>
      </c>
      <c r="FF427" s="27" t="s">
        <v>7</v>
      </c>
    </row>
    <row r="428" spans="1:162" x14ac:dyDescent="0.25">
      <c r="A428" s="7">
        <v>23.303830357645023</v>
      </c>
      <c r="B428"/>
      <c r="C428"/>
      <c r="D428"/>
      <c r="E428"/>
      <c r="EC428" s="27" t="s">
        <v>8</v>
      </c>
      <c r="ED428" s="27" t="s">
        <v>7</v>
      </c>
      <c r="EE428" s="27" t="s">
        <v>8</v>
      </c>
      <c r="EF428" s="27" t="s">
        <v>7</v>
      </c>
      <c r="EM428" s="27" t="s">
        <v>8</v>
      </c>
      <c r="EN428" s="27" t="s">
        <v>7</v>
      </c>
      <c r="EU428" s="27" t="s">
        <v>8</v>
      </c>
      <c r="EV428" s="27" t="s">
        <v>7</v>
      </c>
      <c r="EW428" s="27" t="s">
        <v>8</v>
      </c>
      <c r="FF428" s="27" t="s">
        <v>7</v>
      </c>
    </row>
    <row r="429" spans="1:162" x14ac:dyDescent="0.25">
      <c r="A429" s="7">
        <v>22.84689250749512</v>
      </c>
      <c r="B429"/>
      <c r="C429"/>
      <c r="D429"/>
      <c r="E429"/>
      <c r="EC429" s="27" t="s">
        <v>8</v>
      </c>
      <c r="ED429" s="27" t="s">
        <v>7</v>
      </c>
      <c r="EF429" s="27" t="s">
        <v>7</v>
      </c>
      <c r="EM429" s="27" t="s">
        <v>8</v>
      </c>
      <c r="EN429" s="27" t="s">
        <v>7</v>
      </c>
      <c r="ES429" s="27" t="s">
        <v>8</v>
      </c>
      <c r="EU429" s="27" t="s">
        <v>8</v>
      </c>
      <c r="EV429" s="27" t="s">
        <v>7</v>
      </c>
      <c r="EW429" s="27" t="s">
        <v>8</v>
      </c>
      <c r="FF429" s="27" t="s">
        <v>7</v>
      </c>
    </row>
    <row r="430" spans="1:162" x14ac:dyDescent="0.25">
      <c r="A430" s="7">
        <v>22.398914223034431</v>
      </c>
      <c r="B430"/>
      <c r="C430"/>
      <c r="D430"/>
      <c r="E430"/>
      <c r="EC430" s="27" t="s">
        <v>8</v>
      </c>
      <c r="EF430" s="27" t="s">
        <v>7</v>
      </c>
      <c r="EM430" s="27" t="s">
        <v>8</v>
      </c>
      <c r="EN430" s="27" t="s">
        <v>7</v>
      </c>
      <c r="ES430" s="27" t="s">
        <v>8</v>
      </c>
      <c r="ET430" s="27" t="s">
        <v>7</v>
      </c>
      <c r="EU430" s="27" t="s">
        <v>8</v>
      </c>
      <c r="EV430" s="27" t="s">
        <v>7</v>
      </c>
      <c r="EW430" s="27" t="s">
        <v>8</v>
      </c>
      <c r="FF430" s="27" t="s">
        <v>7</v>
      </c>
    </row>
    <row r="431" spans="1:162" x14ac:dyDescent="0.25">
      <c r="A431" s="7">
        <v>21.959719826504344</v>
      </c>
      <c r="B431"/>
      <c r="C431"/>
      <c r="D431"/>
      <c r="E431"/>
      <c r="EC431" s="27" t="s">
        <v>8</v>
      </c>
      <c r="EF431" s="27" t="s">
        <v>7</v>
      </c>
      <c r="EM431" s="27" t="s">
        <v>8</v>
      </c>
      <c r="EN431" s="27" t="s">
        <v>7</v>
      </c>
      <c r="ES431" s="27" t="s">
        <v>8</v>
      </c>
      <c r="ET431" s="27" t="s">
        <v>7</v>
      </c>
      <c r="EU431" s="27" t="s">
        <v>8</v>
      </c>
      <c r="EV431" s="27" t="s">
        <v>7</v>
      </c>
      <c r="FF431" s="27" t="s">
        <v>7</v>
      </c>
    </row>
    <row r="432" spans="1:162" x14ac:dyDescent="0.25">
      <c r="A432" s="7">
        <v>21.52913708480818</v>
      </c>
      <c r="B432"/>
      <c r="C432"/>
      <c r="D432"/>
      <c r="E432"/>
      <c r="EC432" s="27" t="s">
        <v>8</v>
      </c>
      <c r="EF432" s="27" t="s">
        <v>7</v>
      </c>
      <c r="EM432" s="27" t="s">
        <v>8</v>
      </c>
      <c r="EN432" s="27" t="s">
        <v>7</v>
      </c>
      <c r="ES432" s="27" t="s">
        <v>8</v>
      </c>
      <c r="ET432" s="27" t="s">
        <v>7</v>
      </c>
      <c r="EU432" s="27" t="s">
        <v>8</v>
      </c>
      <c r="FF432" s="27" t="s">
        <v>7</v>
      </c>
    </row>
    <row r="433" spans="1:166" x14ac:dyDescent="0.25">
      <c r="A433" s="7">
        <v>21.106997141968804</v>
      </c>
      <c r="B433"/>
      <c r="C433"/>
      <c r="D433"/>
      <c r="E433"/>
      <c r="EC433" s="27" t="s">
        <v>8</v>
      </c>
      <c r="EF433" s="27" t="s">
        <v>7</v>
      </c>
      <c r="EM433" s="27" t="s">
        <v>8</v>
      </c>
      <c r="EN433" s="27" t="s">
        <v>7</v>
      </c>
      <c r="ES433" s="27" t="s">
        <v>8</v>
      </c>
      <c r="ET433" s="27" t="s">
        <v>7</v>
      </c>
      <c r="EU433" s="27" t="s">
        <v>8</v>
      </c>
      <c r="FF433" s="27" t="s">
        <v>7</v>
      </c>
    </row>
    <row r="434" spans="1:166" x14ac:dyDescent="0.25">
      <c r="A434" s="7">
        <v>20.693134452910591</v>
      </c>
      <c r="B434"/>
      <c r="C434"/>
      <c r="D434"/>
      <c r="E434"/>
      <c r="EC434" s="27" t="s">
        <v>8</v>
      </c>
      <c r="EF434" s="27" t="s">
        <v>7</v>
      </c>
      <c r="EG434" s="27" t="s">
        <v>8</v>
      </c>
      <c r="EM434" s="27" t="s">
        <v>8</v>
      </c>
      <c r="EN434" s="27" t="s">
        <v>7</v>
      </c>
      <c r="ES434" s="27" t="s">
        <v>8</v>
      </c>
      <c r="ET434" s="27" t="s">
        <v>7</v>
      </c>
      <c r="EU434" s="27" t="s">
        <v>8</v>
      </c>
      <c r="FF434" s="27" t="s">
        <v>7</v>
      </c>
      <c r="FG434" s="27" t="s">
        <v>8</v>
      </c>
    </row>
    <row r="435" spans="1:166" x14ac:dyDescent="0.25">
      <c r="A435" s="7">
        <v>20.287386718539796</v>
      </c>
      <c r="B435"/>
      <c r="C435"/>
      <c r="D435"/>
      <c r="E435"/>
      <c r="EA435" s="27" t="s">
        <v>8</v>
      </c>
      <c r="EC435" s="27" t="s">
        <v>8</v>
      </c>
      <c r="EF435" s="27" t="s">
        <v>7</v>
      </c>
      <c r="EG435" s="27" t="s">
        <v>8</v>
      </c>
      <c r="EH435" s="27" t="s">
        <v>7</v>
      </c>
      <c r="EM435" s="27" t="s">
        <v>8</v>
      </c>
      <c r="EN435" s="27" t="s">
        <v>7</v>
      </c>
      <c r="ES435" s="27" t="s">
        <v>8</v>
      </c>
      <c r="ET435" s="27" t="s">
        <v>7</v>
      </c>
      <c r="FF435" s="27" t="s">
        <v>7</v>
      </c>
      <c r="FG435" s="27" t="s">
        <v>8</v>
      </c>
      <c r="FH435" s="27" t="s">
        <v>7</v>
      </c>
      <c r="FI435" s="27" t="s">
        <v>8</v>
      </c>
    </row>
    <row r="436" spans="1:166" x14ac:dyDescent="0.25">
      <c r="A436" s="7">
        <v>19.889594822097838</v>
      </c>
      <c r="B436"/>
      <c r="C436"/>
      <c r="D436"/>
      <c r="E436"/>
      <c r="EA436" s="27" t="s">
        <v>8</v>
      </c>
      <c r="EB436" s="27" t="s">
        <v>7</v>
      </c>
      <c r="EC436" s="27" t="s">
        <v>8</v>
      </c>
      <c r="EF436" s="27" t="s">
        <v>7</v>
      </c>
      <c r="EG436" s="27" t="s">
        <v>8</v>
      </c>
      <c r="EH436" s="27" t="s">
        <v>7</v>
      </c>
      <c r="EM436" s="27" t="s">
        <v>8</v>
      </c>
      <c r="EN436" s="27" t="s">
        <v>7</v>
      </c>
      <c r="ES436" s="27" t="s">
        <v>8</v>
      </c>
      <c r="FF436" s="27" t="s">
        <v>7</v>
      </c>
      <c r="FG436" s="27" t="s">
        <v>8</v>
      </c>
      <c r="FH436" s="27" t="s">
        <v>7</v>
      </c>
      <c r="FI436" s="27" t="s">
        <v>8</v>
      </c>
      <c r="FJ436" s="27" t="s">
        <v>7</v>
      </c>
    </row>
    <row r="437" spans="1:166" x14ac:dyDescent="0.25">
      <c r="A437" s="7">
        <v>19.499602766762585</v>
      </c>
      <c r="B437"/>
      <c r="C437"/>
      <c r="D437"/>
      <c r="E437"/>
      <c r="EA437" s="27" t="s">
        <v>8</v>
      </c>
      <c r="EB437" s="27" t="s">
        <v>7</v>
      </c>
      <c r="EC437" s="27" t="s">
        <v>8</v>
      </c>
      <c r="EF437" s="27" t="s">
        <v>7</v>
      </c>
      <c r="EG437" s="27" t="s">
        <v>8</v>
      </c>
      <c r="EH437" s="27" t="s">
        <v>7</v>
      </c>
      <c r="EM437" s="27" t="s">
        <v>8</v>
      </c>
      <c r="EN437" s="27" t="s">
        <v>7</v>
      </c>
      <c r="ES437" s="27" t="s">
        <v>8</v>
      </c>
      <c r="FF437" s="27" t="s">
        <v>7</v>
      </c>
      <c r="FG437" s="27" t="s">
        <v>8</v>
      </c>
      <c r="FH437" s="27" t="s">
        <v>7</v>
      </c>
      <c r="FI437" s="27" t="s">
        <v>8</v>
      </c>
      <c r="FJ437" s="27" t="s">
        <v>7</v>
      </c>
    </row>
    <row r="438" spans="1:166" x14ac:dyDescent="0.25">
      <c r="A438" s="7">
        <v>19.117257614473122</v>
      </c>
      <c r="B438"/>
      <c r="C438"/>
      <c r="D438"/>
      <c r="E438"/>
      <c r="EA438" s="27" t="s">
        <v>8</v>
      </c>
      <c r="EB438" s="27" t="s">
        <v>7</v>
      </c>
      <c r="EC438" s="27" t="s">
        <v>8</v>
      </c>
      <c r="EF438" s="27" t="s">
        <v>7</v>
      </c>
      <c r="EG438" s="27" t="s">
        <v>8</v>
      </c>
      <c r="EH438" s="27" t="s">
        <v>7</v>
      </c>
      <c r="EI438" s="27" t="s">
        <v>8</v>
      </c>
      <c r="EM438" s="27" t="s">
        <v>8</v>
      </c>
      <c r="EN438" s="27" t="s">
        <v>7</v>
      </c>
      <c r="ES438" s="27" t="s">
        <v>8</v>
      </c>
      <c r="FF438" s="27" t="s">
        <v>7</v>
      </c>
      <c r="FG438" s="27" t="s">
        <v>8</v>
      </c>
      <c r="FH438" s="27" t="s">
        <v>7</v>
      </c>
      <c r="FI438" s="27" t="s">
        <v>8</v>
      </c>
      <c r="FJ438" s="27" t="s">
        <v>7</v>
      </c>
    </row>
    <row r="439" spans="1:166" x14ac:dyDescent="0.25">
      <c r="A439" s="7">
        <v>18.74240942595404</v>
      </c>
      <c r="B439"/>
      <c r="C439"/>
      <c r="D439"/>
      <c r="E439"/>
      <c r="EA439" s="27" t="s">
        <v>8</v>
      </c>
      <c r="EB439" s="27" t="s">
        <v>7</v>
      </c>
      <c r="EC439" s="27" t="s">
        <v>8</v>
      </c>
      <c r="EF439" s="27" t="s">
        <v>7</v>
      </c>
      <c r="EG439" s="27" t="s">
        <v>8</v>
      </c>
      <c r="EH439" s="27" t="s">
        <v>7</v>
      </c>
      <c r="EI439" s="27" t="s">
        <v>8</v>
      </c>
      <c r="EJ439" s="27" t="s">
        <v>7</v>
      </c>
      <c r="EK439" s="27" t="s">
        <v>8</v>
      </c>
      <c r="EM439" s="27" t="s">
        <v>8</v>
      </c>
      <c r="EN439" s="27" t="s">
        <v>7</v>
      </c>
      <c r="EQ439" s="27" t="s">
        <v>8</v>
      </c>
      <c r="ES439" s="27" t="s">
        <v>8</v>
      </c>
      <c r="FF439" s="27" t="s">
        <v>7</v>
      </c>
      <c r="FH439" s="27" t="s">
        <v>7</v>
      </c>
      <c r="FI439" s="27" t="s">
        <v>8</v>
      </c>
      <c r="FJ439" s="27" t="s">
        <v>7</v>
      </c>
    </row>
    <row r="440" spans="1:166" x14ac:dyDescent="0.25">
      <c r="A440" s="7">
        <v>18.374911201915726</v>
      </c>
      <c r="B440"/>
      <c r="C440"/>
      <c r="D440"/>
      <c r="E440"/>
      <c r="EA440" s="27" t="s">
        <v>8</v>
      </c>
      <c r="EB440" s="27" t="s">
        <v>7</v>
      </c>
      <c r="EC440" s="27" t="s">
        <v>8</v>
      </c>
      <c r="EF440" s="27" t="s">
        <v>7</v>
      </c>
      <c r="EG440" s="27" t="s">
        <v>8</v>
      </c>
      <c r="EH440" s="27" t="s">
        <v>7</v>
      </c>
      <c r="EI440" s="27" t="s">
        <v>8</v>
      </c>
      <c r="EJ440" s="27" t="s">
        <v>7</v>
      </c>
      <c r="EK440" s="27" t="s">
        <v>8</v>
      </c>
      <c r="EL440" s="27" t="s">
        <v>7</v>
      </c>
      <c r="EM440" s="27" t="s">
        <v>8</v>
      </c>
      <c r="EN440" s="27" t="s">
        <v>7</v>
      </c>
      <c r="EQ440" s="27" t="s">
        <v>8</v>
      </c>
      <c r="ER440" s="27" t="s">
        <v>7</v>
      </c>
      <c r="ES440" s="27" t="s">
        <v>8</v>
      </c>
      <c r="FH440" s="27" t="s">
        <v>7</v>
      </c>
      <c r="FI440" s="27" t="s">
        <v>8</v>
      </c>
      <c r="FJ440" s="27" t="s">
        <v>7</v>
      </c>
    </row>
    <row r="441" spans="1:166" x14ac:dyDescent="0.25">
      <c r="A441" s="7">
        <v>18.014618825407574</v>
      </c>
      <c r="B441"/>
      <c r="C441"/>
      <c r="D441"/>
      <c r="E441"/>
      <c r="EA441" s="27" t="s">
        <v>8</v>
      </c>
      <c r="EB441" s="27" t="s">
        <v>7</v>
      </c>
      <c r="EC441" s="27" t="s">
        <v>8</v>
      </c>
      <c r="EF441" s="27" t="s">
        <v>7</v>
      </c>
      <c r="EG441" s="27" t="s">
        <v>8</v>
      </c>
      <c r="EH441" s="27" t="s">
        <v>7</v>
      </c>
      <c r="EI441" s="27" t="s">
        <v>8</v>
      </c>
      <c r="EJ441" s="27" t="s">
        <v>7</v>
      </c>
      <c r="EK441" s="27" t="s">
        <v>8</v>
      </c>
      <c r="EL441" s="27" t="s">
        <v>7</v>
      </c>
      <c r="EM441" s="27" t="s">
        <v>8</v>
      </c>
      <c r="EN441" s="27" t="s">
        <v>7</v>
      </c>
      <c r="EQ441" s="27" t="s">
        <v>8</v>
      </c>
      <c r="ER441" s="27" t="s">
        <v>7</v>
      </c>
      <c r="ES441" s="27" t="s">
        <v>8</v>
      </c>
      <c r="FH441" s="27" t="s">
        <v>7</v>
      </c>
      <c r="FI441" s="27" t="s">
        <v>8</v>
      </c>
    </row>
    <row r="442" spans="1:166" x14ac:dyDescent="0.25">
      <c r="A442" s="7">
        <v>17.661391005301542</v>
      </c>
      <c r="B442"/>
      <c r="C442"/>
      <c r="D442"/>
      <c r="E442"/>
      <c r="EA442" s="27" t="s">
        <v>8</v>
      </c>
      <c r="EB442" s="27" t="s">
        <v>7</v>
      </c>
      <c r="EC442" s="27" t="s">
        <v>8</v>
      </c>
      <c r="EF442" s="27" t="s">
        <v>7</v>
      </c>
      <c r="EG442" s="27" t="s">
        <v>8</v>
      </c>
      <c r="EH442" s="27" t="s">
        <v>7</v>
      </c>
      <c r="EI442" s="27" t="s">
        <v>8</v>
      </c>
      <c r="EJ442" s="27" t="s">
        <v>7</v>
      </c>
      <c r="EK442" s="27" t="s">
        <v>8</v>
      </c>
      <c r="EL442" s="27" t="s">
        <v>7</v>
      </c>
      <c r="EM442" s="27" t="s">
        <v>8</v>
      </c>
      <c r="EN442" s="27" t="s">
        <v>7</v>
      </c>
      <c r="EQ442" s="27" t="s">
        <v>8</v>
      </c>
      <c r="ER442" s="27" t="s">
        <v>7</v>
      </c>
      <c r="ES442" s="27" t="s">
        <v>8</v>
      </c>
      <c r="FH442" s="27" t="s">
        <v>7</v>
      </c>
      <c r="FI442" s="27" t="s">
        <v>8</v>
      </c>
    </row>
    <row r="443" spans="1:166" x14ac:dyDescent="0.25">
      <c r="A443" s="7">
        <v>17.315089220883866</v>
      </c>
      <c r="B443"/>
      <c r="C443"/>
      <c r="D443"/>
      <c r="E443"/>
      <c r="EA443" s="27" t="s">
        <v>8</v>
      </c>
      <c r="EB443" s="27" t="s">
        <v>7</v>
      </c>
      <c r="EC443" s="27" t="s">
        <v>8</v>
      </c>
      <c r="EF443" s="27" t="s">
        <v>7</v>
      </c>
      <c r="EG443" s="27" t="s">
        <v>8</v>
      </c>
      <c r="EH443" s="27" t="s">
        <v>7</v>
      </c>
      <c r="EI443" s="27" t="s">
        <v>8</v>
      </c>
      <c r="EJ443" s="27" t="s">
        <v>7</v>
      </c>
      <c r="EK443" s="27" t="s">
        <v>8</v>
      </c>
      <c r="EL443" s="27" t="s">
        <v>7</v>
      </c>
      <c r="EM443" s="27" t="s">
        <v>8</v>
      </c>
      <c r="EN443" s="27" t="s">
        <v>7</v>
      </c>
      <c r="EQ443" s="27" t="s">
        <v>8</v>
      </c>
      <c r="ER443" s="27" t="s">
        <v>7</v>
      </c>
      <c r="FH443" s="27" t="s">
        <v>7</v>
      </c>
      <c r="FI443" s="27" t="s">
        <v>8</v>
      </c>
    </row>
    <row r="444" spans="1:166" x14ac:dyDescent="0.25">
      <c r="A444" s="7">
        <v>16.975577667533202</v>
      </c>
      <c r="B444"/>
      <c r="C444"/>
      <c r="D444"/>
      <c r="E444"/>
      <c r="EA444" s="27" t="s">
        <v>8</v>
      </c>
      <c r="EB444" s="27" t="s">
        <v>7</v>
      </c>
      <c r="EC444" s="27" t="s">
        <v>8</v>
      </c>
      <c r="EF444" s="27" t="s">
        <v>7</v>
      </c>
      <c r="EG444" s="27" t="s">
        <v>8</v>
      </c>
      <c r="EH444" s="27" t="s">
        <v>7</v>
      </c>
      <c r="EJ444" s="27" t="s">
        <v>7</v>
      </c>
      <c r="EL444" s="27" t="s">
        <v>7</v>
      </c>
      <c r="EM444" s="27" t="s">
        <v>8</v>
      </c>
      <c r="EN444" s="27" t="s">
        <v>7</v>
      </c>
      <c r="EQ444" s="27" t="s">
        <v>8</v>
      </c>
      <c r="FH444" s="27" t="s">
        <v>7</v>
      </c>
    </row>
    <row r="445" spans="1:166" x14ac:dyDescent="0.25">
      <c r="A445" s="7">
        <v>16.642723203463923</v>
      </c>
      <c r="B445"/>
      <c r="C445"/>
      <c r="D445"/>
      <c r="E445" t="s">
        <v>8</v>
      </c>
      <c r="DW445" s="27" t="s">
        <v>8</v>
      </c>
      <c r="EA445" s="27" t="s">
        <v>8</v>
      </c>
      <c r="EB445" s="27" t="s">
        <v>7</v>
      </c>
      <c r="EC445" s="27" t="s">
        <v>8</v>
      </c>
      <c r="EF445" s="27" t="s">
        <v>7</v>
      </c>
      <c r="EG445" s="27" t="s">
        <v>8</v>
      </c>
      <c r="EL445" s="27" t="s">
        <v>7</v>
      </c>
      <c r="EM445" s="27" t="s">
        <v>8</v>
      </c>
      <c r="EN445" s="27" t="s">
        <v>7</v>
      </c>
      <c r="EQ445" s="27" t="s">
        <v>8</v>
      </c>
    </row>
    <row r="446" spans="1:166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DW446" s="27" t="s">
        <v>8</v>
      </c>
      <c r="DX446" s="27" t="s">
        <v>7</v>
      </c>
      <c r="DY446" s="27" t="s">
        <v>8</v>
      </c>
      <c r="EA446" s="27" t="s">
        <v>8</v>
      </c>
      <c r="EB446" s="27" t="s">
        <v>7</v>
      </c>
      <c r="EF446" s="27" t="s">
        <v>7</v>
      </c>
      <c r="EG446" s="27" t="s">
        <v>8</v>
      </c>
      <c r="EL446" s="27" t="s">
        <v>7</v>
      </c>
      <c r="EM446" s="27" t="s">
        <v>8</v>
      </c>
      <c r="EN446" s="27" t="s">
        <v>7</v>
      </c>
      <c r="EQ446" s="27" t="s">
        <v>8</v>
      </c>
    </row>
    <row r="447" spans="1:166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W447" s="27" t="s">
        <v>8</v>
      </c>
      <c r="DW447" s="27" t="s">
        <v>8</v>
      </c>
      <c r="DX447" s="27" t="s">
        <v>7</v>
      </c>
      <c r="DY447" s="27" t="s">
        <v>8</v>
      </c>
      <c r="DZ447" s="27" t="s">
        <v>7</v>
      </c>
      <c r="EA447" s="27" t="s">
        <v>8</v>
      </c>
      <c r="EF447" s="27" t="s">
        <v>7</v>
      </c>
      <c r="EL447" s="27" t="s">
        <v>7</v>
      </c>
      <c r="EM447" s="27" t="s">
        <v>8</v>
      </c>
      <c r="EN447" s="27" t="s">
        <v>7</v>
      </c>
      <c r="EQ447" s="27" t="s">
        <v>8</v>
      </c>
    </row>
    <row r="448" spans="1:166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U448" s="27" t="s">
        <v>8</v>
      </c>
      <c r="W448" s="27" t="s">
        <v>8</v>
      </c>
      <c r="X448" s="27" t="s">
        <v>7</v>
      </c>
      <c r="DW448" s="27" t="s">
        <v>8</v>
      </c>
      <c r="DX448" s="27" t="s">
        <v>7</v>
      </c>
      <c r="DY448" s="27" t="s">
        <v>8</v>
      </c>
      <c r="DZ448" s="27" t="s">
        <v>7</v>
      </c>
      <c r="EA448" s="27" t="s">
        <v>8</v>
      </c>
      <c r="EL448" s="27" t="s">
        <v>7</v>
      </c>
      <c r="EM448" s="27" t="s">
        <v>8</v>
      </c>
      <c r="EN448" s="27" t="s">
        <v>7</v>
      </c>
      <c r="EQ448" s="27" t="s">
        <v>8</v>
      </c>
    </row>
    <row r="449" spans="1:147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U449" s="27" t="s">
        <v>8</v>
      </c>
      <c r="V449" s="27" t="s">
        <v>7</v>
      </c>
      <c r="W449" s="27" t="s">
        <v>8</v>
      </c>
      <c r="X449" s="27" t="s">
        <v>7</v>
      </c>
      <c r="DW449" s="27" t="s">
        <v>8</v>
      </c>
      <c r="DX449" s="27" t="s">
        <v>7</v>
      </c>
      <c r="DY449" s="27" t="s">
        <v>8</v>
      </c>
      <c r="DZ449" s="27" t="s">
        <v>7</v>
      </c>
      <c r="EA449" s="27" t="s">
        <v>8</v>
      </c>
      <c r="EL449" s="27" t="s">
        <v>7</v>
      </c>
      <c r="EM449" s="27" t="s">
        <v>8</v>
      </c>
      <c r="EN449" s="27" t="s">
        <v>7</v>
      </c>
      <c r="EQ449" s="27" t="s">
        <v>8</v>
      </c>
    </row>
    <row r="450" spans="1:147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U450" s="27" t="s">
        <v>8</v>
      </c>
      <c r="V450" s="27" t="s">
        <v>7</v>
      </c>
      <c r="W450" s="27" t="s">
        <v>8</v>
      </c>
      <c r="X450" s="27" t="s">
        <v>7</v>
      </c>
      <c r="DW450" s="27" t="s">
        <v>8</v>
      </c>
      <c r="DX450" s="27" t="s">
        <v>7</v>
      </c>
      <c r="DY450" s="27" t="s">
        <v>8</v>
      </c>
      <c r="DZ450" s="27" t="s">
        <v>7</v>
      </c>
      <c r="EA450" s="27" t="s">
        <v>8</v>
      </c>
      <c r="EL450" s="27" t="s">
        <v>7</v>
      </c>
      <c r="EM450" s="27" t="s">
        <v>8</v>
      </c>
      <c r="EN450" s="27" t="s">
        <v>7</v>
      </c>
      <c r="EQ450" s="27" t="s">
        <v>8</v>
      </c>
    </row>
    <row r="451" spans="1:147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U451" s="27" t="s">
        <v>8</v>
      </c>
      <c r="V451" s="27" t="s">
        <v>7</v>
      </c>
      <c r="W451" s="27" t="s">
        <v>8</v>
      </c>
      <c r="X451" s="27" t="s">
        <v>7</v>
      </c>
      <c r="DW451" s="27" t="s">
        <v>8</v>
      </c>
      <c r="DX451" s="27" t="s">
        <v>7</v>
      </c>
      <c r="DY451" s="27" t="s">
        <v>8</v>
      </c>
      <c r="DZ451" s="27" t="s">
        <v>7</v>
      </c>
      <c r="EA451" s="27" t="s">
        <v>8</v>
      </c>
      <c r="EL451" s="27" t="s">
        <v>7</v>
      </c>
      <c r="EM451" s="27" t="s">
        <v>8</v>
      </c>
      <c r="EN451" s="27" t="s">
        <v>7</v>
      </c>
      <c r="EO451" s="27" t="s">
        <v>8</v>
      </c>
      <c r="EQ451" s="27" t="s">
        <v>8</v>
      </c>
    </row>
    <row r="452" spans="1:147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U452" s="27" t="s">
        <v>8</v>
      </c>
      <c r="V452" s="27" t="s">
        <v>7</v>
      </c>
      <c r="W452" s="27" t="s">
        <v>8</v>
      </c>
      <c r="X452" s="27" t="s">
        <v>7</v>
      </c>
      <c r="DW452" s="27" t="s">
        <v>8</v>
      </c>
      <c r="DX452" s="27" t="s">
        <v>7</v>
      </c>
      <c r="DY452" s="27" t="s">
        <v>8</v>
      </c>
      <c r="DZ452" s="27" t="s">
        <v>7</v>
      </c>
      <c r="EA452" s="27" t="s">
        <v>8</v>
      </c>
      <c r="EL452" s="27" t="s">
        <v>7</v>
      </c>
      <c r="EM452" s="27" t="s">
        <v>8</v>
      </c>
      <c r="EN452" s="27" t="s">
        <v>7</v>
      </c>
      <c r="EO452" s="27" t="s">
        <v>8</v>
      </c>
      <c r="EP452" s="27" t="s">
        <v>7</v>
      </c>
      <c r="EQ452" s="27" t="s">
        <v>8</v>
      </c>
    </row>
    <row r="453" spans="1:147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U453" s="27" t="s">
        <v>8</v>
      </c>
      <c r="V453" s="27" t="s">
        <v>7</v>
      </c>
      <c r="W453" s="27" t="s">
        <v>8</v>
      </c>
      <c r="X453" s="27" t="s">
        <v>7</v>
      </c>
      <c r="DW453" s="27" t="s">
        <v>8</v>
      </c>
      <c r="DX453" s="27" t="s">
        <v>7</v>
      </c>
      <c r="DY453" s="27" t="s">
        <v>8</v>
      </c>
      <c r="DZ453" s="27" t="s">
        <v>7</v>
      </c>
      <c r="EA453" s="27" t="s">
        <v>8</v>
      </c>
      <c r="EL453" s="27" t="s">
        <v>7</v>
      </c>
      <c r="EM453" s="27" t="s">
        <v>8</v>
      </c>
      <c r="EN453" s="27" t="s">
        <v>7</v>
      </c>
      <c r="EO453" s="27" t="s">
        <v>8</v>
      </c>
      <c r="EP453" s="27" t="s">
        <v>7</v>
      </c>
      <c r="EQ453" s="27" t="s">
        <v>8</v>
      </c>
    </row>
    <row r="454" spans="1:147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U454" s="27" t="s">
        <v>8</v>
      </c>
      <c r="V454" s="27" t="s">
        <v>7</v>
      </c>
      <c r="W454" s="27" t="s">
        <v>8</v>
      </c>
      <c r="X454" s="27" t="s">
        <v>7</v>
      </c>
      <c r="DW454" s="27" t="s">
        <v>8</v>
      </c>
      <c r="DX454" s="27" t="s">
        <v>7</v>
      </c>
      <c r="DY454" s="27" t="s">
        <v>8</v>
      </c>
      <c r="DZ454" s="27" t="s">
        <v>7</v>
      </c>
      <c r="EA454" s="27" t="s">
        <v>8</v>
      </c>
      <c r="EL454" s="27" t="s">
        <v>7</v>
      </c>
      <c r="EM454" s="27" t="s">
        <v>8</v>
      </c>
      <c r="EN454" s="27" t="s">
        <v>7</v>
      </c>
      <c r="EO454" s="27" t="s">
        <v>8</v>
      </c>
      <c r="EP454" s="27" t="s">
        <v>7</v>
      </c>
    </row>
    <row r="455" spans="1:147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U455" s="27" t="s">
        <v>8</v>
      </c>
      <c r="V455" s="27" t="s">
        <v>7</v>
      </c>
      <c r="W455" s="27" t="s">
        <v>8</v>
      </c>
      <c r="X455" s="27" t="s">
        <v>7</v>
      </c>
      <c r="DW455" s="27" t="s">
        <v>8</v>
      </c>
      <c r="DX455" s="27" t="s">
        <v>7</v>
      </c>
      <c r="DY455" s="27" t="s">
        <v>8</v>
      </c>
      <c r="DZ455" s="27" t="s">
        <v>7</v>
      </c>
      <c r="EA455" s="27" t="s">
        <v>8</v>
      </c>
      <c r="EL455" s="27" t="s">
        <v>7</v>
      </c>
      <c r="EM455" s="27" t="s">
        <v>8</v>
      </c>
      <c r="EN455" s="27" t="s">
        <v>7</v>
      </c>
      <c r="EO455" s="27" t="s">
        <v>8</v>
      </c>
    </row>
    <row r="456" spans="1:147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U456" s="27" t="s">
        <v>8</v>
      </c>
      <c r="V456" s="27" t="s">
        <v>7</v>
      </c>
      <c r="W456" s="27" t="s">
        <v>8</v>
      </c>
      <c r="X456" s="27" t="s">
        <v>7</v>
      </c>
      <c r="DW456" s="27" t="s">
        <v>8</v>
      </c>
      <c r="DX456" s="27" t="s">
        <v>7</v>
      </c>
      <c r="DY456" s="27" t="s">
        <v>8</v>
      </c>
      <c r="DZ456" s="27" t="s">
        <v>7</v>
      </c>
      <c r="EA456" s="27" t="s">
        <v>8</v>
      </c>
      <c r="EL456" s="27" t="s">
        <v>7</v>
      </c>
      <c r="EN456" s="27" t="s">
        <v>7</v>
      </c>
    </row>
    <row r="457" spans="1:147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U457" s="27" t="s">
        <v>8</v>
      </c>
      <c r="V457" s="27" t="s">
        <v>7</v>
      </c>
      <c r="W457" s="27" t="s">
        <v>8</v>
      </c>
      <c r="X457" s="27" t="s">
        <v>7</v>
      </c>
      <c r="DW457" s="27" t="s">
        <v>8</v>
      </c>
      <c r="DX457" s="27" t="s">
        <v>7</v>
      </c>
      <c r="DY457" s="27" t="s">
        <v>8</v>
      </c>
      <c r="DZ457" s="27" t="s">
        <v>7</v>
      </c>
      <c r="EA457" s="27" t="s">
        <v>8</v>
      </c>
    </row>
    <row r="458" spans="1:147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U458" s="27" t="s">
        <v>8</v>
      </c>
      <c r="V458" s="27" t="s">
        <v>7</v>
      </c>
      <c r="W458" s="27" t="s">
        <v>8</v>
      </c>
      <c r="X458" s="27" t="s">
        <v>7</v>
      </c>
      <c r="DW458" s="27" t="s">
        <v>8</v>
      </c>
      <c r="DX458" s="27" t="s">
        <v>7</v>
      </c>
      <c r="DY458" s="27" t="s">
        <v>8</v>
      </c>
      <c r="DZ458" s="27" t="s">
        <v>7</v>
      </c>
      <c r="EA458" s="27" t="s">
        <v>8</v>
      </c>
    </row>
    <row r="459" spans="1:147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U459" s="27" t="s">
        <v>8</v>
      </c>
      <c r="V459" s="27" t="s">
        <v>7</v>
      </c>
      <c r="X459" s="27" t="s">
        <v>7</v>
      </c>
      <c r="DW459" s="27" t="s">
        <v>8</v>
      </c>
      <c r="DX459" s="27" t="s">
        <v>7</v>
      </c>
      <c r="DY459" s="27" t="s">
        <v>8</v>
      </c>
      <c r="DZ459" s="27" t="s">
        <v>7</v>
      </c>
    </row>
    <row r="460" spans="1:147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U460" s="27" t="s">
        <v>8</v>
      </c>
      <c r="X460" s="27" t="s">
        <v>7</v>
      </c>
      <c r="DW460" s="27" t="s">
        <v>8</v>
      </c>
      <c r="DX460" s="27" t="s">
        <v>7</v>
      </c>
      <c r="DY460" s="27" t="s">
        <v>8</v>
      </c>
    </row>
    <row r="461" spans="1:147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U461" s="27" t="s">
        <v>8</v>
      </c>
      <c r="X461" s="27" t="s">
        <v>7</v>
      </c>
      <c r="DW461" s="27" t="s">
        <v>8</v>
      </c>
      <c r="DX461" s="27" t="s">
        <v>7</v>
      </c>
      <c r="DY461" s="27" t="s">
        <v>8</v>
      </c>
    </row>
    <row r="462" spans="1:147" x14ac:dyDescent="0.25">
      <c r="A462" s="7">
        <v>11.88560984938044</v>
      </c>
      <c r="B462"/>
      <c r="C462"/>
      <c r="D462"/>
      <c r="E462" t="s">
        <v>8</v>
      </c>
      <c r="F462" s="27" t="s">
        <v>7</v>
      </c>
      <c r="G462" s="27" t="s">
        <v>8</v>
      </c>
      <c r="U462" s="27" t="s">
        <v>8</v>
      </c>
      <c r="X462" s="27" t="s">
        <v>7</v>
      </c>
      <c r="Y462" s="27" t="s">
        <v>8</v>
      </c>
      <c r="DW462" s="27" t="s">
        <v>8</v>
      </c>
      <c r="DX462" s="27" t="s">
        <v>7</v>
      </c>
      <c r="DY462" s="27" t="s">
        <v>8</v>
      </c>
    </row>
    <row r="463" spans="1:147" x14ac:dyDescent="0.25">
      <c r="A463" s="7">
        <v>11.652558675863176</v>
      </c>
      <c r="B463"/>
      <c r="C463"/>
      <c r="D463"/>
      <c r="E463" t="s">
        <v>8</v>
      </c>
      <c r="F463" s="27" t="s">
        <v>7</v>
      </c>
      <c r="G463" s="27" t="s">
        <v>8</v>
      </c>
      <c r="H463" s="27" t="s">
        <v>7</v>
      </c>
      <c r="U463" s="27" t="s">
        <v>8</v>
      </c>
      <c r="X463" s="27" t="s">
        <v>7</v>
      </c>
      <c r="Y463" s="27" t="s">
        <v>8</v>
      </c>
      <c r="Z463" s="27" t="s">
        <v>7</v>
      </c>
      <c r="DW463" s="27" t="s">
        <v>8</v>
      </c>
      <c r="DX463" s="27" t="s">
        <v>7</v>
      </c>
      <c r="DY463" s="27" t="s">
        <v>8</v>
      </c>
    </row>
    <row r="464" spans="1:147" x14ac:dyDescent="0.25">
      <c r="A464" s="7">
        <v>11.424077133199193</v>
      </c>
      <c r="B464"/>
      <c r="C464"/>
      <c r="D464"/>
      <c r="E464" t="s">
        <v>8</v>
      </c>
      <c r="F464" s="27" t="s">
        <v>7</v>
      </c>
      <c r="G464" s="27" t="s">
        <v>8</v>
      </c>
      <c r="H464" s="27" t="s">
        <v>7</v>
      </c>
      <c r="U464" s="27" t="s">
        <v>8</v>
      </c>
      <c r="X464" s="27" t="s">
        <v>7</v>
      </c>
      <c r="Y464" s="27" t="s">
        <v>8</v>
      </c>
      <c r="Z464" s="27" t="s">
        <v>7</v>
      </c>
      <c r="AA464" s="27" t="s">
        <v>8</v>
      </c>
      <c r="DW464" s="27" t="s">
        <v>8</v>
      </c>
      <c r="DX464" s="27" t="s">
        <v>7</v>
      </c>
      <c r="DY464" s="27" t="s">
        <v>8</v>
      </c>
    </row>
    <row r="465" spans="1:129" x14ac:dyDescent="0.25">
      <c r="A465" s="7">
        <v>11.200075620783522</v>
      </c>
      <c r="B465"/>
      <c r="C465"/>
      <c r="D465"/>
      <c r="E465" t="s">
        <v>8</v>
      </c>
      <c r="F465" s="27" t="s">
        <v>7</v>
      </c>
      <c r="G465" s="27" t="s">
        <v>8</v>
      </c>
      <c r="H465" s="27" t="s">
        <v>7</v>
      </c>
      <c r="U465" s="27" t="s">
        <v>8</v>
      </c>
      <c r="X465" s="27" t="s">
        <v>7</v>
      </c>
      <c r="Y465" s="27" t="s">
        <v>8</v>
      </c>
      <c r="Z465" s="27" t="s">
        <v>7</v>
      </c>
      <c r="AA465" s="27" t="s">
        <v>8</v>
      </c>
      <c r="AB465" s="27" t="s">
        <v>7</v>
      </c>
      <c r="DW465" s="27" t="s">
        <v>8</v>
      </c>
      <c r="DX465" s="27" t="s">
        <v>7</v>
      </c>
      <c r="DY465" s="27" t="s">
        <v>8</v>
      </c>
    </row>
    <row r="466" spans="1:129" x14ac:dyDescent="0.25">
      <c r="A466" s="7">
        <v>10.980466294885806</v>
      </c>
      <c r="B466"/>
      <c r="C466"/>
      <c r="D466"/>
      <c r="E466" t="s">
        <v>8</v>
      </c>
      <c r="F466" s="27" t="s">
        <v>7</v>
      </c>
      <c r="G466" s="27" t="s">
        <v>8</v>
      </c>
      <c r="H466" s="27" t="s">
        <v>7</v>
      </c>
      <c r="U466" s="27" t="s">
        <v>8</v>
      </c>
      <c r="X466" s="27" t="s">
        <v>7</v>
      </c>
      <c r="Y466" s="27" t="s">
        <v>8</v>
      </c>
      <c r="Z466" s="27" t="s">
        <v>7</v>
      </c>
      <c r="AA466" s="27" t="s">
        <v>8</v>
      </c>
      <c r="AB466" s="27" t="s">
        <v>7</v>
      </c>
      <c r="DW466" s="27" t="s">
        <v>8</v>
      </c>
      <c r="DX466" s="27" t="s">
        <v>7</v>
      </c>
      <c r="DY466" s="27" t="s">
        <v>8</v>
      </c>
    </row>
    <row r="467" spans="1:129" x14ac:dyDescent="0.25">
      <c r="A467" s="7">
        <v>10.765163034201771</v>
      </c>
      <c r="B467"/>
      <c r="C467"/>
      <c r="D467"/>
      <c r="E467" t="s">
        <v>8</v>
      </c>
      <c r="F467" s="27" t="s">
        <v>7</v>
      </c>
      <c r="G467" s="27" t="s">
        <v>8</v>
      </c>
      <c r="H467" s="27" t="s">
        <v>7</v>
      </c>
      <c r="U467" s="27" t="s">
        <v>8</v>
      </c>
      <c r="X467" s="27" t="s">
        <v>7</v>
      </c>
      <c r="Y467" s="27" t="s">
        <v>8</v>
      </c>
      <c r="Z467" s="27" t="s">
        <v>7</v>
      </c>
      <c r="AA467" s="27" t="s">
        <v>8</v>
      </c>
      <c r="AB467" s="27" t="s">
        <v>7</v>
      </c>
      <c r="DW467" s="27" t="s">
        <v>8</v>
      </c>
      <c r="DX467" s="27" t="s">
        <v>7</v>
      </c>
      <c r="DY467" s="27" t="s">
        <v>8</v>
      </c>
    </row>
    <row r="468" spans="1:129" x14ac:dyDescent="0.25">
      <c r="A468" s="7">
        <v>10.554081406080169</v>
      </c>
      <c r="B468"/>
      <c r="C468"/>
      <c r="D468"/>
      <c r="E468" t="s">
        <v>8</v>
      </c>
      <c r="F468" s="27" t="s">
        <v>7</v>
      </c>
      <c r="G468" s="27" t="s">
        <v>8</v>
      </c>
      <c r="H468" s="27" t="s">
        <v>7</v>
      </c>
      <c r="U468" s="27" t="s">
        <v>8</v>
      </c>
      <c r="X468" s="27" t="s">
        <v>7</v>
      </c>
      <c r="Y468" s="27" t="s">
        <v>8</v>
      </c>
      <c r="Z468" s="27" t="s">
        <v>7</v>
      </c>
      <c r="AA468" s="27" t="s">
        <v>8</v>
      </c>
      <c r="AB468" s="27" t="s">
        <v>7</v>
      </c>
      <c r="DW468" s="27" t="s">
        <v>8</v>
      </c>
      <c r="DX468" s="27" t="s">
        <v>7</v>
      </c>
      <c r="DY468" s="27" t="s">
        <v>8</v>
      </c>
    </row>
    <row r="469" spans="1:129" x14ac:dyDescent="0.25">
      <c r="A469" s="7">
        <v>10.34713863341193</v>
      </c>
      <c r="B469"/>
      <c r="C469"/>
      <c r="D469"/>
      <c r="E469" t="s">
        <v>8</v>
      </c>
      <c r="F469" s="27" t="s">
        <v>7</v>
      </c>
      <c r="G469" s="27" t="s">
        <v>8</v>
      </c>
      <c r="H469" s="27" t="s">
        <v>7</v>
      </c>
      <c r="U469" s="27" t="s">
        <v>8</v>
      </c>
      <c r="X469" s="27" t="s">
        <v>7</v>
      </c>
      <c r="Y469" s="27" t="s">
        <v>8</v>
      </c>
      <c r="Z469" s="27" t="s">
        <v>7</v>
      </c>
      <c r="AA469" s="27" t="s">
        <v>8</v>
      </c>
      <c r="AB469" s="27" t="s">
        <v>7</v>
      </c>
      <c r="DW469" s="27" t="s">
        <v>8</v>
      </c>
      <c r="DX469" s="27" t="s">
        <v>7</v>
      </c>
      <c r="DY469" s="27" t="s">
        <v>8</v>
      </c>
    </row>
    <row r="470" spans="1:129" x14ac:dyDescent="0.25">
      <c r="A470" s="7">
        <v>10.14425356216856</v>
      </c>
      <c r="B470"/>
      <c r="C470"/>
      <c r="D470"/>
      <c r="E470" t="s">
        <v>8</v>
      </c>
      <c r="F470" s="27" t="s">
        <v>7</v>
      </c>
      <c r="G470" s="27" t="s">
        <v>8</v>
      </c>
      <c r="H470" s="27" t="s">
        <v>7</v>
      </c>
      <c r="U470" s="27" t="s">
        <v>8</v>
      </c>
      <c r="X470" s="27" t="s">
        <v>7</v>
      </c>
      <c r="Y470" s="27" t="s">
        <v>8</v>
      </c>
      <c r="Z470" s="27" t="s">
        <v>7</v>
      </c>
      <c r="AA470" s="27" t="s">
        <v>8</v>
      </c>
      <c r="AB470" s="27" t="s">
        <v>7</v>
      </c>
      <c r="DW470" s="27" t="s">
        <v>8</v>
      </c>
      <c r="DX470" s="27" t="s">
        <v>7</v>
      </c>
      <c r="DY470" s="27" t="s">
        <v>8</v>
      </c>
    </row>
    <row r="471" spans="1:129" x14ac:dyDescent="0.25">
      <c r="A471" s="7">
        <v>9.9453466295770188</v>
      </c>
      <c r="B471"/>
      <c r="C471"/>
      <c r="D471"/>
      <c r="E471" t="s">
        <v>8</v>
      </c>
      <c r="F471" s="27" t="s">
        <v>7</v>
      </c>
      <c r="G471" s="27" t="s">
        <v>8</v>
      </c>
      <c r="H471" s="27" t="s">
        <v>7</v>
      </c>
      <c r="U471" s="27" t="s">
        <v>8</v>
      </c>
      <c r="X471" s="27" t="s">
        <v>7</v>
      </c>
      <c r="Y471" s="27" t="s">
        <v>8</v>
      </c>
      <c r="Z471" s="27" t="s">
        <v>7</v>
      </c>
      <c r="AA471" s="27" t="s">
        <v>8</v>
      </c>
      <c r="AB471" s="27" t="s">
        <v>7</v>
      </c>
      <c r="AG471" s="27" t="s">
        <v>8</v>
      </c>
      <c r="DW471" s="27" t="s">
        <v>8</v>
      </c>
      <c r="DX471" s="27" t="s">
        <v>7</v>
      </c>
    </row>
    <row r="472" spans="1:129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G472" s="27" t="s">
        <v>8</v>
      </c>
      <c r="H472" s="27" t="s">
        <v>7</v>
      </c>
      <c r="U472" s="27" t="s">
        <v>8</v>
      </c>
      <c r="X472" s="27" t="s">
        <v>7</v>
      </c>
      <c r="Z472" s="27" t="s">
        <v>7</v>
      </c>
      <c r="AA472" s="27" t="s">
        <v>8</v>
      </c>
      <c r="AB472" s="27" t="s">
        <v>7</v>
      </c>
      <c r="AG472" s="27" t="s">
        <v>8</v>
      </c>
      <c r="AH472" s="27" t="s">
        <v>7</v>
      </c>
      <c r="DG472" s="27" t="s">
        <v>8</v>
      </c>
      <c r="DW472" s="27" t="s">
        <v>8</v>
      </c>
    </row>
    <row r="473" spans="1:129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G473" s="27" t="s">
        <v>8</v>
      </c>
      <c r="H473" s="27" t="s">
        <v>7</v>
      </c>
      <c r="S473" s="27" t="s">
        <v>8</v>
      </c>
      <c r="U473" s="27" t="s">
        <v>8</v>
      </c>
      <c r="Z473" s="27" t="s">
        <v>7</v>
      </c>
      <c r="AB473" s="27" t="s">
        <v>7</v>
      </c>
      <c r="AG473" s="27" t="s">
        <v>8</v>
      </c>
      <c r="AH473" s="27" t="s">
        <v>7</v>
      </c>
      <c r="DG473" s="27" t="s">
        <v>8</v>
      </c>
      <c r="DH473" s="27" t="s">
        <v>7</v>
      </c>
      <c r="DW473" s="27" t="s">
        <v>8</v>
      </c>
    </row>
    <row r="474" spans="1:129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G474" s="27" t="s">
        <v>8</v>
      </c>
      <c r="H474" s="27" t="s">
        <v>7</v>
      </c>
      <c r="S474" s="27" t="s">
        <v>8</v>
      </c>
      <c r="T474" s="27" t="s">
        <v>7</v>
      </c>
      <c r="U474" s="27" t="s">
        <v>8</v>
      </c>
      <c r="AB474" s="27" t="s">
        <v>7</v>
      </c>
      <c r="AE474" s="27" t="s">
        <v>8</v>
      </c>
      <c r="AG474" s="27" t="s">
        <v>8</v>
      </c>
      <c r="AH474" s="27" t="s">
        <v>7</v>
      </c>
      <c r="AI474" s="27" t="s">
        <v>8</v>
      </c>
      <c r="DG474" s="27" t="s">
        <v>8</v>
      </c>
      <c r="DH474" s="27" t="s">
        <v>7</v>
      </c>
      <c r="DW474" s="27" t="s">
        <v>8</v>
      </c>
    </row>
    <row r="475" spans="1:129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G475" s="27" t="s">
        <v>8</v>
      </c>
      <c r="H475" s="27" t="s">
        <v>7</v>
      </c>
      <c r="S475" s="27" t="s">
        <v>8</v>
      </c>
      <c r="T475" s="27" t="s">
        <v>7</v>
      </c>
      <c r="U475" s="27" t="s">
        <v>8</v>
      </c>
      <c r="AB475" s="27" t="s">
        <v>7</v>
      </c>
      <c r="AE475" s="27" t="s">
        <v>8</v>
      </c>
      <c r="AF475" s="27" t="s">
        <v>7</v>
      </c>
      <c r="AG475" s="27" t="s">
        <v>8</v>
      </c>
      <c r="AH475" s="27" t="s">
        <v>7</v>
      </c>
      <c r="AI475" s="27" t="s">
        <v>8</v>
      </c>
      <c r="AJ475" s="27" t="s">
        <v>7</v>
      </c>
      <c r="DG475" s="27" t="s">
        <v>8</v>
      </c>
      <c r="DH475" s="27" t="s">
        <v>7</v>
      </c>
      <c r="DW475" s="27" t="s">
        <v>8</v>
      </c>
    </row>
    <row r="476" spans="1:129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G476" s="27" t="s">
        <v>8</v>
      </c>
      <c r="H476" s="27" t="s">
        <v>7</v>
      </c>
      <c r="S476" s="27" t="s">
        <v>8</v>
      </c>
      <c r="T476" s="27" t="s">
        <v>7</v>
      </c>
      <c r="U476" s="27" t="s">
        <v>8</v>
      </c>
      <c r="AB476" s="27" t="s">
        <v>7</v>
      </c>
      <c r="AE476" s="27" t="s">
        <v>8</v>
      </c>
      <c r="AF476" s="27" t="s">
        <v>7</v>
      </c>
      <c r="AG476" s="27" t="s">
        <v>8</v>
      </c>
      <c r="AH476" s="27" t="s">
        <v>7</v>
      </c>
      <c r="AI476" s="27" t="s">
        <v>8</v>
      </c>
      <c r="AJ476" s="27" t="s">
        <v>7</v>
      </c>
      <c r="DG476" s="27" t="s">
        <v>8</v>
      </c>
      <c r="DH476" s="27" t="s">
        <v>7</v>
      </c>
      <c r="DW476" s="27" t="s">
        <v>8</v>
      </c>
    </row>
    <row r="477" spans="1:129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H477" s="27" t="s">
        <v>7</v>
      </c>
      <c r="K477" s="27" t="s">
        <v>8</v>
      </c>
      <c r="M477" s="27" t="s">
        <v>8</v>
      </c>
      <c r="S477" s="27" t="s">
        <v>8</v>
      </c>
      <c r="T477" s="27" t="s">
        <v>7</v>
      </c>
      <c r="U477" s="27" t="s">
        <v>8</v>
      </c>
      <c r="AB477" s="27" t="s">
        <v>7</v>
      </c>
      <c r="AC477" s="27" t="s">
        <v>8</v>
      </c>
      <c r="AE477" s="27" t="s">
        <v>8</v>
      </c>
      <c r="AF477" s="27" t="s">
        <v>7</v>
      </c>
      <c r="AG477" s="27" t="s">
        <v>8</v>
      </c>
      <c r="AH477" s="27" t="s">
        <v>7</v>
      </c>
      <c r="AI477" s="27" t="s">
        <v>8</v>
      </c>
      <c r="AJ477" s="27" t="s">
        <v>7</v>
      </c>
      <c r="DG477" s="27" t="s">
        <v>8</v>
      </c>
      <c r="DH477" s="27" t="s">
        <v>7</v>
      </c>
      <c r="DW477" s="27" t="s">
        <v>8</v>
      </c>
    </row>
    <row r="478" spans="1:129" x14ac:dyDescent="0.25">
      <c r="A478" s="7">
        <v>8.6580227382218542</v>
      </c>
      <c r="B478"/>
      <c r="C478"/>
      <c r="D478"/>
      <c r="E478" t="s">
        <v>8</v>
      </c>
      <c r="H478" s="27" t="s">
        <v>7</v>
      </c>
      <c r="K478" s="27" t="s">
        <v>8</v>
      </c>
      <c r="L478" s="27" t="s">
        <v>7</v>
      </c>
      <c r="M478" s="27" t="s">
        <v>8</v>
      </c>
      <c r="N478" s="27" t="s">
        <v>7</v>
      </c>
      <c r="S478" s="27" t="s">
        <v>8</v>
      </c>
      <c r="T478" s="27" t="s">
        <v>7</v>
      </c>
      <c r="U478" s="27" t="s">
        <v>8</v>
      </c>
      <c r="AB478" s="27" t="s">
        <v>7</v>
      </c>
      <c r="AC478" s="27" t="s">
        <v>8</v>
      </c>
      <c r="AD478" s="27" t="s">
        <v>7</v>
      </c>
      <c r="AE478" s="27" t="s">
        <v>8</v>
      </c>
      <c r="AF478" s="27" t="s">
        <v>7</v>
      </c>
      <c r="AG478" s="27" t="s">
        <v>8</v>
      </c>
      <c r="AH478" s="27" t="s">
        <v>7</v>
      </c>
      <c r="AI478" s="27" t="s">
        <v>8</v>
      </c>
      <c r="AJ478" s="27" t="s">
        <v>7</v>
      </c>
      <c r="AK478" s="27" t="s">
        <v>8</v>
      </c>
      <c r="DG478" s="27" t="s">
        <v>8</v>
      </c>
      <c r="DH478" s="27" t="s">
        <v>7</v>
      </c>
      <c r="DW478" s="27" t="s">
        <v>8</v>
      </c>
    </row>
    <row r="479" spans="1:129" x14ac:dyDescent="0.25">
      <c r="A479" s="7">
        <v>8.4882575864920131</v>
      </c>
      <c r="B479"/>
      <c r="C479"/>
      <c r="D479"/>
      <c r="E479" t="s">
        <v>8</v>
      </c>
      <c r="H479" s="27" t="s">
        <v>7</v>
      </c>
      <c r="K479" s="27" t="s">
        <v>8</v>
      </c>
      <c r="L479" s="27" t="s">
        <v>7</v>
      </c>
      <c r="M479" s="27" t="s">
        <v>8</v>
      </c>
      <c r="N479" s="27" t="s">
        <v>7</v>
      </c>
      <c r="S479" s="27" t="s">
        <v>8</v>
      </c>
      <c r="T479" s="27" t="s">
        <v>7</v>
      </c>
      <c r="U479" s="27" t="s">
        <v>8</v>
      </c>
      <c r="AB479" s="27" t="s">
        <v>7</v>
      </c>
      <c r="AC479" s="27" t="s">
        <v>8</v>
      </c>
      <c r="AD479" s="27" t="s">
        <v>7</v>
      </c>
      <c r="AE479" s="27" t="s">
        <v>8</v>
      </c>
      <c r="AF479" s="27" t="s">
        <v>7</v>
      </c>
      <c r="AG479" s="27" t="s">
        <v>8</v>
      </c>
      <c r="AH479" s="27" t="s">
        <v>7</v>
      </c>
      <c r="AI479" s="27" t="s">
        <v>8</v>
      </c>
      <c r="AJ479" s="27" t="s">
        <v>7</v>
      </c>
      <c r="AK479" s="27" t="s">
        <v>8</v>
      </c>
      <c r="AL479" s="27" t="s">
        <v>7</v>
      </c>
      <c r="DG479" s="27" t="s">
        <v>8</v>
      </c>
      <c r="DH479" s="27" t="s">
        <v>7</v>
      </c>
      <c r="DW479" s="27" t="s">
        <v>8</v>
      </c>
    </row>
    <row r="480" spans="1:129" x14ac:dyDescent="0.25">
      <c r="A480" s="7">
        <v>8.3218211632274635</v>
      </c>
      <c r="B480"/>
      <c r="C480"/>
      <c r="D480"/>
      <c r="E480" t="s">
        <v>8</v>
      </c>
      <c r="H480" s="27" t="s">
        <v>7</v>
      </c>
      <c r="I480" s="27" t="s">
        <v>8</v>
      </c>
      <c r="K480" s="27" t="s">
        <v>8</v>
      </c>
      <c r="L480" s="27" t="s">
        <v>7</v>
      </c>
      <c r="M480" s="27" t="s">
        <v>8</v>
      </c>
      <c r="N480" s="27" t="s">
        <v>7</v>
      </c>
      <c r="S480" s="27" t="s">
        <v>8</v>
      </c>
      <c r="T480" s="27" t="s">
        <v>7</v>
      </c>
      <c r="U480" s="27" t="s">
        <v>8</v>
      </c>
      <c r="AB480" s="27" t="s">
        <v>7</v>
      </c>
      <c r="AC480" s="27" t="s">
        <v>8</v>
      </c>
      <c r="AD480" s="27" t="s">
        <v>7</v>
      </c>
      <c r="AE480" s="27" t="s">
        <v>8</v>
      </c>
      <c r="AF480" s="27" t="s">
        <v>7</v>
      </c>
      <c r="AG480" s="27" t="s">
        <v>8</v>
      </c>
      <c r="AH480" s="27" t="s">
        <v>7</v>
      </c>
      <c r="AI480" s="27" t="s">
        <v>8</v>
      </c>
      <c r="AJ480" s="27" t="s">
        <v>7</v>
      </c>
      <c r="AK480" s="27" t="s">
        <v>8</v>
      </c>
      <c r="AL480" s="27" t="s">
        <v>7</v>
      </c>
      <c r="DG480" s="27" t="s">
        <v>8</v>
      </c>
      <c r="DH480" s="27" t="s">
        <v>7</v>
      </c>
      <c r="DW480" s="27" t="s">
        <v>8</v>
      </c>
    </row>
    <row r="481" spans="1:127" x14ac:dyDescent="0.25">
      <c r="A481" s="7">
        <v>8.1586481992426112</v>
      </c>
      <c r="B481"/>
      <c r="C481"/>
      <c r="D481"/>
      <c r="E481" t="s">
        <v>8</v>
      </c>
      <c r="H481" s="27" t="s">
        <v>7</v>
      </c>
      <c r="I481" s="27" t="s">
        <v>8</v>
      </c>
      <c r="J481" s="27" t="s">
        <v>7</v>
      </c>
      <c r="K481" s="27" t="s">
        <v>8</v>
      </c>
      <c r="L481" s="27" t="s">
        <v>7</v>
      </c>
      <c r="M481" s="27" t="s">
        <v>8</v>
      </c>
      <c r="N481" s="27" t="s">
        <v>7</v>
      </c>
      <c r="S481" s="27" t="s">
        <v>8</v>
      </c>
      <c r="T481" s="27" t="s">
        <v>7</v>
      </c>
      <c r="AB481" s="27" t="s">
        <v>7</v>
      </c>
      <c r="AC481" s="27" t="s">
        <v>8</v>
      </c>
      <c r="AD481" s="27" t="s">
        <v>7</v>
      </c>
      <c r="AE481" s="27" t="s">
        <v>8</v>
      </c>
      <c r="AF481" s="27" t="s">
        <v>7</v>
      </c>
      <c r="AH481" s="27" t="s">
        <v>7</v>
      </c>
      <c r="AI481" s="27" t="s">
        <v>8</v>
      </c>
      <c r="AJ481" s="27" t="s">
        <v>7</v>
      </c>
      <c r="AK481" s="27" t="s">
        <v>8</v>
      </c>
      <c r="AL481" s="27" t="s">
        <v>7</v>
      </c>
      <c r="DG481" s="27" t="s">
        <v>8</v>
      </c>
      <c r="DH481" s="27" t="s">
        <v>7</v>
      </c>
      <c r="DW481" s="27" t="s">
        <v>8</v>
      </c>
    </row>
    <row r="482" spans="1:127" x14ac:dyDescent="0.25">
      <c r="A482" s="7">
        <v>7.9986747051398144</v>
      </c>
      <c r="B482"/>
      <c r="C482"/>
      <c r="D482"/>
      <c r="E482" t="s">
        <v>8</v>
      </c>
      <c r="H482" s="27" t="s">
        <v>7</v>
      </c>
      <c r="I482" s="27" t="s">
        <v>8</v>
      </c>
      <c r="J482" s="27" t="s">
        <v>7</v>
      </c>
      <c r="K482" s="27" t="s">
        <v>8</v>
      </c>
      <c r="L482" s="27" t="s">
        <v>7</v>
      </c>
      <c r="M482" s="27" t="s">
        <v>8</v>
      </c>
      <c r="N482" s="27" t="s">
        <v>7</v>
      </c>
      <c r="O482" s="27" t="s">
        <v>8</v>
      </c>
      <c r="S482" s="27" t="s">
        <v>8</v>
      </c>
      <c r="AB482" s="27" t="s">
        <v>7</v>
      </c>
      <c r="AC482" s="27" t="s">
        <v>8</v>
      </c>
      <c r="AD482" s="27" t="s">
        <v>7</v>
      </c>
      <c r="AE482" s="27" t="s">
        <v>8</v>
      </c>
      <c r="AH482" s="27" t="s">
        <v>7</v>
      </c>
      <c r="AI482" s="27" t="s">
        <v>8</v>
      </c>
      <c r="AJ482" s="27" t="s">
        <v>7</v>
      </c>
      <c r="AK482" s="27" t="s">
        <v>8</v>
      </c>
      <c r="AL482" s="27" t="s">
        <v>7</v>
      </c>
      <c r="DG482" s="27" t="s">
        <v>8</v>
      </c>
      <c r="DH482" s="27" t="s">
        <v>7</v>
      </c>
      <c r="DU482" s="27" t="s">
        <v>8</v>
      </c>
      <c r="DW482" s="27" t="s">
        <v>8</v>
      </c>
    </row>
    <row r="483" spans="1:127" x14ac:dyDescent="0.25">
      <c r="A483" s="7">
        <v>7.8418379462155041</v>
      </c>
      <c r="B483"/>
      <c r="C483"/>
      <c r="D483"/>
      <c r="E483" t="s">
        <v>8</v>
      </c>
      <c r="H483" s="27" t="s">
        <v>7</v>
      </c>
      <c r="I483" s="27" t="s">
        <v>8</v>
      </c>
      <c r="J483" s="27" t="s">
        <v>7</v>
      </c>
      <c r="K483" s="27" t="s">
        <v>8</v>
      </c>
      <c r="L483" s="27" t="s">
        <v>7</v>
      </c>
      <c r="M483" s="27" t="s">
        <v>8</v>
      </c>
      <c r="N483" s="27" t="s">
        <v>7</v>
      </c>
      <c r="O483" s="27" t="s">
        <v>8</v>
      </c>
      <c r="P483" s="27" t="s">
        <v>7</v>
      </c>
      <c r="S483" s="27" t="s">
        <v>8</v>
      </c>
      <c r="AB483" s="27" t="s">
        <v>7</v>
      </c>
      <c r="AC483" s="27" t="s">
        <v>8</v>
      </c>
      <c r="AD483" s="27" t="s">
        <v>7</v>
      </c>
      <c r="AE483" s="27" t="s">
        <v>8</v>
      </c>
      <c r="AH483" s="27" t="s">
        <v>7</v>
      </c>
      <c r="AI483" s="27" t="s">
        <v>8</v>
      </c>
      <c r="AJ483" s="27" t="s">
        <v>7</v>
      </c>
      <c r="AK483" s="27" t="s">
        <v>8</v>
      </c>
      <c r="AL483" s="27" t="s">
        <v>7</v>
      </c>
      <c r="DG483" s="27" t="s">
        <v>8</v>
      </c>
      <c r="DH483" s="27" t="s">
        <v>7</v>
      </c>
      <c r="DU483" s="27" t="s">
        <v>8</v>
      </c>
      <c r="DV483" s="27" t="s">
        <v>7</v>
      </c>
      <c r="DW483" s="27" t="s">
        <v>8</v>
      </c>
    </row>
    <row r="484" spans="1:127" x14ac:dyDescent="0.25">
      <c r="A484" s="7">
        <v>7.688076417858337</v>
      </c>
      <c r="B484"/>
      <c r="C484"/>
      <c r="D484"/>
      <c r="E484" t="s">
        <v>8</v>
      </c>
      <c r="H484" s="27" t="s">
        <v>7</v>
      </c>
      <c r="I484" s="27" t="s">
        <v>8</v>
      </c>
      <c r="J484" s="27" t="s">
        <v>7</v>
      </c>
      <c r="K484" s="27" t="s">
        <v>8</v>
      </c>
      <c r="L484" s="27" t="s">
        <v>7</v>
      </c>
      <c r="M484" s="27" t="s">
        <v>8</v>
      </c>
      <c r="N484" s="27" t="s">
        <v>7</v>
      </c>
      <c r="O484" s="27" t="s">
        <v>8</v>
      </c>
      <c r="P484" s="27" t="s">
        <v>7</v>
      </c>
      <c r="S484" s="27" t="s">
        <v>8</v>
      </c>
      <c r="AB484" s="27" t="s">
        <v>7</v>
      </c>
      <c r="AD484" s="27" t="s">
        <v>7</v>
      </c>
      <c r="AE484" s="27" t="s">
        <v>8</v>
      </c>
      <c r="AH484" s="27" t="s">
        <v>7</v>
      </c>
      <c r="AJ484" s="27" t="s">
        <v>7</v>
      </c>
      <c r="AK484" s="27" t="s">
        <v>8</v>
      </c>
      <c r="AL484" s="27" t="s">
        <v>7</v>
      </c>
      <c r="DG484" s="27" t="s">
        <v>8</v>
      </c>
      <c r="DH484" s="27" t="s">
        <v>7</v>
      </c>
      <c r="DS484" s="27" t="s">
        <v>8</v>
      </c>
      <c r="DU484" s="27" t="s">
        <v>8</v>
      </c>
      <c r="DV484" s="27" t="s">
        <v>7</v>
      </c>
      <c r="DW484" s="27" t="s">
        <v>8</v>
      </c>
    </row>
    <row r="485" spans="1:127" x14ac:dyDescent="0.25">
      <c r="A485" s="7">
        <v>7.5373298214297417</v>
      </c>
      <c r="B485"/>
      <c r="C485"/>
      <c r="D485"/>
      <c r="E485" t="s">
        <v>8</v>
      </c>
      <c r="H485" s="27" t="s">
        <v>7</v>
      </c>
      <c r="I485" s="27" t="s">
        <v>8</v>
      </c>
      <c r="J485" s="27" t="s">
        <v>7</v>
      </c>
      <c r="K485" s="27" t="s">
        <v>8</v>
      </c>
      <c r="L485" s="27" t="s">
        <v>7</v>
      </c>
      <c r="M485" s="27" t="s">
        <v>8</v>
      </c>
      <c r="N485" s="27" t="s">
        <v>7</v>
      </c>
      <c r="O485" s="27" t="s">
        <v>8</v>
      </c>
      <c r="P485" s="27" t="s">
        <v>7</v>
      </c>
      <c r="Q485" s="27" t="s">
        <v>8</v>
      </c>
      <c r="S485" s="27" t="s">
        <v>8</v>
      </c>
      <c r="AD485" s="27" t="s">
        <v>7</v>
      </c>
      <c r="AE485" s="27" t="s">
        <v>8</v>
      </c>
      <c r="AJ485" s="27" t="s">
        <v>7</v>
      </c>
      <c r="AL485" s="27" t="s">
        <v>7</v>
      </c>
      <c r="AO485" s="27" t="s">
        <v>8</v>
      </c>
      <c r="AU485" s="27" t="s">
        <v>8</v>
      </c>
      <c r="DG485" s="27" t="s">
        <v>8</v>
      </c>
      <c r="DH485" s="27" t="s">
        <v>7</v>
      </c>
      <c r="DS485" s="27" t="s">
        <v>8</v>
      </c>
      <c r="DT485" s="27" t="s">
        <v>7</v>
      </c>
      <c r="DU485" s="27" t="s">
        <v>8</v>
      </c>
      <c r="DV485" s="27" t="s">
        <v>7</v>
      </c>
      <c r="DW485" s="27" t="s">
        <v>8</v>
      </c>
    </row>
    <row r="486" spans="1:127" x14ac:dyDescent="0.25">
      <c r="A486" s="7">
        <v>7.389539040617394</v>
      </c>
      <c r="B486"/>
      <c r="C486"/>
      <c r="D486"/>
      <c r="E486" t="s">
        <v>8</v>
      </c>
      <c r="H486" s="27" t="s">
        <v>7</v>
      </c>
      <c r="I486" s="27" t="s">
        <v>8</v>
      </c>
      <c r="J486" s="27" t="s">
        <v>7</v>
      </c>
      <c r="K486" s="27" t="s">
        <v>8</v>
      </c>
      <c r="L486" s="27" t="s">
        <v>7</v>
      </c>
      <c r="M486" s="27" t="s">
        <v>8</v>
      </c>
      <c r="N486" s="27" t="s">
        <v>7</v>
      </c>
      <c r="P486" s="27" t="s">
        <v>7</v>
      </c>
      <c r="Q486" s="27" t="s">
        <v>8</v>
      </c>
      <c r="R486" s="27" t="s">
        <v>7</v>
      </c>
      <c r="S486" s="27" t="s">
        <v>8</v>
      </c>
      <c r="AD486" s="27" t="s">
        <v>7</v>
      </c>
      <c r="AL486" s="27" t="s">
        <v>7</v>
      </c>
      <c r="AO486" s="27" t="s">
        <v>8</v>
      </c>
      <c r="AP486" s="27" t="s">
        <v>7</v>
      </c>
      <c r="AU486" s="27" t="s">
        <v>8</v>
      </c>
      <c r="AV486" s="27" t="s">
        <v>7</v>
      </c>
      <c r="AW486" s="27" t="s">
        <v>8</v>
      </c>
      <c r="DC486" s="27" t="s">
        <v>8</v>
      </c>
      <c r="DG486" s="27" t="s">
        <v>8</v>
      </c>
      <c r="DH486" s="27" t="s">
        <v>7</v>
      </c>
      <c r="DS486" s="27" t="s">
        <v>8</v>
      </c>
      <c r="DT486" s="27" t="s">
        <v>7</v>
      </c>
      <c r="DU486" s="27" t="s">
        <v>8</v>
      </c>
      <c r="DV486" s="27" t="s">
        <v>7</v>
      </c>
      <c r="DW486" s="27" t="s">
        <v>8</v>
      </c>
    </row>
    <row r="487" spans="1:127" x14ac:dyDescent="0.25">
      <c r="A487" s="7">
        <v>7.2446461182523469</v>
      </c>
      <c r="B487"/>
      <c r="C487"/>
      <c r="D487"/>
      <c r="E487" t="s">
        <v>8</v>
      </c>
      <c r="H487" s="27" t="s">
        <v>7</v>
      </c>
      <c r="I487" s="27" t="s">
        <v>8</v>
      </c>
      <c r="J487" s="27" t="s">
        <v>7</v>
      </c>
      <c r="K487" s="27" t="s">
        <v>8</v>
      </c>
      <c r="L487" s="27" t="s">
        <v>7</v>
      </c>
      <c r="M487" s="27" t="s">
        <v>8</v>
      </c>
      <c r="P487" s="27" t="s">
        <v>7</v>
      </c>
      <c r="Q487" s="27" t="s">
        <v>8</v>
      </c>
      <c r="R487" s="27" t="s">
        <v>7</v>
      </c>
      <c r="S487" s="27" t="s">
        <v>8</v>
      </c>
      <c r="AL487" s="27" t="s">
        <v>7</v>
      </c>
      <c r="AM487" s="27" t="s">
        <v>8</v>
      </c>
      <c r="AO487" s="27" t="s">
        <v>8</v>
      </c>
      <c r="AP487" s="27" t="s">
        <v>7</v>
      </c>
      <c r="AS487" s="27" t="s">
        <v>8</v>
      </c>
      <c r="AU487" s="27" t="s">
        <v>8</v>
      </c>
      <c r="AV487" s="27" t="s">
        <v>7</v>
      </c>
      <c r="AW487" s="27" t="s">
        <v>8</v>
      </c>
      <c r="AX487" s="27" t="s">
        <v>7</v>
      </c>
      <c r="CU487" s="27" t="s">
        <v>8</v>
      </c>
      <c r="DC487" s="27" t="s">
        <v>8</v>
      </c>
      <c r="DD487" s="27" t="s">
        <v>7</v>
      </c>
      <c r="DG487" s="27" t="s">
        <v>8</v>
      </c>
      <c r="DH487" s="27" t="s">
        <v>7</v>
      </c>
      <c r="DS487" s="27" t="s">
        <v>8</v>
      </c>
      <c r="DT487" s="27" t="s">
        <v>7</v>
      </c>
      <c r="DU487" s="27" t="s">
        <v>8</v>
      </c>
      <c r="DV487" s="27" t="s">
        <v>7</v>
      </c>
      <c r="DW487" s="27" t="s">
        <v>8</v>
      </c>
    </row>
    <row r="488" spans="1:127" x14ac:dyDescent="0.25">
      <c r="A488" s="7">
        <v>7.1025942335807324</v>
      </c>
      <c r="B488"/>
      <c r="C488"/>
      <c r="D488"/>
      <c r="E488" t="s">
        <v>8</v>
      </c>
      <c r="H488" s="27" t="s">
        <v>7</v>
      </c>
      <c r="I488" s="27" t="s">
        <v>8</v>
      </c>
      <c r="J488" s="27" t="s">
        <v>7</v>
      </c>
      <c r="K488" s="27" t="s">
        <v>8</v>
      </c>
      <c r="L488" s="27" t="s">
        <v>7</v>
      </c>
      <c r="M488" s="27" t="s">
        <v>8</v>
      </c>
      <c r="P488" s="27" t="s">
        <v>7</v>
      </c>
      <c r="Q488" s="27" t="s">
        <v>8</v>
      </c>
      <c r="R488" s="27" t="s">
        <v>7</v>
      </c>
      <c r="S488" s="27" t="s">
        <v>8</v>
      </c>
      <c r="AL488" s="27" t="s">
        <v>7</v>
      </c>
      <c r="AM488" s="27" t="s">
        <v>8</v>
      </c>
      <c r="AN488" s="27" t="s">
        <v>7</v>
      </c>
      <c r="AO488" s="27" t="s">
        <v>8</v>
      </c>
      <c r="AP488" s="27" t="s">
        <v>7</v>
      </c>
      <c r="AS488" s="27" t="s">
        <v>8</v>
      </c>
      <c r="AT488" s="27" t="s">
        <v>7</v>
      </c>
      <c r="AU488" s="27" t="s">
        <v>8</v>
      </c>
      <c r="AV488" s="27" t="s">
        <v>7</v>
      </c>
      <c r="AW488" s="27" t="s">
        <v>8</v>
      </c>
      <c r="AX488" s="27" t="s">
        <v>7</v>
      </c>
      <c r="CS488" s="27" t="s">
        <v>8</v>
      </c>
      <c r="CU488" s="27" t="s">
        <v>8</v>
      </c>
      <c r="CV488" s="27" t="s">
        <v>7</v>
      </c>
      <c r="CW488" s="27" t="s">
        <v>8</v>
      </c>
      <c r="DC488" s="27" t="s">
        <v>8</v>
      </c>
      <c r="DD488" s="27" t="s">
        <v>7</v>
      </c>
      <c r="DG488" s="27" t="s">
        <v>8</v>
      </c>
      <c r="DH488" s="27" t="s">
        <v>7</v>
      </c>
      <c r="DS488" s="27" t="s">
        <v>8</v>
      </c>
      <c r="DT488" s="27" t="s">
        <v>7</v>
      </c>
      <c r="DU488" s="27" t="s">
        <v>8</v>
      </c>
      <c r="DV488" s="27" t="s">
        <v>7</v>
      </c>
      <c r="DW488" s="27" t="s">
        <v>8</v>
      </c>
    </row>
    <row r="489" spans="1:127" x14ac:dyDescent="0.25">
      <c r="A489" s="7">
        <v>6.9633276799811101</v>
      </c>
      <c r="B489"/>
      <c r="C489"/>
      <c r="D489"/>
      <c r="E489" t="s">
        <v>8</v>
      </c>
      <c r="H489" s="27" t="s">
        <v>7</v>
      </c>
      <c r="I489" s="27" t="s">
        <v>8</v>
      </c>
      <c r="J489" s="27" t="s">
        <v>7</v>
      </c>
      <c r="K489" s="27" t="s">
        <v>8</v>
      </c>
      <c r="L489" s="27" t="s">
        <v>7</v>
      </c>
      <c r="M489" s="27" t="s">
        <v>8</v>
      </c>
      <c r="P489" s="27" t="s">
        <v>7</v>
      </c>
      <c r="Q489" s="27" t="s">
        <v>8</v>
      </c>
      <c r="R489" s="27" t="s">
        <v>7</v>
      </c>
      <c r="S489" s="27" t="s">
        <v>8</v>
      </c>
      <c r="AL489" s="27" t="s">
        <v>7</v>
      </c>
      <c r="AM489" s="27" t="s">
        <v>8</v>
      </c>
      <c r="AN489" s="27" t="s">
        <v>7</v>
      </c>
      <c r="AO489" s="27" t="s">
        <v>8</v>
      </c>
      <c r="AP489" s="27" t="s">
        <v>7</v>
      </c>
      <c r="AS489" s="27" t="s">
        <v>8</v>
      </c>
      <c r="AT489" s="27" t="s">
        <v>7</v>
      </c>
      <c r="AU489" s="27" t="s">
        <v>8</v>
      </c>
      <c r="AV489" s="27" t="s">
        <v>7</v>
      </c>
      <c r="AW489" s="27" t="s">
        <v>8</v>
      </c>
      <c r="AX489" s="27" t="s">
        <v>7</v>
      </c>
      <c r="CS489" s="27" t="s">
        <v>8</v>
      </c>
      <c r="CT489" s="27" t="s">
        <v>7</v>
      </c>
      <c r="CU489" s="27" t="s">
        <v>8</v>
      </c>
      <c r="CV489" s="27" t="s">
        <v>7</v>
      </c>
      <c r="CW489" s="27" t="s">
        <v>8</v>
      </c>
      <c r="CX489" s="27" t="s">
        <v>7</v>
      </c>
      <c r="DC489" s="27" t="s">
        <v>8</v>
      </c>
      <c r="DD489" s="27" t="s">
        <v>7</v>
      </c>
      <c r="DG489" s="27" t="s">
        <v>8</v>
      </c>
      <c r="DH489" s="27" t="s">
        <v>7</v>
      </c>
      <c r="DS489" s="27" t="s">
        <v>8</v>
      </c>
      <c r="DT489" s="27" t="s">
        <v>7</v>
      </c>
      <c r="DU489" s="27" t="s">
        <v>8</v>
      </c>
      <c r="DV489" s="27" t="s">
        <v>7</v>
      </c>
      <c r="DW489" s="27" t="s">
        <v>8</v>
      </c>
    </row>
    <row r="490" spans="1:127" x14ac:dyDescent="0.25">
      <c r="A490" s="7">
        <v>6.8267918431187349</v>
      </c>
      <c r="B490"/>
      <c r="C490"/>
      <c r="D490"/>
      <c r="E490" t="s">
        <v>8</v>
      </c>
      <c r="H490" s="27" t="s">
        <v>7</v>
      </c>
      <c r="I490" s="27" t="s">
        <v>8</v>
      </c>
      <c r="J490" s="27" t="s">
        <v>7</v>
      </c>
      <c r="K490" s="27" t="s">
        <v>8</v>
      </c>
      <c r="L490" s="27" t="s">
        <v>7</v>
      </c>
      <c r="P490" s="27" t="s">
        <v>7</v>
      </c>
      <c r="Q490" s="27" t="s">
        <v>8</v>
      </c>
      <c r="R490" s="27" t="s">
        <v>7</v>
      </c>
      <c r="AL490" s="27" t="s">
        <v>7</v>
      </c>
      <c r="AN490" s="27" t="s">
        <v>7</v>
      </c>
      <c r="AP490" s="27" t="s">
        <v>7</v>
      </c>
      <c r="AS490" s="27" t="s">
        <v>8</v>
      </c>
      <c r="AT490" s="27" t="s">
        <v>7</v>
      </c>
      <c r="AU490" s="27" t="s">
        <v>8</v>
      </c>
      <c r="AV490" s="27" t="s">
        <v>7</v>
      </c>
      <c r="AW490" s="27" t="s">
        <v>8</v>
      </c>
      <c r="AX490" s="27" t="s">
        <v>7</v>
      </c>
      <c r="CS490" s="27" t="s">
        <v>8</v>
      </c>
      <c r="CT490" s="27" t="s">
        <v>7</v>
      </c>
      <c r="CU490" s="27" t="s">
        <v>8</v>
      </c>
      <c r="CV490" s="27" t="s">
        <v>7</v>
      </c>
      <c r="CW490" s="27" t="s">
        <v>8</v>
      </c>
      <c r="CX490" s="27" t="s">
        <v>7</v>
      </c>
      <c r="DC490" s="27" t="s">
        <v>8</v>
      </c>
      <c r="DD490" s="27" t="s">
        <v>7</v>
      </c>
      <c r="DG490" s="27" t="s">
        <v>8</v>
      </c>
      <c r="DH490" s="27" t="s">
        <v>7</v>
      </c>
      <c r="DS490" s="27" t="s">
        <v>8</v>
      </c>
      <c r="DT490" s="27" t="s">
        <v>7</v>
      </c>
      <c r="DU490" s="27" t="s">
        <v>8</v>
      </c>
      <c r="DV490" s="27" t="s">
        <v>7</v>
      </c>
      <c r="DW490" s="27" t="s">
        <v>8</v>
      </c>
    </row>
    <row r="491" spans="1:127" x14ac:dyDescent="0.25">
      <c r="A491" s="7">
        <v>6.692933179528171</v>
      </c>
      <c r="B491"/>
      <c r="C491"/>
      <c r="D491"/>
      <c r="E491" t="s">
        <v>8</v>
      </c>
      <c r="H491" s="27" t="s">
        <v>7</v>
      </c>
      <c r="I491" s="27" t="s">
        <v>8</v>
      </c>
      <c r="J491" s="27" t="s">
        <v>7</v>
      </c>
      <c r="K491" s="27" t="s">
        <v>8</v>
      </c>
      <c r="P491" s="27" t="s">
        <v>7</v>
      </c>
      <c r="Q491" s="27" t="s">
        <v>8</v>
      </c>
      <c r="AP491" s="27" t="s">
        <v>7</v>
      </c>
      <c r="AS491" s="27" t="s">
        <v>8</v>
      </c>
      <c r="AT491" s="27" t="s">
        <v>7</v>
      </c>
      <c r="AU491" s="27" t="s">
        <v>8</v>
      </c>
      <c r="AV491" s="27" t="s">
        <v>7</v>
      </c>
      <c r="AW491" s="27" t="s">
        <v>8</v>
      </c>
      <c r="AX491" s="27" t="s">
        <v>7</v>
      </c>
      <c r="CS491" s="27" t="s">
        <v>8</v>
      </c>
      <c r="CT491" s="27" t="s">
        <v>7</v>
      </c>
      <c r="CU491" s="27" t="s">
        <v>8</v>
      </c>
      <c r="CV491" s="27" t="s">
        <v>7</v>
      </c>
      <c r="CW491" s="27" t="s">
        <v>8</v>
      </c>
      <c r="CX491" s="27" t="s">
        <v>7</v>
      </c>
      <c r="DC491" s="27" t="s">
        <v>8</v>
      </c>
      <c r="DD491" s="27" t="s">
        <v>7</v>
      </c>
      <c r="DG491" s="27" t="s">
        <v>8</v>
      </c>
      <c r="DH491" s="27" t="s">
        <v>7</v>
      </c>
      <c r="DS491" s="27" t="s">
        <v>8</v>
      </c>
      <c r="DT491" s="27" t="s">
        <v>7</v>
      </c>
      <c r="DU491" s="27" t="s">
        <v>8</v>
      </c>
      <c r="DV491" s="27" t="s">
        <v>7</v>
      </c>
      <c r="DW491" s="27" t="s">
        <v>8</v>
      </c>
    </row>
    <row r="492" spans="1:127" x14ac:dyDescent="0.25">
      <c r="A492" s="7">
        <v>6.5616991956158541</v>
      </c>
      <c r="B492"/>
      <c r="C492"/>
      <c r="D492"/>
      <c r="E492" t="s">
        <v>8</v>
      </c>
      <c r="H492" s="27" t="s">
        <v>7</v>
      </c>
      <c r="I492" s="27" t="s">
        <v>8</v>
      </c>
      <c r="J492" s="27" t="s">
        <v>7</v>
      </c>
      <c r="K492" s="27" t="s">
        <v>8</v>
      </c>
      <c r="P492" s="27" t="s">
        <v>7</v>
      </c>
      <c r="Q492" s="27" t="s">
        <v>8</v>
      </c>
      <c r="AP492" s="27" t="s">
        <v>7</v>
      </c>
      <c r="AS492" s="27" t="s">
        <v>8</v>
      </c>
      <c r="AT492" s="27" t="s">
        <v>7</v>
      </c>
      <c r="AU492" s="27" t="s">
        <v>8</v>
      </c>
      <c r="AV492" s="27" t="s">
        <v>7</v>
      </c>
      <c r="AX492" s="27" t="s">
        <v>7</v>
      </c>
      <c r="CS492" s="27" t="s">
        <v>8</v>
      </c>
      <c r="CT492" s="27" t="s">
        <v>7</v>
      </c>
      <c r="CU492" s="27" t="s">
        <v>8</v>
      </c>
      <c r="CV492" s="27" t="s">
        <v>7</v>
      </c>
      <c r="CW492" s="27" t="s">
        <v>8</v>
      </c>
      <c r="CX492" s="27" t="s">
        <v>7</v>
      </c>
      <c r="DC492" s="27" t="s">
        <v>8</v>
      </c>
      <c r="DD492" s="27" t="s">
        <v>7</v>
      </c>
      <c r="DG492" s="27" t="s">
        <v>8</v>
      </c>
      <c r="DH492" s="27" t="s">
        <v>7</v>
      </c>
      <c r="DS492" s="27" t="s">
        <v>8</v>
      </c>
      <c r="DT492" s="27" t="s">
        <v>7</v>
      </c>
      <c r="DU492" s="27" t="s">
        <v>8</v>
      </c>
      <c r="DV492" s="27" t="s">
        <v>7</v>
      </c>
      <c r="DW492" s="27" t="s">
        <v>8</v>
      </c>
    </row>
    <row r="493" spans="1:127" x14ac:dyDescent="0.25">
      <c r="A493" s="7">
        <v>6.4330384270743668</v>
      </c>
      <c r="B493"/>
      <c r="C493"/>
      <c r="D493"/>
      <c r="E493" t="s">
        <v>8</v>
      </c>
      <c r="H493" s="27" t="s">
        <v>7</v>
      </c>
      <c r="I493" s="27" t="s">
        <v>8</v>
      </c>
      <c r="J493" s="27" t="s">
        <v>7</v>
      </c>
      <c r="K493" s="27" t="s">
        <v>8</v>
      </c>
      <c r="P493" s="27" t="s">
        <v>7</v>
      </c>
      <c r="Q493" s="27" t="s">
        <v>8</v>
      </c>
      <c r="AP493" s="27" t="s">
        <v>7</v>
      </c>
      <c r="AQ493" s="27" t="s">
        <v>8</v>
      </c>
      <c r="AS493" s="27" t="s">
        <v>8</v>
      </c>
      <c r="AT493" s="27" t="s">
        <v>7</v>
      </c>
      <c r="AU493" s="27" t="s">
        <v>8</v>
      </c>
      <c r="AX493" s="27" t="s">
        <v>7</v>
      </c>
      <c r="CS493" s="27" t="s">
        <v>8</v>
      </c>
      <c r="CT493" s="27" t="s">
        <v>7</v>
      </c>
      <c r="CU493" s="27" t="s">
        <v>8</v>
      </c>
      <c r="CV493" s="27" t="s">
        <v>7</v>
      </c>
      <c r="CW493" s="27" t="s">
        <v>8</v>
      </c>
      <c r="CX493" s="27" t="s">
        <v>7</v>
      </c>
      <c r="CY493" s="27" t="s">
        <v>8</v>
      </c>
      <c r="DC493" s="27" t="s">
        <v>8</v>
      </c>
      <c r="DD493" s="27" t="s">
        <v>7</v>
      </c>
      <c r="DG493" s="27" t="s">
        <v>8</v>
      </c>
      <c r="DH493" s="27" t="s">
        <v>7</v>
      </c>
      <c r="DS493" s="27" t="s">
        <v>8</v>
      </c>
      <c r="DT493" s="27" t="s">
        <v>7</v>
      </c>
      <c r="DU493" s="27" t="s">
        <v>8</v>
      </c>
      <c r="DV493" s="27" t="s">
        <v>7</v>
      </c>
    </row>
    <row r="494" spans="1:127" x14ac:dyDescent="0.25">
      <c r="A494" s="7">
        <v>6.3069004187003594</v>
      </c>
      <c r="B494"/>
      <c r="C494"/>
      <c r="D494"/>
      <c r="E494" t="s">
        <v>8</v>
      </c>
      <c r="H494" s="27" t="s">
        <v>7</v>
      </c>
      <c r="J494" s="27" t="s">
        <v>7</v>
      </c>
      <c r="K494" s="27" t="s">
        <v>8</v>
      </c>
      <c r="P494" s="27" t="s">
        <v>7</v>
      </c>
      <c r="AP494" s="27" t="s">
        <v>7</v>
      </c>
      <c r="AQ494" s="27" t="s">
        <v>8</v>
      </c>
      <c r="AR494" s="27" t="s">
        <v>7</v>
      </c>
      <c r="AS494" s="27" t="s">
        <v>8</v>
      </c>
      <c r="AT494" s="27" t="s">
        <v>7</v>
      </c>
      <c r="AU494" s="27" t="s">
        <v>8</v>
      </c>
      <c r="AX494" s="27" t="s">
        <v>7</v>
      </c>
      <c r="CS494" s="27" t="s">
        <v>8</v>
      </c>
      <c r="CT494" s="27" t="s">
        <v>7</v>
      </c>
      <c r="CU494" s="27" t="s">
        <v>8</v>
      </c>
      <c r="CV494" s="27" t="s">
        <v>7</v>
      </c>
      <c r="CX494" s="27" t="s">
        <v>7</v>
      </c>
      <c r="CY494" s="27" t="s">
        <v>8</v>
      </c>
      <c r="CZ494" s="27" t="s">
        <v>7</v>
      </c>
      <c r="DC494" s="27" t="s">
        <v>8</v>
      </c>
      <c r="DD494" s="27" t="s">
        <v>7</v>
      </c>
      <c r="DG494" s="27" t="s">
        <v>8</v>
      </c>
      <c r="DH494" s="27" t="s">
        <v>7</v>
      </c>
      <c r="DS494" s="27" t="s">
        <v>8</v>
      </c>
      <c r="DT494" s="27" t="s">
        <v>7</v>
      </c>
      <c r="DU494" s="27" t="s">
        <v>8</v>
      </c>
    </row>
    <row r="495" spans="1:127" x14ac:dyDescent="0.25">
      <c r="A495" s="7">
        <v>6.1832357046081956</v>
      </c>
      <c r="B495"/>
      <c r="C495"/>
      <c r="D495"/>
      <c r="E495" t="s">
        <v>8</v>
      </c>
      <c r="J495" s="27" t="s">
        <v>7</v>
      </c>
      <c r="K495" s="27" t="s">
        <v>8</v>
      </c>
      <c r="AP495" s="27" t="s">
        <v>7</v>
      </c>
      <c r="AQ495" s="27" t="s">
        <v>8</v>
      </c>
      <c r="AR495" s="27" t="s">
        <v>7</v>
      </c>
      <c r="AS495" s="27" t="s">
        <v>8</v>
      </c>
      <c r="AT495" s="27" t="s">
        <v>7</v>
      </c>
      <c r="AX495" s="27" t="s">
        <v>7</v>
      </c>
      <c r="CS495" s="27" t="s">
        <v>8</v>
      </c>
      <c r="CT495" s="27" t="s">
        <v>7</v>
      </c>
      <c r="CU495" s="27" t="s">
        <v>8</v>
      </c>
      <c r="CX495" s="27" t="s">
        <v>7</v>
      </c>
      <c r="CY495" s="27" t="s">
        <v>8</v>
      </c>
      <c r="CZ495" s="27" t="s">
        <v>7</v>
      </c>
      <c r="DC495" s="27" t="s">
        <v>8</v>
      </c>
      <c r="DD495" s="27" t="s">
        <v>7</v>
      </c>
      <c r="DG495" s="27" t="s">
        <v>8</v>
      </c>
      <c r="DH495" s="27" t="s">
        <v>7</v>
      </c>
      <c r="DQ495" s="27" t="s">
        <v>8</v>
      </c>
      <c r="DS495" s="27" t="s">
        <v>8</v>
      </c>
      <c r="DT495" s="27" t="s">
        <v>7</v>
      </c>
      <c r="DU495" s="27" t="s">
        <v>8</v>
      </c>
    </row>
    <row r="496" spans="1:127" x14ac:dyDescent="0.25">
      <c r="A496" s="7">
        <v>6.0619957888315641</v>
      </c>
      <c r="B496"/>
      <c r="C496"/>
      <c r="D496"/>
      <c r="E496" t="s">
        <v>8</v>
      </c>
      <c r="J496" s="27" t="s">
        <v>7</v>
      </c>
      <c r="K496" s="27" t="s">
        <v>8</v>
      </c>
      <c r="AP496" s="27" t="s">
        <v>7</v>
      </c>
      <c r="AQ496" s="27" t="s">
        <v>8</v>
      </c>
      <c r="AR496" s="27" t="s">
        <v>7</v>
      </c>
      <c r="AS496" s="27" t="s">
        <v>8</v>
      </c>
      <c r="AX496" s="27" t="s">
        <v>7</v>
      </c>
      <c r="CS496" s="27" t="s">
        <v>8</v>
      </c>
      <c r="CT496" s="27" t="s">
        <v>7</v>
      </c>
      <c r="CX496" s="27" t="s">
        <v>7</v>
      </c>
      <c r="CZ496" s="27" t="s">
        <v>7</v>
      </c>
      <c r="DC496" s="27" t="s">
        <v>8</v>
      </c>
      <c r="DD496" s="27" t="s">
        <v>7</v>
      </c>
      <c r="DG496" s="27" t="s">
        <v>8</v>
      </c>
      <c r="DH496" s="27" t="s">
        <v>7</v>
      </c>
      <c r="DQ496" s="27" t="s">
        <v>8</v>
      </c>
      <c r="DR496" s="27" t="s">
        <v>7</v>
      </c>
      <c r="DS496" s="27" t="s">
        <v>8</v>
      </c>
      <c r="DT496" s="27" t="s">
        <v>7</v>
      </c>
      <c r="DU496" s="27" t="s">
        <v>8</v>
      </c>
    </row>
    <row r="497" spans="1:125" x14ac:dyDescent="0.25">
      <c r="A497" s="7">
        <v>5.9431331263054545</v>
      </c>
      <c r="B497"/>
      <c r="C497"/>
      <c r="D497"/>
      <c r="E497" t="s">
        <v>8</v>
      </c>
      <c r="J497" s="27" t="s">
        <v>7</v>
      </c>
      <c r="AP497" s="27" t="s">
        <v>7</v>
      </c>
      <c r="AQ497" s="27" t="s">
        <v>8</v>
      </c>
      <c r="AR497" s="27" t="s">
        <v>7</v>
      </c>
      <c r="AS497" s="27" t="s">
        <v>8</v>
      </c>
      <c r="AX497" s="27" t="s">
        <v>7</v>
      </c>
      <c r="CS497" s="27" t="s">
        <v>8</v>
      </c>
      <c r="CZ497" s="27" t="s">
        <v>7</v>
      </c>
      <c r="DC497" s="27" t="s">
        <v>8</v>
      </c>
      <c r="DD497" s="27" t="s">
        <v>7</v>
      </c>
      <c r="DG497" s="27" t="s">
        <v>8</v>
      </c>
      <c r="DH497" s="27" t="s">
        <v>7</v>
      </c>
      <c r="DQ497" s="27" t="s">
        <v>8</v>
      </c>
      <c r="DR497" s="27" t="s">
        <v>7</v>
      </c>
      <c r="DS497" s="27" t="s">
        <v>8</v>
      </c>
      <c r="DT497" s="27" t="s">
        <v>7</v>
      </c>
      <c r="DU497" s="27" t="s">
        <v>8</v>
      </c>
    </row>
    <row r="498" spans="1:125" x14ac:dyDescent="0.25">
      <c r="A498" s="7">
        <v>5.8266011042210337</v>
      </c>
      <c r="B498"/>
      <c r="C498"/>
      <c r="D498"/>
      <c r="E498" t="s">
        <v>8</v>
      </c>
      <c r="AP498" s="27" t="s">
        <v>7</v>
      </c>
      <c r="AQ498" s="27" t="s">
        <v>8</v>
      </c>
      <c r="AR498" s="27" t="s">
        <v>7</v>
      </c>
      <c r="AS498" s="27" t="s">
        <v>8</v>
      </c>
      <c r="AX498" s="27" t="s">
        <v>7</v>
      </c>
      <c r="CS498" s="27" t="s">
        <v>8</v>
      </c>
      <c r="CZ498" s="27" t="s">
        <v>7</v>
      </c>
      <c r="DC498" s="27" t="s">
        <v>8</v>
      </c>
      <c r="DD498" s="27" t="s">
        <v>7</v>
      </c>
      <c r="DG498" s="27" t="s">
        <v>8</v>
      </c>
      <c r="DH498" s="27" t="s">
        <v>7</v>
      </c>
      <c r="DO498" s="27" t="s">
        <v>8</v>
      </c>
      <c r="DQ498" s="27" t="s">
        <v>8</v>
      </c>
      <c r="DR498" s="27" t="s">
        <v>7</v>
      </c>
      <c r="DS498" s="27" t="s">
        <v>8</v>
      </c>
      <c r="DT498" s="27" t="s">
        <v>7</v>
      </c>
      <c r="DU498" s="27" t="s">
        <v>8</v>
      </c>
    </row>
    <row r="499" spans="1:125" x14ac:dyDescent="0.25">
      <c r="A499" s="7">
        <v>5.7123540237461112</v>
      </c>
      <c r="B499"/>
      <c r="C499"/>
      <c r="D499"/>
      <c r="E499" t="s">
        <v>8</v>
      </c>
      <c r="AP499" s="27" t="s">
        <v>7</v>
      </c>
      <c r="AQ499" s="27" t="s">
        <v>8</v>
      </c>
      <c r="AR499" s="27" t="s">
        <v>7</v>
      </c>
      <c r="AS499" s="27" t="s">
        <v>8</v>
      </c>
      <c r="AX499" s="27" t="s">
        <v>7</v>
      </c>
      <c r="CS499" s="27" t="s">
        <v>8</v>
      </c>
      <c r="CZ499" s="27" t="s">
        <v>7</v>
      </c>
      <c r="DC499" s="27" t="s">
        <v>8</v>
      </c>
      <c r="DD499" s="27" t="s">
        <v>7</v>
      </c>
      <c r="DG499" s="27" t="s">
        <v>8</v>
      </c>
      <c r="DH499" s="27" t="s">
        <v>7</v>
      </c>
      <c r="DO499" s="27" t="s">
        <v>8</v>
      </c>
      <c r="DP499" s="27" t="s">
        <v>7</v>
      </c>
      <c r="DQ499" s="27" t="s">
        <v>8</v>
      </c>
      <c r="DR499" s="27" t="s">
        <v>7</v>
      </c>
      <c r="DS499" s="27" t="s">
        <v>8</v>
      </c>
      <c r="DT499" s="27" t="s">
        <v>7</v>
      </c>
      <c r="DU499" s="27" t="s">
        <v>8</v>
      </c>
    </row>
    <row r="500" spans="1:125" x14ac:dyDescent="0.25">
      <c r="A500" s="7">
        <v>5.6003470821040304</v>
      </c>
      <c r="B500"/>
      <c r="C500"/>
      <c r="D500"/>
      <c r="E500" t="s">
        <v>8</v>
      </c>
      <c r="AP500" s="27" t="s">
        <v>7</v>
      </c>
      <c r="AQ500" s="27" t="s">
        <v>8</v>
      </c>
      <c r="AR500" s="27" t="s">
        <v>7</v>
      </c>
      <c r="AS500" s="27" t="s">
        <v>8</v>
      </c>
      <c r="AX500" s="27" t="s">
        <v>7</v>
      </c>
      <c r="CS500" s="27" t="s">
        <v>8</v>
      </c>
      <c r="CZ500" s="27" t="s">
        <v>7</v>
      </c>
      <c r="DC500" s="27" t="s">
        <v>8</v>
      </c>
      <c r="DD500" s="27" t="s">
        <v>7</v>
      </c>
      <c r="DG500" s="27" t="s">
        <v>8</v>
      </c>
      <c r="DH500" s="27" t="s">
        <v>7</v>
      </c>
      <c r="DO500" s="27" t="s">
        <v>8</v>
      </c>
      <c r="DP500" s="27" t="s">
        <v>7</v>
      </c>
      <c r="DQ500" s="27" t="s">
        <v>8</v>
      </c>
      <c r="DR500" s="27" t="s">
        <v>7</v>
      </c>
      <c r="DT500" s="27" t="s">
        <v>7</v>
      </c>
      <c r="DU500" s="27" t="s">
        <v>8</v>
      </c>
    </row>
    <row r="501" spans="1:125" x14ac:dyDescent="0.25">
      <c r="A501" s="7">
        <v>5.4905363550039512</v>
      </c>
      <c r="B501"/>
      <c r="C501"/>
      <c r="D501"/>
      <c r="E501" t="s">
        <v>8</v>
      </c>
      <c r="AP501" s="27" t="s">
        <v>7</v>
      </c>
      <c r="AQ501" s="27" t="s">
        <v>8</v>
      </c>
      <c r="AR501" s="27" t="s">
        <v>7</v>
      </c>
      <c r="AS501" s="27" t="s">
        <v>8</v>
      </c>
      <c r="AX501" s="27" t="s">
        <v>7</v>
      </c>
      <c r="CS501" s="27" t="s">
        <v>8</v>
      </c>
      <c r="CZ501" s="27" t="s">
        <v>7</v>
      </c>
      <c r="DA501" s="27" t="s">
        <v>8</v>
      </c>
      <c r="DC501" s="27" t="s">
        <v>8</v>
      </c>
      <c r="DD501" s="27" t="s">
        <v>7</v>
      </c>
      <c r="DG501" s="27" t="s">
        <v>8</v>
      </c>
      <c r="DH501" s="27" t="s">
        <v>7</v>
      </c>
      <c r="DI501" s="27" t="s">
        <v>8</v>
      </c>
      <c r="DO501" s="27" t="s">
        <v>8</v>
      </c>
      <c r="DP501" s="27" t="s">
        <v>7</v>
      </c>
      <c r="DQ501" s="27" t="s">
        <v>8</v>
      </c>
      <c r="DT501" s="27" t="s">
        <v>7</v>
      </c>
    </row>
    <row r="502" spans="1:125" x14ac:dyDescent="0.25">
      <c r="A502" s="7">
        <v>5.3828787794156385</v>
      </c>
      <c r="B502"/>
      <c r="C502"/>
      <c r="D502"/>
      <c r="E502" t="s">
        <v>8</v>
      </c>
      <c r="AP502" s="27" t="s">
        <v>7</v>
      </c>
      <c r="AQ502" s="27" t="s">
        <v>8</v>
      </c>
      <c r="AR502" s="27" t="s">
        <v>7</v>
      </c>
      <c r="AS502" s="27" t="s">
        <v>8</v>
      </c>
      <c r="AX502" s="27" t="s">
        <v>7</v>
      </c>
      <c r="CS502" s="27" t="s">
        <v>8</v>
      </c>
      <c r="CZ502" s="27" t="s">
        <v>7</v>
      </c>
      <c r="DA502" s="27" t="s">
        <v>8</v>
      </c>
      <c r="DB502" s="27" t="s">
        <v>7</v>
      </c>
      <c r="DC502" s="27" t="s">
        <v>8</v>
      </c>
      <c r="DD502" s="27" t="s">
        <v>7</v>
      </c>
      <c r="DE502" s="27" t="s">
        <v>8</v>
      </c>
      <c r="DG502" s="27" t="s">
        <v>8</v>
      </c>
      <c r="DH502" s="27" t="s">
        <v>7</v>
      </c>
      <c r="DI502" s="27" t="s">
        <v>8</v>
      </c>
      <c r="DJ502" s="27" t="s">
        <v>7</v>
      </c>
      <c r="DO502" s="27" t="s">
        <v>8</v>
      </c>
      <c r="DP502" s="27" t="s">
        <v>7</v>
      </c>
      <c r="DQ502" s="27" t="s">
        <v>8</v>
      </c>
    </row>
    <row r="503" spans="1:125" x14ac:dyDescent="0.25">
      <c r="A503" s="7">
        <v>5.2773321366819985</v>
      </c>
      <c r="B503"/>
      <c r="C503"/>
      <c r="D503"/>
      <c r="E503" t="s">
        <v>8</v>
      </c>
      <c r="AP503" s="27" t="s">
        <v>7</v>
      </c>
      <c r="AQ503" s="27" t="s">
        <v>8</v>
      </c>
      <c r="AR503" s="27" t="s">
        <v>7</v>
      </c>
      <c r="AS503" s="27" t="s">
        <v>8</v>
      </c>
      <c r="AX503" s="27" t="s">
        <v>7</v>
      </c>
      <c r="AY503" s="27" t="s">
        <v>8</v>
      </c>
      <c r="CS503" s="27" t="s">
        <v>8</v>
      </c>
      <c r="CZ503" s="27" t="s">
        <v>7</v>
      </c>
      <c r="DA503" s="27" t="s">
        <v>8</v>
      </c>
      <c r="DB503" s="27" t="s">
        <v>7</v>
      </c>
      <c r="DC503" s="27" t="s">
        <v>8</v>
      </c>
      <c r="DD503" s="27" t="s">
        <v>7</v>
      </c>
      <c r="DE503" s="27" t="s">
        <v>8</v>
      </c>
      <c r="DF503" s="27" t="s">
        <v>7</v>
      </c>
      <c r="DG503" s="27" t="s">
        <v>8</v>
      </c>
      <c r="DH503" s="27" t="s">
        <v>7</v>
      </c>
      <c r="DI503" s="27" t="s">
        <v>8</v>
      </c>
      <c r="DJ503" s="27" t="s">
        <v>7</v>
      </c>
      <c r="DK503" s="27" t="s">
        <v>8</v>
      </c>
      <c r="DO503" s="27" t="s">
        <v>8</v>
      </c>
      <c r="DP503" s="27" t="s">
        <v>7</v>
      </c>
      <c r="DQ503" s="27" t="s">
        <v>8</v>
      </c>
    </row>
    <row r="504" spans="1:125" x14ac:dyDescent="0.25">
      <c r="A504" s="7">
        <v>5.1738550359627435</v>
      </c>
      <c r="B504"/>
      <c r="C504"/>
      <c r="D504"/>
      <c r="E504" t="s">
        <v>8</v>
      </c>
      <c r="AP504" s="27" t="s">
        <v>7</v>
      </c>
      <c r="AQ504" s="27" t="s">
        <v>8</v>
      </c>
      <c r="AR504" s="27" t="s">
        <v>7</v>
      </c>
      <c r="AS504" s="27" t="s">
        <v>8</v>
      </c>
      <c r="AX504" s="27" t="s">
        <v>7</v>
      </c>
      <c r="AY504" s="27" t="s">
        <v>8</v>
      </c>
      <c r="AZ504" s="27" t="s">
        <v>7</v>
      </c>
      <c r="CS504" s="27" t="s">
        <v>8</v>
      </c>
      <c r="CZ504" s="27" t="s">
        <v>7</v>
      </c>
      <c r="DA504" s="27" t="s">
        <v>8</v>
      </c>
      <c r="DB504" s="27" t="s">
        <v>7</v>
      </c>
      <c r="DC504" s="27" t="s">
        <v>8</v>
      </c>
      <c r="DD504" s="27" t="s">
        <v>7</v>
      </c>
      <c r="DE504" s="27" t="s">
        <v>8</v>
      </c>
      <c r="DF504" s="27" t="s">
        <v>7</v>
      </c>
      <c r="DG504" s="27" t="s">
        <v>8</v>
      </c>
      <c r="DH504" s="27" t="s">
        <v>7</v>
      </c>
      <c r="DI504" s="27" t="s">
        <v>8</v>
      </c>
      <c r="DJ504" s="27" t="s">
        <v>7</v>
      </c>
      <c r="DK504" s="27" t="s">
        <v>8</v>
      </c>
      <c r="DL504" s="27" t="s">
        <v>7</v>
      </c>
      <c r="DO504" s="27" t="s">
        <v>8</v>
      </c>
      <c r="DP504" s="27" t="s">
        <v>7</v>
      </c>
      <c r="DQ504" s="27" t="s">
        <v>8</v>
      </c>
    </row>
    <row r="505" spans="1:125" x14ac:dyDescent="0.25">
      <c r="A505" s="7">
        <v>5.07240689800269</v>
      </c>
      <c r="B505"/>
      <c r="C505"/>
      <c r="D505"/>
      <c r="E505" t="s">
        <v>8</v>
      </c>
      <c r="AP505" s="27" t="s">
        <v>7</v>
      </c>
      <c r="AQ505" s="27" t="s">
        <v>8</v>
      </c>
      <c r="AR505" s="27" t="s">
        <v>7</v>
      </c>
      <c r="AS505" s="27" t="s">
        <v>8</v>
      </c>
      <c r="AX505" s="27" t="s">
        <v>7</v>
      </c>
      <c r="AY505" s="27" t="s">
        <v>8</v>
      </c>
      <c r="AZ505" s="27" t="s">
        <v>7</v>
      </c>
      <c r="CS505" s="27" t="s">
        <v>8</v>
      </c>
      <c r="CZ505" s="27" t="s">
        <v>7</v>
      </c>
      <c r="DB505" s="27" t="s">
        <v>7</v>
      </c>
      <c r="DC505" s="27" t="s">
        <v>8</v>
      </c>
      <c r="DD505" s="27" t="s">
        <v>7</v>
      </c>
      <c r="DF505" s="27" t="s">
        <v>7</v>
      </c>
      <c r="DG505" s="27" t="s">
        <v>8</v>
      </c>
      <c r="DH505" s="27" t="s">
        <v>7</v>
      </c>
      <c r="DI505" s="27" t="s">
        <v>8</v>
      </c>
      <c r="DJ505" s="27" t="s">
        <v>7</v>
      </c>
      <c r="DK505" s="27" t="s">
        <v>8</v>
      </c>
      <c r="DL505" s="27" t="s">
        <v>7</v>
      </c>
      <c r="DO505" s="27" t="s">
        <v>8</v>
      </c>
      <c r="DP505" s="27" t="s">
        <v>7</v>
      </c>
      <c r="DQ505" s="27" t="s">
        <v>8</v>
      </c>
    </row>
    <row r="506" spans="1:125" x14ac:dyDescent="0.25">
      <c r="A506" s="7">
        <v>4.9729479392183231</v>
      </c>
      <c r="B506"/>
      <c r="C506"/>
      <c r="D506"/>
      <c r="E506" t="s">
        <v>8</v>
      </c>
      <c r="AP506" s="27" t="s">
        <v>7</v>
      </c>
      <c r="AQ506" s="27" t="s">
        <v>8</v>
      </c>
      <c r="AR506" s="27" t="s">
        <v>7</v>
      </c>
      <c r="AS506" s="27" t="s">
        <v>8</v>
      </c>
      <c r="AX506" s="27" t="s">
        <v>7</v>
      </c>
      <c r="AY506" s="27" t="s">
        <v>8</v>
      </c>
      <c r="AZ506" s="27" t="s">
        <v>7</v>
      </c>
      <c r="CS506" s="27" t="s">
        <v>8</v>
      </c>
      <c r="DB506" s="27" t="s">
        <v>7</v>
      </c>
      <c r="DF506" s="27" t="s">
        <v>7</v>
      </c>
      <c r="DH506" s="27" t="s">
        <v>7</v>
      </c>
      <c r="DI506" s="27" t="s">
        <v>8</v>
      </c>
      <c r="DJ506" s="27" t="s">
        <v>7</v>
      </c>
      <c r="DK506" s="27" t="s">
        <v>8</v>
      </c>
      <c r="DL506" s="27" t="s">
        <v>7</v>
      </c>
      <c r="DO506" s="27" t="s">
        <v>8</v>
      </c>
      <c r="DP506" s="27" t="s">
        <v>7</v>
      </c>
    </row>
    <row r="507" spans="1:125" x14ac:dyDescent="0.25">
      <c r="A507" s="7">
        <v>4.8754391560963954</v>
      </c>
      <c r="B507"/>
      <c r="C507"/>
      <c r="D507"/>
      <c r="E507" t="s">
        <v>8</v>
      </c>
      <c r="AP507" s="27" t="s">
        <v>7</v>
      </c>
      <c r="AQ507" s="27" t="s">
        <v>8</v>
      </c>
      <c r="AR507" s="27" t="s">
        <v>7</v>
      </c>
      <c r="AS507" s="27" t="s">
        <v>8</v>
      </c>
      <c r="AX507" s="27" t="s">
        <v>7</v>
      </c>
      <c r="AY507" s="27" t="s">
        <v>8</v>
      </c>
      <c r="AZ507" s="27" t="s">
        <v>7</v>
      </c>
      <c r="CS507" s="27" t="s">
        <v>8</v>
      </c>
      <c r="DH507" s="27" t="s">
        <v>7</v>
      </c>
      <c r="DI507" s="27" t="s">
        <v>8</v>
      </c>
      <c r="DJ507" s="27" t="s">
        <v>7</v>
      </c>
      <c r="DK507" s="27" t="s">
        <v>8</v>
      </c>
      <c r="DL507" s="27" t="s">
        <v>7</v>
      </c>
      <c r="DO507" s="27" t="s">
        <v>8</v>
      </c>
    </row>
    <row r="508" spans="1:125" x14ac:dyDescent="0.25">
      <c r="A508" s="7">
        <v>4.7798423098984264</v>
      </c>
      <c r="B508"/>
      <c r="C508"/>
      <c r="D508"/>
      <c r="E508" t="s">
        <v>8</v>
      </c>
      <c r="AP508" s="27" t="s">
        <v>7</v>
      </c>
      <c r="AQ508" s="27" t="s">
        <v>8</v>
      </c>
      <c r="AR508" s="27" t="s">
        <v>7</v>
      </c>
      <c r="AS508" s="27" t="s">
        <v>8</v>
      </c>
      <c r="AX508" s="27" t="s">
        <v>7</v>
      </c>
      <c r="AY508" s="27" t="s">
        <v>8</v>
      </c>
      <c r="AZ508" s="27" t="s">
        <v>7</v>
      </c>
      <c r="CS508" s="27" t="s">
        <v>8</v>
      </c>
      <c r="DH508" s="27" t="s">
        <v>7</v>
      </c>
      <c r="DI508" s="27" t="s">
        <v>8</v>
      </c>
      <c r="DJ508" s="27" t="s">
        <v>7</v>
      </c>
      <c r="DK508" s="27" t="s">
        <v>8</v>
      </c>
      <c r="DL508" s="27" t="s">
        <v>7</v>
      </c>
      <c r="DO508" s="27" t="s">
        <v>8</v>
      </c>
    </row>
    <row r="509" spans="1:125" x14ac:dyDescent="0.25">
      <c r="A509" s="7">
        <v>4.6861199116651235</v>
      </c>
      <c r="B509"/>
      <c r="C509"/>
      <c r="D509"/>
      <c r="E509" t="s">
        <v>8</v>
      </c>
      <c r="AP509" s="27" t="s">
        <v>7</v>
      </c>
      <c r="AR509" s="27" t="s">
        <v>7</v>
      </c>
      <c r="AS509" s="27" t="s">
        <v>8</v>
      </c>
      <c r="AX509" s="27" t="s">
        <v>7</v>
      </c>
      <c r="AZ509" s="27" t="s">
        <v>7</v>
      </c>
      <c r="CS509" s="27" t="s">
        <v>8</v>
      </c>
      <c r="DH509" s="27" t="s">
        <v>7</v>
      </c>
      <c r="DI509" s="27" t="s">
        <v>8</v>
      </c>
      <c r="DJ509" s="27" t="s">
        <v>7</v>
      </c>
      <c r="DK509" s="27" t="s">
        <v>8</v>
      </c>
      <c r="DL509" s="27" t="s">
        <v>7</v>
      </c>
      <c r="DM509" s="27" t="s">
        <v>8</v>
      </c>
      <c r="DO509" s="27" t="s">
        <v>8</v>
      </c>
    </row>
    <row r="510" spans="1:125" x14ac:dyDescent="0.25">
      <c r="A510" s="7">
        <v>4.5942352075148269</v>
      </c>
      <c r="B510"/>
      <c r="C510"/>
      <c r="D510"/>
      <c r="E510" t="s">
        <v>8</v>
      </c>
      <c r="AR510" s="27" t="s">
        <v>7</v>
      </c>
      <c r="AS510" s="27" t="s">
        <v>8</v>
      </c>
      <c r="AZ510" s="27" t="s">
        <v>7</v>
      </c>
      <c r="CS510" s="27" t="s">
        <v>8</v>
      </c>
      <c r="DH510" s="27" t="s">
        <v>7</v>
      </c>
      <c r="DI510" s="27" t="s">
        <v>8</v>
      </c>
      <c r="DJ510" s="27" t="s">
        <v>7</v>
      </c>
      <c r="DL510" s="27" t="s">
        <v>7</v>
      </c>
      <c r="DM510" s="27" t="s">
        <v>8</v>
      </c>
      <c r="DN510" s="27" t="s">
        <v>7</v>
      </c>
      <c r="DO510" s="27" t="s">
        <v>8</v>
      </c>
    </row>
    <row r="511" spans="1:125" x14ac:dyDescent="0.25">
      <c r="A511" s="7">
        <v>4.5041521642302227</v>
      </c>
      <c r="B511"/>
      <c r="C511"/>
      <c r="D511"/>
      <c r="E511" t="s">
        <v>8</v>
      </c>
      <c r="AR511" s="27" t="s">
        <v>7</v>
      </c>
      <c r="AZ511" s="27" t="s">
        <v>7</v>
      </c>
      <c r="CS511" s="27" t="s">
        <v>8</v>
      </c>
      <c r="DH511" s="27" t="s">
        <v>7</v>
      </c>
      <c r="DI511" s="27" t="s">
        <v>8</v>
      </c>
      <c r="DL511" s="27" t="s">
        <v>7</v>
      </c>
      <c r="DM511" s="27" t="s">
        <v>8</v>
      </c>
      <c r="DN511" s="27" t="s">
        <v>7</v>
      </c>
      <c r="DO511" s="27" t="s">
        <v>8</v>
      </c>
    </row>
    <row r="512" spans="1:125" x14ac:dyDescent="0.25">
      <c r="A512" s="7">
        <v>4.4158354551276693</v>
      </c>
      <c r="B512"/>
      <c r="C512"/>
      <c r="D512"/>
      <c r="E512" t="s">
        <v>8</v>
      </c>
      <c r="AZ512" s="27" t="s">
        <v>7</v>
      </c>
      <c r="CO512" s="27" t="s">
        <v>8</v>
      </c>
      <c r="CS512" s="27" t="s">
        <v>8</v>
      </c>
      <c r="DH512" s="27" t="s">
        <v>7</v>
      </c>
      <c r="DL512" s="27" t="s">
        <v>7</v>
      </c>
      <c r="DM512" s="27" t="s">
        <v>8</v>
      </c>
      <c r="DN512" s="27" t="s">
        <v>7</v>
      </c>
    </row>
    <row r="513" spans="1:116" x14ac:dyDescent="0.25">
      <c r="A513" s="7">
        <v>4.3292504462035977</v>
      </c>
      <c r="B513"/>
      <c r="C513"/>
      <c r="D513"/>
      <c r="E513" t="s">
        <v>8</v>
      </c>
      <c r="AZ513" s="27" t="s">
        <v>7</v>
      </c>
      <c r="CO513" s="27" t="s">
        <v>8</v>
      </c>
      <c r="CP513" s="27" t="s">
        <v>7</v>
      </c>
      <c r="CS513" s="27" t="s">
        <v>8</v>
      </c>
      <c r="DL513" s="27" t="s">
        <v>7</v>
      </c>
    </row>
    <row r="514" spans="1:116" x14ac:dyDescent="0.25">
      <c r="A514" s="7">
        <v>4.2443631825525463</v>
      </c>
      <c r="B514"/>
      <c r="C514"/>
      <c r="D514"/>
      <c r="E514" t="s">
        <v>8</v>
      </c>
      <c r="AZ514" s="27" t="s">
        <v>7</v>
      </c>
      <c r="CO514" s="27" t="s">
        <v>8</v>
      </c>
      <c r="CP514" s="27" t="s">
        <v>7</v>
      </c>
      <c r="CS514" s="27" t="s">
        <v>8</v>
      </c>
    </row>
    <row r="515" spans="1:116" x14ac:dyDescent="0.25">
      <c r="A515" s="7">
        <v>4.1611403750515157</v>
      </c>
      <c r="B515"/>
      <c r="C515"/>
      <c r="D515"/>
      <c r="E515" t="s">
        <v>8</v>
      </c>
      <c r="AZ515" s="27" t="s">
        <v>7</v>
      </c>
      <c r="CO515" s="27" t="s">
        <v>8</v>
      </c>
      <c r="CP515" s="27" t="s">
        <v>7</v>
      </c>
      <c r="CS515" s="27" t="s">
        <v>8</v>
      </c>
    </row>
    <row r="516" spans="1:116" x14ac:dyDescent="0.25">
      <c r="A516" s="7">
        <v>4.0795493873054074</v>
      </c>
      <c r="B516"/>
      <c r="C516"/>
      <c r="D516"/>
      <c r="E516" t="s">
        <v>8</v>
      </c>
      <c r="AZ516" s="27" t="s">
        <v>7</v>
      </c>
      <c r="CO516" s="27" t="s">
        <v>8</v>
      </c>
      <c r="CP516" s="27" t="s">
        <v>7</v>
      </c>
      <c r="CQ516" s="27" t="s">
        <v>8</v>
      </c>
      <c r="CS516" s="27" t="s">
        <v>8</v>
      </c>
    </row>
    <row r="517" spans="1:116" x14ac:dyDescent="0.25">
      <c r="A517" s="7">
        <v>3.9995582228484383</v>
      </c>
      <c r="B517"/>
      <c r="C517"/>
      <c r="D517"/>
      <c r="E517" t="s">
        <v>8</v>
      </c>
      <c r="AZ517" s="27" t="s">
        <v>7</v>
      </c>
      <c r="CO517" s="27" t="s">
        <v>8</v>
      </c>
      <c r="CP517" s="27" t="s">
        <v>7</v>
      </c>
      <c r="CQ517" s="27" t="s">
        <v>8</v>
      </c>
      <c r="CR517" s="27" t="s">
        <v>7</v>
      </c>
      <c r="CS517" s="27" t="s">
        <v>8</v>
      </c>
    </row>
    <row r="518" spans="1:116" x14ac:dyDescent="0.25">
      <c r="A518" s="7">
        <v>3.9211355125965079</v>
      </c>
      <c r="B518"/>
      <c r="C518"/>
      <c r="D518"/>
      <c r="E518" t="s">
        <v>8</v>
      </c>
      <c r="AZ518" s="27" t="s">
        <v>7</v>
      </c>
      <c r="CO518" s="27" t="s">
        <v>8</v>
      </c>
      <c r="CP518" s="27" t="s">
        <v>7</v>
      </c>
      <c r="CQ518" s="27" t="s">
        <v>8</v>
      </c>
      <c r="CR518" s="27" t="s">
        <v>7</v>
      </c>
      <c r="CS518" s="27" t="s">
        <v>8</v>
      </c>
    </row>
    <row r="519" spans="1:116" x14ac:dyDescent="0.25">
      <c r="A519" s="7">
        <v>3.844250502545596</v>
      </c>
      <c r="B519"/>
      <c r="C519"/>
      <c r="D519"/>
      <c r="E519" t="s">
        <v>8</v>
      </c>
      <c r="AZ519" s="27" t="s">
        <v>7</v>
      </c>
      <c r="CO519" s="27" t="s">
        <v>8</v>
      </c>
      <c r="CP519" s="27" t="s">
        <v>7</v>
      </c>
      <c r="CQ519" s="27" t="s">
        <v>8</v>
      </c>
      <c r="CR519" s="27" t="s">
        <v>7</v>
      </c>
      <c r="CS519" s="27" t="s">
        <v>8</v>
      </c>
    </row>
    <row r="520" spans="1:116" x14ac:dyDescent="0.25">
      <c r="A520" s="7">
        <v>3.7688730417113687</v>
      </c>
      <c r="B520"/>
      <c r="C520"/>
      <c r="D520"/>
      <c r="E520" t="s">
        <v>8</v>
      </c>
      <c r="AZ520" s="27" t="s">
        <v>7</v>
      </c>
      <c r="CO520" s="27" t="s">
        <v>8</v>
      </c>
      <c r="CP520" s="27" t="s">
        <v>7</v>
      </c>
      <c r="CQ520" s="27" t="s">
        <v>8</v>
      </c>
      <c r="CR520" s="27" t="s">
        <v>7</v>
      </c>
      <c r="CS520" s="27" t="s">
        <v>8</v>
      </c>
    </row>
    <row r="521" spans="1:116" x14ac:dyDescent="0.25">
      <c r="A521" s="7">
        <v>3.6949735703052635</v>
      </c>
      <c r="B521"/>
      <c r="C521"/>
      <c r="D521"/>
      <c r="E521" t="s">
        <v>8</v>
      </c>
      <c r="AZ521" s="27" t="s">
        <v>7</v>
      </c>
      <c r="CG521" s="27" t="s">
        <v>8</v>
      </c>
      <c r="CO521" s="27" t="s">
        <v>8</v>
      </c>
      <c r="CP521" s="27" t="s">
        <v>7</v>
      </c>
      <c r="CR521" s="27" t="s">
        <v>7</v>
      </c>
    </row>
    <row r="522" spans="1:116" x14ac:dyDescent="0.25">
      <c r="A522" s="7">
        <v>3.6225231081424152</v>
      </c>
      <c r="B522"/>
      <c r="C522"/>
      <c r="D522"/>
      <c r="E522" t="s">
        <v>8</v>
      </c>
      <c r="AZ522" s="27" t="s">
        <v>7</v>
      </c>
      <c r="CC522" s="27" t="s">
        <v>8</v>
      </c>
      <c r="CG522" s="27" t="s">
        <v>8</v>
      </c>
      <c r="CH522" s="27" t="s">
        <v>7</v>
      </c>
      <c r="CO522" s="27" t="s">
        <v>8</v>
      </c>
    </row>
    <row r="523" spans="1:116" x14ac:dyDescent="0.25">
      <c r="A523" s="7">
        <v>3.5514932432768775</v>
      </c>
      <c r="B523"/>
      <c r="C523"/>
      <c r="D523"/>
      <c r="E523" t="s">
        <v>8</v>
      </c>
      <c r="AZ523" s="27" t="s">
        <v>7</v>
      </c>
      <c r="CC523" s="27" t="s">
        <v>8</v>
      </c>
      <c r="CD523" s="27" t="s">
        <v>7</v>
      </c>
      <c r="CE523" s="27" t="s">
        <v>8</v>
      </c>
      <c r="CG523" s="27" t="s">
        <v>8</v>
      </c>
      <c r="CH523" s="27" t="s">
        <v>7</v>
      </c>
      <c r="CO523" s="27" t="s">
        <v>8</v>
      </c>
    </row>
    <row r="524" spans="1:116" x14ac:dyDescent="0.25">
      <c r="A524" s="7">
        <v>3.4818561208596837</v>
      </c>
      <c r="B524"/>
      <c r="C524"/>
      <c r="D524"/>
      <c r="E524" t="s">
        <v>8</v>
      </c>
      <c r="AZ524" s="27" t="s">
        <v>7</v>
      </c>
      <c r="CC524" s="27" t="s">
        <v>8</v>
      </c>
      <c r="CD524" s="27" t="s">
        <v>7</v>
      </c>
      <c r="CE524" s="27" t="s">
        <v>8</v>
      </c>
      <c r="CF524" s="27" t="s">
        <v>7</v>
      </c>
      <c r="CG524" s="27" t="s">
        <v>8</v>
      </c>
      <c r="CH524" s="27" t="s">
        <v>7</v>
      </c>
      <c r="CI524" s="27" t="s">
        <v>8</v>
      </c>
      <c r="CO524" s="27" t="s">
        <v>8</v>
      </c>
    </row>
    <row r="525" spans="1:116" x14ac:dyDescent="0.25">
      <c r="A525" s="7">
        <v>3.4135844322153761</v>
      </c>
      <c r="B525"/>
      <c r="C525"/>
      <c r="D525"/>
      <c r="E525" t="s">
        <v>8</v>
      </c>
      <c r="AZ525" s="27" t="s">
        <v>7</v>
      </c>
      <c r="BA525" s="27" t="s">
        <v>8</v>
      </c>
      <c r="CA525" s="27" t="s">
        <v>8</v>
      </c>
      <c r="CC525" s="27" t="s">
        <v>8</v>
      </c>
      <c r="CD525" s="27" t="s">
        <v>7</v>
      </c>
      <c r="CE525" s="27" t="s">
        <v>8</v>
      </c>
      <c r="CF525" s="27" t="s">
        <v>7</v>
      </c>
      <c r="CG525" s="27" t="s">
        <v>8</v>
      </c>
      <c r="CH525" s="27" t="s">
        <v>7</v>
      </c>
      <c r="CI525" s="27" t="s">
        <v>8</v>
      </c>
      <c r="CJ525" s="27" t="s">
        <v>7</v>
      </c>
      <c r="CK525" s="27" t="s">
        <v>8</v>
      </c>
      <c r="CM525" s="27" t="s">
        <v>8</v>
      </c>
      <c r="CO525" s="27" t="s">
        <v>8</v>
      </c>
    </row>
    <row r="526" spans="1:116" x14ac:dyDescent="0.25">
      <c r="A526" s="7">
        <v>3.3466514041327216</v>
      </c>
      <c r="B526"/>
      <c r="C526"/>
      <c r="D526"/>
      <c r="E526" t="s">
        <v>8</v>
      </c>
      <c r="AZ526" s="27" t="s">
        <v>7</v>
      </c>
      <c r="BA526" s="27" t="s">
        <v>8</v>
      </c>
      <c r="BB526" s="27" t="s">
        <v>7</v>
      </c>
      <c r="CA526" s="27" t="s">
        <v>8</v>
      </c>
      <c r="CB526" s="27" t="s">
        <v>7</v>
      </c>
      <c r="CC526" s="27" t="s">
        <v>8</v>
      </c>
      <c r="CD526" s="27" t="s">
        <v>7</v>
      </c>
      <c r="CE526" s="27" t="s">
        <v>8</v>
      </c>
      <c r="CF526" s="27" t="s">
        <v>7</v>
      </c>
      <c r="CG526" s="18" t="s">
        <v>8</v>
      </c>
      <c r="CH526" s="27" t="s">
        <v>7</v>
      </c>
      <c r="CI526" s="27" t="s">
        <v>8</v>
      </c>
      <c r="CJ526" s="27" t="s">
        <v>7</v>
      </c>
      <c r="CK526" s="27" t="s">
        <v>8</v>
      </c>
      <c r="CL526" s="27" t="s">
        <v>7</v>
      </c>
      <c r="CM526" s="27" t="s">
        <v>8</v>
      </c>
      <c r="CN526" s="27" t="s">
        <v>7</v>
      </c>
      <c r="CO526" s="27" t="s">
        <v>8</v>
      </c>
    </row>
    <row r="527" spans="1:116" x14ac:dyDescent="0.25">
      <c r="A527" s="7">
        <v>3.2810307883654133</v>
      </c>
      <c r="B527"/>
      <c r="C527"/>
      <c r="D527"/>
      <c r="E527" t="s">
        <v>8</v>
      </c>
      <c r="AZ527" s="27" t="s">
        <v>7</v>
      </c>
      <c r="BA527" s="27" t="s">
        <v>8</v>
      </c>
      <c r="BB527" s="27" t="s">
        <v>7</v>
      </c>
      <c r="CA527" s="27" t="s">
        <v>8</v>
      </c>
      <c r="CB527" s="27" t="s">
        <v>7</v>
      </c>
      <c r="CC527" s="27" t="s">
        <v>8</v>
      </c>
      <c r="CD527" s="27" t="s">
        <v>7</v>
      </c>
      <c r="CE527" s="27" t="s">
        <v>8</v>
      </c>
      <c r="CF527" s="27" t="s">
        <v>7</v>
      </c>
      <c r="CG527" s="27" t="s">
        <v>8</v>
      </c>
      <c r="CH527" s="27" t="s">
        <v>7</v>
      </c>
      <c r="CI527" s="27" t="s">
        <v>8</v>
      </c>
      <c r="CJ527" s="27" t="s">
        <v>7</v>
      </c>
      <c r="CK527" s="27" t="s">
        <v>8</v>
      </c>
      <c r="CL527" s="27" t="s">
        <v>7</v>
      </c>
      <c r="CM527" s="27" t="s">
        <v>8</v>
      </c>
      <c r="CN527" s="27" t="s">
        <v>7</v>
      </c>
      <c r="CO527" s="27" t="s">
        <v>8</v>
      </c>
    </row>
    <row r="528" spans="1:116" x14ac:dyDescent="0.25">
      <c r="A528" s="7">
        <v>3.2166968513386403</v>
      </c>
      <c r="B528"/>
      <c r="C528"/>
      <c r="D528"/>
      <c r="E528" t="s">
        <v>8</v>
      </c>
      <c r="AZ528" s="27" t="s">
        <v>7</v>
      </c>
      <c r="BA528" s="27" t="s">
        <v>8</v>
      </c>
      <c r="BB528" s="27" t="s">
        <v>7</v>
      </c>
      <c r="CA528" s="27" t="s">
        <v>8</v>
      </c>
      <c r="CB528" s="27" t="s">
        <v>7</v>
      </c>
      <c r="CC528" s="27" t="s">
        <v>8</v>
      </c>
      <c r="CD528" s="27" t="s">
        <v>7</v>
      </c>
      <c r="CE528" s="27" t="s">
        <v>8</v>
      </c>
      <c r="CF528" s="27" t="s">
        <v>7</v>
      </c>
      <c r="CG528" s="27" t="s">
        <v>8</v>
      </c>
      <c r="CH528" s="27" t="s">
        <v>7</v>
      </c>
      <c r="CI528" s="27" t="s">
        <v>8</v>
      </c>
      <c r="CJ528" s="27" t="s">
        <v>7</v>
      </c>
      <c r="CK528" s="27" t="s">
        <v>8</v>
      </c>
      <c r="CL528" s="27" t="s">
        <v>7</v>
      </c>
      <c r="CM528" s="27" t="s">
        <v>8</v>
      </c>
      <c r="CN528" s="27" t="s">
        <v>7</v>
      </c>
    </row>
    <row r="529" spans="1:90" x14ac:dyDescent="0.25">
      <c r="A529" s="7">
        <v>3.1536243640574906</v>
      </c>
      <c r="B529"/>
      <c r="C529"/>
      <c r="D529"/>
      <c r="E529" t="s">
        <v>8</v>
      </c>
      <c r="AZ529" s="27" t="s">
        <v>7</v>
      </c>
      <c r="BA529" s="27" t="s">
        <v>8</v>
      </c>
      <c r="BB529" s="27" t="s">
        <v>7</v>
      </c>
      <c r="CA529" s="27" t="s">
        <v>8</v>
      </c>
      <c r="CB529" s="27" t="s">
        <v>7</v>
      </c>
      <c r="CC529" s="27" t="s">
        <v>8</v>
      </c>
      <c r="CD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I529" s="27" t="s">
        <v>8</v>
      </c>
      <c r="CJ529" s="27" t="s">
        <v>7</v>
      </c>
      <c r="CK529" s="27" t="s">
        <v>8</v>
      </c>
      <c r="CL529" s="27" t="s">
        <v>7</v>
      </c>
    </row>
    <row r="530" spans="1:90" x14ac:dyDescent="0.25">
      <c r="A530" s="7">
        <v>3.0917885922132262</v>
      </c>
      <c r="B530"/>
      <c r="C530"/>
      <c r="D530"/>
      <c r="E530" t="s">
        <v>8</v>
      </c>
      <c r="AZ530" s="27" t="s">
        <v>7</v>
      </c>
      <c r="BA530" s="27" t="s">
        <v>8</v>
      </c>
      <c r="BB530" s="27" t="s">
        <v>7</v>
      </c>
      <c r="CA530" s="27" t="s">
        <v>8</v>
      </c>
      <c r="CB530" s="27" t="s">
        <v>7</v>
      </c>
      <c r="CC530" s="27" t="s">
        <v>8</v>
      </c>
      <c r="CD530" s="27" t="s">
        <v>7</v>
      </c>
      <c r="CE530" s="27" t="s">
        <v>8</v>
      </c>
      <c r="CF530" s="27" t="s">
        <v>7</v>
      </c>
      <c r="CG530" s="27" t="s">
        <v>8</v>
      </c>
      <c r="CH530" s="27" t="s">
        <v>7</v>
      </c>
      <c r="CI530" s="27" t="s">
        <v>8</v>
      </c>
      <c r="CJ530" s="27" t="s">
        <v>7</v>
      </c>
      <c r="CK530" s="27" t="s">
        <v>8</v>
      </c>
    </row>
    <row r="531" spans="1:90" x14ac:dyDescent="0.25">
      <c r="A531" s="7">
        <v>3.0311652864835552</v>
      </c>
      <c r="B531"/>
      <c r="C531"/>
      <c r="D531"/>
      <c r="E531" t="s">
        <v>8</v>
      </c>
      <c r="AZ531" s="27" t="s">
        <v>7</v>
      </c>
      <c r="BA531" s="27" t="s">
        <v>8</v>
      </c>
      <c r="BB531" s="27" t="s">
        <v>7</v>
      </c>
      <c r="CA531" s="27" t="s">
        <v>8</v>
      </c>
      <c r="CB531" s="27" t="s">
        <v>7</v>
      </c>
      <c r="CC531" s="27" t="s">
        <v>8</v>
      </c>
      <c r="CD531" s="27" t="s">
        <v>7</v>
      </c>
      <c r="CE531" s="27" t="s">
        <v>8</v>
      </c>
      <c r="CF531" s="27" t="s">
        <v>7</v>
      </c>
      <c r="CG531" s="27" t="s">
        <v>8</v>
      </c>
      <c r="CH531" s="27" t="s">
        <v>7</v>
      </c>
      <c r="CI531" s="27" t="s">
        <v>8</v>
      </c>
      <c r="CJ531" s="27" t="s">
        <v>7</v>
      </c>
      <c r="CK531" s="27" t="s">
        <v>8</v>
      </c>
    </row>
    <row r="532" spans="1:90" x14ac:dyDescent="0.25">
      <c r="A532" s="7">
        <v>2.9717306730230932</v>
      </c>
      <c r="B532"/>
      <c r="C532"/>
      <c r="D532"/>
      <c r="E532" t="s">
        <v>8</v>
      </c>
      <c r="AZ532" s="27" t="s">
        <v>7</v>
      </c>
      <c r="BA532" s="27" t="s">
        <v>8</v>
      </c>
      <c r="BB532" s="27" t="s">
        <v>7</v>
      </c>
      <c r="CA532" s="27" t="s">
        <v>8</v>
      </c>
      <c r="CB532" s="27" t="s">
        <v>7</v>
      </c>
      <c r="CC532" s="27" t="s">
        <v>8</v>
      </c>
      <c r="CD532" s="27" t="s">
        <v>7</v>
      </c>
      <c r="CE532" s="27" t="s">
        <v>8</v>
      </c>
      <c r="CF532" s="27" t="s">
        <v>7</v>
      </c>
      <c r="CH532" s="27" t="s">
        <v>7</v>
      </c>
      <c r="CI532" s="27" t="s">
        <v>8</v>
      </c>
      <c r="CJ532" s="27" t="s">
        <v>7</v>
      </c>
      <c r="CK532" s="27" t="s">
        <v>8</v>
      </c>
    </row>
    <row r="533" spans="1:90" x14ac:dyDescent="0.25">
      <c r="A533" s="7">
        <v>2.9134614441402875</v>
      </c>
      <c r="B533"/>
      <c r="C533"/>
      <c r="D533"/>
      <c r="E533" t="s">
        <v>8</v>
      </c>
      <c r="AZ533" s="27" t="s">
        <v>7</v>
      </c>
      <c r="BA533" s="27" t="s">
        <v>8</v>
      </c>
      <c r="BB533" s="27" t="s">
        <v>7</v>
      </c>
      <c r="CA533" s="27" t="s">
        <v>8</v>
      </c>
      <c r="CB533" s="27" t="s">
        <v>7</v>
      </c>
      <c r="CC533" s="27" t="s">
        <v>8</v>
      </c>
      <c r="CD533" s="27" t="s">
        <v>7</v>
      </c>
      <c r="CE533" s="27" t="s">
        <v>8</v>
      </c>
      <c r="CH533" s="27" t="s">
        <v>7</v>
      </c>
      <c r="CI533" s="27" t="s">
        <v>8</v>
      </c>
      <c r="CJ533" s="27" t="s">
        <v>7</v>
      </c>
    </row>
    <row r="534" spans="1:90" x14ac:dyDescent="0.25">
      <c r="A534" s="7">
        <v>2.8563347491571447</v>
      </c>
      <c r="B534"/>
      <c r="C534"/>
      <c r="D534"/>
      <c r="E534" t="s">
        <v>8</v>
      </c>
      <c r="AZ534" s="27" t="s">
        <v>7</v>
      </c>
      <c r="BA534" s="27" t="s">
        <v>8</v>
      </c>
      <c r="BB534" s="27" t="s">
        <v>7</v>
      </c>
      <c r="CA534" s="27" t="s">
        <v>8</v>
      </c>
      <c r="CB534" s="27" t="s">
        <v>7</v>
      </c>
      <c r="CC534" s="27" t="s">
        <v>8</v>
      </c>
      <c r="CD534" s="27" t="s">
        <v>7</v>
      </c>
      <c r="CE534" s="27" t="s">
        <v>8</v>
      </c>
      <c r="CH534" s="27" t="s">
        <v>7</v>
      </c>
      <c r="CI534" s="27" t="s">
        <v>8</v>
      </c>
    </row>
    <row r="535" spans="1:90" x14ac:dyDescent="0.25">
      <c r="A535" s="7">
        <v>2.8003281854481812</v>
      </c>
      <c r="B535"/>
      <c r="C535"/>
      <c r="D535"/>
      <c r="E535" t="s">
        <v>8</v>
      </c>
      <c r="AZ535" s="27" t="s">
        <v>7</v>
      </c>
      <c r="BA535" s="27" t="s">
        <v>8</v>
      </c>
      <c r="BB535" s="27" t="s">
        <v>7</v>
      </c>
      <c r="BC535" s="27" t="s">
        <v>8</v>
      </c>
      <c r="BM535" s="27" t="s">
        <v>8</v>
      </c>
      <c r="CA535" s="27" t="s">
        <v>8</v>
      </c>
      <c r="CB535" s="27" t="s">
        <v>7</v>
      </c>
      <c r="CC535" s="27" t="s">
        <v>8</v>
      </c>
      <c r="CD535" s="27" t="s">
        <v>7</v>
      </c>
      <c r="CH535" s="27" t="s">
        <v>7</v>
      </c>
    </row>
    <row r="536" spans="1:90" x14ac:dyDescent="0.25">
      <c r="A536" s="7">
        <v>2.7454197896550796</v>
      </c>
      <c r="B536"/>
      <c r="C536"/>
      <c r="D536"/>
      <c r="E536" t="s">
        <v>8</v>
      </c>
      <c r="AZ536" s="27" t="s">
        <v>7</v>
      </c>
      <c r="BA536" s="27" t="s">
        <v>8</v>
      </c>
      <c r="BB536" s="27" t="s">
        <v>7</v>
      </c>
      <c r="BC536" s="27" t="s">
        <v>8</v>
      </c>
      <c r="BD536" s="27" t="s">
        <v>7</v>
      </c>
      <c r="BI536" s="27" t="s">
        <v>8</v>
      </c>
      <c r="BK536" s="27" t="s">
        <v>8</v>
      </c>
      <c r="BM536" s="27" t="s">
        <v>8</v>
      </c>
      <c r="BN536" s="27" t="s">
        <v>7</v>
      </c>
      <c r="BO536" s="27" t="s">
        <v>8</v>
      </c>
      <c r="CA536" s="27" t="s">
        <v>8</v>
      </c>
      <c r="CB536" s="27" t="s">
        <v>7</v>
      </c>
      <c r="CC536" s="27" t="s">
        <v>8</v>
      </c>
    </row>
    <row r="537" spans="1:90" x14ac:dyDescent="0.25">
      <c r="A537" s="7">
        <v>2.6915880290736074</v>
      </c>
      <c r="B537"/>
      <c r="C537"/>
      <c r="D537"/>
      <c r="E537" t="s">
        <v>8</v>
      </c>
      <c r="AZ537" s="27" t="s">
        <v>7</v>
      </c>
      <c r="BA537" s="27" t="s">
        <v>8</v>
      </c>
      <c r="BB537" s="27" t="s">
        <v>7</v>
      </c>
      <c r="BC537" s="27" t="s">
        <v>8</v>
      </c>
      <c r="BD537" s="27" t="s">
        <v>7</v>
      </c>
      <c r="BI537" s="27" t="s">
        <v>8</v>
      </c>
      <c r="BJ537" s="27" t="s">
        <v>7</v>
      </c>
      <c r="BK537" s="27" t="s">
        <v>8</v>
      </c>
      <c r="BL537" s="27" t="s">
        <v>7</v>
      </c>
      <c r="BM537" s="27" t="s">
        <v>8</v>
      </c>
      <c r="BN537" s="27" t="s">
        <v>7</v>
      </c>
      <c r="BO537" s="27" t="s">
        <v>8</v>
      </c>
      <c r="BP537" s="27" t="s">
        <v>7</v>
      </c>
      <c r="CA537" s="27" t="s">
        <v>8</v>
      </c>
      <c r="CB537" s="27" t="s">
        <v>7</v>
      </c>
      <c r="CC537" s="27" t="s">
        <v>8</v>
      </c>
    </row>
    <row r="538" spans="1:90" x14ac:dyDescent="0.25">
      <c r="A538" s="7">
        <v>2.6388117932094191</v>
      </c>
      <c r="B538"/>
      <c r="C538"/>
      <c r="D538"/>
      <c r="E538" t="s">
        <v>8</v>
      </c>
      <c r="AZ538" s="27" t="s">
        <v>7</v>
      </c>
      <c r="BA538" s="27" t="s">
        <v>8</v>
      </c>
      <c r="BB538" s="27" t="s">
        <v>7</v>
      </c>
      <c r="BC538" s="27" t="s">
        <v>8</v>
      </c>
      <c r="BD538" s="27" t="s">
        <v>7</v>
      </c>
      <c r="BG538" s="27" t="s">
        <v>8</v>
      </c>
      <c r="BI538" s="27" t="s">
        <v>8</v>
      </c>
      <c r="BJ538" s="27" t="s">
        <v>7</v>
      </c>
      <c r="BK538" s="27" t="s">
        <v>8</v>
      </c>
      <c r="BL538" s="27" t="s">
        <v>7</v>
      </c>
      <c r="BM538" s="27" t="s">
        <v>8</v>
      </c>
      <c r="BN538" s="27" t="s">
        <v>7</v>
      </c>
      <c r="BO538" s="27" t="s">
        <v>8</v>
      </c>
      <c r="BP538" s="27" t="s">
        <v>7</v>
      </c>
      <c r="CA538" s="27" t="s">
        <v>8</v>
      </c>
      <c r="CB538" s="27" t="s">
        <v>7</v>
      </c>
      <c r="CC538" s="27" t="s">
        <v>8</v>
      </c>
    </row>
    <row r="539" spans="1:90" x14ac:dyDescent="0.25">
      <c r="A539" s="7">
        <v>2.5870703854994304</v>
      </c>
      <c r="B539"/>
      <c r="C539"/>
      <c r="D539"/>
      <c r="E539" t="s">
        <v>8</v>
      </c>
      <c r="AZ539" s="27" t="s">
        <v>7</v>
      </c>
      <c r="BA539" s="27" t="s">
        <v>8</v>
      </c>
      <c r="BB539" s="27" t="s">
        <v>7</v>
      </c>
      <c r="BD539" s="27" t="s">
        <v>7</v>
      </c>
      <c r="BG539" s="27" t="s">
        <v>8</v>
      </c>
      <c r="BH539" s="27" t="s">
        <v>7</v>
      </c>
      <c r="BI539" s="27" t="s">
        <v>8</v>
      </c>
      <c r="BJ539" s="27" t="s">
        <v>7</v>
      </c>
      <c r="BK539" s="27" t="s">
        <v>8</v>
      </c>
      <c r="BL539" s="27" t="s">
        <v>7</v>
      </c>
      <c r="BM539" s="27" t="s">
        <v>8</v>
      </c>
      <c r="BN539" s="27" t="s">
        <v>7</v>
      </c>
      <c r="BO539" s="27" t="s">
        <v>8</v>
      </c>
      <c r="BP539" s="27" t="s">
        <v>7</v>
      </c>
      <c r="CA539" s="27" t="s">
        <v>8</v>
      </c>
      <c r="CB539" s="27" t="s">
        <v>7</v>
      </c>
    </row>
    <row r="540" spans="1:90" x14ac:dyDescent="0.25">
      <c r="A540" s="7">
        <v>2.53634351519552</v>
      </c>
      <c r="B540"/>
      <c r="C540"/>
      <c r="D540"/>
      <c r="E540" t="s">
        <v>8</v>
      </c>
      <c r="AZ540" s="27" t="s">
        <v>7</v>
      </c>
      <c r="BA540" s="27" t="s">
        <v>8</v>
      </c>
      <c r="BD540" s="27" t="s">
        <v>7</v>
      </c>
      <c r="BG540" s="27" t="s">
        <v>8</v>
      </c>
      <c r="BH540" s="27" t="s">
        <v>7</v>
      </c>
      <c r="BI540" s="27" t="s">
        <v>8</v>
      </c>
      <c r="BJ540" s="27" t="s">
        <v>7</v>
      </c>
      <c r="BK540" s="27" t="s">
        <v>8</v>
      </c>
      <c r="BL540" s="27" t="s">
        <v>7</v>
      </c>
      <c r="BN540" s="27" t="s">
        <v>7</v>
      </c>
      <c r="BP540" s="27" t="s">
        <v>7</v>
      </c>
      <c r="CA540" s="27" t="s">
        <v>8</v>
      </c>
    </row>
    <row r="541" spans="1:90" x14ac:dyDescent="0.25">
      <c r="A541" s="7">
        <v>2.4866112894073726</v>
      </c>
      <c r="B541"/>
      <c r="C541"/>
      <c r="D541"/>
      <c r="E541" t="s">
        <v>8</v>
      </c>
      <c r="AZ541" s="27" t="s">
        <v>7</v>
      </c>
      <c r="BA541" s="27" t="s">
        <v>8</v>
      </c>
      <c r="BD541" s="27" t="s">
        <v>7</v>
      </c>
      <c r="BG541" s="27" t="s">
        <v>8</v>
      </c>
      <c r="BH541" s="27" t="s">
        <v>7</v>
      </c>
      <c r="BI541" s="27" t="s">
        <v>8</v>
      </c>
      <c r="BJ541" s="27" t="s">
        <v>7</v>
      </c>
      <c r="BP541" s="27" t="s">
        <v>7</v>
      </c>
      <c r="CA541" s="27" t="s">
        <v>8</v>
      </c>
    </row>
    <row r="542" spans="1:90" x14ac:dyDescent="0.25">
      <c r="A542" s="7">
        <v>2.4378542053013459</v>
      </c>
      <c r="B542"/>
      <c r="C542"/>
      <c r="D542"/>
      <c r="E542" t="s">
        <v>8</v>
      </c>
      <c r="AZ542" s="27" t="s">
        <v>7</v>
      </c>
      <c r="BA542" s="27" t="s">
        <v>8</v>
      </c>
      <c r="BD542" s="27" t="s">
        <v>7</v>
      </c>
      <c r="BG542" s="27" t="s">
        <v>8</v>
      </c>
      <c r="BH542" s="27" t="s">
        <v>7</v>
      </c>
      <c r="BI542" s="27" t="s">
        <v>8</v>
      </c>
      <c r="BP542" s="27" t="s">
        <v>7</v>
      </c>
      <c r="CA542" s="27" t="s">
        <v>8</v>
      </c>
    </row>
    <row r="543" spans="1:90" x14ac:dyDescent="0.25">
      <c r="A543" s="7">
        <v>2.3900531424522997</v>
      </c>
      <c r="B543"/>
      <c r="C543"/>
      <c r="D543"/>
      <c r="E543" t="s">
        <v>8</v>
      </c>
      <c r="AZ543" s="27" t="s">
        <v>7</v>
      </c>
      <c r="BA543" s="27" t="s">
        <v>8</v>
      </c>
      <c r="BD543" s="27" t="s">
        <v>7</v>
      </c>
      <c r="BG543" s="27" t="s">
        <v>8</v>
      </c>
      <c r="BH543" s="27" t="s">
        <v>7</v>
      </c>
      <c r="BI543" s="27" t="s">
        <v>8</v>
      </c>
      <c r="BP543" s="27" t="s">
        <v>7</v>
      </c>
      <c r="CA543" s="27" t="s">
        <v>8</v>
      </c>
    </row>
    <row r="544" spans="1:90" x14ac:dyDescent="0.25">
      <c r="A544" s="7">
        <v>2.343189355345392</v>
      </c>
      <c r="B544"/>
      <c r="C544"/>
      <c r="D544"/>
      <c r="E544" t="s">
        <v>8</v>
      </c>
      <c r="AZ544" s="27" t="s">
        <v>7</v>
      </c>
      <c r="BA544" s="27" t="s">
        <v>8</v>
      </c>
      <c r="BD544" s="27" t="s">
        <v>7</v>
      </c>
      <c r="BE544" s="27" t="s">
        <v>8</v>
      </c>
      <c r="BG544" s="27" t="s">
        <v>8</v>
      </c>
      <c r="BH544" s="27" t="s">
        <v>7</v>
      </c>
      <c r="BI544" s="27" t="s">
        <v>8</v>
      </c>
      <c r="BP544" s="27" t="s">
        <v>7</v>
      </c>
      <c r="BQ544" s="27" t="s">
        <v>8</v>
      </c>
      <c r="CA544" s="27" t="s">
        <v>8</v>
      </c>
    </row>
    <row r="545" spans="1:79" x14ac:dyDescent="0.25">
      <c r="A545" s="7">
        <v>2.2972444660248938</v>
      </c>
      <c r="B545"/>
      <c r="C545"/>
      <c r="D545"/>
      <c r="E545" t="s">
        <v>8</v>
      </c>
      <c r="AZ545" s="27" t="s">
        <v>7</v>
      </c>
      <c r="BA545" s="27" t="s">
        <v>8</v>
      </c>
      <c r="BD545" s="27" t="s">
        <v>7</v>
      </c>
      <c r="BE545" s="27" t="s">
        <v>8</v>
      </c>
      <c r="BF545" s="27" t="s">
        <v>7</v>
      </c>
      <c r="BG545" s="27" t="s">
        <v>8</v>
      </c>
      <c r="BH545" s="27" t="s">
        <v>7</v>
      </c>
      <c r="BI545" s="27" t="s">
        <v>8</v>
      </c>
      <c r="BP545" s="27" t="s">
        <v>7</v>
      </c>
      <c r="BQ545" s="27" t="s">
        <v>8</v>
      </c>
      <c r="BR545" s="27" t="s">
        <v>7</v>
      </c>
      <c r="CA545" s="27" t="s">
        <v>8</v>
      </c>
    </row>
    <row r="546" spans="1:79" x14ac:dyDescent="0.25">
      <c r="A546" s="7">
        <v>2.252200456887151</v>
      </c>
      <c r="B546"/>
      <c r="C546"/>
      <c r="D546"/>
      <c r="E546" t="s">
        <v>8</v>
      </c>
      <c r="AZ546" s="27" t="s">
        <v>7</v>
      </c>
      <c r="BA546" s="27" t="s">
        <v>8</v>
      </c>
      <c r="BD546" s="27" t="s">
        <v>7</v>
      </c>
      <c r="BE546" s="27" t="s">
        <v>8</v>
      </c>
      <c r="BF546" s="27" t="s">
        <v>7</v>
      </c>
      <c r="BG546" s="27" t="s">
        <v>8</v>
      </c>
      <c r="BH546" s="27" t="s">
        <v>7</v>
      </c>
      <c r="BI546" s="27" t="s">
        <v>8</v>
      </c>
      <c r="BP546" s="27" t="s">
        <v>7</v>
      </c>
      <c r="BQ546" s="27" t="s">
        <v>8</v>
      </c>
      <c r="BR546" s="27" t="s">
        <v>7</v>
      </c>
      <c r="CA546" s="27" t="s">
        <v>8</v>
      </c>
    </row>
    <row r="547" spans="1:79" x14ac:dyDescent="0.25">
      <c r="A547" s="7">
        <v>2.208039663614854</v>
      </c>
      <c r="B547"/>
      <c r="C547"/>
      <c r="D547"/>
      <c r="E547" t="s">
        <v>8</v>
      </c>
      <c r="AZ547" s="27" t="s">
        <v>7</v>
      </c>
      <c r="BA547" s="27" t="s">
        <v>8</v>
      </c>
      <c r="BD547" s="27" t="s">
        <v>7</v>
      </c>
      <c r="BE547" s="27" t="s">
        <v>8</v>
      </c>
      <c r="BF547" s="27" t="s">
        <v>7</v>
      </c>
      <c r="BG547" s="27" t="s">
        <v>8</v>
      </c>
      <c r="BH547" s="27" t="s">
        <v>7</v>
      </c>
      <c r="BI547" s="27" t="s">
        <v>8</v>
      </c>
      <c r="BP547" s="27" t="s">
        <v>7</v>
      </c>
      <c r="BQ547" s="27" t="s">
        <v>8</v>
      </c>
      <c r="BR547" s="27" t="s">
        <v>7</v>
      </c>
      <c r="CA547" s="27" t="s">
        <v>8</v>
      </c>
    </row>
    <row r="548" spans="1:79" x14ac:dyDescent="0.25">
      <c r="A548" s="7">
        <v>2.1647447682498568</v>
      </c>
      <c r="B548"/>
      <c r="C548"/>
      <c r="D548"/>
      <c r="E548" t="s">
        <v>8</v>
      </c>
      <c r="AZ548" s="27" t="s">
        <v>7</v>
      </c>
      <c r="BA548" s="27" t="s">
        <v>8</v>
      </c>
      <c r="BD548" s="27" t="s">
        <v>7</v>
      </c>
      <c r="BE548" s="27" t="s">
        <v>8</v>
      </c>
      <c r="BF548" s="27" t="s">
        <v>7</v>
      </c>
      <c r="BG548" s="27" t="s">
        <v>8</v>
      </c>
      <c r="BH548" s="27" t="s">
        <v>7</v>
      </c>
      <c r="BI548" s="27" t="s">
        <v>8</v>
      </c>
      <c r="BP548" s="27" t="s">
        <v>7</v>
      </c>
      <c r="BQ548" s="27" t="s">
        <v>8</v>
      </c>
      <c r="BR548" s="27" t="s">
        <v>7</v>
      </c>
      <c r="BS548" s="27" t="s">
        <v>8</v>
      </c>
      <c r="BW548" s="27" t="s">
        <v>8</v>
      </c>
      <c r="CA548" s="27" t="s">
        <v>8</v>
      </c>
    </row>
    <row r="549" spans="1:79" x14ac:dyDescent="0.25">
      <c r="A549" s="7">
        <v>2.1222987924018204</v>
      </c>
      <c r="B549"/>
      <c r="C549"/>
      <c r="D549"/>
      <c r="E549" t="s">
        <v>8</v>
      </c>
      <c r="AZ549" s="27" t="s">
        <v>7</v>
      </c>
      <c r="BA549" s="27" t="s">
        <v>8</v>
      </c>
      <c r="BD549" s="27" t="s">
        <v>7</v>
      </c>
      <c r="BE549" s="27" t="s">
        <v>8</v>
      </c>
      <c r="BF549" s="27" t="s">
        <v>7</v>
      </c>
      <c r="BG549" s="27" t="s">
        <v>8</v>
      </c>
      <c r="BH549" s="27" t="s">
        <v>7</v>
      </c>
      <c r="BI549" s="27" t="s">
        <v>8</v>
      </c>
      <c r="BP549" s="27" t="s">
        <v>7</v>
      </c>
      <c r="BR549" s="27" t="s">
        <v>7</v>
      </c>
      <c r="BS549" s="27" t="s">
        <v>8</v>
      </c>
      <c r="BT549" s="27" t="s">
        <v>7</v>
      </c>
      <c r="BU549" s="27" t="s">
        <v>8</v>
      </c>
      <c r="BW549" s="27" t="s">
        <v>8</v>
      </c>
      <c r="BX549" s="27" t="s">
        <v>7</v>
      </c>
      <c r="CA549" s="27" t="s">
        <v>8</v>
      </c>
    </row>
    <row r="550" spans="1:79" x14ac:dyDescent="0.25">
      <c r="A550" s="7">
        <v>2.0806850905900198</v>
      </c>
      <c r="B550"/>
      <c r="C550"/>
      <c r="D550"/>
      <c r="E550" t="s">
        <v>8</v>
      </c>
      <c r="AZ550" s="27" t="s">
        <v>7</v>
      </c>
      <c r="BA550" s="27" t="s">
        <v>8</v>
      </c>
      <c r="BD550" s="27" t="s">
        <v>7</v>
      </c>
      <c r="BE550" s="27" t="s">
        <v>8</v>
      </c>
      <c r="BF550" s="27" t="s">
        <v>7</v>
      </c>
      <c r="BG550" s="27" t="s">
        <v>8</v>
      </c>
      <c r="BH550" s="27" t="s">
        <v>7</v>
      </c>
      <c r="BI550" s="27" t="s">
        <v>8</v>
      </c>
      <c r="BR550" s="27" t="s">
        <v>7</v>
      </c>
      <c r="BS550" s="27" t="s">
        <v>8</v>
      </c>
      <c r="BT550" s="27" t="s">
        <v>7</v>
      </c>
      <c r="BU550" s="27" t="s">
        <v>8</v>
      </c>
      <c r="BV550" s="27" t="s">
        <v>7</v>
      </c>
      <c r="BW550" s="27" t="s">
        <v>8</v>
      </c>
      <c r="BX550" s="27" t="s">
        <v>7</v>
      </c>
      <c r="BY550" s="27" t="s">
        <v>8</v>
      </c>
      <c r="CA550" s="27" t="s">
        <v>8</v>
      </c>
    </row>
    <row r="551" spans="1:79" x14ac:dyDescent="0.25">
      <c r="A551" s="7">
        <v>2.0398873437157055</v>
      </c>
      <c r="B551"/>
      <c r="C551"/>
      <c r="D551"/>
      <c r="E551" t="s">
        <v>8</v>
      </c>
      <c r="AZ551" s="27" t="s">
        <v>7</v>
      </c>
      <c r="BA551" s="27" t="s">
        <v>8</v>
      </c>
      <c r="BD551" s="27" t="s">
        <v>7</v>
      </c>
      <c r="BE551" s="27" t="s">
        <v>8</v>
      </c>
      <c r="BF551" s="27" t="s">
        <v>7</v>
      </c>
      <c r="BG551" s="27" t="s">
        <v>8</v>
      </c>
      <c r="BH551" s="27" t="s">
        <v>7</v>
      </c>
      <c r="BR551" s="27" t="s">
        <v>7</v>
      </c>
      <c r="BS551" s="27" t="s">
        <v>8</v>
      </c>
      <c r="BT551" s="27" t="s">
        <v>7</v>
      </c>
      <c r="BU551" s="27" t="s">
        <v>8</v>
      </c>
      <c r="BV551" s="27" t="s">
        <v>7</v>
      </c>
      <c r="BW551" s="27" t="s">
        <v>8</v>
      </c>
      <c r="BX551" s="27" t="s">
        <v>7</v>
      </c>
      <c r="BY551" s="27" t="s">
        <v>8</v>
      </c>
      <c r="BZ551" s="27" t="s">
        <v>7</v>
      </c>
      <c r="CA551" s="27" t="s">
        <v>8</v>
      </c>
    </row>
    <row r="552" spans="1:79" x14ac:dyDescent="0.25">
      <c r="A552" s="7">
        <v>1.9998895526624565</v>
      </c>
      <c r="B552"/>
      <c r="C552"/>
      <c r="D552"/>
      <c r="E552" t="s">
        <v>8</v>
      </c>
      <c r="AZ552" s="27" t="s">
        <v>7</v>
      </c>
      <c r="BD552" s="27" t="s">
        <v>7</v>
      </c>
      <c r="BE552" s="27" t="s">
        <v>8</v>
      </c>
      <c r="BF552" s="27" t="s">
        <v>7</v>
      </c>
      <c r="BR552" s="27" t="s">
        <v>7</v>
      </c>
      <c r="BT552" s="27" t="s">
        <v>7</v>
      </c>
      <c r="BU552" s="27" t="s">
        <v>8</v>
      </c>
      <c r="BV552" s="27" t="s">
        <v>7</v>
      </c>
      <c r="BW552" s="27" t="s">
        <v>8</v>
      </c>
      <c r="BX552" s="27" t="s">
        <v>7</v>
      </c>
      <c r="BY552" s="27" t="s">
        <v>8</v>
      </c>
      <c r="BZ552" s="27" t="s">
        <v>7</v>
      </c>
      <c r="CA552" s="27" t="s">
        <v>8</v>
      </c>
    </row>
    <row r="553" spans="1:79" x14ac:dyDescent="0.25">
      <c r="A553" s="7">
        <v>1.9606760320220162</v>
      </c>
      <c r="B553"/>
      <c r="C553"/>
      <c r="D553"/>
      <c r="E553" t="s">
        <v>8</v>
      </c>
      <c r="BD553" s="27" t="s">
        <v>7</v>
      </c>
      <c r="BE553" s="27" t="s">
        <v>8</v>
      </c>
      <c r="BT553" s="27" t="s">
        <v>7</v>
      </c>
      <c r="BU553" s="27" t="s">
        <v>8</v>
      </c>
      <c r="BV553" s="27" t="s">
        <v>7</v>
      </c>
      <c r="BW553" s="27" t="s">
        <v>8</v>
      </c>
      <c r="BX553" s="27" t="s">
        <v>7</v>
      </c>
      <c r="BY553" s="27" t="s">
        <v>8</v>
      </c>
      <c r="BZ553" s="27" t="s">
        <v>7</v>
      </c>
      <c r="CA553" s="27" t="s">
        <v>8</v>
      </c>
    </row>
    <row r="554" spans="1:79" x14ac:dyDescent="0.25">
      <c r="A554" s="7">
        <v>1.9222314039431532</v>
      </c>
      <c r="B554"/>
      <c r="C554"/>
      <c r="D554"/>
      <c r="E554" t="s">
        <v>8</v>
      </c>
      <c r="BD554" s="27" t="s">
        <v>7</v>
      </c>
      <c r="BE554" s="27" t="s">
        <v>8</v>
      </c>
      <c r="BT554" s="27" t="s">
        <v>7</v>
      </c>
      <c r="BU554" s="27" t="s">
        <v>8</v>
      </c>
      <c r="BV554" s="27" t="s">
        <v>7</v>
      </c>
      <c r="BW554" s="27" t="s">
        <v>8</v>
      </c>
      <c r="BX554" s="27" t="s">
        <v>7</v>
      </c>
      <c r="BY554" s="27" t="s">
        <v>8</v>
      </c>
      <c r="BZ554" s="27" t="s">
        <v>7</v>
      </c>
      <c r="CA554" s="27" t="s">
        <v>8</v>
      </c>
    </row>
    <row r="555" spans="1:79" x14ac:dyDescent="0.25">
      <c r="A555" s="7">
        <v>1.8845405921011305</v>
      </c>
      <c r="B555"/>
      <c r="C555"/>
      <c r="D555"/>
      <c r="E555" t="s">
        <v>8</v>
      </c>
      <c r="BD555" s="27" t="s">
        <v>7</v>
      </c>
      <c r="BE555" s="27" t="s">
        <v>8</v>
      </c>
      <c r="BT555" s="27" t="s">
        <v>7</v>
      </c>
      <c r="BU555" s="27" t="s">
        <v>8</v>
      </c>
      <c r="BV555" s="27" t="s">
        <v>7</v>
      </c>
      <c r="BW555" s="27" t="s">
        <v>8</v>
      </c>
      <c r="BX555" s="27" t="s">
        <v>7</v>
      </c>
      <c r="BY555" s="27" t="s">
        <v>8</v>
      </c>
      <c r="BZ555" s="27" t="s">
        <v>7</v>
      </c>
    </row>
    <row r="556" spans="1:79" x14ac:dyDescent="0.25">
      <c r="A556" s="7">
        <v>1.8475888157854219</v>
      </c>
      <c r="B556"/>
      <c r="C556"/>
      <c r="D556"/>
      <c r="E556" t="s">
        <v>8</v>
      </c>
      <c r="BD556" s="27" t="s">
        <v>7</v>
      </c>
      <c r="BE556" s="27" t="s">
        <v>8</v>
      </c>
      <c r="BT556" s="27" t="s">
        <v>7</v>
      </c>
      <c r="BV556" s="27" t="s">
        <v>7</v>
      </c>
      <c r="BW556" s="27" t="s">
        <v>8</v>
      </c>
      <c r="BX556" s="27" t="s">
        <v>7</v>
      </c>
      <c r="BY556" s="27" t="s">
        <v>8</v>
      </c>
    </row>
    <row r="557" spans="1:79" x14ac:dyDescent="0.25">
      <c r="A557" s="7">
        <v>1.8113615841033548</v>
      </c>
      <c r="B557"/>
      <c r="C557"/>
      <c r="D557"/>
      <c r="E557" t="s">
        <v>8</v>
      </c>
      <c r="BD557" s="27" t="s">
        <v>7</v>
      </c>
      <c r="BE557" s="27" t="s">
        <v>8</v>
      </c>
      <c r="BV557" s="27" t="s">
        <v>7</v>
      </c>
      <c r="BW557" s="27" t="s">
        <v>8</v>
      </c>
      <c r="BX557" s="27" t="s">
        <v>7</v>
      </c>
      <c r="BY557" s="27" t="s">
        <v>8</v>
      </c>
    </row>
    <row r="558" spans="1:79" x14ac:dyDescent="0.25">
      <c r="A558" s="7">
        <v>1.7758446902974065</v>
      </c>
      <c r="B558"/>
      <c r="C558"/>
      <c r="D558"/>
      <c r="E558" t="s">
        <v>8</v>
      </c>
      <c r="BD558" s="27" t="s">
        <v>7</v>
      </c>
      <c r="BE558" s="27" t="s">
        <v>8</v>
      </c>
      <c r="BV558" s="27" t="s">
        <v>7</v>
      </c>
      <c r="BW558" s="27" t="s">
        <v>8</v>
      </c>
      <c r="BX558" s="27" t="s">
        <v>7</v>
      </c>
    </row>
    <row r="559" spans="1:79" x14ac:dyDescent="0.25">
      <c r="A559" s="7">
        <v>1.7410242061739281</v>
      </c>
      <c r="B559"/>
      <c r="C559"/>
      <c r="D559"/>
      <c r="E559" t="s">
        <v>8</v>
      </c>
      <c r="BD559" s="27" t="s">
        <v>7</v>
      </c>
      <c r="BE559" s="27" t="s">
        <v>8</v>
      </c>
      <c r="BV559" s="27" t="s">
        <v>7</v>
      </c>
      <c r="BW559" s="27" t="s">
        <v>8</v>
      </c>
    </row>
    <row r="560" spans="1:79" x14ac:dyDescent="0.25">
      <c r="A560" s="7">
        <v>1.7068864766411058</v>
      </c>
      <c r="B560"/>
      <c r="C560"/>
      <c r="D560"/>
      <c r="E560" t="s">
        <v>8</v>
      </c>
      <c r="BD560" s="27" t="s">
        <v>7</v>
      </c>
      <c r="BE560" s="27" t="s">
        <v>8</v>
      </c>
      <c r="BV560" s="27" t="s">
        <v>7</v>
      </c>
      <c r="BW560" s="27" t="s">
        <v>8</v>
      </c>
    </row>
    <row r="561" spans="1:75" x14ac:dyDescent="0.25">
      <c r="A561" s="7">
        <v>1.6734181143540252</v>
      </c>
      <c r="B561"/>
      <c r="C561"/>
      <c r="D561"/>
      <c r="E561" t="s">
        <v>8</v>
      </c>
      <c r="BD561" s="27" t="s">
        <v>7</v>
      </c>
      <c r="BE561" s="27" t="s">
        <v>8</v>
      </c>
      <c r="BV561" s="27" t="s">
        <v>7</v>
      </c>
      <c r="BW561" s="27" t="s">
        <v>8</v>
      </c>
    </row>
    <row r="562" spans="1:75" x14ac:dyDescent="0.25">
      <c r="A562" s="7">
        <v>1.6406059944647307</v>
      </c>
      <c r="B562"/>
      <c r="C562"/>
      <c r="D562"/>
      <c r="E562" t="s">
        <v>8</v>
      </c>
      <c r="BD562" s="27" t="s">
        <v>7</v>
      </c>
      <c r="BE562" s="27" t="s">
        <v>8</v>
      </c>
      <c r="BV562" s="27" t="s">
        <v>7</v>
      </c>
      <c r="BW562" s="27" t="s">
        <v>8</v>
      </c>
    </row>
    <row r="563" spans="1:75" x14ac:dyDescent="0.25">
      <c r="A563" s="7">
        <v>1.6084372494752261</v>
      </c>
      <c r="B563"/>
      <c r="C563"/>
      <c r="D563"/>
      <c r="E563" t="s">
        <v>8</v>
      </c>
      <c r="BD563" s="27" t="s">
        <v>7</v>
      </c>
      <c r="BE563" s="27" t="s">
        <v>8</v>
      </c>
      <c r="BV563" s="27" t="s">
        <v>7</v>
      </c>
      <c r="BW563" s="27" t="s">
        <v>8</v>
      </c>
    </row>
    <row r="564" spans="1:75" x14ac:dyDescent="0.25">
      <c r="A564" s="7">
        <v>1.5768992641913981</v>
      </c>
      <c r="B564"/>
      <c r="C564"/>
      <c r="D564"/>
      <c r="E564" t="s">
        <v>8</v>
      </c>
      <c r="BD564" s="27" t="s">
        <v>7</v>
      </c>
      <c r="BE564" s="27" t="s">
        <v>8</v>
      </c>
      <c r="BV564" s="27" t="s">
        <v>7</v>
      </c>
      <c r="BW564" s="27" t="s">
        <v>8</v>
      </c>
    </row>
    <row r="565" spans="1:75" x14ac:dyDescent="0.25">
      <c r="A565" s="7">
        <v>1.5459796707758806</v>
      </c>
      <c r="B565"/>
      <c r="C565"/>
      <c r="D565"/>
      <c r="E565" t="s">
        <v>8</v>
      </c>
      <c r="BD565" s="27" t="s">
        <v>7</v>
      </c>
      <c r="BV565" s="27" t="s">
        <v>7</v>
      </c>
    </row>
    <row r="566" spans="1:75" x14ac:dyDescent="0.25">
      <c r="A566" s="7">
        <v>1.5156663438979221</v>
      </c>
      <c r="B566"/>
      <c r="C566"/>
      <c r="D566"/>
      <c r="E566" t="s">
        <v>8</v>
      </c>
    </row>
    <row r="567" spans="1:75" x14ac:dyDescent="0.25">
      <c r="A567" s="7">
        <v>1.4859473959783549</v>
      </c>
      <c r="B567"/>
      <c r="C567"/>
      <c r="D567"/>
      <c r="E567" t="s">
        <v>8</v>
      </c>
    </row>
    <row r="568" spans="1:75" x14ac:dyDescent="0.25">
      <c r="A568" s="7">
        <v>1.4568111725277988</v>
      </c>
      <c r="B568"/>
      <c r="C568"/>
      <c r="D568"/>
      <c r="E568" t="s">
        <v>8</v>
      </c>
    </row>
    <row r="569" spans="1:75" x14ac:dyDescent="0.25">
      <c r="A569" s="7">
        <v>1.4282462475762734</v>
      </c>
      <c r="B569"/>
      <c r="C569"/>
      <c r="D569"/>
      <c r="E569" t="s">
        <v>8</v>
      </c>
    </row>
    <row r="570" spans="1:75" x14ac:dyDescent="0.25">
      <c r="A570" s="7">
        <v>1.4002414191924248</v>
      </c>
      <c r="B570"/>
      <c r="C570"/>
      <c r="D570"/>
      <c r="E570" t="s">
        <v>8</v>
      </c>
    </row>
    <row r="571" spans="1:75" x14ac:dyDescent="0.25">
      <c r="A571" s="7">
        <v>1.3727857050906125</v>
      </c>
      <c r="B571"/>
      <c r="C571"/>
      <c r="D571"/>
      <c r="E571" t="s">
        <v>8</v>
      </c>
    </row>
    <row r="572" spans="1:75" x14ac:dyDescent="0.25">
      <c r="A572" s="7">
        <v>1.3458683383241299</v>
      </c>
      <c r="B572"/>
      <c r="C572"/>
      <c r="D572"/>
      <c r="E572" t="s">
        <v>8</v>
      </c>
    </row>
    <row r="573" spans="1:75" x14ac:dyDescent="0.25">
      <c r="A573" s="7">
        <v>1.3194787630628724</v>
      </c>
      <c r="B573"/>
      <c r="C573"/>
      <c r="D573"/>
      <c r="E573" t="s">
        <v>8</v>
      </c>
    </row>
    <row r="574" spans="1:75" x14ac:dyDescent="0.25">
      <c r="A574" s="7">
        <v>1.2936066304537963</v>
      </c>
      <c r="B574"/>
      <c r="C574"/>
      <c r="D574"/>
      <c r="E574" t="s">
        <v>8</v>
      </c>
    </row>
    <row r="575" spans="1:75" x14ac:dyDescent="0.25">
      <c r="A575" s="7">
        <v>1.2682417945625455</v>
      </c>
      <c r="B575"/>
      <c r="C575"/>
      <c r="D575"/>
      <c r="E575" t="s">
        <v>8</v>
      </c>
    </row>
    <row r="576" spans="1:7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49" operator="equal">
      <formula>$U$1</formula>
    </cfRule>
    <cfRule type="cellIs" dxfId="89" priority="750" operator="equal">
      <formula>$S$1</formula>
    </cfRule>
  </conditionalFormatting>
  <conditionalFormatting sqref="D27">
    <cfRule type="cellIs" dxfId="88" priority="747" operator="equal">
      <formula>$S$1</formula>
    </cfRule>
    <cfRule type="cellIs" dxfId="87" priority="748" operator="equal">
      <formula>$U$1</formula>
    </cfRule>
  </conditionalFormatting>
  <conditionalFormatting sqref="C164">
    <cfRule type="cellIs" dxfId="86" priority="745" operator="equal">
      <formula>$U$1</formula>
    </cfRule>
    <cfRule type="cellIs" dxfId="85" priority="746" operator="equal">
      <formula>$S$1</formula>
    </cfRule>
  </conditionalFormatting>
  <conditionalFormatting sqref="D164">
    <cfRule type="cellIs" dxfId="84" priority="743" operator="equal">
      <formula>$S$1</formula>
    </cfRule>
    <cfRule type="cellIs" dxfId="83" priority="744" operator="equal">
      <formula>$U$1</formula>
    </cfRule>
  </conditionalFormatting>
  <conditionalFormatting sqref="C55">
    <cfRule type="cellIs" dxfId="82" priority="741" operator="equal">
      <formula>$U$1</formula>
    </cfRule>
    <cfRule type="cellIs" dxfId="81" priority="742" operator="equal">
      <formula>$S$1</formula>
    </cfRule>
  </conditionalFormatting>
  <conditionalFormatting sqref="D55">
    <cfRule type="cellIs" dxfId="80" priority="739" operator="equal">
      <formula>$S$1</formula>
    </cfRule>
    <cfRule type="cellIs" dxfId="79" priority="740" operator="equal">
      <formula>$U$1</formula>
    </cfRule>
  </conditionalFormatting>
  <conditionalFormatting sqref="C89">
    <cfRule type="cellIs" dxfId="78" priority="737" operator="equal">
      <formula>$U$1</formula>
    </cfRule>
    <cfRule type="cellIs" dxfId="77" priority="738" operator="equal">
      <formula>$S$1</formula>
    </cfRule>
  </conditionalFormatting>
  <conditionalFormatting sqref="D89">
    <cfRule type="cellIs" dxfId="76" priority="735" operator="equal">
      <formula>$S$1</formula>
    </cfRule>
    <cfRule type="cellIs" dxfId="75" priority="736" operator="equal">
      <formula>$U$1</formula>
    </cfRule>
  </conditionalFormatting>
  <conditionalFormatting sqref="C136">
    <cfRule type="cellIs" dxfId="74" priority="733" operator="equal">
      <formula>$U$1</formula>
    </cfRule>
    <cfRule type="cellIs" dxfId="73" priority="734" operator="equal">
      <formula>$S$1</formula>
    </cfRule>
  </conditionalFormatting>
  <conditionalFormatting sqref="D136">
    <cfRule type="cellIs" dxfId="72" priority="731" operator="equal">
      <formula>$S$1</formula>
    </cfRule>
    <cfRule type="cellIs" dxfId="71" priority="732" operator="equal">
      <formula>$U$1</formula>
    </cfRule>
  </conditionalFormatting>
  <conditionalFormatting sqref="C1">
    <cfRule type="cellIs" dxfId="70" priority="73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3" zoomScale="90" zoomScaleNormal="90" workbookViewId="0">
      <pane xSplit="4" topLeftCell="R1" activePane="topRight" state="frozen"/>
      <selection activeCell="A109" sqref="A109"/>
      <selection pane="topRight" activeCell="CQ178" sqref="CQ17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$A$177</v>
      </c>
      <c r="D111" s="1" t="str">
        <f>ADDRESS(C121-1,D121,1,1)</f>
        <v>$CQ$177</v>
      </c>
      <c r="E111"/>
    </row>
    <row r="112" spans="1:5" x14ac:dyDescent="0.25">
      <c r="A112" s="30">
        <v>515.50191262726139</v>
      </c>
      <c r="C112" s="1" t="str">
        <f>ADDRESS(C121,1,1,1)</f>
        <v>$A$178</v>
      </c>
      <c r="D112" s="1" t="str">
        <f>ADDRESS(C121,D121-1,1,1)</f>
        <v>$CP$178</v>
      </c>
      <c r="E112"/>
    </row>
    <row r="113" spans="1:5" x14ac:dyDescent="0.25">
      <c r="A113" s="30">
        <v>490.95420250215363</v>
      </c>
      <c r="C113" s="1" t="str">
        <f>ADDRESS(C121+1,1,1,1)</f>
        <v>$A$179</v>
      </c>
      <c r="D113" s="1" t="str">
        <f>ADDRESS(C121-1,D121+1,1,1)</f>
        <v>$CR$177</v>
      </c>
    </row>
    <row r="114" spans="1:5" x14ac:dyDescent="0.25">
      <c r="A114" s="30">
        <v>467.57543095443202</v>
      </c>
      <c r="C114" s="1" t="str">
        <f>ADDRESS(C121,D121,1,1)</f>
        <v>$CQ$178</v>
      </c>
      <c r="D114" s="1" t="str">
        <f>ADDRESS(C121+1,D121+1,1,1)</f>
        <v>$CR$179</v>
      </c>
    </row>
    <row r="115" spans="1:5" x14ac:dyDescent="0.25">
      <c r="A115" s="30">
        <v>445.30993424231622</v>
      </c>
      <c r="C115" s="1" t="str">
        <f>ADDRESS(C121+1,D121,1,1)</f>
        <v>$CQ$179</v>
      </c>
    </row>
    <row r="116" spans="1:5" x14ac:dyDescent="0.25">
      <c r="A116" s="30">
        <v>424.10469927839637</v>
      </c>
      <c r="C116" s="1">
        <f>C117-1</f>
        <v>177</v>
      </c>
    </row>
    <row r="117" spans="1:5" x14ac:dyDescent="0.25">
      <c r="A117" s="30">
        <v>403.9092374079965</v>
      </c>
      <c r="C117" s="1">
        <f>C121</f>
        <v>178</v>
      </c>
      <c r="D117" s="1">
        <f>D121</f>
        <v>95</v>
      </c>
    </row>
    <row r="118" spans="1:5" x14ac:dyDescent="0.25">
      <c r="A118" s="30">
        <v>384.6754641980919</v>
      </c>
      <c r="C118" s="1">
        <f>C117+1</f>
        <v>179</v>
      </c>
      <c r="D118" s="1">
        <f>D117+1</f>
        <v>96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178</v>
      </c>
      <c r="D121" s="19">
        <v>95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R178</v>
      </c>
      <c r="D123" s="1" t="str">
        <f>"C"&amp;D121</f>
        <v>C95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20.593802448270605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94" x14ac:dyDescent="0.25">
      <c r="A161" s="30">
        <v>47.201372444612005</v>
      </c>
      <c r="E161"/>
    </row>
    <row r="162" spans="1:94" x14ac:dyDescent="0.25">
      <c r="A162" s="30">
        <v>44.95368804248762</v>
      </c>
      <c r="E162"/>
      <c r="CO162" s="27" t="s">
        <v>8</v>
      </c>
    </row>
    <row r="163" spans="1:94" x14ac:dyDescent="0.25">
      <c r="A163" s="30">
        <v>42.81303623094059</v>
      </c>
      <c r="E163"/>
      <c r="CI163" s="27" t="s">
        <v>8</v>
      </c>
      <c r="CO163" s="27" t="s">
        <v>8</v>
      </c>
      <c r="CP163" s="27" t="s">
        <v>7</v>
      </c>
    </row>
    <row r="164" spans="1:94" x14ac:dyDescent="0.25">
      <c r="A164" s="30">
        <v>40.774320219943419</v>
      </c>
      <c r="E164"/>
      <c r="CI164" s="27" t="s">
        <v>8</v>
      </c>
      <c r="CJ164" s="27" t="s">
        <v>7</v>
      </c>
      <c r="CK164" s="27" t="s">
        <v>8</v>
      </c>
      <c r="CM164" s="27" t="s">
        <v>8</v>
      </c>
      <c r="CO164" s="27" t="s">
        <v>8</v>
      </c>
      <c r="CP164" s="27" t="s">
        <v>7</v>
      </c>
    </row>
    <row r="165" spans="1:94" x14ac:dyDescent="0.25">
      <c r="A165" s="30">
        <v>38.832685923755633</v>
      </c>
      <c r="E165"/>
      <c r="CI165" s="27" t="s">
        <v>8</v>
      </c>
      <c r="CJ165" s="27" t="s">
        <v>7</v>
      </c>
      <c r="CK165" s="27" t="s">
        <v>8</v>
      </c>
      <c r="CL165" s="27" t="s">
        <v>7</v>
      </c>
      <c r="CM165" s="27" t="s">
        <v>8</v>
      </c>
      <c r="CN165" s="27" t="s">
        <v>7</v>
      </c>
      <c r="CO165" s="27" t="s">
        <v>8</v>
      </c>
      <c r="CP165" s="27" t="s">
        <v>7</v>
      </c>
    </row>
    <row r="166" spans="1:94" x14ac:dyDescent="0.25">
      <c r="A166" s="30">
        <v>36.983510403576794</v>
      </c>
      <c r="E166"/>
      <c r="CI166" s="27" t="s">
        <v>8</v>
      </c>
      <c r="CJ166" s="27" t="s">
        <v>7</v>
      </c>
      <c r="CK166" s="27" t="s">
        <v>8</v>
      </c>
      <c r="CL166" s="27" t="s">
        <v>7</v>
      </c>
      <c r="CM166" s="27" t="s">
        <v>8</v>
      </c>
      <c r="CN166" s="27" t="s">
        <v>7</v>
      </c>
      <c r="CO166" s="27" t="s">
        <v>8</v>
      </c>
      <c r="CP166" s="27" t="s">
        <v>7</v>
      </c>
    </row>
    <row r="167" spans="1:94" x14ac:dyDescent="0.25">
      <c r="A167" s="30">
        <v>35.222390860549325</v>
      </c>
      <c r="E167"/>
      <c r="CI167" s="27" t="s">
        <v>8</v>
      </c>
      <c r="CJ167" s="27" t="s">
        <v>7</v>
      </c>
      <c r="CK167" s="27" t="s">
        <v>8</v>
      </c>
      <c r="CL167" s="27" t="s">
        <v>7</v>
      </c>
      <c r="CM167" s="27" t="s">
        <v>8</v>
      </c>
      <c r="CN167" s="27" t="s">
        <v>7</v>
      </c>
      <c r="CP167" s="27" t="s">
        <v>7</v>
      </c>
    </row>
    <row r="168" spans="1:94" x14ac:dyDescent="0.25">
      <c r="A168" s="30">
        <v>33.545134152904119</v>
      </c>
      <c r="E168"/>
      <c r="CI168" s="27" t="s">
        <v>8</v>
      </c>
      <c r="CJ168" s="27" t="s">
        <v>7</v>
      </c>
      <c r="CK168" s="27" t="s">
        <v>8</v>
      </c>
      <c r="CL168" s="27" t="s">
        <v>7</v>
      </c>
      <c r="CP168" s="27" t="s">
        <v>7</v>
      </c>
    </row>
    <row r="169" spans="1:94" x14ac:dyDescent="0.25">
      <c r="A169" s="30">
        <v>31.947746812289637</v>
      </c>
      <c r="E169"/>
      <c r="CI169" s="27" t="s">
        <v>8</v>
      </c>
      <c r="CJ169" s="27" t="s">
        <v>7</v>
      </c>
      <c r="CP169" s="27" t="s">
        <v>7</v>
      </c>
    </row>
    <row r="170" spans="1:94" x14ac:dyDescent="0.25">
      <c r="A170" s="30">
        <v>30.426425535513939</v>
      </c>
      <c r="E170"/>
      <c r="CI170" s="27" t="s">
        <v>8</v>
      </c>
      <c r="CP170" s="27" t="s">
        <v>7</v>
      </c>
    </row>
    <row r="171" spans="1:94" x14ac:dyDescent="0.25">
      <c r="A171" s="30">
        <v>28.977548129060892</v>
      </c>
      <c r="E171"/>
      <c r="CI171" s="27" t="s">
        <v>8</v>
      </c>
      <c r="CP171" s="27" t="s">
        <v>7</v>
      </c>
    </row>
    <row r="172" spans="1:94" x14ac:dyDescent="0.25">
      <c r="A172" s="30">
        <v>27.597664884819896</v>
      </c>
      <c r="E172"/>
      <c r="CI172" s="27" t="s">
        <v>8</v>
      </c>
      <c r="CP172" s="27" t="s">
        <v>7</v>
      </c>
    </row>
    <row r="173" spans="1:94" x14ac:dyDescent="0.25">
      <c r="A173" s="30">
        <v>26.283490366495137</v>
      </c>
      <c r="E173"/>
      <c r="CC173" s="27" t="s">
        <v>8</v>
      </c>
      <c r="CI173" s="27" t="s">
        <v>8</v>
      </c>
      <c r="CP173" s="27" t="s">
        <v>7</v>
      </c>
    </row>
    <row r="174" spans="1:94" x14ac:dyDescent="0.25">
      <c r="A174" s="30">
        <v>25.031895587138223</v>
      </c>
      <c r="E174"/>
      <c r="CC174" s="27" t="s">
        <v>8</v>
      </c>
      <c r="CD174" s="27" t="s">
        <v>7</v>
      </c>
      <c r="CG174" s="27" t="s">
        <v>8</v>
      </c>
      <c r="CI174" s="27" t="s">
        <v>8</v>
      </c>
      <c r="CP174" s="27" t="s">
        <v>7</v>
      </c>
    </row>
    <row r="175" spans="1:94" x14ac:dyDescent="0.25">
      <c r="A175" s="30">
        <v>23.839900559179259</v>
      </c>
      <c r="E175"/>
      <c r="CC175" s="27" t="s">
        <v>8</v>
      </c>
      <c r="CD175" s="27" t="s">
        <v>7</v>
      </c>
      <c r="CG175" s="27" t="s">
        <v>8</v>
      </c>
      <c r="CH175" s="27" t="s">
        <v>7</v>
      </c>
      <c r="CI175" s="27" t="s">
        <v>8</v>
      </c>
      <c r="CP175" s="27" t="s">
        <v>7</v>
      </c>
    </row>
    <row r="176" spans="1:94" x14ac:dyDescent="0.25">
      <c r="A176" s="30">
        <v>22.704667199218342</v>
      </c>
      <c r="E176"/>
      <c r="CC176" s="27" t="s">
        <v>8</v>
      </c>
      <c r="CD176" s="27" t="s">
        <v>7</v>
      </c>
      <c r="CG176" s="27" t="s">
        <v>8</v>
      </c>
      <c r="CH176" s="27" t="s">
        <v>7</v>
      </c>
      <c r="CI176" s="27" t="s">
        <v>8</v>
      </c>
      <c r="CP176" s="27" t="s">
        <v>7</v>
      </c>
    </row>
    <row r="177" spans="1:95" x14ac:dyDescent="0.25">
      <c r="A177" s="30">
        <v>21.623492570684135</v>
      </c>
      <c r="E177"/>
      <c r="CC177" s="27" t="s">
        <v>8</v>
      </c>
      <c r="CD177" s="27" t="s">
        <v>7</v>
      </c>
      <c r="CG177" s="27" t="s">
        <v>8</v>
      </c>
      <c r="CH177" s="27" t="s">
        <v>7</v>
      </c>
      <c r="CI177" s="27" t="s">
        <v>8</v>
      </c>
      <c r="CP177" s="27" t="s">
        <v>7</v>
      </c>
    </row>
    <row r="178" spans="1:95" x14ac:dyDescent="0.25">
      <c r="A178" s="30">
        <v>20.593802448270605</v>
      </c>
      <c r="C178" s="7"/>
      <c r="D178"/>
      <c r="E178"/>
      <c r="CA178" s="27" t="s">
        <v>8</v>
      </c>
      <c r="CC178" s="27" t="s">
        <v>8</v>
      </c>
      <c r="CD178" s="27" t="s">
        <v>7</v>
      </c>
      <c r="CE178" s="27" t="s">
        <v>8</v>
      </c>
      <c r="CG178" s="27" t="s">
        <v>8</v>
      </c>
      <c r="CH178" s="27" t="s">
        <v>7</v>
      </c>
      <c r="CI178" s="27" t="s">
        <v>8</v>
      </c>
      <c r="CP178" s="27" t="s">
        <v>7</v>
      </c>
      <c r="CQ178" s="27" t="s">
        <v>8</v>
      </c>
    </row>
    <row r="179" spans="1:95" x14ac:dyDescent="0.25">
      <c r="A179" s="30">
        <v>19.613145188829147</v>
      </c>
      <c r="E179"/>
      <c r="CA179" s="27" t="s">
        <v>8</v>
      </c>
      <c r="CB179" s="27" t="s">
        <v>7</v>
      </c>
      <c r="CC179" s="27" t="s">
        <v>8</v>
      </c>
      <c r="CD179" s="27" t="s">
        <v>7</v>
      </c>
      <c r="CE179" s="27" t="s">
        <v>8</v>
      </c>
      <c r="CF179" s="27" t="s">
        <v>7</v>
      </c>
      <c r="CG179" s="27" t="s">
        <v>8</v>
      </c>
      <c r="CH179" s="27" t="s">
        <v>7</v>
      </c>
      <c r="CI179" s="27" t="s">
        <v>8</v>
      </c>
      <c r="CP179" s="27" t="s">
        <v>7</v>
      </c>
      <c r="CQ179" s="27" t="s">
        <v>8</v>
      </c>
    </row>
    <row r="180" spans="1:95" x14ac:dyDescent="0.25">
      <c r="A180" s="30">
        <v>18.679185894122998</v>
      </c>
      <c r="E180"/>
      <c r="CA180" s="27" t="s">
        <v>8</v>
      </c>
      <c r="CB180" s="27" t="s">
        <v>7</v>
      </c>
      <c r="CC180" s="27" t="s">
        <v>8</v>
      </c>
      <c r="CD180" s="27" t="s">
        <v>7</v>
      </c>
      <c r="CE180" s="27" t="s">
        <v>8</v>
      </c>
      <c r="CF180" s="27" t="s">
        <v>7</v>
      </c>
      <c r="CG180" s="27" t="s">
        <v>8</v>
      </c>
      <c r="CH180" s="27" t="s">
        <v>7</v>
      </c>
      <c r="CI180" s="27" t="s">
        <v>8</v>
      </c>
      <c r="CP180" s="27" t="s">
        <v>7</v>
      </c>
      <c r="CQ180" s="27" t="s">
        <v>8</v>
      </c>
    </row>
    <row r="181" spans="1:95" x14ac:dyDescent="0.25">
      <c r="A181" s="30">
        <v>17.78970085154571</v>
      </c>
      <c r="C181"/>
      <c r="D181"/>
      <c r="E181"/>
      <c r="CA181" s="27" t="s">
        <v>8</v>
      </c>
      <c r="CB181" s="27" t="s">
        <v>7</v>
      </c>
      <c r="CC181" s="27" t="s">
        <v>8</v>
      </c>
      <c r="CD181" s="27" t="s">
        <v>7</v>
      </c>
      <c r="CE181" s="27" t="s">
        <v>8</v>
      </c>
      <c r="CF181" s="27" t="s">
        <v>7</v>
      </c>
      <c r="CG181" s="27" t="s">
        <v>8</v>
      </c>
      <c r="CH181" s="27" t="s">
        <v>7</v>
      </c>
      <c r="CI181" s="27" t="s">
        <v>8</v>
      </c>
      <c r="CP181" s="27" t="s">
        <v>7</v>
      </c>
      <c r="CQ181" s="27" t="s">
        <v>8</v>
      </c>
    </row>
    <row r="182" spans="1:95" x14ac:dyDescent="0.25">
      <c r="A182" s="30">
        <v>16.942572239567344</v>
      </c>
      <c r="E182"/>
      <c r="CA182" s="27" t="s">
        <v>8</v>
      </c>
      <c r="CB182" s="27" t="s">
        <v>7</v>
      </c>
      <c r="CD182" s="27" t="s">
        <v>7</v>
      </c>
      <c r="CE182" s="27" t="s">
        <v>8</v>
      </c>
      <c r="CF182" s="27" t="s">
        <v>7</v>
      </c>
      <c r="CG182" s="27" t="s">
        <v>8</v>
      </c>
      <c r="CH182" s="27" t="s">
        <v>7</v>
      </c>
      <c r="CI182" s="27" t="s">
        <v>8</v>
      </c>
      <c r="CP182" s="27" t="s">
        <v>7</v>
      </c>
    </row>
    <row r="183" spans="1:95" x14ac:dyDescent="0.25">
      <c r="A183" s="30">
        <v>16.135783085302233</v>
      </c>
      <c r="E183" t="s">
        <v>8</v>
      </c>
      <c r="BW183" s="27" t="s">
        <v>8</v>
      </c>
      <c r="BY183" s="27" t="s">
        <v>8</v>
      </c>
      <c r="CA183" s="27" t="s">
        <v>8</v>
      </c>
      <c r="CD183" s="27" t="s">
        <v>7</v>
      </c>
      <c r="CF183" s="27" t="s">
        <v>7</v>
      </c>
      <c r="CG183" s="27" t="s">
        <v>8</v>
      </c>
      <c r="CH183" s="27" t="s">
        <v>7</v>
      </c>
      <c r="CI183" s="27" t="s">
        <v>8</v>
      </c>
    </row>
    <row r="184" spans="1:95" x14ac:dyDescent="0.25">
      <c r="A184" s="30">
        <v>15.367412462192602</v>
      </c>
      <c r="E184" t="s">
        <v>8</v>
      </c>
      <c r="F184" s="27" t="s">
        <v>7</v>
      </c>
      <c r="Q184" s="32" t="s">
        <v>8</v>
      </c>
      <c r="S184" s="32" t="s">
        <v>8</v>
      </c>
      <c r="BW184" s="27" t="s">
        <v>8</v>
      </c>
      <c r="BX184" s="27" t="s">
        <v>7</v>
      </c>
      <c r="BY184" s="27" t="s">
        <v>8</v>
      </c>
      <c r="BZ184" s="27" t="s">
        <v>7</v>
      </c>
      <c r="CA184" s="27" t="s">
        <v>8</v>
      </c>
      <c r="CF184" s="27" t="s">
        <v>7</v>
      </c>
      <c r="CG184" s="27" t="s">
        <v>8</v>
      </c>
      <c r="CH184" s="27" t="s">
        <v>7</v>
      </c>
      <c r="CI184" s="27" t="s">
        <v>8</v>
      </c>
    </row>
    <row r="185" spans="1:95" x14ac:dyDescent="0.25">
      <c r="A185" s="30">
        <v>14.635630916373906</v>
      </c>
      <c r="C185"/>
      <c r="E185" t="s">
        <v>8</v>
      </c>
      <c r="F185" s="27" t="s">
        <v>7</v>
      </c>
      <c r="Q185" s="27" t="s">
        <v>8</v>
      </c>
      <c r="R185" s="27" t="s">
        <v>7</v>
      </c>
      <c r="S185" s="27" t="s">
        <v>8</v>
      </c>
      <c r="T185" s="31" t="s">
        <v>7</v>
      </c>
      <c r="BW185" s="27" t="s">
        <v>8</v>
      </c>
      <c r="BX185" s="27" t="s">
        <v>7</v>
      </c>
      <c r="BY185" s="27" t="s">
        <v>8</v>
      </c>
      <c r="BZ185" s="27" t="s">
        <v>7</v>
      </c>
      <c r="CA185" s="27" t="s">
        <v>8</v>
      </c>
      <c r="CF185" s="27" t="s">
        <v>7</v>
      </c>
      <c r="CG185" s="27" t="s">
        <v>8</v>
      </c>
      <c r="CH185" s="27" t="s">
        <v>7</v>
      </c>
      <c r="CI185" s="27" t="s">
        <v>8</v>
      </c>
    </row>
    <row r="186" spans="1:95" x14ac:dyDescent="0.25">
      <c r="A186" s="30">
        <v>13.938696110832291</v>
      </c>
      <c r="E186" t="s">
        <v>8</v>
      </c>
      <c r="F186" s="27" t="s">
        <v>7</v>
      </c>
      <c r="Q186" s="27" t="s">
        <v>8</v>
      </c>
      <c r="R186" s="27" t="s">
        <v>7</v>
      </c>
      <c r="S186" s="27" t="s">
        <v>8</v>
      </c>
      <c r="T186" s="27" t="s">
        <v>7</v>
      </c>
      <c r="U186" s="31"/>
      <c r="BW186" s="27" t="s">
        <v>8</v>
      </c>
      <c r="BX186" s="27" t="s">
        <v>7</v>
      </c>
      <c r="BY186" s="27" t="s">
        <v>8</v>
      </c>
      <c r="BZ186" s="27" t="s">
        <v>7</v>
      </c>
      <c r="CA186" s="27" t="s">
        <v>8</v>
      </c>
      <c r="CF186" s="27" t="s">
        <v>7</v>
      </c>
      <c r="CH186" s="27" t="s">
        <v>7</v>
      </c>
    </row>
    <row r="187" spans="1:9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Q187" s="27" t="s">
        <v>8</v>
      </c>
      <c r="R187" s="27" t="s">
        <v>7</v>
      </c>
      <c r="S187" s="27" t="s">
        <v>8</v>
      </c>
      <c r="T187" s="27" t="s">
        <v>7</v>
      </c>
      <c r="V187" s="31"/>
      <c r="BW187" s="27" t="s">
        <v>8</v>
      </c>
      <c r="BX187" s="27" t="s">
        <v>7</v>
      </c>
      <c r="BY187" s="27" t="s">
        <v>8</v>
      </c>
      <c r="BZ187" s="27" t="s">
        <v>7</v>
      </c>
      <c r="CA187" s="27" t="s">
        <v>8</v>
      </c>
    </row>
    <row r="188" spans="1:95" x14ac:dyDescent="0.25">
      <c r="A188" s="30">
        <v>12.64280826379346</v>
      </c>
      <c r="E188" t="s">
        <v>8</v>
      </c>
      <c r="F188" s="27" t="s">
        <v>7</v>
      </c>
      <c r="Q188" s="27" t="s">
        <v>8</v>
      </c>
      <c r="R188" s="27" t="s">
        <v>7</v>
      </c>
      <c r="T188" s="27" t="s">
        <v>7</v>
      </c>
      <c r="W188" s="31"/>
      <c r="BW188" s="27" t="s">
        <v>8</v>
      </c>
      <c r="BX188" s="27" t="s">
        <v>7</v>
      </c>
      <c r="BY188" s="27" t="s">
        <v>8</v>
      </c>
      <c r="BZ188" s="27" t="s">
        <v>7</v>
      </c>
    </row>
    <row r="189" spans="1:95" x14ac:dyDescent="0.25">
      <c r="A189" s="30">
        <v>12.04076977504139</v>
      </c>
      <c r="E189" t="s">
        <v>8</v>
      </c>
      <c r="F189" s="27" t="s">
        <v>7</v>
      </c>
      <c r="Q189" s="27" t="s">
        <v>8</v>
      </c>
      <c r="T189" s="33" t="s">
        <v>7</v>
      </c>
      <c r="X189" s="31"/>
      <c r="BW189" s="27" t="s">
        <v>8</v>
      </c>
      <c r="BX189" s="27" t="s">
        <v>7</v>
      </c>
      <c r="BY189" s="27" t="s">
        <v>8</v>
      </c>
    </row>
    <row r="190" spans="1:95" x14ac:dyDescent="0.25">
      <c r="A190" s="30">
        <v>11.467399785753704</v>
      </c>
      <c r="E190" t="s">
        <v>8</v>
      </c>
      <c r="F190" s="27" t="s">
        <v>7</v>
      </c>
      <c r="G190" s="27" t="s">
        <v>8</v>
      </c>
      <c r="Q190" s="27" t="s">
        <v>8</v>
      </c>
      <c r="T190" s="27" t="s">
        <v>7</v>
      </c>
      <c r="U190" s="32" t="s">
        <v>8</v>
      </c>
      <c r="W190" s="32" t="s">
        <v>8</v>
      </c>
      <c r="Y190" s="31"/>
      <c r="BW190" s="27" t="s">
        <v>8</v>
      </c>
      <c r="BX190" s="27" t="s">
        <v>7</v>
      </c>
      <c r="BY190" s="27" t="s">
        <v>8</v>
      </c>
    </row>
    <row r="191" spans="1:95" x14ac:dyDescent="0.25">
      <c r="A191" s="30">
        <v>10.921333129289241</v>
      </c>
      <c r="E191" t="s">
        <v>8</v>
      </c>
      <c r="F191" s="27" t="s">
        <v>7</v>
      </c>
      <c r="G191" s="27" t="s">
        <v>8</v>
      </c>
      <c r="H191" s="27" t="s">
        <v>7</v>
      </c>
      <c r="Q191" s="27" t="s">
        <v>8</v>
      </c>
      <c r="T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Z191" s="31"/>
      <c r="BW191" s="27" t="s">
        <v>8</v>
      </c>
      <c r="BX191" s="27" t="s">
        <v>7</v>
      </c>
      <c r="BY191" s="27" t="s">
        <v>8</v>
      </c>
    </row>
    <row r="192" spans="1:95" x14ac:dyDescent="0.25">
      <c r="A192" s="30">
        <v>10.401269646942135</v>
      </c>
      <c r="E192" t="s">
        <v>8</v>
      </c>
      <c r="F192" s="27" t="s">
        <v>7</v>
      </c>
      <c r="G192" s="27" t="s">
        <v>8</v>
      </c>
      <c r="H192" s="27" t="s">
        <v>7</v>
      </c>
      <c r="Q192" s="27" t="s">
        <v>8</v>
      </c>
      <c r="T192" s="27" t="s">
        <v>7</v>
      </c>
      <c r="U192" s="27" t="s">
        <v>8</v>
      </c>
      <c r="V192" s="27" t="s">
        <v>7</v>
      </c>
      <c r="W192" s="27" t="s">
        <v>8</v>
      </c>
      <c r="X192" s="27" t="s">
        <v>7</v>
      </c>
      <c r="AA192" s="31"/>
      <c r="BW192" s="27" t="s">
        <v>8</v>
      </c>
      <c r="BX192" s="27" t="s">
        <v>7</v>
      </c>
      <c r="BY192" s="27" t="s">
        <v>8</v>
      </c>
    </row>
    <row r="193" spans="1:76" x14ac:dyDescent="0.25">
      <c r="A193" s="30">
        <v>9.9059710923258422</v>
      </c>
      <c r="E193" t="s">
        <v>8</v>
      </c>
      <c r="F193" s="27" t="s">
        <v>7</v>
      </c>
      <c r="G193" s="27" t="s">
        <v>8</v>
      </c>
      <c r="H193" s="27" t="s">
        <v>7</v>
      </c>
      <c r="Q193" s="27" t="s">
        <v>8</v>
      </c>
      <c r="T193" s="32" t="s">
        <v>7</v>
      </c>
      <c r="V193" s="32" t="s">
        <v>7</v>
      </c>
      <c r="X193" s="27" t="s">
        <v>7</v>
      </c>
      <c r="AA193" s="34" t="s">
        <v>8</v>
      </c>
      <c r="AB193" s="31"/>
      <c r="BW193" s="27" t="s">
        <v>8</v>
      </c>
      <c r="BX193" s="27" t="s">
        <v>7</v>
      </c>
    </row>
    <row r="194" spans="1:76" x14ac:dyDescent="0.25">
      <c r="A194" s="30">
        <v>9.4342581831674686</v>
      </c>
      <c r="E194" t="s">
        <v>8</v>
      </c>
      <c r="F194" s="27" t="s">
        <v>7</v>
      </c>
      <c r="G194" s="27" t="s">
        <v>8</v>
      </c>
      <c r="H194" s="27" t="s">
        <v>7</v>
      </c>
      <c r="O194" s="27" t="s">
        <v>8</v>
      </c>
      <c r="Q194" s="27" t="s">
        <v>8</v>
      </c>
      <c r="X194" s="27" t="s">
        <v>7</v>
      </c>
      <c r="Y194" s="27" t="s">
        <v>8</v>
      </c>
      <c r="AA194" s="27" t="s">
        <v>8</v>
      </c>
      <c r="AB194" s="27" t="s">
        <v>7</v>
      </c>
      <c r="AC194" s="31"/>
      <c r="BK194" s="27" t="s">
        <v>8</v>
      </c>
      <c r="BW194" s="27" t="s">
        <v>8</v>
      </c>
    </row>
    <row r="195" spans="1:76" x14ac:dyDescent="0.25">
      <c r="A195" s="30">
        <v>8.9850077934928265</v>
      </c>
      <c r="E195" t="s">
        <v>8</v>
      </c>
      <c r="F195" s="27" t="s">
        <v>7</v>
      </c>
      <c r="H195" s="27" t="s">
        <v>7</v>
      </c>
      <c r="O195" s="34" t="s">
        <v>8</v>
      </c>
      <c r="P195" s="27" t="s">
        <v>7</v>
      </c>
      <c r="Q195" s="27" t="s">
        <v>8</v>
      </c>
      <c r="X195" s="27" t="s">
        <v>7</v>
      </c>
      <c r="Y195" s="27" t="s">
        <v>8</v>
      </c>
      <c r="Z195" s="27" t="s">
        <v>7</v>
      </c>
      <c r="AA195" s="27" t="s">
        <v>8</v>
      </c>
      <c r="AB195" s="27" t="s">
        <v>7</v>
      </c>
      <c r="AC195" s="27" t="s">
        <v>8</v>
      </c>
      <c r="AD195" s="31"/>
      <c r="BK195" s="27" t="s">
        <v>8</v>
      </c>
      <c r="BL195" s="27" t="s">
        <v>7</v>
      </c>
      <c r="BW195" s="27" t="s">
        <v>8</v>
      </c>
    </row>
    <row r="196" spans="1:76" x14ac:dyDescent="0.25">
      <c r="A196" s="30">
        <v>8.5571502795169767</v>
      </c>
      <c r="E196" t="s">
        <v>8</v>
      </c>
      <c r="H196" s="27" t="s">
        <v>7</v>
      </c>
      <c r="K196" s="32" t="s">
        <v>8</v>
      </c>
      <c r="M196" s="32" t="s">
        <v>8</v>
      </c>
      <c r="O196" s="27" t="s">
        <v>8</v>
      </c>
      <c r="P196" s="27" t="s">
        <v>7</v>
      </c>
      <c r="Q196" s="27" t="s">
        <v>8</v>
      </c>
      <c r="X196" s="27" t="s">
        <v>7</v>
      </c>
      <c r="Y196" s="27" t="s">
        <v>8</v>
      </c>
      <c r="Z196" s="27" t="s">
        <v>7</v>
      </c>
      <c r="AA196" s="27" t="s">
        <v>8</v>
      </c>
      <c r="AB196" s="27" t="s">
        <v>7</v>
      </c>
      <c r="AC196" s="27" t="s">
        <v>8</v>
      </c>
      <c r="AD196" s="27" t="s">
        <v>7</v>
      </c>
      <c r="AE196" s="31"/>
      <c r="BK196" s="27" t="s">
        <v>8</v>
      </c>
      <c r="BL196" s="27" t="s">
        <v>7</v>
      </c>
      <c r="BW196" s="27" t="s">
        <v>8</v>
      </c>
    </row>
    <row r="197" spans="1:76" x14ac:dyDescent="0.25">
      <c r="A197" s="30">
        <v>8.1496669328733109</v>
      </c>
      <c r="E197" t="s">
        <v>8</v>
      </c>
      <c r="H197" s="27" t="s">
        <v>7</v>
      </c>
      <c r="I197" s="27" t="s">
        <v>8</v>
      </c>
      <c r="K197" s="27" t="s">
        <v>8</v>
      </c>
      <c r="L197" s="27" t="s">
        <v>7</v>
      </c>
      <c r="M197" s="27" t="s">
        <v>8</v>
      </c>
      <c r="N197" s="27" t="s">
        <v>7</v>
      </c>
      <c r="O197" s="27" t="s">
        <v>8</v>
      </c>
      <c r="P197" s="27" t="s">
        <v>7</v>
      </c>
      <c r="X197" s="27" t="s">
        <v>7</v>
      </c>
      <c r="Y197" s="27" t="s">
        <v>8</v>
      </c>
      <c r="Z197" s="27" t="s">
        <v>7</v>
      </c>
      <c r="AB197" s="27" t="s">
        <v>7</v>
      </c>
      <c r="AC197" s="27" t="s">
        <v>8</v>
      </c>
      <c r="AD197" s="27" t="s">
        <v>7</v>
      </c>
      <c r="AF197" s="31"/>
      <c r="BK197" s="27" t="s">
        <v>8</v>
      </c>
      <c r="BL197" s="27" t="s">
        <v>7</v>
      </c>
      <c r="BW197" s="27" t="s">
        <v>8</v>
      </c>
    </row>
    <row r="198" spans="1:76" x14ac:dyDescent="0.25">
      <c r="A198" s="30">
        <v>7.7615875551174378</v>
      </c>
      <c r="E198" t="s">
        <v>8</v>
      </c>
      <c r="H198" s="27" t="s">
        <v>7</v>
      </c>
      <c r="I198" s="27" t="s">
        <v>8</v>
      </c>
      <c r="J198" s="27" t="s">
        <v>7</v>
      </c>
      <c r="K198" s="27" t="s">
        <v>8</v>
      </c>
      <c r="L198" s="27" t="s">
        <v>7</v>
      </c>
      <c r="M198" s="27" t="s">
        <v>8</v>
      </c>
      <c r="N198" s="27" t="s">
        <v>7</v>
      </c>
      <c r="O198" s="27" t="s">
        <v>8</v>
      </c>
      <c r="X198" s="27" t="s">
        <v>7</v>
      </c>
      <c r="Y198" s="27" t="s">
        <v>8</v>
      </c>
      <c r="AB198" s="33" t="s">
        <v>7</v>
      </c>
      <c r="AD198" s="27" t="s">
        <v>7</v>
      </c>
      <c r="AG198" s="31"/>
      <c r="BK198" s="27" t="s">
        <v>8</v>
      </c>
      <c r="BL198" s="27" t="s">
        <v>7</v>
      </c>
      <c r="BU198" s="27" t="s">
        <v>8</v>
      </c>
      <c r="BW198" s="27" t="s">
        <v>8</v>
      </c>
    </row>
    <row r="199" spans="1:76" x14ac:dyDescent="0.25">
      <c r="A199" s="30">
        <v>7.3919881477308929</v>
      </c>
      <c r="E199" t="s">
        <v>8</v>
      </c>
      <c r="H199" s="27" t="s">
        <v>7</v>
      </c>
      <c r="I199" s="27" t="s">
        <v>8</v>
      </c>
      <c r="J199" s="27" t="s">
        <v>7</v>
      </c>
      <c r="K199" s="27" t="s">
        <v>8</v>
      </c>
      <c r="L199" s="27" t="s">
        <v>7</v>
      </c>
      <c r="M199" s="27" t="s">
        <v>8</v>
      </c>
      <c r="N199" s="27" t="s">
        <v>7</v>
      </c>
      <c r="O199" s="27" t="s">
        <v>8</v>
      </c>
      <c r="X199" s="27" t="s">
        <v>7</v>
      </c>
      <c r="AD199" s="27" t="s">
        <v>7</v>
      </c>
      <c r="AG199" s="27" t="s">
        <v>8</v>
      </c>
      <c r="AH199" s="31"/>
      <c r="BI199" s="27" t="s">
        <v>8</v>
      </c>
      <c r="BK199" s="27" t="s">
        <v>8</v>
      </c>
      <c r="BL199" s="27" t="s">
        <v>7</v>
      </c>
      <c r="BS199" s="27" t="s">
        <v>8</v>
      </c>
      <c r="BU199" s="27" t="s">
        <v>8</v>
      </c>
      <c r="BV199" s="27" t="s">
        <v>7</v>
      </c>
      <c r="BW199" s="27" t="s">
        <v>8</v>
      </c>
    </row>
    <row r="200" spans="1:76" x14ac:dyDescent="0.25">
      <c r="A200" s="30">
        <v>7.0399887121246598</v>
      </c>
      <c r="E200" t="s">
        <v>8</v>
      </c>
      <c r="H200" s="27" t="s">
        <v>7</v>
      </c>
      <c r="I200" s="27" t="s">
        <v>8</v>
      </c>
      <c r="J200" s="27" t="s">
        <v>7</v>
      </c>
      <c r="K200" s="27" t="s">
        <v>8</v>
      </c>
      <c r="L200" s="27" t="s">
        <v>7</v>
      </c>
      <c r="N200" s="27" t="s">
        <v>7</v>
      </c>
      <c r="O200" s="27" t="s">
        <v>8</v>
      </c>
      <c r="AD200" s="27" t="s">
        <v>7</v>
      </c>
      <c r="AG200" s="27" t="s">
        <v>8</v>
      </c>
      <c r="AH200" s="27" t="s">
        <v>7</v>
      </c>
      <c r="AI200" s="31"/>
      <c r="BE200" s="27" t="s">
        <v>8</v>
      </c>
      <c r="BG200" s="27" t="s">
        <v>8</v>
      </c>
      <c r="BI200" s="27" t="s">
        <v>8</v>
      </c>
      <c r="BJ200" s="27" t="s">
        <v>7</v>
      </c>
      <c r="BK200" s="27" t="s">
        <v>8</v>
      </c>
      <c r="BL200" s="27" t="s">
        <v>7</v>
      </c>
      <c r="BS200" s="27" t="s">
        <v>8</v>
      </c>
      <c r="BT200" s="27" t="s">
        <v>7</v>
      </c>
      <c r="BU200" s="27" t="s">
        <v>8</v>
      </c>
      <c r="BV200" s="27" t="s">
        <v>7</v>
      </c>
      <c r="BW200" s="27" t="s">
        <v>8</v>
      </c>
    </row>
    <row r="201" spans="1:76" x14ac:dyDescent="0.25">
      <c r="A201" s="30">
        <v>6.7047511544044376</v>
      </c>
      <c r="E201" t="s">
        <v>8</v>
      </c>
      <c r="H201" s="27" t="s">
        <v>7</v>
      </c>
      <c r="I201" s="27" t="s">
        <v>8</v>
      </c>
      <c r="J201" s="27" t="s">
        <v>7</v>
      </c>
      <c r="K201" s="27" t="s">
        <v>8</v>
      </c>
      <c r="N201" s="33" t="s">
        <v>7</v>
      </c>
      <c r="O201" s="27" t="s">
        <v>8</v>
      </c>
      <c r="AD201" s="27" t="s">
        <v>7</v>
      </c>
      <c r="AG201" s="34" t="s">
        <v>8</v>
      </c>
      <c r="AH201" s="27" t="s">
        <v>7</v>
      </c>
      <c r="AJ201" s="31"/>
      <c r="BE201" s="27" t="s">
        <v>8</v>
      </c>
      <c r="BF201" s="27" t="s">
        <v>7</v>
      </c>
      <c r="BG201" s="27" t="s">
        <v>8</v>
      </c>
      <c r="BH201" s="27" t="s">
        <v>7</v>
      </c>
      <c r="BI201" s="27" t="s">
        <v>8</v>
      </c>
      <c r="BJ201" s="27" t="s">
        <v>7</v>
      </c>
      <c r="BK201" s="27" t="s">
        <v>8</v>
      </c>
      <c r="BL201" s="27" t="s">
        <v>7</v>
      </c>
      <c r="BS201" s="27" t="s">
        <v>8</v>
      </c>
      <c r="BT201" s="27" t="s">
        <v>7</v>
      </c>
      <c r="BU201" s="27" t="s">
        <v>8</v>
      </c>
      <c r="BV201" s="27" t="s">
        <v>7</v>
      </c>
      <c r="BW201" s="27" t="s">
        <v>8</v>
      </c>
    </row>
    <row r="202" spans="1:76" x14ac:dyDescent="0.25">
      <c r="A202" s="30">
        <v>6.3854772899089882</v>
      </c>
      <c r="E202" t="s">
        <v>8</v>
      </c>
      <c r="H202" s="27" t="s">
        <v>7</v>
      </c>
      <c r="J202" s="27" t="s">
        <v>7</v>
      </c>
      <c r="K202" s="27" t="s">
        <v>8</v>
      </c>
      <c r="N202" s="27" t="s">
        <v>7</v>
      </c>
      <c r="AD202" s="27" t="s">
        <v>7</v>
      </c>
      <c r="AE202" s="27" t="s">
        <v>8</v>
      </c>
      <c r="AG202" s="27" t="s">
        <v>8</v>
      </c>
      <c r="AH202" s="27" t="s">
        <v>7</v>
      </c>
      <c r="AK202" s="31"/>
      <c r="BE202" s="27" t="s">
        <v>8</v>
      </c>
      <c r="BF202" s="27" t="s">
        <v>7</v>
      </c>
      <c r="BG202" s="27" t="s">
        <v>8</v>
      </c>
      <c r="BH202" s="27" t="s">
        <v>7</v>
      </c>
      <c r="BI202" s="27" t="s">
        <v>8</v>
      </c>
      <c r="BJ202" s="27" t="s">
        <v>7</v>
      </c>
      <c r="BK202" s="27" t="s">
        <v>8</v>
      </c>
      <c r="BL202" s="27" t="s">
        <v>7</v>
      </c>
      <c r="BS202" s="27" t="s">
        <v>8</v>
      </c>
      <c r="BT202" s="27" t="s">
        <v>7</v>
      </c>
      <c r="BU202" s="27" t="s">
        <v>8</v>
      </c>
      <c r="BV202" s="27" t="s">
        <v>7</v>
      </c>
    </row>
    <row r="203" spans="1:76" x14ac:dyDescent="0.25">
      <c r="A203" s="30">
        <v>6.0814069427704647</v>
      </c>
      <c r="C203" s="7"/>
      <c r="D203"/>
      <c r="E203" t="s">
        <v>8</v>
      </c>
      <c r="J203" s="27" t="s">
        <v>7</v>
      </c>
      <c r="AD203" s="27" t="s">
        <v>7</v>
      </c>
      <c r="AE203" s="27" t="s">
        <v>8</v>
      </c>
      <c r="AF203" s="27" t="s">
        <v>7</v>
      </c>
      <c r="AG203" s="27" t="s">
        <v>8</v>
      </c>
      <c r="AH203" s="27" t="s">
        <v>7</v>
      </c>
      <c r="AL203" s="31"/>
      <c r="BE203" s="27" t="s">
        <v>8</v>
      </c>
      <c r="BF203" s="27" t="s">
        <v>7</v>
      </c>
      <c r="BH203" s="27" t="s">
        <v>7</v>
      </c>
      <c r="BI203" s="27" t="s">
        <v>8</v>
      </c>
      <c r="BJ203" s="27" t="s">
        <v>7</v>
      </c>
      <c r="BK203" s="27" t="s">
        <v>8</v>
      </c>
      <c r="BL203" s="27" t="s">
        <v>7</v>
      </c>
      <c r="BS203" s="27" t="s">
        <v>8</v>
      </c>
      <c r="BT203" s="27" t="s">
        <v>7</v>
      </c>
      <c r="BU203" s="27" t="s">
        <v>8</v>
      </c>
    </row>
    <row r="204" spans="1:76" x14ac:dyDescent="0.25">
      <c r="A204" s="30">
        <v>5.7918161359718709</v>
      </c>
      <c r="E204" t="s">
        <v>8</v>
      </c>
      <c r="AD204" s="27" t="s">
        <v>7</v>
      </c>
      <c r="AE204" s="27" t="s">
        <v>8</v>
      </c>
      <c r="AF204" s="27" t="s">
        <v>7</v>
      </c>
      <c r="AG204" s="27" t="s">
        <v>8</v>
      </c>
      <c r="AH204" s="27" t="s">
        <v>7</v>
      </c>
      <c r="AM204" s="31"/>
      <c r="BE204" s="27" t="s">
        <v>8</v>
      </c>
      <c r="BH204" s="27" t="s">
        <v>7</v>
      </c>
      <c r="BI204" s="27" t="s">
        <v>8</v>
      </c>
      <c r="BJ204" s="27" t="s">
        <v>7</v>
      </c>
      <c r="BK204" s="27" t="s">
        <v>8</v>
      </c>
      <c r="BL204" s="27" t="s">
        <v>7</v>
      </c>
      <c r="BQ204" s="27" t="s">
        <v>8</v>
      </c>
      <c r="BS204" s="27" t="s">
        <v>8</v>
      </c>
      <c r="BT204" s="27" t="s">
        <v>7</v>
      </c>
      <c r="BU204" s="27" t="s">
        <v>8</v>
      </c>
    </row>
    <row r="205" spans="1:76" x14ac:dyDescent="0.25">
      <c r="A205" s="30">
        <v>5.5160153675922574</v>
      </c>
      <c r="E205" t="s">
        <v>8</v>
      </c>
      <c r="AD205" s="27" t="s">
        <v>7</v>
      </c>
      <c r="AE205" s="27" t="s">
        <v>8</v>
      </c>
      <c r="AF205" s="27" t="s">
        <v>7</v>
      </c>
      <c r="AG205" s="27" t="s">
        <v>8</v>
      </c>
      <c r="AH205" s="27" t="s">
        <v>7</v>
      </c>
      <c r="AN205" s="31"/>
      <c r="BE205" s="27" t="s">
        <v>8</v>
      </c>
      <c r="BH205" s="27" t="s">
        <v>7</v>
      </c>
      <c r="BI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Q205" s="27" t="s">
        <v>8</v>
      </c>
      <c r="BR205" s="27" t="s">
        <v>7</v>
      </c>
      <c r="BS205" s="27" t="s">
        <v>8</v>
      </c>
      <c r="BT205" s="27" t="s">
        <v>7</v>
      </c>
    </row>
    <row r="206" spans="1:76" x14ac:dyDescent="0.25">
      <c r="A206" s="30">
        <v>5.2533479691354827</v>
      </c>
      <c r="C206"/>
      <c r="D206"/>
      <c r="E206" t="s">
        <v>8</v>
      </c>
      <c r="AD206" s="27" t="s">
        <v>7</v>
      </c>
      <c r="AE206" s="27" t="s">
        <v>8</v>
      </c>
      <c r="AF206" s="27" t="s">
        <v>7</v>
      </c>
      <c r="AG206" s="27" t="s">
        <v>8</v>
      </c>
      <c r="AH206" s="27" t="s">
        <v>7</v>
      </c>
      <c r="AO206" s="31"/>
      <c r="BE206" s="27" t="s">
        <v>8</v>
      </c>
      <c r="BH206" s="27" t="s">
        <v>7</v>
      </c>
      <c r="BI206" s="27" t="s">
        <v>8</v>
      </c>
      <c r="BJ206" s="27" t="s">
        <v>7</v>
      </c>
      <c r="BK206" s="27" t="s">
        <v>8</v>
      </c>
      <c r="BL206" s="27" t="s">
        <v>7</v>
      </c>
      <c r="BM206" s="27" t="s">
        <v>8</v>
      </c>
      <c r="BN206" s="27" t="s">
        <v>7</v>
      </c>
      <c r="BO206" s="27" t="s">
        <v>8</v>
      </c>
      <c r="BQ206" s="27" t="s">
        <v>8</v>
      </c>
      <c r="BR206" s="27" t="s">
        <v>7</v>
      </c>
      <c r="BS206" s="27" t="s">
        <v>8</v>
      </c>
    </row>
    <row r="207" spans="1:76" x14ac:dyDescent="0.25">
      <c r="A207" s="30">
        <v>5.0031885420337927</v>
      </c>
      <c r="E207" t="s">
        <v>8</v>
      </c>
      <c r="AD207" s="27" t="s">
        <v>7</v>
      </c>
      <c r="AE207" s="27" t="s">
        <v>8</v>
      </c>
      <c r="AF207" s="27" t="s">
        <v>7</v>
      </c>
      <c r="AG207" s="27" t="s">
        <v>8</v>
      </c>
      <c r="AH207" s="27" t="s">
        <v>7</v>
      </c>
      <c r="AP207" s="31"/>
      <c r="BE207" s="27" t="s">
        <v>8</v>
      </c>
      <c r="BH207" s="27" t="s">
        <v>7</v>
      </c>
      <c r="BJ207" s="27" t="s">
        <v>7</v>
      </c>
      <c r="BL207" s="27" t="s">
        <v>7</v>
      </c>
      <c r="BM207" s="27" t="s">
        <v>8</v>
      </c>
      <c r="BN207" s="27" t="s">
        <v>7</v>
      </c>
      <c r="BO207" s="27" t="s">
        <v>8</v>
      </c>
      <c r="BP207" s="27" t="s">
        <v>7</v>
      </c>
      <c r="BQ207" s="27" t="s">
        <v>8</v>
      </c>
      <c r="BR207" s="27" t="s">
        <v>7</v>
      </c>
    </row>
    <row r="208" spans="1:76" x14ac:dyDescent="0.25">
      <c r="A208" s="30">
        <v>4.7649414686036122</v>
      </c>
      <c r="E208" t="s">
        <v>8</v>
      </c>
      <c r="AD208" s="27" t="s">
        <v>7</v>
      </c>
      <c r="AF208" s="27" t="s">
        <v>7</v>
      </c>
      <c r="AG208" s="27" t="s">
        <v>8</v>
      </c>
      <c r="AH208" s="27" t="s">
        <v>7</v>
      </c>
      <c r="AQ208" s="31"/>
      <c r="BE208" s="27" t="s">
        <v>8</v>
      </c>
      <c r="BL208" s="27" t="s">
        <v>7</v>
      </c>
      <c r="BM208" s="27" t="s">
        <v>8</v>
      </c>
      <c r="BN208" s="27" t="s">
        <v>7</v>
      </c>
      <c r="BO208" s="27" t="s">
        <v>8</v>
      </c>
      <c r="BP208" s="27" t="s">
        <v>7</v>
      </c>
      <c r="BQ208" s="27" t="s">
        <v>8</v>
      </c>
    </row>
    <row r="209" spans="1:69" x14ac:dyDescent="0.25">
      <c r="A209" s="30">
        <v>4.5380394939082018</v>
      </c>
      <c r="E209" t="s">
        <v>8</v>
      </c>
      <c r="AF209" s="27" t="s">
        <v>7</v>
      </c>
      <c r="AH209" s="27" t="s">
        <v>7</v>
      </c>
      <c r="AR209" s="31"/>
      <c r="BE209" s="27" t="s">
        <v>8</v>
      </c>
      <c r="BL209" s="27" t="s">
        <v>7</v>
      </c>
      <c r="BN209" s="27" t="s">
        <v>7</v>
      </c>
      <c r="BP209" s="27" t="s">
        <v>7</v>
      </c>
      <c r="BQ209" s="27" t="s">
        <v>8</v>
      </c>
    </row>
    <row r="210" spans="1:69" x14ac:dyDescent="0.25">
      <c r="A210" s="30">
        <v>4.3219423751506678</v>
      </c>
      <c r="C210"/>
      <c r="E210" t="s">
        <v>8</v>
      </c>
      <c r="AH210" s="33" t="s">
        <v>7</v>
      </c>
      <c r="AS210" s="31"/>
      <c r="BC210" s="27" t="s">
        <v>8</v>
      </c>
      <c r="BE210" s="27" t="s">
        <v>8</v>
      </c>
      <c r="BP210" s="27" t="s">
        <v>7</v>
      </c>
    </row>
    <row r="211" spans="1:69" x14ac:dyDescent="0.25">
      <c r="A211" s="30">
        <v>4.1161355953815884</v>
      </c>
      <c r="E211" t="s">
        <v>8</v>
      </c>
      <c r="AH211" s="27" t="s">
        <v>7</v>
      </c>
      <c r="AT211" s="31"/>
      <c r="BC211" s="27" t="s">
        <v>8</v>
      </c>
      <c r="BD211" s="27" t="s">
        <v>7</v>
      </c>
      <c r="BE211" s="27" t="s">
        <v>8</v>
      </c>
    </row>
    <row r="212" spans="1:69" x14ac:dyDescent="0.25">
      <c r="A212" s="30">
        <v>3.9201291384586554</v>
      </c>
      <c r="E212" t="s">
        <v>8</v>
      </c>
      <c r="AH212" s="27" t="s">
        <v>7</v>
      </c>
      <c r="AU212" s="31"/>
      <c r="BC212" s="27" t="s">
        <v>8</v>
      </c>
      <c r="BD212" s="27" t="s">
        <v>7</v>
      </c>
      <c r="BE212" s="27" t="s">
        <v>8</v>
      </c>
    </row>
    <row r="213" spans="1:69" x14ac:dyDescent="0.25">
      <c r="A213" s="30">
        <v>3.7334563223415764</v>
      </c>
      <c r="E213" t="s">
        <v>8</v>
      </c>
      <c r="AH213" s="27" t="s">
        <v>7</v>
      </c>
      <c r="AV213" s="31"/>
      <c r="BC213" s="27" t="s">
        <v>8</v>
      </c>
      <c r="BD213" s="27" t="s">
        <v>7</v>
      </c>
    </row>
    <row r="214" spans="1:69" x14ac:dyDescent="0.25">
      <c r="A214" s="30">
        <v>3.5556726879443583</v>
      </c>
      <c r="E214" t="s">
        <v>8</v>
      </c>
      <c r="AH214" s="27" t="s">
        <v>7</v>
      </c>
      <c r="AU214" s="32" t="s">
        <v>8</v>
      </c>
      <c r="AW214" s="32" t="s">
        <v>8</v>
      </c>
      <c r="AY214" s="32" t="s">
        <v>8</v>
      </c>
      <c r="BC214" s="27" t="s">
        <v>8</v>
      </c>
    </row>
    <row r="215" spans="1:69" x14ac:dyDescent="0.25">
      <c r="A215" s="30">
        <v>3.3863549408993889</v>
      </c>
      <c r="E215" t="s">
        <v>8</v>
      </c>
      <c r="AH215" s="27" t="s">
        <v>7</v>
      </c>
      <c r="AI215" s="27" t="s">
        <v>8</v>
      </c>
      <c r="AS215" s="27" t="s">
        <v>8</v>
      </c>
      <c r="AU215" s="27" t="s">
        <v>8</v>
      </c>
      <c r="AV215" s="27" t="s">
        <v>7</v>
      </c>
      <c r="AW215" s="27" t="s">
        <v>8</v>
      </c>
      <c r="AX215" s="31" t="s">
        <v>7</v>
      </c>
      <c r="AY215" s="18" t="s">
        <v>8</v>
      </c>
      <c r="AZ215" s="27" t="s">
        <v>7</v>
      </c>
      <c r="BA215" s="27" t="s">
        <v>8</v>
      </c>
      <c r="BC215" s="27" t="s">
        <v>8</v>
      </c>
    </row>
    <row r="216" spans="1:69" x14ac:dyDescent="0.25">
      <c r="A216" s="30">
        <v>3.2250999437137038</v>
      </c>
      <c r="E216" t="s">
        <v>8</v>
      </c>
      <c r="AH216" s="27" t="s">
        <v>7</v>
      </c>
      <c r="AI216" s="27" t="s">
        <v>8</v>
      </c>
      <c r="AJ216" s="27" t="s">
        <v>7</v>
      </c>
      <c r="AS216" s="27" t="s">
        <v>8</v>
      </c>
      <c r="AT216" s="27" t="s">
        <v>7</v>
      </c>
      <c r="AU216" s="27" t="s">
        <v>8</v>
      </c>
      <c r="AV216" s="27" t="s">
        <v>7</v>
      </c>
      <c r="AW216" s="27" t="s">
        <v>8</v>
      </c>
      <c r="AX216" s="27" t="s">
        <v>7</v>
      </c>
      <c r="AY216" s="27" t="s">
        <v>8</v>
      </c>
      <c r="AZ216" s="27" t="s">
        <v>7</v>
      </c>
      <c r="BA216" s="27" t="s">
        <v>8</v>
      </c>
      <c r="BB216" s="27" t="s">
        <v>7</v>
      </c>
      <c r="BC216" s="27" t="s">
        <v>8</v>
      </c>
    </row>
    <row r="217" spans="1:69" x14ac:dyDescent="0.25">
      <c r="A217" s="30">
        <v>3.0715237559178128</v>
      </c>
      <c r="E217" t="s">
        <v>8</v>
      </c>
      <c r="AH217" s="27" t="s">
        <v>7</v>
      </c>
      <c r="AI217" s="27" t="s">
        <v>8</v>
      </c>
      <c r="AJ217" s="27" t="s">
        <v>7</v>
      </c>
      <c r="AS217" s="27" t="s">
        <v>8</v>
      </c>
      <c r="AT217" s="27" t="s">
        <v>7</v>
      </c>
      <c r="AU217" s="27" t="s">
        <v>8</v>
      </c>
      <c r="AV217" s="27" t="s">
        <v>7</v>
      </c>
      <c r="AW217" s="2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  <c r="BB217" s="27" t="s">
        <v>7</v>
      </c>
      <c r="BC217" s="27" t="s">
        <v>8</v>
      </c>
    </row>
    <row r="218" spans="1:69" x14ac:dyDescent="0.25">
      <c r="A218" s="30">
        <v>2.9252607199217264</v>
      </c>
      <c r="E218" t="s">
        <v>8</v>
      </c>
      <c r="AH218" s="27" t="s">
        <v>7</v>
      </c>
      <c r="AI218" s="27" t="s">
        <v>8</v>
      </c>
      <c r="AJ218" s="27" t="s">
        <v>7</v>
      </c>
      <c r="AS218" s="27" t="s">
        <v>8</v>
      </c>
      <c r="AT218" s="27" t="s">
        <v>7</v>
      </c>
      <c r="AU218" s="27" t="s">
        <v>8</v>
      </c>
      <c r="AV218" s="27" t="s">
        <v>7</v>
      </c>
      <c r="AW218" s="27" t="s">
        <v>8</v>
      </c>
      <c r="AX218" s="32" t="s">
        <v>7</v>
      </c>
      <c r="AZ218" s="32" t="s">
        <v>7</v>
      </c>
      <c r="BB218" s="27" t="s">
        <v>7</v>
      </c>
    </row>
    <row r="219" spans="1:69" x14ac:dyDescent="0.25">
      <c r="A219" s="30">
        <v>2.7859625904016441</v>
      </c>
      <c r="E219" t="s">
        <v>8</v>
      </c>
      <c r="AH219" s="27" t="s">
        <v>7</v>
      </c>
      <c r="AI219" s="27" t="s">
        <v>8</v>
      </c>
      <c r="AJ219" s="27" t="s">
        <v>7</v>
      </c>
      <c r="AO219" s="27" t="s">
        <v>8</v>
      </c>
      <c r="AS219" s="27" t="s">
        <v>8</v>
      </c>
      <c r="AT219" s="27" t="s">
        <v>7</v>
      </c>
      <c r="AU219" s="27" t="s">
        <v>8</v>
      </c>
      <c r="AV219" s="27" t="s">
        <v>7</v>
      </c>
    </row>
    <row r="220" spans="1:69" x14ac:dyDescent="0.25">
      <c r="A220" s="30">
        <v>2.6532977051444226</v>
      </c>
      <c r="E220" t="s">
        <v>8</v>
      </c>
      <c r="AH220" s="27" t="s">
        <v>7</v>
      </c>
      <c r="AI220" s="27" t="s">
        <v>8</v>
      </c>
      <c r="AJ220" s="27" t="s">
        <v>7</v>
      </c>
      <c r="AM220" s="27" t="s">
        <v>8</v>
      </c>
      <c r="AO220" s="27" t="s">
        <v>8</v>
      </c>
      <c r="AP220" s="27" t="s">
        <v>7</v>
      </c>
      <c r="AS220" s="27" t="s">
        <v>8</v>
      </c>
      <c r="AT220" s="27" t="s">
        <v>7</v>
      </c>
    </row>
    <row r="221" spans="1:69" x14ac:dyDescent="0.25">
      <c r="A221" s="30">
        <v>2.5269501953756404</v>
      </c>
      <c r="E221" t="s">
        <v>8</v>
      </c>
      <c r="AH221" s="27" t="s">
        <v>7</v>
      </c>
      <c r="AI221" s="27" t="s">
        <v>8</v>
      </c>
      <c r="AJ221" s="27" t="s">
        <v>7</v>
      </c>
      <c r="AM221" s="27" t="s">
        <v>8</v>
      </c>
      <c r="AN221" s="27" t="s">
        <v>7</v>
      </c>
      <c r="AO221" s="27" t="s">
        <v>8</v>
      </c>
      <c r="AP221" s="27" t="s">
        <v>7</v>
      </c>
      <c r="AS221" s="27" t="s">
        <v>8</v>
      </c>
    </row>
    <row r="222" spans="1:69" x14ac:dyDescent="0.25">
      <c r="A222" s="30">
        <v>2.4066192336910861</v>
      </c>
      <c r="E222" t="s">
        <v>8</v>
      </c>
      <c r="AH222" s="27" t="s">
        <v>7</v>
      </c>
      <c r="AI222" s="27" t="s">
        <v>8</v>
      </c>
      <c r="AJ222" s="27" t="s">
        <v>7</v>
      </c>
      <c r="AM222" s="34" t="s">
        <v>8</v>
      </c>
      <c r="AN222" s="27" t="s">
        <v>7</v>
      </c>
      <c r="AO222" s="27" t="s">
        <v>8</v>
      </c>
      <c r="AP222" s="27" t="s">
        <v>7</v>
      </c>
      <c r="AS222" s="27" t="s">
        <v>8</v>
      </c>
    </row>
    <row r="223" spans="1:69" x14ac:dyDescent="0.25">
      <c r="A223" s="30">
        <v>2.2920183178010345</v>
      </c>
      <c r="E223" t="s">
        <v>8</v>
      </c>
      <c r="AH223" s="27" t="s">
        <v>7</v>
      </c>
      <c r="AI223" s="27" t="s">
        <v>8</v>
      </c>
      <c r="AJ223" s="27" t="s">
        <v>7</v>
      </c>
      <c r="AK223" s="27" t="s">
        <v>8</v>
      </c>
      <c r="AM223" s="27" t="s">
        <v>8</v>
      </c>
      <c r="AN223" s="27" t="s">
        <v>7</v>
      </c>
      <c r="AO223" s="27" t="s">
        <v>8</v>
      </c>
      <c r="AP223" s="27" t="s">
        <v>7</v>
      </c>
      <c r="AS223" s="34" t="s">
        <v>8</v>
      </c>
    </row>
    <row r="224" spans="1:69" x14ac:dyDescent="0.25">
      <c r="A224" s="30">
        <v>2.1828745883819374</v>
      </c>
      <c r="E224" t="s">
        <v>8</v>
      </c>
      <c r="AH224" s="27" t="s">
        <v>7</v>
      </c>
      <c r="AI224" s="27" t="s">
        <v>8</v>
      </c>
      <c r="AJ224" s="27" t="s">
        <v>7</v>
      </c>
      <c r="AK224" s="27" t="s">
        <v>8</v>
      </c>
      <c r="AL224" s="27" t="s">
        <v>7</v>
      </c>
      <c r="AM224" s="27" t="s">
        <v>8</v>
      </c>
      <c r="AN224" s="27" t="s">
        <v>7</v>
      </c>
      <c r="AO224" s="27" t="s">
        <v>8</v>
      </c>
      <c r="AP224" s="27" t="s">
        <v>7</v>
      </c>
      <c r="AQ224" s="27" t="s">
        <v>8</v>
      </c>
      <c r="AS224" s="27" t="s">
        <v>8</v>
      </c>
    </row>
    <row r="225" spans="1:45" x14ac:dyDescent="0.25">
      <c r="A225" s="30">
        <v>2.0789281794113688</v>
      </c>
      <c r="E225" t="s">
        <v>8</v>
      </c>
      <c r="AH225" s="27" t="s">
        <v>7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  <c r="AP225" s="27" t="s">
        <v>7</v>
      </c>
      <c r="AQ225" s="27" t="s">
        <v>8</v>
      </c>
      <c r="AR225" s="27" t="s">
        <v>7</v>
      </c>
      <c r="AS225" s="27" t="s">
        <v>8</v>
      </c>
    </row>
    <row r="226" spans="1:45" x14ac:dyDescent="0.25">
      <c r="A226" s="30">
        <v>1.9799315994393987</v>
      </c>
      <c r="E226" t="s">
        <v>8</v>
      </c>
      <c r="AJ226" s="27" t="s">
        <v>7</v>
      </c>
      <c r="AK226" s="27" t="s">
        <v>8</v>
      </c>
      <c r="AL226" s="27" t="s">
        <v>7</v>
      </c>
      <c r="AP226" s="33" t="s">
        <v>7</v>
      </c>
      <c r="AQ226" s="27" t="s">
        <v>8</v>
      </c>
      <c r="AR226" s="27" t="s">
        <v>7</v>
      </c>
      <c r="AS226" s="27" t="s">
        <v>8</v>
      </c>
    </row>
    <row r="227" spans="1:45" x14ac:dyDescent="0.25">
      <c r="A227" s="30">
        <v>1.8856491423232367</v>
      </c>
      <c r="E227" t="s">
        <v>8</v>
      </c>
      <c r="AJ227" s="27" t="s">
        <v>7</v>
      </c>
      <c r="AK227" s="27" t="s">
        <v>8</v>
      </c>
      <c r="AP227" s="27" t="s">
        <v>7</v>
      </c>
      <c r="AQ227" s="27" t="s">
        <v>8</v>
      </c>
      <c r="AR227" s="27" t="s">
        <v>7</v>
      </c>
      <c r="AS227" s="27" t="s">
        <v>8</v>
      </c>
    </row>
    <row r="228" spans="1:45" x14ac:dyDescent="0.25">
      <c r="A228" s="30">
        <v>1.7958563260221301</v>
      </c>
      <c r="C228" s="7"/>
      <c r="D228"/>
      <c r="E228" t="s">
        <v>8</v>
      </c>
      <c r="AJ228" s="27" t="s">
        <v>7</v>
      </c>
      <c r="AK228" s="27" t="s">
        <v>8</v>
      </c>
      <c r="AP228" s="27" t="s">
        <v>7</v>
      </c>
      <c r="AQ228" s="27" t="s">
        <v>8</v>
      </c>
      <c r="AR228" s="27" t="s">
        <v>7</v>
      </c>
    </row>
    <row r="229" spans="1:45" x14ac:dyDescent="0.25">
      <c r="A229" s="30">
        <v>1.7103393581163142</v>
      </c>
      <c r="E229" t="s">
        <v>8</v>
      </c>
      <c r="AJ229" s="27" t="s">
        <v>7</v>
      </c>
      <c r="AK229" s="27" t="s">
        <v>8</v>
      </c>
      <c r="AP229" s="27" t="s">
        <v>7</v>
      </c>
      <c r="AQ229" s="27" t="s">
        <v>8</v>
      </c>
    </row>
    <row r="230" spans="1:45" x14ac:dyDescent="0.25">
      <c r="A230" s="30">
        <v>1.628894626777442</v>
      </c>
      <c r="E230" t="s">
        <v>8</v>
      </c>
      <c r="AJ230" s="27" t="s">
        <v>7</v>
      </c>
      <c r="AK230" s="27" t="s">
        <v>8</v>
      </c>
      <c r="AP230" s="27" t="s">
        <v>7</v>
      </c>
      <c r="AQ230" s="27" t="s">
        <v>8</v>
      </c>
    </row>
    <row r="231" spans="1:45" x14ac:dyDescent="0.25">
      <c r="A231" s="30">
        <v>1.5513282159785162</v>
      </c>
      <c r="C231"/>
      <c r="D231"/>
      <c r="E231" t="s">
        <v>8</v>
      </c>
      <c r="AJ231" s="27" t="s">
        <v>7</v>
      </c>
      <c r="AP231" s="27" t="s">
        <v>7</v>
      </c>
    </row>
    <row r="232" spans="1:45" x14ac:dyDescent="0.25">
      <c r="A232" s="30">
        <v>1.477455443789063</v>
      </c>
      <c r="E232" t="s">
        <v>8</v>
      </c>
    </row>
    <row r="233" spans="1:45" x14ac:dyDescent="0.25">
      <c r="A233" s="30">
        <v>1.4071004226562505</v>
      </c>
      <c r="E233" t="s">
        <v>8</v>
      </c>
    </row>
    <row r="234" spans="1:45" x14ac:dyDescent="0.25">
      <c r="A234" s="30">
        <v>1.3400956406250004</v>
      </c>
      <c r="E234" t="s">
        <v>8</v>
      </c>
    </row>
    <row r="235" spans="1:45" x14ac:dyDescent="0.25">
      <c r="A235" s="30">
        <v>1.2762815625000004</v>
      </c>
      <c r="C235"/>
      <c r="E235" t="s">
        <v>8</v>
      </c>
    </row>
    <row r="236" spans="1:45" x14ac:dyDescent="0.25">
      <c r="A236" s="30">
        <v>1.2155062500000002</v>
      </c>
      <c r="E236" t="s">
        <v>8</v>
      </c>
    </row>
    <row r="237" spans="1:4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45" x14ac:dyDescent="0.25">
      <c r="A238" s="30">
        <v>1.1025</v>
      </c>
      <c r="E238" t="s">
        <v>8</v>
      </c>
    </row>
    <row r="239" spans="1:45" x14ac:dyDescent="0.25">
      <c r="A239" s="30">
        <v>1.05</v>
      </c>
      <c r="E239" t="s">
        <v>8</v>
      </c>
    </row>
    <row r="240" spans="1:4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64" operator="equal">
      <formula>$U$1</formula>
    </cfRule>
    <cfRule type="cellIs" dxfId="67" priority="765" operator="equal">
      <formula>$S$1</formula>
    </cfRule>
  </conditionalFormatting>
  <conditionalFormatting sqref="D136">
    <cfRule type="cellIs" dxfId="66" priority="762" operator="equal">
      <formula>$S$1</formula>
    </cfRule>
    <cfRule type="cellIs" dxfId="65" priority="763" operator="equal">
      <formula>$U$1</formula>
    </cfRule>
  </conditionalFormatting>
  <conditionalFormatting sqref="C162">
    <cfRule type="cellIs" dxfId="64" priority="760" operator="equal">
      <formula>$U$1</formula>
    </cfRule>
    <cfRule type="cellIs" dxfId="63" priority="761" operator="equal">
      <formula>$S$1</formula>
    </cfRule>
  </conditionalFormatting>
  <conditionalFormatting sqref="D162">
    <cfRule type="cellIs" dxfId="62" priority="758" operator="equal">
      <formula>$S$1</formula>
    </cfRule>
    <cfRule type="cellIs" dxfId="61" priority="759" operator="equal">
      <formula>$U$1</formula>
    </cfRule>
  </conditionalFormatting>
  <conditionalFormatting sqref="C187">
    <cfRule type="cellIs" dxfId="60" priority="756" operator="equal">
      <formula>$U$1</formula>
    </cfRule>
    <cfRule type="cellIs" dxfId="59" priority="757" operator="equal">
      <formula>$S$1</formula>
    </cfRule>
  </conditionalFormatting>
  <conditionalFormatting sqref="D187">
    <cfRule type="cellIs" dxfId="58" priority="754" operator="equal">
      <formula>$S$1</formula>
    </cfRule>
    <cfRule type="cellIs" dxfId="57" priority="755" operator="equal">
      <formula>$U$1</formula>
    </cfRule>
  </conditionalFormatting>
  <conditionalFormatting sqref="C212">
    <cfRule type="cellIs" dxfId="56" priority="752" operator="equal">
      <formula>$U$1</formula>
    </cfRule>
    <cfRule type="cellIs" dxfId="55" priority="753" operator="equal">
      <formula>$S$1</formula>
    </cfRule>
  </conditionalFormatting>
  <conditionalFormatting sqref="D212">
    <cfRule type="cellIs" dxfId="54" priority="750" operator="equal">
      <formula>$S$1</formula>
    </cfRule>
    <cfRule type="cellIs" dxfId="53" priority="751" operator="equal">
      <formula>$U$1</formula>
    </cfRule>
  </conditionalFormatting>
  <conditionalFormatting sqref="C237">
    <cfRule type="cellIs" dxfId="52" priority="748" operator="equal">
      <formula>$U$1</formula>
    </cfRule>
    <cfRule type="cellIs" dxfId="51" priority="749" operator="equal">
      <formula>$S$1</formula>
    </cfRule>
  </conditionalFormatting>
  <conditionalFormatting sqref="D237">
    <cfRule type="cellIs" dxfId="50" priority="746" operator="equal">
      <formula>$S$1</formula>
    </cfRule>
    <cfRule type="cellIs" dxfId="49" priority="747" operator="equal">
      <formula>$U$1</formula>
    </cfRule>
  </conditionalFormatting>
  <conditionalFormatting sqref="C106">
    <cfRule type="cellIs" dxfId="48" priority="744" operator="equal">
      <formula>$U$1</formula>
    </cfRule>
    <cfRule type="cellIs" dxfId="47" priority="745" operator="equal">
      <formula>$S$1</formula>
    </cfRule>
  </conditionalFormatting>
  <conditionalFormatting sqref="D106">
    <cfRule type="cellIs" dxfId="46" priority="742" operator="equal">
      <formula>$S$1</formula>
    </cfRule>
    <cfRule type="cellIs" dxfId="45" priority="743" operator="equal">
      <formula>$U$1</formula>
    </cfRule>
  </conditionalFormatting>
  <conditionalFormatting sqref="C81">
    <cfRule type="cellIs" dxfId="44" priority="740" operator="equal">
      <formula>$U$1</formula>
    </cfRule>
    <cfRule type="cellIs" dxfId="43" priority="741" operator="equal">
      <formula>$S$1</formula>
    </cfRule>
  </conditionalFormatting>
  <conditionalFormatting sqref="D81">
    <cfRule type="cellIs" dxfId="42" priority="738" operator="equal">
      <formula>$S$1</formula>
    </cfRule>
    <cfRule type="cellIs" dxfId="41" priority="739" operator="equal">
      <formula>$U$1</formula>
    </cfRule>
  </conditionalFormatting>
  <conditionalFormatting sqref="C56">
    <cfRule type="cellIs" dxfId="40" priority="736" operator="equal">
      <formula>$U$1</formula>
    </cfRule>
    <cfRule type="cellIs" dxfId="39" priority="737" operator="equal">
      <formula>$S$1</formula>
    </cfRule>
  </conditionalFormatting>
  <conditionalFormatting sqref="D56">
    <cfRule type="cellIs" dxfId="38" priority="734" operator="equal">
      <formula>$S$1</formula>
    </cfRule>
    <cfRule type="cellIs" dxfId="37" priority="735" operator="equal">
      <formula>$U$1</formula>
    </cfRule>
  </conditionalFormatting>
  <conditionalFormatting sqref="C31">
    <cfRule type="cellIs" dxfId="36" priority="732" operator="equal">
      <formula>$U$1</formula>
    </cfRule>
    <cfRule type="cellIs" dxfId="35" priority="733" operator="equal">
      <formula>$S$1</formula>
    </cfRule>
  </conditionalFormatting>
  <conditionalFormatting sqref="D31">
    <cfRule type="cellIs" dxfId="34" priority="730" operator="equal">
      <formula>$S$1</formula>
    </cfRule>
    <cfRule type="cellIs" dxfId="33" priority="73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0" zoomScale="90" zoomScaleNormal="90" workbookViewId="0">
      <pane xSplit="4" topLeftCell="G1" activePane="topRight" state="frozen"/>
      <selection activeCell="A109" sqref="A109"/>
      <selection pane="topRight" activeCell="AF91" sqref="AF9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2" x14ac:dyDescent="0.25">
      <c r="A81" s="30">
        <v>45.259255568176073</v>
      </c>
      <c r="E81"/>
      <c r="AE81" s="27" t="s">
        <v>8</v>
      </c>
    </row>
    <row r="82" spans="1:32" x14ac:dyDescent="0.25">
      <c r="A82" s="30">
        <v>41.144777789250973</v>
      </c>
      <c r="E82"/>
      <c r="AE82" s="27" t="s">
        <v>8</v>
      </c>
      <c r="AF82" s="27" t="s">
        <v>7</v>
      </c>
    </row>
    <row r="83" spans="1:32" x14ac:dyDescent="0.25">
      <c r="A83" s="30">
        <v>37.404343444773609</v>
      </c>
      <c r="E83"/>
      <c r="AE83" s="27" t="s">
        <v>8</v>
      </c>
      <c r="AF83" s="27" t="s">
        <v>7</v>
      </c>
    </row>
    <row r="84" spans="1:32" x14ac:dyDescent="0.25">
      <c r="A84" s="30">
        <v>34.003948586157826</v>
      </c>
      <c r="E84"/>
      <c r="AE84" s="27" t="s">
        <v>8</v>
      </c>
      <c r="AF84" s="27" t="s">
        <v>7</v>
      </c>
    </row>
    <row r="85" spans="1:32" x14ac:dyDescent="0.25">
      <c r="A85" s="30">
        <v>30.912680532870748</v>
      </c>
      <c r="E85"/>
      <c r="AE85" s="27" t="s">
        <v>8</v>
      </c>
      <c r="AF85" s="27" t="s">
        <v>7</v>
      </c>
    </row>
    <row r="86" spans="1:32" x14ac:dyDescent="0.25">
      <c r="A86" s="30">
        <v>28.102436848064315</v>
      </c>
      <c r="E86"/>
      <c r="AE86" s="27" t="s">
        <v>8</v>
      </c>
      <c r="AF86" s="27" t="s">
        <v>7</v>
      </c>
    </row>
    <row r="87" spans="1:32" x14ac:dyDescent="0.25">
      <c r="A87" s="30">
        <v>25.547669861876649</v>
      </c>
      <c r="E87"/>
      <c r="AA87" s="27" t="s">
        <v>8</v>
      </c>
      <c r="AC87" s="27" t="s">
        <v>8</v>
      </c>
      <c r="AE87" s="27" t="s">
        <v>8</v>
      </c>
      <c r="AF87" s="27" t="s">
        <v>7</v>
      </c>
    </row>
    <row r="88" spans="1:32" x14ac:dyDescent="0.25">
      <c r="A88" s="30">
        <v>23.225154419887861</v>
      </c>
      <c r="E88"/>
      <c r="AA88" s="27" t="s">
        <v>8</v>
      </c>
      <c r="AB88" s="27" t="s">
        <v>7</v>
      </c>
      <c r="AC88" s="27" t="s">
        <v>8</v>
      </c>
      <c r="AD88" s="27" t="s">
        <v>7</v>
      </c>
      <c r="AE88" s="27" t="s">
        <v>8</v>
      </c>
      <c r="AF88" s="27" t="s">
        <v>7</v>
      </c>
    </row>
    <row r="89" spans="1:32" x14ac:dyDescent="0.25">
      <c r="A89" s="30">
        <v>21.113776745352599</v>
      </c>
      <c r="E89"/>
      <c r="AA89" s="27" t="s">
        <v>8</v>
      </c>
      <c r="AB89" s="27" t="s">
        <v>7</v>
      </c>
      <c r="AC89" s="27" t="s">
        <v>8</v>
      </c>
      <c r="AD89" s="27" t="s">
        <v>7</v>
      </c>
      <c r="AE89" s="27" t="s">
        <v>8</v>
      </c>
      <c r="AF89" s="27" t="s">
        <v>7</v>
      </c>
    </row>
    <row r="90" spans="1:32" x14ac:dyDescent="0.25">
      <c r="A90" s="30">
        <v>19.194342495775089</v>
      </c>
      <c r="E90"/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F90" s="27" t="s">
        <v>7</v>
      </c>
    </row>
    <row r="91" spans="1:32" x14ac:dyDescent="0.25">
      <c r="A91" s="30">
        <v>17.449402268886445</v>
      </c>
      <c r="E91"/>
      <c r="AA91" s="27" t="s">
        <v>8</v>
      </c>
      <c r="AB91" s="27" t="s">
        <v>7</v>
      </c>
      <c r="AC91" s="27" t="s">
        <v>8</v>
      </c>
      <c r="AD91" s="27" t="s">
        <v>7</v>
      </c>
      <c r="AE91" s="27" t="s">
        <v>8</v>
      </c>
      <c r="AF91" s="27" t="s">
        <v>7</v>
      </c>
    </row>
    <row r="92" spans="1:32" x14ac:dyDescent="0.25">
      <c r="A92" s="30">
        <v>15.863092971714948</v>
      </c>
      <c r="C92" s="1" t="s">
        <v>15</v>
      </c>
      <c r="E92" t="s">
        <v>8</v>
      </c>
      <c r="G92" s="31" t="s">
        <v>8</v>
      </c>
      <c r="Y92" s="27" t="s">
        <v>8</v>
      </c>
      <c r="AA92" s="27" t="s">
        <v>8</v>
      </c>
      <c r="AB92" s="27" t="s">
        <v>7</v>
      </c>
      <c r="AC92" s="27" t="s">
        <v>8</v>
      </c>
      <c r="AD92" s="27" t="s">
        <v>7</v>
      </c>
      <c r="AE92" s="27" t="s">
        <v>8</v>
      </c>
    </row>
    <row r="93" spans="1:32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31" t="s">
        <v>7</v>
      </c>
      <c r="Y93" s="27" t="s">
        <v>8</v>
      </c>
      <c r="Z93" s="27" t="s">
        <v>7</v>
      </c>
      <c r="AA93" s="27" t="s">
        <v>8</v>
      </c>
      <c r="AB93" s="27" t="s">
        <v>7</v>
      </c>
      <c r="AD93" s="27" t="s">
        <v>7</v>
      </c>
    </row>
    <row r="94" spans="1:32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I94" s="31"/>
      <c r="Y94" s="27" t="s">
        <v>8</v>
      </c>
      <c r="Z94" s="27" t="s">
        <v>7</v>
      </c>
      <c r="AA94" s="27" t="s">
        <v>8</v>
      </c>
    </row>
    <row r="95" spans="1:32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G95" s="27" t="s">
        <v>8</v>
      </c>
      <c r="H95" s="27" t="s">
        <v>7</v>
      </c>
      <c r="J95" s="31"/>
      <c r="Y95" s="27" t="s">
        <v>8</v>
      </c>
      <c r="Z95" s="27" t="s">
        <v>7</v>
      </c>
      <c r="AA95" s="27" t="s">
        <v>8</v>
      </c>
    </row>
    <row r="96" spans="1:32" x14ac:dyDescent="0.25">
      <c r="A96" s="30">
        <v>10.834705943388391</v>
      </c>
      <c r="C96"/>
      <c r="D96"/>
      <c r="E96" t="s">
        <v>8</v>
      </c>
      <c r="F96" s="27" t="s">
        <v>7</v>
      </c>
      <c r="G96" s="27" t="s">
        <v>8</v>
      </c>
      <c r="H96" s="27" t="s">
        <v>7</v>
      </c>
      <c r="K96" s="31"/>
      <c r="Y96" s="27" t="s">
        <v>8</v>
      </c>
      <c r="Z96" s="27" t="s">
        <v>7</v>
      </c>
      <c r="AA96" s="27" t="s">
        <v>8</v>
      </c>
    </row>
    <row r="97" spans="1:26" x14ac:dyDescent="0.25">
      <c r="A97" s="30">
        <v>9.849732675807628</v>
      </c>
      <c r="E97" t="s">
        <v>8</v>
      </c>
      <c r="F97" s="27" t="s">
        <v>7</v>
      </c>
      <c r="G97" s="27" t="s">
        <v>8</v>
      </c>
      <c r="H97" s="27" t="s">
        <v>7</v>
      </c>
      <c r="I97" s="27" t="s">
        <v>8</v>
      </c>
      <c r="L97" s="31"/>
      <c r="Y97" s="27" t="s">
        <v>8</v>
      </c>
      <c r="Z97" s="27" t="s">
        <v>7</v>
      </c>
    </row>
    <row r="98" spans="1:26" x14ac:dyDescent="0.25">
      <c r="A98" s="30">
        <v>8.9543024325523888</v>
      </c>
      <c r="C98" s="1" t="s">
        <v>13</v>
      </c>
      <c r="E98" t="s">
        <v>8</v>
      </c>
      <c r="F98" s="27" t="s">
        <v>7</v>
      </c>
      <c r="G98" s="27" t="s">
        <v>8</v>
      </c>
      <c r="H98" s="27" t="s">
        <v>7</v>
      </c>
      <c r="I98" s="27" t="s">
        <v>8</v>
      </c>
      <c r="J98" s="27" t="s">
        <v>7</v>
      </c>
      <c r="M98" s="31"/>
      <c r="U98" s="27" t="s">
        <v>8</v>
      </c>
      <c r="Y98" s="27" t="s">
        <v>8</v>
      </c>
    </row>
    <row r="99" spans="1:26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G99" s="27" t="s">
        <v>8</v>
      </c>
      <c r="H99" s="27" t="s">
        <v>7</v>
      </c>
      <c r="I99" s="27" t="s">
        <v>8</v>
      </c>
      <c r="J99" s="27" t="s">
        <v>7</v>
      </c>
      <c r="N99" s="31"/>
      <c r="U99" s="27" t="s">
        <v>8</v>
      </c>
      <c r="V99" s="27" t="s">
        <v>7</v>
      </c>
      <c r="Y99" s="27" t="s">
        <v>8</v>
      </c>
    </row>
    <row r="100" spans="1:26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  <c r="H100" s="27" t="s">
        <v>7</v>
      </c>
      <c r="J100" s="27" t="s">
        <v>7</v>
      </c>
      <c r="K100" s="27" t="s">
        <v>8</v>
      </c>
      <c r="O100" s="31"/>
      <c r="S100" s="27" t="s">
        <v>8</v>
      </c>
      <c r="U100" s="27" t="s">
        <v>8</v>
      </c>
      <c r="V100" s="27" t="s">
        <v>7</v>
      </c>
      <c r="W100" s="27" t="s">
        <v>8</v>
      </c>
      <c r="Y100" s="27" t="s">
        <v>8</v>
      </c>
    </row>
    <row r="101" spans="1:26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J101" s="27" t="s">
        <v>7</v>
      </c>
      <c r="K101" s="27" t="s">
        <v>8</v>
      </c>
      <c r="L101" s="27" t="s">
        <v>7</v>
      </c>
      <c r="P101" s="31"/>
      <c r="Q101" s="27" t="s">
        <v>8</v>
      </c>
      <c r="S101" s="27" t="s">
        <v>8</v>
      </c>
      <c r="T101" s="27" t="s">
        <v>7</v>
      </c>
      <c r="U101" s="27" t="s">
        <v>8</v>
      </c>
      <c r="V101" s="27" t="s">
        <v>7</v>
      </c>
      <c r="W101" s="27" t="s">
        <v>8</v>
      </c>
      <c r="X101" s="27" t="s">
        <v>7</v>
      </c>
      <c r="Y101" s="27" t="s">
        <v>8</v>
      </c>
    </row>
    <row r="102" spans="1:2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J102" s="27" t="s">
        <v>7</v>
      </c>
      <c r="K102" s="27" t="s">
        <v>8</v>
      </c>
      <c r="L102" s="27" t="s">
        <v>7</v>
      </c>
      <c r="Q102" s="31" t="s">
        <v>8</v>
      </c>
      <c r="R102" s="27" t="s">
        <v>7</v>
      </c>
      <c r="S102" s="27" t="s">
        <v>8</v>
      </c>
      <c r="T102" s="27" t="s">
        <v>7</v>
      </c>
      <c r="U102" s="27" t="s">
        <v>8</v>
      </c>
      <c r="V102" s="27" t="s">
        <v>7</v>
      </c>
      <c r="W102" s="27" t="s">
        <v>8</v>
      </c>
      <c r="X102" s="27" t="s">
        <v>7</v>
      </c>
      <c r="Y102" s="27" t="s">
        <v>8</v>
      </c>
    </row>
    <row r="103" spans="1:26" x14ac:dyDescent="0.25">
      <c r="A103" s="30">
        <v>5.5599173134922388</v>
      </c>
      <c r="E103" t="s">
        <v>8</v>
      </c>
      <c r="J103" s="27" t="s">
        <v>7</v>
      </c>
      <c r="K103" s="27" t="s">
        <v>8</v>
      </c>
      <c r="L103" s="27" t="s">
        <v>7</v>
      </c>
      <c r="Q103" s="27" t="s">
        <v>8</v>
      </c>
      <c r="R103" s="31" t="s">
        <v>7</v>
      </c>
      <c r="S103" s="27" t="s">
        <v>8</v>
      </c>
      <c r="T103" s="27" t="s">
        <v>7</v>
      </c>
      <c r="U103" s="27" t="s">
        <v>8</v>
      </c>
      <c r="V103" s="27" t="s">
        <v>7</v>
      </c>
      <c r="W103" s="27" t="s">
        <v>8</v>
      </c>
      <c r="X103" s="27" t="s">
        <v>7</v>
      </c>
    </row>
    <row r="104" spans="1:26" x14ac:dyDescent="0.25">
      <c r="A104" s="30">
        <v>5.0544702849929442</v>
      </c>
      <c r="E104" t="s">
        <v>8</v>
      </c>
      <c r="J104" s="27" t="s">
        <v>7</v>
      </c>
      <c r="K104" s="27" t="s">
        <v>8</v>
      </c>
      <c r="L104" s="27" t="s">
        <v>7</v>
      </c>
      <c r="Q104" s="27" t="s">
        <v>8</v>
      </c>
      <c r="R104" s="27" t="s">
        <v>7</v>
      </c>
      <c r="S104" s="31"/>
      <c r="T104" s="27" t="s">
        <v>7</v>
      </c>
      <c r="V104" s="27" t="s">
        <v>7</v>
      </c>
      <c r="W104" s="27" t="s">
        <v>8</v>
      </c>
    </row>
    <row r="105" spans="1:26" x14ac:dyDescent="0.25">
      <c r="A105" s="30">
        <v>4.594972986357222</v>
      </c>
      <c r="E105" t="s">
        <v>8</v>
      </c>
      <c r="J105" s="27" t="s">
        <v>7</v>
      </c>
      <c r="L105" s="27" t="s">
        <v>7</v>
      </c>
      <c r="Q105" s="27" t="s">
        <v>8</v>
      </c>
      <c r="T105" s="31"/>
      <c r="V105" s="27" t="s">
        <v>7</v>
      </c>
    </row>
    <row r="106" spans="1:26" x14ac:dyDescent="0.25">
      <c r="A106" s="30">
        <v>4.1772481694156562</v>
      </c>
      <c r="E106" t="s">
        <v>8</v>
      </c>
      <c r="L106" s="27" t="s">
        <v>7</v>
      </c>
      <c r="Q106" s="27" t="s">
        <v>8</v>
      </c>
      <c r="U106" s="31"/>
    </row>
    <row r="107" spans="1:26" x14ac:dyDescent="0.25">
      <c r="A107" s="30">
        <v>3.7974983358324148</v>
      </c>
      <c r="E107" t="s">
        <v>8</v>
      </c>
      <c r="L107" s="27" t="s">
        <v>7</v>
      </c>
      <c r="Q107" s="27" t="s">
        <v>8</v>
      </c>
    </row>
    <row r="108" spans="1:26" x14ac:dyDescent="0.25">
      <c r="A108" s="30">
        <v>3.4522712143931042</v>
      </c>
      <c r="E108" t="s">
        <v>8</v>
      </c>
      <c r="L108" s="27" t="s">
        <v>7</v>
      </c>
      <c r="Q108" s="18" t="s">
        <v>8</v>
      </c>
    </row>
    <row r="109" spans="1:26" x14ac:dyDescent="0.25">
      <c r="A109" s="30">
        <v>3.1384283767210035</v>
      </c>
      <c r="E109" t="s">
        <v>8</v>
      </c>
      <c r="L109" s="27" t="s">
        <v>7</v>
      </c>
      <c r="M109" s="27" t="s">
        <v>8</v>
      </c>
      <c r="Q109" s="27" t="s">
        <v>8</v>
      </c>
    </row>
    <row r="110" spans="1:26" x14ac:dyDescent="0.25">
      <c r="A110" s="30">
        <v>2.8531167061100029</v>
      </c>
      <c r="E110" t="s">
        <v>8</v>
      </c>
      <c r="L110" s="27" t="s">
        <v>7</v>
      </c>
      <c r="M110" s="27" t="s">
        <v>8</v>
      </c>
      <c r="N110" s="27" t="s">
        <v>7</v>
      </c>
      <c r="Q110" s="27" t="s">
        <v>8</v>
      </c>
    </row>
    <row r="111" spans="1:26" x14ac:dyDescent="0.25">
      <c r="A111" s="30">
        <v>2.5937424601000023</v>
      </c>
      <c r="C111" s="1" t="str">
        <f>ADDRESS(C121-1,1,1,1)</f>
        <v>$A$90</v>
      </c>
      <c r="D111" s="1" t="str">
        <f>ADDRESS(C121-1,D121,1,1)</f>
        <v>$AF$90</v>
      </c>
      <c r="E111" t="s">
        <v>8</v>
      </c>
      <c r="L111" s="27" t="s">
        <v>7</v>
      </c>
      <c r="M111" s="27" t="s">
        <v>8</v>
      </c>
      <c r="N111" s="27" t="s">
        <v>7</v>
      </c>
      <c r="O111" s="27" t="s">
        <v>8</v>
      </c>
      <c r="Q111" s="27" t="s">
        <v>8</v>
      </c>
    </row>
    <row r="112" spans="1:26" x14ac:dyDescent="0.25">
      <c r="A112" s="30">
        <v>2.3579476910000019</v>
      </c>
      <c r="C112" s="1" t="str">
        <f>ADDRESS(C121,1,1,1)</f>
        <v>$A$91</v>
      </c>
      <c r="D112" s="1" t="str">
        <f>ADDRESS(C121,D121-1,1,1)</f>
        <v>$AE$91</v>
      </c>
      <c r="E112" t="s">
        <v>8</v>
      </c>
      <c r="L112" s="27" t="s">
        <v>7</v>
      </c>
      <c r="M112" s="27" t="s">
        <v>8</v>
      </c>
      <c r="N112" s="27" t="s">
        <v>7</v>
      </c>
      <c r="O112" s="27" t="s">
        <v>8</v>
      </c>
      <c r="P112" s="27" t="s">
        <v>7</v>
      </c>
      <c r="Q112" s="27" t="s">
        <v>8</v>
      </c>
    </row>
    <row r="113" spans="1:17" x14ac:dyDescent="0.25">
      <c r="A113" s="30">
        <v>2.1435888100000016</v>
      </c>
      <c r="C113" s="1" t="str">
        <f>ADDRESS(C121+1,1,1,1)</f>
        <v>$A$92</v>
      </c>
      <c r="D113" s="1" t="str">
        <f>ADDRESS(C121-1,D121+1,1,1)</f>
        <v>$AG$90</v>
      </c>
      <c r="E113" s="1" t="s">
        <v>8</v>
      </c>
      <c r="L113" s="27" t="s">
        <v>7</v>
      </c>
      <c r="N113" s="27" t="s">
        <v>7</v>
      </c>
      <c r="O113" s="27" t="s">
        <v>8</v>
      </c>
      <c r="P113" s="27" t="s">
        <v>7</v>
      </c>
      <c r="Q113" s="27" t="s">
        <v>8</v>
      </c>
    </row>
    <row r="114" spans="1:17" x14ac:dyDescent="0.25">
      <c r="A114" s="30">
        <v>1.9487171000000014</v>
      </c>
      <c r="C114" s="1" t="str">
        <f>ADDRESS(C121,D121,1,1)</f>
        <v>$AF$91</v>
      </c>
      <c r="D114" s="1" t="str">
        <f>ADDRESS(C121+1,D121+1,1,1)</f>
        <v>$AG$92</v>
      </c>
      <c r="E114" s="1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</row>
    <row r="115" spans="1:17" x14ac:dyDescent="0.25">
      <c r="A115" s="30">
        <v>1.7715610000000011</v>
      </c>
      <c r="C115" s="1" t="str">
        <f>ADDRESS(C121+1,D121,1,1)</f>
        <v>$AF$92</v>
      </c>
      <c r="E115" s="1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</row>
    <row r="116" spans="1:17" x14ac:dyDescent="0.25">
      <c r="A116" s="30">
        <v>1.6105100000000008</v>
      </c>
      <c r="C116" s="1">
        <f>C117-1</f>
        <v>90</v>
      </c>
      <c r="E116" s="1" t="s">
        <v>8</v>
      </c>
      <c r="N116" s="27" t="s">
        <v>7</v>
      </c>
      <c r="P116" s="27" t="s">
        <v>7</v>
      </c>
    </row>
    <row r="117" spans="1:17" x14ac:dyDescent="0.25">
      <c r="A117" s="30">
        <v>1.4641000000000006</v>
      </c>
      <c r="C117" s="1">
        <f>C121</f>
        <v>91</v>
      </c>
      <c r="D117" s="1">
        <f>D121</f>
        <v>32</v>
      </c>
      <c r="E117" s="1" t="s">
        <v>8</v>
      </c>
    </row>
    <row r="118" spans="1:17" x14ac:dyDescent="0.25">
      <c r="A118" s="30">
        <v>1.3310000000000004</v>
      </c>
      <c r="C118" s="1">
        <f>C117+1</f>
        <v>92</v>
      </c>
      <c r="D118" s="1">
        <f>D117+1</f>
        <v>33</v>
      </c>
      <c r="E118" s="1" t="s">
        <v>8</v>
      </c>
    </row>
    <row r="119" spans="1:17" x14ac:dyDescent="0.25">
      <c r="A119" s="30">
        <v>1.2100000000000002</v>
      </c>
      <c r="E119" s="1" t="s">
        <v>8</v>
      </c>
    </row>
    <row r="120" spans="1:17" x14ac:dyDescent="0.25">
      <c r="A120" s="30">
        <v>1.1000000000000001</v>
      </c>
      <c r="C120" s="1" t="s">
        <v>9</v>
      </c>
      <c r="E120" s="1" t="s">
        <v>8</v>
      </c>
    </row>
    <row r="121" spans="1:17" x14ac:dyDescent="0.25">
      <c r="A121" s="30">
        <v>1</v>
      </c>
      <c r="C121" s="18">
        <v>91</v>
      </c>
      <c r="D121" s="19">
        <v>32</v>
      </c>
      <c r="E121" s="18" t="s">
        <v>8</v>
      </c>
    </row>
    <row r="122" spans="1:17" x14ac:dyDescent="0.25">
      <c r="A122" s="30">
        <v>0.90909090909090895</v>
      </c>
      <c r="C122" s="1" t="str">
        <f>INDEX(1:1048576,C117,D117)</f>
        <v>O</v>
      </c>
    </row>
    <row r="123" spans="1:17" x14ac:dyDescent="0.25">
      <c r="A123" s="30">
        <v>0.82644628099173523</v>
      </c>
      <c r="C123" s="1" t="str">
        <f>"R"&amp;C121</f>
        <v>R91</v>
      </c>
      <c r="D123" s="1" t="str">
        <f>"C"&amp;D121</f>
        <v>C32</v>
      </c>
    </row>
    <row r="124" spans="1:17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7" x14ac:dyDescent="0.25">
      <c r="A125" s="30">
        <v>0.68301345536507019</v>
      </c>
    </row>
    <row r="126" spans="1:17" x14ac:dyDescent="0.25">
      <c r="A126" s="30">
        <v>0.6209213230591546</v>
      </c>
      <c r="C126" s="1" t="s">
        <v>10</v>
      </c>
    </row>
    <row r="127" spans="1:17" x14ac:dyDescent="0.25">
      <c r="A127" s="30">
        <v>0.56447393005377677</v>
      </c>
      <c r="C127" s="30">
        <v>17.449402268886445</v>
      </c>
      <c r="D127"/>
    </row>
    <row r="128" spans="1:17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48" operator="equal">
      <formula>$U$1</formula>
    </cfRule>
    <cfRule type="cellIs" dxfId="30" priority="749" operator="equal">
      <formula>$S$1</formula>
    </cfRule>
  </conditionalFormatting>
  <conditionalFormatting sqref="D136">
    <cfRule type="cellIs" dxfId="29" priority="746" operator="equal">
      <formula>$S$1</formula>
    </cfRule>
    <cfRule type="cellIs" dxfId="28" priority="747" operator="equal">
      <formula>$U$1</formula>
    </cfRule>
  </conditionalFormatting>
  <conditionalFormatting sqref="C102">
    <cfRule type="cellIs" dxfId="27" priority="744" operator="equal">
      <formula>$U$1</formula>
    </cfRule>
    <cfRule type="cellIs" dxfId="26" priority="745" operator="equal">
      <formula>$S$1</formula>
    </cfRule>
  </conditionalFormatting>
  <conditionalFormatting sqref="D102">
    <cfRule type="cellIs" dxfId="25" priority="742" operator="equal">
      <formula>$S$1</formula>
    </cfRule>
    <cfRule type="cellIs" dxfId="24" priority="743" operator="equal">
      <formula>$U$1</formula>
    </cfRule>
  </conditionalFormatting>
  <conditionalFormatting sqref="C77">
    <cfRule type="cellIs" dxfId="23" priority="740" operator="equal">
      <formula>$U$1</formula>
    </cfRule>
    <cfRule type="cellIs" dxfId="22" priority="741" operator="equal">
      <formula>$S$1</formula>
    </cfRule>
  </conditionalFormatting>
  <conditionalFormatting sqref="D77">
    <cfRule type="cellIs" dxfId="21" priority="738" operator="equal">
      <formula>$S$1</formula>
    </cfRule>
    <cfRule type="cellIs" dxfId="20" priority="739" operator="equal">
      <formula>$U$1</formula>
    </cfRule>
  </conditionalFormatting>
  <conditionalFormatting sqref="C52">
    <cfRule type="cellIs" dxfId="19" priority="736" operator="equal">
      <formula>$U$1</formula>
    </cfRule>
    <cfRule type="cellIs" dxfId="18" priority="737" operator="equal">
      <formula>$S$1</formula>
    </cfRule>
  </conditionalFormatting>
  <conditionalFormatting sqref="D52">
    <cfRule type="cellIs" dxfId="17" priority="734" operator="equal">
      <formula>$S$1</formula>
    </cfRule>
    <cfRule type="cellIs" dxfId="16" priority="735" operator="equal">
      <formula>$U$1</formula>
    </cfRule>
  </conditionalFormatting>
  <conditionalFormatting sqref="C26">
    <cfRule type="cellIs" dxfId="15" priority="732" operator="equal">
      <formula>$U$1</formula>
    </cfRule>
    <cfRule type="cellIs" dxfId="14" priority="733" operator="equal">
      <formula>$S$1</formula>
    </cfRule>
  </conditionalFormatting>
  <conditionalFormatting sqref="D26">
    <cfRule type="cellIs" dxfId="13" priority="730" operator="equal">
      <formula>$S$1</formula>
    </cfRule>
    <cfRule type="cellIs" dxfId="12" priority="73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2022-01-28T01:17:03Z</dcterms:modified>
</cp:coreProperties>
</file>