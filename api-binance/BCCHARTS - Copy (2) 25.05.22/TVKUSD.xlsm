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439FE652-D534-4582-9EA8-FE084425B80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 s="1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 s="1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C136" i="5" s="1"/>
  <c r="C116" i="5"/>
  <c r="C122" i="3"/>
  <c r="C133" i="3" s="1"/>
  <c r="C136" i="3" s="1"/>
  <c r="C116" i="4"/>
  <c r="C122" i="4"/>
  <c r="C133" i="4" s="1"/>
  <c r="C136" i="4" s="1"/>
  <c r="C118" i="3"/>
  <c r="C116" i="3"/>
  <c r="R765" i="1"/>
  <c r="D136" i="5" l="1"/>
  <c r="C138" i="5" s="1"/>
  <c r="D136" i="3"/>
  <c r="C138" i="3" s="1"/>
  <c r="D136" i="4"/>
  <c r="C138" i="4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S224" i="1" l="1"/>
  <c r="T224" i="1" s="1"/>
  <c r="R223" i="1"/>
  <c r="S223" i="1" l="1"/>
  <c r="T223" i="1" s="1"/>
  <c r="R222" i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S216" i="1" l="1"/>
  <c r="T216" i="1" s="1"/>
  <c r="R215" i="1"/>
  <c r="S215" i="1" l="1"/>
  <c r="T215" i="1" s="1"/>
  <c r="R214" i="1"/>
  <c r="R213" i="1" l="1"/>
  <c r="S214" i="1"/>
  <c r="T214" i="1" s="1"/>
  <c r="R212" i="1" l="1"/>
  <c r="S213" i="1"/>
  <c r="T213" i="1" s="1"/>
  <c r="S212" i="1" l="1"/>
  <c r="T212" i="1" s="1"/>
  <c r="R211" i="1"/>
  <c r="S211" i="1" l="1"/>
  <c r="T211" i="1" s="1"/>
  <c r="R210" i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S204" i="1" l="1"/>
  <c r="T204" i="1" s="1"/>
  <c r="R203" i="1"/>
  <c r="S203" i="1" l="1"/>
  <c r="T203" i="1" s="1"/>
  <c r="R202" i="1"/>
  <c r="R201" i="1" l="1"/>
  <c r="S202" i="1"/>
  <c r="T202" i="1" s="1"/>
  <c r="R200" i="1" l="1"/>
  <c r="S201" i="1"/>
  <c r="T201" i="1" s="1"/>
  <c r="S200" i="1" l="1"/>
  <c r="T200" i="1" s="1"/>
  <c r="R199" i="1"/>
  <c r="S199" i="1" l="1"/>
  <c r="T199" i="1" s="1"/>
  <c r="R198" i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S192" i="1" l="1"/>
  <c r="T192" i="1" s="1"/>
  <c r="R191" i="1"/>
  <c r="S191" i="1" l="1"/>
  <c r="T191" i="1" s="1"/>
  <c r="R190" i="1"/>
  <c r="R189" i="1" l="1"/>
  <c r="S190" i="1"/>
  <c r="T190" i="1" s="1"/>
  <c r="R188" i="1" l="1"/>
  <c r="S189" i="1"/>
  <c r="T189" i="1" s="1"/>
  <c r="S188" i="1" l="1"/>
  <c r="T188" i="1" s="1"/>
  <c r="R187" i="1"/>
  <c r="S187" i="1" l="1"/>
  <c r="T187" i="1" s="1"/>
  <c r="R186" i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S180" i="1" l="1"/>
  <c r="T180" i="1" s="1"/>
  <c r="R179" i="1"/>
  <c r="S179" i="1" l="1"/>
  <c r="T179" i="1" s="1"/>
  <c r="R178" i="1"/>
  <c r="R177" i="1" l="1"/>
  <c r="S178" i="1"/>
  <c r="T178" i="1" s="1"/>
  <c r="R176" i="1" l="1"/>
  <c r="S177" i="1"/>
  <c r="T177" i="1" s="1"/>
  <c r="S176" i="1" l="1"/>
  <c r="T176" i="1" s="1"/>
  <c r="R175" i="1"/>
  <c r="S175" i="1" l="1"/>
  <c r="T175" i="1" s="1"/>
  <c r="R174" i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S168" i="1" l="1"/>
  <c r="T168" i="1" s="1"/>
  <c r="R167" i="1"/>
  <c r="S167" i="1" l="1"/>
  <c r="T167" i="1" s="1"/>
  <c r="R166" i="1"/>
  <c r="R165" i="1" l="1"/>
  <c r="S166" i="1"/>
  <c r="T166" i="1" s="1"/>
  <c r="R164" i="1" l="1"/>
  <c r="S165" i="1"/>
  <c r="T165" i="1" s="1"/>
  <c r="S164" i="1" l="1"/>
  <c r="T164" i="1" s="1"/>
  <c r="R163" i="1"/>
  <c r="S163" i="1" l="1"/>
  <c r="T163" i="1" s="1"/>
  <c r="R162" i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S156" i="1" l="1"/>
  <c r="T156" i="1" s="1"/>
  <c r="R155" i="1"/>
  <c r="S155" i="1" l="1"/>
  <c r="T155" i="1" s="1"/>
  <c r="R154" i="1"/>
  <c r="R153" i="1" l="1"/>
  <c r="S154" i="1"/>
  <c r="T154" i="1" s="1"/>
  <c r="R152" i="1" l="1"/>
  <c r="S153" i="1"/>
  <c r="T153" i="1" s="1"/>
  <c r="S152" i="1" l="1"/>
  <c r="T152" i="1" s="1"/>
  <c r="R151" i="1"/>
  <c r="S151" i="1" l="1"/>
  <c r="T151" i="1" s="1"/>
  <c r="R150" i="1"/>
  <c r="R149" i="1" l="1"/>
  <c r="S150" i="1"/>
  <c r="T150" i="1" s="1"/>
  <c r="R148" i="1" l="1"/>
  <c r="S149" i="1"/>
  <c r="T149" i="1" s="1"/>
  <c r="R147" i="1" l="1"/>
  <c r="S148" i="1"/>
  <c r="T148" i="1" s="1"/>
  <c r="R146" i="1" l="1"/>
  <c r="S147" i="1"/>
  <c r="T147" i="1" s="1"/>
  <c r="R145" i="1" l="1"/>
  <c r="S146" i="1"/>
  <c r="T146" i="1" s="1"/>
  <c r="R144" i="1" l="1"/>
  <c r="S145" i="1"/>
  <c r="T145" i="1" s="1"/>
  <c r="S144" i="1" l="1"/>
  <c r="T144" i="1" s="1"/>
  <c r="R143" i="1"/>
  <c r="S143" i="1" l="1"/>
  <c r="T143" i="1" s="1"/>
  <c r="R142" i="1"/>
  <c r="R141" i="1" l="1"/>
  <c r="S142" i="1"/>
  <c r="T142" i="1" s="1"/>
  <c r="R140" i="1" l="1"/>
  <c r="S141" i="1"/>
  <c r="T141" i="1" s="1"/>
  <c r="S140" i="1" l="1"/>
  <c r="T140" i="1" s="1"/>
  <c r="R139" i="1"/>
  <c r="S139" i="1" l="1"/>
  <c r="T139" i="1" s="1"/>
  <c r="R138" i="1"/>
  <c r="R137" i="1" l="1"/>
  <c r="S138" i="1"/>
  <c r="T138" i="1" s="1"/>
  <c r="R136" i="1" l="1"/>
  <c r="S137" i="1"/>
  <c r="T137" i="1" s="1"/>
  <c r="R135" i="1" l="1"/>
  <c r="S136" i="1"/>
  <c r="T136" i="1" s="1"/>
  <c r="R134" i="1" l="1"/>
  <c r="S135" i="1"/>
  <c r="T135" i="1" s="1"/>
  <c r="R133" i="1" l="1"/>
  <c r="S134" i="1"/>
  <c r="T134" i="1" s="1"/>
  <c r="R132" i="1" l="1"/>
  <c r="S133" i="1"/>
  <c r="T133" i="1" s="1"/>
  <c r="S132" i="1" l="1"/>
  <c r="T132" i="1" s="1"/>
  <c r="R131" i="1"/>
  <c r="S131" i="1" l="1"/>
  <c r="T131" i="1" s="1"/>
  <c r="R130" i="1"/>
  <c r="R129" i="1" l="1"/>
  <c r="S130" i="1"/>
  <c r="T130" i="1" s="1"/>
  <c r="R128" i="1" l="1"/>
  <c r="S129" i="1"/>
  <c r="T129" i="1" s="1"/>
  <c r="S128" i="1" l="1"/>
  <c r="T128" i="1" s="1"/>
  <c r="R127" i="1"/>
  <c r="S127" i="1" l="1"/>
  <c r="T127" i="1" s="1"/>
  <c r="R126" i="1"/>
  <c r="R125" i="1" l="1"/>
  <c r="S126" i="1"/>
  <c r="T126" i="1" s="1"/>
  <c r="R124" i="1" l="1"/>
  <c r="S125" i="1"/>
  <c r="T125" i="1" s="1"/>
  <c r="R123" i="1" l="1"/>
  <c r="S124" i="1"/>
  <c r="T124" i="1" s="1"/>
  <c r="R122" i="1" l="1"/>
  <c r="S123" i="1"/>
  <c r="T123" i="1" s="1"/>
  <c r="R121" i="1" l="1"/>
  <c r="S122" i="1"/>
  <c r="T122" i="1" s="1"/>
  <c r="R120" i="1" l="1"/>
  <c r="S121" i="1"/>
  <c r="T121" i="1" s="1"/>
  <c r="S120" i="1" l="1"/>
  <c r="T120" i="1" s="1"/>
  <c r="R119" i="1"/>
  <c r="S119" i="1" l="1"/>
  <c r="T119" i="1" s="1"/>
  <c r="R118" i="1"/>
  <c r="R117" i="1" l="1"/>
  <c r="S118" i="1"/>
  <c r="T118" i="1" s="1"/>
  <c r="R116" i="1" l="1"/>
  <c r="S117" i="1"/>
  <c r="T117" i="1" s="1"/>
  <c r="S116" i="1" l="1"/>
  <c r="T116" i="1" s="1"/>
  <c r="R115" i="1"/>
  <c r="S115" i="1" l="1"/>
  <c r="T115" i="1" s="1"/>
  <c r="R114" i="1"/>
  <c r="R113" i="1" l="1"/>
  <c r="S114" i="1"/>
  <c r="T114" i="1" s="1"/>
  <c r="R112" i="1" l="1"/>
  <c r="S113" i="1"/>
  <c r="T113" i="1" s="1"/>
  <c r="R111" i="1" l="1"/>
  <c r="S112" i="1"/>
  <c r="T112" i="1" s="1"/>
  <c r="R110" i="1" l="1"/>
  <c r="S111" i="1"/>
  <c r="T111" i="1" s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S104" i="1" l="1"/>
  <c r="T104" i="1" s="1"/>
  <c r="R103" i="1"/>
  <c r="S103" i="1" l="1"/>
  <c r="T103" i="1" s="1"/>
  <c r="R102" i="1"/>
  <c r="R101" i="1" l="1"/>
  <c r="S102" i="1"/>
  <c r="T102" i="1" s="1"/>
  <c r="R100" i="1" l="1"/>
  <c r="S101" i="1"/>
  <c r="T101" i="1" s="1"/>
  <c r="R99" i="1" l="1"/>
  <c r="S100" i="1"/>
  <c r="T100" i="1" s="1"/>
  <c r="R98" i="1" l="1"/>
  <c r="S99" i="1"/>
  <c r="T99" i="1" s="1"/>
  <c r="R97" i="1" l="1"/>
  <c r="S98" i="1"/>
  <c r="T98" i="1" s="1"/>
  <c r="R96" i="1" l="1"/>
  <c r="S97" i="1"/>
  <c r="T97" i="1" s="1"/>
  <c r="S96" i="1" l="1"/>
  <c r="T96" i="1" s="1"/>
  <c r="R95" i="1"/>
  <c r="S95" i="1" l="1"/>
  <c r="T95" i="1" s="1"/>
  <c r="R94" i="1"/>
  <c r="R93" i="1" l="1"/>
  <c r="S94" i="1"/>
  <c r="T94" i="1" s="1"/>
  <c r="R92" i="1" l="1"/>
  <c r="S93" i="1"/>
  <c r="T93" i="1" s="1"/>
  <c r="S92" i="1" l="1"/>
  <c r="T92" i="1" s="1"/>
  <c r="R91" i="1"/>
  <c r="S91" i="1" l="1"/>
  <c r="T91" i="1" s="1"/>
  <c r="R90" i="1"/>
  <c r="R89" i="1" l="1"/>
  <c r="S90" i="1"/>
  <c r="T90" i="1" s="1"/>
  <c r="R88" i="1" l="1"/>
  <c r="S89" i="1"/>
  <c r="T89" i="1" s="1"/>
  <c r="R87" i="1" l="1"/>
  <c r="S88" i="1"/>
  <c r="T88" i="1" s="1"/>
  <c r="R86" i="1" l="1"/>
  <c r="S87" i="1"/>
  <c r="T87" i="1" s="1"/>
  <c r="S86" i="1" l="1"/>
  <c r="T86" i="1" s="1"/>
  <c r="R85" i="1"/>
  <c r="S85" i="1" l="1"/>
  <c r="T85" i="1" s="1"/>
  <c r="R84" i="1"/>
  <c r="S84" i="1" l="1"/>
  <c r="T84" i="1" s="1"/>
  <c r="R83" i="1"/>
  <c r="S83" i="1" l="1"/>
  <c r="T83" i="1" s="1"/>
  <c r="R82" i="1"/>
  <c r="S82" i="1" l="1"/>
  <c r="T82" i="1" s="1"/>
  <c r="R81" i="1"/>
  <c r="R80" i="1" l="1"/>
  <c r="S81" i="1"/>
  <c r="T81" i="1" s="1"/>
  <c r="R79" i="1" l="1"/>
  <c r="S80" i="1"/>
  <c r="T80" i="1" s="1"/>
  <c r="R78" i="1" l="1"/>
  <c r="S79" i="1"/>
  <c r="T79" i="1" s="1"/>
  <c r="R77" i="1" l="1"/>
  <c r="S78" i="1"/>
  <c r="T78" i="1" s="1"/>
  <c r="R76" i="1" l="1"/>
  <c r="S77" i="1"/>
  <c r="T77" i="1" s="1"/>
  <c r="R75" i="1" l="1"/>
  <c r="S76" i="1"/>
  <c r="T76" i="1" s="1"/>
  <c r="R74" i="1" l="1"/>
  <c r="S75" i="1"/>
  <c r="T75" i="1" s="1"/>
  <c r="S74" i="1" l="1"/>
  <c r="T74" i="1" s="1"/>
  <c r="R73" i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S68" i="1" l="1"/>
  <c r="T68" i="1" s="1"/>
  <c r="R67" i="1"/>
  <c r="S67" i="1" l="1"/>
  <c r="T67" i="1" s="1"/>
  <c r="R66" i="1"/>
  <c r="S66" i="1" l="1"/>
  <c r="T66" i="1" s="1"/>
  <c r="R65" i="1"/>
  <c r="R64" i="1" l="1"/>
  <c r="S65" i="1"/>
  <c r="T65" i="1" s="1"/>
  <c r="R63" i="1" l="1"/>
  <c r="S64" i="1"/>
  <c r="T64" i="1" s="1"/>
  <c r="R62" i="1" l="1"/>
  <c r="S63" i="1"/>
  <c r="T63" i="1" s="1"/>
  <c r="S62" i="1" l="1"/>
  <c r="T62" i="1" s="1"/>
  <c r="R61" i="1"/>
  <c r="S61" i="1" l="1"/>
  <c r="T61" i="1" s="1"/>
  <c r="R60" i="1"/>
  <c r="S60" i="1" l="1"/>
  <c r="T60" i="1" s="1"/>
  <c r="R59" i="1"/>
  <c r="S59" i="1" l="1"/>
  <c r="T59" i="1" s="1"/>
  <c r="R58" i="1"/>
  <c r="S58" i="1" l="1"/>
  <c r="T58" i="1" s="1"/>
  <c r="R57" i="1"/>
  <c r="R56" i="1" l="1"/>
  <c r="S57" i="1"/>
  <c r="T57" i="1" s="1"/>
  <c r="R55" i="1" l="1"/>
  <c r="S56" i="1"/>
  <c r="T56" i="1" s="1"/>
  <c r="R54" i="1" l="1"/>
  <c r="S55" i="1"/>
  <c r="T55" i="1" s="1"/>
  <c r="R53" i="1" l="1"/>
  <c r="S54" i="1"/>
  <c r="T54" i="1" s="1"/>
  <c r="R52" i="1" l="1"/>
  <c r="S53" i="1"/>
  <c r="T53" i="1" s="1"/>
  <c r="R51" i="1" l="1"/>
  <c r="S52" i="1"/>
  <c r="T52" i="1" s="1"/>
  <c r="R50" i="1" l="1"/>
  <c r="S51" i="1"/>
  <c r="T51" i="1" s="1"/>
  <c r="S50" i="1" l="1"/>
  <c r="T50" i="1" s="1"/>
  <c r="R49" i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S44" i="1" l="1"/>
  <c r="T44" i="1" s="1"/>
  <c r="R43" i="1"/>
  <c r="R42" i="1" l="1"/>
  <c r="S43" i="1"/>
  <c r="T43" i="1" s="1"/>
  <c r="S42" i="1" l="1"/>
  <c r="T42" i="1" s="1"/>
  <c r="R41" i="1"/>
  <c r="R40" i="1" l="1"/>
  <c r="S41" i="1"/>
  <c r="T41" i="1" s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S36" i="1" l="1"/>
  <c r="T36" i="1" s="1"/>
  <c r="R35" i="1"/>
  <c r="S35" i="1" l="1"/>
  <c r="T35" i="1" s="1"/>
  <c r="R34" i="1"/>
  <c r="S34" i="1" l="1"/>
  <c r="T34" i="1" s="1"/>
  <c r="R33" i="1"/>
  <c r="S33" i="1" l="1"/>
  <c r="T33" i="1" s="1"/>
  <c r="R32" i="1"/>
  <c r="R31" i="1" l="1"/>
  <c r="S32" i="1"/>
  <c r="T32" i="1" s="1"/>
  <c r="R30" i="1" l="1"/>
  <c r="S31" i="1"/>
  <c r="T31" i="1" s="1"/>
  <c r="R29" i="1" l="1"/>
  <c r="S30" i="1"/>
  <c r="T30" i="1" s="1"/>
  <c r="R28" i="1" l="1"/>
  <c r="S29" i="1"/>
  <c r="T29" i="1" s="1"/>
  <c r="S28" i="1" l="1"/>
  <c r="T28" i="1" s="1"/>
  <c r="R27" i="1"/>
  <c r="S27" i="1" l="1"/>
  <c r="T27" i="1" s="1"/>
  <c r="R26" i="1"/>
  <c r="S26" i="1" l="1"/>
  <c r="T26" i="1" s="1"/>
  <c r="R25" i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<sst xmlns="http://schemas.openxmlformats.org/spreadsheetml/2006/main" count="4856" uniqueCount="34">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</sst>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0.11119999999999999</c:v>
                </c:pt>
                <c:pt idx="1">
                  <c:v>0.1132</c:v>
                </c:pt>
                <c:pt idx="2">
                  <c:v>0.1104</c:v>
                </c:pt>
                <c:pt idx="3">
                  <c:v>0.11169999999999999</c:v>
                </c:pt>
                <c:pt idx="4">
                  <c:v>0.1159</c:v>
                </c:pt>
                <c:pt idx="5">
                  <c:v>0.11</c:v>
                </c:pt>
                <c:pt idx="6">
                  <c:v>0.13200000000000001</c:v>
                </c:pt>
                <c:pt idx="7">
                  <c:v>0.1575</c:v>
                </c:pt>
                <c:pt idx="8">
                  <c:v>0.16320000000000001</c:v>
                </c:pt>
                <c:pt idx="9">
                  <c:v>0.1661</c:v>
                </c:pt>
                <c:pt idx="10">
                  <c:v>0.16789999999999999</c:v>
                </c:pt>
                <c:pt idx="11">
                  <c:v>0.18440000000000001</c:v>
                </c:pt>
                <c:pt idx="12">
                  <c:v>0.18210000000000001</c:v>
                </c:pt>
                <c:pt idx="13">
                  <c:v>0.16250000000000001</c:v>
                </c:pt>
                <c:pt idx="14">
                  <c:v>0.15909999999999999</c:v>
                </c:pt>
                <c:pt idx="15">
                  <c:v>0.16689999999999999</c:v>
                </c:pt>
                <c:pt idx="16">
                  <c:v>0.15629999999999999</c:v>
                </c:pt>
                <c:pt idx="17">
                  <c:v>0.15060000000000001</c:v>
                </c:pt>
                <c:pt idx="18">
                  <c:v>0.1615</c:v>
                </c:pt>
                <c:pt idx="19">
                  <c:v>0.16039999999999999</c:v>
                </c:pt>
                <c:pt idx="20">
                  <c:v>0.16830000000000001</c:v>
                </c:pt>
                <c:pt idx="21">
                  <c:v>0.186</c:v>
                </c:pt>
                <c:pt idx="22">
                  <c:v>0.18959999999999999</c:v>
                </c:pt>
                <c:pt idx="23">
                  <c:v>0.20250000000000001</c:v>
                </c:pt>
                <c:pt idx="24">
                  <c:v>0.2044</c:v>
                </c:pt>
                <c:pt idx="25">
                  <c:v>0.2094</c:v>
                </c:pt>
                <c:pt idx="26">
                  <c:v>0.20849999999999999</c:v>
                </c:pt>
                <c:pt idx="27">
                  <c:v>0.2006</c:v>
                </c:pt>
                <c:pt idx="28">
                  <c:v>0.20219999999999999</c:v>
                </c:pt>
                <c:pt idx="29">
                  <c:v>0.2024</c:v>
                </c:pt>
                <c:pt idx="30">
                  <c:v>0.21029999999999999</c:v>
                </c:pt>
                <c:pt idx="31">
                  <c:v>0.2374</c:v>
                </c:pt>
                <c:pt idx="32">
                  <c:v>0.23150000000000001</c:v>
                </c:pt>
                <c:pt idx="33">
                  <c:v>0.23219999999999999</c:v>
                </c:pt>
                <c:pt idx="34">
                  <c:v>0.22439999999999999</c:v>
                </c:pt>
                <c:pt idx="35">
                  <c:v>0.23799999999999999</c:v>
                </c:pt>
                <c:pt idx="36">
                  <c:v>0.21529999999999999</c:v>
                </c:pt>
                <c:pt idx="37">
                  <c:v>0.21790000000000001</c:v>
                </c:pt>
                <c:pt idx="38">
                  <c:v>0.2</c:v>
                </c:pt>
                <c:pt idx="39">
                  <c:v>0.20610000000000001</c:v>
                </c:pt>
                <c:pt idx="40">
                  <c:v>0.2177</c:v>
                </c:pt>
                <c:pt idx="41">
                  <c:v>0.20619999999999999</c:v>
                </c:pt>
                <c:pt idx="42">
                  <c:v>0.21279999999999999</c:v>
                </c:pt>
                <c:pt idx="43">
                  <c:v>0.22090000000000001</c:v>
                </c:pt>
                <c:pt idx="44">
                  <c:v>0.21629999999999999</c:v>
                </c:pt>
                <c:pt idx="45">
                  <c:v>0.2155</c:v>
                </c:pt>
                <c:pt idx="46">
                  <c:v>0.24310000000000001</c:v>
                </c:pt>
                <c:pt idx="47">
                  <c:v>0.2291</c:v>
                </c:pt>
                <c:pt idx="48">
                  <c:v>0.22650000000000001</c:v>
                </c:pt>
                <c:pt idx="49">
                  <c:v>0.23860000000000001</c:v>
                </c:pt>
                <c:pt idx="50">
                  <c:v>0.26960000000000001</c:v>
                </c:pt>
                <c:pt idx="51">
                  <c:v>0.24560000000000001</c:v>
                </c:pt>
                <c:pt idx="52">
                  <c:v>0.26219999999999999</c:v>
                </c:pt>
                <c:pt idx="53">
                  <c:v>0.25669999999999998</c:v>
                </c:pt>
                <c:pt idx="54">
                  <c:v>0.29160000000000003</c:v>
                </c:pt>
                <c:pt idx="55">
                  <c:v>0.34239999999999998</c:v>
                </c:pt>
                <c:pt idx="56">
                  <c:v>0.38119999999999998</c:v>
                </c:pt>
                <c:pt idx="57">
                  <c:v>0.40050000000000002</c:v>
                </c:pt>
                <c:pt idx="58">
                  <c:v>0.4249</c:v>
                </c:pt>
                <c:pt idx="59">
                  <c:v>0.43430000000000002</c:v>
                </c:pt>
                <c:pt idx="60">
                  <c:v>0.46629999999999999</c:v>
                </c:pt>
                <c:pt idx="61">
                  <c:v>0.443</c:v>
                </c:pt>
                <c:pt idx="62">
                  <c:v>0.41260000000000002</c:v>
                </c:pt>
                <c:pt idx="63">
                  <c:v>0.47039999999999998</c:v>
                </c:pt>
                <c:pt idx="64">
                  <c:v>0.38269999999999998</c:v>
                </c:pt>
                <c:pt idx="65">
                  <c:v>0.36980000000000002</c:v>
                </c:pt>
                <c:pt idx="66">
                  <c:v>0.35339999999999999</c:v>
                </c:pt>
                <c:pt idx="67">
                  <c:v>0.37909999999999999</c:v>
                </c:pt>
                <c:pt idx="68">
                  <c:v>0.39950000000000002</c:v>
                </c:pt>
                <c:pt idx="69">
                  <c:v>0.3644</c:v>
                </c:pt>
                <c:pt idx="70">
                  <c:v>0.32600000000000001</c:v>
                </c:pt>
                <c:pt idx="71">
                  <c:v>0.37369999999999998</c:v>
                </c:pt>
                <c:pt idx="72">
                  <c:v>0.33229999999999998</c:v>
                </c:pt>
                <c:pt idx="73">
                  <c:v>0.3634</c:v>
                </c:pt>
                <c:pt idx="74">
                  <c:v>0.39800000000000002</c:v>
                </c:pt>
                <c:pt idx="75">
                  <c:v>0.4299</c:v>
                </c:pt>
                <c:pt idx="76">
                  <c:v>0.3795</c:v>
                </c:pt>
                <c:pt idx="77">
                  <c:v>0.38179999999999997</c:v>
                </c:pt>
                <c:pt idx="78">
                  <c:v>0.30230000000000001</c:v>
                </c:pt>
                <c:pt idx="79">
                  <c:v>0.31740000000000002</c:v>
                </c:pt>
                <c:pt idx="80">
                  <c:v>0.31979999999999997</c:v>
                </c:pt>
                <c:pt idx="81">
                  <c:v>0.29189999999999999</c:v>
                </c:pt>
                <c:pt idx="82">
                  <c:v>0.27900000000000003</c:v>
                </c:pt>
                <c:pt idx="83">
                  <c:v>0.27100000000000002</c:v>
                </c:pt>
                <c:pt idx="84">
                  <c:v>0.27100000000000002</c:v>
                </c:pt>
                <c:pt idx="85">
                  <c:v>0.2472</c:v>
                </c:pt>
                <c:pt idx="86">
                  <c:v>0.26960000000000001</c:v>
                </c:pt>
                <c:pt idx="87">
                  <c:v>0.23719999999999999</c:v>
                </c:pt>
                <c:pt idx="88">
                  <c:v>0.24909999999999999</c:v>
                </c:pt>
                <c:pt idx="89">
                  <c:v>0.2535</c:v>
                </c:pt>
                <c:pt idx="90">
                  <c:v>0.2074</c:v>
                </c:pt>
                <c:pt idx="91">
                  <c:v>0.1817</c:v>
                </c:pt>
                <c:pt idx="92">
                  <c:v>0.17219999999999999</c:v>
                </c:pt>
                <c:pt idx="93">
                  <c:v>0.19819999999999999</c:v>
                </c:pt>
                <c:pt idx="94">
                  <c:v>0.20100000000000001</c:v>
                </c:pt>
                <c:pt idx="95">
                  <c:v>0.1956</c:v>
                </c:pt>
                <c:pt idx="96">
                  <c:v>0.2064</c:v>
                </c:pt>
                <c:pt idx="97">
                  <c:v>0.20830000000000001</c:v>
                </c:pt>
                <c:pt idx="98">
                  <c:v>0.1976</c:v>
                </c:pt>
                <c:pt idx="99">
                  <c:v>0.20899999999999999</c:v>
                </c:pt>
                <c:pt idx="100">
                  <c:v>0.21379999999999999</c:v>
                </c:pt>
                <c:pt idx="101">
                  <c:v>0.19700000000000001</c:v>
                </c:pt>
                <c:pt idx="102">
                  <c:v>0.1898</c:v>
                </c:pt>
                <c:pt idx="103">
                  <c:v>0.19359999999999999</c:v>
                </c:pt>
                <c:pt idx="104">
                  <c:v>0.19620000000000001</c:v>
                </c:pt>
                <c:pt idx="105">
                  <c:v>0.19359999999999999</c:v>
                </c:pt>
                <c:pt idx="106">
                  <c:v>0.18959999999999999</c:v>
                </c:pt>
                <c:pt idx="107">
                  <c:v>0.191</c:v>
                </c:pt>
                <c:pt idx="108">
                  <c:v>0.19040000000000001</c:v>
                </c:pt>
                <c:pt idx="109">
                  <c:v>0.1951</c:v>
                </c:pt>
                <c:pt idx="110">
                  <c:v>0.21049999999999999</c:v>
                </c:pt>
                <c:pt idx="111">
                  <c:v>0.20349999999999999</c:v>
                </c:pt>
                <c:pt idx="112">
                  <c:v>0.21460000000000001</c:v>
                </c:pt>
                <c:pt idx="113">
                  <c:v>0.20180000000000001</c:v>
                </c:pt>
                <c:pt idx="114">
                  <c:v>0.21379999999999999</c:v>
                </c:pt>
                <c:pt idx="115">
                  <c:v>0.21490000000000001</c:v>
                </c:pt>
                <c:pt idx="116">
                  <c:v>0.20219999999999999</c:v>
                </c:pt>
                <c:pt idx="117">
                  <c:v>0.20230000000000001</c:v>
                </c:pt>
                <c:pt idx="118">
                  <c:v>0.20910000000000001</c:v>
                </c:pt>
                <c:pt idx="119">
                  <c:v>0.18110000000000001</c:v>
                </c:pt>
                <c:pt idx="120">
                  <c:v>0.17</c:v>
                </c:pt>
                <c:pt idx="121">
                  <c:v>0.16589999999999999</c:v>
                </c:pt>
                <c:pt idx="122">
                  <c:v>0.1754</c:v>
                </c:pt>
                <c:pt idx="123">
                  <c:v>0.18479999999999999</c:v>
                </c:pt>
                <c:pt idx="124">
                  <c:v>0.18459999999999999</c:v>
                </c:pt>
                <c:pt idx="125">
                  <c:v>0.192</c:v>
                </c:pt>
                <c:pt idx="126">
                  <c:v>0.21490000000000001</c:v>
                </c:pt>
                <c:pt idx="127">
                  <c:v>0.20610000000000001</c:v>
                </c:pt>
                <c:pt idx="128">
                  <c:v>0.17100000000000001</c:v>
                </c:pt>
                <c:pt idx="129">
                  <c:v>0.20749999999999999</c:v>
                </c:pt>
                <c:pt idx="130">
                  <c:v>0.23630000000000001</c:v>
                </c:pt>
                <c:pt idx="131">
                  <c:v>0.25190000000000001</c:v>
                </c:pt>
                <c:pt idx="132">
                  <c:v>0.2319</c:v>
                </c:pt>
                <c:pt idx="133">
                  <c:v>0.249</c:v>
                </c:pt>
                <c:pt idx="134">
                  <c:v>0.25890000000000002</c:v>
                </c:pt>
                <c:pt idx="135">
                  <c:v>0.24740000000000001</c:v>
                </c:pt>
                <c:pt idx="136">
                  <c:v>0.2442</c:v>
                </c:pt>
                <c:pt idx="137">
                  <c:v>0.25509999999999999</c:v>
                </c:pt>
                <c:pt idx="138">
                  <c:v>0.24629999999999999</c:v>
                </c:pt>
                <c:pt idx="139">
                  <c:v>0.24340000000000001</c:v>
                </c:pt>
                <c:pt idx="140">
                  <c:v>0.2581</c:v>
                </c:pt>
                <c:pt idx="141">
                  <c:v>0.25659999999999999</c:v>
                </c:pt>
                <c:pt idx="142">
                  <c:v>0.27139999999999997</c:v>
                </c:pt>
                <c:pt idx="143">
                  <c:v>0.36520000000000002</c:v>
                </c:pt>
                <c:pt idx="144">
                  <c:v>0.32969999999999999</c:v>
                </c:pt>
                <c:pt idx="145">
                  <c:v>0.32340000000000002</c:v>
                </c:pt>
                <c:pt idx="146">
                  <c:v>0.312</c:v>
                </c:pt>
                <c:pt idx="147">
                  <c:v>0.31780000000000003</c:v>
                </c:pt>
                <c:pt idx="148">
                  <c:v>0.32319999999999999</c:v>
                </c:pt>
                <c:pt idx="149">
                  <c:v>0.31140000000000001</c:v>
                </c:pt>
                <c:pt idx="150">
                  <c:v>0.31790000000000002</c:v>
                </c:pt>
                <c:pt idx="151">
                  <c:v>0.316</c:v>
                </c:pt>
                <c:pt idx="152">
                  <c:v>0.30499999999999999</c:v>
                </c:pt>
                <c:pt idx="153">
                  <c:v>0.31330000000000002</c:v>
                </c:pt>
                <c:pt idx="154">
                  <c:v>0.29630000000000001</c:v>
                </c:pt>
                <c:pt idx="155">
                  <c:v>0.33410000000000001</c:v>
                </c:pt>
                <c:pt idx="156">
                  <c:v>0.30740000000000001</c:v>
                </c:pt>
                <c:pt idx="157">
                  <c:v>0.36980000000000002</c:v>
                </c:pt>
                <c:pt idx="158">
                  <c:v>0.29289999999999999</c:v>
                </c:pt>
                <c:pt idx="159">
                  <c:v>0.29499999999999998</c:v>
                </c:pt>
                <c:pt idx="160">
                  <c:v>0.27910000000000001</c:v>
                </c:pt>
                <c:pt idx="161">
                  <c:v>0.28470000000000001</c:v>
                </c:pt>
                <c:pt idx="162">
                  <c:v>0.27339999999999998</c:v>
                </c:pt>
                <c:pt idx="163">
                  <c:v>0.2828</c:v>
                </c:pt>
                <c:pt idx="164">
                  <c:v>0.30030000000000001</c:v>
                </c:pt>
                <c:pt idx="165">
                  <c:v>0.32179999999999997</c:v>
                </c:pt>
                <c:pt idx="166">
                  <c:v>0.29249999999999998</c:v>
                </c:pt>
                <c:pt idx="167">
                  <c:v>0.31319999999999998</c:v>
                </c:pt>
                <c:pt idx="168">
                  <c:v>0.28270000000000001</c:v>
                </c:pt>
                <c:pt idx="169">
                  <c:v>0.2913</c:v>
                </c:pt>
                <c:pt idx="170">
                  <c:v>0.29399999999999998</c:v>
                </c:pt>
                <c:pt idx="171">
                  <c:v>0.311</c:v>
                </c:pt>
                <c:pt idx="172">
                  <c:v>0.28460000000000002</c:v>
                </c:pt>
                <c:pt idx="173">
                  <c:v>0.29659999999999997</c:v>
                </c:pt>
                <c:pt idx="174">
                  <c:v>0.3337</c:v>
                </c:pt>
                <c:pt idx="175">
                  <c:v>0.38240000000000002</c:v>
                </c:pt>
                <c:pt idx="176">
                  <c:v>0.21740000000000001</c:v>
                </c:pt>
                <c:pt idx="177">
                  <c:v>0.19739999999999999</c:v>
                </c:pt>
                <c:pt idx="178">
                  <c:v>0.21060000000000001</c:v>
                </c:pt>
                <c:pt idx="179">
                  <c:v>0.20300000000000001</c:v>
                </c:pt>
                <c:pt idx="180">
                  <c:v>0.22600000000000001</c:v>
                </c:pt>
                <c:pt idx="181">
                  <c:v>0.24049999999999999</c:v>
                </c:pt>
                <c:pt idx="182">
                  <c:v>0.23350000000000001</c:v>
                </c:pt>
                <c:pt idx="183">
                  <c:v>0.2419</c:v>
                </c:pt>
                <c:pt idx="184">
                  <c:v>0.25130000000000002</c:v>
                </c:pt>
                <c:pt idx="185">
                  <c:v>0.2195</c:v>
                </c:pt>
                <c:pt idx="186">
                  <c:v>0.28089999999999998</c:v>
                </c:pt>
                <c:pt idx="187">
                  <c:v>0.21890000000000001</c:v>
                </c:pt>
                <c:pt idx="188">
                  <c:v>0.19520000000000001</c:v>
                </c:pt>
                <c:pt idx="189">
                  <c:v>0.14829999999999999</c:v>
                </c:pt>
                <c:pt idx="190">
                  <c:v>0.14399999999999999</c:v>
                </c:pt>
                <c:pt idx="191">
                  <c:v>0.12</c:v>
                </c:pt>
                <c:pt idx="192">
                  <c:v>0.13159999999999999</c:v>
                </c:pt>
                <c:pt idx="193">
                  <c:v>0.15090000000000001</c:v>
                </c:pt>
                <c:pt idx="194">
                  <c:v>0.156</c:v>
                </c:pt>
                <c:pt idx="195">
                  <c:v>0.1583</c:v>
                </c:pt>
                <c:pt idx="196">
                  <c:v>0.21659999999999999</c:v>
                </c:pt>
                <c:pt idx="197">
                  <c:v>0.23019999999999999</c:v>
                </c:pt>
                <c:pt idx="198">
                  <c:v>0.21390000000000001</c:v>
                </c:pt>
                <c:pt idx="199">
                  <c:v>0.18</c:v>
                </c:pt>
                <c:pt idx="200">
                  <c:v>0.20649999999999999</c:v>
                </c:pt>
                <c:pt idx="201">
                  <c:v>0.19850000000000001</c:v>
                </c:pt>
                <c:pt idx="202">
                  <c:v>0.15260000000000001</c:v>
                </c:pt>
                <c:pt idx="203">
                  <c:v>0.12670000000000001</c:v>
                </c:pt>
                <c:pt idx="204">
                  <c:v>0.13569999999999999</c:v>
                </c:pt>
                <c:pt idx="205">
                  <c:v>0.11990000000000001</c:v>
                </c:pt>
                <c:pt idx="206">
                  <c:v>0.1043</c:v>
                </c:pt>
                <c:pt idx="207">
                  <c:v>0.11219999999999999</c:v>
                </c:pt>
                <c:pt idx="208">
                  <c:v>9.4899999999999998E-2</c:v>
                </c:pt>
                <c:pt idx="209">
                  <c:v>9.0800000000000006E-2</c:v>
                </c:pt>
                <c:pt idx="210">
                  <c:v>9.2600000000000002E-2</c:v>
                </c:pt>
                <c:pt idx="211">
                  <c:v>9.7100000000000006E-2</c:v>
                </c:pt>
                <c:pt idx="212">
                  <c:v>0.1027</c:v>
                </c:pt>
                <c:pt idx="213">
                  <c:v>9.3299999999999994E-2</c:v>
                </c:pt>
                <c:pt idx="214">
                  <c:v>8.8900000000000007E-2</c:v>
                </c:pt>
                <c:pt idx="215">
                  <c:v>8.5000000000000006E-2</c:v>
                </c:pt>
                <c:pt idx="216">
                  <c:v>8.5300000000000001E-2</c:v>
                </c:pt>
                <c:pt idx="217">
                  <c:v>9.8799999999999999E-2</c:v>
                </c:pt>
                <c:pt idx="218">
                  <c:v>9.5299999999999996E-2</c:v>
                </c:pt>
                <c:pt idx="219">
                  <c:v>8.8900000000000007E-2</c:v>
                </c:pt>
                <c:pt idx="220">
                  <c:v>9.4399999999999998E-2</c:v>
                </c:pt>
                <c:pt idx="221">
                  <c:v>0.1328</c:v>
                </c:pt>
                <c:pt idx="222">
                  <c:v>0.1326</c:v>
                </c:pt>
                <c:pt idx="223">
                  <c:v>0.13500000000000001</c:v>
                </c:pt>
                <c:pt idx="224">
                  <c:v>0.1507</c:v>
                </c:pt>
                <c:pt idx="225">
                  <c:v>0.1525</c:v>
                </c:pt>
                <c:pt idx="226">
                  <c:v>0.1663</c:v>
                </c:pt>
                <c:pt idx="227">
                  <c:v>0.1726</c:v>
                </c:pt>
                <c:pt idx="228">
                  <c:v>0.16170000000000001</c:v>
                </c:pt>
                <c:pt idx="229">
                  <c:v>0.1565</c:v>
                </c:pt>
                <c:pt idx="230">
                  <c:v>0.17199999999999999</c:v>
                </c:pt>
                <c:pt idx="231">
                  <c:v>0.17199999999999999</c:v>
                </c:pt>
                <c:pt idx="232">
                  <c:v>0.18859999999999999</c:v>
                </c:pt>
                <c:pt idx="233">
                  <c:v>0.18190000000000001</c:v>
                </c:pt>
                <c:pt idx="234">
                  <c:v>0.18429999999999999</c:v>
                </c:pt>
                <c:pt idx="235">
                  <c:v>0.20039999999999999</c:v>
                </c:pt>
                <c:pt idx="236">
                  <c:v>0.1767</c:v>
                </c:pt>
                <c:pt idx="237">
                  <c:v>0.18099999999999999</c:v>
                </c:pt>
                <c:pt idx="238">
                  <c:v>0.21249999999999999</c:v>
                </c:pt>
                <c:pt idx="239">
                  <c:v>0.2084</c:v>
                </c:pt>
                <c:pt idx="240">
                  <c:v>0.20050000000000001</c:v>
                </c:pt>
                <c:pt idx="241">
                  <c:v>0.2165</c:v>
                </c:pt>
                <c:pt idx="242">
                  <c:v>0.19989999999999999</c:v>
                </c:pt>
                <c:pt idx="243">
                  <c:v>0.18729999999999999</c:v>
                </c:pt>
                <c:pt idx="244">
                  <c:v>0.20660000000000001</c:v>
                </c:pt>
                <c:pt idx="245">
                  <c:v>0.25990000000000002</c:v>
                </c:pt>
                <c:pt idx="246">
                  <c:v>0.25919999999999999</c:v>
                </c:pt>
                <c:pt idx="247">
                  <c:v>0.18590000000000001</c:v>
                </c:pt>
                <c:pt idx="248">
                  <c:v>0.17100000000000001</c:v>
                </c:pt>
                <c:pt idx="249">
                  <c:v>0.13739999999999999</c:v>
                </c:pt>
                <c:pt idx="250">
                  <c:v>0.18410000000000001</c:v>
                </c:pt>
                <c:pt idx="251">
                  <c:v>0.19989999999999999</c:v>
                </c:pt>
                <c:pt idx="252">
                  <c:v>0.24030000000000001</c:v>
                </c:pt>
                <c:pt idx="253">
                  <c:v>0.20699999999999999</c:v>
                </c:pt>
                <c:pt idx="254">
                  <c:v>0.33439999999999998</c:v>
                </c:pt>
                <c:pt idx="255">
                  <c:v>0.33739999999999998</c:v>
                </c:pt>
                <c:pt idx="256">
                  <c:v>0.35199999999999998</c:v>
                </c:pt>
                <c:pt idx="257">
                  <c:v>0.35599999999999998</c:v>
                </c:pt>
                <c:pt idx="258">
                  <c:v>0.40379999999999999</c:v>
                </c:pt>
                <c:pt idx="259">
                  <c:v>0.3639</c:v>
                </c:pt>
                <c:pt idx="260">
                  <c:v>0.35239999999999999</c:v>
                </c:pt>
                <c:pt idx="261">
                  <c:v>0.44679999999999997</c:v>
                </c:pt>
                <c:pt idx="262">
                  <c:v>0.43769999999999998</c:v>
                </c:pt>
                <c:pt idx="263">
                  <c:v>0.503</c:v>
                </c:pt>
                <c:pt idx="264">
                  <c:v>0.48680000000000001</c:v>
                </c:pt>
                <c:pt idx="265">
                  <c:v>0.50380000000000003</c:v>
                </c:pt>
                <c:pt idx="266">
                  <c:v>0.52180000000000004</c:v>
                </c:pt>
                <c:pt idx="267">
                  <c:v>0.52690000000000003</c:v>
                </c:pt>
                <c:pt idx="268">
                  <c:v>0.47649999999999998</c:v>
                </c:pt>
                <c:pt idx="269">
                  <c:v>0.58189999999999997</c:v>
                </c:pt>
                <c:pt idx="270">
                  <c:v>0.6341</c:v>
                </c:pt>
                <c:pt idx="271">
                  <c:v>0.57250000000000001</c:v>
                </c:pt>
                <c:pt idx="272">
                  <c:v>0.51590000000000003</c:v>
                </c:pt>
                <c:pt idx="273">
                  <c:v>0.51670000000000005</c:v>
                </c:pt>
                <c:pt idx="274">
                  <c:v>0.51619999999999999</c:v>
                </c:pt>
                <c:pt idx="275">
                  <c:v>0.4798</c:v>
                </c:pt>
                <c:pt idx="276">
                  <c:v>0.41820000000000002</c:v>
                </c:pt>
                <c:pt idx="277">
                  <c:v>0.37159999999999999</c:v>
                </c:pt>
                <c:pt idx="278">
                  <c:v>0.31909999999999999</c:v>
                </c:pt>
                <c:pt idx="279">
                  <c:v>0.3246</c:v>
                </c:pt>
                <c:pt idx="280">
                  <c:v>0.3503</c:v>
                </c:pt>
                <c:pt idx="281">
                  <c:v>0.39350000000000002</c:v>
                </c:pt>
                <c:pt idx="282">
                  <c:v>0.44900000000000001</c:v>
                </c:pt>
                <c:pt idx="283">
                  <c:v>0.44469999999999998</c:v>
                </c:pt>
                <c:pt idx="284">
                  <c:v>0.48199999999999998</c:v>
                </c:pt>
                <c:pt idx="285">
                  <c:v>0.57069999999999999</c:v>
                </c:pt>
                <c:pt idx="286">
                  <c:v>0.56679999999999997</c:v>
                </c:pt>
                <c:pt idx="287">
                  <c:v>0.62080000000000002</c:v>
                </c:pt>
                <c:pt idx="288">
                  <c:v>0.60199999999999998</c:v>
                </c:pt>
                <c:pt idx="289">
                  <c:v>0.59909999999999997</c:v>
                </c:pt>
                <c:pt idx="290">
                  <c:v>0.64659999999999995</c:v>
                </c:pt>
                <c:pt idx="291">
                  <c:v>0.60580000000000001</c:v>
                </c:pt>
                <c:pt idx="292">
                  <c:v>0.6331</c:v>
                </c:pt>
                <c:pt idx="293">
                  <c:v>0.6714</c:v>
                </c:pt>
                <c:pt idx="294">
                  <c:v>0.63749999999999996</c:v>
                </c:pt>
                <c:pt idx="295">
                  <c:v>0.58140000000000003</c:v>
                </c:pt>
                <c:pt idx="296">
                  <c:v>0.66910000000000003</c:v>
                </c:pt>
                <c:pt idx="297">
                  <c:v>0.71499999999999997</c:v>
                </c:pt>
                <c:pt idx="298">
                  <c:v>0.7177</c:v>
                </c:pt>
                <c:pt idx="299">
                  <c:v>0.64200000000000002</c:v>
                </c:pt>
                <c:pt idx="300">
                  <c:v>0.71250000000000002</c:v>
                </c:pt>
                <c:pt idx="301">
                  <c:v>0.72789999999999999</c:v>
                </c:pt>
                <c:pt idx="302">
                  <c:v>0.72199999999999998</c:v>
                </c:pt>
                <c:pt idx="303">
                  <c:v>0.77890000000000004</c:v>
                </c:pt>
                <c:pt idx="304">
                  <c:v>0.81140000000000001</c:v>
                </c:pt>
                <c:pt idx="305">
                  <c:v>0.83</c:v>
                </c:pt>
                <c:pt idx="306">
                  <c:v>0.75970000000000004</c:v>
                </c:pt>
                <c:pt idx="307">
                  <c:v>0.74490000000000001</c:v>
                </c:pt>
                <c:pt idx="308">
                  <c:v>0.68240000000000001</c:v>
                </c:pt>
                <c:pt idx="309">
                  <c:v>0.71930000000000005</c:v>
                </c:pt>
                <c:pt idx="310">
                  <c:v>0.74409999999999998</c:v>
                </c:pt>
                <c:pt idx="311">
                  <c:v>0.7248</c:v>
                </c:pt>
                <c:pt idx="312">
                  <c:v>0.77769999999999995</c:v>
                </c:pt>
                <c:pt idx="313">
                  <c:v>0.8236</c:v>
                </c:pt>
                <c:pt idx="314">
                  <c:v>0.81330000000000002</c:v>
                </c:pt>
                <c:pt idx="315">
                  <c:v>0.85050000000000003</c:v>
                </c:pt>
                <c:pt idx="316">
                  <c:v>0.89080000000000004</c:v>
                </c:pt>
                <c:pt idx="317">
                  <c:v>1.0065</c:v>
                </c:pt>
                <c:pt idx="318">
                  <c:v>1.145</c:v>
                </c:pt>
                <c:pt idx="319">
                  <c:v>0.94989999999999997</c:v>
                </c:pt>
                <c:pt idx="320">
                  <c:v>0.9597</c:v>
                </c:pt>
                <c:pt idx="321">
                  <c:v>0.83360000000000001</c:v>
                </c:pt>
                <c:pt idx="322">
                  <c:v>0.81599999999999995</c:v>
                </c:pt>
                <c:pt idx="323">
                  <c:v>0.66400000000000003</c:v>
                </c:pt>
                <c:pt idx="324">
                  <c:v>0.75070000000000003</c:v>
                </c:pt>
                <c:pt idx="325">
                  <c:v>0.72499999999999998</c:v>
                </c:pt>
                <c:pt idx="326">
                  <c:v>0.54790000000000005</c:v>
                </c:pt>
                <c:pt idx="327">
                  <c:v>0.50109999999999999</c:v>
                </c:pt>
                <c:pt idx="328">
                  <c:v>0.52</c:v>
                </c:pt>
                <c:pt idx="329">
                  <c:v>0.59330000000000005</c:v>
                </c:pt>
                <c:pt idx="330">
                  <c:v>0.50209999999999999</c:v>
                </c:pt>
                <c:pt idx="331">
                  <c:v>0.4284</c:v>
                </c:pt>
                <c:pt idx="332">
                  <c:v>0.44379999999999997</c:v>
                </c:pt>
                <c:pt idx="333">
                  <c:v>0.42130000000000001</c:v>
                </c:pt>
                <c:pt idx="334">
                  <c:v>0.44590000000000002</c:v>
                </c:pt>
                <c:pt idx="335">
                  <c:v>0.47499999999999998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6E-41DB-BC85-047B7341AFF7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-8.120112822644769</c:v>
                </c:pt>
                <c:pt idx="1">
                  <c:v>-8.1081247126447682</c:v>
                </c:pt>
                <c:pt idx="2">
                  <c:v>-7.785314082401853</c:v>
                </c:pt>
                <c:pt idx="3">
                  <c:v>-7.7645872672998122</c:v>
                </c:pt>
                <c:pt idx="4">
                  <c:v>-7.9418691766021379</c:v>
                </c:pt>
                <c:pt idx="5">
                  <c:v>-7.915728396739123</c:v>
                </c:pt>
                <c:pt idx="6">
                  <c:v>-7.6405352301910803</c:v>
                </c:pt>
                <c:pt idx="7">
                  <c:v>-7.2816693604613514</c:v>
                </c:pt>
                <c:pt idx="8">
                  <c:v>-7.0715023297050488</c:v>
                </c:pt>
                <c:pt idx="9">
                  <c:v>-6.9334709722050505</c:v>
                </c:pt>
                <c:pt idx="10">
                  <c:v>-7.0004938291405336</c:v>
                </c:pt>
                <c:pt idx="11">
                  <c:v>-6.8506763527027648</c:v>
                </c:pt>
                <c:pt idx="12">
                  <c:v>-7.0236339749249872</c:v>
                </c:pt>
                <c:pt idx="13">
                  <c:v>-6.9554264262824548</c:v>
                </c:pt>
                <c:pt idx="14">
                  <c:v>-7.0536167829491223</c:v>
                </c:pt>
                <c:pt idx="15">
                  <c:v>-6.9271773860863766</c:v>
                </c:pt>
                <c:pt idx="16">
                  <c:v>-7.0048967960863768</c:v>
                </c:pt>
                <c:pt idx="17">
                  <c:v>-7.0640028570773676</c:v>
                </c:pt>
                <c:pt idx="18">
                  <c:v>-7.0217563845451787</c:v>
                </c:pt>
                <c:pt idx="19">
                  <c:v>-6.9897504084161461</c:v>
                </c:pt>
                <c:pt idx="20">
                  <c:v>-6.9232835385915843</c:v>
                </c:pt>
                <c:pt idx="21">
                  <c:v>-6.722723544216584</c:v>
                </c:pt>
                <c:pt idx="22">
                  <c:v>-6.7129041102855487</c:v>
                </c:pt>
                <c:pt idx="23">
                  <c:v>-6.5394700870423055</c:v>
                </c:pt>
                <c:pt idx="24">
                  <c:v>-6.4187073176874669</c:v>
                </c:pt>
                <c:pt idx="25">
                  <c:v>-6.43915266224887</c:v>
                </c:pt>
                <c:pt idx="26">
                  <c:v>-6.5454139667250608</c:v>
                </c:pt>
                <c:pt idx="27">
                  <c:v>-6.5577782824297586</c:v>
                </c:pt>
                <c:pt idx="28">
                  <c:v>-6.5015593122602668</c:v>
                </c:pt>
                <c:pt idx="29">
                  <c:v>-6.5069867646740596</c:v>
                </c:pt>
                <c:pt idx="30">
                  <c:v>-6.3731767595853013</c:v>
                </c:pt>
                <c:pt idx="31">
                  <c:v>-6.1569886092474633</c:v>
                </c:pt>
                <c:pt idx="32">
                  <c:v>-6.0310989640474642</c:v>
                </c:pt>
                <c:pt idx="33">
                  <c:v>-6.0568640181015176</c:v>
                </c:pt>
                <c:pt idx="34">
                  <c:v>-6.1304303489178444</c:v>
                </c:pt>
                <c:pt idx="35">
                  <c:v>-5.9085633971711191</c:v>
                </c:pt>
                <c:pt idx="36">
                  <c:v>-6.2705785092381587</c:v>
                </c:pt>
                <c:pt idx="37">
                  <c:v>-6.1216317422456772</c:v>
                </c:pt>
                <c:pt idx="38">
                  <c:v>-6.2958338622817784</c:v>
                </c:pt>
                <c:pt idx="39">
                  <c:v>-6.341225658845655</c:v>
                </c:pt>
                <c:pt idx="40">
                  <c:v>-6.1147323888456553</c:v>
                </c:pt>
                <c:pt idx="41">
                  <c:v>-6.2194467514624776</c:v>
                </c:pt>
                <c:pt idx="42">
                  <c:v>-6.1078412319424773</c:v>
                </c:pt>
                <c:pt idx="43">
                  <c:v>-5.9051153428620173</c:v>
                </c:pt>
                <c:pt idx="44">
                  <c:v>-6.0175206682237192</c:v>
                </c:pt>
                <c:pt idx="45">
                  <c:v>-6.096583660663911</c:v>
                </c:pt>
                <c:pt idx="46">
                  <c:v>-5.6550973794493364</c:v>
                </c:pt>
                <c:pt idx="47">
                  <c:v>-5.5579478296210096</c:v>
                </c:pt>
                <c:pt idx="48">
                  <c:v>-5.5639857477061172</c:v>
                </c:pt>
                <c:pt idx="49">
                  <c:v>-5.3576253623357459</c:v>
                </c:pt>
                <c:pt idx="50">
                  <c:v>-5.0022817556371812</c:v>
                </c:pt>
                <c:pt idx="51">
                  <c:v>-5.178702680970515</c:v>
                </c:pt>
                <c:pt idx="52">
                  <c:v>-5.1496607484427983</c:v>
                </c:pt>
                <c:pt idx="53">
                  <c:v>-5.5490916409427973</c:v>
                </c:pt>
                <c:pt idx="54">
                  <c:v>-5.3371062716277295</c:v>
                </c:pt>
                <c:pt idx="55">
                  <c:v>-5.4380392288551436</c:v>
                </c:pt>
                <c:pt idx="56">
                  <c:v>-5.3165312457978198</c:v>
                </c:pt>
                <c:pt idx="57">
                  <c:v>-5.2312634251585504</c:v>
                </c:pt>
                <c:pt idx="58">
                  <c:v>-4.8544923206728843</c:v>
                </c:pt>
                <c:pt idx="59">
                  <c:v>-4.8514470989810414</c:v>
                </c:pt>
                <c:pt idx="60">
                  <c:v>-4.4527420204704038</c:v>
                </c:pt>
                <c:pt idx="61">
                  <c:v>-4.7625798989938941</c:v>
                </c:pt>
                <c:pt idx="62">
                  <c:v>-4.8567284285323558</c:v>
                </c:pt>
                <c:pt idx="63">
                  <c:v>-4.3043080793913004</c:v>
                </c:pt>
                <c:pt idx="64">
                  <c:v>-3.9118205068356593</c:v>
                </c:pt>
                <c:pt idx="65">
                  <c:v>-4.0508666950110976</c:v>
                </c:pt>
                <c:pt idx="66">
                  <c:v>-4.0807018592120103</c:v>
                </c:pt>
                <c:pt idx="67">
                  <c:v>-3.9369618325453435</c:v>
                </c:pt>
                <c:pt idx="68">
                  <c:v>-3.237010187610466</c:v>
                </c:pt>
                <c:pt idx="69">
                  <c:v>-3.5693957458320811</c:v>
                </c:pt>
                <c:pt idx="70">
                  <c:v>-3.7585949913493222</c:v>
                </c:pt>
                <c:pt idx="71">
                  <c:v>-3.3937499299395251</c:v>
                </c:pt>
                <c:pt idx="72">
                  <c:v>-3.7415688003803598</c:v>
                </c:pt>
                <c:pt idx="73">
                  <c:v>-3.7546560823361954</c:v>
                </c:pt>
                <c:pt idx="74">
                  <c:v>-3.3861251069571345</c:v>
                </c:pt>
                <c:pt idx="75">
                  <c:v>-3.1952348425735737</c:v>
                </c:pt>
                <c:pt idx="76">
                  <c:v>-3.6276603218362462</c:v>
                </c:pt>
                <c:pt idx="77">
                  <c:v>-3.0731908617845396</c:v>
                </c:pt>
                <c:pt idx="78">
                  <c:v>-3.9758629871126487</c:v>
                </c:pt>
                <c:pt idx="79">
                  <c:v>-3.5938553367097712</c:v>
                </c:pt>
                <c:pt idx="80">
                  <c:v>-2.3129821883159898</c:v>
                </c:pt>
                <c:pt idx="81">
                  <c:v>-2.5003596462480422</c:v>
                </c:pt>
                <c:pt idx="82">
                  <c:v>-2.3480534185949806</c:v>
                </c:pt>
                <c:pt idx="83">
                  <c:v>-2.5626389596419124</c:v>
                </c:pt>
                <c:pt idx="84">
                  <c:v>-2.15334384270386</c:v>
                </c:pt>
                <c:pt idx="85">
                  <c:v>-2.2417521904397097</c:v>
                </c:pt>
                <c:pt idx="86">
                  <c:v>-2.0321685059802501</c:v>
                </c:pt>
                <c:pt idx="87">
                  <c:v>-1.9298693465146015</c:v>
                </c:pt>
                <c:pt idx="88">
                  <c:v>-1.9519832412852438</c:v>
                </c:pt>
                <c:pt idx="89">
                  <c:v>-1.509574056908773</c:v>
                </c:pt>
                <c:pt idx="90">
                  <c:v>-2.1404604560637024</c:v>
                </c:pt>
                <c:pt idx="91">
                  <c:v>-2.3595780052457598</c:v>
                </c:pt>
                <c:pt idx="92">
                  <c:v>-2.399022477923356</c:v>
                </c:pt>
                <c:pt idx="93">
                  <c:v>-2.1641644328290162</c:v>
                </c:pt>
                <c:pt idx="94">
                  <c:v>-2.0710651722229554</c:v>
                </c:pt>
                <c:pt idx="95">
                  <c:v>-2.1001116201299324</c:v>
                </c:pt>
                <c:pt idx="96">
                  <c:v>-2.0214127841299327</c:v>
                </c:pt>
                <c:pt idx="97">
                  <c:v>-1.9439726906299322</c:v>
                </c:pt>
                <c:pt idx="98">
                  <c:v>-1.9247277005094505</c:v>
                </c:pt>
                <c:pt idx="99">
                  <c:v>-1.7170384613790155</c:v>
                </c:pt>
                <c:pt idx="100">
                  <c:v>-1.5077768831031528</c:v>
                </c:pt>
                <c:pt idx="101">
                  <c:v>-1.4783116482460095</c:v>
                </c:pt>
                <c:pt idx="102">
                  <c:v>-1.3143228249126764</c:v>
                </c:pt>
                <c:pt idx="103">
                  <c:v>-1.1803175193571203</c:v>
                </c:pt>
                <c:pt idx="104">
                  <c:v>-1.081948625865057</c:v>
                </c:pt>
                <c:pt idx="105">
                  <c:v>-0.76497756315148946</c:v>
                </c:pt>
                <c:pt idx="106">
                  <c:v>-0.74088485535838577</c:v>
                </c:pt>
                <c:pt idx="107">
                  <c:v>-0.76943941543357364</c:v>
                </c:pt>
                <c:pt idx="108">
                  <c:v>-0.80083782739938569</c:v>
                </c:pt>
                <c:pt idx="109">
                  <c:v>-0.7542197342856134</c:v>
                </c:pt>
                <c:pt idx="110">
                  <c:v>-0.63968673364561357</c:v>
                </c:pt>
                <c:pt idx="111">
                  <c:v>-0.65488009437187056</c:v>
                </c:pt>
                <c:pt idx="112">
                  <c:v>-0.54666378079463429</c:v>
                </c:pt>
                <c:pt idx="113">
                  <c:v>-0.6667784955314765</c:v>
                </c:pt>
                <c:pt idx="114">
                  <c:v>-0.55870795363605186</c:v>
                </c:pt>
                <c:pt idx="115">
                  <c:v>-0.31789743503140039</c:v>
                </c:pt>
                <c:pt idx="116">
                  <c:v>-0.54399750645997202</c:v>
                </c:pt>
                <c:pt idx="117">
                  <c:v>-0.5359957110054262</c:v>
                </c:pt>
                <c:pt idx="118">
                  <c:v>-0.42647689568284552</c:v>
                </c:pt>
                <c:pt idx="119">
                  <c:v>-0.8397348220054266</c:v>
                </c:pt>
                <c:pt idx="120">
                  <c:v>-0.92365474739004216</c:v>
                </c:pt>
                <c:pt idx="121">
                  <c:v>-0.88999444016112672</c:v>
                </c:pt>
                <c:pt idx="122">
                  <c:v>-0.79190871942941921</c:v>
                </c:pt>
                <c:pt idx="123">
                  <c:v>-0.69722869326201842</c:v>
                </c:pt>
                <c:pt idx="124">
                  <c:v>-0.73277803230311445</c:v>
                </c:pt>
                <c:pt idx="125">
                  <c:v>-0.67864953445035336</c:v>
                </c:pt>
                <c:pt idx="126">
                  <c:v>-0.62820134796386695</c:v>
                </c:pt>
                <c:pt idx="127">
                  <c:v>-0.70393727606142809</c:v>
                </c:pt>
                <c:pt idx="128">
                  <c:v>-0.79713037999331682</c:v>
                </c:pt>
                <c:pt idx="129">
                  <c:v>-0.67038763349650166</c:v>
                </c:pt>
                <c:pt idx="130">
                  <c:v>-0.57435712749650158</c:v>
                </c:pt>
                <c:pt idx="131">
                  <c:v>-0.41830447611872412</c:v>
                </c:pt>
                <c:pt idx="132">
                  <c:v>-0.35298195811872396</c:v>
                </c:pt>
                <c:pt idx="133">
                  <c:v>-0.24244245699803424</c:v>
                </c:pt>
                <c:pt idx="134">
                  <c:v>-0.1911805697639917</c:v>
                </c:pt>
                <c:pt idx="135">
                  <c:v>-0.3177581027925635</c:v>
                </c:pt>
                <c:pt idx="136">
                  <c:v>-0.36572708759256367</c:v>
                </c:pt>
                <c:pt idx="137">
                  <c:v>-0.37761076205249405</c:v>
                </c:pt>
                <c:pt idx="138">
                  <c:v>-0.31692466540615238</c:v>
                </c:pt>
                <c:pt idx="139">
                  <c:v>-0.26186190204076787</c:v>
                </c:pt>
                <c:pt idx="140">
                  <c:v>-0.16432714369852186</c:v>
                </c:pt>
                <c:pt idx="141">
                  <c:v>-7.0259098276834853E-2</c:v>
                </c:pt>
                <c:pt idx="142">
                  <c:v>-0.12404231605461254</c:v>
                </c:pt>
                <c:pt idx="143">
                  <c:v>0.17920003300521695</c:v>
                </c:pt>
                <c:pt idx="144">
                  <c:v>0.28766451844521629</c:v>
                </c:pt>
                <c:pt idx="145">
                  <c:v>0.35204060708990514</c:v>
                </c:pt>
                <c:pt idx="146">
                  <c:v>0.32409298657895586</c:v>
                </c:pt>
                <c:pt idx="147">
                  <c:v>0.47315337599072116</c:v>
                </c:pt>
                <c:pt idx="148">
                  <c:v>0.65957450443837451</c:v>
                </c:pt>
                <c:pt idx="149">
                  <c:v>0.5545227101465291</c:v>
                </c:pt>
                <c:pt idx="150">
                  <c:v>0.80887308922097556</c:v>
                </c:pt>
                <c:pt idx="151">
                  <c:v>1.6715527488644117</c:v>
                </c:pt>
                <c:pt idx="152">
                  <c:v>1.6763351894081464</c:v>
                </c:pt>
                <c:pt idx="153">
                  <c:v>1.8426673520298693</c:v>
                </c:pt>
                <c:pt idx="154">
                  <c:v>1.661100844677684</c:v>
                </c:pt>
                <c:pt idx="155">
                  <c:v>2.0442009892284085</c:v>
                </c:pt>
                <c:pt idx="156">
                  <c:v>1.738529895757212</c:v>
                </c:pt>
                <c:pt idx="157">
                  <c:v>2.155539632669393</c:v>
                </c:pt>
                <c:pt idx="158">
                  <c:v>1.502024247635835</c:v>
                </c:pt>
                <c:pt idx="159">
                  <c:v>1.5252240108681583</c:v>
                </c:pt>
                <c:pt idx="160">
                  <c:v>1.5595038593916486</c:v>
                </c:pt>
                <c:pt idx="161">
                  <c:v>1.6352375714904133</c:v>
                </c:pt>
                <c:pt idx="162">
                  <c:v>1.3361713321667421</c:v>
                </c:pt>
                <c:pt idx="163">
                  <c:v>1.4530014222347696</c:v>
                </c:pt>
                <c:pt idx="164">
                  <c:v>1.70614948743477</c:v>
                </c:pt>
                <c:pt idx="165">
                  <c:v>2.0426012706108132</c:v>
                </c:pt>
                <c:pt idx="166">
                  <c:v>1.803425578486461</c:v>
                </c:pt>
                <c:pt idx="167">
                  <c:v>1.8234722655513962</c:v>
                </c:pt>
                <c:pt idx="168">
                  <c:v>1.5958555738392379</c:v>
                </c:pt>
                <c:pt idx="169">
                  <c:v>1.6198259413785052</c:v>
                </c:pt>
                <c:pt idx="170">
                  <c:v>1.9787279684492125</c:v>
                </c:pt>
                <c:pt idx="171">
                  <c:v>2.1387603980718541</c:v>
                </c:pt>
                <c:pt idx="172">
                  <c:v>2.0255567631481903</c:v>
                </c:pt>
                <c:pt idx="173">
                  <c:v>2.8212366188624749</c:v>
                </c:pt>
                <c:pt idx="174">
                  <c:v>3.3449672844301919</c:v>
                </c:pt>
                <c:pt idx="175">
                  <c:v>4.0173217150443072</c:v>
                </c:pt>
                <c:pt idx="176">
                  <c:v>1.5315540282278268</c:v>
                </c:pt>
                <c:pt idx="177">
                  <c:v>1.4222683424085498</c:v>
                </c:pt>
                <c:pt idx="178">
                  <c:v>1.5909517389259813</c:v>
                </c:pt>
                <c:pt idx="179">
                  <c:v>1.6849621271777293</c:v>
                </c:pt>
                <c:pt idx="180">
                  <c:v>1.9202239083465604</c:v>
                </c:pt>
                <c:pt idx="181">
                  <c:v>2.0125902172898935</c:v>
                </c:pt>
                <c:pt idx="182">
                  <c:v>1.5780005647744599</c:v>
                </c:pt>
                <c:pt idx="183">
                  <c:v>1.8972316931050721</c:v>
                </c:pt>
                <c:pt idx="184">
                  <c:v>1.9134925694262643</c:v>
                </c:pt>
                <c:pt idx="185">
                  <c:v>1.3858828155366891</c:v>
                </c:pt>
                <c:pt idx="186">
                  <c:v>2.2547333501267213</c:v>
                </c:pt>
                <c:pt idx="187">
                  <c:v>0.81178090376237966</c:v>
                </c:pt>
                <c:pt idx="188">
                  <c:v>-0.21021386631462619</c:v>
                </c:pt>
                <c:pt idx="189">
                  <c:v>-1.0547824114858333</c:v>
                </c:pt>
                <c:pt idx="190">
                  <c:v>-1.0019269060426221</c:v>
                </c:pt>
                <c:pt idx="191">
                  <c:v>-1.6373612195750629</c:v>
                </c:pt>
                <c:pt idx="192">
                  <c:v>-1.6246798496507711</c:v>
                </c:pt>
                <c:pt idx="193">
                  <c:v>-1.3801293309417677</c:v>
                </c:pt>
                <c:pt idx="194">
                  <c:v>-1.1186716519454818</c:v>
                </c:pt>
                <c:pt idx="195">
                  <c:v>-1.1119672283863578</c:v>
                </c:pt>
                <c:pt idx="196">
                  <c:v>-0.44018277923478805</c:v>
                </c:pt>
                <c:pt idx="197">
                  <c:v>0.64413969429967055</c:v>
                </c:pt>
                <c:pt idx="198">
                  <c:v>-6.4678793054789227E-2</c:v>
                </c:pt>
                <c:pt idx="199">
                  <c:v>-0.59785885977866471</c:v>
                </c:pt>
                <c:pt idx="200">
                  <c:v>-0.40228361405885793</c:v>
                </c:pt>
                <c:pt idx="201">
                  <c:v>-0.59991908835983476</c:v>
                </c:pt>
                <c:pt idx="202">
                  <c:v>-1.5104717707058779</c:v>
                </c:pt>
                <c:pt idx="203">
                  <c:v>-1.77331256847406</c:v>
                </c:pt>
                <c:pt idx="204">
                  <c:v>-1.2687094118443485</c:v>
                </c:pt>
                <c:pt idx="205">
                  <c:v>-1.3044728267518948</c:v>
                </c:pt>
                <c:pt idx="206">
                  <c:v>-1.5002143595483397</c:v>
                </c:pt>
                <c:pt idx="207">
                  <c:v>-1.1646745863989185</c:v>
                </c:pt>
                <c:pt idx="208">
                  <c:v>-1.353991363264557</c:v>
                </c:pt>
                <c:pt idx="209">
                  <c:v>-1.3369459773088428</c:v>
                </c:pt>
                <c:pt idx="210">
                  <c:v>-1.3330364179685068</c:v>
                </c:pt>
                <c:pt idx="211">
                  <c:v>-1.2894728590964137</c:v>
                </c:pt>
                <c:pt idx="212">
                  <c:v>-1.3176934638297473</c:v>
                </c:pt>
                <c:pt idx="213">
                  <c:v>-1.3702244176967686</c:v>
                </c:pt>
                <c:pt idx="214">
                  <c:v>-1.4324335046280725</c:v>
                </c:pt>
                <c:pt idx="215">
                  <c:v>-1.5079997370178686</c:v>
                </c:pt>
                <c:pt idx="216">
                  <c:v>-1.5744678473870999</c:v>
                </c:pt>
                <c:pt idx="217">
                  <c:v>-1.4841723029659233</c:v>
                </c:pt>
                <c:pt idx="218">
                  <c:v>-1.5454188014059229</c:v>
                </c:pt>
                <c:pt idx="219">
                  <c:v>-1.5296806889641839</c:v>
                </c:pt>
                <c:pt idx="220">
                  <c:v>-1.5685934682700664</c:v>
                </c:pt>
                <c:pt idx="221">
                  <c:v>-1.3203343874505316</c:v>
                </c:pt>
                <c:pt idx="222">
                  <c:v>-1.4414562229763046</c:v>
                </c:pt>
                <c:pt idx="223">
                  <c:v>-1.4207316450935459</c:v>
                </c:pt>
                <c:pt idx="224">
                  <c:v>-1.305565396286962</c:v>
                </c:pt>
                <c:pt idx="225">
                  <c:v>-1.325541990341679</c:v>
                </c:pt>
                <c:pt idx="226">
                  <c:v>-1.1770147414056784</c:v>
                </c:pt>
                <c:pt idx="227">
                  <c:v>-1.0500176593313197</c:v>
                </c:pt>
                <c:pt idx="228">
                  <c:v>-1.17816788555632</c:v>
                </c:pt>
                <c:pt idx="229">
                  <c:v>-1.2460398506686194</c:v>
                </c:pt>
                <c:pt idx="230">
                  <c:v>-1.1436838947840045</c:v>
                </c:pt>
                <c:pt idx="231">
                  <c:v>-0.96376591494994401</c:v>
                </c:pt>
                <c:pt idx="232">
                  <c:v>-0.85752977229656036</c:v>
                </c:pt>
                <c:pt idx="233">
                  <c:v>-1.0378803956324978</c:v>
                </c:pt>
                <c:pt idx="234">
                  <c:v>-1.2140231650577502</c:v>
                </c:pt>
                <c:pt idx="235">
                  <c:v>-0.91655234197955615</c:v>
                </c:pt>
                <c:pt idx="236">
                  <c:v>-1.0305333615135712</c:v>
                </c:pt>
                <c:pt idx="237">
                  <c:v>-0.96954869383915265</c:v>
                </c:pt>
                <c:pt idx="238">
                  <c:v>-0.81066104123050386</c:v>
                </c:pt>
                <c:pt idx="239">
                  <c:v>-0.78680586143685305</c:v>
                </c:pt>
                <c:pt idx="240">
                  <c:v>-0.82046000673139874</c:v>
                </c:pt>
                <c:pt idx="241">
                  <c:v>-0.74715747298872381</c:v>
                </c:pt>
                <c:pt idx="242">
                  <c:v>-0.84475521779048701</c:v>
                </c:pt>
                <c:pt idx="243">
                  <c:v>-0.87922245794765941</c:v>
                </c:pt>
                <c:pt idx="244">
                  <c:v>-0.76948591476099282</c:v>
                </c:pt>
                <c:pt idx="245">
                  <c:v>-0.59162917175481655</c:v>
                </c:pt>
                <c:pt idx="246">
                  <c:v>-0.64607610025345064</c:v>
                </c:pt>
                <c:pt idx="247">
                  <c:v>-0.82837792555345058</c:v>
                </c:pt>
                <c:pt idx="248">
                  <c:v>-1.0324330805564359</c:v>
                </c:pt>
                <c:pt idx="249">
                  <c:v>-1.2360559131564359</c:v>
                </c:pt>
                <c:pt idx="250">
                  <c:v>-1.14379234313814</c:v>
                </c:pt>
                <c:pt idx="251">
                  <c:v>-1.1109677187847642</c:v>
                </c:pt>
                <c:pt idx="252">
                  <c:v>-1.0507287113715165</c:v>
                </c:pt>
                <c:pt idx="253">
                  <c:v>-1.1010230701657042</c:v>
                </c:pt>
                <c:pt idx="254">
                  <c:v>-0.95853595450106321</c:v>
                </c:pt>
                <c:pt idx="255">
                  <c:v>-0.87231425976209398</c:v>
                </c:pt>
                <c:pt idx="256">
                  <c:v>-0.84549137783534234</c:v>
                </c:pt>
                <c:pt idx="257">
                  <c:v>-0.79760450581552655</c:v>
                </c:pt>
                <c:pt idx="258">
                  <c:v>-0.6722192869679201</c:v>
                </c:pt>
                <c:pt idx="259">
                  <c:v>-0.68847177507059387</c:v>
                </c:pt>
                <c:pt idx="260">
                  <c:v>-0.64694362861376931</c:v>
                </c:pt>
                <c:pt idx="261">
                  <c:v>-0.50568865020921161</c:v>
                </c:pt>
                <c:pt idx="262">
                  <c:v>-0.61454004407453122</c:v>
                </c:pt>
                <c:pt idx="263">
                  <c:v>-0.57479192691025771</c:v>
                </c:pt>
                <c:pt idx="264">
                  <c:v>-0.70599032803491157</c:v>
                </c:pt>
                <c:pt idx="265">
                  <c:v>-0.64463635534786123</c:v>
                </c:pt>
                <c:pt idx="266">
                  <c:v>-0.5681399692519431</c:v>
                </c:pt>
                <c:pt idx="267">
                  <c:v>-0.29744374612853886</c:v>
                </c:pt>
                <c:pt idx="268">
                  <c:v>-0.39878486088690129</c:v>
                </c:pt>
                <c:pt idx="269">
                  <c:v>-0.12669842983600851</c:v>
                </c:pt>
                <c:pt idx="270">
                  <c:v>0.11216217759316273</c:v>
                </c:pt>
                <c:pt idx="271">
                  <c:v>-8.288488888559449E-2</c:v>
                </c:pt>
                <c:pt idx="272">
                  <c:v>-0.22946587290882697</c:v>
                </c:pt>
                <c:pt idx="273">
                  <c:v>-0.27847156812516038</c:v>
                </c:pt>
                <c:pt idx="274">
                  <c:v>-0.16582299312173079</c:v>
                </c:pt>
                <c:pt idx="275">
                  <c:v>-0.31183654502649283</c:v>
                </c:pt>
                <c:pt idx="276">
                  <c:v>-0.46919904348587987</c:v>
                </c:pt>
                <c:pt idx="277">
                  <c:v>-0.56368997601088011</c:v>
                </c:pt>
                <c:pt idx="278">
                  <c:v>-0.62450509749789307</c:v>
                </c:pt>
                <c:pt idx="279">
                  <c:v>-0.70747744642129717</c:v>
                </c:pt>
                <c:pt idx="280">
                  <c:v>-0.75713962154205183</c:v>
                </c:pt>
                <c:pt idx="281">
                  <c:v>-0.63830291379472559</c:v>
                </c:pt>
                <c:pt idx="282">
                  <c:v>-0.5205148223117988</c:v>
                </c:pt>
                <c:pt idx="283">
                  <c:v>-0.7340365889088285</c:v>
                </c:pt>
                <c:pt idx="284">
                  <c:v>-0.66638973081706099</c:v>
                </c:pt>
                <c:pt idx="285">
                  <c:v>-0.61583934255554407</c:v>
                </c:pt>
                <c:pt idx="286">
                  <c:v>-0.58480035105554407</c:v>
                </c:pt>
                <c:pt idx="287">
                  <c:v>-0.48571874505554397</c:v>
                </c:pt>
                <c:pt idx="288">
                  <c:v>-0.51980070562795799</c:v>
                </c:pt>
                <c:pt idx="289">
                  <c:v>-0.63151898931793615</c:v>
                </c:pt>
                <c:pt idx="290">
                  <c:v>-0.44729896297575872</c:v>
                </c:pt>
                <c:pt idx="291">
                  <c:v>-0.53237972377575848</c:v>
                </c:pt>
                <c:pt idx="292">
                  <c:v>-0.46863482843530285</c:v>
                </c:pt>
                <c:pt idx="293">
                  <c:v>-0.41806643932430537</c:v>
                </c:pt>
                <c:pt idx="294">
                  <c:v>-0.44219284339718445</c:v>
                </c:pt>
                <c:pt idx="295">
                  <c:v>-0.49090178560842551</c:v>
                </c:pt>
                <c:pt idx="296">
                  <c:v>-0.43135526575569005</c:v>
                </c:pt>
                <c:pt idx="297">
                  <c:v>-0.35571237887876694</c:v>
                </c:pt>
                <c:pt idx="298">
                  <c:v>-0.36670850841285774</c:v>
                </c:pt>
                <c:pt idx="299">
                  <c:v>-0.43304263850469105</c:v>
                </c:pt>
                <c:pt idx="300">
                  <c:v>-0.30035885387948114</c:v>
                </c:pt>
                <c:pt idx="301">
                  <c:v>-0.20271467994212999</c:v>
                </c:pt>
                <c:pt idx="302">
                  <c:v>-0.17623401005324099</c:v>
                </c:pt>
                <c:pt idx="303">
                  <c:v>-0.10265846186847907</c:v>
                </c:pt>
                <c:pt idx="304">
                  <c:v>-4.482507847637391E-2</c:v>
                </c:pt>
                <c:pt idx="305">
                  <c:v>5.1160667157395499E-2</c:v>
                </c:pt>
                <c:pt idx="306">
                  <c:v>8.3293494292132272E-3</c:v>
                </c:pt>
                <c:pt idx="307">
                  <c:v>-6.5188645097040518E-2</c:v>
                </c:pt>
                <c:pt idx="308">
                  <c:v>-8.6944994491635008E-2</c:v>
                </c:pt>
                <c:pt idx="309">
                  <c:v>-5.3813833697159905E-2</c:v>
                </c:pt>
                <c:pt idx="310">
                  <c:v>0.1522879829510497</c:v>
                </c:pt>
                <c:pt idx="311">
                  <c:v>0.14421316833819475</c:v>
                </c:pt>
                <c:pt idx="312">
                  <c:v>0.34296274628979084</c:v>
                </c:pt>
                <c:pt idx="313">
                  <c:v>0.34070862654620121</c:v>
                </c:pt>
                <c:pt idx="314">
                  <c:v>0.41674524160376236</c:v>
                </c:pt>
                <c:pt idx="315">
                  <c:v>0.4944621670154275</c:v>
                </c:pt>
                <c:pt idx="316">
                  <c:v>0.59242557560365139</c:v>
                </c:pt>
                <c:pt idx="317">
                  <c:v>0.60171340365923665</c:v>
                </c:pt>
                <c:pt idx="318">
                  <c:v>0.65154287591482485</c:v>
                </c:pt>
                <c:pt idx="319">
                  <c:v>0.43328219212772812</c:v>
                </c:pt>
                <c:pt idx="320">
                  <c:v>0.43463015844370817</c:v>
                </c:pt>
                <c:pt idx="321">
                  <c:v>0.27446160787403673</c:v>
                </c:pt>
                <c:pt idx="322">
                  <c:v>5.6899216744252967E-2</c:v>
                </c:pt>
                <c:pt idx="323">
                  <c:v>-0.16921528485897272</c:v>
                </c:pt>
                <c:pt idx="324">
                  <c:v>-3.1858309180261939E-2</c:v>
                </c:pt>
                <c:pt idx="325">
                  <c:v>-0.22335268274141459</c:v>
                </c:pt>
                <c:pt idx="326">
                  <c:v>-0.44652392870590052</c:v>
                </c:pt>
                <c:pt idx="327">
                  <c:v>-0.47639300003030627</c:v>
                </c:pt>
                <c:pt idx="328">
                  <c:v>-0.39214265194587178</c:v>
                </c:pt>
                <c:pt idx="329">
                  <c:v>-0.35476543813751865</c:v>
                </c:pt>
                <c:pt idx="330">
                  <c:v>-0.47142463021017611</c:v>
                </c:pt>
                <c:pt idx="331">
                  <c:v>-0.52227907621017611</c:v>
                </c:pt>
                <c:pt idx="332">
                  <c:v>-0.45446357763093082</c:v>
                </c:pt>
                <c:pt idx="333">
                  <c:v>-0.38860343064578229</c:v>
                </c:pt>
                <c:pt idx="334">
                  <c:v>-0.46257209780069963</c:v>
                </c:pt>
                <c:pt idx="335">
                  <c:v>-0.41801513118344308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6E-41DB-BC85-047B7341A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79167072"/>
        <c:axId val="579168736"/>
      </c:lineChart>
      <c:dateAx>
        <c:axId val="57916707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68736"/>
        <c:crosses val="autoZero"/>
        <c:auto val="1"/>
        <c:lblOffset val="100"/>
        <c:baseTimeUnit val="days"/>
      </c:dateAx>
      <c:valAx>
        <c:axId val="5791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9167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1AF3BF-E0DF-46BC-A493-EF9393F5A1D0}">
  <sheetPr codeName="Chart1"/>
  <sheetViews>
    <sheetView zoomScale="7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338" cy="607373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C4F237-E527-4546-AEA6-EFB279CF3D3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1.2475000000000001</v>
      </c>
      <c r="D2" s="4">
        <f>MIN(D3:D1912)</f>
        <v>7.3700000000000002E-2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7</v>
      </c>
      <c r="N4" t="s">
        <v>7</v>
      </c>
    </row>
    <row r="5" spans="1:20" x14ac:dyDescent="0.25">
      <c r="A5" s="5">
        <v>44588</v>
      </c>
      <c r="B5">
        <v>0.1134</v>
      </c>
      <c r="C5">
        <v>0.1144</v>
      </c>
      <c r="D5">
        <v>0.11119999999999999</v>
      </c>
      <c r="E5">
        <v>0.11119999999999999</v>
      </c>
      <c r="F5">
        <v>1198811</v>
      </c>
      <c r="G5">
        <v>0.11119999999999999</v>
      </c>
      <c r="L5" t="s">
        <v>7</v>
      </c>
      <c r="M5" t="s">
        <v>7</v>
      </c>
      <c r="N5" t="s">
        <v>7</v>
      </c>
      <c r="P5">
        <f t="shared" ref="P5" si="0">IF(C5=D5,0,((E5-D5)-(C5-E5))/(C5-D5))</f>
        <v>-1</v>
      </c>
      <c r="Q5">
        <f t="shared" ref="Q5" si="1">F5*P5</f>
        <v>-1198811</v>
      </c>
      <c r="R5">
        <f t="shared" ref="R5" si="2">R6+Q5</f>
        <v>-812011282.26447678</v>
      </c>
      <c r="S5">
        <f t="shared" ref="S5" si="3">R5/100000</f>
        <v>-8120.1128226447681</v>
      </c>
      <c r="T5">
        <f t="shared" ref="T5" si="4">S5/1000</f>
        <v>-8.120112822644769</v>
      </c>
    </row>
    <row r="6" spans="1:20" x14ac:dyDescent="0.25">
      <c r="A6" s="5">
        <v>44587</v>
      </c>
      <c r="B6">
        <v>0.1104</v>
      </c>
      <c r="C6">
        <v>0.13339999999999999</v>
      </c>
      <c r="D6">
        <v>0.1087</v>
      </c>
      <c r="E6">
        <v>0.1132</v>
      </c>
      <c r="F6">
        <v>50786131</v>
      </c>
      <c r="G6">
        <v>0.1132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-0.63562753036437303</v>
      </c>
      <c r="Q6">
        <f t="shared" ref="Q6" si="6">F6*P6</f>
        <v>-32281063.024291527</v>
      </c>
      <c r="R6">
        <f t="shared" ref="R6" si="7">R7+Q6</f>
        <v>-810812471.26447678</v>
      </c>
      <c r="S6">
        <f t="shared" ref="S6" si="8">R6/100000</f>
        <v>-8108.1247126447679</v>
      </c>
      <c r="T6">
        <f t="shared" ref="T6" si="9">S6/1000</f>
        <v>-8.1081247126447682</v>
      </c>
    </row>
    <row r="7" spans="1:20" x14ac:dyDescent="0.25">
      <c r="A7" s="5">
        <v>44586</v>
      </c>
      <c r="B7">
        <v>0.1114</v>
      </c>
      <c r="C7">
        <v>0.1159</v>
      </c>
      <c r="D7">
        <v>0.1061</v>
      </c>
      <c r="E7">
        <v>0.1104</v>
      </c>
      <c r="F7">
        <v>16926899</v>
      </c>
      <c r="G7">
        <v>0.1104</v>
      </c>
      <c r="L7" t="s">
        <v>8</v>
      </c>
      <c r="M7" t="s">
        <v>8</v>
      </c>
      <c r="N7" t="s">
        <v>7</v>
      </c>
      <c r="P7">
        <f t="shared" ref="P7" si="10">IF(C7=D7,0,((E7-D7)-(C7-E7))/(C7-D7))</f>
        <v>-0.12244897959183737</v>
      </c>
      <c r="Q7">
        <f t="shared" ref="Q7" si="11">F7*P7</f>
        <v>-2072681.5102040924</v>
      </c>
      <c r="R7">
        <f t="shared" ref="R7" si="12">R8+Q7</f>
        <v>-778531408.24018526</v>
      </c>
      <c r="S7">
        <f t="shared" ref="S7" si="13">R7/100000</f>
        <v>-7785.3140824018528</v>
      </c>
      <c r="T7">
        <f t="shared" ref="T7" si="14">S7/1000</f>
        <v>-7.785314082401853</v>
      </c>
    </row>
    <row r="8" spans="1:20" x14ac:dyDescent="0.25">
      <c r="A8" s="5">
        <v>44585</v>
      </c>
      <c r="B8">
        <v>0.1159</v>
      </c>
      <c r="C8">
        <v>0.11700000000000001</v>
      </c>
      <c r="D8">
        <v>9.5500000000000002E-2</v>
      </c>
      <c r="E8">
        <v>0.11169999999999999</v>
      </c>
      <c r="F8">
        <v>34968450</v>
      </c>
      <c r="G8">
        <v>0.11169999999999999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0.50697674418604544</v>
      </c>
      <c r="Q8">
        <f t="shared" ref="Q8" si="16">F8*P8</f>
        <v>17728190.930232521</v>
      </c>
      <c r="R8">
        <f t="shared" ref="R8" si="17">R9+Q8</f>
        <v>-776458726.72998118</v>
      </c>
      <c r="S8">
        <f t="shared" ref="S8" si="18">R8/100000</f>
        <v>-7764.5872672998121</v>
      </c>
      <c r="T8">
        <f t="shared" ref="T8" si="19">S8/1000</f>
        <v>-7.7645872672998122</v>
      </c>
    </row>
    <row r="9" spans="1:20" x14ac:dyDescent="0.25">
      <c r="A9" s="5">
        <v>44584</v>
      </c>
      <c r="B9">
        <v>0.11</v>
      </c>
      <c r="C9">
        <v>0.1241</v>
      </c>
      <c r="D9">
        <v>0.1095</v>
      </c>
      <c r="E9">
        <v>0.1159</v>
      </c>
      <c r="F9">
        <v>21203077</v>
      </c>
      <c r="G9">
        <v>0.1159</v>
      </c>
      <c r="L9" t="s">
        <v>8</v>
      </c>
      <c r="M9" t="s">
        <v>7</v>
      </c>
      <c r="N9" t="s">
        <v>7</v>
      </c>
      <c r="P9">
        <f t="shared" ref="P9" si="20">IF(C9=D9,0,((E9-D9)-(C9-E9))/(C9-D9))</f>
        <v>-0.12328767123287643</v>
      </c>
      <c r="Q9">
        <f t="shared" ref="Q9" si="21">F9*P9</f>
        <v>-2614077.9863013639</v>
      </c>
      <c r="R9">
        <f t="shared" ref="R9" si="22">R10+Q9</f>
        <v>-794186917.66021371</v>
      </c>
      <c r="S9">
        <f t="shared" ref="S9" si="23">R9/100000</f>
        <v>-7941.8691766021375</v>
      </c>
      <c r="T9">
        <f t="shared" ref="T9" si="24">S9/1000</f>
        <v>-7.9418691766021379</v>
      </c>
    </row>
    <row r="10" spans="1:20" x14ac:dyDescent="0.25">
      <c r="A10" s="5">
        <v>44583</v>
      </c>
      <c r="B10">
        <v>0.13189999999999999</v>
      </c>
      <c r="C10">
        <v>0.13439999999999999</v>
      </c>
      <c r="D10">
        <v>0.10630000000000001</v>
      </c>
      <c r="E10">
        <v>0.11</v>
      </c>
      <c r="F10">
        <v>37357140</v>
      </c>
      <c r="G10">
        <v>0.11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-0.73665480427046282</v>
      </c>
      <c r="Q10">
        <f t="shared" ref="Q10" si="26">F10*P10</f>
        <v>-27519316.654804278</v>
      </c>
      <c r="R10">
        <f t="shared" ref="R10" si="27">R11+Q10</f>
        <v>-791572839.67391229</v>
      </c>
      <c r="S10">
        <f t="shared" ref="S10" si="28">R10/100000</f>
        <v>-7915.7283967391231</v>
      </c>
      <c r="T10">
        <f t="shared" ref="T10" si="29">S10/1000</f>
        <v>-7.915728396739123</v>
      </c>
    </row>
    <row r="11" spans="1:20" x14ac:dyDescent="0.25">
      <c r="A11" s="5">
        <v>44582</v>
      </c>
      <c r="B11">
        <v>0.15740000000000001</v>
      </c>
      <c r="C11">
        <v>0.15920000000000001</v>
      </c>
      <c r="D11">
        <v>0.12959999999999999</v>
      </c>
      <c r="E11">
        <v>0.13200000000000001</v>
      </c>
      <c r="F11">
        <v>42832378</v>
      </c>
      <c r="G11">
        <v>0.13200000000000001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-0.83783783783783705</v>
      </c>
      <c r="Q11">
        <f t="shared" ref="Q11" si="31">F11*P11</f>
        <v>-35886586.972972937</v>
      </c>
      <c r="R11">
        <f t="shared" ref="R11" si="32">R12+Q11</f>
        <v>-764053523.01910806</v>
      </c>
      <c r="S11">
        <f t="shared" ref="S11" si="33">R11/100000</f>
        <v>-7640.5352301910807</v>
      </c>
      <c r="T11">
        <f t="shared" ref="T11" si="34">S11/1000</f>
        <v>-7.6405352301910803</v>
      </c>
    </row>
    <row r="12" spans="1:20" x14ac:dyDescent="0.25">
      <c r="A12" s="5">
        <v>44581</v>
      </c>
      <c r="B12">
        <v>0.16320000000000001</v>
      </c>
      <c r="C12">
        <v>0.17910000000000001</v>
      </c>
      <c r="D12">
        <v>0.15529999999999999</v>
      </c>
      <c r="E12">
        <v>0.1575</v>
      </c>
      <c r="F12">
        <v>25783378</v>
      </c>
      <c r="G12">
        <v>0.1575</v>
      </c>
      <c r="L12" t="s">
        <v>8</v>
      </c>
      <c r="M12" t="s">
        <v>7</v>
      </c>
      <c r="N12" t="s">
        <v>8</v>
      </c>
      <c r="P12">
        <f t="shared" ref="P12" si="35">IF(C12=D12,0,((E12-D12)-(C12-E12))/(C12-D12))</f>
        <v>-0.8151260504201675</v>
      </c>
      <c r="Q12">
        <f t="shared" ref="Q12" si="36">F12*P12</f>
        <v>-21016703.075630236</v>
      </c>
      <c r="R12">
        <f t="shared" ref="R12" si="37">R13+Q12</f>
        <v>-728166936.04613507</v>
      </c>
      <c r="S12">
        <f t="shared" ref="S12" si="38">R12/100000</f>
        <v>-7281.6693604613511</v>
      </c>
      <c r="T12">
        <f t="shared" ref="T12" si="39">S12/1000</f>
        <v>-7.2816693604613514</v>
      </c>
    </row>
    <row r="13" spans="1:20" x14ac:dyDescent="0.25">
      <c r="A13" s="5">
        <v>44580</v>
      </c>
      <c r="B13">
        <v>0.16619999999999999</v>
      </c>
      <c r="C13">
        <v>0.17799999999999999</v>
      </c>
      <c r="D13">
        <v>0.15559999999999999</v>
      </c>
      <c r="E13">
        <v>0.16320000000000001</v>
      </c>
      <c r="F13">
        <v>42943089</v>
      </c>
      <c r="G13">
        <v>0.16320000000000001</v>
      </c>
      <c r="L13" t="s">
        <v>8</v>
      </c>
      <c r="M13" t="s">
        <v>7</v>
      </c>
      <c r="N13" t="s">
        <v>8</v>
      </c>
      <c r="P13">
        <f t="shared" ref="P13" si="40">IF(C13=D13,0,((E13-D13)-(C13-E13))/(C13-D13))</f>
        <v>-0.32142857142856945</v>
      </c>
      <c r="Q13">
        <f t="shared" ref="Q13" si="41">F13*P13</f>
        <v>-13803135.749999914</v>
      </c>
      <c r="R13">
        <f t="shared" ref="R13" si="42">R14+Q13</f>
        <v>-707150232.97050488</v>
      </c>
      <c r="S13">
        <f t="shared" ref="S13" si="43">R13/100000</f>
        <v>-7071.5023297050484</v>
      </c>
      <c r="T13">
        <f t="shared" ref="T13" si="44">S13/1000</f>
        <v>-7.0715023297050488</v>
      </c>
    </row>
    <row r="14" spans="1:20" x14ac:dyDescent="0.25">
      <c r="A14" s="5">
        <v>44579</v>
      </c>
      <c r="B14">
        <v>0.16789999999999999</v>
      </c>
      <c r="C14">
        <v>0.17</v>
      </c>
      <c r="D14">
        <v>0.15759999999999999</v>
      </c>
      <c r="E14">
        <v>0.1661</v>
      </c>
      <c r="F14">
        <v>18067031</v>
      </c>
      <c r="G14">
        <v>0.1661</v>
      </c>
      <c r="L14" t="s">
        <v>7</v>
      </c>
      <c r="M14" t="s">
        <v>7</v>
      </c>
      <c r="N14" t="s">
        <v>8</v>
      </c>
      <c r="P14">
        <f t="shared" ref="P14" si="45">IF(C14=D14,0,((E14-D14)-(C14-E14))/(C14-D14))</f>
        <v>0.37096774193548265</v>
      </c>
      <c r="Q14">
        <f t="shared" ref="Q14" si="46">F14*P14</f>
        <v>6702285.6935483655</v>
      </c>
      <c r="R14">
        <f t="shared" ref="R14" si="47">R15+Q14</f>
        <v>-693347097.220505</v>
      </c>
      <c r="S14">
        <f t="shared" ref="S14" si="48">R14/100000</f>
        <v>-6933.4709722050502</v>
      </c>
      <c r="T14">
        <f t="shared" ref="T14" si="49">S14/1000</f>
        <v>-6.9334709722050505</v>
      </c>
    </row>
    <row r="15" spans="1:20" x14ac:dyDescent="0.25">
      <c r="A15" s="5">
        <v>44578</v>
      </c>
      <c r="B15">
        <v>0.1845</v>
      </c>
      <c r="C15">
        <v>0.18770000000000001</v>
      </c>
      <c r="D15">
        <v>0.16439999999999999</v>
      </c>
      <c r="E15">
        <v>0.16789999999999999</v>
      </c>
      <c r="F15">
        <v>21415627</v>
      </c>
      <c r="G15">
        <v>0.16789999999999999</v>
      </c>
      <c r="L15" t="s">
        <v>7</v>
      </c>
      <c r="M15" t="s">
        <v>7</v>
      </c>
      <c r="N15" t="s">
        <v>8</v>
      </c>
      <c r="P15">
        <f t="shared" ref="P15" si="50">IF(C15=D15,0,((E15-D15)-(C15-E15))/(C15-D15))</f>
        <v>-0.6995708154506437</v>
      </c>
      <c r="Q15">
        <f t="shared" ref="Q15" si="51">F15*P15</f>
        <v>-14981747.643776823</v>
      </c>
      <c r="R15">
        <f t="shared" ref="R15" si="52">R16+Q15</f>
        <v>-700049382.91405332</v>
      </c>
      <c r="S15">
        <f t="shared" ref="S15" si="53">R15/100000</f>
        <v>-7000.4938291405333</v>
      </c>
      <c r="T15">
        <f t="shared" ref="T15" si="54">S15/1000</f>
        <v>-7.0004938291405336</v>
      </c>
    </row>
    <row r="16" spans="1:20" x14ac:dyDescent="0.25">
      <c r="A16" s="5">
        <v>44577</v>
      </c>
      <c r="B16">
        <v>0.182</v>
      </c>
      <c r="C16">
        <v>0.188</v>
      </c>
      <c r="D16">
        <v>0.17180000000000001</v>
      </c>
      <c r="E16">
        <v>0.18440000000000001</v>
      </c>
      <c r="F16">
        <v>31132372</v>
      </c>
      <c r="G16">
        <v>0.18440000000000001</v>
      </c>
      <c r="L16" t="s">
        <v>7</v>
      </c>
      <c r="M16" t="s">
        <v>7</v>
      </c>
      <c r="N16" t="s">
        <v>8</v>
      </c>
      <c r="P16">
        <f t="shared" ref="P16" si="55">IF(C16=D16,0,((E16-D16)-(C16-E16))/(C16-D16))</f>
        <v>0.55555555555555636</v>
      </c>
      <c r="Q16">
        <f t="shared" ref="Q16" si="56">F16*P16</f>
        <v>17295762.222222246</v>
      </c>
      <c r="R16">
        <f t="shared" ref="R16" si="57">R17+Q16</f>
        <v>-685067635.27027655</v>
      </c>
      <c r="S16">
        <f t="shared" ref="S16" si="58">R16/100000</f>
        <v>-6850.6763527027651</v>
      </c>
      <c r="T16">
        <f t="shared" ref="T16" si="59">S16/1000</f>
        <v>-6.8506763527027648</v>
      </c>
    </row>
    <row r="17" spans="1:20" x14ac:dyDescent="0.25">
      <c r="A17" s="5">
        <v>44576</v>
      </c>
      <c r="B17">
        <v>0.16250000000000001</v>
      </c>
      <c r="C17">
        <v>0.20569999999999999</v>
      </c>
      <c r="D17">
        <v>0.1615</v>
      </c>
      <c r="E17">
        <v>0.18210000000000001</v>
      </c>
      <c r="F17">
        <v>100492455</v>
      </c>
      <c r="G17">
        <v>0.18210000000000001</v>
      </c>
      <c r="L17" t="s">
        <v>8</v>
      </c>
      <c r="M17" t="s">
        <v>8</v>
      </c>
      <c r="N17" t="s">
        <v>8</v>
      </c>
      <c r="P17">
        <f t="shared" ref="P17" si="60">IF(C17=D17,0,((E17-D17)-(C17-E17))/(C17-D17))</f>
        <v>-6.7873303167420268E-2</v>
      </c>
      <c r="Q17">
        <f t="shared" ref="Q17" si="61">F17*P17</f>
        <v>-6820754.8642533384</v>
      </c>
      <c r="R17">
        <f t="shared" ref="R17" si="62">R18+Q17</f>
        <v>-702363397.49249876</v>
      </c>
      <c r="S17">
        <f t="shared" ref="S17" si="63">R17/100000</f>
        <v>-7023.6339749249873</v>
      </c>
      <c r="T17">
        <f t="shared" ref="T17" si="64">S17/1000</f>
        <v>-7.0236339749249872</v>
      </c>
    </row>
    <row r="18" spans="1:20" x14ac:dyDescent="0.25">
      <c r="A18" s="5">
        <v>44575</v>
      </c>
      <c r="B18">
        <v>0.1593</v>
      </c>
      <c r="C18">
        <v>0.16389999999999999</v>
      </c>
      <c r="D18">
        <v>0.1525</v>
      </c>
      <c r="E18">
        <v>0.16250000000000001</v>
      </c>
      <c r="F18">
        <v>13015931</v>
      </c>
      <c r="G18">
        <v>0.16250000000000001</v>
      </c>
      <c r="L18" t="s">
        <v>7</v>
      </c>
      <c r="M18" t="s">
        <v>8</v>
      </c>
      <c r="N18" t="s">
        <v>7</v>
      </c>
      <c r="P18">
        <f t="shared" ref="P18" si="65">IF(C18=D18,0,((E18-D18)-(C18-E18))/(C18-D18))</f>
        <v>0.75438596491228327</v>
      </c>
      <c r="Q18">
        <f t="shared" ref="Q18" si="66">F18*P18</f>
        <v>9819035.6666666996</v>
      </c>
      <c r="R18">
        <f t="shared" ref="R18" si="67">R19+Q18</f>
        <v>-695542642.62824547</v>
      </c>
      <c r="S18">
        <f t="shared" ref="S18" si="68">R18/100000</f>
        <v>-6955.4264262824545</v>
      </c>
      <c r="T18">
        <f t="shared" ref="T18" si="69">S18/1000</f>
        <v>-6.9554264262824548</v>
      </c>
    </row>
    <row r="19" spans="1:20" x14ac:dyDescent="0.25">
      <c r="A19" s="5">
        <v>44574</v>
      </c>
      <c r="B19">
        <v>0.16689999999999999</v>
      </c>
      <c r="C19">
        <v>0.1734</v>
      </c>
      <c r="D19">
        <v>0.15809999999999999</v>
      </c>
      <c r="E19">
        <v>0.15909999999999999</v>
      </c>
      <c r="F19">
        <v>14545284</v>
      </c>
      <c r="G19">
        <v>0.15909999999999999</v>
      </c>
      <c r="L19" t="s">
        <v>8</v>
      </c>
      <c r="M19" t="s">
        <v>8</v>
      </c>
      <c r="N19" t="s">
        <v>7</v>
      </c>
      <c r="P19">
        <f t="shared" ref="P19" si="70">IF(C19=D19,0,((E19-D19)-(C19-E19))/(C19-D19))</f>
        <v>-0.8692810457516339</v>
      </c>
      <c r="Q19">
        <f t="shared" ref="Q19" si="71">F19*P19</f>
        <v>-12643939.686274508</v>
      </c>
      <c r="R19">
        <f t="shared" ref="R19" si="72">R20+Q19</f>
        <v>-705361678.29491222</v>
      </c>
      <c r="S19">
        <f t="shared" ref="S19" si="73">R19/100000</f>
        <v>-7053.6167829491224</v>
      </c>
      <c r="T19">
        <f t="shared" ref="T19" si="74">S19/1000</f>
        <v>-7.0536167829491223</v>
      </c>
    </row>
    <row r="20" spans="1:20" x14ac:dyDescent="0.25">
      <c r="A20" s="5">
        <v>44573</v>
      </c>
      <c r="B20">
        <v>0.1565</v>
      </c>
      <c r="C20">
        <v>0.1699</v>
      </c>
      <c r="D20">
        <v>0.156</v>
      </c>
      <c r="E20">
        <v>0.16689999999999999</v>
      </c>
      <c r="F20">
        <v>13674681</v>
      </c>
      <c r="G20">
        <v>0.16689999999999999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0.56834532374100666</v>
      </c>
      <c r="Q20">
        <f t="shared" ref="Q20" si="76">F20*P20</f>
        <v>7771940.9999999925</v>
      </c>
      <c r="R20">
        <f t="shared" ref="R20" si="77">R21+Q20</f>
        <v>-692717738.60863769</v>
      </c>
      <c r="S20">
        <f t="shared" ref="S20" si="78">R20/100000</f>
        <v>-6927.1773860863768</v>
      </c>
      <c r="T20">
        <f t="shared" ref="T20" si="79">S20/1000</f>
        <v>-6.9271773860863766</v>
      </c>
    </row>
    <row r="21" spans="1:20" x14ac:dyDescent="0.25">
      <c r="A21" s="5">
        <v>44572</v>
      </c>
      <c r="B21">
        <v>0.15060000000000001</v>
      </c>
      <c r="C21">
        <v>0.1595</v>
      </c>
      <c r="D21">
        <v>0.1484</v>
      </c>
      <c r="E21">
        <v>0.15629999999999999</v>
      </c>
      <c r="F21">
        <v>13959091</v>
      </c>
      <c r="G21">
        <v>0.15629999999999999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0.42342342342342187</v>
      </c>
      <c r="Q21">
        <f t="shared" ref="Q21" si="81">F21*P21</f>
        <v>5910606.0990990773</v>
      </c>
      <c r="R21">
        <f t="shared" ref="R21" si="82">R22+Q21</f>
        <v>-700489679.60863769</v>
      </c>
      <c r="S21">
        <f t="shared" ref="S21" si="83">R21/100000</f>
        <v>-7004.8967960863765</v>
      </c>
      <c r="T21">
        <f t="shared" ref="T21" si="84">S21/1000</f>
        <v>-7.0048967960863768</v>
      </c>
    </row>
    <row r="22" spans="1:20" x14ac:dyDescent="0.25">
      <c r="A22" s="5">
        <v>44571</v>
      </c>
      <c r="B22">
        <v>0.16139999999999999</v>
      </c>
      <c r="C22">
        <v>0.16500000000000001</v>
      </c>
      <c r="D22">
        <v>0.14169999999999999</v>
      </c>
      <c r="E22">
        <v>0.15060000000000001</v>
      </c>
      <c r="F22">
        <v>17897142</v>
      </c>
      <c r="G22">
        <v>0.15060000000000001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-0.2360515021459216</v>
      </c>
      <c r="Q22">
        <f t="shared" ref="Q22" si="86">F22*P22</f>
        <v>-4224647.2532188641</v>
      </c>
      <c r="R22">
        <f t="shared" ref="R22" si="87">R23+Q22</f>
        <v>-706400285.70773673</v>
      </c>
      <c r="S22">
        <f t="shared" ref="S22" si="88">R22/100000</f>
        <v>-7064.0028570773675</v>
      </c>
      <c r="T22">
        <f t="shared" ref="T22" si="89">S22/1000</f>
        <v>-7.0640028570773676</v>
      </c>
    </row>
    <row r="23" spans="1:20" x14ac:dyDescent="0.25">
      <c r="A23" s="5">
        <v>44570</v>
      </c>
      <c r="B23">
        <v>0.16039999999999999</v>
      </c>
      <c r="C23">
        <v>0.16880000000000001</v>
      </c>
      <c r="D23">
        <v>0.15640000000000001</v>
      </c>
      <c r="E23">
        <v>0.1615</v>
      </c>
      <c r="F23">
        <v>18039732</v>
      </c>
      <c r="G23">
        <v>0.1615</v>
      </c>
      <c r="L23" t="s">
        <v>8</v>
      </c>
      <c r="M23" t="s">
        <v>7</v>
      </c>
      <c r="N23" t="s">
        <v>7</v>
      </c>
      <c r="P23">
        <f t="shared" ref="P23" si="90">IF(C23=D23,0,((E23-D23)-(C23-E23))/(C23-D23))</f>
        <v>-0.17741935483871035</v>
      </c>
      <c r="Q23">
        <f t="shared" ref="Q23" si="91">F23*P23</f>
        <v>-3200597.6129032378</v>
      </c>
      <c r="R23">
        <f t="shared" ref="R23" si="92">R24+Q23</f>
        <v>-702175638.45451784</v>
      </c>
      <c r="S23">
        <f t="shared" ref="S23" si="93">R23/100000</f>
        <v>-7021.7563845451787</v>
      </c>
      <c r="T23">
        <f t="shared" ref="T23" si="94">S23/1000</f>
        <v>-7.0217563845451787</v>
      </c>
    </row>
    <row r="24" spans="1:20" x14ac:dyDescent="0.25">
      <c r="A24" s="5">
        <v>44569</v>
      </c>
      <c r="B24">
        <v>0.16850000000000001</v>
      </c>
      <c r="C24">
        <v>0.17699999999999999</v>
      </c>
      <c r="D24">
        <v>0.1542</v>
      </c>
      <c r="E24">
        <v>0.16039999999999999</v>
      </c>
      <c r="F24">
        <v>14571583</v>
      </c>
      <c r="G24">
        <v>0.16039999999999999</v>
      </c>
      <c r="L24" t="s">
        <v>7</v>
      </c>
      <c r="M24" t="s">
        <v>7</v>
      </c>
      <c r="N24" t="s">
        <v>7</v>
      </c>
      <c r="P24">
        <f t="shared" ref="P24" si="95">IF(C24=D24,0,((E24-D24)-(C24-E24))/(C24-D24))</f>
        <v>-0.45614035087719412</v>
      </c>
      <c r="Q24">
        <f t="shared" ref="Q24" si="96">F24*P24</f>
        <v>-6646686.982456157</v>
      </c>
      <c r="R24">
        <f t="shared" ref="R24" si="97">R25+Q24</f>
        <v>-698975040.8416146</v>
      </c>
      <c r="S24">
        <f t="shared" ref="S24" si="98">R24/100000</f>
        <v>-6989.7504084161465</v>
      </c>
      <c r="T24">
        <f t="shared" ref="T24" si="99">S24/1000</f>
        <v>-6.9897504084161461</v>
      </c>
    </row>
    <row r="25" spans="1:20" x14ac:dyDescent="0.25">
      <c r="A25" s="5">
        <v>44568</v>
      </c>
      <c r="B25">
        <v>0.18609999999999999</v>
      </c>
      <c r="C25">
        <v>0.18859999999999999</v>
      </c>
      <c r="D25">
        <v>0.16619999999999999</v>
      </c>
      <c r="E25">
        <v>0.16830000000000001</v>
      </c>
      <c r="F25">
        <v>24684307</v>
      </c>
      <c r="G25">
        <v>0.16830000000000001</v>
      </c>
      <c r="L25" t="s">
        <v>7</v>
      </c>
      <c r="M25" t="s">
        <v>7</v>
      </c>
      <c r="N25" t="s">
        <v>7</v>
      </c>
      <c r="P25">
        <f t="shared" ref="P25" si="100">IF(C25=D25,0,((E25-D25)-(C25-E25))/(C25-D25))</f>
        <v>-0.81249999999999833</v>
      </c>
      <c r="Q25">
        <f t="shared" ref="Q25" si="101">F25*P25</f>
        <v>-20055999.437499959</v>
      </c>
      <c r="R25">
        <f t="shared" ref="R25" si="102">R26+Q25</f>
        <v>-692328353.8591584</v>
      </c>
      <c r="S25">
        <f t="shared" ref="S25" si="103">R25/100000</f>
        <v>-6923.2835385915841</v>
      </c>
      <c r="T25">
        <f t="shared" ref="T25" si="104">S25/1000</f>
        <v>-6.9232835385915843</v>
      </c>
    </row>
    <row r="26" spans="1:20" x14ac:dyDescent="0.25">
      <c r="A26" s="5">
        <v>44567</v>
      </c>
      <c r="B26">
        <v>0.1893</v>
      </c>
      <c r="C26">
        <v>0.19359999999999999</v>
      </c>
      <c r="D26">
        <v>0.17910000000000001</v>
      </c>
      <c r="E26">
        <v>0.186</v>
      </c>
      <c r="F26">
        <v>20340256</v>
      </c>
      <c r="G26">
        <v>0.186</v>
      </c>
      <c r="L26" t="s">
        <v>8</v>
      </c>
      <c r="M26" t="s">
        <v>7</v>
      </c>
      <c r="N26" t="s">
        <v>7</v>
      </c>
      <c r="P26">
        <f t="shared" ref="P26" si="105">IF(C26=D26,0,((E26-D26)-(C26-E26))/(C26-D26))</f>
        <v>-4.8275862068965995E-2</v>
      </c>
      <c r="Q26">
        <f t="shared" ref="Q26" si="106">F26*P26</f>
        <v>-981943.39310345799</v>
      </c>
      <c r="R26">
        <f t="shared" ref="R26" si="107">R27+Q26</f>
        <v>-672272354.4216584</v>
      </c>
      <c r="S26">
        <f t="shared" ref="S26" si="108">R26/100000</f>
        <v>-6722.7235442165838</v>
      </c>
      <c r="T26">
        <f t="shared" ref="T26" si="109">S26/1000</f>
        <v>-6.722723544216584</v>
      </c>
    </row>
    <row r="27" spans="1:20" x14ac:dyDescent="0.25">
      <c r="A27" s="5">
        <v>44566</v>
      </c>
      <c r="B27">
        <v>0.2021</v>
      </c>
      <c r="C27">
        <v>0.21709999999999999</v>
      </c>
      <c r="D27">
        <v>0.18010000000000001</v>
      </c>
      <c r="E27">
        <v>0.18959999999999999</v>
      </c>
      <c r="F27">
        <v>35650327</v>
      </c>
      <c r="G27">
        <v>0.18959999999999999</v>
      </c>
      <c r="L27" t="s">
        <v>7</v>
      </c>
      <c r="M27" t="s">
        <v>7</v>
      </c>
      <c r="N27" t="s">
        <v>7</v>
      </c>
      <c r="P27">
        <f t="shared" ref="P27" si="110">IF(C27=D27,0,((E27-D27)-(C27-E27))/(C27-D27))</f>
        <v>-0.48648648648648724</v>
      </c>
      <c r="Q27">
        <f t="shared" ref="Q27" si="111">F27*P27</f>
        <v>-17343402.324324351</v>
      </c>
      <c r="R27">
        <f t="shared" ref="R27" si="112">R28+Q27</f>
        <v>-671290411.02855492</v>
      </c>
      <c r="S27">
        <f t="shared" ref="S27" si="113">R27/100000</f>
        <v>-6712.904110285549</v>
      </c>
      <c r="T27">
        <f t="shared" ref="T27" si="114">S27/1000</f>
        <v>-6.7129041102855487</v>
      </c>
    </row>
    <row r="28" spans="1:20" x14ac:dyDescent="0.25">
      <c r="A28" s="5">
        <v>44565</v>
      </c>
      <c r="B28">
        <v>0.20449999999999999</v>
      </c>
      <c r="C28">
        <v>0.2155</v>
      </c>
      <c r="D28">
        <v>0.2</v>
      </c>
      <c r="E28">
        <v>0.20250000000000001</v>
      </c>
      <c r="F28">
        <v>17826885</v>
      </c>
      <c r="G28">
        <v>0.20250000000000001</v>
      </c>
      <c r="L28" t="s">
        <v>8</v>
      </c>
      <c r="M28" t="s">
        <v>7</v>
      </c>
      <c r="N28" t="s">
        <v>7</v>
      </c>
      <c r="P28">
        <f t="shared" ref="P28" si="115">IF(C28=D28,0,((E28-D28)-(C28-E28))/(C28-D28))</f>
        <v>-0.67741935483870908</v>
      </c>
      <c r="Q28">
        <f t="shared" ref="Q28" si="116">F28*P28</f>
        <v>-12076276.93548386</v>
      </c>
      <c r="R28">
        <f t="shared" ref="R28" si="117">R29+Q28</f>
        <v>-653947008.70423055</v>
      </c>
      <c r="S28">
        <f t="shared" ref="S28" si="118">R28/100000</f>
        <v>-6539.4700870423057</v>
      </c>
      <c r="T28">
        <f t="shared" ref="T28" si="119">S28/1000</f>
        <v>-6.5394700870423055</v>
      </c>
    </row>
    <row r="29" spans="1:20" x14ac:dyDescent="0.25">
      <c r="A29" s="5">
        <v>44564</v>
      </c>
      <c r="B29">
        <v>0.2094</v>
      </c>
      <c r="C29">
        <v>0.2094</v>
      </c>
      <c r="D29">
        <v>0.19800000000000001</v>
      </c>
      <c r="E29">
        <v>0.2044</v>
      </c>
      <c r="F29">
        <v>16648352</v>
      </c>
      <c r="G29">
        <v>0.2044</v>
      </c>
      <c r="L29" t="s">
        <v>7</v>
      </c>
      <c r="M29" t="s">
        <v>7</v>
      </c>
      <c r="N29" t="s">
        <v>7</v>
      </c>
      <c r="P29">
        <f t="shared" ref="P29" si="120">IF(C29=D29,0,((E29-D29)-(C29-E29))/(C29-D29))</f>
        <v>0.12280701754385837</v>
      </c>
      <c r="Q29">
        <f t="shared" ref="Q29" si="121">F29*P29</f>
        <v>2044534.4561403296</v>
      </c>
      <c r="R29">
        <f t="shared" ref="R29" si="122">R30+Q29</f>
        <v>-641870731.76874673</v>
      </c>
      <c r="S29">
        <f t="shared" ref="S29" si="123">R29/100000</f>
        <v>-6418.7073176874674</v>
      </c>
      <c r="T29">
        <f t="shared" ref="T29" si="124">S29/1000</f>
        <v>-6.4187073176874669</v>
      </c>
    </row>
    <row r="30" spans="1:20" x14ac:dyDescent="0.25">
      <c r="A30" s="5">
        <v>44563</v>
      </c>
      <c r="B30">
        <v>0.20849999999999999</v>
      </c>
      <c r="C30">
        <v>0.21129999999999999</v>
      </c>
      <c r="D30">
        <v>0.20080000000000001</v>
      </c>
      <c r="E30">
        <v>0.2094</v>
      </c>
      <c r="F30">
        <v>16652891</v>
      </c>
      <c r="G30">
        <v>0.2094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0.63809523809524027</v>
      </c>
      <c r="Q30">
        <f t="shared" ref="Q30" si="126">F30*P30</f>
        <v>10626130.447619084</v>
      </c>
      <c r="R30">
        <f t="shared" ref="R30" si="127">R31+Q30</f>
        <v>-643915266.22488701</v>
      </c>
      <c r="S30">
        <f t="shared" ref="S30" si="128">R30/100000</f>
        <v>-6439.15266224887</v>
      </c>
      <c r="T30">
        <f t="shared" ref="T30" si="129">S30/1000</f>
        <v>-6.43915266224887</v>
      </c>
    </row>
    <row r="31" spans="1:20" x14ac:dyDescent="0.25">
      <c r="A31" s="5">
        <v>44562</v>
      </c>
      <c r="B31">
        <v>0.2006</v>
      </c>
      <c r="C31">
        <v>0.21529999999999999</v>
      </c>
      <c r="D31">
        <v>0.20039999999999999</v>
      </c>
      <c r="E31">
        <v>0.20849999999999999</v>
      </c>
      <c r="F31">
        <v>14171408</v>
      </c>
      <c r="G31">
        <v>0.20849999999999999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8.7248322147650728E-2</v>
      </c>
      <c r="Q31">
        <f t="shared" ref="Q31" si="131">F31*P31</f>
        <v>1236431.5704697948</v>
      </c>
      <c r="R31">
        <f t="shared" ref="R31" si="132">R32+Q31</f>
        <v>-654541396.67250609</v>
      </c>
      <c r="S31">
        <f t="shared" ref="S31" si="133">R31/100000</f>
        <v>-6545.4139667250611</v>
      </c>
      <c r="T31">
        <f t="shared" ref="T31" si="134">S31/1000</f>
        <v>-6.5454139667250608</v>
      </c>
    </row>
    <row r="32" spans="1:20" x14ac:dyDescent="0.25">
      <c r="A32" s="5">
        <v>44561</v>
      </c>
      <c r="B32">
        <v>0.2021</v>
      </c>
      <c r="C32">
        <v>0.20880000000000001</v>
      </c>
      <c r="D32">
        <v>0.19700000000000001</v>
      </c>
      <c r="E32">
        <v>0.2006</v>
      </c>
      <c r="F32">
        <v>14421388</v>
      </c>
      <c r="G32">
        <v>0.2006</v>
      </c>
      <c r="L32" t="s">
        <v>8</v>
      </c>
      <c r="M32" t="s">
        <v>7</v>
      </c>
      <c r="N32" t="s">
        <v>7</v>
      </c>
      <c r="P32">
        <f t="shared" ref="P32" si="135">IF(C32=D32,0,((E32-D32)-(C32-E32))/(C32-D32))</f>
        <v>-0.38983050847457784</v>
      </c>
      <c r="Q32">
        <f t="shared" ref="Q32" si="136">F32*P32</f>
        <v>-5621897.0169491749</v>
      </c>
      <c r="R32">
        <f t="shared" ref="R32" si="137">R33+Q32</f>
        <v>-655777828.24297583</v>
      </c>
      <c r="S32">
        <f t="shared" ref="S32" si="138">R32/100000</f>
        <v>-6557.7782824297583</v>
      </c>
      <c r="T32">
        <f t="shared" ref="T32" si="139">S32/1000</f>
        <v>-6.5577782824297586</v>
      </c>
    </row>
    <row r="33" spans="1:20" x14ac:dyDescent="0.25">
      <c r="A33" s="5">
        <v>44560</v>
      </c>
      <c r="B33">
        <v>0.2026</v>
      </c>
      <c r="C33">
        <v>0.21060000000000001</v>
      </c>
      <c r="D33">
        <v>0.19320000000000001</v>
      </c>
      <c r="E33">
        <v>0.20219999999999999</v>
      </c>
      <c r="F33">
        <v>15739612</v>
      </c>
      <c r="G33">
        <v>0.20219999999999999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3.4482758620687455E-2</v>
      </c>
      <c r="Q33">
        <f t="shared" ref="Q33" si="141">F33*P33</f>
        <v>542745.24137927569</v>
      </c>
      <c r="R33">
        <f t="shared" ref="R33" si="142">R34+Q33</f>
        <v>-650155931.22602665</v>
      </c>
      <c r="S33">
        <f t="shared" ref="S33" si="143">R33/100000</f>
        <v>-6501.5593122602668</v>
      </c>
      <c r="T33">
        <f t="shared" ref="T33" si="144">S33/1000</f>
        <v>-6.5015593122602668</v>
      </c>
    </row>
    <row r="34" spans="1:20" x14ac:dyDescent="0.25">
      <c r="A34" s="5">
        <v>44559</v>
      </c>
      <c r="B34">
        <v>0.2107</v>
      </c>
      <c r="C34">
        <v>0.21690000000000001</v>
      </c>
      <c r="D34">
        <v>0.2</v>
      </c>
      <c r="E34">
        <v>0.2024</v>
      </c>
      <c r="F34">
        <v>18689166</v>
      </c>
      <c r="G34">
        <v>0.2024</v>
      </c>
      <c r="L34" t="s">
        <v>7</v>
      </c>
      <c r="M34" t="s">
        <v>7</v>
      </c>
      <c r="N34" t="s">
        <v>7</v>
      </c>
      <c r="P34">
        <f t="shared" ref="P34" si="145">IF(C34=D34,0,((E34-D34)-(C34-E34))/(C34-D34))</f>
        <v>-0.7159763313609484</v>
      </c>
      <c r="Q34">
        <f t="shared" ref="Q34" si="146">F34*P34</f>
        <v>-13381000.50887577</v>
      </c>
      <c r="R34">
        <f t="shared" ref="R34" si="147">R35+Q34</f>
        <v>-650698676.46740592</v>
      </c>
      <c r="S34">
        <f t="shared" ref="S34" si="148">R34/100000</f>
        <v>-6506.9867646740595</v>
      </c>
      <c r="T34">
        <f t="shared" ref="T34" si="149">S34/1000</f>
        <v>-6.5069867646740596</v>
      </c>
    </row>
    <row r="35" spans="1:20" x14ac:dyDescent="0.25">
      <c r="A35" s="5">
        <v>44558</v>
      </c>
      <c r="B35">
        <v>0.23719999999999999</v>
      </c>
      <c r="C35">
        <v>0.23760000000000001</v>
      </c>
      <c r="D35">
        <v>0.20799999999999999</v>
      </c>
      <c r="E35">
        <v>0.21029999999999999</v>
      </c>
      <c r="F35">
        <v>25596677</v>
      </c>
      <c r="G35">
        <v>0.21029999999999999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-0.84459459459459496</v>
      </c>
      <c r="Q35">
        <f t="shared" ref="Q35" si="151">F35*P35</f>
        <v>-21618815.033783793</v>
      </c>
      <c r="R35">
        <f t="shared" ref="R35" si="152">R36+Q35</f>
        <v>-637317675.95853019</v>
      </c>
      <c r="S35">
        <f t="shared" ref="S35" si="153">R35/100000</f>
        <v>-6373.1767595853016</v>
      </c>
      <c r="T35">
        <f t="shared" ref="T35" si="154">S35/1000</f>
        <v>-6.3731767595853013</v>
      </c>
    </row>
    <row r="36" spans="1:20" x14ac:dyDescent="0.25">
      <c r="A36" s="5">
        <v>44557</v>
      </c>
      <c r="B36">
        <v>0.23119999999999999</v>
      </c>
      <c r="C36">
        <v>0.25119999999999998</v>
      </c>
      <c r="D36">
        <v>0.23119999999999999</v>
      </c>
      <c r="E36">
        <v>0.2374</v>
      </c>
      <c r="F36">
        <v>33128854</v>
      </c>
      <c r="G36">
        <v>0.2374</v>
      </c>
      <c r="L36" t="s">
        <v>8</v>
      </c>
      <c r="M36" t="s">
        <v>8</v>
      </c>
      <c r="N36" t="s">
        <v>7</v>
      </c>
      <c r="P36">
        <f t="shared" ref="P36" si="155">IF(C36=D36,0,((E36-D36)-(C36-E36))/(C36-D36))</f>
        <v>-0.37999999999999856</v>
      </c>
      <c r="Q36">
        <f t="shared" ref="Q36" si="156">F36*P36</f>
        <v>-12588964.519999953</v>
      </c>
      <c r="R36">
        <f t="shared" ref="R36" si="157">R37+Q36</f>
        <v>-615698860.92474639</v>
      </c>
      <c r="S36">
        <f t="shared" ref="S36" si="158">R36/100000</f>
        <v>-6156.9886092474635</v>
      </c>
      <c r="T36">
        <f t="shared" ref="T36" si="159">S36/1000</f>
        <v>-6.1569886092474633</v>
      </c>
    </row>
    <row r="37" spans="1:20" x14ac:dyDescent="0.25">
      <c r="A37" s="5">
        <v>44556</v>
      </c>
      <c r="B37">
        <v>0.23250000000000001</v>
      </c>
      <c r="C37">
        <v>0.23799999999999999</v>
      </c>
      <c r="D37">
        <v>0.22320000000000001</v>
      </c>
      <c r="E37">
        <v>0.23150000000000001</v>
      </c>
      <c r="F37">
        <v>21184600</v>
      </c>
      <c r="G37">
        <v>0.23150000000000001</v>
      </c>
      <c r="L37" t="s">
        <v>8</v>
      </c>
      <c r="M37" t="s">
        <v>8</v>
      </c>
      <c r="N37" t="s">
        <v>7</v>
      </c>
      <c r="P37">
        <f t="shared" ref="P37" si="160">IF(C37=D37,0,((E37-D37)-(C37-E37))/(C37-D37))</f>
        <v>0.12162162162162339</v>
      </c>
      <c r="Q37">
        <f t="shared" ref="Q37" si="161">F37*P37</f>
        <v>2576505.4054054427</v>
      </c>
      <c r="R37">
        <f t="shared" ref="R37" si="162">R38+Q37</f>
        <v>-603109896.40474641</v>
      </c>
      <c r="S37">
        <f t="shared" ref="S37" si="163">R37/100000</f>
        <v>-6031.0989640474645</v>
      </c>
      <c r="T37">
        <f t="shared" ref="T37" si="164">S37/1000</f>
        <v>-6.0310989640474642</v>
      </c>
    </row>
    <row r="38" spans="1:20" x14ac:dyDescent="0.25">
      <c r="A38" s="5">
        <v>44555</v>
      </c>
      <c r="B38">
        <v>0.22439999999999999</v>
      </c>
      <c r="C38">
        <v>0.23699999999999999</v>
      </c>
      <c r="D38">
        <v>0.2223</v>
      </c>
      <c r="E38">
        <v>0.23219999999999999</v>
      </c>
      <c r="F38">
        <v>21204413</v>
      </c>
      <c r="G38">
        <v>0.23219999999999999</v>
      </c>
      <c r="L38" t="s">
        <v>8</v>
      </c>
      <c r="M38" t="s">
        <v>8</v>
      </c>
      <c r="N38" t="s">
        <v>7</v>
      </c>
      <c r="P38">
        <f t="shared" ref="P38" si="165">IF(C38=D38,0,((E38-D38)-(C38-E38))/(C38-D38))</f>
        <v>0.34693877551020386</v>
      </c>
      <c r="Q38">
        <f t="shared" ref="Q38" si="166">F38*P38</f>
        <v>7356633.0816326486</v>
      </c>
      <c r="R38">
        <f t="shared" ref="R38" si="167">R39+Q38</f>
        <v>-605686401.81015182</v>
      </c>
      <c r="S38">
        <f t="shared" ref="S38" si="168">R38/100000</f>
        <v>-6056.864018101518</v>
      </c>
      <c r="T38">
        <f t="shared" ref="T38" si="169">S38/1000</f>
        <v>-6.0568640181015176</v>
      </c>
    </row>
    <row r="39" spans="1:20" x14ac:dyDescent="0.25">
      <c r="A39" s="5">
        <v>44554</v>
      </c>
      <c r="B39">
        <v>0.2382</v>
      </c>
      <c r="C39">
        <v>0.24399999999999999</v>
      </c>
      <c r="D39">
        <v>0.22109999999999999</v>
      </c>
      <c r="E39">
        <v>0.22439999999999999</v>
      </c>
      <c r="F39">
        <v>31170265</v>
      </c>
      <c r="G39">
        <v>0.22439999999999999</v>
      </c>
      <c r="L39" t="s">
        <v>7</v>
      </c>
      <c r="M39" t="s">
        <v>8</v>
      </c>
      <c r="N39" t="s">
        <v>7</v>
      </c>
      <c r="P39">
        <f t="shared" ref="P39" si="170">IF(C39=D39,0,((E39-D39)-(C39-E39))/(C39-D39))</f>
        <v>-0.71179039301310076</v>
      </c>
      <c r="Q39">
        <f t="shared" ref="Q39" si="171">F39*P39</f>
        <v>-22186695.174672499</v>
      </c>
      <c r="R39">
        <f t="shared" ref="R39" si="172">R40+Q39</f>
        <v>-613043034.89178443</v>
      </c>
      <c r="S39">
        <f t="shared" ref="S39" si="173">R39/100000</f>
        <v>-6130.4303489178446</v>
      </c>
      <c r="T39">
        <f t="shared" ref="T39" si="174">S39/1000</f>
        <v>-6.1304303489178444</v>
      </c>
    </row>
    <row r="40" spans="1:20" x14ac:dyDescent="0.25">
      <c r="A40" s="5">
        <v>44553</v>
      </c>
      <c r="B40">
        <v>0.21529999999999999</v>
      </c>
      <c r="C40">
        <v>0.24399999999999999</v>
      </c>
      <c r="D40">
        <v>0.2082</v>
      </c>
      <c r="E40">
        <v>0.23799999999999999</v>
      </c>
      <c r="F40">
        <v>54454374</v>
      </c>
      <c r="G40">
        <v>0.23799999999999999</v>
      </c>
      <c r="L40" t="s">
        <v>8</v>
      </c>
      <c r="M40" t="s">
        <v>8</v>
      </c>
      <c r="N40" t="s">
        <v>7</v>
      </c>
      <c r="P40">
        <f t="shared" ref="P40" si="175">IF(C40=D40,0,((E40-D40)-(C40-E40))/(C40-D40))</f>
        <v>0.6648044692737427</v>
      </c>
      <c r="Q40">
        <f t="shared" ref="Q40" si="176">F40*P40</f>
        <v>36201511.206703894</v>
      </c>
      <c r="R40">
        <f t="shared" ref="R40" si="177">R41+Q40</f>
        <v>-590856339.71711195</v>
      </c>
      <c r="S40">
        <f t="shared" ref="S40" si="178">R40/100000</f>
        <v>-5908.5633971711195</v>
      </c>
      <c r="T40">
        <f t="shared" ref="T40" si="179">S40/1000</f>
        <v>-5.9085633971711191</v>
      </c>
    </row>
    <row r="41" spans="1:20" x14ac:dyDescent="0.25">
      <c r="A41" s="5">
        <v>44552</v>
      </c>
      <c r="B41">
        <v>0.21790000000000001</v>
      </c>
      <c r="C41">
        <v>0.22539999999999999</v>
      </c>
      <c r="D41">
        <v>0.21210000000000001</v>
      </c>
      <c r="E41">
        <v>0.21529999999999999</v>
      </c>
      <c r="F41">
        <v>28710029</v>
      </c>
      <c r="G41">
        <v>0.21529999999999999</v>
      </c>
      <c r="L41" t="s">
        <v>8</v>
      </c>
      <c r="M41" t="s">
        <v>8</v>
      </c>
      <c r="N41" t="s">
        <v>7</v>
      </c>
      <c r="P41">
        <f t="shared" ref="P41" si="180">IF(C41=D41,0,((E41-D41)-(C41-E41))/(C41-D41))</f>
        <v>-0.51879699248120514</v>
      </c>
      <c r="Q41">
        <f t="shared" ref="Q41" si="181">F41*P41</f>
        <v>-14894676.699248182</v>
      </c>
      <c r="R41">
        <f t="shared" ref="R41" si="182">R42+Q41</f>
        <v>-627057850.92381585</v>
      </c>
      <c r="S41">
        <f t="shared" ref="S41" si="183">R41/100000</f>
        <v>-6270.5785092381584</v>
      </c>
      <c r="T41">
        <f t="shared" ref="T41" si="184">S41/1000</f>
        <v>-6.2705785092381587</v>
      </c>
    </row>
    <row r="42" spans="1:20" x14ac:dyDescent="0.25">
      <c r="A42" s="5">
        <v>44551</v>
      </c>
      <c r="B42">
        <v>0.19980000000000001</v>
      </c>
      <c r="C42">
        <v>0.223</v>
      </c>
      <c r="D42">
        <v>0.1953</v>
      </c>
      <c r="E42">
        <v>0.21790000000000001</v>
      </c>
      <c r="F42">
        <v>27573707</v>
      </c>
      <c r="G42">
        <v>0.21790000000000001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0.6317689530685926</v>
      </c>
      <c r="Q42">
        <f t="shared" ref="Q42" si="186">F42*P42</f>
        <v>17420212.003610123</v>
      </c>
      <c r="R42">
        <f t="shared" ref="R42" si="187">R43+Q42</f>
        <v>-612163174.22456765</v>
      </c>
      <c r="S42">
        <f t="shared" ref="S42" si="188">R42/100000</f>
        <v>-6121.6317422456768</v>
      </c>
      <c r="T42">
        <f t="shared" ref="T42" si="189">S42/1000</f>
        <v>-6.1216317422456772</v>
      </c>
    </row>
    <row r="43" spans="1:20" x14ac:dyDescent="0.25">
      <c r="A43" s="5">
        <v>44550</v>
      </c>
      <c r="B43">
        <v>0.20619999999999999</v>
      </c>
      <c r="C43">
        <v>0.2097</v>
      </c>
      <c r="D43">
        <v>0.187</v>
      </c>
      <c r="E43">
        <v>0.2</v>
      </c>
      <c r="F43">
        <v>31224054</v>
      </c>
      <c r="G43">
        <v>0.2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0.14537444933920818</v>
      </c>
      <c r="Q43">
        <f t="shared" ref="Q43" si="191">F43*P43</f>
        <v>4539179.6563877007</v>
      </c>
      <c r="R43">
        <f t="shared" ref="R43" si="192">R44+Q43</f>
        <v>-629583386.22817779</v>
      </c>
      <c r="S43">
        <f t="shared" ref="S43" si="193">R43/100000</f>
        <v>-6295.8338622817782</v>
      </c>
      <c r="T43">
        <f t="shared" ref="T43" si="194">S43/1000</f>
        <v>-6.2958338622817784</v>
      </c>
    </row>
    <row r="44" spans="1:20" x14ac:dyDescent="0.25">
      <c r="A44" s="5">
        <v>44549</v>
      </c>
      <c r="B44">
        <v>0.2177</v>
      </c>
      <c r="C44">
        <v>0.2271</v>
      </c>
      <c r="D44">
        <v>0.20610000000000001</v>
      </c>
      <c r="E44">
        <v>0.20610000000000001</v>
      </c>
      <c r="F44">
        <v>22649327</v>
      </c>
      <c r="G44">
        <v>0.20610000000000001</v>
      </c>
      <c r="L44" t="s">
        <v>8</v>
      </c>
      <c r="M44" t="s">
        <v>7</v>
      </c>
      <c r="N44" t="s">
        <v>7</v>
      </c>
      <c r="P44">
        <f t="shared" ref="P44" si="195">IF(C44=D44,0,((E44-D44)-(C44-E44))/(C44-D44))</f>
        <v>-1</v>
      </c>
      <c r="Q44">
        <f t="shared" ref="Q44" si="196">F44*P44</f>
        <v>-22649327</v>
      </c>
      <c r="R44">
        <f t="shared" ref="R44" si="197">R45+Q44</f>
        <v>-634122565.88456547</v>
      </c>
      <c r="S44">
        <f t="shared" ref="S44" si="198">R44/100000</f>
        <v>-6341.2256588456548</v>
      </c>
      <c r="T44">
        <f t="shared" ref="T44" si="199">S44/1000</f>
        <v>-6.341225658845655</v>
      </c>
    </row>
    <row r="45" spans="1:20" x14ac:dyDescent="0.25">
      <c r="A45" s="5">
        <v>44548</v>
      </c>
      <c r="B45">
        <v>0.20619999999999999</v>
      </c>
      <c r="C45">
        <v>0.22439999999999999</v>
      </c>
      <c r="D45">
        <v>0.20300000000000001</v>
      </c>
      <c r="E45">
        <v>0.2177</v>
      </c>
      <c r="F45">
        <v>28011092</v>
      </c>
      <c r="G45">
        <v>0.2177</v>
      </c>
      <c r="L45" t="s">
        <v>8</v>
      </c>
      <c r="M45" t="s">
        <v>7</v>
      </c>
      <c r="N45" t="s">
        <v>7</v>
      </c>
      <c r="P45">
        <f t="shared" ref="P45" si="200">IF(C45=D45,0,((E45-D45)-(C45-E45))/(C45-D45))</f>
        <v>0.37383177570093534</v>
      </c>
      <c r="Q45">
        <f t="shared" ref="Q45" si="201">F45*P45</f>
        <v>10471436.261682265</v>
      </c>
      <c r="R45">
        <f t="shared" ref="R45" si="202">R46+Q45</f>
        <v>-611473238.88456547</v>
      </c>
      <c r="S45">
        <f t="shared" ref="S45" si="203">R45/100000</f>
        <v>-6114.7323888456549</v>
      </c>
      <c r="T45">
        <f t="shared" ref="T45" si="204">S45/1000</f>
        <v>-6.1147323888456553</v>
      </c>
    </row>
    <row r="46" spans="1:20" x14ac:dyDescent="0.25">
      <c r="A46" s="5">
        <v>44547</v>
      </c>
      <c r="B46">
        <v>0.2127</v>
      </c>
      <c r="C46">
        <v>0.22409999999999999</v>
      </c>
      <c r="D46">
        <v>0.1991</v>
      </c>
      <c r="E46">
        <v>0.20619999999999999</v>
      </c>
      <c r="F46">
        <v>25834611</v>
      </c>
      <c r="G46">
        <v>0.20619999999999999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-0.43200000000000027</v>
      </c>
      <c r="Q46">
        <f t="shared" ref="Q46" si="206">F46*P46</f>
        <v>-11160551.952000007</v>
      </c>
      <c r="R46">
        <f t="shared" ref="R46" si="207">R47+Q46</f>
        <v>-621944675.14624774</v>
      </c>
      <c r="S46">
        <f t="shared" ref="S46" si="208">R46/100000</f>
        <v>-6219.4467514624776</v>
      </c>
      <c r="T46">
        <f t="shared" ref="T46" si="209">S46/1000</f>
        <v>-6.2194467514624776</v>
      </c>
    </row>
    <row r="47" spans="1:20" x14ac:dyDescent="0.25">
      <c r="A47" s="5">
        <v>44546</v>
      </c>
      <c r="B47">
        <v>0.221</v>
      </c>
      <c r="C47">
        <v>0.23</v>
      </c>
      <c r="D47">
        <v>0.21260000000000001</v>
      </c>
      <c r="E47">
        <v>0.21279999999999999</v>
      </c>
      <c r="F47">
        <v>20749591</v>
      </c>
      <c r="G47">
        <v>0.21279999999999999</v>
      </c>
      <c r="L47" t="s">
        <v>7</v>
      </c>
      <c r="M47" t="s">
        <v>7</v>
      </c>
      <c r="N47" t="s">
        <v>7</v>
      </c>
      <c r="P47">
        <f t="shared" ref="P47" si="210">IF(C47=D47,0,((E47-D47)-(C47-E47))/(C47-D47))</f>
        <v>-0.97701149425287614</v>
      </c>
      <c r="Q47">
        <f t="shared" ref="Q47" si="211">F47*P47</f>
        <v>-20272588.90804603</v>
      </c>
      <c r="R47">
        <f t="shared" ref="R47" si="212">R48+Q47</f>
        <v>-610784123.19424772</v>
      </c>
      <c r="S47">
        <f t="shared" ref="S47" si="213">R47/100000</f>
        <v>-6107.841231942477</v>
      </c>
      <c r="T47">
        <f t="shared" ref="T47" si="214">S47/1000</f>
        <v>-6.1078412319424773</v>
      </c>
    </row>
    <row r="48" spans="1:20" x14ac:dyDescent="0.25">
      <c r="A48" s="5">
        <v>44545</v>
      </c>
      <c r="B48">
        <v>0.2162</v>
      </c>
      <c r="C48">
        <v>0.2268</v>
      </c>
      <c r="D48">
        <v>0.20330000000000001</v>
      </c>
      <c r="E48">
        <v>0.22090000000000001</v>
      </c>
      <c r="F48">
        <v>22577138</v>
      </c>
      <c r="G48">
        <v>0.22090000000000001</v>
      </c>
      <c r="L48" t="s">
        <v>8</v>
      </c>
      <c r="M48" t="s">
        <v>7</v>
      </c>
      <c r="N48" t="s">
        <v>7</v>
      </c>
      <c r="P48">
        <f t="shared" ref="P48" si="215">IF(C48=D48,0,((E48-D48)-(C48-E48))/(C48-D48))</f>
        <v>0.49787234042553274</v>
      </c>
      <c r="Q48">
        <f t="shared" ref="Q48" si="216">F48*P48</f>
        <v>11240532.536170231</v>
      </c>
      <c r="R48">
        <f t="shared" ref="R48" si="217">R49+Q48</f>
        <v>-590511534.28620172</v>
      </c>
      <c r="S48">
        <f t="shared" ref="S48" si="218">R48/100000</f>
        <v>-5905.1153428620173</v>
      </c>
      <c r="T48">
        <f t="shared" ref="T48" si="219">S48/1000</f>
        <v>-5.9051153428620173</v>
      </c>
    </row>
    <row r="49" spans="1:20" x14ac:dyDescent="0.25">
      <c r="A49" s="5">
        <v>44544</v>
      </c>
      <c r="B49">
        <v>0.2157</v>
      </c>
      <c r="C49">
        <v>0.22359999999999999</v>
      </c>
      <c r="D49">
        <v>0.20269999999999999</v>
      </c>
      <c r="E49">
        <v>0.21629999999999999</v>
      </c>
      <c r="F49">
        <v>26228834</v>
      </c>
      <c r="G49">
        <v>0.21629999999999999</v>
      </c>
      <c r="L49" t="s">
        <v>7</v>
      </c>
      <c r="M49" t="s">
        <v>7</v>
      </c>
      <c r="N49" t="s">
        <v>7</v>
      </c>
      <c r="P49">
        <f t="shared" ref="P49" si="220">IF(C49=D49,0,((E49-D49)-(C49-E49))/(C49-D49))</f>
        <v>0.30143540669856456</v>
      </c>
      <c r="Q49">
        <f t="shared" ref="Q49" si="221">F49*P49</f>
        <v>7906299.2440191377</v>
      </c>
      <c r="R49">
        <f t="shared" ref="R49" si="222">R50+Q49</f>
        <v>-601752066.82237196</v>
      </c>
      <c r="S49">
        <f t="shared" ref="S49" si="223">R49/100000</f>
        <v>-6017.5206682237194</v>
      </c>
      <c r="T49">
        <f t="shared" ref="T49" si="224">S49/1000</f>
        <v>-6.0175206682237192</v>
      </c>
    </row>
    <row r="50" spans="1:20" x14ac:dyDescent="0.25">
      <c r="A50" s="5">
        <v>44543</v>
      </c>
      <c r="B50">
        <v>0.24349999999999999</v>
      </c>
      <c r="C50">
        <v>0.26079999999999998</v>
      </c>
      <c r="D50">
        <v>0.2114</v>
      </c>
      <c r="E50">
        <v>0.2155</v>
      </c>
      <c r="F50">
        <v>52935491</v>
      </c>
      <c r="G50">
        <v>0.2155</v>
      </c>
      <c r="L50" t="s">
        <v>8</v>
      </c>
      <c r="M50" t="s">
        <v>7</v>
      </c>
      <c r="N50" t="s">
        <v>7</v>
      </c>
      <c r="P50">
        <f t="shared" ref="P50" si="225">IF(C50=D50,0,((E50-D50)-(C50-E50))/(C50-D50))</f>
        <v>-0.83400809716599211</v>
      </c>
      <c r="Q50">
        <f t="shared" ref="Q50" si="226">F50*P50</f>
        <v>-44148628.121457502</v>
      </c>
      <c r="R50">
        <f t="shared" ref="R50" si="227">R51+Q50</f>
        <v>-609658366.06639111</v>
      </c>
      <c r="S50">
        <f t="shared" ref="S50" si="228">R50/100000</f>
        <v>-6096.5836606639114</v>
      </c>
      <c r="T50">
        <f t="shared" ref="T50" si="229">S50/1000</f>
        <v>-6.096583660663911</v>
      </c>
    </row>
    <row r="51" spans="1:20" x14ac:dyDescent="0.25">
      <c r="A51" s="5">
        <v>44542</v>
      </c>
      <c r="B51">
        <v>0.24909999999999999</v>
      </c>
      <c r="C51">
        <v>0.25840000000000002</v>
      </c>
      <c r="D51">
        <v>0.2351</v>
      </c>
      <c r="E51">
        <v>0.24310000000000001</v>
      </c>
      <c r="F51">
        <v>31008007</v>
      </c>
      <c r="G51">
        <v>0.24310000000000001</v>
      </c>
      <c r="L51" t="s">
        <v>8</v>
      </c>
      <c r="M51" t="s">
        <v>7</v>
      </c>
      <c r="N51" t="s">
        <v>7</v>
      </c>
      <c r="P51">
        <f t="shared" ref="P51" si="230">IF(C51=D51,0,((E51-D51)-(C51-E51))/(C51-D51))</f>
        <v>-0.31330472103004275</v>
      </c>
      <c r="Q51">
        <f t="shared" ref="Q51" si="231">F51*P51</f>
        <v>-9714954.9828326125</v>
      </c>
      <c r="R51">
        <f t="shared" ref="R51" si="232">R52+Q51</f>
        <v>-565509737.94493365</v>
      </c>
      <c r="S51">
        <f t="shared" ref="S51" si="233">R51/100000</f>
        <v>-5655.0973794493366</v>
      </c>
      <c r="T51">
        <f t="shared" ref="T51" si="234">S51/1000</f>
        <v>-5.6550973794493364</v>
      </c>
    </row>
    <row r="52" spans="1:20" x14ac:dyDescent="0.25">
      <c r="A52" s="5">
        <v>44541</v>
      </c>
      <c r="B52">
        <v>0.2261</v>
      </c>
      <c r="C52">
        <v>0.2311</v>
      </c>
      <c r="D52">
        <v>0.22170000000000001</v>
      </c>
      <c r="E52">
        <v>0.2291</v>
      </c>
      <c r="F52">
        <v>1051045</v>
      </c>
      <c r="G52">
        <v>0.2291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0.57446808510638225</v>
      </c>
      <c r="Q52">
        <f t="shared" ref="Q52" si="236">F52*P52</f>
        <v>603791.80851063749</v>
      </c>
      <c r="R52">
        <f t="shared" ref="R52" si="237">R53+Q52</f>
        <v>-555794782.96210098</v>
      </c>
      <c r="S52">
        <f t="shared" ref="S52" si="238">R52/100000</f>
        <v>-5557.94782962101</v>
      </c>
      <c r="T52">
        <f t="shared" ref="T52" si="239">S52/1000</f>
        <v>-5.5579478296210096</v>
      </c>
    </row>
    <row r="53" spans="1:20" x14ac:dyDescent="0.25">
      <c r="A53" s="5">
        <v>44540</v>
      </c>
      <c r="B53">
        <v>0.23860000000000001</v>
      </c>
      <c r="C53">
        <v>0.25640000000000002</v>
      </c>
      <c r="D53">
        <v>0.224</v>
      </c>
      <c r="E53">
        <v>0.22650000000000001</v>
      </c>
      <c r="F53">
        <v>24401739</v>
      </c>
      <c r="G53">
        <v>0.22650000000000001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-0.84567901234567888</v>
      </c>
      <c r="Q53">
        <f t="shared" ref="Q53" si="241">F53*P53</f>
        <v>-20636038.537037034</v>
      </c>
      <c r="R53">
        <f t="shared" ref="R53" si="242">R54+Q53</f>
        <v>-556398574.77061164</v>
      </c>
      <c r="S53">
        <f t="shared" ref="S53" si="243">R53/100000</f>
        <v>-5563.9857477061169</v>
      </c>
      <c r="T53">
        <f t="shared" ref="T53" si="244">S53/1000</f>
        <v>-5.5639857477061172</v>
      </c>
    </row>
    <row r="54" spans="1:20" x14ac:dyDescent="0.25">
      <c r="A54" s="5">
        <v>44539</v>
      </c>
      <c r="B54">
        <v>0.26989999999999997</v>
      </c>
      <c r="C54">
        <v>0.27750000000000002</v>
      </c>
      <c r="D54">
        <v>0.23569999999999999</v>
      </c>
      <c r="E54">
        <v>0.23860000000000001</v>
      </c>
      <c r="F54">
        <v>41259341</v>
      </c>
      <c r="G54">
        <v>0.23860000000000001</v>
      </c>
      <c r="L54" t="s">
        <v>7</v>
      </c>
      <c r="M54" t="s">
        <v>8</v>
      </c>
      <c r="N54" t="s">
        <v>7</v>
      </c>
      <c r="P54">
        <f t="shared" ref="P54" si="245">IF(C54=D54,0,((E54-D54)-(C54-E54))/(C54-D54))</f>
        <v>-0.86124401913875548</v>
      </c>
      <c r="Q54">
        <f t="shared" ref="Q54" si="246">F54*P54</f>
        <v>-35534360.669856437</v>
      </c>
      <c r="R54">
        <f t="shared" ref="R54" si="247">R55+Q54</f>
        <v>-535762536.23357457</v>
      </c>
      <c r="S54">
        <f t="shared" ref="S54" si="248">R54/100000</f>
        <v>-5357.6253623357461</v>
      </c>
      <c r="T54">
        <f t="shared" ref="T54" si="249">S54/1000</f>
        <v>-5.3576253623357459</v>
      </c>
    </row>
    <row r="55" spans="1:20" x14ac:dyDescent="0.25">
      <c r="A55" s="5">
        <v>44538</v>
      </c>
      <c r="B55">
        <v>0.245</v>
      </c>
      <c r="C55">
        <v>0.28000000000000003</v>
      </c>
      <c r="D55">
        <v>0.24099999999999999</v>
      </c>
      <c r="E55">
        <v>0.26960000000000001</v>
      </c>
      <c r="F55">
        <v>37804484</v>
      </c>
      <c r="G55">
        <v>0.26960000000000001</v>
      </c>
      <c r="L55" t="s">
        <v>8</v>
      </c>
      <c r="M55" t="s">
        <v>8</v>
      </c>
      <c r="N55" t="s">
        <v>7</v>
      </c>
      <c r="P55">
        <f t="shared" ref="P55" si="250">IF(C55=D55,0,((E55-D55)-(C55-E55))/(C55-D55))</f>
        <v>0.46666666666666612</v>
      </c>
      <c r="Q55">
        <f t="shared" ref="Q55" si="251">F55*P55</f>
        <v>17642092.533333313</v>
      </c>
      <c r="R55">
        <f t="shared" ref="R55" si="252">R56+Q55</f>
        <v>-500228175.56371814</v>
      </c>
      <c r="S55">
        <f t="shared" ref="S55" si="253">R55/100000</f>
        <v>-5002.281755637181</v>
      </c>
      <c r="T55">
        <f t="shared" ref="T55" si="254">S55/1000</f>
        <v>-5.0022817556371812</v>
      </c>
    </row>
    <row r="56" spans="1:20" x14ac:dyDescent="0.25">
      <c r="A56" s="5">
        <v>44537</v>
      </c>
      <c r="B56">
        <v>0.26279999999999998</v>
      </c>
      <c r="C56">
        <v>0.27</v>
      </c>
      <c r="D56">
        <v>0.22489999999999999</v>
      </c>
      <c r="E56">
        <v>0.24560000000000001</v>
      </c>
      <c r="F56">
        <v>35399761</v>
      </c>
      <c r="G56">
        <v>0.24560000000000001</v>
      </c>
      <c r="L56" t="s">
        <v>8</v>
      </c>
      <c r="M56" t="s">
        <v>8</v>
      </c>
      <c r="N56" t="s">
        <v>7</v>
      </c>
      <c r="P56">
        <f t="shared" ref="P56" si="255">IF(C56=D56,0,((E56-D56)-(C56-E56))/(C56-D56))</f>
        <v>-8.2039911308203525E-2</v>
      </c>
      <c r="Q56">
        <f t="shared" ref="Q56" si="256">F56*P56</f>
        <v>-2904193.252771602</v>
      </c>
      <c r="R56">
        <f t="shared" ref="R56" si="257">R57+Q56</f>
        <v>-517870268.09705144</v>
      </c>
      <c r="S56">
        <f t="shared" ref="S56" si="258">R56/100000</f>
        <v>-5178.7026809705148</v>
      </c>
      <c r="T56">
        <f t="shared" ref="T56" si="259">S56/1000</f>
        <v>-5.178702680970515</v>
      </c>
    </row>
    <row r="57" spans="1:20" x14ac:dyDescent="0.25">
      <c r="A57" s="5">
        <v>44536</v>
      </c>
      <c r="B57">
        <v>0.25679999999999997</v>
      </c>
      <c r="C57">
        <v>0.27</v>
      </c>
      <c r="D57">
        <v>0.2172</v>
      </c>
      <c r="E57">
        <v>0.26219999999999999</v>
      </c>
      <c r="F57">
        <v>56693417</v>
      </c>
      <c r="G57">
        <v>0.26219999999999999</v>
      </c>
      <c r="L57" t="s">
        <v>7</v>
      </c>
      <c r="M57" t="s">
        <v>7</v>
      </c>
      <c r="N57" t="s">
        <v>7</v>
      </c>
      <c r="P57">
        <f t="shared" ref="P57" si="260">IF(C57=D57,0,((E57-D57)-(C57-E57))/(C57-D57))</f>
        <v>0.70454545454545348</v>
      </c>
      <c r="Q57">
        <f t="shared" ref="Q57" si="261">F57*P57</f>
        <v>39943089.24999994</v>
      </c>
      <c r="R57">
        <f t="shared" ref="R57" si="262">R58+Q57</f>
        <v>-514966074.84427983</v>
      </c>
      <c r="S57">
        <f t="shared" ref="S57" si="263">R57/100000</f>
        <v>-5149.6607484427986</v>
      </c>
      <c r="T57">
        <f t="shared" ref="T57" si="264">S57/1000</f>
        <v>-5.1496607484427983</v>
      </c>
    </row>
    <row r="58" spans="1:20" x14ac:dyDescent="0.25">
      <c r="A58" s="5">
        <v>44535</v>
      </c>
      <c r="B58">
        <v>0.29110000000000003</v>
      </c>
      <c r="C58">
        <v>0.30370000000000003</v>
      </c>
      <c r="D58">
        <v>0.24529999999999999</v>
      </c>
      <c r="E58">
        <v>0.25669999999999998</v>
      </c>
      <c r="F58">
        <v>34775128</v>
      </c>
      <c r="G58">
        <v>0.25669999999999998</v>
      </c>
      <c r="L58" t="s">
        <v>8</v>
      </c>
      <c r="M58" t="s">
        <v>8</v>
      </c>
      <c r="N58" t="s">
        <v>8</v>
      </c>
      <c r="P58">
        <f t="shared" ref="P58" si="265">IF(C58=D58,0,((E58-D58)-(C58-E58))/(C58-D58))</f>
        <v>-0.60958904109589085</v>
      </c>
      <c r="Q58">
        <f t="shared" ref="Q58" si="266">F58*P58</f>
        <v>-21198536.931506865</v>
      </c>
      <c r="R58">
        <f t="shared" ref="R58" si="267">R59+Q58</f>
        <v>-554909164.09427977</v>
      </c>
      <c r="S58">
        <f t="shared" ref="S58" si="268">R58/100000</f>
        <v>-5549.0916409427973</v>
      </c>
      <c r="T58">
        <f t="shared" ref="T58" si="269">S58/1000</f>
        <v>-5.5490916409427973</v>
      </c>
    </row>
    <row r="59" spans="1:20" x14ac:dyDescent="0.25">
      <c r="A59" s="5">
        <v>44534</v>
      </c>
      <c r="B59">
        <v>0.3422</v>
      </c>
      <c r="C59">
        <v>0.34310000000000002</v>
      </c>
      <c r="D59">
        <v>0.2147</v>
      </c>
      <c r="E59">
        <v>0.29160000000000003</v>
      </c>
      <c r="F59">
        <v>51022802</v>
      </c>
      <c r="G59">
        <v>0.29160000000000003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0.19781931464174479</v>
      </c>
      <c r="Q59">
        <f t="shared" ref="Q59" si="271">F59*P59</f>
        <v>10093295.722741446</v>
      </c>
      <c r="R59">
        <f t="shared" ref="R59" si="272">R60+Q59</f>
        <v>-533710627.16277295</v>
      </c>
      <c r="S59">
        <f t="shared" ref="S59" si="273">R59/100000</f>
        <v>-5337.1062716277293</v>
      </c>
      <c r="T59">
        <f t="shared" ref="T59" si="274">S59/1000</f>
        <v>-5.3371062716277295</v>
      </c>
    </row>
    <row r="60" spans="1:20" x14ac:dyDescent="0.25">
      <c r="A60" s="5">
        <v>44533</v>
      </c>
      <c r="B60">
        <v>0.38059999999999999</v>
      </c>
      <c r="C60">
        <v>0.3831</v>
      </c>
      <c r="D60">
        <v>0.32029999999999997</v>
      </c>
      <c r="E60">
        <v>0.34239999999999998</v>
      </c>
      <c r="F60">
        <v>41025276</v>
      </c>
      <c r="G60">
        <v>0.34239999999999998</v>
      </c>
      <c r="L60" t="s">
        <v>7</v>
      </c>
      <c r="M60" t="s">
        <v>7</v>
      </c>
      <c r="N60" t="s">
        <v>7</v>
      </c>
      <c r="P60">
        <f t="shared" ref="P60" si="275">IF(C60=D60,0,((E60-D60)-(C60-E60))/(C60-D60))</f>
        <v>-0.29617834394904458</v>
      </c>
      <c r="Q60">
        <f t="shared" ref="Q60" si="276">F60*P60</f>
        <v>-12150798.305732483</v>
      </c>
      <c r="R60">
        <f t="shared" ref="R60" si="277">R61+Q60</f>
        <v>-543803922.88551438</v>
      </c>
      <c r="S60">
        <f t="shared" ref="S60" si="278">R60/100000</f>
        <v>-5438.0392288551438</v>
      </c>
      <c r="T60">
        <f t="shared" ref="T60" si="279">S60/1000</f>
        <v>-5.4380392288551436</v>
      </c>
    </row>
    <row r="61" spans="1:20" x14ac:dyDescent="0.25">
      <c r="A61" s="5">
        <v>44532</v>
      </c>
      <c r="B61">
        <v>0.4007</v>
      </c>
      <c r="C61">
        <v>0.4078</v>
      </c>
      <c r="D61">
        <v>0.36399999999999999</v>
      </c>
      <c r="E61">
        <v>0.38119999999999998</v>
      </c>
      <c r="F61">
        <v>39731176</v>
      </c>
      <c r="G61">
        <v>0.38119999999999998</v>
      </c>
      <c r="L61" t="s">
        <v>7</v>
      </c>
      <c r="M61" t="s">
        <v>7</v>
      </c>
      <c r="N61" t="s">
        <v>7</v>
      </c>
      <c r="P61">
        <f t="shared" ref="P61" si="280">IF(C61=D61,0,((E61-D61)-(C61-E61))/(C61-D61))</f>
        <v>-0.21461187214611913</v>
      </c>
      <c r="Q61">
        <f t="shared" ref="Q61" si="281">F61*P61</f>
        <v>-8526782.0639269575</v>
      </c>
      <c r="R61">
        <f t="shared" ref="R61" si="282">R62+Q61</f>
        <v>-531653124.57978195</v>
      </c>
      <c r="S61">
        <f t="shared" ref="S61" si="283">R61/100000</f>
        <v>-5316.5312457978198</v>
      </c>
      <c r="T61">
        <f t="shared" ref="T61" si="284">S61/1000</f>
        <v>-5.3165312457978198</v>
      </c>
    </row>
    <row r="62" spans="1:20" x14ac:dyDescent="0.25">
      <c r="A62" s="5">
        <v>44531</v>
      </c>
      <c r="B62">
        <v>0.4244</v>
      </c>
      <c r="C62">
        <v>0.4556</v>
      </c>
      <c r="D62">
        <v>0.39629999999999999</v>
      </c>
      <c r="E62">
        <v>0.40050000000000002</v>
      </c>
      <c r="F62">
        <v>43894944</v>
      </c>
      <c r="G62">
        <v>0.40050000000000002</v>
      </c>
      <c r="L62" t="s">
        <v>7</v>
      </c>
      <c r="M62" t="s">
        <v>7</v>
      </c>
      <c r="N62" t="s">
        <v>7</v>
      </c>
      <c r="P62">
        <f t="shared" ref="P62" si="285">IF(C62=D62,0,((E62-D62)-(C62-E62))/(C62-D62))</f>
        <v>-0.85834738617200557</v>
      </c>
      <c r="Q62">
        <f t="shared" ref="Q62" si="286">F62*P62</f>
        <v>-37677110.448566556</v>
      </c>
      <c r="R62">
        <f t="shared" ref="R62" si="287">R63+Q62</f>
        <v>-523126342.51585501</v>
      </c>
      <c r="S62">
        <f t="shared" ref="S62" si="288">R62/100000</f>
        <v>-5231.2634251585505</v>
      </c>
      <c r="T62">
        <f t="shared" ref="T62" si="289">S62/1000</f>
        <v>-5.2312634251585504</v>
      </c>
    </row>
    <row r="63" spans="1:20" x14ac:dyDescent="0.25">
      <c r="A63" s="5">
        <v>44530</v>
      </c>
      <c r="B63">
        <v>0.4335</v>
      </c>
      <c r="C63">
        <v>0.44159999999999999</v>
      </c>
      <c r="D63">
        <v>0.40849999999999997</v>
      </c>
      <c r="E63">
        <v>0.4249</v>
      </c>
      <c r="F63">
        <v>33598946</v>
      </c>
      <c r="G63">
        <v>0.4249</v>
      </c>
      <c r="L63" t="s">
        <v>7</v>
      </c>
      <c r="M63" t="s">
        <v>7</v>
      </c>
      <c r="N63" t="s">
        <v>7</v>
      </c>
      <c r="P63">
        <f t="shared" ref="P63" si="290">IF(C63=D63,0,((E63-D63)-(C63-E63))/(C63-D63))</f>
        <v>-9.0634441087603258E-3</v>
      </c>
      <c r="Q63">
        <f t="shared" ref="Q63" si="291">F63*P63</f>
        <v>-304522.16918425629</v>
      </c>
      <c r="R63">
        <f t="shared" ref="R63" si="292">R64+Q63</f>
        <v>-485449232.06728846</v>
      </c>
      <c r="S63">
        <f t="shared" ref="S63" si="293">R63/100000</f>
        <v>-4854.4923206728845</v>
      </c>
      <c r="T63">
        <f t="shared" ref="T63" si="294">S63/1000</f>
        <v>-4.8544923206728843</v>
      </c>
    </row>
    <row r="64" spans="1:20" x14ac:dyDescent="0.25">
      <c r="A64" s="5">
        <v>44529</v>
      </c>
      <c r="B64">
        <v>0.4667</v>
      </c>
      <c r="C64">
        <v>0.4844</v>
      </c>
      <c r="D64">
        <v>0.42799999999999999</v>
      </c>
      <c r="E64">
        <v>0.43430000000000002</v>
      </c>
      <c r="F64">
        <v>51340106</v>
      </c>
      <c r="G64">
        <v>0.43430000000000002</v>
      </c>
      <c r="L64" t="s">
        <v>7</v>
      </c>
      <c r="M64" t="s">
        <v>8</v>
      </c>
      <c r="N64" t="s">
        <v>7</v>
      </c>
      <c r="P64">
        <f t="shared" ref="P64" si="295">IF(C64=D64,0,((E64-D64)-(C64-E64))/(C64-D64))</f>
        <v>-0.77659574468085013</v>
      </c>
      <c r="Q64">
        <f t="shared" ref="Q64" si="296">F64*P64</f>
        <v>-39870507.85106378</v>
      </c>
      <c r="R64">
        <f t="shared" ref="R64" si="297">R65+Q64</f>
        <v>-485144709.89810419</v>
      </c>
      <c r="S64">
        <f t="shared" ref="S64" si="298">R64/100000</f>
        <v>-4851.4470989810416</v>
      </c>
      <c r="T64">
        <f t="shared" ref="T64" si="299">S64/1000</f>
        <v>-4.8514470989810414</v>
      </c>
    </row>
    <row r="65" spans="1:20" x14ac:dyDescent="0.25">
      <c r="A65" s="5">
        <v>44528</v>
      </c>
      <c r="B65">
        <v>0.44280000000000003</v>
      </c>
      <c r="C65">
        <v>0.4945</v>
      </c>
      <c r="D65">
        <v>0.40510000000000002</v>
      </c>
      <c r="E65">
        <v>0.46629999999999999</v>
      </c>
      <c r="F65">
        <v>83937898</v>
      </c>
      <c r="G65">
        <v>0.46629999999999999</v>
      </c>
      <c r="L65" t="s">
        <v>8</v>
      </c>
      <c r="M65" t="s">
        <v>8</v>
      </c>
      <c r="N65" t="s">
        <v>7</v>
      </c>
      <c r="P65">
        <f t="shared" ref="P65" si="300">IF(C65=D65,0,((E65-D65)-(C65-E65))/(C65-D65))</f>
        <v>0.36912751677852329</v>
      </c>
      <c r="Q65">
        <f t="shared" ref="Q65" si="301">F65*P65</f>
        <v>30983787.852348976</v>
      </c>
      <c r="R65">
        <f t="shared" ref="R65" si="302">R66+Q65</f>
        <v>-445274202.0470404</v>
      </c>
      <c r="S65">
        <f t="shared" ref="S65" si="303">R65/100000</f>
        <v>-4452.742020470404</v>
      </c>
      <c r="T65">
        <f t="shared" ref="T65" si="304">S65/1000</f>
        <v>-4.4527420204704038</v>
      </c>
    </row>
    <row r="66" spans="1:20" x14ac:dyDescent="0.25">
      <c r="A66" s="5">
        <v>44527</v>
      </c>
      <c r="B66">
        <v>0.41260000000000002</v>
      </c>
      <c r="C66">
        <v>0.47</v>
      </c>
      <c r="D66">
        <v>0.40500000000000003</v>
      </c>
      <c r="E66">
        <v>0.443</v>
      </c>
      <c r="F66">
        <v>55633222</v>
      </c>
      <c r="G66">
        <v>0.443</v>
      </c>
      <c r="L66" t="s">
        <v>8</v>
      </c>
      <c r="M66" t="s">
        <v>8</v>
      </c>
      <c r="N66" t="s">
        <v>7</v>
      </c>
      <c r="P66">
        <f t="shared" ref="P66" si="305">IF(C66=D66,0,((E66-D66)-(C66-E66))/(C66-D66))</f>
        <v>0.16923076923076952</v>
      </c>
      <c r="Q66">
        <f t="shared" ref="Q66" si="306">F66*P66</f>
        <v>9414852.9538461696</v>
      </c>
      <c r="R66">
        <f t="shared" ref="R66" si="307">R67+Q66</f>
        <v>-476257989.89938939</v>
      </c>
      <c r="S66">
        <f t="shared" ref="S66" si="308">R66/100000</f>
        <v>-4762.5798989938939</v>
      </c>
      <c r="T66">
        <f t="shared" ref="T66" si="309">S66/1000</f>
        <v>-4.7625798989938941</v>
      </c>
    </row>
    <row r="67" spans="1:20" x14ac:dyDescent="0.25">
      <c r="A67" s="5">
        <v>44526</v>
      </c>
      <c r="B67">
        <v>0.47070000000000001</v>
      </c>
      <c r="C67">
        <v>0.51</v>
      </c>
      <c r="D67">
        <v>0.3831</v>
      </c>
      <c r="E67">
        <v>0.41260000000000002</v>
      </c>
      <c r="F67">
        <v>103243214</v>
      </c>
      <c r="G67">
        <v>0.41260000000000002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-0.53506698187549218</v>
      </c>
      <c r="Q67">
        <f t="shared" ref="Q67" si="311">F67*P67</f>
        <v>-55242034.914105557</v>
      </c>
      <c r="R67">
        <f t="shared" ref="R67" si="312">R68+Q67</f>
        <v>-485672842.85323554</v>
      </c>
      <c r="S67">
        <f t="shared" ref="S67" si="313">R67/100000</f>
        <v>-4856.7284285323558</v>
      </c>
      <c r="T67">
        <f t="shared" ref="T67" si="314">S67/1000</f>
        <v>-4.8567284285323558</v>
      </c>
    </row>
    <row r="68" spans="1:20" x14ac:dyDescent="0.25">
      <c r="A68" s="5">
        <v>44525</v>
      </c>
      <c r="B68">
        <v>0.45419999999999999</v>
      </c>
      <c r="C68">
        <v>0.54769999999999996</v>
      </c>
      <c r="D68">
        <v>0.41739999999999999</v>
      </c>
      <c r="E68">
        <v>0.47039999999999998</v>
      </c>
      <c r="F68">
        <v>210457328</v>
      </c>
      <c r="G68">
        <v>0.47039999999999998</v>
      </c>
      <c r="L68" t="s">
        <v>8</v>
      </c>
      <c r="M68" t="s">
        <v>8</v>
      </c>
      <c r="N68" t="s">
        <v>8</v>
      </c>
      <c r="P68">
        <f t="shared" ref="P68" si="315">IF(C68=D68,0,((E68-D68)-(C68-E68))/(C68-D68))</f>
        <v>-0.18649270913277047</v>
      </c>
      <c r="Q68">
        <f t="shared" ref="Q68" si="316">F68*P68</f>
        <v>-39248757.255564071</v>
      </c>
      <c r="R68">
        <f t="shared" ref="R68" si="317">R69+Q68</f>
        <v>-430430807.93913001</v>
      </c>
      <c r="S68">
        <f t="shared" ref="S68" si="318">R68/100000</f>
        <v>-4304.3080793913005</v>
      </c>
      <c r="T68">
        <f t="shared" ref="T68" si="319">S68/1000</f>
        <v>-4.3043080793913004</v>
      </c>
    </row>
    <row r="69" spans="1:20" x14ac:dyDescent="0.25">
      <c r="A69" s="5">
        <v>44524</v>
      </c>
      <c r="B69">
        <v>0.36909999999999998</v>
      </c>
      <c r="C69">
        <v>0.38440000000000002</v>
      </c>
      <c r="D69">
        <v>0.35589999999999999</v>
      </c>
      <c r="E69">
        <v>0.38269999999999998</v>
      </c>
      <c r="F69">
        <v>15788113</v>
      </c>
      <c r="G69">
        <v>0.38269999999999998</v>
      </c>
      <c r="L69" t="s">
        <v>7</v>
      </c>
      <c r="M69" t="s">
        <v>7</v>
      </c>
      <c r="N69" t="s">
        <v>8</v>
      </c>
      <c r="P69">
        <f t="shared" ref="P69" si="320">IF(C69=D69,0,((E69-D69)-(C69-E69))/(C69-D69))</f>
        <v>0.88070175438596254</v>
      </c>
      <c r="Q69">
        <f t="shared" ref="Q69" si="321">F69*P69</f>
        <v>13904618.817543821</v>
      </c>
      <c r="R69">
        <f t="shared" ref="R69" si="322">R70+Q69</f>
        <v>-391182050.68356591</v>
      </c>
      <c r="S69">
        <f t="shared" ref="S69" si="323">R69/100000</f>
        <v>-3911.8205068356592</v>
      </c>
      <c r="T69">
        <f t="shared" ref="T69" si="324">S69/1000</f>
        <v>-3.9118205068356593</v>
      </c>
    </row>
    <row r="70" spans="1:20" x14ac:dyDescent="0.25">
      <c r="A70" s="5">
        <v>44523</v>
      </c>
      <c r="B70">
        <v>0.35349999999999998</v>
      </c>
      <c r="C70">
        <v>0.3901</v>
      </c>
      <c r="D70">
        <v>0.3463</v>
      </c>
      <c r="E70">
        <v>0.36980000000000002</v>
      </c>
      <c r="F70">
        <v>40836881</v>
      </c>
      <c r="G70">
        <v>0.36980000000000002</v>
      </c>
      <c r="L70" t="s">
        <v>8</v>
      </c>
      <c r="M70" t="s">
        <v>7</v>
      </c>
      <c r="N70" t="s">
        <v>8</v>
      </c>
      <c r="P70">
        <f t="shared" ref="P70" si="325">IF(C70=D70,0,((E70-D70)-(C70-E70))/(C70-D70))</f>
        <v>7.3059360730594422E-2</v>
      </c>
      <c r="Q70">
        <f t="shared" ref="Q70" si="326">F70*P70</f>
        <v>2983516.4200913575</v>
      </c>
      <c r="R70">
        <f t="shared" ref="R70" si="327">R71+Q70</f>
        <v>-405086669.50110972</v>
      </c>
      <c r="S70">
        <f t="shared" ref="S70" si="328">R70/100000</f>
        <v>-4050.8666950110974</v>
      </c>
      <c r="T70">
        <f t="shared" ref="T70" si="329">S70/1000</f>
        <v>-4.0508666950110976</v>
      </c>
    </row>
    <row r="71" spans="1:20" x14ac:dyDescent="0.25">
      <c r="A71" s="5">
        <v>44522</v>
      </c>
      <c r="B71">
        <v>0.37990000000000002</v>
      </c>
      <c r="C71">
        <v>0.38019999999999998</v>
      </c>
      <c r="D71">
        <v>0.34</v>
      </c>
      <c r="E71">
        <v>0.35339999999999999</v>
      </c>
      <c r="F71">
        <v>43122008</v>
      </c>
      <c r="G71">
        <v>0.35339999999999999</v>
      </c>
      <c r="L71" t="s">
        <v>7</v>
      </c>
      <c r="M71" t="s">
        <v>7</v>
      </c>
      <c r="N71" t="s">
        <v>8</v>
      </c>
      <c r="P71">
        <f t="shared" ref="P71" si="330">IF(C71=D71,0,((E71-D71)-(C71-E71))/(C71-D71))</f>
        <v>-0.33333333333333426</v>
      </c>
      <c r="Q71">
        <f t="shared" ref="Q71" si="331">F71*P71</f>
        <v>-14374002.666666707</v>
      </c>
      <c r="R71">
        <f t="shared" ref="R71" si="332">R72+Q71</f>
        <v>-408070185.92120105</v>
      </c>
      <c r="S71">
        <f t="shared" ref="S71" si="333">R71/100000</f>
        <v>-4080.7018592120103</v>
      </c>
      <c r="T71">
        <f t="shared" ref="T71" si="334">S71/1000</f>
        <v>-4.0807018592120103</v>
      </c>
    </row>
    <row r="72" spans="1:20" x14ac:dyDescent="0.25">
      <c r="A72" s="5">
        <v>44521</v>
      </c>
      <c r="B72">
        <v>0.39979999999999999</v>
      </c>
      <c r="C72">
        <v>0.44290000000000002</v>
      </c>
      <c r="D72">
        <v>0.37380000000000002</v>
      </c>
      <c r="E72">
        <v>0.37909999999999999</v>
      </c>
      <c r="F72">
        <v>82678049</v>
      </c>
      <c r="G72">
        <v>0.37909999999999999</v>
      </c>
      <c r="L72" t="s">
        <v>8</v>
      </c>
      <c r="M72" t="s">
        <v>8</v>
      </c>
      <c r="N72" t="s">
        <v>8</v>
      </c>
      <c r="P72">
        <f t="shared" ref="P72" si="335">IF(C72=D72,0,((E72-D72)-(C72-E72))/(C72-D72))</f>
        <v>-0.84659913169319911</v>
      </c>
      <c r="Q72">
        <f t="shared" ref="Q72" si="336">F72*P72</f>
        <v>-69995164.493487775</v>
      </c>
      <c r="R72">
        <f t="shared" ref="R72" si="337">R73+Q72</f>
        <v>-393696183.25453436</v>
      </c>
      <c r="S72">
        <f t="shared" ref="S72" si="338">R72/100000</f>
        <v>-3936.9618325453434</v>
      </c>
      <c r="T72">
        <f t="shared" ref="T72" si="339">S72/1000</f>
        <v>-3.9369618325453435</v>
      </c>
    </row>
    <row r="73" spans="1:20" x14ac:dyDescent="0.25">
      <c r="A73" s="5">
        <v>44520</v>
      </c>
      <c r="B73">
        <v>0.3644</v>
      </c>
      <c r="C73">
        <v>0.42</v>
      </c>
      <c r="D73">
        <v>0.34689999999999999</v>
      </c>
      <c r="E73">
        <v>0.39950000000000002</v>
      </c>
      <c r="F73">
        <v>75692786</v>
      </c>
      <c r="G73">
        <v>0.39950000000000002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0.439124487004105</v>
      </c>
      <c r="Q73">
        <f t="shared" ref="Q73" si="341">F73*P73</f>
        <v>33238555.822161499</v>
      </c>
      <c r="R73">
        <f t="shared" ref="R73" si="342">R74+Q73</f>
        <v>-323701018.76104659</v>
      </c>
      <c r="S73">
        <f t="shared" ref="S73" si="343">R73/100000</f>
        <v>-3237.0101876104659</v>
      </c>
      <c r="T73">
        <f t="shared" ref="T73" si="344">S73/1000</f>
        <v>-3.237010187610466</v>
      </c>
    </row>
    <row r="74" spans="1:20" x14ac:dyDescent="0.25">
      <c r="A74" s="5">
        <v>44519</v>
      </c>
      <c r="B74">
        <v>0.32600000000000001</v>
      </c>
      <c r="C74">
        <v>0.3851</v>
      </c>
      <c r="D74">
        <v>0.3155</v>
      </c>
      <c r="E74">
        <v>0.3644</v>
      </c>
      <c r="F74">
        <v>46695984</v>
      </c>
      <c r="G74">
        <v>0.3644</v>
      </c>
      <c r="L74" t="s">
        <v>8</v>
      </c>
      <c r="M74" t="s">
        <v>8</v>
      </c>
      <c r="N74" t="s">
        <v>7</v>
      </c>
      <c r="P74">
        <f t="shared" ref="P74" si="345">IF(C74=D74,0,((E74-D74)-(C74-E74))/(C74-D74))</f>
        <v>0.40517241379310354</v>
      </c>
      <c r="Q74">
        <f t="shared" ref="Q74" si="346">F74*P74</f>
        <v>18919924.551724143</v>
      </c>
      <c r="R74">
        <f t="shared" ref="R74" si="347">R75+Q74</f>
        <v>-356939574.58320808</v>
      </c>
      <c r="S74">
        <f t="shared" ref="S74" si="348">R74/100000</f>
        <v>-3569.395745832081</v>
      </c>
      <c r="T74">
        <f t="shared" ref="T74" si="349">S74/1000</f>
        <v>-3.5693957458320811</v>
      </c>
    </row>
    <row r="75" spans="1:20" x14ac:dyDescent="0.25">
      <c r="A75" s="5">
        <v>44518</v>
      </c>
      <c r="B75">
        <v>0.37369999999999998</v>
      </c>
      <c r="C75">
        <v>0.39</v>
      </c>
      <c r="D75">
        <v>0.30630000000000002</v>
      </c>
      <c r="E75">
        <v>0.32600000000000001</v>
      </c>
      <c r="F75">
        <v>68933480</v>
      </c>
      <c r="G75">
        <v>0.32600000000000001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-0.5292712066905616</v>
      </c>
      <c r="Q75">
        <f t="shared" ref="Q75" si="351">F75*P75</f>
        <v>-36484506.140979692</v>
      </c>
      <c r="R75">
        <f t="shared" ref="R75" si="352">R76+Q75</f>
        <v>-375859499.13493222</v>
      </c>
      <c r="S75">
        <f t="shared" ref="S75" si="353">R75/100000</f>
        <v>-3758.5949913493223</v>
      </c>
      <c r="T75">
        <f t="shared" ref="T75" si="354">S75/1000</f>
        <v>-3.7585949913493222</v>
      </c>
    </row>
    <row r="76" spans="1:20" x14ac:dyDescent="0.25">
      <c r="A76" s="5">
        <v>44517</v>
      </c>
      <c r="B76">
        <v>0.33169999999999999</v>
      </c>
      <c r="C76">
        <v>0.3977</v>
      </c>
      <c r="D76">
        <v>0.3115</v>
      </c>
      <c r="E76">
        <v>0.37369999999999998</v>
      </c>
      <c r="F76">
        <v>78486876</v>
      </c>
      <c r="G76">
        <v>0.37369999999999998</v>
      </c>
      <c r="L76" t="s">
        <v>8</v>
      </c>
      <c r="M76" t="s">
        <v>8</v>
      </c>
      <c r="N76" t="s">
        <v>7</v>
      </c>
      <c r="P76">
        <f t="shared" ref="P76" si="355">IF(C76=D76,0,((E76-D76)-(C76-E76))/(C76-D76))</f>
        <v>0.44315545243619442</v>
      </c>
      <c r="Q76">
        <f t="shared" ref="Q76" si="356">F76*P76</f>
        <v>34781887.044083491</v>
      </c>
      <c r="R76">
        <f t="shared" ref="R76" si="357">R77+Q76</f>
        <v>-339374992.99395251</v>
      </c>
      <c r="S76">
        <f t="shared" ref="S76" si="358">R76/100000</f>
        <v>-3393.7499299395249</v>
      </c>
      <c r="T76">
        <f t="shared" ref="T76" si="359">S76/1000</f>
        <v>-3.3937499299395251</v>
      </c>
    </row>
    <row r="77" spans="1:20" x14ac:dyDescent="0.25">
      <c r="A77" s="5">
        <v>44516</v>
      </c>
      <c r="B77">
        <v>0.3634</v>
      </c>
      <c r="C77">
        <v>0.3634</v>
      </c>
      <c r="D77">
        <v>0.3</v>
      </c>
      <c r="E77">
        <v>0.33229999999999998</v>
      </c>
      <c r="F77">
        <v>69144473</v>
      </c>
      <c r="G77">
        <v>0.33229999999999998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1.8927444794952345E-2</v>
      </c>
      <c r="Q77">
        <f t="shared" ref="Q77" si="361">F77*P77</f>
        <v>1308728.1955835731</v>
      </c>
      <c r="R77">
        <f t="shared" ref="R77" si="362">R78+Q77</f>
        <v>-374156880.03803599</v>
      </c>
      <c r="S77">
        <f t="shared" ref="S77" si="363">R77/100000</f>
        <v>-3741.5688003803598</v>
      </c>
      <c r="T77">
        <f t="shared" ref="T77" si="364">S77/1000</f>
        <v>-3.7415688003803598</v>
      </c>
    </row>
    <row r="78" spans="1:20" x14ac:dyDescent="0.25">
      <c r="A78" s="5">
        <v>44515</v>
      </c>
      <c r="B78">
        <v>0.39739999999999998</v>
      </c>
      <c r="C78">
        <v>0.41289999999999999</v>
      </c>
      <c r="D78">
        <v>0.35749999999999998</v>
      </c>
      <c r="E78">
        <v>0.3634</v>
      </c>
      <c r="F78">
        <v>46827101</v>
      </c>
      <c r="G78">
        <v>0.3634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-0.78700361010830266</v>
      </c>
      <c r="Q78">
        <f t="shared" ref="Q78" si="366">F78*P78</f>
        <v>-36853097.53790611</v>
      </c>
      <c r="R78">
        <f t="shared" ref="R78" si="367">R79+Q78</f>
        <v>-375465608.23361957</v>
      </c>
      <c r="S78">
        <f t="shared" ref="S78" si="368">R78/100000</f>
        <v>-3754.6560823361956</v>
      </c>
      <c r="T78">
        <f t="shared" ref="T78" si="369">S78/1000</f>
        <v>-3.7546560823361954</v>
      </c>
    </row>
    <row r="79" spans="1:20" x14ac:dyDescent="0.25">
      <c r="A79" s="5">
        <v>44514</v>
      </c>
      <c r="B79">
        <v>0.42980000000000002</v>
      </c>
      <c r="C79">
        <v>0.43159999999999998</v>
      </c>
      <c r="D79">
        <v>0.3805</v>
      </c>
      <c r="E79">
        <v>0.39800000000000002</v>
      </c>
      <c r="F79">
        <v>60586910</v>
      </c>
      <c r="G79">
        <v>0.39800000000000002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-0.31506849315068403</v>
      </c>
      <c r="Q79">
        <f t="shared" ref="Q79" si="371">F79*P79</f>
        <v>-19089026.438356109</v>
      </c>
      <c r="R79">
        <f t="shared" ref="R79" si="372">R80+Q79</f>
        <v>-338612510.69571346</v>
      </c>
      <c r="S79">
        <f t="shared" ref="S79" si="373">R79/100000</f>
        <v>-3386.1251069571344</v>
      </c>
      <c r="T79">
        <f t="shared" ref="T79" si="374">S79/1000</f>
        <v>-3.3861251069571345</v>
      </c>
    </row>
    <row r="80" spans="1:20" x14ac:dyDescent="0.25">
      <c r="A80" s="5">
        <v>44513</v>
      </c>
      <c r="B80">
        <v>0.379</v>
      </c>
      <c r="C80">
        <v>0.45850000000000002</v>
      </c>
      <c r="D80">
        <v>0.37169999999999997</v>
      </c>
      <c r="E80">
        <v>0.4299</v>
      </c>
      <c r="F80">
        <v>126805850</v>
      </c>
      <c r="G80">
        <v>0.4299</v>
      </c>
      <c r="L80" t="s">
        <v>8</v>
      </c>
      <c r="M80" t="s">
        <v>8</v>
      </c>
      <c r="N80" t="s">
        <v>8</v>
      </c>
      <c r="P80">
        <f t="shared" ref="P80" si="375">IF(C80=D80,0,((E80-D80)-(C80-E80))/(C80-D80))</f>
        <v>0.34101382488479265</v>
      </c>
      <c r="Q80">
        <f t="shared" ref="Q80" si="376">F80*P80</f>
        <v>43242547.926267281</v>
      </c>
      <c r="R80">
        <f t="shared" ref="R80" si="377">R81+Q80</f>
        <v>-319523484.25735736</v>
      </c>
      <c r="S80">
        <f t="shared" ref="S80" si="378">R80/100000</f>
        <v>-3195.2348425735736</v>
      </c>
      <c r="T80">
        <f t="shared" ref="T80" si="379">S80/1000</f>
        <v>-3.1952348425735737</v>
      </c>
    </row>
    <row r="81" spans="1:20" x14ac:dyDescent="0.25">
      <c r="A81" s="5">
        <v>44512</v>
      </c>
      <c r="B81">
        <v>0.38190000000000002</v>
      </c>
      <c r="C81">
        <v>0.44429999999999997</v>
      </c>
      <c r="D81">
        <v>0.34760000000000002</v>
      </c>
      <c r="E81">
        <v>0.3795</v>
      </c>
      <c r="F81">
        <v>162970203</v>
      </c>
      <c r="G81">
        <v>0.3795</v>
      </c>
      <c r="L81" t="s">
        <v>8</v>
      </c>
      <c r="M81" t="s">
        <v>8</v>
      </c>
      <c r="N81" t="s">
        <v>8</v>
      </c>
      <c r="P81">
        <f t="shared" ref="P81" si="380">IF(C81=D81,0,((E81-D81)-(C81-E81))/(C81-D81))</f>
        <v>-0.34022750775594623</v>
      </c>
      <c r="Q81">
        <f t="shared" ref="Q81" si="381">F81*P81</f>
        <v>-55446946.005170636</v>
      </c>
      <c r="R81">
        <f t="shared" ref="R81" si="382">R82+Q81</f>
        <v>-362766032.18362463</v>
      </c>
      <c r="S81">
        <f t="shared" ref="S81" si="383">R81/100000</f>
        <v>-3627.6603218362461</v>
      </c>
      <c r="T81">
        <f t="shared" ref="T81" si="384">S81/1000</f>
        <v>-3.6276603218362462</v>
      </c>
    </row>
    <row r="82" spans="1:20" x14ac:dyDescent="0.25">
      <c r="A82" s="5">
        <v>44511</v>
      </c>
      <c r="B82">
        <v>0.30209999999999998</v>
      </c>
      <c r="C82">
        <v>0.39800000000000002</v>
      </c>
      <c r="D82">
        <v>0.2959</v>
      </c>
      <c r="E82">
        <v>0.38179999999999997</v>
      </c>
      <c r="F82">
        <v>132227868</v>
      </c>
      <c r="G82">
        <v>0.38179999999999997</v>
      </c>
      <c r="L82" t="s">
        <v>8</v>
      </c>
      <c r="M82" t="s">
        <v>8</v>
      </c>
      <c r="N82" t="s">
        <v>8</v>
      </c>
      <c r="P82">
        <f t="shared" ref="P82" si="385">IF(C82=D82,0,((E82-D82)-(C82-E82))/(C82-D82))</f>
        <v>0.68266405484818715</v>
      </c>
      <c r="Q82">
        <f t="shared" ref="Q82" si="386">F82*P82</f>
        <v>90267212.532810852</v>
      </c>
      <c r="R82">
        <f t="shared" ref="R82" si="387">R83+Q82</f>
        <v>-307319086.17845398</v>
      </c>
      <c r="S82">
        <f t="shared" ref="S82" si="388">R82/100000</f>
        <v>-3073.1908617845397</v>
      </c>
      <c r="T82">
        <f t="shared" ref="T82" si="389">S82/1000</f>
        <v>-3.0731908617845396</v>
      </c>
    </row>
    <row r="83" spans="1:20" x14ac:dyDescent="0.25">
      <c r="A83" s="5">
        <v>44510</v>
      </c>
      <c r="B83">
        <v>0.31740000000000002</v>
      </c>
      <c r="C83">
        <v>0.36</v>
      </c>
      <c r="D83">
        <v>0.29049999999999998</v>
      </c>
      <c r="E83">
        <v>0.30230000000000001</v>
      </c>
      <c r="F83">
        <v>57842117</v>
      </c>
      <c r="G83">
        <v>0.30230000000000001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-0.66043165467625808</v>
      </c>
      <c r="Q83">
        <f t="shared" ref="Q83" si="391">F83*P83</f>
        <v>-38200765.040287718</v>
      </c>
      <c r="R83">
        <f t="shared" ref="R83" si="392">R84+Q83</f>
        <v>-397586298.71126485</v>
      </c>
      <c r="S83">
        <f t="shared" ref="S83" si="393">R83/100000</f>
        <v>-3975.8629871126486</v>
      </c>
      <c r="T83">
        <f t="shared" ref="T83" si="394">S83/1000</f>
        <v>-3.9758629871126487</v>
      </c>
    </row>
    <row r="84" spans="1:20" x14ac:dyDescent="0.25">
      <c r="A84" s="5">
        <v>44509</v>
      </c>
      <c r="B84">
        <v>0.31979999999999997</v>
      </c>
      <c r="C84">
        <v>0.38879999999999998</v>
      </c>
      <c r="D84">
        <v>0.31159999999999999</v>
      </c>
      <c r="E84">
        <v>0.31740000000000002</v>
      </c>
      <c r="F84">
        <v>150736901</v>
      </c>
      <c r="G84">
        <v>0.31740000000000002</v>
      </c>
      <c r="L84" t="s">
        <v>8</v>
      </c>
      <c r="M84" t="s">
        <v>8</v>
      </c>
      <c r="N84" t="s">
        <v>8</v>
      </c>
      <c r="P84">
        <f t="shared" ref="P84" si="395">IF(C84=D84,0,((E84-D84)-(C84-E84))/(C84-D84))</f>
        <v>-0.84974093264248629</v>
      </c>
      <c r="Q84">
        <f t="shared" ref="Q84" si="396">F84*P84</f>
        <v>-128087314.83937812</v>
      </c>
      <c r="R84">
        <f t="shared" ref="R84" si="397">R85+Q84</f>
        <v>-359385533.67097712</v>
      </c>
      <c r="S84">
        <f t="shared" ref="S84" si="398">R84/100000</f>
        <v>-3593.8553367097711</v>
      </c>
      <c r="T84">
        <f t="shared" ref="T84" si="399">S84/1000</f>
        <v>-3.5938553367097712</v>
      </c>
    </row>
    <row r="85" spans="1:20" x14ac:dyDescent="0.25">
      <c r="A85" s="5">
        <v>44508</v>
      </c>
      <c r="B85">
        <v>0.29210000000000003</v>
      </c>
      <c r="C85">
        <v>0.34100000000000003</v>
      </c>
      <c r="D85">
        <v>0.27329999999999999</v>
      </c>
      <c r="E85">
        <v>0.31979999999999997</v>
      </c>
      <c r="F85">
        <v>50140134</v>
      </c>
      <c r="G85">
        <v>0.31979999999999997</v>
      </c>
      <c r="L85" t="s">
        <v>8</v>
      </c>
      <c r="M85" t="s">
        <v>8</v>
      </c>
      <c r="N85" t="s">
        <v>8</v>
      </c>
      <c r="P85">
        <f t="shared" ref="P85" si="400">IF(C85=D85,0,((E85-D85)-(C85-E85))/(C85-D85))</f>
        <v>0.3737075332348585</v>
      </c>
      <c r="Q85">
        <f t="shared" ref="Q85" si="401">F85*P85</f>
        <v>18737745.793205258</v>
      </c>
      <c r="R85">
        <f t="shared" ref="R85" si="402">R86+Q85</f>
        <v>-231298218.83159897</v>
      </c>
      <c r="S85">
        <f t="shared" ref="S85" si="403">R85/100000</f>
        <v>-2312.9821883159898</v>
      </c>
      <c r="T85">
        <f t="shared" ref="T85" si="404">S85/1000</f>
        <v>-2.3129821883159898</v>
      </c>
    </row>
    <row r="86" spans="1:20" x14ac:dyDescent="0.25">
      <c r="A86" s="5">
        <v>44507</v>
      </c>
      <c r="B86">
        <v>0.27910000000000001</v>
      </c>
      <c r="C86">
        <v>0.31719999999999998</v>
      </c>
      <c r="D86">
        <v>0.27800000000000002</v>
      </c>
      <c r="E86">
        <v>0.29189999999999999</v>
      </c>
      <c r="F86">
        <v>52371966</v>
      </c>
      <c r="G86">
        <v>0.29189999999999999</v>
      </c>
      <c r="L86" t="s">
        <v>8</v>
      </c>
      <c r="M86" t="s">
        <v>8</v>
      </c>
      <c r="N86" t="s">
        <v>8</v>
      </c>
      <c r="P86">
        <f t="shared" ref="P86" si="405">IF(C86=D86,0,((E86-D86)-(C86-E86))/(C86-D86))</f>
        <v>-0.29081632653061312</v>
      </c>
      <c r="Q86">
        <f t="shared" ref="Q86" si="406">F86*P86</f>
        <v>-15230622.765306169</v>
      </c>
      <c r="R86">
        <f t="shared" ref="R86" si="407">R87+Q86</f>
        <v>-250035964.62480423</v>
      </c>
      <c r="S86">
        <f t="shared" ref="S86" si="408">R86/100000</f>
        <v>-2500.3596462480423</v>
      </c>
      <c r="T86">
        <f t="shared" ref="T86" si="409">S86/1000</f>
        <v>-2.5003596462480422</v>
      </c>
    </row>
    <row r="87" spans="1:20" x14ac:dyDescent="0.25">
      <c r="A87" s="5">
        <v>44506</v>
      </c>
      <c r="B87">
        <v>0.27060000000000001</v>
      </c>
      <c r="C87">
        <v>0.28100000000000003</v>
      </c>
      <c r="D87">
        <v>0.25330000000000003</v>
      </c>
      <c r="E87">
        <v>0.27900000000000003</v>
      </c>
      <c r="F87">
        <v>25080251</v>
      </c>
      <c r="G87">
        <v>0.27900000000000003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0.85559566787003594</v>
      </c>
      <c r="Q87">
        <f t="shared" ref="Q87" si="411">F87*P87</f>
        <v>21458554.104693137</v>
      </c>
      <c r="R87">
        <f t="shared" ref="R87" si="412">R88+Q87</f>
        <v>-234805341.85949805</v>
      </c>
      <c r="S87">
        <f t="shared" ref="S87" si="413">R87/100000</f>
        <v>-2348.0534185949805</v>
      </c>
      <c r="T87">
        <f t="shared" ref="T87" si="414">S87/1000</f>
        <v>-2.3480534185949806</v>
      </c>
    </row>
    <row r="88" spans="1:20" x14ac:dyDescent="0.25">
      <c r="A88" s="5">
        <v>44505</v>
      </c>
      <c r="B88">
        <v>0.27079999999999999</v>
      </c>
      <c r="C88">
        <v>0.31569999999999998</v>
      </c>
      <c r="D88">
        <v>0.25919999999999999</v>
      </c>
      <c r="E88">
        <v>0.27100000000000002</v>
      </c>
      <c r="F88">
        <v>70289283</v>
      </c>
      <c r="G88">
        <v>0.27100000000000002</v>
      </c>
      <c r="L88" t="s">
        <v>8</v>
      </c>
      <c r="M88" t="s">
        <v>8</v>
      </c>
      <c r="N88" t="s">
        <v>8</v>
      </c>
      <c r="P88">
        <f t="shared" ref="P88" si="415">IF(C88=D88,0,((E88-D88)-(C88-E88))/(C88-D88))</f>
        <v>-0.58230088495575105</v>
      </c>
      <c r="Q88">
        <f t="shared" ref="Q88" si="416">F88*P88</f>
        <v>-40929511.693805225</v>
      </c>
      <c r="R88">
        <f t="shared" ref="R88" si="417">R89+Q88</f>
        <v>-256263895.9641912</v>
      </c>
      <c r="S88">
        <f t="shared" ref="S88" si="418">R88/100000</f>
        <v>-2562.6389596419122</v>
      </c>
      <c r="T88">
        <f t="shared" ref="T88" si="419">S88/1000</f>
        <v>-2.5626389596419124</v>
      </c>
    </row>
    <row r="89" spans="1:20" x14ac:dyDescent="0.25">
      <c r="A89" s="5">
        <v>44504</v>
      </c>
      <c r="B89">
        <v>0.24729999999999999</v>
      </c>
      <c r="C89">
        <v>0.29399999999999998</v>
      </c>
      <c r="D89">
        <v>0.24099999999999999</v>
      </c>
      <c r="E89">
        <v>0.27100000000000002</v>
      </c>
      <c r="F89">
        <v>66937749</v>
      </c>
      <c r="G89">
        <v>0.27100000000000002</v>
      </c>
      <c r="L89" t="s">
        <v>8</v>
      </c>
      <c r="M89" t="s">
        <v>8</v>
      </c>
      <c r="N89" t="s">
        <v>8</v>
      </c>
      <c r="P89">
        <f t="shared" ref="P89" si="420">IF(C89=D89,0,((E89-D89)-(C89-E89))/(C89-D89))</f>
        <v>0.1320754716981144</v>
      </c>
      <c r="Q89">
        <f t="shared" ref="Q89" si="421">F89*P89</f>
        <v>8840834.7735849861</v>
      </c>
      <c r="R89">
        <f t="shared" ref="R89" si="422">R90+Q89</f>
        <v>-215334384.27038598</v>
      </c>
      <c r="S89">
        <f t="shared" ref="S89" si="423">R89/100000</f>
        <v>-2153.34384270386</v>
      </c>
      <c r="T89">
        <f t="shared" ref="T89" si="424">S89/1000</f>
        <v>-2.15334384270386</v>
      </c>
    </row>
    <row r="90" spans="1:20" x14ac:dyDescent="0.25">
      <c r="A90" s="5">
        <v>44503</v>
      </c>
      <c r="B90">
        <v>0.26989999999999997</v>
      </c>
      <c r="C90">
        <v>0.27050000000000002</v>
      </c>
      <c r="D90">
        <v>0.2409</v>
      </c>
      <c r="E90">
        <v>0.2472</v>
      </c>
      <c r="F90">
        <v>36492218</v>
      </c>
      <c r="G90">
        <v>0.2472</v>
      </c>
      <c r="L90" t="s">
        <v>7</v>
      </c>
      <c r="M90" t="s">
        <v>7</v>
      </c>
      <c r="N90" t="s">
        <v>8</v>
      </c>
      <c r="P90">
        <f t="shared" ref="P90" si="425">IF(C90=D90,0,((E90-D90)-(C90-E90))/(C90-D90))</f>
        <v>-0.57432432432432456</v>
      </c>
      <c r="Q90">
        <f t="shared" ref="Q90" si="426">F90*P90</f>
        <v>-20958368.445945956</v>
      </c>
      <c r="R90">
        <f t="shared" ref="R90" si="427">R91+Q90</f>
        <v>-224175219.04397097</v>
      </c>
      <c r="S90">
        <f t="shared" ref="S90" si="428">R90/100000</f>
        <v>-2241.7521904397099</v>
      </c>
      <c r="T90">
        <f t="shared" ref="T90" si="429">S90/1000</f>
        <v>-2.2417521904397097</v>
      </c>
    </row>
    <row r="91" spans="1:20" x14ac:dyDescent="0.25">
      <c r="A91" s="5">
        <v>44502</v>
      </c>
      <c r="B91">
        <v>0.23719999999999999</v>
      </c>
      <c r="C91">
        <v>0.313</v>
      </c>
      <c r="D91">
        <v>0.2344</v>
      </c>
      <c r="E91">
        <v>0.26960000000000001</v>
      </c>
      <c r="F91">
        <v>98057487</v>
      </c>
      <c r="G91">
        <v>0.26960000000000001</v>
      </c>
      <c r="L91" t="s">
        <v>8</v>
      </c>
      <c r="M91" t="s">
        <v>8</v>
      </c>
      <c r="N91" t="s">
        <v>8</v>
      </c>
      <c r="P91">
        <f t="shared" ref="P91" si="430">IF(C91=D91,0,((E91-D91)-(C91-E91))/(C91-D91))</f>
        <v>-0.10432569974554688</v>
      </c>
      <c r="Q91">
        <f t="shared" ref="Q91" si="431">F91*P91</f>
        <v>-10229915.946564866</v>
      </c>
      <c r="R91">
        <f t="shared" ref="R91" si="432">R92+Q91</f>
        <v>-203216850.59802502</v>
      </c>
      <c r="S91">
        <f t="shared" ref="S91" si="433">R91/100000</f>
        <v>-2032.1685059802503</v>
      </c>
      <c r="T91">
        <f t="shared" ref="T91" si="434">S91/1000</f>
        <v>-2.0321685059802501</v>
      </c>
    </row>
    <row r="92" spans="1:20" x14ac:dyDescent="0.25">
      <c r="A92" s="5">
        <v>44501</v>
      </c>
      <c r="B92">
        <v>0.24890000000000001</v>
      </c>
      <c r="C92">
        <v>0.25269999999999998</v>
      </c>
      <c r="D92">
        <v>0.22</v>
      </c>
      <c r="E92">
        <v>0.23719999999999999</v>
      </c>
      <c r="F92">
        <v>42536727</v>
      </c>
      <c r="G92">
        <v>0.23719999999999999</v>
      </c>
      <c r="L92" t="s">
        <v>7</v>
      </c>
      <c r="M92" t="s">
        <v>7</v>
      </c>
      <c r="N92" t="s">
        <v>8</v>
      </c>
      <c r="P92">
        <f t="shared" ref="P92" si="435">IF(C92=D92,0,((E92-D92)-(C92-E92))/(C92-D92))</f>
        <v>5.1987767584098107E-2</v>
      </c>
      <c r="Q92">
        <f t="shared" ref="Q92" si="436">F92*P92</f>
        <v>2211389.4770642309</v>
      </c>
      <c r="R92">
        <f t="shared" ref="R92" si="437">R93+Q92</f>
        <v>-192986934.65146017</v>
      </c>
      <c r="S92">
        <f t="shared" ref="S92" si="438">R92/100000</f>
        <v>-1929.8693465146016</v>
      </c>
      <c r="T92">
        <f t="shared" ref="T92" si="439">S92/1000</f>
        <v>-1.9298693465146015</v>
      </c>
    </row>
    <row r="93" spans="1:20" x14ac:dyDescent="0.25">
      <c r="A93" s="5">
        <v>44500</v>
      </c>
      <c r="B93">
        <v>0.25359999999999999</v>
      </c>
      <c r="C93">
        <v>0.31</v>
      </c>
      <c r="D93">
        <v>0.22500000000000001</v>
      </c>
      <c r="E93">
        <v>0.24909999999999999</v>
      </c>
      <c r="F93">
        <v>102186904</v>
      </c>
      <c r="G93">
        <v>0.24909999999999999</v>
      </c>
      <c r="L93" t="s">
        <v>8</v>
      </c>
      <c r="M93" t="s">
        <v>8</v>
      </c>
      <c r="N93" t="s">
        <v>8</v>
      </c>
      <c r="P93">
        <f t="shared" ref="P93" si="440">IF(C93=D93,0,((E93-D93)-(C93-E93))/(C93-D93))</f>
        <v>-0.43294117647058861</v>
      </c>
      <c r="Q93">
        <f t="shared" ref="Q93" si="441">F93*P93</f>
        <v>-44240918.437647097</v>
      </c>
      <c r="R93">
        <f t="shared" ref="R93" si="442">R94+Q93</f>
        <v>-195198324.12852439</v>
      </c>
      <c r="S93">
        <f t="shared" ref="S93" si="443">R93/100000</f>
        <v>-1951.9832412852438</v>
      </c>
      <c r="T93">
        <f t="shared" ref="T93" si="444">S93/1000</f>
        <v>-1.9519832412852438</v>
      </c>
    </row>
    <row r="94" spans="1:20" x14ac:dyDescent="0.25">
      <c r="A94" s="5">
        <v>44499</v>
      </c>
      <c r="B94">
        <v>0.20780000000000001</v>
      </c>
      <c r="C94">
        <v>0.27</v>
      </c>
      <c r="D94">
        <v>0.19900000000000001</v>
      </c>
      <c r="E94">
        <v>0.2535</v>
      </c>
      <c r="F94">
        <v>117876143</v>
      </c>
      <c r="G94">
        <v>0.2535</v>
      </c>
      <c r="L94" t="s">
        <v>8</v>
      </c>
      <c r="M94" t="s">
        <v>8</v>
      </c>
      <c r="N94" t="s">
        <v>8</v>
      </c>
      <c r="P94">
        <f t="shared" ref="P94" si="445">IF(C94=D94,0,((E94-D94)-(C94-E94))/(C94-D94))</f>
        <v>0.53521126760563342</v>
      </c>
      <c r="Q94">
        <f t="shared" ref="Q94" si="446">F94*P94</f>
        <v>63088639.915492915</v>
      </c>
      <c r="R94">
        <f t="shared" ref="R94" si="447">R95+Q94</f>
        <v>-150957405.69087729</v>
      </c>
      <c r="S94">
        <f t="shared" ref="S94" si="448">R94/100000</f>
        <v>-1509.5740569087729</v>
      </c>
      <c r="T94">
        <f t="shared" ref="T94" si="449">S94/1000</f>
        <v>-1.509574056908773</v>
      </c>
    </row>
    <row r="95" spans="1:20" x14ac:dyDescent="0.25">
      <c r="A95" s="5">
        <v>44498</v>
      </c>
      <c r="B95">
        <v>0.1817</v>
      </c>
      <c r="C95">
        <v>0.21929999999999999</v>
      </c>
      <c r="D95">
        <v>0.18140000000000001</v>
      </c>
      <c r="E95">
        <v>0.2074</v>
      </c>
      <c r="F95">
        <v>58897554</v>
      </c>
      <c r="G95">
        <v>0.2074</v>
      </c>
      <c r="L95" t="s">
        <v>8</v>
      </c>
      <c r="M95" t="s">
        <v>8</v>
      </c>
      <c r="N95" t="s">
        <v>7</v>
      </c>
      <c r="P95">
        <f t="shared" ref="P95" si="450">IF(C95=D95,0,((E95-D95)-(C95-E95))/(C95-D95))</f>
        <v>0.37203166226912943</v>
      </c>
      <c r="Q95">
        <f t="shared" ref="Q95" si="451">F95*P95</f>
        <v>21911754.918205813</v>
      </c>
      <c r="R95">
        <f t="shared" ref="R95" si="452">R96+Q95</f>
        <v>-214046045.60637021</v>
      </c>
      <c r="S95">
        <f t="shared" ref="S95" si="453">R95/100000</f>
        <v>-2140.4604560637022</v>
      </c>
      <c r="T95">
        <f t="shared" ref="T95" si="454">S95/1000</f>
        <v>-2.1404604560637024</v>
      </c>
    </row>
    <row r="96" spans="1:20" x14ac:dyDescent="0.25">
      <c r="A96" s="5">
        <v>44497</v>
      </c>
      <c r="B96">
        <v>0.17169999999999999</v>
      </c>
      <c r="C96">
        <v>0.18959999999999999</v>
      </c>
      <c r="D96">
        <v>0.17130000000000001</v>
      </c>
      <c r="E96">
        <v>0.1817</v>
      </c>
      <c r="F96">
        <v>28873354</v>
      </c>
      <c r="G96">
        <v>0.1817</v>
      </c>
      <c r="L96" t="s">
        <v>8</v>
      </c>
      <c r="M96" t="s">
        <v>7</v>
      </c>
      <c r="N96" t="s">
        <v>7</v>
      </c>
      <c r="P96">
        <f t="shared" ref="P96" si="455">IF(C96=D96,0,((E96-D96)-(C96-E96))/(C96-D96))</f>
        <v>0.13661202185792373</v>
      </c>
      <c r="Q96">
        <f t="shared" ref="Q96" si="456">F96*P96</f>
        <v>3944447.2677595695</v>
      </c>
      <c r="R96">
        <f t="shared" ref="R96" si="457">R97+Q96</f>
        <v>-235957800.52457601</v>
      </c>
      <c r="S96">
        <f t="shared" ref="S96" si="458">R96/100000</f>
        <v>-2359.5780052457599</v>
      </c>
      <c r="T96">
        <f t="shared" ref="T96" si="459">S96/1000</f>
        <v>-2.3595780052457598</v>
      </c>
    </row>
    <row r="97" spans="1:20" x14ac:dyDescent="0.25">
      <c r="A97" s="5">
        <v>44496</v>
      </c>
      <c r="B97">
        <v>0.19819999999999999</v>
      </c>
      <c r="C97">
        <v>0.20300000000000001</v>
      </c>
      <c r="D97">
        <v>0.17119999999999999</v>
      </c>
      <c r="E97">
        <v>0.17219999999999999</v>
      </c>
      <c r="F97">
        <v>25062033</v>
      </c>
      <c r="G97">
        <v>0.17219999999999999</v>
      </c>
      <c r="L97" t="s">
        <v>7</v>
      </c>
      <c r="M97" t="s">
        <v>7</v>
      </c>
      <c r="N97" t="s">
        <v>7</v>
      </c>
      <c r="P97">
        <f t="shared" ref="P97" si="460">IF(C97=D97,0,((E97-D97)-(C97-E97))/(C97-D97))</f>
        <v>-0.93710691823899372</v>
      </c>
      <c r="Q97">
        <f t="shared" ref="Q97" si="461">F97*P97</f>
        <v>-23485804.509433962</v>
      </c>
      <c r="R97">
        <f t="shared" ref="R97" si="462">R98+Q97</f>
        <v>-239902247.79233557</v>
      </c>
      <c r="S97">
        <f t="shared" ref="S97" si="463">R97/100000</f>
        <v>-2399.0224779233558</v>
      </c>
      <c r="T97">
        <f t="shared" ref="T97" si="464">S97/1000</f>
        <v>-2.399022477923356</v>
      </c>
    </row>
    <row r="98" spans="1:20" x14ac:dyDescent="0.25">
      <c r="A98" s="5">
        <v>44495</v>
      </c>
      <c r="B98">
        <v>0.20100000000000001</v>
      </c>
      <c r="C98">
        <v>0.20349999999999999</v>
      </c>
      <c r="D98">
        <v>0.19689999999999999</v>
      </c>
      <c r="E98">
        <v>0.19819999999999999</v>
      </c>
      <c r="F98">
        <v>15361378</v>
      </c>
      <c r="G98">
        <v>0.19819999999999999</v>
      </c>
      <c r="L98" t="s">
        <v>8</v>
      </c>
      <c r="M98" t="s">
        <v>7</v>
      </c>
      <c r="N98" t="s">
        <v>7</v>
      </c>
      <c r="P98">
        <f t="shared" ref="P98" si="465">IF(C98=D98,0,((E98-D98)-(C98-E98))/(C98-D98))</f>
        <v>-0.60606060606060708</v>
      </c>
      <c r="Q98">
        <f t="shared" ref="Q98" si="466">F98*P98</f>
        <v>-9309926.0606060755</v>
      </c>
      <c r="R98">
        <f t="shared" ref="R98" si="467">R99+Q98</f>
        <v>-216416443.28290161</v>
      </c>
      <c r="S98">
        <f t="shared" ref="S98" si="468">R98/100000</f>
        <v>-2164.1644328290163</v>
      </c>
      <c r="T98">
        <f t="shared" ref="T98" si="469">S98/1000</f>
        <v>-2.1641644328290162</v>
      </c>
    </row>
    <row r="99" spans="1:20" x14ac:dyDescent="0.25">
      <c r="A99" s="5">
        <v>44494</v>
      </c>
      <c r="B99">
        <v>0.19550000000000001</v>
      </c>
      <c r="C99">
        <v>0.2064</v>
      </c>
      <c r="D99">
        <v>0.19350000000000001</v>
      </c>
      <c r="E99">
        <v>0.20100000000000001</v>
      </c>
      <c r="F99">
        <v>17842818</v>
      </c>
      <c r="G99">
        <v>0.20100000000000001</v>
      </c>
      <c r="L99" t="s">
        <v>8</v>
      </c>
      <c r="M99" t="s">
        <v>7</v>
      </c>
      <c r="N99" t="s">
        <v>7</v>
      </c>
      <c r="P99">
        <f t="shared" ref="P99" si="470">IF(C99=D99,0,((E99-D99)-(C99-E99))/(C99-D99))</f>
        <v>0.16279069767442012</v>
      </c>
      <c r="Q99">
        <f t="shared" ref="Q99" si="471">F99*P99</f>
        <v>2904644.7906977013</v>
      </c>
      <c r="R99">
        <f t="shared" ref="R99" si="472">R100+Q99</f>
        <v>-207106517.22229555</v>
      </c>
      <c r="S99">
        <f t="shared" ref="S99" si="473">R99/100000</f>
        <v>-2071.0651722229554</v>
      </c>
      <c r="T99">
        <f t="shared" ref="T99" si="474">S99/1000</f>
        <v>-2.0710651722229554</v>
      </c>
    </row>
    <row r="100" spans="1:20" x14ac:dyDescent="0.25">
      <c r="A100" s="5">
        <v>44493</v>
      </c>
      <c r="B100">
        <v>0.20649999999999999</v>
      </c>
      <c r="C100">
        <v>0.2069</v>
      </c>
      <c r="D100">
        <v>0.19189999999999999</v>
      </c>
      <c r="E100">
        <v>0.1956</v>
      </c>
      <c r="F100">
        <v>15532665</v>
      </c>
      <c r="G100">
        <v>0.1956</v>
      </c>
      <c r="L100" t="s">
        <v>7</v>
      </c>
      <c r="M100" t="s">
        <v>7</v>
      </c>
      <c r="N100" t="s">
        <v>7</v>
      </c>
      <c r="P100">
        <f t="shared" ref="P100" si="475">IF(C100=D100,0,((E100-D100)-(C100-E100))/(C100-D100))</f>
        <v>-0.50666666666666593</v>
      </c>
      <c r="Q100">
        <f t="shared" ref="Q100" si="476">F100*P100</f>
        <v>-7869883.5999999885</v>
      </c>
      <c r="R100">
        <f t="shared" ref="R100" si="477">R101+Q100</f>
        <v>-210011162.01299325</v>
      </c>
      <c r="S100">
        <f t="shared" ref="S100" si="478">R100/100000</f>
        <v>-2100.1116201299324</v>
      </c>
      <c r="T100">
        <f t="shared" ref="T100" si="479">S100/1000</f>
        <v>-2.1001116201299324</v>
      </c>
    </row>
    <row r="101" spans="1:20" x14ac:dyDescent="0.25">
      <c r="A101" s="5">
        <v>44492</v>
      </c>
      <c r="B101">
        <v>0.20860000000000001</v>
      </c>
      <c r="C101">
        <v>0.21260000000000001</v>
      </c>
      <c r="D101">
        <v>0.2046</v>
      </c>
      <c r="E101">
        <v>0.2064</v>
      </c>
      <c r="F101">
        <v>14080017</v>
      </c>
      <c r="G101">
        <v>0.2064</v>
      </c>
      <c r="L101" t="s">
        <v>7</v>
      </c>
      <c r="M101" t="s">
        <v>7</v>
      </c>
      <c r="N101" t="s">
        <v>7</v>
      </c>
      <c r="P101">
        <f t="shared" ref="P101" si="480">IF(C101=D101,0,((E101-D101)-(C101-E101))/(C101-D101))</f>
        <v>-0.55000000000000138</v>
      </c>
      <c r="Q101">
        <f t="shared" ref="Q101" si="481">F101*P101</f>
        <v>-7744009.3500000192</v>
      </c>
      <c r="R101">
        <f t="shared" ref="R101" si="482">R102+Q101</f>
        <v>-202141278.41299325</v>
      </c>
      <c r="S101">
        <f t="shared" ref="S101" si="483">R101/100000</f>
        <v>-2021.4127841299326</v>
      </c>
      <c r="T101">
        <f t="shared" ref="T101" si="484">S101/1000</f>
        <v>-2.0214127841299327</v>
      </c>
    </row>
    <row r="102" spans="1:20" x14ac:dyDescent="0.25">
      <c r="A102" s="5">
        <v>44491</v>
      </c>
      <c r="B102">
        <v>0.19719999999999999</v>
      </c>
      <c r="C102">
        <v>0.22140000000000001</v>
      </c>
      <c r="D102">
        <v>0.19650000000000001</v>
      </c>
      <c r="E102">
        <v>0.20830000000000001</v>
      </c>
      <c r="F102">
        <v>36861558</v>
      </c>
      <c r="G102">
        <v>0.20830000000000001</v>
      </c>
      <c r="L102" t="s">
        <v>8</v>
      </c>
      <c r="M102" t="s">
        <v>7</v>
      </c>
      <c r="N102" t="s">
        <v>7</v>
      </c>
      <c r="P102">
        <f t="shared" ref="P102" si="485">IF(C102=D102,0,((E102-D102)-(C102-E102))/(C102-D102))</f>
        <v>-5.2208835341365271E-2</v>
      </c>
      <c r="Q102">
        <f t="shared" ref="Q102" si="486">F102*P102</f>
        <v>-1924499.0120481858</v>
      </c>
      <c r="R102">
        <f t="shared" ref="R102" si="487">R103+Q102</f>
        <v>-194397269.06299323</v>
      </c>
      <c r="S102">
        <f t="shared" ref="S102" si="488">R102/100000</f>
        <v>-1943.9726906299322</v>
      </c>
      <c r="T102">
        <f t="shared" ref="T102" si="489">S102/1000</f>
        <v>-1.9439726906299322</v>
      </c>
    </row>
    <row r="103" spans="1:20" x14ac:dyDescent="0.25">
      <c r="A103" s="5">
        <v>44490</v>
      </c>
      <c r="B103">
        <v>0.20899999999999999</v>
      </c>
      <c r="C103">
        <v>0.218</v>
      </c>
      <c r="D103">
        <v>0.19500000000000001</v>
      </c>
      <c r="E103">
        <v>0.1976</v>
      </c>
      <c r="F103">
        <v>26836250</v>
      </c>
      <c r="G103">
        <v>0.1976</v>
      </c>
      <c r="L103" t="s">
        <v>7</v>
      </c>
      <c r="M103" t="s">
        <v>7</v>
      </c>
      <c r="N103" t="s">
        <v>7</v>
      </c>
      <c r="P103">
        <f t="shared" ref="P103" si="490">IF(C103=D103,0,((E103-D103)-(C103-E103))/(C103-D103))</f>
        <v>-0.77391304347826151</v>
      </c>
      <c r="Q103">
        <f t="shared" ref="Q103" si="491">F103*P103</f>
        <v>-20768923.913043495</v>
      </c>
      <c r="R103">
        <f t="shared" ref="R103" si="492">R104+Q103</f>
        <v>-192472770.05094504</v>
      </c>
      <c r="S103">
        <f t="shared" ref="S103" si="493">R103/100000</f>
        <v>-1924.7277005094504</v>
      </c>
      <c r="T103">
        <f t="shared" ref="T103" si="494">S103/1000</f>
        <v>-1.9247277005094505</v>
      </c>
    </row>
    <row r="104" spans="1:20" x14ac:dyDescent="0.25">
      <c r="A104" s="5">
        <v>44489</v>
      </c>
      <c r="B104">
        <v>0.2147</v>
      </c>
      <c r="C104">
        <v>0.22370000000000001</v>
      </c>
      <c r="D104">
        <v>0.2034</v>
      </c>
      <c r="E104">
        <v>0.20899999999999999</v>
      </c>
      <c r="F104">
        <v>46681429</v>
      </c>
      <c r="G104">
        <v>0.20899999999999999</v>
      </c>
      <c r="L104" t="s">
        <v>7</v>
      </c>
      <c r="M104" t="s">
        <v>8</v>
      </c>
      <c r="N104" t="s">
        <v>7</v>
      </c>
      <c r="P104">
        <f t="shared" ref="P104" si="495">IF(C104=D104,0,((E104-D104)-(C104-E104))/(C104-D104))</f>
        <v>-0.44827586206896647</v>
      </c>
      <c r="Q104">
        <f t="shared" ref="Q104" si="496">F104*P104</f>
        <v>-20926157.827586252</v>
      </c>
      <c r="R104">
        <f t="shared" ref="R104" si="497">R105+Q104</f>
        <v>-171703846.13790154</v>
      </c>
      <c r="S104">
        <f t="shared" ref="S104" si="498">R104/100000</f>
        <v>-1717.0384613790154</v>
      </c>
      <c r="T104">
        <f t="shared" ref="T104" si="499">S104/1000</f>
        <v>-1.7170384613790155</v>
      </c>
    </row>
    <row r="105" spans="1:20" x14ac:dyDescent="0.25">
      <c r="A105" s="5">
        <v>44488</v>
      </c>
      <c r="B105">
        <v>0.19700000000000001</v>
      </c>
      <c r="C105">
        <v>0.23899999999999999</v>
      </c>
      <c r="D105">
        <v>0.19</v>
      </c>
      <c r="E105">
        <v>0.21379999999999999</v>
      </c>
      <c r="F105">
        <v>103128322</v>
      </c>
      <c r="G105">
        <v>0.21379999999999999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-2.8571428571428831E-2</v>
      </c>
      <c r="Q105">
        <f t="shared" ref="Q105" si="501">F105*P105</f>
        <v>-2946523.4857143126</v>
      </c>
      <c r="R105">
        <f t="shared" ref="R105" si="502">R106+Q105</f>
        <v>-150777688.31031528</v>
      </c>
      <c r="S105">
        <f t="shared" ref="S105" si="503">R105/100000</f>
        <v>-1507.7768831031528</v>
      </c>
      <c r="T105">
        <f t="shared" ref="T105" si="504">S105/1000</f>
        <v>-1.5077768831031528</v>
      </c>
    </row>
    <row r="106" spans="1:20" x14ac:dyDescent="0.25">
      <c r="A106" s="5">
        <v>44487</v>
      </c>
      <c r="B106">
        <v>0.19040000000000001</v>
      </c>
      <c r="C106">
        <v>0.215</v>
      </c>
      <c r="D106">
        <v>0.188</v>
      </c>
      <c r="E106">
        <v>0.19700000000000001</v>
      </c>
      <c r="F106">
        <v>49196647</v>
      </c>
      <c r="G106">
        <v>0.19700000000000001</v>
      </c>
      <c r="L106" t="s">
        <v>8</v>
      </c>
      <c r="M106" t="s">
        <v>7</v>
      </c>
      <c r="N106" t="s">
        <v>7</v>
      </c>
      <c r="P106">
        <f t="shared" ref="P106" si="505">IF(C106=D106,0,((E106-D106)-(C106-E106))/(C106-D106))</f>
        <v>-0.33333333333333265</v>
      </c>
      <c r="Q106">
        <f t="shared" ref="Q106" si="506">F106*P106</f>
        <v>-16398882.3333333</v>
      </c>
      <c r="R106">
        <f t="shared" ref="R106" si="507">R107+Q106</f>
        <v>-147831164.82460096</v>
      </c>
      <c r="S106">
        <f t="shared" ref="S106" si="508">R106/100000</f>
        <v>-1478.3116482460096</v>
      </c>
      <c r="T106">
        <f t="shared" ref="T106" si="509">S106/1000</f>
        <v>-1.4783116482460095</v>
      </c>
    </row>
    <row r="107" spans="1:20" x14ac:dyDescent="0.25">
      <c r="A107" s="5">
        <v>44486</v>
      </c>
      <c r="B107">
        <v>0.19359999999999999</v>
      </c>
      <c r="C107">
        <v>0.20300000000000001</v>
      </c>
      <c r="D107">
        <v>0.18410000000000001</v>
      </c>
      <c r="E107">
        <v>0.1898</v>
      </c>
      <c r="F107">
        <v>33769337</v>
      </c>
      <c r="G107">
        <v>0.1898</v>
      </c>
      <c r="L107" t="s">
        <v>7</v>
      </c>
      <c r="M107" t="s">
        <v>7</v>
      </c>
      <c r="N107" t="s">
        <v>7</v>
      </c>
      <c r="P107">
        <f t="shared" ref="P107" si="510">IF(C107=D107,0,((E107-D107)-(C107-E107))/(C107-D107))</f>
        <v>-0.39682539682539864</v>
      </c>
      <c r="Q107">
        <f t="shared" ref="Q107" si="511">F107*P107</f>
        <v>-13400530.555555617</v>
      </c>
      <c r="R107">
        <f t="shared" ref="R107" si="512">R108+Q107</f>
        <v>-131432282.49126765</v>
      </c>
      <c r="S107">
        <f t="shared" ref="S107" si="513">R107/100000</f>
        <v>-1314.3228249126764</v>
      </c>
      <c r="T107">
        <f t="shared" ref="T107" si="514">S107/1000</f>
        <v>-1.3143228249126764</v>
      </c>
    </row>
    <row r="108" spans="1:20" x14ac:dyDescent="0.25">
      <c r="A108" s="5">
        <v>44485</v>
      </c>
      <c r="B108">
        <v>0.19620000000000001</v>
      </c>
      <c r="C108">
        <v>0.20219999999999999</v>
      </c>
      <c r="D108">
        <v>0.18959999999999999</v>
      </c>
      <c r="E108">
        <v>0.19359999999999999</v>
      </c>
      <c r="F108">
        <v>26944523</v>
      </c>
      <c r="G108">
        <v>0.19359999999999999</v>
      </c>
      <c r="L108" t="s">
        <v>7</v>
      </c>
      <c r="M108" t="s">
        <v>7</v>
      </c>
      <c r="N108" t="s">
        <v>7</v>
      </c>
      <c r="P108">
        <f t="shared" ref="P108" si="515">IF(C108=D108,0,((E108-D108)-(C108-E108))/(C108-D108))</f>
        <v>-0.3650793650793645</v>
      </c>
      <c r="Q108">
        <f t="shared" ref="Q108" si="516">F108*P108</f>
        <v>-9836889.349206334</v>
      </c>
      <c r="R108">
        <f t="shared" ref="R108" si="517">R109+Q108</f>
        <v>-118031751.93571204</v>
      </c>
      <c r="S108">
        <f t="shared" ref="S108" si="518">R108/100000</f>
        <v>-1180.3175193571203</v>
      </c>
      <c r="T108">
        <f t="shared" ref="T108" si="519">S108/1000</f>
        <v>-1.1803175193571203</v>
      </c>
    </row>
    <row r="109" spans="1:20" x14ac:dyDescent="0.25">
      <c r="A109" s="5">
        <v>44484</v>
      </c>
      <c r="B109">
        <v>0.19359999999999999</v>
      </c>
      <c r="C109">
        <v>0.2293</v>
      </c>
      <c r="D109">
        <v>0.1895</v>
      </c>
      <c r="E109">
        <v>0.19620000000000001</v>
      </c>
      <c r="F109">
        <v>47785789</v>
      </c>
      <c r="G109">
        <v>0.19620000000000001</v>
      </c>
      <c r="L109" t="s">
        <v>8</v>
      </c>
      <c r="M109" t="s">
        <v>8</v>
      </c>
      <c r="N109" t="s">
        <v>7</v>
      </c>
      <c r="P109">
        <f t="shared" ref="P109" si="520">IF(C109=D109,0,((E109-D109)-(C109-E109))/(C109-D109))</f>
        <v>-0.66331658291457229</v>
      </c>
      <c r="Q109">
        <f t="shared" ref="Q109" si="521">F109*P109</f>
        <v>-31697106.271356758</v>
      </c>
      <c r="R109">
        <f t="shared" ref="R109" si="522">R110+Q109</f>
        <v>-108194862.58650571</v>
      </c>
      <c r="S109">
        <f t="shared" ref="S109" si="523">R109/100000</f>
        <v>-1081.948625865057</v>
      </c>
      <c r="T109">
        <f t="shared" ref="T109" si="524">S109/1000</f>
        <v>-1.081948625865057</v>
      </c>
    </row>
    <row r="110" spans="1:20" x14ac:dyDescent="0.25">
      <c r="A110" s="5">
        <v>44483</v>
      </c>
      <c r="B110">
        <v>0.19</v>
      </c>
      <c r="C110">
        <v>0.20200000000000001</v>
      </c>
      <c r="D110">
        <v>0.1875</v>
      </c>
      <c r="E110">
        <v>0.19359999999999999</v>
      </c>
      <c r="F110">
        <v>15188881</v>
      </c>
      <c r="G110">
        <v>0.19359999999999999</v>
      </c>
      <c r="L110" t="s">
        <v>8</v>
      </c>
      <c r="M110" t="s">
        <v>7</v>
      </c>
      <c r="N110" t="s">
        <v>7</v>
      </c>
      <c r="P110">
        <f t="shared" ref="P110" si="525">IF(C110=D110,0,((E110-D110)-(C110-E110))/(C110-D110))</f>
        <v>-0.15862068965517395</v>
      </c>
      <c r="Q110">
        <f t="shared" ref="Q110" si="526">F110*P110</f>
        <v>-2409270.779310368</v>
      </c>
      <c r="R110">
        <f t="shared" ref="R110" si="527">R111+Q110</f>
        <v>-76497756.31514895</v>
      </c>
      <c r="S110">
        <f t="shared" ref="S110" si="528">R110/100000</f>
        <v>-764.97756315148945</v>
      </c>
      <c r="T110">
        <f t="shared" ref="T110" si="529">S110/1000</f>
        <v>-0.76497756315148946</v>
      </c>
    </row>
    <row r="111" spans="1:20" x14ac:dyDescent="0.25">
      <c r="A111" s="5">
        <v>44482</v>
      </c>
      <c r="B111">
        <v>0.19189999999999999</v>
      </c>
      <c r="C111">
        <v>0.1946</v>
      </c>
      <c r="D111">
        <v>0.18129999999999999</v>
      </c>
      <c r="E111">
        <v>0.18959999999999999</v>
      </c>
      <c r="F111">
        <v>11508353</v>
      </c>
      <c r="G111">
        <v>0.18959999999999999</v>
      </c>
      <c r="L111" t="s">
        <v>8</v>
      </c>
      <c r="M111" t="s">
        <v>7</v>
      </c>
      <c r="N111" t="s">
        <v>7</v>
      </c>
      <c r="P111">
        <f t="shared" ref="P111" si="530">IF(C111=D111,0,((E111-D111)-(C111-E111))/(C111-D111))</f>
        <v>0.24812030075187938</v>
      </c>
      <c r="Q111">
        <f t="shared" ref="Q111" si="531">F111*P111</f>
        <v>2855456.0075187935</v>
      </c>
      <c r="R111">
        <f t="shared" ref="R111" si="532">R112+Q111</f>
        <v>-74088485.535838574</v>
      </c>
      <c r="S111">
        <f t="shared" ref="S111" si="533">R111/100000</f>
        <v>-740.88485535838572</v>
      </c>
      <c r="T111">
        <f t="shared" ref="T111" si="534">S111/1000</f>
        <v>-0.74088485535838577</v>
      </c>
    </row>
    <row r="112" spans="1:20" x14ac:dyDescent="0.25">
      <c r="A112" s="5">
        <v>44481</v>
      </c>
      <c r="B112">
        <v>0.19040000000000001</v>
      </c>
      <c r="C112">
        <v>0.20069999999999999</v>
      </c>
      <c r="D112">
        <v>0.17730000000000001</v>
      </c>
      <c r="E112">
        <v>0.191</v>
      </c>
      <c r="F112">
        <v>18368071</v>
      </c>
      <c r="G112">
        <v>0.191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0.17094017094017128</v>
      </c>
      <c r="Q112">
        <f t="shared" ref="Q112" si="536">F112*P112</f>
        <v>3139841.1965812026</v>
      </c>
      <c r="R112">
        <f t="shared" ref="R112" si="537">R113+Q112</f>
        <v>-76943941.543357372</v>
      </c>
      <c r="S112">
        <f t="shared" ref="S112" si="538">R112/100000</f>
        <v>-769.43941543357369</v>
      </c>
      <c r="T112">
        <f t="shared" ref="T112" si="539">S112/1000</f>
        <v>-0.76943941543357364</v>
      </c>
    </row>
    <row r="113" spans="1:20" x14ac:dyDescent="0.25">
      <c r="A113" s="5">
        <v>44480</v>
      </c>
      <c r="B113">
        <v>0.1951</v>
      </c>
      <c r="C113">
        <v>0.2029</v>
      </c>
      <c r="D113">
        <v>0.1862</v>
      </c>
      <c r="E113">
        <v>0.19040000000000001</v>
      </c>
      <c r="F113">
        <v>9379785</v>
      </c>
      <c r="G113">
        <v>0.19040000000000001</v>
      </c>
      <c r="L113" t="s">
        <v>7</v>
      </c>
      <c r="M113" t="s">
        <v>7</v>
      </c>
      <c r="N113" t="s">
        <v>8</v>
      </c>
      <c r="P113">
        <f t="shared" ref="P113" si="540">IF(C113=D113,0,((E113-D113)-(C113-E113))/(C113-D113))</f>
        <v>-0.49700598802395074</v>
      </c>
      <c r="Q113">
        <f t="shared" ref="Q113" si="541">F113*P113</f>
        <v>-4661809.3113772329</v>
      </c>
      <c r="R113">
        <f t="shared" ref="R113" si="542">R114+Q113</f>
        <v>-80083782.739938572</v>
      </c>
      <c r="S113">
        <f t="shared" ref="S113" si="543">R113/100000</f>
        <v>-800.83782739938567</v>
      </c>
      <c r="T113">
        <f t="shared" ref="T113" si="544">S113/1000</f>
        <v>-0.80083782739938569</v>
      </c>
    </row>
    <row r="114" spans="1:20" x14ac:dyDescent="0.25">
      <c r="A114" s="5">
        <v>44479</v>
      </c>
      <c r="B114">
        <v>0.21110000000000001</v>
      </c>
      <c r="C114">
        <v>0.21790000000000001</v>
      </c>
      <c r="D114">
        <v>0.19289999999999999</v>
      </c>
      <c r="E114">
        <v>0.1951</v>
      </c>
      <c r="F114">
        <v>13899636</v>
      </c>
      <c r="G114">
        <v>0.1951</v>
      </c>
      <c r="L114" t="s">
        <v>7</v>
      </c>
      <c r="M114" t="s">
        <v>7</v>
      </c>
      <c r="N114" t="s">
        <v>8</v>
      </c>
      <c r="P114">
        <f t="shared" ref="P114" si="545">IF(C114=D114,0,((E114-D114)-(C114-E114))/(C114-D114))</f>
        <v>-0.82399999999999951</v>
      </c>
      <c r="Q114">
        <f t="shared" ref="Q114" si="546">F114*P114</f>
        <v>-11453300.063999994</v>
      </c>
      <c r="R114">
        <f t="shared" ref="R114" si="547">R115+Q114</f>
        <v>-75421973.428561345</v>
      </c>
      <c r="S114">
        <f t="shared" ref="S114" si="548">R114/100000</f>
        <v>-754.21973428561341</v>
      </c>
      <c r="T114">
        <f t="shared" ref="T114" si="549">S114/1000</f>
        <v>-0.7542197342856134</v>
      </c>
    </row>
    <row r="115" spans="1:20" x14ac:dyDescent="0.25">
      <c r="A115" s="5">
        <v>44478</v>
      </c>
      <c r="B115">
        <v>0.20369999999999999</v>
      </c>
      <c r="C115">
        <v>0.21879999999999999</v>
      </c>
      <c r="D115">
        <v>0.2009</v>
      </c>
      <c r="E115">
        <v>0.21049999999999999</v>
      </c>
      <c r="F115">
        <v>20920089</v>
      </c>
      <c r="G115">
        <v>0.21049999999999999</v>
      </c>
      <c r="L115" t="s">
        <v>7</v>
      </c>
      <c r="M115" t="s">
        <v>7</v>
      </c>
      <c r="N115" t="s">
        <v>8</v>
      </c>
      <c r="P115">
        <f t="shared" ref="P115" si="550">IF(C115=D115,0,((E115-D115)-(C115-E115))/(C115-D115))</f>
        <v>7.2625698324022103E-2</v>
      </c>
      <c r="Q115">
        <f t="shared" ref="Q115" si="551">F115*P115</f>
        <v>1519336.0726256932</v>
      </c>
      <c r="R115">
        <f t="shared" ref="R115" si="552">R116+Q115</f>
        <v>-63968673.364561357</v>
      </c>
      <c r="S115">
        <f t="shared" ref="S115" si="553">R115/100000</f>
        <v>-639.68673364561357</v>
      </c>
      <c r="T115">
        <f t="shared" ref="T115" si="554">S115/1000</f>
        <v>-0.63968673364561357</v>
      </c>
    </row>
    <row r="116" spans="1:20" x14ac:dyDescent="0.25">
      <c r="A116" s="5">
        <v>44477</v>
      </c>
      <c r="B116">
        <v>0.21460000000000001</v>
      </c>
      <c r="C116">
        <v>0.21479999999999999</v>
      </c>
      <c r="D116">
        <v>0.20250000000000001</v>
      </c>
      <c r="E116">
        <v>0.20349999999999999</v>
      </c>
      <c r="F116">
        <v>12922919</v>
      </c>
      <c r="G116">
        <v>0.20349999999999999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-0.83739837398374395</v>
      </c>
      <c r="Q116">
        <f t="shared" ref="Q116" si="556">F116*P116</f>
        <v>-10821631.357723631</v>
      </c>
      <c r="R116">
        <f t="shared" ref="R116" si="557">R117+Q116</f>
        <v>-65488009.437187053</v>
      </c>
      <c r="S116">
        <f t="shared" ref="S116" si="558">R116/100000</f>
        <v>-654.88009437187054</v>
      </c>
      <c r="T116">
        <f t="shared" ref="T116" si="559">S116/1000</f>
        <v>-0.65488009437187056</v>
      </c>
    </row>
    <row r="117" spans="1:20" x14ac:dyDescent="0.25">
      <c r="A117" s="5">
        <v>44476</v>
      </c>
      <c r="B117">
        <v>0.20230000000000001</v>
      </c>
      <c r="C117">
        <v>0.218</v>
      </c>
      <c r="D117">
        <v>0.19900000000000001</v>
      </c>
      <c r="E117">
        <v>0.21460000000000001</v>
      </c>
      <c r="F117">
        <v>18706390</v>
      </c>
      <c r="G117">
        <v>0.21460000000000001</v>
      </c>
      <c r="L117" t="s">
        <v>8</v>
      </c>
      <c r="M117" t="s">
        <v>7</v>
      </c>
      <c r="N117" t="s">
        <v>8</v>
      </c>
      <c r="P117">
        <f t="shared" ref="P117" si="560">IF(C117=D117,0,((E117-D117)-(C117-E117))/(C117-D117))</f>
        <v>0.64210526315789596</v>
      </c>
      <c r="Q117">
        <f t="shared" ref="Q117" si="561">F117*P117</f>
        <v>12011471.473684233</v>
      </c>
      <c r="R117">
        <f t="shared" ref="R117" si="562">R118+Q117</f>
        <v>-54666378.079463422</v>
      </c>
      <c r="S117">
        <f t="shared" ref="S117" si="563">R117/100000</f>
        <v>-546.66378079463425</v>
      </c>
      <c r="T117">
        <f t="shared" ref="T117" si="564">S117/1000</f>
        <v>-0.54666378079463429</v>
      </c>
    </row>
    <row r="118" spans="1:20" x14ac:dyDescent="0.25">
      <c r="A118" s="5">
        <v>44475</v>
      </c>
      <c r="B118">
        <v>0.21379999999999999</v>
      </c>
      <c r="C118">
        <v>0.21390000000000001</v>
      </c>
      <c r="D118">
        <v>0.1986</v>
      </c>
      <c r="E118">
        <v>0.20180000000000001</v>
      </c>
      <c r="F118">
        <v>18578419</v>
      </c>
      <c r="G118">
        <v>0.20180000000000001</v>
      </c>
      <c r="L118" t="s">
        <v>7</v>
      </c>
      <c r="M118" t="s">
        <v>7</v>
      </c>
      <c r="N118" t="s">
        <v>8</v>
      </c>
      <c r="P118">
        <f t="shared" ref="P118" si="565">IF(C118=D118,0,((E118-D118)-(C118-E118))/(C118-D118))</f>
        <v>-0.58169934640522791</v>
      </c>
      <c r="Q118">
        <f t="shared" ref="Q118" si="566">F118*P118</f>
        <v>-10807054.189542469</v>
      </c>
      <c r="R118">
        <f t="shared" ref="R118" si="567">R119+Q118</f>
        <v>-66677849.553147659</v>
      </c>
      <c r="S118">
        <f t="shared" ref="S118" si="568">R118/100000</f>
        <v>-666.77849553147655</v>
      </c>
      <c r="T118">
        <f t="shared" ref="T118" si="569">S118/1000</f>
        <v>-0.6667784955314765</v>
      </c>
    </row>
    <row r="119" spans="1:20" x14ac:dyDescent="0.25">
      <c r="A119" s="5">
        <v>44474</v>
      </c>
      <c r="B119">
        <v>0.21440000000000001</v>
      </c>
      <c r="C119">
        <v>0.24829999999999999</v>
      </c>
      <c r="D119">
        <v>0.20530000000000001</v>
      </c>
      <c r="E119">
        <v>0.21379999999999999</v>
      </c>
      <c r="F119">
        <v>39826355</v>
      </c>
      <c r="G119">
        <v>0.21379999999999999</v>
      </c>
      <c r="L119" t="s">
        <v>8</v>
      </c>
      <c r="M119" t="s">
        <v>8</v>
      </c>
      <c r="N119" t="s">
        <v>8</v>
      </c>
      <c r="P119">
        <f t="shared" ref="P119" si="570">IF(C119=D119,0,((E119-D119)-(C119-E119))/(C119-D119))</f>
        <v>-0.60465116279069842</v>
      </c>
      <c r="Q119">
        <f t="shared" ref="Q119" si="571">F119*P119</f>
        <v>-24081051.860465147</v>
      </c>
      <c r="R119">
        <f t="shared" ref="R119" si="572">R120+Q119</f>
        <v>-55870795.363605186</v>
      </c>
      <c r="S119">
        <f t="shared" ref="S119" si="573">R119/100000</f>
        <v>-558.70795363605191</v>
      </c>
      <c r="T119">
        <f t="shared" ref="T119" si="574">S119/1000</f>
        <v>-0.55870795363605186</v>
      </c>
    </row>
    <row r="120" spans="1:20" x14ac:dyDescent="0.25">
      <c r="A120" s="5">
        <v>44473</v>
      </c>
      <c r="B120">
        <v>0.2031</v>
      </c>
      <c r="C120">
        <v>0.218</v>
      </c>
      <c r="D120">
        <v>0.1963</v>
      </c>
      <c r="E120">
        <v>0.21490000000000001</v>
      </c>
      <c r="F120">
        <v>31654010</v>
      </c>
      <c r="G120">
        <v>0.21490000000000001</v>
      </c>
      <c r="L120" t="s">
        <v>8</v>
      </c>
      <c r="M120" t="s">
        <v>8</v>
      </c>
      <c r="N120" t="s">
        <v>7</v>
      </c>
      <c r="P120">
        <f t="shared" ref="P120" si="575">IF(C120=D120,0,((E120-D120)-(C120-E120))/(C120-D120))</f>
        <v>0.71428571428571497</v>
      </c>
      <c r="Q120">
        <f t="shared" ref="Q120" si="576">F120*P120</f>
        <v>22610007.142857164</v>
      </c>
      <c r="R120">
        <f t="shared" ref="R120" si="577">R121+Q120</f>
        <v>-31789743.50314004</v>
      </c>
      <c r="S120">
        <f t="shared" ref="S120" si="578">R120/100000</f>
        <v>-317.89743503140039</v>
      </c>
      <c r="T120">
        <f t="shared" ref="T120" si="579">S120/1000</f>
        <v>-0.31789743503140039</v>
      </c>
    </row>
    <row r="121" spans="1:20" x14ac:dyDescent="0.25">
      <c r="A121" s="5">
        <v>44472</v>
      </c>
      <c r="B121">
        <v>0.20219999999999999</v>
      </c>
      <c r="C121">
        <v>0.20860000000000001</v>
      </c>
      <c r="D121">
        <v>0.19650000000000001</v>
      </c>
      <c r="E121">
        <v>0.20219999999999999</v>
      </c>
      <c r="F121">
        <v>13831675</v>
      </c>
      <c r="G121">
        <v>0.20219999999999999</v>
      </c>
      <c r="L121" t="s">
        <v>7</v>
      </c>
      <c r="M121" t="s">
        <v>8</v>
      </c>
      <c r="N121" t="s">
        <v>7</v>
      </c>
      <c r="P121">
        <f t="shared" ref="P121" si="580">IF(C121=D121,0,((E121-D121)-(C121-E121))/(C121-D121))</f>
        <v>-5.7851239669424293E-2</v>
      </c>
      <c r="Q121">
        <f t="shared" ref="Q121" si="581">F121*P121</f>
        <v>-800179.54545458429</v>
      </c>
      <c r="R121">
        <f t="shared" ref="R121" si="582">R122+Q121</f>
        <v>-54399750.645997204</v>
      </c>
      <c r="S121">
        <f t="shared" ref="S121" si="583">R121/100000</f>
        <v>-543.99750645997199</v>
      </c>
      <c r="T121">
        <f t="shared" ref="T121" si="584">S121/1000</f>
        <v>-0.54399750645997202</v>
      </c>
    </row>
    <row r="122" spans="1:20" x14ac:dyDescent="0.25">
      <c r="A122" s="5">
        <v>44471</v>
      </c>
      <c r="B122">
        <v>0.20910000000000001</v>
      </c>
      <c r="C122">
        <v>0.22</v>
      </c>
      <c r="D122">
        <v>0.19520000000000001</v>
      </c>
      <c r="E122">
        <v>0.20230000000000001</v>
      </c>
      <c r="F122">
        <v>25623270</v>
      </c>
      <c r="G122">
        <v>0.20230000000000001</v>
      </c>
      <c r="L122" t="s">
        <v>8</v>
      </c>
      <c r="M122" t="s">
        <v>8</v>
      </c>
      <c r="N122" t="s">
        <v>7</v>
      </c>
      <c r="P122">
        <f t="shared" ref="P122" si="585">IF(C122=D122,0,((E122-D122)-(C122-E122))/(C122-D122))</f>
        <v>-0.4274193548387098</v>
      </c>
      <c r="Q122">
        <f t="shared" ref="Q122" si="586">F122*P122</f>
        <v>-10951881.532258067</v>
      </c>
      <c r="R122">
        <f t="shared" ref="R122" si="587">R123+Q122</f>
        <v>-53599571.10054262</v>
      </c>
      <c r="S122">
        <f t="shared" ref="S122" si="588">R122/100000</f>
        <v>-535.99571100542619</v>
      </c>
      <c r="T122">
        <f t="shared" ref="T122" si="589">S122/1000</f>
        <v>-0.5359957110054262</v>
      </c>
    </row>
    <row r="123" spans="1:20" x14ac:dyDescent="0.25">
      <c r="A123" s="5">
        <v>44470</v>
      </c>
      <c r="B123">
        <v>0.18129999999999999</v>
      </c>
      <c r="C123">
        <v>0.21</v>
      </c>
      <c r="D123">
        <v>0.17899999999999999</v>
      </c>
      <c r="E123">
        <v>0.20910000000000001</v>
      </c>
      <c r="F123">
        <v>43873273</v>
      </c>
      <c r="G123">
        <v>0.20910000000000001</v>
      </c>
      <c r="L123" t="s">
        <v>8</v>
      </c>
      <c r="M123" t="s">
        <v>8</v>
      </c>
      <c r="N123" t="s">
        <v>7</v>
      </c>
      <c r="P123">
        <f t="shared" ref="P123" si="590">IF(C123=D123,0,((E123-D123)-(C123-E123))/(C123-D123))</f>
        <v>0.94193548387096881</v>
      </c>
      <c r="Q123">
        <f t="shared" ref="Q123" si="591">F123*P123</f>
        <v>41325792.63225811</v>
      </c>
      <c r="R123">
        <f t="shared" ref="R123" si="592">R124+Q123</f>
        <v>-42647689.568284549</v>
      </c>
      <c r="S123">
        <f t="shared" ref="S123" si="593">R123/100000</f>
        <v>-426.47689568284551</v>
      </c>
      <c r="T123">
        <f t="shared" ref="T123" si="594">S123/1000</f>
        <v>-0.42647689568284552</v>
      </c>
    </row>
    <row r="124" spans="1:20" x14ac:dyDescent="0.25">
      <c r="A124" s="5">
        <v>44469</v>
      </c>
      <c r="B124">
        <v>0.1701</v>
      </c>
      <c r="C124">
        <v>0.1842</v>
      </c>
      <c r="D124">
        <v>0.1699</v>
      </c>
      <c r="E124">
        <v>0.18110000000000001</v>
      </c>
      <c r="F124">
        <v>14815493</v>
      </c>
      <c r="G124">
        <v>0.18110000000000001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0.56643356643356779</v>
      </c>
      <c r="Q124">
        <f t="shared" ref="Q124" si="596">F124*P124</f>
        <v>8391992.5384615585</v>
      </c>
      <c r="R124">
        <f t="shared" ref="R124" si="597">R125+Q124</f>
        <v>-83973482.200542659</v>
      </c>
      <c r="S124">
        <f t="shared" ref="S124" si="598">R124/100000</f>
        <v>-839.73482200542662</v>
      </c>
      <c r="T124">
        <f t="shared" ref="T124" si="599">S124/1000</f>
        <v>-0.8397348220054266</v>
      </c>
    </row>
    <row r="125" spans="1:20" x14ac:dyDescent="0.25">
      <c r="A125" s="5">
        <v>44468</v>
      </c>
      <c r="B125">
        <v>0.1656</v>
      </c>
      <c r="C125">
        <v>0.1817</v>
      </c>
      <c r="D125">
        <v>0.1651</v>
      </c>
      <c r="E125">
        <v>0.17</v>
      </c>
      <c r="F125">
        <v>8217075</v>
      </c>
      <c r="G125">
        <v>0.17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-0.40963855421686574</v>
      </c>
      <c r="Q125">
        <f t="shared" ref="Q125" si="601">F125*P125</f>
        <v>-3366030.7228915519</v>
      </c>
      <c r="R125">
        <f t="shared" ref="R125" si="602">R126+Q125</f>
        <v>-92365474.739004225</v>
      </c>
      <c r="S125">
        <f t="shared" ref="S125" si="603">R125/100000</f>
        <v>-923.65474739004219</v>
      </c>
      <c r="T125">
        <f t="shared" ref="T125" si="604">S125/1000</f>
        <v>-0.92365474739004216</v>
      </c>
    </row>
    <row r="126" spans="1:20" x14ac:dyDescent="0.25">
      <c r="A126" s="5">
        <v>44467</v>
      </c>
      <c r="B126">
        <v>0.1754</v>
      </c>
      <c r="C126">
        <v>0.1812</v>
      </c>
      <c r="D126">
        <v>0.1648</v>
      </c>
      <c r="E126">
        <v>0.16589999999999999</v>
      </c>
      <c r="F126">
        <v>11328210</v>
      </c>
      <c r="G126">
        <v>0.16589999999999999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-0.86585365853658658</v>
      </c>
      <c r="Q126">
        <f t="shared" ref="Q126" si="606">F126*P126</f>
        <v>-9808572.0731707457</v>
      </c>
      <c r="R126">
        <f t="shared" ref="R126" si="607">R127+Q126</f>
        <v>-88999444.01611267</v>
      </c>
      <c r="S126">
        <f t="shared" ref="S126" si="608">R126/100000</f>
        <v>-889.9944401611267</v>
      </c>
      <c r="T126">
        <f t="shared" ref="T126" si="609">S126/1000</f>
        <v>-0.88999444016112672</v>
      </c>
    </row>
    <row r="127" spans="1:20" x14ac:dyDescent="0.25">
      <c r="A127" s="5">
        <v>44466</v>
      </c>
      <c r="B127">
        <v>0.18490000000000001</v>
      </c>
      <c r="C127">
        <v>0.19439999999999999</v>
      </c>
      <c r="D127">
        <v>0.17169999999999999</v>
      </c>
      <c r="E127">
        <v>0.1754</v>
      </c>
      <c r="F127">
        <v>14047298</v>
      </c>
      <c r="G127">
        <v>0.1754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-0.67400881057268647</v>
      </c>
      <c r="Q127">
        <f t="shared" ref="Q127" si="611">F127*P127</f>
        <v>-9468002.6167400777</v>
      </c>
      <c r="R127">
        <f t="shared" ref="R127" si="612">R128+Q127</f>
        <v>-79190871.942941919</v>
      </c>
      <c r="S127">
        <f t="shared" ref="S127" si="613">R127/100000</f>
        <v>-791.90871942941919</v>
      </c>
      <c r="T127">
        <f t="shared" ref="T127" si="614">S127/1000</f>
        <v>-0.79190871942941921</v>
      </c>
    </row>
    <row r="128" spans="1:20" x14ac:dyDescent="0.25">
      <c r="A128" s="5">
        <v>44465</v>
      </c>
      <c r="B128">
        <v>0.18459999999999999</v>
      </c>
      <c r="C128">
        <v>0.19689999999999999</v>
      </c>
      <c r="D128">
        <v>0.16769999999999999</v>
      </c>
      <c r="E128">
        <v>0.18479999999999999</v>
      </c>
      <c r="F128">
        <v>20760814</v>
      </c>
      <c r="G128">
        <v>0.18479999999999999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0.1712328767123289</v>
      </c>
      <c r="Q128">
        <f t="shared" ref="Q128" si="616">F128*P128</f>
        <v>3554933.9041095916</v>
      </c>
      <c r="R128">
        <f t="shared" ref="R128" si="617">R129+Q128</f>
        <v>-69722869.326201841</v>
      </c>
      <c r="S128">
        <f t="shared" ref="S128" si="618">R128/100000</f>
        <v>-697.2286932620184</v>
      </c>
      <c r="T128">
        <f t="shared" ref="T128" si="619">S128/1000</f>
        <v>-0.69722869326201842</v>
      </c>
    </row>
    <row r="129" spans="1:20" x14ac:dyDescent="0.25">
      <c r="A129" s="5">
        <v>44464</v>
      </c>
      <c r="B129">
        <v>0.1925</v>
      </c>
      <c r="C129">
        <v>0.19670000000000001</v>
      </c>
      <c r="D129">
        <v>0.1804</v>
      </c>
      <c r="E129">
        <v>0.18459999999999999</v>
      </c>
      <c r="F129">
        <v>11168285</v>
      </c>
      <c r="G129">
        <v>0.18459999999999999</v>
      </c>
      <c r="L129" t="s">
        <v>8</v>
      </c>
      <c r="M129" t="s">
        <v>7</v>
      </c>
      <c r="N129" t="s">
        <v>7</v>
      </c>
      <c r="P129">
        <f t="shared" ref="P129" si="620">IF(C129=D129,0,((E129-D129)-(C129-E129))/(C129-D129))</f>
        <v>-0.4846625766871191</v>
      </c>
      <c r="Q129">
        <f t="shared" ref="Q129" si="621">F129*P129</f>
        <v>-5412849.7852761019</v>
      </c>
      <c r="R129">
        <f t="shared" ref="R129" si="622">R130+Q129</f>
        <v>-73277803.230311438</v>
      </c>
      <c r="S129">
        <f t="shared" ref="S129" si="623">R129/100000</f>
        <v>-732.7780323031144</v>
      </c>
      <c r="T129">
        <f t="shared" ref="T129" si="624">S129/1000</f>
        <v>-0.73277803230311445</v>
      </c>
    </row>
    <row r="130" spans="1:20" x14ac:dyDescent="0.25">
      <c r="A130" s="5">
        <v>44463</v>
      </c>
      <c r="B130">
        <v>0.21510000000000001</v>
      </c>
      <c r="C130">
        <v>0.2155</v>
      </c>
      <c r="D130">
        <v>0.17849999999999999</v>
      </c>
      <c r="E130">
        <v>0.192</v>
      </c>
      <c r="F130">
        <v>18665829</v>
      </c>
      <c r="G130">
        <v>0.192</v>
      </c>
      <c r="L130" t="s">
        <v>7</v>
      </c>
      <c r="M130" t="s">
        <v>7</v>
      </c>
      <c r="N130" t="s">
        <v>7</v>
      </c>
      <c r="P130">
        <f t="shared" ref="P130" si="625">IF(C130=D130,0,((E130-D130)-(C130-E130))/(C130-D130))</f>
        <v>-0.27027027027026973</v>
      </c>
      <c r="Q130">
        <f t="shared" ref="Q130" si="626">F130*P130</f>
        <v>-5044818.6486486383</v>
      </c>
      <c r="R130">
        <f t="shared" ref="R130" si="627">R131+Q130</f>
        <v>-67864953.445035338</v>
      </c>
      <c r="S130">
        <f t="shared" ref="S130" si="628">R130/100000</f>
        <v>-678.64953445035337</v>
      </c>
      <c r="T130">
        <f t="shared" ref="T130" si="629">S130/1000</f>
        <v>-0.67864953445035336</v>
      </c>
    </row>
    <row r="131" spans="1:20" x14ac:dyDescent="0.25">
      <c r="A131" s="5">
        <v>44462</v>
      </c>
      <c r="B131">
        <v>0.2059</v>
      </c>
      <c r="C131">
        <v>0.22120000000000001</v>
      </c>
      <c r="D131">
        <v>0.20069999999999999</v>
      </c>
      <c r="E131">
        <v>0.21490000000000001</v>
      </c>
      <c r="F131">
        <v>19652994</v>
      </c>
      <c r="G131">
        <v>0.21490000000000001</v>
      </c>
      <c r="L131" t="s">
        <v>7</v>
      </c>
      <c r="M131" t="s">
        <v>8</v>
      </c>
      <c r="N131" t="s">
        <v>7</v>
      </c>
      <c r="P131">
        <f t="shared" ref="P131" si="630">IF(C131=D131,0,((E131-D131)-(C131-E131))/(C131-D131))</f>
        <v>0.38536585365853715</v>
      </c>
      <c r="Q131">
        <f t="shared" ref="Q131" si="631">F131*P131</f>
        <v>7573592.8097561086</v>
      </c>
      <c r="R131">
        <f t="shared" ref="R131" si="632">R132+Q131</f>
        <v>-62820134.796386696</v>
      </c>
      <c r="S131">
        <f t="shared" ref="S131" si="633">R131/100000</f>
        <v>-628.20134796386697</v>
      </c>
      <c r="T131">
        <f t="shared" ref="T131" si="634">S131/1000</f>
        <v>-0.62820134796386695</v>
      </c>
    </row>
    <row r="132" spans="1:20" x14ac:dyDescent="0.25">
      <c r="A132" s="5">
        <v>44461</v>
      </c>
      <c r="B132">
        <v>0.17119999999999999</v>
      </c>
      <c r="C132">
        <v>0.23469999999999999</v>
      </c>
      <c r="D132">
        <v>0.1701</v>
      </c>
      <c r="E132">
        <v>0.20610000000000001</v>
      </c>
      <c r="F132">
        <v>81355061</v>
      </c>
      <c r="G132">
        <v>0.20610000000000001</v>
      </c>
      <c r="L132" t="s">
        <v>8</v>
      </c>
      <c r="M132" t="s">
        <v>8</v>
      </c>
      <c r="N132" t="s">
        <v>7</v>
      </c>
      <c r="P132">
        <f t="shared" ref="P132" si="635">IF(C132=D132,0,((E132-D132)-(C132-E132))/(C132-D132))</f>
        <v>0.11455108359133157</v>
      </c>
      <c r="Q132">
        <f t="shared" ref="Q132" si="636">F132*P132</f>
        <v>9319310.3931888789</v>
      </c>
      <c r="R132">
        <f t="shared" ref="R132" si="637">R133+Q132</f>
        <v>-70393727.606142804</v>
      </c>
      <c r="S132">
        <f t="shared" ref="S132" si="638">R132/100000</f>
        <v>-703.93727606142807</v>
      </c>
      <c r="T132">
        <f t="shared" ref="T132" si="639">S132/1000</f>
        <v>-0.70393727606142809</v>
      </c>
    </row>
    <row r="133" spans="1:20" x14ac:dyDescent="0.25">
      <c r="A133" s="5">
        <v>44460</v>
      </c>
      <c r="B133">
        <v>0.19089999999999999</v>
      </c>
      <c r="C133">
        <v>0.19950000000000001</v>
      </c>
      <c r="D133">
        <v>0.1681</v>
      </c>
      <c r="E133">
        <v>0.17100000000000001</v>
      </c>
      <c r="F133">
        <v>15545790</v>
      </c>
      <c r="G133">
        <v>0.17100000000000001</v>
      </c>
      <c r="L133" t="s">
        <v>7</v>
      </c>
      <c r="M133" t="s">
        <v>7</v>
      </c>
      <c r="N133" t="s">
        <v>7</v>
      </c>
      <c r="P133">
        <f t="shared" ref="P133" si="640">IF(C133=D133,0,((E133-D133)-(C133-E133))/(C133-D133))</f>
        <v>-0.81528662420382081</v>
      </c>
      <c r="Q133">
        <f t="shared" ref="Q133" si="641">F133*P133</f>
        <v>-12674274.649681516</v>
      </c>
      <c r="R133">
        <f t="shared" ref="R133" si="642">R134+Q133</f>
        <v>-79713037.999331683</v>
      </c>
      <c r="S133">
        <f t="shared" ref="S133" si="643">R133/100000</f>
        <v>-797.13037999331686</v>
      </c>
      <c r="T133">
        <f t="shared" ref="T133" si="644">S133/1000</f>
        <v>-0.79713037999331682</v>
      </c>
    </row>
    <row r="134" spans="1:20" x14ac:dyDescent="0.25">
      <c r="A134" s="5">
        <v>44459</v>
      </c>
      <c r="B134">
        <v>0.23630000000000001</v>
      </c>
      <c r="C134">
        <v>0.2369</v>
      </c>
      <c r="D134">
        <v>0.2054</v>
      </c>
      <c r="E134">
        <v>0.20749999999999999</v>
      </c>
      <c r="F134">
        <v>11080443</v>
      </c>
      <c r="G134">
        <v>0.20749999999999999</v>
      </c>
      <c r="L134" t="s">
        <v>7</v>
      </c>
      <c r="M134" t="s">
        <v>7</v>
      </c>
      <c r="N134" t="s">
        <v>7</v>
      </c>
      <c r="P134">
        <f t="shared" ref="P134" si="645">IF(C134=D134,0,((E134-D134)-(C134-E134))/(C134-D134))</f>
        <v>-0.86666666666666725</v>
      </c>
      <c r="Q134">
        <f t="shared" ref="Q134" si="646">F134*P134</f>
        <v>-9603050.6000000071</v>
      </c>
      <c r="R134">
        <f t="shared" ref="R134" si="647">R135+Q134</f>
        <v>-67038763.349650167</v>
      </c>
      <c r="S134">
        <f t="shared" ref="S134" si="648">R134/100000</f>
        <v>-670.38763349650162</v>
      </c>
      <c r="T134">
        <f t="shared" ref="T134" si="649">S134/1000</f>
        <v>-0.67038763349650166</v>
      </c>
    </row>
    <row r="135" spans="1:20" x14ac:dyDescent="0.25">
      <c r="A135" s="5">
        <v>44458</v>
      </c>
      <c r="B135">
        <v>0.25159999999999999</v>
      </c>
      <c r="C135">
        <v>0.25750000000000001</v>
      </c>
      <c r="D135">
        <v>0.23499999999999999</v>
      </c>
      <c r="E135">
        <v>0.23630000000000001</v>
      </c>
      <c r="F135">
        <v>17644144</v>
      </c>
      <c r="G135">
        <v>0.23630000000000001</v>
      </c>
      <c r="L135" t="s">
        <v>7</v>
      </c>
      <c r="M135" t="s">
        <v>8</v>
      </c>
      <c r="N135" t="s">
        <v>7</v>
      </c>
      <c r="P135">
        <f t="shared" ref="P135" si="650">IF(C135=D135,0,((E135-D135)-(C135-E135))/(C135-D135))</f>
        <v>-0.88444444444444248</v>
      </c>
      <c r="Q135">
        <f t="shared" ref="Q135" si="651">F135*P135</f>
        <v>-15605265.137777744</v>
      </c>
      <c r="R135">
        <f t="shared" ref="R135" si="652">R136+Q135</f>
        <v>-57435712.749650158</v>
      </c>
      <c r="S135">
        <f t="shared" ref="S135" si="653">R135/100000</f>
        <v>-574.35712749650156</v>
      </c>
      <c r="T135">
        <f t="shared" ref="T135" si="654">S135/1000</f>
        <v>-0.57435712749650158</v>
      </c>
    </row>
    <row r="136" spans="1:20" x14ac:dyDescent="0.25">
      <c r="A136" s="5">
        <v>44457</v>
      </c>
      <c r="B136">
        <v>0.2316</v>
      </c>
      <c r="C136">
        <v>0.28000000000000003</v>
      </c>
      <c r="D136">
        <v>0.23</v>
      </c>
      <c r="E136">
        <v>0.25190000000000001</v>
      </c>
      <c r="F136">
        <v>52679450</v>
      </c>
      <c r="G136">
        <v>0.25190000000000001</v>
      </c>
      <c r="L136" t="s">
        <v>8</v>
      </c>
      <c r="M136" t="s">
        <v>8</v>
      </c>
      <c r="N136" t="s">
        <v>7</v>
      </c>
      <c r="P136">
        <f t="shared" ref="P136" si="655">IF(C136=D136,0,((E136-D136)-(C136-E136))/(C136-D136))</f>
        <v>-0.12400000000000018</v>
      </c>
      <c r="Q136">
        <f t="shared" ref="Q136" si="656">F136*P136</f>
        <v>-6532251.8000000091</v>
      </c>
      <c r="R136">
        <f t="shared" ref="R136" si="657">R137+Q136</f>
        <v>-41830447.611872412</v>
      </c>
      <c r="S136">
        <f t="shared" ref="S136" si="658">R136/100000</f>
        <v>-418.3044761187241</v>
      </c>
      <c r="T136">
        <f t="shared" ref="T136" si="659">S136/1000</f>
        <v>-0.41830447611872412</v>
      </c>
    </row>
    <row r="137" spans="1:20" x14ac:dyDescent="0.25">
      <c r="A137" s="5">
        <v>44456</v>
      </c>
      <c r="B137">
        <v>0.249</v>
      </c>
      <c r="C137">
        <v>0.25080000000000002</v>
      </c>
      <c r="D137">
        <v>0.2276</v>
      </c>
      <c r="E137">
        <v>0.2319</v>
      </c>
      <c r="F137">
        <v>17565181</v>
      </c>
      <c r="G137">
        <v>0.2319</v>
      </c>
      <c r="L137" t="s">
        <v>7</v>
      </c>
      <c r="M137" t="s">
        <v>7</v>
      </c>
      <c r="N137" t="s">
        <v>7</v>
      </c>
      <c r="P137">
        <f t="shared" ref="P137" si="660">IF(C137=D137,0,((E137-D137)-(C137-E137))/(C137-D137))</f>
        <v>-0.62931034482758674</v>
      </c>
      <c r="Q137">
        <f t="shared" ref="Q137" si="661">F137*P137</f>
        <v>-11053950.112068975</v>
      </c>
      <c r="R137">
        <f t="shared" ref="R137" si="662">R138+Q137</f>
        <v>-35298195.8118724</v>
      </c>
      <c r="S137">
        <f t="shared" ref="S137" si="663">R137/100000</f>
        <v>-352.98195811872398</v>
      </c>
      <c r="T137">
        <f t="shared" ref="T137" si="664">S137/1000</f>
        <v>-0.35298195811872396</v>
      </c>
    </row>
    <row r="138" spans="1:20" x14ac:dyDescent="0.25">
      <c r="A138" s="5">
        <v>44455</v>
      </c>
      <c r="B138">
        <v>0.25890000000000002</v>
      </c>
      <c r="C138">
        <v>0.26450000000000001</v>
      </c>
      <c r="D138">
        <v>0.24099999999999999</v>
      </c>
      <c r="E138">
        <v>0.249</v>
      </c>
      <c r="F138">
        <v>16062058</v>
      </c>
      <c r="G138">
        <v>0.249</v>
      </c>
      <c r="L138" t="s">
        <v>7</v>
      </c>
      <c r="M138" t="s">
        <v>7</v>
      </c>
      <c r="N138" t="s">
        <v>7</v>
      </c>
      <c r="P138">
        <f t="shared" ref="P138" si="665">IF(C138=D138,0,((E138-D138)-(C138-E138))/(C138-D138))</f>
        <v>-0.31914893617021278</v>
      </c>
      <c r="Q138">
        <f t="shared" ref="Q138" si="666">F138*P138</f>
        <v>-5126188.7234042557</v>
      </c>
      <c r="R138">
        <f t="shared" ref="R138" si="667">R139+Q138</f>
        <v>-24244245.699803423</v>
      </c>
      <c r="S138">
        <f t="shared" ref="S138" si="668">R138/100000</f>
        <v>-242.44245699803423</v>
      </c>
      <c r="T138">
        <f t="shared" ref="T138" si="669">S138/1000</f>
        <v>-0.24244245699803424</v>
      </c>
    </row>
    <row r="139" spans="1:20" x14ac:dyDescent="0.25">
      <c r="A139" s="5">
        <v>44454</v>
      </c>
      <c r="B139">
        <v>0.24759999999999999</v>
      </c>
      <c r="C139">
        <v>0.2616</v>
      </c>
      <c r="D139">
        <v>0.24410000000000001</v>
      </c>
      <c r="E139">
        <v>0.25890000000000002</v>
      </c>
      <c r="F139">
        <v>18306668</v>
      </c>
      <c r="G139">
        <v>0.25890000000000002</v>
      </c>
      <c r="L139" t="s">
        <v>8</v>
      </c>
      <c r="M139" t="s">
        <v>7</v>
      </c>
      <c r="N139" t="s">
        <v>7</v>
      </c>
      <c r="P139">
        <f t="shared" ref="P139" si="670">IF(C139=D139,0,((E139-D139)-(C139-E139))/(C139-D139))</f>
        <v>0.6914285714285735</v>
      </c>
      <c r="Q139">
        <f t="shared" ref="Q139" si="671">F139*P139</f>
        <v>12657753.302857181</v>
      </c>
      <c r="R139">
        <f t="shared" ref="R139" si="672">R140+Q139</f>
        <v>-19118056.976399168</v>
      </c>
      <c r="S139">
        <f t="shared" ref="S139" si="673">R139/100000</f>
        <v>-191.18056976399168</v>
      </c>
      <c r="T139">
        <f t="shared" ref="T139" si="674">S139/1000</f>
        <v>-0.1911805697639917</v>
      </c>
    </row>
    <row r="140" spans="1:20" x14ac:dyDescent="0.25">
      <c r="A140" s="5">
        <v>44453</v>
      </c>
      <c r="B140">
        <v>0.2442</v>
      </c>
      <c r="C140">
        <v>0.255</v>
      </c>
      <c r="D140">
        <v>0.23499999999999999</v>
      </c>
      <c r="E140">
        <v>0.24740000000000001</v>
      </c>
      <c r="F140">
        <v>19987077</v>
      </c>
      <c r="G140">
        <v>0.24740000000000001</v>
      </c>
      <c r="L140" t="s">
        <v>8</v>
      </c>
      <c r="M140" t="s">
        <v>7</v>
      </c>
      <c r="N140" t="s">
        <v>7</v>
      </c>
      <c r="P140">
        <f t="shared" ref="P140" si="675">IF(C140=D140,0,((E140-D140)-(C140-E140))/(C140-D140))</f>
        <v>0.2400000000000011</v>
      </c>
      <c r="Q140">
        <f t="shared" ref="Q140" si="676">F140*P140</f>
        <v>4796898.4800000219</v>
      </c>
      <c r="R140">
        <f t="shared" ref="R140" si="677">R141+Q140</f>
        <v>-31775810.279256348</v>
      </c>
      <c r="S140">
        <f t="shared" ref="S140" si="678">R140/100000</f>
        <v>-317.75810279256348</v>
      </c>
      <c r="T140">
        <f t="shared" ref="T140" si="679">S140/1000</f>
        <v>-0.3177581027925635</v>
      </c>
    </row>
    <row r="141" spans="1:20" x14ac:dyDescent="0.25">
      <c r="A141" s="5">
        <v>44452</v>
      </c>
      <c r="B141">
        <v>0.25509999999999999</v>
      </c>
      <c r="C141">
        <v>0.2576</v>
      </c>
      <c r="D141">
        <v>0.22889999999999999</v>
      </c>
      <c r="E141">
        <v>0.2442</v>
      </c>
      <c r="F141">
        <v>17950603</v>
      </c>
      <c r="G141">
        <v>0.2442</v>
      </c>
      <c r="L141" t="s">
        <v>7</v>
      </c>
      <c r="M141" t="s">
        <v>7</v>
      </c>
      <c r="N141" t="s">
        <v>7</v>
      </c>
      <c r="P141">
        <f t="shared" ref="P141" si="680">IF(C141=D141,0,((E141-D141)-(C141-E141))/(C141-D141))</f>
        <v>6.6202090592334936E-2</v>
      </c>
      <c r="Q141">
        <f t="shared" ref="Q141" si="681">F141*P141</f>
        <v>1188367.4459930393</v>
      </c>
      <c r="R141">
        <f t="shared" ref="R141" si="682">R142+Q141</f>
        <v>-36572708.75925637</v>
      </c>
      <c r="S141">
        <f t="shared" ref="S141" si="683">R141/100000</f>
        <v>-365.72708759256369</v>
      </c>
      <c r="T141">
        <f t="shared" ref="T141" si="684">S141/1000</f>
        <v>-0.36572708759256367</v>
      </c>
    </row>
    <row r="142" spans="1:20" x14ac:dyDescent="0.25">
      <c r="A142" s="5">
        <v>44451</v>
      </c>
      <c r="B142">
        <v>0.24610000000000001</v>
      </c>
      <c r="C142">
        <v>0.27500000000000002</v>
      </c>
      <c r="D142">
        <v>0.2422</v>
      </c>
      <c r="E142">
        <v>0.25509999999999999</v>
      </c>
      <c r="F142">
        <v>28435771</v>
      </c>
      <c r="G142">
        <v>0.25509999999999999</v>
      </c>
      <c r="L142" t="s">
        <v>8</v>
      </c>
      <c r="M142" t="s">
        <v>8</v>
      </c>
      <c r="N142" t="s">
        <v>7</v>
      </c>
      <c r="P142">
        <f t="shared" ref="P142" si="685">IF(C142=D142,0,((E142-D142)-(C142-E142))/(C142-D142))</f>
        <v>-0.21341463414634235</v>
      </c>
      <c r="Q142">
        <f t="shared" ref="Q142" si="686">F142*P142</f>
        <v>-6068609.6646341719</v>
      </c>
      <c r="R142">
        <f t="shared" ref="R142" si="687">R143+Q142</f>
        <v>-37761076.205249406</v>
      </c>
      <c r="S142">
        <f t="shared" ref="S142" si="688">R142/100000</f>
        <v>-377.61076205249407</v>
      </c>
      <c r="T142">
        <f t="shared" ref="T142" si="689">S142/1000</f>
        <v>-0.37761076205249405</v>
      </c>
    </row>
    <row r="143" spans="1:20" x14ac:dyDescent="0.25">
      <c r="A143" s="5">
        <v>44450</v>
      </c>
      <c r="B143">
        <v>0.24340000000000001</v>
      </c>
      <c r="C143">
        <v>0.25979999999999998</v>
      </c>
      <c r="D143">
        <v>0.23899999999999999</v>
      </c>
      <c r="E143">
        <v>0.24629999999999999</v>
      </c>
      <c r="F143">
        <v>18472669</v>
      </c>
      <c r="G143">
        <v>0.24629999999999999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-0.29807692307692246</v>
      </c>
      <c r="Q143">
        <f t="shared" ref="Q143" si="691">F143*P143</f>
        <v>-5506276.3365384499</v>
      </c>
      <c r="R143">
        <f t="shared" ref="R143" si="692">R144+Q143</f>
        <v>-31692466.540615235</v>
      </c>
      <c r="S143">
        <f t="shared" ref="S143" si="693">R143/100000</f>
        <v>-316.92466540615237</v>
      </c>
      <c r="T143">
        <f t="shared" ref="T143" si="694">S143/1000</f>
        <v>-0.31692466540615238</v>
      </c>
    </row>
    <row r="144" spans="1:20" x14ac:dyDescent="0.25">
      <c r="A144" s="5">
        <v>44449</v>
      </c>
      <c r="B144">
        <v>0.25800000000000001</v>
      </c>
      <c r="C144">
        <v>0.26800000000000002</v>
      </c>
      <c r="D144">
        <v>0.2306</v>
      </c>
      <c r="E144">
        <v>0.24340000000000001</v>
      </c>
      <c r="F144">
        <v>30913559</v>
      </c>
      <c r="G144">
        <v>0.24340000000000001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-0.31550802139037432</v>
      </c>
      <c r="Q144">
        <f t="shared" ref="Q144" si="696">F144*P144</f>
        <v>-9753475.8342245985</v>
      </c>
      <c r="R144">
        <f t="shared" ref="R144" si="697">R145+Q144</f>
        <v>-26186190.204076786</v>
      </c>
      <c r="S144">
        <f t="shared" ref="S144" si="698">R144/100000</f>
        <v>-261.86190204076786</v>
      </c>
      <c r="T144">
        <f t="shared" ref="T144" si="699">S144/1000</f>
        <v>-0.26186190204076787</v>
      </c>
    </row>
    <row r="145" spans="1:20" x14ac:dyDescent="0.25">
      <c r="A145" s="5">
        <v>44448</v>
      </c>
      <c r="B145">
        <v>0.2576</v>
      </c>
      <c r="C145">
        <v>0.27410000000000001</v>
      </c>
      <c r="D145">
        <v>0.2492</v>
      </c>
      <c r="E145">
        <v>0.2581</v>
      </c>
      <c r="F145">
        <v>32990061</v>
      </c>
      <c r="G145">
        <v>0.2581</v>
      </c>
      <c r="L145" t="s">
        <v>7</v>
      </c>
      <c r="M145" t="s">
        <v>8</v>
      </c>
      <c r="N145" t="s">
        <v>7</v>
      </c>
      <c r="P145">
        <f t="shared" ref="P145" si="700">IF(C145=D145,0,((E145-D145)-(C145-E145))/(C145-D145))</f>
        <v>-0.28514056224899686</v>
      </c>
      <c r="Q145">
        <f t="shared" ref="Q145" si="701">F145*P145</f>
        <v>-9406804.5421687029</v>
      </c>
      <c r="R145">
        <f t="shared" ref="R145" si="702">R146+Q145</f>
        <v>-16432714.369852187</v>
      </c>
      <c r="S145">
        <f t="shared" ref="S145" si="703">R145/100000</f>
        <v>-164.32714369852187</v>
      </c>
      <c r="T145">
        <f t="shared" ref="T145" si="704">S145/1000</f>
        <v>-0.16432714369852186</v>
      </c>
    </row>
    <row r="146" spans="1:20" x14ac:dyDescent="0.25">
      <c r="A146" s="5">
        <v>44447</v>
      </c>
      <c r="B146">
        <v>0.2717</v>
      </c>
      <c r="C146">
        <v>0.27679999999999999</v>
      </c>
      <c r="D146">
        <v>0.23</v>
      </c>
      <c r="E146">
        <v>0.25659999999999999</v>
      </c>
      <c r="F146">
        <v>39328978</v>
      </c>
      <c r="G146">
        <v>0.25659999999999999</v>
      </c>
      <c r="L146" t="s">
        <v>8</v>
      </c>
      <c r="M146" t="s">
        <v>8</v>
      </c>
      <c r="N146" t="s">
        <v>7</v>
      </c>
      <c r="P146">
        <f t="shared" ref="P146" si="705">IF(C146=D146,0,((E146-D146)-(C146-E146))/(C146-D146))</f>
        <v>0.13675213675213657</v>
      </c>
      <c r="Q146">
        <f t="shared" ref="Q146" si="706">F146*P146</f>
        <v>5378321.7777777705</v>
      </c>
      <c r="R146">
        <f t="shared" ref="R146" si="707">R147+Q146</f>
        <v>-7025909.8276834842</v>
      </c>
      <c r="S146">
        <f t="shared" ref="S146" si="708">R146/100000</f>
        <v>-70.259098276834848</v>
      </c>
      <c r="T146">
        <f t="shared" ref="T146" si="709">S146/1000</f>
        <v>-7.0259098276834853E-2</v>
      </c>
    </row>
    <row r="147" spans="1:20" x14ac:dyDescent="0.25">
      <c r="A147" s="5">
        <v>44446</v>
      </c>
      <c r="B147">
        <v>0.36499999999999999</v>
      </c>
      <c r="C147">
        <v>0.36570000000000003</v>
      </c>
      <c r="D147">
        <v>0.2253</v>
      </c>
      <c r="E147">
        <v>0.27139999999999997</v>
      </c>
      <c r="F147">
        <v>88330344</v>
      </c>
      <c r="G147">
        <v>0.27139999999999997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-0.34330484330484379</v>
      </c>
      <c r="Q147">
        <f t="shared" ref="Q147" si="711">F147*P147</f>
        <v>-30324234.905982949</v>
      </c>
      <c r="R147">
        <f t="shared" ref="R147" si="712">R148+Q147</f>
        <v>-12404231.605461255</v>
      </c>
      <c r="S147">
        <f t="shared" ref="S147" si="713">R147/100000</f>
        <v>-124.04231605461254</v>
      </c>
      <c r="T147">
        <f t="shared" ref="T147" si="714">S147/1000</f>
        <v>-0.12404231605461254</v>
      </c>
    </row>
    <row r="148" spans="1:20" x14ac:dyDescent="0.25">
      <c r="A148" s="5">
        <v>44445</v>
      </c>
      <c r="B148">
        <v>0.32979999999999998</v>
      </c>
      <c r="C148">
        <v>0.42</v>
      </c>
      <c r="D148">
        <v>0.32</v>
      </c>
      <c r="E148">
        <v>0.36520000000000002</v>
      </c>
      <c r="F148">
        <v>112983839</v>
      </c>
      <c r="G148">
        <v>0.36520000000000002</v>
      </c>
      <c r="L148" t="s">
        <v>8</v>
      </c>
      <c r="M148" t="s">
        <v>8</v>
      </c>
      <c r="N148" t="s">
        <v>8</v>
      </c>
      <c r="P148">
        <f t="shared" ref="P148" si="715">IF(C148=D148,0,((E148-D148)-(C148-E148))/(C148-D148))</f>
        <v>-9.5999999999999447E-2</v>
      </c>
      <c r="Q148">
        <f t="shared" ref="Q148" si="716">F148*P148</f>
        <v>-10846448.543999938</v>
      </c>
      <c r="R148">
        <f t="shared" ref="R148" si="717">R149+Q148</f>
        <v>17920003.300521694</v>
      </c>
      <c r="S148">
        <f t="shared" ref="S148" si="718">R148/100000</f>
        <v>179.20003300521694</v>
      </c>
      <c r="T148">
        <f t="shared" ref="T148" si="719">S148/1000</f>
        <v>0.17920003300521695</v>
      </c>
    </row>
    <row r="149" spans="1:20" x14ac:dyDescent="0.25">
      <c r="A149" s="5">
        <v>44444</v>
      </c>
      <c r="B149">
        <v>0.32350000000000001</v>
      </c>
      <c r="C149">
        <v>0.3463</v>
      </c>
      <c r="D149">
        <v>0.31900000000000001</v>
      </c>
      <c r="E149">
        <v>0.32969999999999999</v>
      </c>
      <c r="F149">
        <v>29787580</v>
      </c>
      <c r="G149">
        <v>0.32969999999999999</v>
      </c>
      <c r="L149" t="s">
        <v>8</v>
      </c>
      <c r="M149" t="s">
        <v>7</v>
      </c>
      <c r="N149" t="s">
        <v>7</v>
      </c>
      <c r="P149">
        <f t="shared" ref="P149" si="720">IF(C149=D149,0,((E149-D149)-(C149-E149))/(C149-D149))</f>
        <v>-0.21611721611721679</v>
      </c>
      <c r="Q149">
        <f t="shared" ref="Q149" si="721">F149*P149</f>
        <v>-6437608.8644688847</v>
      </c>
      <c r="R149">
        <f t="shared" ref="R149" si="722">R150+Q149</f>
        <v>28766451.844521631</v>
      </c>
      <c r="S149">
        <f t="shared" ref="S149" si="723">R149/100000</f>
        <v>287.66451844521629</v>
      </c>
      <c r="T149">
        <f t="shared" ref="T149" si="724">S149/1000</f>
        <v>0.28766451844521629</v>
      </c>
    </row>
    <row r="150" spans="1:20" x14ac:dyDescent="0.25">
      <c r="A150" s="5">
        <v>44443</v>
      </c>
      <c r="B150">
        <v>0.31169999999999998</v>
      </c>
      <c r="C150">
        <v>0.33600000000000002</v>
      </c>
      <c r="D150">
        <v>0.30859999999999999</v>
      </c>
      <c r="E150">
        <v>0.32340000000000002</v>
      </c>
      <c r="F150">
        <v>34807491</v>
      </c>
      <c r="G150">
        <v>0.32340000000000002</v>
      </c>
      <c r="L150" t="s">
        <v>8</v>
      </c>
      <c r="M150" t="s">
        <v>7</v>
      </c>
      <c r="N150" t="s">
        <v>7</v>
      </c>
      <c r="P150">
        <f t="shared" ref="P150" si="725">IF(C150=D150,0,((E150-D150)-(C150-E150))/(C150-D150))</f>
        <v>8.0291970802920887E-2</v>
      </c>
      <c r="Q150">
        <f t="shared" ref="Q150" si="726">F150*P150</f>
        <v>2794762.0510949316</v>
      </c>
      <c r="R150">
        <f t="shared" ref="R150" si="727">R151+Q150</f>
        <v>35204060.708990514</v>
      </c>
      <c r="S150">
        <f t="shared" ref="S150" si="728">R150/100000</f>
        <v>352.04060708990517</v>
      </c>
      <c r="T150">
        <f t="shared" ref="T150" si="729">S150/1000</f>
        <v>0.35204060708990514</v>
      </c>
    </row>
    <row r="151" spans="1:20" x14ac:dyDescent="0.25">
      <c r="A151" s="5">
        <v>44442</v>
      </c>
      <c r="B151">
        <v>0.31780000000000003</v>
      </c>
      <c r="C151">
        <v>0.33</v>
      </c>
      <c r="D151">
        <v>0.30620000000000003</v>
      </c>
      <c r="E151">
        <v>0.312</v>
      </c>
      <c r="F151">
        <v>29078994</v>
      </c>
      <c r="G151">
        <v>0.312</v>
      </c>
      <c r="L151" t="s">
        <v>7</v>
      </c>
      <c r="M151" t="s">
        <v>7</v>
      </c>
      <c r="N151" t="s">
        <v>7</v>
      </c>
      <c r="P151">
        <f t="shared" ref="P151" si="730">IF(C151=D151,0,((E151-D151)-(C151-E151))/(C151-D151))</f>
        <v>-0.51260504201680879</v>
      </c>
      <c r="Q151">
        <f t="shared" ref="Q151" si="731">F151*P151</f>
        <v>-14906038.94117653</v>
      </c>
      <c r="R151">
        <f t="shared" ref="R151" si="732">R152+Q151</f>
        <v>32409298.657895584</v>
      </c>
      <c r="S151">
        <f t="shared" ref="S151" si="733">R151/100000</f>
        <v>324.09298657895584</v>
      </c>
      <c r="T151">
        <f t="shared" ref="T151" si="734">S151/1000</f>
        <v>0.32409298657895586</v>
      </c>
    </row>
    <row r="152" spans="1:20" x14ac:dyDescent="0.25">
      <c r="A152" s="5">
        <v>44441</v>
      </c>
      <c r="B152">
        <v>0.32269999999999999</v>
      </c>
      <c r="C152">
        <v>0.34150000000000003</v>
      </c>
      <c r="D152">
        <v>0.31380000000000002</v>
      </c>
      <c r="E152">
        <v>0.31780000000000003</v>
      </c>
      <c r="F152">
        <v>26212514</v>
      </c>
      <c r="G152">
        <v>0.31780000000000003</v>
      </c>
      <c r="L152" t="s">
        <v>8</v>
      </c>
      <c r="M152" t="s">
        <v>7</v>
      </c>
      <c r="N152" t="s">
        <v>7</v>
      </c>
      <c r="P152">
        <f t="shared" ref="P152" si="735">IF(C152=D152,0,((E152-D152)-(C152-E152))/(C152-D152))</f>
        <v>-0.71119133574007198</v>
      </c>
      <c r="Q152">
        <f t="shared" ref="Q152" si="736">F152*P152</f>
        <v>-18642112.844765339</v>
      </c>
      <c r="R152">
        <f t="shared" ref="R152" si="737">R153+Q152</f>
        <v>47315337.599072114</v>
      </c>
      <c r="S152">
        <f t="shared" ref="S152" si="738">R152/100000</f>
        <v>473.15337599072114</v>
      </c>
      <c r="T152">
        <f t="shared" ref="T152" si="739">S152/1000</f>
        <v>0.47315337599072116</v>
      </c>
    </row>
    <row r="153" spans="1:20" x14ac:dyDescent="0.25">
      <c r="A153" s="5">
        <v>44440</v>
      </c>
      <c r="B153">
        <v>0.31090000000000001</v>
      </c>
      <c r="C153">
        <v>0.33029999999999998</v>
      </c>
      <c r="D153">
        <v>0.307</v>
      </c>
      <c r="E153">
        <v>0.32319999999999999</v>
      </c>
      <c r="F153">
        <v>26897877</v>
      </c>
      <c r="G153">
        <v>0.32319999999999999</v>
      </c>
      <c r="L153" t="s">
        <v>8</v>
      </c>
      <c r="M153" t="s">
        <v>7</v>
      </c>
      <c r="N153" t="s">
        <v>7</v>
      </c>
      <c r="P153">
        <f t="shared" ref="P153" si="740">IF(C153=D153,0,((E153-D153)-(C153-E153))/(C153-D153))</f>
        <v>0.39055793991416315</v>
      </c>
      <c r="Q153">
        <f t="shared" ref="Q153" si="741">F153*P153</f>
        <v>10505179.42918455</v>
      </c>
      <c r="R153">
        <f t="shared" ref="R153" si="742">R154+Q153</f>
        <v>65957450.443837456</v>
      </c>
      <c r="S153">
        <f t="shared" ref="S153" si="743">R153/100000</f>
        <v>659.57450443837456</v>
      </c>
      <c r="T153">
        <f t="shared" ref="T153" si="744">S153/1000</f>
        <v>0.65957450443837451</v>
      </c>
    </row>
    <row r="154" spans="1:20" x14ac:dyDescent="0.25">
      <c r="A154" s="5">
        <v>44439</v>
      </c>
      <c r="B154">
        <v>0.31790000000000002</v>
      </c>
      <c r="C154">
        <v>0.34970000000000001</v>
      </c>
      <c r="D154">
        <v>0.3</v>
      </c>
      <c r="E154">
        <v>0.31140000000000001</v>
      </c>
      <c r="F154">
        <v>46993360</v>
      </c>
      <c r="G154">
        <v>0.31140000000000001</v>
      </c>
      <c r="L154" t="s">
        <v>7</v>
      </c>
      <c r="M154" t="s">
        <v>7</v>
      </c>
      <c r="N154" t="s">
        <v>7</v>
      </c>
      <c r="P154">
        <f t="shared" ref="P154" si="745">IF(C154=D154,0,((E154-D154)-(C154-E154))/(C154-D154))</f>
        <v>-0.54124748490945607</v>
      </c>
      <c r="Q154">
        <f t="shared" ref="Q154" si="746">F154*P154</f>
        <v>-25435037.907444637</v>
      </c>
      <c r="R154">
        <f t="shared" ref="R154" si="747">R155+Q154</f>
        <v>55452271.014652908</v>
      </c>
      <c r="S154">
        <f t="shared" ref="S154" si="748">R154/100000</f>
        <v>554.52271014652911</v>
      </c>
      <c r="T154">
        <f t="shared" ref="T154" si="749">S154/1000</f>
        <v>0.5545227101465291</v>
      </c>
    </row>
    <row r="155" spans="1:20" x14ac:dyDescent="0.25">
      <c r="A155" s="5">
        <v>44438</v>
      </c>
      <c r="B155">
        <v>0.316</v>
      </c>
      <c r="C155">
        <v>0.375</v>
      </c>
      <c r="D155">
        <v>0.31330000000000002</v>
      </c>
      <c r="E155">
        <v>0.31790000000000002</v>
      </c>
      <c r="F155">
        <v>101385400</v>
      </c>
      <c r="G155">
        <v>0.31790000000000002</v>
      </c>
      <c r="L155" t="s">
        <v>8</v>
      </c>
      <c r="M155" t="s">
        <v>8</v>
      </c>
      <c r="N155" t="s">
        <v>7</v>
      </c>
      <c r="P155">
        <f t="shared" ref="P155" si="750">IF(C155=D155,0,((E155-D155)-(C155-E155))/(C155-D155))</f>
        <v>-0.85089141004862257</v>
      </c>
      <c r="Q155">
        <f t="shared" ref="Q155" si="751">F155*P155</f>
        <v>-86267965.964343622</v>
      </c>
      <c r="R155">
        <f t="shared" ref="R155" si="752">R156+Q155</f>
        <v>80887308.922097549</v>
      </c>
      <c r="S155">
        <f t="shared" ref="S155" si="753">R155/100000</f>
        <v>808.87308922097554</v>
      </c>
      <c r="T155">
        <f t="shared" ref="T155" si="754">S155/1000</f>
        <v>0.80887308922097556</v>
      </c>
    </row>
    <row r="156" spans="1:20" x14ac:dyDescent="0.25">
      <c r="A156" s="5">
        <v>44437</v>
      </c>
      <c r="B156">
        <v>0.30520000000000003</v>
      </c>
      <c r="C156">
        <v>0.33739999999999998</v>
      </c>
      <c r="D156">
        <v>0.29509999999999997</v>
      </c>
      <c r="E156">
        <v>0.316</v>
      </c>
      <c r="F156">
        <v>40459447</v>
      </c>
      <c r="G156">
        <v>0.316</v>
      </c>
      <c r="L156" t="s">
        <v>8</v>
      </c>
      <c r="M156" t="s">
        <v>8</v>
      </c>
      <c r="N156" t="s">
        <v>7</v>
      </c>
      <c r="P156">
        <f t="shared" ref="P156" si="755">IF(C156=D156,0,((E156-D156)-(C156-E156))/(C156-D156))</f>
        <v>-1.1820330969265836E-2</v>
      </c>
      <c r="Q156">
        <f t="shared" ref="Q156" si="756">F156*P156</f>
        <v>-478244.05437346973</v>
      </c>
      <c r="R156">
        <f t="shared" ref="R156" si="757">R157+Q156</f>
        <v>167155274.88644117</v>
      </c>
      <c r="S156">
        <f t="shared" ref="S156" si="758">R156/100000</f>
        <v>1671.5527488644118</v>
      </c>
      <c r="T156">
        <f t="shared" ref="T156" si="759">S156/1000</f>
        <v>1.6715527488644117</v>
      </c>
    </row>
    <row r="157" spans="1:20" x14ac:dyDescent="0.25">
      <c r="A157" s="5">
        <v>44436</v>
      </c>
      <c r="B157">
        <v>0.31319999999999998</v>
      </c>
      <c r="C157">
        <v>0.32669999999999999</v>
      </c>
      <c r="D157">
        <v>0.3</v>
      </c>
      <c r="E157">
        <v>0.30499999999999999</v>
      </c>
      <c r="F157">
        <v>26593226</v>
      </c>
      <c r="G157">
        <v>0.30499999999999999</v>
      </c>
      <c r="L157" t="s">
        <v>8</v>
      </c>
      <c r="M157" t="s">
        <v>8</v>
      </c>
      <c r="N157" t="s">
        <v>7</v>
      </c>
      <c r="P157">
        <f t="shared" ref="P157" si="760">IF(C157=D157,0,((E157-D157)-(C157-E157))/(C157-D157))</f>
        <v>-0.62546816479400713</v>
      </c>
      <c r="Q157">
        <f t="shared" ref="Q157" si="761">F157*P157</f>
        <v>-16633216.262172274</v>
      </c>
      <c r="R157">
        <f t="shared" ref="R157" si="762">R158+Q157</f>
        <v>167633518.94081464</v>
      </c>
      <c r="S157">
        <f t="shared" ref="S157" si="763">R157/100000</f>
        <v>1676.3351894081463</v>
      </c>
      <c r="T157">
        <f t="shared" ref="T157" si="764">S157/1000</f>
        <v>1.6763351894081464</v>
      </c>
    </row>
    <row r="158" spans="1:20" x14ac:dyDescent="0.25">
      <c r="A158" s="5">
        <v>44435</v>
      </c>
      <c r="B158">
        <v>0.29630000000000001</v>
      </c>
      <c r="C158">
        <v>0.31890000000000002</v>
      </c>
      <c r="D158">
        <v>0.28000000000000003</v>
      </c>
      <c r="E158">
        <v>0.31330000000000002</v>
      </c>
      <c r="F158">
        <v>25497968</v>
      </c>
      <c r="G158">
        <v>0.31330000000000002</v>
      </c>
      <c r="L158" t="s">
        <v>7</v>
      </c>
      <c r="M158" t="s">
        <v>7</v>
      </c>
      <c r="N158" t="s">
        <v>7</v>
      </c>
      <c r="P158">
        <f t="shared" ref="P158" si="765">IF(C158=D158,0,((E158-D158)-(C158-E158))/(C158-D158))</f>
        <v>0.71208226221079718</v>
      </c>
      <c r="Q158">
        <f t="shared" ref="Q158" si="766">F158*P158</f>
        <v>18156650.735218517</v>
      </c>
      <c r="R158">
        <f t="shared" ref="R158" si="767">R159+Q158</f>
        <v>184266735.20298693</v>
      </c>
      <c r="S158">
        <f t="shared" ref="S158" si="768">R158/100000</f>
        <v>1842.6673520298693</v>
      </c>
      <c r="T158">
        <f t="shared" ref="T158" si="769">S158/1000</f>
        <v>1.8426673520298693</v>
      </c>
    </row>
    <row r="159" spans="1:20" x14ac:dyDescent="0.25">
      <c r="A159" s="5">
        <v>44434</v>
      </c>
      <c r="B159">
        <v>0.3342</v>
      </c>
      <c r="C159">
        <v>0.3589</v>
      </c>
      <c r="D159">
        <v>0.28989999999999999</v>
      </c>
      <c r="E159">
        <v>0.29630000000000001</v>
      </c>
      <c r="F159">
        <v>47035427</v>
      </c>
      <c r="G159">
        <v>0.29630000000000001</v>
      </c>
      <c r="L159" t="s">
        <v>8</v>
      </c>
      <c r="M159" t="s">
        <v>8</v>
      </c>
      <c r="N159" t="s">
        <v>7</v>
      </c>
      <c r="P159">
        <f t="shared" ref="P159" si="770">IF(C159=D159,0,((E159-D159)-(C159-E159))/(C159-D159))</f>
        <v>-0.81449275362318796</v>
      </c>
      <c r="Q159">
        <f t="shared" ref="Q159" si="771">F159*P159</f>
        <v>-38310014.45507244</v>
      </c>
      <c r="R159">
        <f t="shared" ref="R159" si="772">R160+Q159</f>
        <v>166110084.4677684</v>
      </c>
      <c r="S159">
        <f t="shared" ref="S159" si="773">R159/100000</f>
        <v>1661.1008446776841</v>
      </c>
      <c r="T159">
        <f t="shared" ref="T159" si="774">S159/1000</f>
        <v>1.661100844677684</v>
      </c>
    </row>
    <row r="160" spans="1:20" x14ac:dyDescent="0.25">
      <c r="A160" s="5">
        <v>44433</v>
      </c>
      <c r="B160">
        <v>0.30709999999999998</v>
      </c>
      <c r="C160">
        <v>0.3548</v>
      </c>
      <c r="D160">
        <v>0.28710000000000002</v>
      </c>
      <c r="E160">
        <v>0.33410000000000001</v>
      </c>
      <c r="F160">
        <v>78684156</v>
      </c>
      <c r="G160">
        <v>0.33410000000000001</v>
      </c>
      <c r="L160" t="s">
        <v>7</v>
      </c>
      <c r="M160" t="s">
        <v>7</v>
      </c>
      <c r="N160" t="s">
        <v>7</v>
      </c>
      <c r="P160">
        <f t="shared" ref="P160" si="775">IF(C160=D160,0,((E160-D160)-(C160-E160))/(C160-D160))</f>
        <v>0.3884785819793205</v>
      </c>
      <c r="Q160">
        <f t="shared" ref="Q160" si="776">F160*P160</f>
        <v>30567109.347119644</v>
      </c>
      <c r="R160">
        <f t="shared" ref="R160" si="777">R161+Q160</f>
        <v>204420098.92284083</v>
      </c>
      <c r="S160">
        <f t="shared" ref="S160" si="778">R160/100000</f>
        <v>2044.2009892284084</v>
      </c>
      <c r="T160">
        <f t="shared" ref="T160" si="779">S160/1000</f>
        <v>2.0442009892284085</v>
      </c>
    </row>
    <row r="161" spans="1:20" x14ac:dyDescent="0.25">
      <c r="A161" s="5">
        <v>44432</v>
      </c>
      <c r="B161">
        <v>0.36969999999999997</v>
      </c>
      <c r="C161">
        <v>0.37059999999999998</v>
      </c>
      <c r="D161">
        <v>0.3</v>
      </c>
      <c r="E161">
        <v>0.30740000000000001</v>
      </c>
      <c r="F161">
        <v>52761447</v>
      </c>
      <c r="G161">
        <v>0.30740000000000001</v>
      </c>
      <c r="L161" t="s">
        <v>7</v>
      </c>
      <c r="M161" t="s">
        <v>7</v>
      </c>
      <c r="N161" t="s">
        <v>8</v>
      </c>
      <c r="P161">
        <f t="shared" ref="P161" si="780">IF(C161=D161,0,((E161-D161)-(C161-E161))/(C161-D161))</f>
        <v>-0.79036827195467374</v>
      </c>
      <c r="Q161">
        <f t="shared" ref="Q161" si="781">F161*P161</f>
        <v>-41700973.691218108</v>
      </c>
      <c r="R161">
        <f t="shared" ref="R161" si="782">R162+Q161</f>
        <v>173852989.5757212</v>
      </c>
      <c r="S161">
        <f t="shared" ref="S161" si="783">R161/100000</f>
        <v>1738.529895757212</v>
      </c>
      <c r="T161">
        <f t="shared" ref="T161" si="784">S161/1000</f>
        <v>1.738529895757212</v>
      </c>
    </row>
    <row r="162" spans="1:20" x14ac:dyDescent="0.25">
      <c r="A162" s="5">
        <v>44431</v>
      </c>
      <c r="B162">
        <v>0.31080000000000002</v>
      </c>
      <c r="C162">
        <v>0.39479999999999998</v>
      </c>
      <c r="D162">
        <v>0.3054</v>
      </c>
      <c r="E162">
        <v>0.36980000000000002</v>
      </c>
      <c r="F162">
        <v>148284963</v>
      </c>
      <c r="G162">
        <v>0.36980000000000002</v>
      </c>
      <c r="L162" t="s">
        <v>8</v>
      </c>
      <c r="M162" t="s">
        <v>8</v>
      </c>
      <c r="N162" t="s">
        <v>8</v>
      </c>
      <c r="P162">
        <f t="shared" ref="P162" si="785">IF(C162=D162,0,((E162-D162)-(C162-E162))/(C162-D162))</f>
        <v>0.44071588366890441</v>
      </c>
      <c r="Q162">
        <f t="shared" ref="Q162" si="786">F162*P162</f>
        <v>65351538.503355794</v>
      </c>
      <c r="R162">
        <f t="shared" ref="R162" si="787">R163+Q162</f>
        <v>215553963.26693931</v>
      </c>
      <c r="S162">
        <f t="shared" ref="S162" si="788">R162/100000</f>
        <v>2155.5396326693931</v>
      </c>
      <c r="T162">
        <f t="shared" ref="T162" si="789">S162/1000</f>
        <v>2.155539632669393</v>
      </c>
    </row>
    <row r="163" spans="1:20" x14ac:dyDescent="0.25">
      <c r="A163" s="5">
        <v>44430</v>
      </c>
      <c r="B163">
        <v>0.29449999999999998</v>
      </c>
      <c r="C163">
        <v>0.308</v>
      </c>
      <c r="D163">
        <v>0.28820000000000001</v>
      </c>
      <c r="E163">
        <v>0.29289999999999999</v>
      </c>
      <c r="F163">
        <v>4416878</v>
      </c>
      <c r="G163">
        <v>0.29289999999999999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-0.52525252525252675</v>
      </c>
      <c r="Q163">
        <f t="shared" ref="Q163" si="791">F163*P163</f>
        <v>-2319976.3232323299</v>
      </c>
      <c r="R163">
        <f t="shared" ref="R163" si="792">R164+Q163</f>
        <v>150202424.76358351</v>
      </c>
      <c r="S163">
        <f t="shared" ref="S163" si="793">R163/100000</f>
        <v>1502.0242476358351</v>
      </c>
      <c r="T163">
        <f t="shared" ref="T163" si="794">S163/1000</f>
        <v>1.502024247635835</v>
      </c>
    </row>
    <row r="164" spans="1:20" x14ac:dyDescent="0.25">
      <c r="A164" s="5">
        <v>44429</v>
      </c>
      <c r="B164">
        <v>0.27910000000000001</v>
      </c>
      <c r="C164">
        <v>0.31900000000000001</v>
      </c>
      <c r="D164">
        <v>0.27429999999999999</v>
      </c>
      <c r="E164">
        <v>0.29499999999999998</v>
      </c>
      <c r="F164">
        <v>46433613</v>
      </c>
      <c r="G164">
        <v>0.29499999999999998</v>
      </c>
      <c r="L164" t="s">
        <v>8</v>
      </c>
      <c r="M164" t="s">
        <v>8</v>
      </c>
      <c r="N164" t="s">
        <v>7</v>
      </c>
      <c r="P164">
        <f t="shared" ref="P164" si="795">IF(C164=D164,0,((E164-D164)-(C164-E164))/(C164-D164))</f>
        <v>-7.382550335570523E-2</v>
      </c>
      <c r="Q164">
        <f t="shared" ref="Q164" si="796">F164*P164</f>
        <v>-3427984.8523490182</v>
      </c>
      <c r="R164">
        <f t="shared" ref="R164" si="797">R165+Q164</f>
        <v>152522401.08681583</v>
      </c>
      <c r="S164">
        <f t="shared" ref="S164" si="798">R164/100000</f>
        <v>1525.2240108681583</v>
      </c>
      <c r="T164">
        <f t="shared" ref="T164" si="799">S164/1000</f>
        <v>1.5252240108681583</v>
      </c>
    </row>
    <row r="165" spans="1:20" x14ac:dyDescent="0.25">
      <c r="A165" s="5">
        <v>44428</v>
      </c>
      <c r="B165">
        <v>0.28460000000000002</v>
      </c>
      <c r="C165">
        <v>0.28999999999999998</v>
      </c>
      <c r="D165">
        <v>0.27379999999999999</v>
      </c>
      <c r="E165">
        <v>0.27910000000000001</v>
      </c>
      <c r="F165">
        <v>21908681</v>
      </c>
      <c r="G165">
        <v>0.27910000000000001</v>
      </c>
      <c r="L165" t="s">
        <v>8</v>
      </c>
      <c r="M165" t="s">
        <v>7</v>
      </c>
      <c r="N165" t="s">
        <v>7</v>
      </c>
      <c r="P165">
        <f t="shared" ref="P165" si="800">IF(C165=D165,0,((E165-D165)-(C165-E165))/(C165-D165))</f>
        <v>-0.34567901234567538</v>
      </c>
      <c r="Q165">
        <f t="shared" ref="Q165" si="801">F165*P165</f>
        <v>-7573371.2098764637</v>
      </c>
      <c r="R165">
        <f t="shared" ref="R165" si="802">R166+Q165</f>
        <v>155950385.93916485</v>
      </c>
      <c r="S165">
        <f t="shared" ref="S165" si="803">R165/100000</f>
        <v>1559.5038593916486</v>
      </c>
      <c r="T165">
        <f t="shared" ref="T165" si="804">S165/1000</f>
        <v>1.5595038593916486</v>
      </c>
    </row>
    <row r="166" spans="1:20" x14ac:dyDescent="0.25">
      <c r="A166" s="5">
        <v>44427</v>
      </c>
      <c r="B166">
        <v>0.27329999999999999</v>
      </c>
      <c r="C166">
        <v>0.28960000000000002</v>
      </c>
      <c r="D166">
        <v>0.2482</v>
      </c>
      <c r="E166">
        <v>0.28470000000000001</v>
      </c>
      <c r="F166">
        <v>39181463</v>
      </c>
      <c r="G166">
        <v>0.28470000000000001</v>
      </c>
      <c r="L166" t="s">
        <v>7</v>
      </c>
      <c r="M166" t="s">
        <v>7</v>
      </c>
      <c r="N166" t="s">
        <v>7</v>
      </c>
      <c r="P166">
        <f t="shared" ref="P166" si="805">IF(C166=D166,0,((E166-D166)-(C166-E166))/(C166-D166))</f>
        <v>0.76328502415458876</v>
      </c>
      <c r="Q166">
        <f t="shared" ref="Q166" si="806">F166*P166</f>
        <v>29906623.932367127</v>
      </c>
      <c r="R166">
        <f t="shared" ref="R166" si="807">R167+Q166</f>
        <v>163523757.14904132</v>
      </c>
      <c r="S166">
        <f t="shared" ref="S166" si="808">R166/100000</f>
        <v>1635.2375714904133</v>
      </c>
      <c r="T166">
        <f t="shared" ref="T166" si="809">S166/1000</f>
        <v>1.6352375714904133</v>
      </c>
    </row>
    <row r="167" spans="1:20" x14ac:dyDescent="0.25">
      <c r="A167" s="5">
        <v>44426</v>
      </c>
      <c r="B167">
        <v>0.28370000000000001</v>
      </c>
      <c r="C167">
        <v>0.29570000000000002</v>
      </c>
      <c r="D167">
        <v>0.26629999999999998</v>
      </c>
      <c r="E167">
        <v>0.27339999999999998</v>
      </c>
      <c r="F167">
        <v>22597399</v>
      </c>
      <c r="G167">
        <v>0.27339999999999998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-0.51700680272108934</v>
      </c>
      <c r="Q167">
        <f t="shared" ref="Q167" si="811">F167*P167</f>
        <v>-11683009.006802741</v>
      </c>
      <c r="R167">
        <f t="shared" ref="R167" si="812">R168+Q167</f>
        <v>133617133.21667421</v>
      </c>
      <c r="S167">
        <f t="shared" ref="S167" si="813">R167/100000</f>
        <v>1336.1713321667421</v>
      </c>
      <c r="T167">
        <f t="shared" ref="T167" si="814">S167/1000</f>
        <v>1.3361713321667421</v>
      </c>
    </row>
    <row r="168" spans="1:20" x14ac:dyDescent="0.25">
      <c r="A168" s="5">
        <v>44425</v>
      </c>
      <c r="B168">
        <v>0.30030000000000001</v>
      </c>
      <c r="C168">
        <v>0.33</v>
      </c>
      <c r="D168">
        <v>0.28000000000000003</v>
      </c>
      <c r="E168">
        <v>0.2828</v>
      </c>
      <c r="F168">
        <v>28507665</v>
      </c>
      <c r="G168">
        <v>0.2828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-0.88800000000000123</v>
      </c>
      <c r="Q168">
        <f t="shared" ref="Q168" si="816">F168*P168</f>
        <v>-25314806.520000037</v>
      </c>
      <c r="R168">
        <f t="shared" ref="R168" si="817">R169+Q168</f>
        <v>145300142.22347695</v>
      </c>
      <c r="S168">
        <f t="shared" ref="S168" si="818">R168/100000</f>
        <v>1453.0014222347695</v>
      </c>
      <c r="T168">
        <f t="shared" ref="T168" si="819">S168/1000</f>
        <v>1.4530014222347696</v>
      </c>
    </row>
    <row r="169" spans="1:20" x14ac:dyDescent="0.25">
      <c r="A169" s="5">
        <v>44424</v>
      </c>
      <c r="B169">
        <v>0.32169999999999999</v>
      </c>
      <c r="C169">
        <v>0.34839999999999999</v>
      </c>
      <c r="D169">
        <v>0.29330000000000001</v>
      </c>
      <c r="E169">
        <v>0.30030000000000001</v>
      </c>
      <c r="F169">
        <v>45105823</v>
      </c>
      <c r="G169">
        <v>0.30030000000000001</v>
      </c>
      <c r="L169" t="s">
        <v>8</v>
      </c>
      <c r="M169" t="s">
        <v>8</v>
      </c>
      <c r="N169" t="s">
        <v>7</v>
      </c>
      <c r="P169">
        <f t="shared" ref="P169" si="820">IF(C169=D169,0,((E169-D169)-(C169-E169))/(C169-D169))</f>
        <v>-0.74591651542649695</v>
      </c>
      <c r="Q169">
        <f t="shared" ref="Q169" si="821">F169*P169</f>
        <v>-33645178.317604341</v>
      </c>
      <c r="R169">
        <f t="shared" ref="R169" si="822">R170+Q169</f>
        <v>170614948.74347699</v>
      </c>
      <c r="S169">
        <f t="shared" ref="S169" si="823">R169/100000</f>
        <v>1706.14948743477</v>
      </c>
      <c r="T169">
        <f t="shared" ref="T169" si="824">S169/1000</f>
        <v>1.70614948743477</v>
      </c>
    </row>
    <row r="170" spans="1:20" x14ac:dyDescent="0.25">
      <c r="A170" s="5">
        <v>44423</v>
      </c>
      <c r="B170">
        <v>0.29220000000000002</v>
      </c>
      <c r="C170">
        <v>0.33929999999999999</v>
      </c>
      <c r="D170">
        <v>0.28139999999999998</v>
      </c>
      <c r="E170">
        <v>0.32179999999999997</v>
      </c>
      <c r="F170">
        <v>60472806</v>
      </c>
      <c r="G170">
        <v>0.32179999999999997</v>
      </c>
      <c r="L170" t="s">
        <v>8</v>
      </c>
      <c r="M170" t="s">
        <v>8</v>
      </c>
      <c r="N170" t="s">
        <v>7</v>
      </c>
      <c r="P170">
        <f t="shared" ref="P170" si="825">IF(C170=D170,0,((E170-D170)-(C170-E170))/(C170-D170))</f>
        <v>0.39550949913644168</v>
      </c>
      <c r="Q170">
        <f t="shared" ref="Q170" si="826">F170*P170</f>
        <v>23917569.212435205</v>
      </c>
      <c r="R170">
        <f t="shared" ref="R170" si="827">R171+Q170</f>
        <v>204260127.06108132</v>
      </c>
      <c r="S170">
        <f t="shared" ref="S170" si="828">R170/100000</f>
        <v>2042.6012706108131</v>
      </c>
      <c r="T170">
        <f t="shared" ref="T170" si="829">S170/1000</f>
        <v>2.0426012706108132</v>
      </c>
    </row>
    <row r="171" spans="1:20" x14ac:dyDescent="0.25">
      <c r="A171" s="5">
        <v>44422</v>
      </c>
      <c r="B171">
        <v>0.31319999999999998</v>
      </c>
      <c r="C171">
        <v>0.31330000000000002</v>
      </c>
      <c r="D171">
        <v>0.27479999999999999</v>
      </c>
      <c r="E171">
        <v>0.29249999999999998</v>
      </c>
      <c r="F171">
        <v>24896692</v>
      </c>
      <c r="G171">
        <v>0.29249999999999998</v>
      </c>
      <c r="L171" t="s">
        <v>7</v>
      </c>
      <c r="M171" t="s">
        <v>8</v>
      </c>
      <c r="N171" t="s">
        <v>7</v>
      </c>
      <c r="P171">
        <f t="shared" ref="P171" si="830">IF(C171=D171,0,((E171-D171)-(C171-E171))/(C171-D171))</f>
        <v>-8.051948051948167E-2</v>
      </c>
      <c r="Q171">
        <f t="shared" ref="Q171" si="831">F171*P171</f>
        <v>-2004668.7064935351</v>
      </c>
      <c r="R171">
        <f t="shared" ref="R171" si="832">R172+Q171</f>
        <v>180342557.8486461</v>
      </c>
      <c r="S171">
        <f t="shared" ref="S171" si="833">R171/100000</f>
        <v>1803.4255784864611</v>
      </c>
      <c r="T171">
        <f t="shared" ref="T171" si="834">S171/1000</f>
        <v>1.803425578486461</v>
      </c>
    </row>
    <row r="172" spans="1:20" x14ac:dyDescent="0.25">
      <c r="A172" s="5">
        <v>44421</v>
      </c>
      <c r="B172">
        <v>0.28289999999999998</v>
      </c>
      <c r="C172">
        <v>0.32</v>
      </c>
      <c r="D172">
        <v>0.2797</v>
      </c>
      <c r="E172">
        <v>0.31319999999999998</v>
      </c>
      <c r="F172">
        <v>34355628</v>
      </c>
      <c r="G172">
        <v>0.31319999999999998</v>
      </c>
      <c r="L172" t="s">
        <v>8</v>
      </c>
      <c r="M172" t="s">
        <v>8</v>
      </c>
      <c r="N172" t="s">
        <v>7</v>
      </c>
      <c r="P172">
        <f t="shared" ref="P172" si="835">IF(C172=D172,0,((E172-D172)-(C172-E172))/(C172-D172))</f>
        <v>0.66253101736972564</v>
      </c>
      <c r="Q172">
        <f t="shared" ref="Q172" si="836">F172*P172</f>
        <v>22761669.171215832</v>
      </c>
      <c r="R172">
        <f t="shared" ref="R172" si="837">R173+Q172</f>
        <v>182347226.55513963</v>
      </c>
      <c r="S172">
        <f t="shared" ref="S172" si="838">R172/100000</f>
        <v>1823.4722655513963</v>
      </c>
      <c r="T172">
        <f t="shared" ref="T172" si="839">S172/1000</f>
        <v>1.8234722655513962</v>
      </c>
    </row>
    <row r="173" spans="1:20" x14ac:dyDescent="0.25">
      <c r="A173" s="5">
        <v>44420</v>
      </c>
      <c r="B173">
        <v>0.29120000000000001</v>
      </c>
      <c r="C173">
        <v>0.30320000000000003</v>
      </c>
      <c r="D173">
        <v>0.26500000000000001</v>
      </c>
      <c r="E173">
        <v>0.28270000000000001</v>
      </c>
      <c r="F173">
        <v>32702430</v>
      </c>
      <c r="G173">
        <v>0.28270000000000001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-7.3298429319372346E-2</v>
      </c>
      <c r="Q173">
        <f t="shared" ref="Q173" si="841">F173*P173</f>
        <v>-2397036.7539267219</v>
      </c>
      <c r="R173">
        <f t="shared" ref="R173" si="842">R174+Q173</f>
        <v>159585557.3839238</v>
      </c>
      <c r="S173">
        <f t="shared" ref="S173" si="843">R173/100000</f>
        <v>1595.8555738392379</v>
      </c>
      <c r="T173">
        <f t="shared" ref="T173" si="844">S173/1000</f>
        <v>1.5958555738392379</v>
      </c>
    </row>
    <row r="174" spans="1:20" x14ac:dyDescent="0.25">
      <c r="A174" s="5">
        <v>44419</v>
      </c>
      <c r="B174">
        <v>0.29399999999999998</v>
      </c>
      <c r="C174">
        <v>0.3095</v>
      </c>
      <c r="D174">
        <v>0.28970000000000001</v>
      </c>
      <c r="E174">
        <v>0.2913</v>
      </c>
      <c r="F174">
        <v>42808796</v>
      </c>
      <c r="G174">
        <v>0.2913</v>
      </c>
      <c r="L174" t="s">
        <v>8</v>
      </c>
      <c r="M174" t="s">
        <v>8</v>
      </c>
      <c r="N174" t="s">
        <v>7</v>
      </c>
      <c r="P174">
        <f t="shared" ref="P174" si="845">IF(C174=D174,0,((E174-D174)-(C174-E174))/(C174-D174))</f>
        <v>-0.83838383838383923</v>
      </c>
      <c r="Q174">
        <f t="shared" ref="Q174" si="846">F174*P174</f>
        <v>-35890202.707070746</v>
      </c>
      <c r="R174">
        <f t="shared" ref="R174" si="847">R175+Q174</f>
        <v>161982594.13785052</v>
      </c>
      <c r="S174">
        <f t="shared" ref="S174" si="848">R174/100000</f>
        <v>1619.8259413785051</v>
      </c>
      <c r="T174">
        <f t="shared" ref="T174" si="849">S174/1000</f>
        <v>1.6198259413785052</v>
      </c>
    </row>
    <row r="175" spans="1:20" x14ac:dyDescent="0.25">
      <c r="A175" s="5">
        <v>44418</v>
      </c>
      <c r="B175">
        <v>0.3105</v>
      </c>
      <c r="C175">
        <v>0.3125</v>
      </c>
      <c r="D175">
        <v>0.28599999999999998</v>
      </c>
      <c r="E175">
        <v>0.29399999999999998</v>
      </c>
      <c r="F175">
        <v>40389137</v>
      </c>
      <c r="G175">
        <v>0.29399999999999998</v>
      </c>
      <c r="L175" t="s">
        <v>7</v>
      </c>
      <c r="M175" t="s">
        <v>8</v>
      </c>
      <c r="N175" t="s">
        <v>7</v>
      </c>
      <c r="P175">
        <f t="shared" ref="P175" si="850">IF(C175=D175,0,((E175-D175)-(C175-E175))/(C175-D175))</f>
        <v>-0.39622641509433965</v>
      </c>
      <c r="Q175">
        <f t="shared" ref="Q175" si="851">F175*P175</f>
        <v>-16003242.962264152</v>
      </c>
      <c r="R175">
        <f t="shared" ref="R175" si="852">R176+Q175</f>
        <v>197872796.84492126</v>
      </c>
      <c r="S175">
        <f t="shared" ref="S175" si="853">R175/100000</f>
        <v>1978.7279684492125</v>
      </c>
      <c r="T175">
        <f t="shared" ref="T175" si="854">S175/1000</f>
        <v>1.9787279684492125</v>
      </c>
    </row>
    <row r="176" spans="1:20" x14ac:dyDescent="0.25">
      <c r="A176" s="5">
        <v>44417</v>
      </c>
      <c r="B176">
        <v>0.28499999999999998</v>
      </c>
      <c r="C176">
        <v>0.33250000000000002</v>
      </c>
      <c r="D176">
        <v>0.28010000000000002</v>
      </c>
      <c r="E176">
        <v>0.311</v>
      </c>
      <c r="F176">
        <v>63105005</v>
      </c>
      <c r="G176">
        <v>0.311</v>
      </c>
      <c r="L176" t="s">
        <v>8</v>
      </c>
      <c r="M176" t="s">
        <v>8</v>
      </c>
      <c r="N176" t="s">
        <v>7</v>
      </c>
      <c r="P176">
        <f t="shared" ref="P176" si="855">IF(C176=D176,0,((E176-D176)-(C176-E176))/(C176-D176))</f>
        <v>0.17938931297709854</v>
      </c>
      <c r="Q176">
        <f t="shared" ref="Q176" si="856">F176*P176</f>
        <v>11320363.492366368</v>
      </c>
      <c r="R176">
        <f t="shared" ref="R176" si="857">R177+Q176</f>
        <v>213876039.80718541</v>
      </c>
      <c r="S176">
        <f t="shared" ref="S176" si="858">R176/100000</f>
        <v>2138.7603980718541</v>
      </c>
      <c r="T176">
        <f t="shared" ref="T176" si="859">S176/1000</f>
        <v>2.1387603980718541</v>
      </c>
    </row>
    <row r="177" spans="1:20" x14ac:dyDescent="0.25">
      <c r="A177" s="5">
        <v>44416</v>
      </c>
      <c r="B177">
        <v>0.2964</v>
      </c>
      <c r="C177">
        <v>0.35470000000000002</v>
      </c>
      <c r="D177">
        <v>0.27629999999999999</v>
      </c>
      <c r="E177">
        <v>0.28460000000000002</v>
      </c>
      <c r="F177">
        <v>100940616</v>
      </c>
      <c r="G177">
        <v>0.28460000000000002</v>
      </c>
      <c r="L177" t="s">
        <v>7</v>
      </c>
      <c r="M177" t="s">
        <v>7</v>
      </c>
      <c r="N177" t="s">
        <v>7</v>
      </c>
      <c r="P177">
        <f t="shared" ref="P177" si="860">IF(C177=D177,0,((E177-D177)-(C177-E177))/(C177-D177))</f>
        <v>-0.78826530612244827</v>
      </c>
      <c r="Q177">
        <f t="shared" ref="Q177" si="861">F177*P177</f>
        <v>-79567985.571428493</v>
      </c>
      <c r="R177">
        <f t="shared" ref="R177" si="862">R178+Q177</f>
        <v>202555676.31481904</v>
      </c>
      <c r="S177">
        <f t="shared" ref="S177" si="863">R177/100000</f>
        <v>2025.5567631481904</v>
      </c>
      <c r="T177">
        <f t="shared" ref="T177" si="864">S177/1000</f>
        <v>2.0255567631481903</v>
      </c>
    </row>
    <row r="178" spans="1:20" x14ac:dyDescent="0.25">
      <c r="A178" s="5">
        <v>44415</v>
      </c>
      <c r="B178">
        <v>0.3337</v>
      </c>
      <c r="C178">
        <v>0.3553</v>
      </c>
      <c r="D178">
        <v>0.28220000000000001</v>
      </c>
      <c r="E178">
        <v>0.29659999999999997</v>
      </c>
      <c r="F178">
        <v>86421471</v>
      </c>
      <c r="G178">
        <v>0.29659999999999997</v>
      </c>
      <c r="L178" t="s">
        <v>7</v>
      </c>
      <c r="M178" t="s">
        <v>7</v>
      </c>
      <c r="N178" t="s">
        <v>7</v>
      </c>
      <c r="P178">
        <f t="shared" ref="P178" si="865">IF(C178=D178,0,((E178-D178)-(C178-E178))/(C178-D178))</f>
        <v>-0.60601915184678612</v>
      </c>
      <c r="Q178">
        <f t="shared" ref="Q178" si="866">F178*P178</f>
        <v>-52373066.556771621</v>
      </c>
      <c r="R178">
        <f t="shared" ref="R178" si="867">R179+Q178</f>
        <v>282123661.88624752</v>
      </c>
      <c r="S178">
        <f t="shared" ref="S178" si="868">R178/100000</f>
        <v>2821.2366188624751</v>
      </c>
      <c r="T178">
        <f t="shared" ref="T178" si="869">S178/1000</f>
        <v>2.8212366188624749</v>
      </c>
    </row>
    <row r="179" spans="1:20" x14ac:dyDescent="0.25">
      <c r="A179" s="5">
        <v>44414</v>
      </c>
      <c r="B179">
        <v>0.22270000000000001</v>
      </c>
      <c r="C179">
        <v>0.55000000000000004</v>
      </c>
      <c r="D179">
        <v>0.22270000000000001</v>
      </c>
      <c r="E179">
        <v>0.3337</v>
      </c>
      <c r="F179">
        <v>208985380</v>
      </c>
      <c r="G179">
        <v>0.3337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-0.32172318973418895</v>
      </c>
      <c r="Q179">
        <f t="shared" ref="Q179" si="871">F179*P179</f>
        <v>-67235443.061411574</v>
      </c>
      <c r="R179">
        <f t="shared" ref="R179" si="872">R180+Q179</f>
        <v>334496728.44301915</v>
      </c>
      <c r="S179">
        <f t="shared" ref="S179" si="873">R179/100000</f>
        <v>3344.9672844301917</v>
      </c>
      <c r="T179">
        <f t="shared" ref="T179" si="874">S179/1000</f>
        <v>3.3449672844301919</v>
      </c>
    </row>
    <row r="180" spans="1:20" x14ac:dyDescent="0.25">
      <c r="A180" s="5">
        <v>44413</v>
      </c>
      <c r="B180">
        <v>0.21740000000000001</v>
      </c>
      <c r="C180">
        <v>0.39779999999999999</v>
      </c>
      <c r="D180">
        <v>0.2109</v>
      </c>
      <c r="E180">
        <v>0.38240000000000002</v>
      </c>
      <c r="F180">
        <v>297623306</v>
      </c>
      <c r="G180">
        <v>0.38240000000000002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0.83520599250936356</v>
      </c>
      <c r="Q180">
        <f t="shared" ref="Q180" si="876">F180*P180</f>
        <v>248576768.68164802</v>
      </c>
      <c r="R180">
        <f t="shared" ref="R180" si="877">R181+Q180</f>
        <v>401732171.50443071</v>
      </c>
      <c r="S180">
        <f t="shared" ref="S180" si="878">R180/100000</f>
        <v>4017.321715044307</v>
      </c>
      <c r="T180">
        <f t="shared" ref="T180" si="879">S180/1000</f>
        <v>4.0173217150443072</v>
      </c>
    </row>
    <row r="181" spans="1:20" x14ac:dyDescent="0.25">
      <c r="A181" s="5">
        <v>44412</v>
      </c>
      <c r="B181">
        <v>0.19750000000000001</v>
      </c>
      <c r="C181">
        <v>0.22800000000000001</v>
      </c>
      <c r="D181">
        <v>0.1948</v>
      </c>
      <c r="E181">
        <v>0.21740000000000001</v>
      </c>
      <c r="F181">
        <v>30235706.41</v>
      </c>
      <c r="G181">
        <v>0.21740000000000001</v>
      </c>
      <c r="L181" t="s">
        <v>8</v>
      </c>
      <c r="M181" t="s">
        <v>7</v>
      </c>
      <c r="N181" t="s">
        <v>7</v>
      </c>
      <c r="P181">
        <f t="shared" ref="P181" si="880">IF(C181=D181,0,((E181-D181)-(C181-E181))/(C181-D181))</f>
        <v>0.36144578313253034</v>
      </c>
      <c r="Q181">
        <f t="shared" ref="Q181" si="881">F181*P181</f>
        <v>10928568.581927717</v>
      </c>
      <c r="R181">
        <f t="shared" ref="R181" si="882">R182+Q181</f>
        <v>153155402.8227827</v>
      </c>
      <c r="S181">
        <f t="shared" ref="S181" si="883">R181/100000</f>
        <v>1531.5540282278268</v>
      </c>
      <c r="T181">
        <f t="shared" ref="T181" si="884">S181/1000</f>
        <v>1.5315540282278268</v>
      </c>
    </row>
    <row r="182" spans="1:20" x14ac:dyDescent="0.25">
      <c r="A182" s="5">
        <v>44411</v>
      </c>
      <c r="B182">
        <v>0.2107</v>
      </c>
      <c r="C182">
        <v>0.21590000000000001</v>
      </c>
      <c r="D182">
        <v>0.19409999999999999</v>
      </c>
      <c r="E182">
        <v>0.19739999999999999</v>
      </c>
      <c r="F182">
        <v>24192750.289999999</v>
      </c>
      <c r="G182">
        <v>0.19739999999999999</v>
      </c>
      <c r="L182" t="s">
        <v>7</v>
      </c>
      <c r="M182" t="s">
        <v>7</v>
      </c>
      <c r="N182" t="s">
        <v>7</v>
      </c>
      <c r="P182">
        <f t="shared" ref="P182" si="885">IF(C182=D182,0,((E182-D182)-(C182-E182))/(C182-D182))</f>
        <v>-0.69724770642201883</v>
      </c>
      <c r="Q182">
        <f t="shared" ref="Q182" si="886">F182*P182</f>
        <v>-16868339.651743129</v>
      </c>
      <c r="R182">
        <f t="shared" ref="R182" si="887">R183+Q182</f>
        <v>142226834.24085498</v>
      </c>
      <c r="S182">
        <f t="shared" ref="S182" si="888">R182/100000</f>
        <v>1422.2683424085499</v>
      </c>
      <c r="T182">
        <f t="shared" ref="T182" si="889">S182/1000</f>
        <v>1.4222683424085498</v>
      </c>
    </row>
    <row r="183" spans="1:20" x14ac:dyDescent="0.25">
      <c r="A183" s="5">
        <v>44410</v>
      </c>
      <c r="B183">
        <v>0.20300000000000001</v>
      </c>
      <c r="C183">
        <v>0.22989999999999999</v>
      </c>
      <c r="D183">
        <v>0.20130000000000001</v>
      </c>
      <c r="E183">
        <v>0.21060000000000001</v>
      </c>
      <c r="F183">
        <v>26886971.039999999</v>
      </c>
      <c r="G183">
        <v>0.21060000000000001</v>
      </c>
      <c r="L183" t="s">
        <v>8</v>
      </c>
      <c r="M183" t="s">
        <v>7</v>
      </c>
      <c r="N183" t="s">
        <v>7</v>
      </c>
      <c r="P183">
        <f t="shared" ref="P183" si="890">IF(C183=D183,0,((E183-D183)-(C183-E183))/(C183-D183))</f>
        <v>-0.34965034965034913</v>
      </c>
      <c r="Q183">
        <f t="shared" ref="Q183" si="891">F183*P183</f>
        <v>-9401038.8251748104</v>
      </c>
      <c r="R183">
        <f t="shared" ref="R183" si="892">R184+Q183</f>
        <v>159095173.89259812</v>
      </c>
      <c r="S183">
        <f t="shared" ref="S183" si="893">R183/100000</f>
        <v>1590.9517389259813</v>
      </c>
      <c r="T183">
        <f t="shared" ref="T183" si="894">S183/1000</f>
        <v>1.5909517389259813</v>
      </c>
    </row>
    <row r="184" spans="1:20" x14ac:dyDescent="0.25">
      <c r="A184" s="5">
        <v>44409</v>
      </c>
      <c r="B184">
        <v>0.2258</v>
      </c>
      <c r="C184">
        <v>0.23089999999999999</v>
      </c>
      <c r="D184">
        <v>0.2001</v>
      </c>
      <c r="E184">
        <v>0.20300000000000001</v>
      </c>
      <c r="F184">
        <v>28984251.440000001</v>
      </c>
      <c r="G184">
        <v>0.20300000000000001</v>
      </c>
      <c r="L184" t="s">
        <v>7</v>
      </c>
      <c r="M184" t="s">
        <v>7</v>
      </c>
      <c r="N184" t="s">
        <v>7</v>
      </c>
      <c r="P184">
        <f t="shared" ref="P184" si="895">IF(C184=D184,0,((E184-D184)-(C184-E184))/(C184-D184))</f>
        <v>-0.81168831168831079</v>
      </c>
      <c r="Q184">
        <f t="shared" ref="Q184" si="896">F184*P184</f>
        <v>-23526178.116883092</v>
      </c>
      <c r="R184">
        <f t="shared" ref="R184" si="897">R185+Q184</f>
        <v>168496212.71777293</v>
      </c>
      <c r="S184">
        <f t="shared" ref="S184" si="898">R184/100000</f>
        <v>1684.9621271777294</v>
      </c>
      <c r="T184">
        <f t="shared" ref="T184" si="899">S184/1000</f>
        <v>1.6849621271777293</v>
      </c>
    </row>
    <row r="185" spans="1:20" x14ac:dyDescent="0.25">
      <c r="A185" s="5">
        <v>44408</v>
      </c>
      <c r="B185">
        <v>0.24060000000000001</v>
      </c>
      <c r="C185">
        <v>0.2424</v>
      </c>
      <c r="D185">
        <v>0.21840000000000001</v>
      </c>
      <c r="E185">
        <v>0.22600000000000001</v>
      </c>
      <c r="F185">
        <v>25190811.530000001</v>
      </c>
      <c r="G185">
        <v>0.22600000000000001</v>
      </c>
      <c r="L185" t="s">
        <v>8</v>
      </c>
      <c r="M185" t="s">
        <v>7</v>
      </c>
      <c r="N185" t="s">
        <v>7</v>
      </c>
      <c r="P185">
        <f t="shared" ref="P185" si="900">IF(C185=D185,0,((E185-D185)-(C185-E185))/(C185-D185))</f>
        <v>-0.36666666666666686</v>
      </c>
      <c r="Q185">
        <f t="shared" ref="Q185" si="901">F185*P185</f>
        <v>-9236630.8943333384</v>
      </c>
      <c r="R185">
        <f t="shared" ref="R185" si="902">R186+Q185</f>
        <v>192022390.83465603</v>
      </c>
      <c r="S185">
        <f t="shared" ref="S185" si="903">R185/100000</f>
        <v>1920.2239083465604</v>
      </c>
      <c r="T185">
        <f t="shared" ref="T185" si="904">S185/1000</f>
        <v>1.9202239083465604</v>
      </c>
    </row>
    <row r="186" spans="1:20" x14ac:dyDescent="0.25">
      <c r="A186" s="5">
        <v>44407</v>
      </c>
      <c r="B186">
        <v>0.2341</v>
      </c>
      <c r="C186">
        <v>0.24110000000000001</v>
      </c>
      <c r="D186">
        <v>0.21</v>
      </c>
      <c r="E186">
        <v>0.24049999999999999</v>
      </c>
      <c r="F186">
        <v>45203137.770000003</v>
      </c>
      <c r="G186">
        <v>0.24049999999999999</v>
      </c>
      <c r="L186" t="s">
        <v>7</v>
      </c>
      <c r="M186" t="s">
        <v>7</v>
      </c>
      <c r="N186" t="s">
        <v>7</v>
      </c>
      <c r="P186">
        <f t="shared" ref="P186" si="905">IF(C186=D186,0,((E186-D186)-(C186-E186))/(C186-D186))</f>
        <v>0.96141479099678351</v>
      </c>
      <c r="Q186">
        <f t="shared" ref="Q186" si="906">F186*P186</f>
        <v>43458965.251543365</v>
      </c>
      <c r="R186">
        <f t="shared" ref="R186" si="907">R187+Q186</f>
        <v>201259021.72898936</v>
      </c>
      <c r="S186">
        <f t="shared" ref="S186" si="908">R186/100000</f>
        <v>2012.5902172898936</v>
      </c>
      <c r="T186">
        <f t="shared" ref="T186" si="909">S186/1000</f>
        <v>2.0125902172898935</v>
      </c>
    </row>
    <row r="187" spans="1:20" x14ac:dyDescent="0.25">
      <c r="A187" s="5">
        <v>44406</v>
      </c>
      <c r="B187">
        <v>0.2419</v>
      </c>
      <c r="C187">
        <v>0.25990000000000002</v>
      </c>
      <c r="D187">
        <v>0.23050000000000001</v>
      </c>
      <c r="E187">
        <v>0.23350000000000001</v>
      </c>
      <c r="F187">
        <v>40108526.380000003</v>
      </c>
      <c r="G187">
        <v>0.23350000000000001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-0.79591836734693866</v>
      </c>
      <c r="Q187">
        <f t="shared" ref="Q187" si="911">F187*P187</f>
        <v>-31923112.833061222</v>
      </c>
      <c r="R187">
        <f t="shared" ref="R187" si="912">R188+Q187</f>
        <v>157800056.47744599</v>
      </c>
      <c r="S187">
        <f t="shared" ref="S187" si="913">R187/100000</f>
        <v>1578.0005647744599</v>
      </c>
      <c r="T187">
        <f t="shared" ref="T187" si="914">S187/1000</f>
        <v>1.5780005647744599</v>
      </c>
    </row>
    <row r="188" spans="1:20" x14ac:dyDescent="0.25">
      <c r="A188" s="5">
        <v>44405</v>
      </c>
      <c r="B188">
        <v>0.25209999999999999</v>
      </c>
      <c r="C188">
        <v>0.25750000000000001</v>
      </c>
      <c r="D188">
        <v>0.2273</v>
      </c>
      <c r="E188">
        <v>0.2419</v>
      </c>
      <c r="F188">
        <v>49107846.490000002</v>
      </c>
      <c r="G188">
        <v>0.2419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-3.3112582781456977E-2</v>
      </c>
      <c r="Q188">
        <f t="shared" ref="Q188" si="916">F188*P188</f>
        <v>-1626087.6321192065</v>
      </c>
      <c r="R188">
        <f t="shared" ref="R188" si="917">R189+Q188</f>
        <v>189723169.31050721</v>
      </c>
      <c r="S188">
        <f t="shared" ref="S188" si="918">R188/100000</f>
        <v>1897.2316931050721</v>
      </c>
      <c r="T188">
        <f t="shared" ref="T188" si="919">S188/1000</f>
        <v>1.8972316931050721</v>
      </c>
    </row>
    <row r="189" spans="1:20" x14ac:dyDescent="0.25">
      <c r="A189" s="5">
        <v>44404</v>
      </c>
      <c r="B189">
        <v>0.21929999999999999</v>
      </c>
      <c r="C189">
        <v>0.26500000000000001</v>
      </c>
      <c r="D189">
        <v>0.19209999999999999</v>
      </c>
      <c r="E189">
        <v>0.25130000000000002</v>
      </c>
      <c r="F189">
        <v>84533518.810000002</v>
      </c>
      <c r="G189">
        <v>0.25130000000000002</v>
      </c>
      <c r="L189" t="s">
        <v>7</v>
      </c>
      <c r="M189" t="s">
        <v>7</v>
      </c>
      <c r="N189" t="s">
        <v>7</v>
      </c>
      <c r="P189">
        <f t="shared" ref="P189" si="920">IF(C189=D189,0,((E189-D189)-(C189-E189))/(C189-D189))</f>
        <v>0.62414266117969863</v>
      </c>
      <c r="Q189">
        <f t="shared" ref="Q189" si="921">F189*P189</f>
        <v>52760975.388957515</v>
      </c>
      <c r="R189">
        <f t="shared" ref="R189" si="922">R190+Q189</f>
        <v>191349256.94262642</v>
      </c>
      <c r="S189">
        <f t="shared" ref="S189" si="923">R189/100000</f>
        <v>1913.4925694262643</v>
      </c>
      <c r="T189">
        <f t="shared" ref="T189" si="924">S189/1000</f>
        <v>1.9134925694262643</v>
      </c>
    </row>
    <row r="190" spans="1:20" x14ac:dyDescent="0.25">
      <c r="A190" s="5">
        <v>44403</v>
      </c>
      <c r="B190">
        <v>0.28100000000000003</v>
      </c>
      <c r="C190">
        <v>0.2999</v>
      </c>
      <c r="D190">
        <v>0.20660000000000001</v>
      </c>
      <c r="E190">
        <v>0.2195</v>
      </c>
      <c r="F190">
        <v>120094451.67</v>
      </c>
      <c r="G190">
        <v>0.2195</v>
      </c>
      <c r="L190" t="s">
        <v>8</v>
      </c>
      <c r="M190" t="s">
        <v>8</v>
      </c>
      <c r="N190" t="s">
        <v>8</v>
      </c>
      <c r="P190">
        <f t="shared" ref="P190" si="925">IF(C190=D190,0,((E190-D190)-(C190-E190))/(C190-D190))</f>
        <v>-0.72347266881028949</v>
      </c>
      <c r="Q190">
        <f t="shared" ref="Q190" si="926">F190*P190</f>
        <v>-86885053.459003225</v>
      </c>
      <c r="R190">
        <f t="shared" ref="R190" si="927">R191+Q190</f>
        <v>138588281.55366892</v>
      </c>
      <c r="S190">
        <f t="shared" ref="S190" si="928">R190/100000</f>
        <v>1385.8828155366891</v>
      </c>
      <c r="T190">
        <f t="shared" ref="T190" si="929">S190/1000</f>
        <v>1.3858828155366891</v>
      </c>
    </row>
    <row r="191" spans="1:20" x14ac:dyDescent="0.25">
      <c r="A191" s="5">
        <v>44402</v>
      </c>
      <c r="B191">
        <v>0.21890000000000001</v>
      </c>
      <c r="C191">
        <v>0.28549999999999998</v>
      </c>
      <c r="D191">
        <v>0.20810000000000001</v>
      </c>
      <c r="E191">
        <v>0.28089999999999998</v>
      </c>
      <c r="F191">
        <v>163760292.30000001</v>
      </c>
      <c r="G191">
        <v>0.28089999999999998</v>
      </c>
      <c r="L191" t="s">
        <v>8</v>
      </c>
      <c r="M191" t="s">
        <v>8</v>
      </c>
      <c r="N191" t="s">
        <v>8</v>
      </c>
      <c r="P191">
        <f t="shared" ref="P191" si="930">IF(C191=D191,0,((E191-D191)-(C191-E191))/(C191-D191))</f>
        <v>0.88113695090439292</v>
      </c>
      <c r="Q191">
        <f t="shared" ref="Q191" si="931">F191*P191</f>
        <v>144295244.63643414</v>
      </c>
      <c r="R191">
        <f t="shared" ref="R191" si="932">R192+Q191</f>
        <v>225473335.01267213</v>
      </c>
      <c r="S191">
        <f t="shared" ref="S191" si="933">R191/100000</f>
        <v>2254.7333501267212</v>
      </c>
      <c r="T191">
        <f t="shared" ref="T191:T197" si="934">S191/1000</f>
        <v>2.2547333501267213</v>
      </c>
    </row>
    <row r="192" spans="1:20" x14ac:dyDescent="0.25">
      <c r="A192" s="5">
        <v>44401</v>
      </c>
      <c r="B192">
        <v>0.19539999999999999</v>
      </c>
      <c r="C192">
        <v>0.223</v>
      </c>
      <c r="D192">
        <v>0.18559999999999999</v>
      </c>
      <c r="E192">
        <v>0.21890000000000001</v>
      </c>
      <c r="F192">
        <v>130899330.14</v>
      </c>
      <c r="G192">
        <v>0.21890000000000001</v>
      </c>
      <c r="L192" t="s">
        <v>8</v>
      </c>
      <c r="M192" t="s">
        <v>8</v>
      </c>
      <c r="N192" t="s">
        <v>8</v>
      </c>
      <c r="P192">
        <f t="shared" ref="P192" si="935">IF(C192=D192,0,((E192-D192)-(C192-E192))/(C192-D192))</f>
        <v>0.78074866310160473</v>
      </c>
      <c r="Q192">
        <f t="shared" ref="Q192" si="936">F192*P192</f>
        <v>102199477.00770059</v>
      </c>
      <c r="R192">
        <f t="shared" ref="R192" si="937">R193+Q192</f>
        <v>81178090.376237974</v>
      </c>
      <c r="S192">
        <f t="shared" ref="S192" si="938">R192/100000</f>
        <v>811.78090376237969</v>
      </c>
      <c r="T192">
        <f t="shared" si="934"/>
        <v>0.81178090376237966</v>
      </c>
    </row>
    <row r="193" spans="1:20" x14ac:dyDescent="0.25">
      <c r="A193" s="5">
        <v>44400</v>
      </c>
      <c r="B193">
        <v>0.1484</v>
      </c>
      <c r="C193">
        <v>0.19789999999999999</v>
      </c>
      <c r="D193">
        <v>0.14649999999999999</v>
      </c>
      <c r="E193">
        <v>0.19520000000000001</v>
      </c>
      <c r="F193">
        <v>94371354.829999998</v>
      </c>
      <c r="G193">
        <v>0.19520000000000001</v>
      </c>
      <c r="L193" t="s">
        <v>8</v>
      </c>
      <c r="M193" t="s">
        <v>8</v>
      </c>
      <c r="N193" t="s">
        <v>8</v>
      </c>
      <c r="P193">
        <f t="shared" ref="P193" si="939">IF(C193=D193,0,((E193-D193)-(C193-E193))/(C193-D193))</f>
        <v>0.89494163424124595</v>
      </c>
      <c r="Q193">
        <f t="shared" ref="Q193" si="940">F193*P193</f>
        <v>84456854.517120704</v>
      </c>
      <c r="R193">
        <f t="shared" ref="R193" si="941">R194+Q193</f>
        <v>-21021386.631462619</v>
      </c>
      <c r="S193">
        <f t="shared" ref="S193" si="942">R193/100000</f>
        <v>-210.21386631462619</v>
      </c>
      <c r="T193">
        <f t="shared" si="934"/>
        <v>-0.21021386631462619</v>
      </c>
    </row>
    <row r="194" spans="1:20" x14ac:dyDescent="0.25">
      <c r="A194" s="5">
        <v>44399</v>
      </c>
      <c r="B194">
        <v>0.14410000000000001</v>
      </c>
      <c r="C194">
        <v>0.1613</v>
      </c>
      <c r="D194">
        <v>0.13700000000000001</v>
      </c>
      <c r="E194">
        <v>0.14829999999999999</v>
      </c>
      <c r="F194">
        <v>75552281.310000002</v>
      </c>
      <c r="G194">
        <v>0.14829999999999999</v>
      </c>
      <c r="L194" t="s">
        <v>8</v>
      </c>
      <c r="M194" t="s">
        <v>8</v>
      </c>
      <c r="N194" t="s">
        <v>8</v>
      </c>
      <c r="P194">
        <f t="shared" ref="P194" si="943">IF(C194=D194,0,((E194-D194)-(C194-E194))/(C194-D194))</f>
        <v>-6.9958847736626986E-2</v>
      </c>
      <c r="Q194">
        <f t="shared" ref="Q194" si="944">F194*P194</f>
        <v>-5285550.5443210993</v>
      </c>
      <c r="R194">
        <f t="shared" ref="R194" si="945">R195+Q194</f>
        <v>-105478241.14858332</v>
      </c>
      <c r="S194">
        <f t="shared" ref="S194" si="946">R194/100000</f>
        <v>-1054.7824114858333</v>
      </c>
      <c r="T194">
        <f t="shared" si="934"/>
        <v>-1.0547824114858333</v>
      </c>
    </row>
    <row r="195" spans="1:20" x14ac:dyDescent="0.25">
      <c r="A195" s="5">
        <v>44398</v>
      </c>
      <c r="B195">
        <v>0.11990000000000001</v>
      </c>
      <c r="C195">
        <v>0.1459</v>
      </c>
      <c r="D195">
        <v>0.11600000000000001</v>
      </c>
      <c r="E195">
        <v>0.14399999999999999</v>
      </c>
      <c r="F195">
        <v>72794965.420000002</v>
      </c>
      <c r="G195">
        <v>0.14399999999999999</v>
      </c>
      <c r="L195" t="s">
        <v>8</v>
      </c>
      <c r="M195" t="s">
        <v>8</v>
      </c>
      <c r="N195" t="s">
        <v>7</v>
      </c>
      <c r="P195">
        <f t="shared" ref="P195" si="947">IF(C195=D195,0,((E195-D195)-(C195-E195))/(C195-D195))</f>
        <v>0.8729096989966546</v>
      </c>
      <c r="Q195">
        <f t="shared" ref="Q195" si="948">F195*P195</f>
        <v>63543431.353244081</v>
      </c>
      <c r="R195">
        <f t="shared" ref="R195" si="949">R196+Q195</f>
        <v>-100192690.60426222</v>
      </c>
      <c r="S195">
        <f t="shared" ref="S195" si="950">R195/100000</f>
        <v>-1001.9269060426221</v>
      </c>
      <c r="T195">
        <f t="shared" si="934"/>
        <v>-1.0019269060426221</v>
      </c>
    </row>
    <row r="196" spans="1:20" x14ac:dyDescent="0.25">
      <c r="A196" s="5">
        <v>44397</v>
      </c>
      <c r="B196">
        <v>0.13189999999999999</v>
      </c>
      <c r="C196">
        <v>0.13270000000000001</v>
      </c>
      <c r="D196">
        <v>0.108</v>
      </c>
      <c r="E196">
        <v>0.12</v>
      </c>
      <c r="F196">
        <v>44747119.590000004</v>
      </c>
      <c r="G196">
        <v>0.12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-2.8340080971660714E-2</v>
      </c>
      <c r="Q196">
        <f t="shared" ref="Q196" si="952">F196*P196</f>
        <v>-1268136.9924291854</v>
      </c>
      <c r="R196">
        <f t="shared" ref="R196" si="953">R197+Q196</f>
        <v>-163736121.9575063</v>
      </c>
      <c r="S196">
        <f t="shared" ref="S196" si="954">R196/100000</f>
        <v>-1637.3612195750629</v>
      </c>
      <c r="T196">
        <f t="shared" si="934"/>
        <v>-1.6373612195750629</v>
      </c>
    </row>
    <row r="197" spans="1:20" x14ac:dyDescent="0.25">
      <c r="A197" s="5">
        <v>44396</v>
      </c>
      <c r="B197">
        <v>0.15090000000000001</v>
      </c>
      <c r="C197">
        <v>0.15490000000000001</v>
      </c>
      <c r="D197">
        <v>0.12379999999999999</v>
      </c>
      <c r="E197">
        <v>0.13159999999999999</v>
      </c>
      <c r="F197">
        <v>49067878.270000003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-0.49839228295819954</v>
      </c>
      <c r="Q197">
        <f t="shared" ref="Q197" si="956">F197*P197</f>
        <v>-24455051.870900333</v>
      </c>
      <c r="R197">
        <f t="shared" ref="R197" si="957">R198+Q197</f>
        <v>-162467984.9650771</v>
      </c>
      <c r="S197">
        <f t="shared" ref="S197" si="958">R197/100000</f>
        <v>-1624.6798496507711</v>
      </c>
      <c r="T197">
        <f t="shared" si="934"/>
        <v>-1.6246798496507711</v>
      </c>
    </row>
    <row r="198" spans="1:20" x14ac:dyDescent="0.25">
      <c r="A198" s="5">
        <v>44395</v>
      </c>
      <c r="B198">
        <v>0.15579999999999999</v>
      </c>
      <c r="C198">
        <v>0.1817</v>
      </c>
      <c r="D198">
        <v>0.14399999999999999</v>
      </c>
      <c r="E198">
        <v>0.15090000000000001</v>
      </c>
      <c r="F198">
        <v>41242487.439999998</v>
      </c>
      <c r="G198">
        <v>0</v>
      </c>
      <c r="L198" t="s">
        <v>8</v>
      </c>
      <c r="M198" t="s">
        <v>8</v>
      </c>
      <c r="N198" t="s">
        <v>7</v>
      </c>
      <c r="P198">
        <f t="shared" ref="P198:P261" si="959">IF(C198=D198,0,((E198-D198)-(C198-E198))/(C198-D198))</f>
        <v>-0.63395225464190896</v>
      </c>
      <c r="Q198">
        <f t="shared" ref="Q198:Q261" si="960">F198*P198</f>
        <v>-26145767.899628609</v>
      </c>
      <c r="R198">
        <f t="shared" ref="R198:R261" si="961">R199+Q198</f>
        <v>-138012933.09417677</v>
      </c>
      <c r="S198">
        <f t="shared" ref="S198:S261" si="962">R198/100000</f>
        <v>-1380.1293309417676</v>
      </c>
      <c r="T198">
        <f t="shared" ref="T198:T261" si="963">S198/1000</f>
        <v>-1.3801293309417677</v>
      </c>
    </row>
    <row r="199" spans="1:20" x14ac:dyDescent="0.25">
      <c r="A199" s="5">
        <v>44394</v>
      </c>
      <c r="B199">
        <v>0.1585</v>
      </c>
      <c r="C199">
        <v>0.1699</v>
      </c>
      <c r="D199">
        <v>0.14249999999999999</v>
      </c>
      <c r="E199">
        <v>0.156</v>
      </c>
      <c r="F199">
        <v>45925301.380000003</v>
      </c>
      <c r="G199">
        <v>0</v>
      </c>
      <c r="L199" t="s">
        <v>7</v>
      </c>
      <c r="M199" t="s">
        <v>7</v>
      </c>
      <c r="N199" t="s">
        <v>7</v>
      </c>
      <c r="P199">
        <f t="shared" si="959"/>
        <v>-1.4598540145984802E-2</v>
      </c>
      <c r="Q199">
        <f t="shared" si="960"/>
        <v>-670442.35591238132</v>
      </c>
      <c r="R199">
        <f t="shared" si="961"/>
        <v>-111867165.19454816</v>
      </c>
      <c r="S199">
        <f t="shared" si="962"/>
        <v>-1118.6716519454817</v>
      </c>
      <c r="T199">
        <f t="shared" si="963"/>
        <v>-1.1186716519454818</v>
      </c>
    </row>
    <row r="200" spans="1:20" x14ac:dyDescent="0.25">
      <c r="A200" s="5">
        <v>44393</v>
      </c>
      <c r="B200">
        <v>0.21629999999999999</v>
      </c>
      <c r="C200">
        <v>0.22159999999999999</v>
      </c>
      <c r="D200">
        <v>0.1547</v>
      </c>
      <c r="E200">
        <v>0.1583</v>
      </c>
      <c r="F200">
        <v>75280367.920000002</v>
      </c>
      <c r="G200">
        <v>0</v>
      </c>
      <c r="L200" t="s">
        <v>7</v>
      </c>
      <c r="M200" t="s">
        <v>7</v>
      </c>
      <c r="N200" t="s">
        <v>7</v>
      </c>
      <c r="P200">
        <f t="shared" si="959"/>
        <v>-0.89237668161435002</v>
      </c>
      <c r="Q200">
        <f t="shared" si="960"/>
        <v>-67178444.915156975</v>
      </c>
      <c r="R200">
        <f t="shared" si="961"/>
        <v>-111196722.83863577</v>
      </c>
      <c r="S200">
        <f t="shared" si="962"/>
        <v>-1111.9672283863576</v>
      </c>
      <c r="T200">
        <f t="shared" si="963"/>
        <v>-1.1119672283863578</v>
      </c>
    </row>
    <row r="201" spans="1:20" x14ac:dyDescent="0.25">
      <c r="A201" s="5">
        <v>44392</v>
      </c>
      <c r="B201">
        <v>0.2303</v>
      </c>
      <c r="C201">
        <v>0.26729999999999998</v>
      </c>
      <c r="D201">
        <v>0.21099999999999999</v>
      </c>
      <c r="E201">
        <v>0.21659999999999999</v>
      </c>
      <c r="F201">
        <v>135359989.49000001</v>
      </c>
      <c r="G201">
        <v>0</v>
      </c>
      <c r="L201" t="s">
        <v>8</v>
      </c>
      <c r="M201" t="s">
        <v>8</v>
      </c>
      <c r="N201" t="s">
        <v>8</v>
      </c>
      <c r="P201">
        <f t="shared" si="959"/>
        <v>-0.80106571936056858</v>
      </c>
      <c r="Q201">
        <f t="shared" si="960"/>
        <v>-108432247.35344586</v>
      </c>
      <c r="R201">
        <f t="shared" si="961"/>
        <v>-44018277.923478805</v>
      </c>
      <c r="S201">
        <f t="shared" si="962"/>
        <v>-440.18277923478803</v>
      </c>
      <c r="T201">
        <f t="shared" si="963"/>
        <v>-0.44018277923478805</v>
      </c>
    </row>
    <row r="202" spans="1:20" x14ac:dyDescent="0.25">
      <c r="A202" s="5">
        <v>44391</v>
      </c>
      <c r="B202">
        <v>0.21379999999999999</v>
      </c>
      <c r="C202">
        <v>0.2389</v>
      </c>
      <c r="D202">
        <v>0.17499999999999999</v>
      </c>
      <c r="E202">
        <v>0.23019999999999999</v>
      </c>
      <c r="F202">
        <v>97405379.230000004</v>
      </c>
      <c r="G202">
        <v>0</v>
      </c>
      <c r="L202" t="s">
        <v>8</v>
      </c>
      <c r="M202" t="s">
        <v>8</v>
      </c>
      <c r="N202" t="s">
        <v>8</v>
      </c>
      <c r="P202">
        <f t="shared" si="959"/>
        <v>0.72769953051643155</v>
      </c>
      <c r="Q202">
        <f t="shared" si="960"/>
        <v>70881848.735445976</v>
      </c>
      <c r="R202">
        <f t="shared" si="961"/>
        <v>64413969.429967053</v>
      </c>
      <c r="S202">
        <f t="shared" si="962"/>
        <v>644.13969429967051</v>
      </c>
      <c r="T202">
        <f t="shared" si="963"/>
        <v>0.64413969429967055</v>
      </c>
    </row>
    <row r="203" spans="1:20" x14ac:dyDescent="0.25">
      <c r="A203" s="5">
        <v>44390</v>
      </c>
      <c r="B203">
        <v>0.17960000000000001</v>
      </c>
      <c r="C203">
        <v>0.23</v>
      </c>
      <c r="D203">
        <v>0.17219999999999999</v>
      </c>
      <c r="E203">
        <v>0.21390000000000001</v>
      </c>
      <c r="F203">
        <v>120382061.94</v>
      </c>
      <c r="G203">
        <v>0</v>
      </c>
      <c r="L203" t="s">
        <v>8</v>
      </c>
      <c r="M203" t="s">
        <v>8</v>
      </c>
      <c r="N203" t="s">
        <v>8</v>
      </c>
      <c r="P203">
        <f t="shared" si="959"/>
        <v>0.44290657439446374</v>
      </c>
      <c r="Q203">
        <f t="shared" si="960"/>
        <v>53318006.672387548</v>
      </c>
      <c r="R203">
        <f t="shared" si="961"/>
        <v>-6467879.305478923</v>
      </c>
      <c r="S203">
        <f t="shared" si="962"/>
        <v>-64.678793054789224</v>
      </c>
      <c r="T203">
        <f t="shared" si="963"/>
        <v>-6.4678793054789227E-2</v>
      </c>
    </row>
    <row r="204" spans="1:20" x14ac:dyDescent="0.25">
      <c r="A204" s="5">
        <v>44389</v>
      </c>
      <c r="B204">
        <v>0.20649999999999999</v>
      </c>
      <c r="C204">
        <v>0.20649999999999999</v>
      </c>
      <c r="D204">
        <v>0.1651</v>
      </c>
      <c r="E204">
        <v>0.18</v>
      </c>
      <c r="F204">
        <v>69800130.799999997</v>
      </c>
      <c r="G204">
        <v>0</v>
      </c>
      <c r="L204" t="s">
        <v>7</v>
      </c>
      <c r="M204" t="s">
        <v>7</v>
      </c>
      <c r="N204" t="s">
        <v>8</v>
      </c>
      <c r="P204">
        <f t="shared" si="959"/>
        <v>-0.28019323671497587</v>
      </c>
      <c r="Q204">
        <f t="shared" si="960"/>
        <v>-19557524.571980678</v>
      </c>
      <c r="R204">
        <f t="shared" si="961"/>
        <v>-59785885.977866471</v>
      </c>
      <c r="S204">
        <f t="shared" si="962"/>
        <v>-597.85885977866474</v>
      </c>
      <c r="T204">
        <f t="shared" si="963"/>
        <v>-0.59785885977866471</v>
      </c>
    </row>
    <row r="205" spans="1:20" x14ac:dyDescent="0.25">
      <c r="A205" s="5">
        <v>44388</v>
      </c>
      <c r="B205">
        <v>0.1986</v>
      </c>
      <c r="C205">
        <v>0.224</v>
      </c>
      <c r="D205">
        <v>0.18310000000000001</v>
      </c>
      <c r="E205">
        <v>0.20649999999999999</v>
      </c>
      <c r="F205">
        <v>137004930.49000001</v>
      </c>
      <c r="G205">
        <v>0</v>
      </c>
      <c r="L205" t="s">
        <v>8</v>
      </c>
      <c r="M205" t="s">
        <v>8</v>
      </c>
      <c r="N205" t="s">
        <v>8</v>
      </c>
      <c r="P205">
        <f t="shared" si="959"/>
        <v>0.14425427872860544</v>
      </c>
      <c r="Q205">
        <f t="shared" si="960"/>
        <v>19763547.430097677</v>
      </c>
      <c r="R205">
        <f t="shared" si="961"/>
        <v>-40228361.405885793</v>
      </c>
      <c r="S205">
        <f t="shared" si="962"/>
        <v>-402.28361405885795</v>
      </c>
      <c r="T205">
        <f t="shared" si="963"/>
        <v>-0.40228361405885793</v>
      </c>
    </row>
    <row r="206" spans="1:20" x14ac:dyDescent="0.25">
      <c r="A206" s="5">
        <v>44387</v>
      </c>
      <c r="B206">
        <v>0.15260000000000001</v>
      </c>
      <c r="C206">
        <v>0.19900000000000001</v>
      </c>
      <c r="D206">
        <v>0.1434</v>
      </c>
      <c r="E206">
        <v>0.19850000000000001</v>
      </c>
      <c r="F206">
        <v>92722947.140000001</v>
      </c>
      <c r="G206">
        <v>0</v>
      </c>
      <c r="L206" t="s">
        <v>8</v>
      </c>
      <c r="M206" t="s">
        <v>8</v>
      </c>
      <c r="N206" t="s">
        <v>8</v>
      </c>
      <c r="P206">
        <f t="shared" si="959"/>
        <v>0.98201438848920863</v>
      </c>
      <c r="Q206">
        <f t="shared" si="960"/>
        <v>91055268.234604314</v>
      </c>
      <c r="R206">
        <f t="shared" si="961"/>
        <v>-59991908.83598347</v>
      </c>
      <c r="S206">
        <f t="shared" si="962"/>
        <v>-599.91908835983475</v>
      </c>
      <c r="T206">
        <f t="shared" si="963"/>
        <v>-0.59991908835983476</v>
      </c>
    </row>
    <row r="207" spans="1:20" x14ac:dyDescent="0.25">
      <c r="A207" s="5">
        <v>44386</v>
      </c>
      <c r="B207">
        <v>0.12670000000000001</v>
      </c>
      <c r="C207">
        <v>0.1648</v>
      </c>
      <c r="D207">
        <v>0.1208</v>
      </c>
      <c r="E207">
        <v>0.15260000000000001</v>
      </c>
      <c r="F207">
        <v>59005077.049999997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0.44545454545454594</v>
      </c>
      <c r="Q207">
        <f t="shared" si="960"/>
        <v>26284079.776818208</v>
      </c>
      <c r="R207">
        <f t="shared" si="961"/>
        <v>-151047177.07058778</v>
      </c>
      <c r="S207">
        <f t="shared" si="962"/>
        <v>-1510.4717707058778</v>
      </c>
      <c r="T207">
        <f t="shared" si="963"/>
        <v>-1.5104717707058779</v>
      </c>
    </row>
    <row r="208" spans="1:20" x14ac:dyDescent="0.25">
      <c r="A208" s="5">
        <v>44385</v>
      </c>
      <c r="B208">
        <v>0.13550000000000001</v>
      </c>
      <c r="C208">
        <v>0.16900000000000001</v>
      </c>
      <c r="D208">
        <v>0.1239</v>
      </c>
      <c r="E208">
        <v>0.12670000000000001</v>
      </c>
      <c r="F208">
        <v>57614183.200000003</v>
      </c>
      <c r="G208">
        <v>0</v>
      </c>
      <c r="L208" t="s">
        <v>8</v>
      </c>
      <c r="M208" t="s">
        <v>8</v>
      </c>
      <c r="N208" t="s">
        <v>8</v>
      </c>
      <c r="P208">
        <f t="shared" si="959"/>
        <v>-0.87583148558758273</v>
      </c>
      <c r="Q208">
        <f t="shared" si="960"/>
        <v>-50460315.662971154</v>
      </c>
      <c r="R208">
        <f t="shared" si="961"/>
        <v>-177331256.847406</v>
      </c>
      <c r="S208">
        <f t="shared" si="962"/>
        <v>-1773.3125684740601</v>
      </c>
      <c r="T208">
        <f t="shared" si="963"/>
        <v>-1.77331256847406</v>
      </c>
    </row>
    <row r="209" spans="1:20" x14ac:dyDescent="0.25">
      <c r="A209" s="5">
        <v>44384</v>
      </c>
      <c r="B209">
        <v>0.11990000000000001</v>
      </c>
      <c r="C209">
        <v>0.15340000000000001</v>
      </c>
      <c r="D209">
        <v>0.1163</v>
      </c>
      <c r="E209">
        <v>0.13569999999999999</v>
      </c>
      <c r="F209">
        <v>78048393.709999993</v>
      </c>
      <c r="G209">
        <v>0</v>
      </c>
      <c r="L209" t="s">
        <v>8</v>
      </c>
      <c r="M209" t="s">
        <v>8</v>
      </c>
      <c r="N209" t="s">
        <v>8</v>
      </c>
      <c r="P209">
        <f t="shared" si="959"/>
        <v>4.5822102425875068E-2</v>
      </c>
      <c r="Q209">
        <f t="shared" si="960"/>
        <v>3576341.490754643</v>
      </c>
      <c r="R209">
        <f t="shared" si="961"/>
        <v>-126870941.18443485</v>
      </c>
      <c r="S209">
        <f t="shared" si="962"/>
        <v>-1268.7094118443486</v>
      </c>
      <c r="T209">
        <f t="shared" si="963"/>
        <v>-1.2687094118443485</v>
      </c>
    </row>
    <row r="210" spans="1:20" x14ac:dyDescent="0.25">
      <c r="A210" s="5">
        <v>44383</v>
      </c>
      <c r="B210">
        <v>0.1042</v>
      </c>
      <c r="C210">
        <v>0.12520000000000001</v>
      </c>
      <c r="D210">
        <v>0.1027</v>
      </c>
      <c r="E210">
        <v>0.11990000000000001</v>
      </c>
      <c r="F210">
        <v>37009953.68</v>
      </c>
      <c r="G210">
        <v>0</v>
      </c>
      <c r="L210" t="s">
        <v>8</v>
      </c>
      <c r="M210" t="s">
        <v>7</v>
      </c>
      <c r="N210" t="s">
        <v>8</v>
      </c>
      <c r="P210">
        <f t="shared" si="959"/>
        <v>0.52888888888888907</v>
      </c>
      <c r="Q210">
        <f t="shared" si="960"/>
        <v>19574153.279644452</v>
      </c>
      <c r="R210">
        <f t="shared" si="961"/>
        <v>-130447282.6751895</v>
      </c>
      <c r="S210">
        <f t="shared" si="962"/>
        <v>-1304.4728267518949</v>
      </c>
      <c r="T210">
        <f t="shared" si="963"/>
        <v>-1.3044728267518948</v>
      </c>
    </row>
    <row r="211" spans="1:20" x14ac:dyDescent="0.25">
      <c r="A211" s="5">
        <v>44382</v>
      </c>
      <c r="B211">
        <v>0.11219999999999999</v>
      </c>
      <c r="C211">
        <v>0.1249</v>
      </c>
      <c r="D211">
        <v>9.9000000000000005E-2</v>
      </c>
      <c r="E211">
        <v>0.1043</v>
      </c>
      <c r="F211">
        <v>56800523.689999998</v>
      </c>
      <c r="G211">
        <v>0</v>
      </c>
      <c r="L211" t="s">
        <v>8</v>
      </c>
      <c r="M211" t="s">
        <v>8</v>
      </c>
      <c r="N211" t="s">
        <v>8</v>
      </c>
      <c r="P211">
        <f t="shared" si="959"/>
        <v>-0.59073359073359066</v>
      </c>
      <c r="Q211">
        <f t="shared" si="960"/>
        <v>-33553977.314942081</v>
      </c>
      <c r="R211">
        <f t="shared" si="961"/>
        <v>-150021435.95483395</v>
      </c>
      <c r="S211">
        <f t="shared" si="962"/>
        <v>-1500.2143595483396</v>
      </c>
      <c r="T211">
        <f t="shared" si="963"/>
        <v>-1.5002143595483397</v>
      </c>
    </row>
    <row r="212" spans="1:20" x14ac:dyDescent="0.25">
      <c r="A212" s="5">
        <v>44381</v>
      </c>
      <c r="B212">
        <v>9.4600000000000004E-2</v>
      </c>
      <c r="C212">
        <v>0.115</v>
      </c>
      <c r="D212">
        <v>9.2299999999999993E-2</v>
      </c>
      <c r="E212">
        <v>0.11219999999999999</v>
      </c>
      <c r="F212">
        <v>25131525.350000001</v>
      </c>
      <c r="G212">
        <v>0</v>
      </c>
      <c r="L212" t="s">
        <v>8</v>
      </c>
      <c r="M212" t="s">
        <v>8</v>
      </c>
      <c r="N212" t="s">
        <v>8</v>
      </c>
      <c r="P212">
        <f t="shared" si="959"/>
        <v>0.75330396475770844</v>
      </c>
      <c r="Q212">
        <f t="shared" si="960"/>
        <v>18931677.686563857</v>
      </c>
      <c r="R212">
        <f t="shared" si="961"/>
        <v>-116467458.63989186</v>
      </c>
      <c r="S212">
        <f t="shared" si="962"/>
        <v>-1164.6745863989186</v>
      </c>
      <c r="T212">
        <f t="shared" si="963"/>
        <v>-1.1646745863989185</v>
      </c>
    </row>
    <row r="213" spans="1:20" x14ac:dyDescent="0.25">
      <c r="A213" s="5">
        <v>44380</v>
      </c>
      <c r="B213">
        <v>9.0499999999999997E-2</v>
      </c>
      <c r="C213">
        <v>0.1028</v>
      </c>
      <c r="D213">
        <v>8.8800000000000004E-2</v>
      </c>
      <c r="E213">
        <v>9.4899999999999998E-2</v>
      </c>
      <c r="F213">
        <v>13257522.41</v>
      </c>
      <c r="G213">
        <v>0</v>
      </c>
      <c r="L213" t="s">
        <v>8</v>
      </c>
      <c r="M213" t="s">
        <v>8</v>
      </c>
      <c r="N213" t="s">
        <v>8</v>
      </c>
      <c r="P213">
        <f t="shared" si="959"/>
        <v>-0.12857142857142928</v>
      </c>
      <c r="Q213">
        <f t="shared" si="960"/>
        <v>-1704538.5955714381</v>
      </c>
      <c r="R213">
        <f t="shared" si="961"/>
        <v>-135399136.32645571</v>
      </c>
      <c r="S213">
        <f t="shared" si="962"/>
        <v>-1353.9913632645571</v>
      </c>
      <c r="T213">
        <f t="shared" si="963"/>
        <v>-1.353991363264557</v>
      </c>
    </row>
    <row r="214" spans="1:20" x14ac:dyDescent="0.25">
      <c r="A214" s="5">
        <v>44379</v>
      </c>
      <c r="B214">
        <v>9.2700000000000005E-2</v>
      </c>
      <c r="C214">
        <v>9.7000000000000003E-2</v>
      </c>
      <c r="D214">
        <v>8.5099999999999995E-2</v>
      </c>
      <c r="E214">
        <v>9.0800000000000006E-2</v>
      </c>
      <c r="F214">
        <v>9304751.2300000004</v>
      </c>
      <c r="G214">
        <v>0</v>
      </c>
      <c r="L214" t="s">
        <v>7</v>
      </c>
      <c r="M214" t="s">
        <v>7</v>
      </c>
      <c r="N214" t="s">
        <v>8</v>
      </c>
      <c r="P214">
        <f t="shared" si="959"/>
        <v>-4.201680672268792E-2</v>
      </c>
      <c r="Q214">
        <f t="shared" si="960"/>
        <v>-390955.93403360271</v>
      </c>
      <c r="R214">
        <f t="shared" si="961"/>
        <v>-133694597.73088428</v>
      </c>
      <c r="S214">
        <f t="shared" si="962"/>
        <v>-1336.9459773088429</v>
      </c>
      <c r="T214">
        <f t="shared" si="963"/>
        <v>-1.3369459773088428</v>
      </c>
    </row>
    <row r="215" spans="1:20" x14ac:dyDescent="0.25">
      <c r="A215" s="5">
        <v>44378</v>
      </c>
      <c r="B215">
        <v>9.7000000000000003E-2</v>
      </c>
      <c r="C215">
        <v>0.1013</v>
      </c>
      <c r="D215">
        <v>8.8400000000000006E-2</v>
      </c>
      <c r="E215">
        <v>9.2600000000000002E-2</v>
      </c>
      <c r="F215">
        <v>12488220.210000001</v>
      </c>
      <c r="G215">
        <v>0</v>
      </c>
      <c r="L215" t="s">
        <v>8</v>
      </c>
      <c r="M215" t="s">
        <v>7</v>
      </c>
      <c r="N215" t="s">
        <v>8</v>
      </c>
      <c r="P215">
        <f t="shared" si="959"/>
        <v>-0.34883720930232603</v>
      </c>
      <c r="Q215">
        <f t="shared" si="960"/>
        <v>-4356355.8872093083</v>
      </c>
      <c r="R215">
        <f t="shared" si="961"/>
        <v>-133303641.79685068</v>
      </c>
      <c r="S215">
        <f t="shared" si="962"/>
        <v>-1333.0364179685068</v>
      </c>
      <c r="T215">
        <f t="shared" si="963"/>
        <v>-1.3330364179685068</v>
      </c>
    </row>
    <row r="216" spans="1:20" x14ac:dyDescent="0.25">
      <c r="A216" s="5">
        <v>44377</v>
      </c>
      <c r="B216">
        <v>0.1027</v>
      </c>
      <c r="C216">
        <v>0.1036</v>
      </c>
      <c r="D216">
        <v>8.7999999999999995E-2</v>
      </c>
      <c r="E216">
        <v>9.7100000000000006E-2</v>
      </c>
      <c r="F216">
        <v>16932362.84</v>
      </c>
      <c r="G216">
        <v>0</v>
      </c>
      <c r="L216" t="s">
        <v>7</v>
      </c>
      <c r="M216" t="s">
        <v>7</v>
      </c>
      <c r="N216" t="s">
        <v>8</v>
      </c>
      <c r="P216">
        <f t="shared" si="959"/>
        <v>0.16666666666666785</v>
      </c>
      <c r="Q216">
        <f t="shared" si="960"/>
        <v>2822060.4733333532</v>
      </c>
      <c r="R216">
        <f t="shared" si="961"/>
        <v>-128947285.90964137</v>
      </c>
      <c r="S216">
        <f t="shared" si="962"/>
        <v>-1289.4728590964137</v>
      </c>
      <c r="T216">
        <f t="shared" si="963"/>
        <v>-1.2894728590964137</v>
      </c>
    </row>
    <row r="217" spans="1:20" x14ac:dyDescent="0.25">
      <c r="A217" s="5">
        <v>44376</v>
      </c>
      <c r="B217">
        <v>9.3200000000000005E-2</v>
      </c>
      <c r="C217">
        <v>0.10979999999999999</v>
      </c>
      <c r="D217">
        <v>9.0999999999999998E-2</v>
      </c>
      <c r="E217">
        <v>0.1027</v>
      </c>
      <c r="F217">
        <v>21469172.449999999</v>
      </c>
      <c r="G217">
        <v>0</v>
      </c>
      <c r="L217" t="s">
        <v>8</v>
      </c>
      <c r="M217" t="s">
        <v>8</v>
      </c>
      <c r="N217" t="s">
        <v>8</v>
      </c>
      <c r="P217">
        <f t="shared" si="959"/>
        <v>0.2446808510638302</v>
      </c>
      <c r="Q217">
        <f t="shared" si="960"/>
        <v>5253095.3867021361</v>
      </c>
      <c r="R217">
        <f t="shared" si="961"/>
        <v>-131769346.38297473</v>
      </c>
      <c r="S217">
        <f t="shared" si="962"/>
        <v>-1317.6934638297473</v>
      </c>
      <c r="T217">
        <f t="shared" si="963"/>
        <v>-1.3176934638297473</v>
      </c>
    </row>
    <row r="218" spans="1:20" x14ac:dyDescent="0.25">
      <c r="A218" s="5">
        <v>44375</v>
      </c>
      <c r="B218">
        <v>8.8700000000000001E-2</v>
      </c>
      <c r="C218">
        <v>9.6500000000000002E-2</v>
      </c>
      <c r="D218">
        <v>8.5000000000000006E-2</v>
      </c>
      <c r="E218">
        <v>9.3299999999999994E-2</v>
      </c>
      <c r="F218">
        <v>14027539.210000001</v>
      </c>
      <c r="G218">
        <v>0</v>
      </c>
      <c r="L218" t="s">
        <v>8</v>
      </c>
      <c r="M218" t="s">
        <v>8</v>
      </c>
      <c r="N218" t="s">
        <v>7</v>
      </c>
      <c r="P218">
        <f t="shared" si="959"/>
        <v>0.4434782608695636</v>
      </c>
      <c r="Q218">
        <f t="shared" si="960"/>
        <v>6220908.6931304121</v>
      </c>
      <c r="R218">
        <f t="shared" si="961"/>
        <v>-137022441.76967686</v>
      </c>
      <c r="S218">
        <f t="shared" si="962"/>
        <v>-1370.2244176967686</v>
      </c>
      <c r="T218">
        <f t="shared" si="963"/>
        <v>-1.3702244176967686</v>
      </c>
    </row>
    <row r="219" spans="1:20" x14ac:dyDescent="0.25">
      <c r="A219" s="5">
        <v>44374</v>
      </c>
      <c r="B219">
        <v>8.5000000000000006E-2</v>
      </c>
      <c r="C219">
        <v>8.9700000000000002E-2</v>
      </c>
      <c r="D219">
        <v>7.9899999999999999E-2</v>
      </c>
      <c r="E219">
        <v>8.8900000000000007E-2</v>
      </c>
      <c r="F219">
        <v>9031086.3100000005</v>
      </c>
      <c r="G219">
        <v>0</v>
      </c>
      <c r="L219" t="s">
        <v>8</v>
      </c>
      <c r="M219" t="s">
        <v>8</v>
      </c>
      <c r="N219" t="s">
        <v>7</v>
      </c>
      <c r="P219">
        <f t="shared" si="959"/>
        <v>0.83673469387755206</v>
      </c>
      <c r="Q219">
        <f t="shared" si="960"/>
        <v>7556623.2389796013</v>
      </c>
      <c r="R219">
        <f t="shared" si="961"/>
        <v>-143243350.46280727</v>
      </c>
      <c r="S219">
        <f t="shared" si="962"/>
        <v>-1432.4335046280726</v>
      </c>
      <c r="T219">
        <f t="shared" si="963"/>
        <v>-1.4324335046280725</v>
      </c>
    </row>
    <row r="220" spans="1:20" x14ac:dyDescent="0.25">
      <c r="A220" s="5">
        <v>44373</v>
      </c>
      <c r="B220">
        <v>8.5099999999999995E-2</v>
      </c>
      <c r="C220">
        <v>8.7999999999999995E-2</v>
      </c>
      <c r="D220">
        <v>7.4999999999999997E-2</v>
      </c>
      <c r="E220">
        <v>8.5000000000000006E-2</v>
      </c>
      <c r="F220">
        <v>12344077.640000001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0.5384615384615401</v>
      </c>
      <c r="Q220">
        <f t="shared" si="960"/>
        <v>6646811.0369230974</v>
      </c>
      <c r="R220">
        <f t="shared" si="961"/>
        <v>-150799973.70178688</v>
      </c>
      <c r="S220">
        <f t="shared" si="962"/>
        <v>-1507.9997370178687</v>
      </c>
      <c r="T220">
        <f t="shared" si="963"/>
        <v>-1.5079997370178686</v>
      </c>
    </row>
    <row r="221" spans="1:20" x14ac:dyDescent="0.25">
      <c r="A221" s="5">
        <v>44372</v>
      </c>
      <c r="B221">
        <v>9.8799999999999999E-2</v>
      </c>
      <c r="C221">
        <v>0.1004</v>
      </c>
      <c r="D221">
        <v>8.3400000000000002E-2</v>
      </c>
      <c r="E221">
        <v>8.5300000000000001E-2</v>
      </c>
      <c r="F221">
        <v>11628971.630000001</v>
      </c>
      <c r="G221">
        <v>0</v>
      </c>
      <c r="L221" t="s">
        <v>7</v>
      </c>
      <c r="M221" t="s">
        <v>7</v>
      </c>
      <c r="N221" t="s">
        <v>8</v>
      </c>
      <c r="P221">
        <f t="shared" si="959"/>
        <v>-0.77647058823529425</v>
      </c>
      <c r="Q221">
        <f t="shared" si="960"/>
        <v>-9029554.4421176501</v>
      </c>
      <c r="R221">
        <f t="shared" si="961"/>
        <v>-157446784.73870999</v>
      </c>
      <c r="S221">
        <f t="shared" si="962"/>
        <v>-1574.4678473870999</v>
      </c>
      <c r="T221">
        <f t="shared" si="963"/>
        <v>-1.5744678473870999</v>
      </c>
    </row>
    <row r="222" spans="1:20" x14ac:dyDescent="0.25">
      <c r="A222" s="5">
        <v>44371</v>
      </c>
      <c r="B222">
        <v>9.5200000000000007E-2</v>
      </c>
      <c r="C222">
        <v>0.1018</v>
      </c>
      <c r="D222">
        <v>9.1800000000000007E-2</v>
      </c>
      <c r="E222">
        <v>9.8799999999999999E-2</v>
      </c>
      <c r="F222">
        <v>15311624.609999999</v>
      </c>
      <c r="G222">
        <v>0</v>
      </c>
      <c r="L222" t="s">
        <v>7</v>
      </c>
      <c r="M222" t="s">
        <v>8</v>
      </c>
      <c r="N222" t="s">
        <v>8</v>
      </c>
      <c r="P222">
        <f t="shared" si="959"/>
        <v>0.39999999999999919</v>
      </c>
      <c r="Q222">
        <f t="shared" si="960"/>
        <v>6124649.8439999875</v>
      </c>
      <c r="R222">
        <f t="shared" si="961"/>
        <v>-148417230.29659232</v>
      </c>
      <c r="S222">
        <f t="shared" si="962"/>
        <v>-1484.1723029659233</v>
      </c>
      <c r="T222">
        <f t="shared" si="963"/>
        <v>-1.4841723029659233</v>
      </c>
    </row>
    <row r="223" spans="1:20" x14ac:dyDescent="0.25">
      <c r="A223" s="5">
        <v>44370</v>
      </c>
      <c r="B223">
        <v>8.8900000000000007E-2</v>
      </c>
      <c r="C223">
        <v>0.1075</v>
      </c>
      <c r="D223">
        <v>8.4500000000000006E-2</v>
      </c>
      <c r="E223">
        <v>9.5299999999999996E-2</v>
      </c>
      <c r="F223">
        <v>25855470.440000001</v>
      </c>
      <c r="G223">
        <v>0</v>
      </c>
      <c r="L223" t="s">
        <v>8</v>
      </c>
      <c r="M223" t="s">
        <v>8</v>
      </c>
      <c r="N223" t="s">
        <v>8</v>
      </c>
      <c r="P223">
        <f t="shared" si="959"/>
        <v>-6.0869565217391862E-2</v>
      </c>
      <c r="Q223">
        <f t="shared" si="960"/>
        <v>-1573811.2441739275</v>
      </c>
      <c r="R223">
        <f t="shared" si="961"/>
        <v>-154541880.14059231</v>
      </c>
      <c r="S223">
        <f t="shared" si="962"/>
        <v>-1545.418801405923</v>
      </c>
      <c r="T223">
        <f t="shared" si="963"/>
        <v>-1.5454188014059229</v>
      </c>
    </row>
    <row r="224" spans="1:20" x14ac:dyDescent="0.25">
      <c r="A224" s="5">
        <v>44369</v>
      </c>
      <c r="B224">
        <v>9.4299999999999995E-2</v>
      </c>
      <c r="C224">
        <v>0.1009</v>
      </c>
      <c r="D224">
        <v>7.3700000000000002E-2</v>
      </c>
      <c r="E224">
        <v>8.8900000000000007E-2</v>
      </c>
      <c r="F224">
        <v>33075862.41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0.11764705882352972</v>
      </c>
      <c r="Q224">
        <f t="shared" si="960"/>
        <v>3891277.9305882454</v>
      </c>
      <c r="R224">
        <f t="shared" si="961"/>
        <v>-152968068.89641839</v>
      </c>
      <c r="S224">
        <f t="shared" si="962"/>
        <v>-1529.6806889641839</v>
      </c>
      <c r="T224">
        <f t="shared" si="963"/>
        <v>-1.5296806889641839</v>
      </c>
    </row>
    <row r="225" spans="1:20" x14ac:dyDescent="0.25">
      <c r="A225" s="5">
        <v>44368</v>
      </c>
      <c r="B225">
        <v>0.13270000000000001</v>
      </c>
      <c r="C225">
        <v>0.13519999999999999</v>
      </c>
      <c r="D225">
        <v>9.2200000000000004E-2</v>
      </c>
      <c r="E225">
        <v>9.4399999999999998E-2</v>
      </c>
      <c r="F225">
        <v>27655804.34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-0.89767441860465147</v>
      </c>
      <c r="Q225">
        <f t="shared" si="960"/>
        <v>-24825908.081953496</v>
      </c>
      <c r="R225">
        <f t="shared" si="961"/>
        <v>-156859346.82700664</v>
      </c>
      <c r="S225">
        <f t="shared" si="962"/>
        <v>-1568.5934682700663</v>
      </c>
      <c r="T225">
        <f t="shared" si="963"/>
        <v>-1.5685934682700664</v>
      </c>
    </row>
    <row r="226" spans="1:20" x14ac:dyDescent="0.25">
      <c r="A226" s="5">
        <v>44367</v>
      </c>
      <c r="B226">
        <v>0.1328</v>
      </c>
      <c r="C226">
        <v>0.13550000000000001</v>
      </c>
      <c r="D226">
        <v>0.11609999999999999</v>
      </c>
      <c r="E226">
        <v>0.1328</v>
      </c>
      <c r="F226">
        <v>16784025.780000001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0.72164948453608191</v>
      </c>
      <c r="Q226">
        <f t="shared" si="960"/>
        <v>12112183.552577311</v>
      </c>
      <c r="R226">
        <f t="shared" si="961"/>
        <v>-132033438.74505314</v>
      </c>
      <c r="S226">
        <f t="shared" si="962"/>
        <v>-1320.3343874505315</v>
      </c>
      <c r="T226">
        <f t="shared" si="963"/>
        <v>-1.3203343874505316</v>
      </c>
    </row>
    <row r="227" spans="1:20" x14ac:dyDescent="0.25">
      <c r="A227" s="5">
        <v>44366</v>
      </c>
      <c r="B227">
        <v>0.13469999999999999</v>
      </c>
      <c r="C227">
        <v>0.1396</v>
      </c>
      <c r="D227">
        <v>0.128</v>
      </c>
      <c r="E227">
        <v>0.1326</v>
      </c>
      <c r="F227">
        <v>10016879.310000001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-0.20689655172413909</v>
      </c>
      <c r="Q227">
        <f t="shared" si="960"/>
        <v>-2072457.7882758738</v>
      </c>
      <c r="R227">
        <f t="shared" si="961"/>
        <v>-144145622.29763046</v>
      </c>
      <c r="S227">
        <f t="shared" si="962"/>
        <v>-1441.4562229763046</v>
      </c>
      <c r="T227">
        <f t="shared" si="963"/>
        <v>-1.4414562229763046</v>
      </c>
    </row>
    <row r="228" spans="1:20" x14ac:dyDescent="0.25">
      <c r="A228" s="5">
        <v>44365</v>
      </c>
      <c r="B228">
        <v>0.151</v>
      </c>
      <c r="C228">
        <v>0.15440000000000001</v>
      </c>
      <c r="D228">
        <v>0.13009999999999999</v>
      </c>
      <c r="E228">
        <v>0.13500000000000001</v>
      </c>
      <c r="F228">
        <v>19300274.800000001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-0.5967078189300401</v>
      </c>
      <c r="Q228">
        <f t="shared" si="960"/>
        <v>-11516624.880658416</v>
      </c>
      <c r="R228">
        <f t="shared" si="961"/>
        <v>-142073164.50935459</v>
      </c>
      <c r="S228">
        <f t="shared" si="962"/>
        <v>-1420.7316450935459</v>
      </c>
      <c r="T228">
        <f t="shared" si="963"/>
        <v>-1.4207316450935459</v>
      </c>
    </row>
    <row r="229" spans="1:20" x14ac:dyDescent="0.25">
      <c r="A229" s="5">
        <v>44364</v>
      </c>
      <c r="B229">
        <v>0.15240000000000001</v>
      </c>
      <c r="C229">
        <v>0.158</v>
      </c>
      <c r="D229">
        <v>0.1421</v>
      </c>
      <c r="E229">
        <v>0.1507</v>
      </c>
      <c r="F229">
        <v>24432911.190000001</v>
      </c>
      <c r="G229">
        <v>0</v>
      </c>
      <c r="L229" t="s">
        <v>7</v>
      </c>
      <c r="M229" t="s">
        <v>7</v>
      </c>
      <c r="N229" t="s">
        <v>7</v>
      </c>
      <c r="P229">
        <f t="shared" si="959"/>
        <v>8.1761006289307908E-2</v>
      </c>
      <c r="Q229">
        <f t="shared" si="960"/>
        <v>1997659.4054716916</v>
      </c>
      <c r="R229">
        <f t="shared" si="961"/>
        <v>-130556539.62869619</v>
      </c>
      <c r="S229">
        <f t="shared" si="962"/>
        <v>-1305.5653962869619</v>
      </c>
      <c r="T229">
        <f t="shared" si="963"/>
        <v>-1.305565396286962</v>
      </c>
    </row>
    <row r="230" spans="1:20" x14ac:dyDescent="0.25">
      <c r="A230" s="5">
        <v>44363</v>
      </c>
      <c r="B230">
        <v>0.1663</v>
      </c>
      <c r="C230">
        <v>0.1666</v>
      </c>
      <c r="D230">
        <v>0.15160000000000001</v>
      </c>
      <c r="E230">
        <v>0.1525</v>
      </c>
      <c r="F230">
        <v>16878096.469999999</v>
      </c>
      <c r="G230">
        <v>0</v>
      </c>
      <c r="L230" t="s">
        <v>7</v>
      </c>
      <c r="M230" t="s">
        <v>7</v>
      </c>
      <c r="N230" t="s">
        <v>7</v>
      </c>
      <c r="P230">
        <f t="shared" si="959"/>
        <v>-0.880000000000002</v>
      </c>
      <c r="Q230">
        <f t="shared" si="960"/>
        <v>-14852724.893600034</v>
      </c>
      <c r="R230">
        <f t="shared" si="961"/>
        <v>-132554199.03416789</v>
      </c>
      <c r="S230">
        <f t="shared" si="962"/>
        <v>-1325.5419903416789</v>
      </c>
      <c r="T230">
        <f t="shared" si="963"/>
        <v>-1.325541990341679</v>
      </c>
    </row>
    <row r="231" spans="1:20" x14ac:dyDescent="0.25">
      <c r="A231" s="5">
        <v>44362</v>
      </c>
      <c r="B231">
        <v>0.1726</v>
      </c>
      <c r="C231">
        <v>0.17499999999999999</v>
      </c>
      <c r="D231">
        <v>0.1633</v>
      </c>
      <c r="E231">
        <v>0.1663</v>
      </c>
      <c r="F231">
        <v>26067822.109999999</v>
      </c>
      <c r="G231">
        <v>0</v>
      </c>
      <c r="L231" t="s">
        <v>7</v>
      </c>
      <c r="M231" t="s">
        <v>7</v>
      </c>
      <c r="N231" t="s">
        <v>7</v>
      </c>
      <c r="P231">
        <f t="shared" si="959"/>
        <v>-0.48717948717948623</v>
      </c>
      <c r="Q231">
        <f t="shared" si="960"/>
        <v>-12699708.207435872</v>
      </c>
      <c r="R231">
        <f t="shared" si="961"/>
        <v>-117701474.14056785</v>
      </c>
      <c r="S231">
        <f t="shared" si="962"/>
        <v>-1177.0147414056785</v>
      </c>
      <c r="T231">
        <f t="shared" si="963"/>
        <v>-1.1770147414056784</v>
      </c>
    </row>
    <row r="232" spans="1:20" x14ac:dyDescent="0.25">
      <c r="A232" s="5">
        <v>44361</v>
      </c>
      <c r="B232">
        <v>0.16200000000000001</v>
      </c>
      <c r="C232">
        <v>0.18</v>
      </c>
      <c r="D232">
        <v>0.15440000000000001</v>
      </c>
      <c r="E232">
        <v>0.1726</v>
      </c>
      <c r="F232">
        <v>30376349.920000002</v>
      </c>
      <c r="G232">
        <v>0</v>
      </c>
      <c r="L232" t="s">
        <v>8</v>
      </c>
      <c r="M232" t="s">
        <v>7</v>
      </c>
      <c r="N232" t="s">
        <v>7</v>
      </c>
      <c r="P232">
        <f t="shared" si="959"/>
        <v>0.42187500000000044</v>
      </c>
      <c r="Q232">
        <f t="shared" si="960"/>
        <v>12815022.622500014</v>
      </c>
      <c r="R232">
        <f t="shared" si="961"/>
        <v>-105001765.93313198</v>
      </c>
      <c r="S232">
        <f t="shared" si="962"/>
        <v>-1050.0176593313197</v>
      </c>
      <c r="T232">
        <f t="shared" si="963"/>
        <v>-1.0500176593313197</v>
      </c>
    </row>
    <row r="233" spans="1:20" x14ac:dyDescent="0.25">
      <c r="A233" s="5">
        <v>44360</v>
      </c>
      <c r="B233">
        <v>0.15640000000000001</v>
      </c>
      <c r="C233">
        <v>0.16800000000000001</v>
      </c>
      <c r="D233">
        <v>0.14929999999999999</v>
      </c>
      <c r="E233">
        <v>0.16170000000000001</v>
      </c>
      <c r="F233">
        <v>20806651.600000001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0.32620320855615054</v>
      </c>
      <c r="Q233">
        <f t="shared" si="960"/>
        <v>6787196.511229964</v>
      </c>
      <c r="R233">
        <f t="shared" si="961"/>
        <v>-117816788.555632</v>
      </c>
      <c r="S233">
        <f t="shared" si="962"/>
        <v>-1178.16788555632</v>
      </c>
      <c r="T233">
        <f t="shared" si="963"/>
        <v>-1.17816788555632</v>
      </c>
    </row>
    <row r="234" spans="1:20" x14ac:dyDescent="0.25">
      <c r="A234" s="5">
        <v>44359</v>
      </c>
      <c r="B234">
        <v>0.17219999999999999</v>
      </c>
      <c r="C234">
        <v>0.17269999999999999</v>
      </c>
      <c r="D234">
        <v>0.14929999999999999</v>
      </c>
      <c r="E234">
        <v>0.1565</v>
      </c>
      <c r="F234">
        <v>26612548.530000001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-0.38461538461538369</v>
      </c>
      <c r="Q234">
        <f t="shared" si="960"/>
        <v>-10235595.588461515</v>
      </c>
      <c r="R234">
        <f t="shared" si="961"/>
        <v>-124603985.06686196</v>
      </c>
      <c r="S234">
        <f t="shared" si="962"/>
        <v>-1246.0398506686195</v>
      </c>
      <c r="T234">
        <f t="shared" si="963"/>
        <v>-1.2460398506686194</v>
      </c>
    </row>
    <row r="235" spans="1:20" x14ac:dyDescent="0.25">
      <c r="A235" s="5">
        <v>44358</v>
      </c>
      <c r="B235">
        <v>0.1724</v>
      </c>
      <c r="C235">
        <v>0.19800000000000001</v>
      </c>
      <c r="D235">
        <v>0.1613</v>
      </c>
      <c r="E235">
        <v>0.17199999999999999</v>
      </c>
      <c r="F235">
        <v>43156796.469999999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-0.41689373297002813</v>
      </c>
      <c r="Q235">
        <f t="shared" si="960"/>
        <v>-17991797.983406033</v>
      </c>
      <c r="R235">
        <f t="shared" si="961"/>
        <v>-114368389.47840044</v>
      </c>
      <c r="S235">
        <f t="shared" si="962"/>
        <v>-1143.6838947840045</v>
      </c>
      <c r="T235">
        <f t="shared" si="963"/>
        <v>-1.1436838947840045</v>
      </c>
    </row>
    <row r="236" spans="1:20" x14ac:dyDescent="0.25">
      <c r="A236" s="5">
        <v>44357</v>
      </c>
      <c r="B236">
        <v>0.189</v>
      </c>
      <c r="C236">
        <v>0.19220000000000001</v>
      </c>
      <c r="D236">
        <v>0.1656</v>
      </c>
      <c r="E236">
        <v>0.17199999999999999</v>
      </c>
      <c r="F236">
        <v>20477401.41</v>
      </c>
      <c r="G236">
        <v>0</v>
      </c>
      <c r="L236" t="s">
        <v>7</v>
      </c>
      <c r="M236" t="s">
        <v>8</v>
      </c>
      <c r="N236" t="s">
        <v>7</v>
      </c>
      <c r="P236">
        <f t="shared" si="959"/>
        <v>-0.51879699248120403</v>
      </c>
      <c r="Q236">
        <f t="shared" si="960"/>
        <v>-10623614.265338367</v>
      </c>
      <c r="R236">
        <f t="shared" si="961"/>
        <v>-96376591.494994402</v>
      </c>
      <c r="S236">
        <f t="shared" si="962"/>
        <v>-963.76591494994398</v>
      </c>
      <c r="T236">
        <f t="shared" si="963"/>
        <v>-0.96376591494994401</v>
      </c>
    </row>
    <row r="237" spans="1:20" x14ac:dyDescent="0.25">
      <c r="A237" s="5">
        <v>44356</v>
      </c>
      <c r="B237">
        <v>0.182</v>
      </c>
      <c r="C237">
        <v>0.19</v>
      </c>
      <c r="D237">
        <v>0.16439999999999999</v>
      </c>
      <c r="E237">
        <v>0.18859999999999999</v>
      </c>
      <c r="F237">
        <v>20249894.550000001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0.89062499999999911</v>
      </c>
      <c r="Q237">
        <f t="shared" si="960"/>
        <v>18035062.333593734</v>
      </c>
      <c r="R237">
        <f t="shared" si="961"/>
        <v>-85752977.229656041</v>
      </c>
      <c r="S237">
        <f t="shared" si="962"/>
        <v>-857.5297722965604</v>
      </c>
      <c r="T237">
        <f t="shared" si="963"/>
        <v>-0.85752977229656036</v>
      </c>
    </row>
    <row r="238" spans="1:20" x14ac:dyDescent="0.25">
      <c r="A238" s="5">
        <v>44355</v>
      </c>
      <c r="B238">
        <v>0.18390000000000001</v>
      </c>
      <c r="C238">
        <v>0.1867</v>
      </c>
      <c r="D238">
        <v>0.157</v>
      </c>
      <c r="E238">
        <v>0.18190000000000001</v>
      </c>
      <c r="F238">
        <v>26027065.93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0.67676767676767691</v>
      </c>
      <c r="Q238">
        <f t="shared" si="960"/>
        <v>17614276.942525256</v>
      </c>
      <c r="R238">
        <f t="shared" si="961"/>
        <v>-103788039.56324978</v>
      </c>
      <c r="S238">
        <f t="shared" si="962"/>
        <v>-1037.8803956324978</v>
      </c>
      <c r="T238">
        <f t="shared" si="963"/>
        <v>-1.0378803956324978</v>
      </c>
    </row>
    <row r="239" spans="1:20" x14ac:dyDescent="0.25">
      <c r="A239" s="5">
        <v>44354</v>
      </c>
      <c r="B239">
        <v>0.2001</v>
      </c>
      <c r="C239">
        <v>0.23669999999999999</v>
      </c>
      <c r="D239">
        <v>0.17799999999999999</v>
      </c>
      <c r="E239">
        <v>0.18429999999999999</v>
      </c>
      <c r="F239">
        <v>37877521.289999999</v>
      </c>
      <c r="G239">
        <v>0</v>
      </c>
      <c r="L239" t="s">
        <v>8</v>
      </c>
      <c r="M239" t="s">
        <v>8</v>
      </c>
      <c r="N239" t="s">
        <v>7</v>
      </c>
      <c r="P239">
        <f t="shared" si="959"/>
        <v>-0.78534923339011931</v>
      </c>
      <c r="Q239">
        <f t="shared" si="960"/>
        <v>-29747082.307819422</v>
      </c>
      <c r="R239">
        <f t="shared" si="961"/>
        <v>-121402316.50577503</v>
      </c>
      <c r="S239">
        <f t="shared" si="962"/>
        <v>-1214.0231650577502</v>
      </c>
      <c r="T239">
        <f t="shared" si="963"/>
        <v>-1.2140231650577502</v>
      </c>
    </row>
    <row r="240" spans="1:20" x14ac:dyDescent="0.25">
      <c r="A240" s="5">
        <v>44353</v>
      </c>
      <c r="B240">
        <v>0.17680000000000001</v>
      </c>
      <c r="C240">
        <v>0.21290000000000001</v>
      </c>
      <c r="D240">
        <v>0.17380000000000001</v>
      </c>
      <c r="E240">
        <v>0.20039999999999999</v>
      </c>
      <c r="F240">
        <v>31607502.579999998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0.36061381074168736</v>
      </c>
      <c r="Q240">
        <f t="shared" si="960"/>
        <v>11398101.953401513</v>
      </c>
      <c r="R240">
        <f t="shared" si="961"/>
        <v>-91655234.197955608</v>
      </c>
      <c r="S240">
        <f t="shared" si="962"/>
        <v>-916.5523419795561</v>
      </c>
      <c r="T240">
        <f t="shared" si="963"/>
        <v>-0.91655234197955615</v>
      </c>
    </row>
    <row r="241" spans="1:20" x14ac:dyDescent="0.25">
      <c r="A241" s="5">
        <v>44352</v>
      </c>
      <c r="B241">
        <v>0.18099999999999999</v>
      </c>
      <c r="C241">
        <v>0.19850000000000001</v>
      </c>
      <c r="D241">
        <v>0.16839999999999999</v>
      </c>
      <c r="E241">
        <v>0.1767</v>
      </c>
      <c r="F241">
        <v>13597322.199999999</v>
      </c>
      <c r="G241">
        <v>0</v>
      </c>
      <c r="L241" t="s">
        <v>7</v>
      </c>
      <c r="M241" t="s">
        <v>7</v>
      </c>
      <c r="N241" t="s">
        <v>7</v>
      </c>
      <c r="P241">
        <f t="shared" si="959"/>
        <v>-0.44850498338870448</v>
      </c>
      <c r="Q241">
        <f t="shared" si="960"/>
        <v>-6098466.7674418623</v>
      </c>
      <c r="R241">
        <f t="shared" si="961"/>
        <v>-103053336.15135713</v>
      </c>
      <c r="S241">
        <f t="shared" si="962"/>
        <v>-1030.5333615135712</v>
      </c>
      <c r="T241">
        <f t="shared" si="963"/>
        <v>-1.0305333615135712</v>
      </c>
    </row>
    <row r="242" spans="1:20" x14ac:dyDescent="0.25">
      <c r="A242" s="5">
        <v>44351</v>
      </c>
      <c r="B242">
        <v>0.21249999999999999</v>
      </c>
      <c r="C242">
        <v>0.21290000000000001</v>
      </c>
      <c r="D242">
        <v>0.1759</v>
      </c>
      <c r="E242">
        <v>0.18099999999999999</v>
      </c>
      <c r="F242">
        <v>21935981.890000001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-0.7243243243243247</v>
      </c>
      <c r="Q242">
        <f t="shared" si="960"/>
        <v>-15888765.260864874</v>
      </c>
      <c r="R242">
        <f t="shared" si="961"/>
        <v>-96954869.38391526</v>
      </c>
      <c r="S242">
        <f t="shared" si="962"/>
        <v>-969.54869383915263</v>
      </c>
      <c r="T242">
        <f t="shared" si="963"/>
        <v>-0.96954869383915265</v>
      </c>
    </row>
    <row r="243" spans="1:20" x14ac:dyDescent="0.25">
      <c r="A243" s="5">
        <v>44350</v>
      </c>
      <c r="B243">
        <v>0.20860000000000001</v>
      </c>
      <c r="C243">
        <v>0.22739999999999999</v>
      </c>
      <c r="D243">
        <v>0.20219999999999999</v>
      </c>
      <c r="E243">
        <v>0.21249999999999999</v>
      </c>
      <c r="F243">
        <v>13068489.800000001</v>
      </c>
      <c r="G243">
        <v>0</v>
      </c>
      <c r="L243" t="s">
        <v>8</v>
      </c>
      <c r="M243" t="s">
        <v>8</v>
      </c>
      <c r="N243" t="s">
        <v>7</v>
      </c>
      <c r="P243">
        <f t="shared" si="959"/>
        <v>-0.18253968253968225</v>
      </c>
      <c r="Q243">
        <f t="shared" si="960"/>
        <v>-2385517.9793650759</v>
      </c>
      <c r="R243">
        <f t="shared" si="961"/>
        <v>-81066104.123050392</v>
      </c>
      <c r="S243">
        <f t="shared" si="962"/>
        <v>-810.66104123050388</v>
      </c>
      <c r="T243">
        <f t="shared" si="963"/>
        <v>-0.81066104123050386</v>
      </c>
    </row>
    <row r="244" spans="1:20" x14ac:dyDescent="0.25">
      <c r="A244" s="5">
        <v>44349</v>
      </c>
      <c r="B244">
        <v>0.2009</v>
      </c>
      <c r="C244">
        <v>0.21679999999999999</v>
      </c>
      <c r="D244">
        <v>0.1948</v>
      </c>
      <c r="E244">
        <v>0.2084</v>
      </c>
      <c r="F244">
        <v>14238292.24</v>
      </c>
      <c r="G244">
        <v>0</v>
      </c>
      <c r="L244" t="s">
        <v>8</v>
      </c>
      <c r="M244" t="s">
        <v>8</v>
      </c>
      <c r="N244" t="s">
        <v>7</v>
      </c>
      <c r="P244">
        <f t="shared" si="959"/>
        <v>0.23636363636363691</v>
      </c>
      <c r="Q244">
        <f t="shared" si="960"/>
        <v>3365414.5294545535</v>
      </c>
      <c r="R244">
        <f t="shared" si="961"/>
        <v>-78680586.143685311</v>
      </c>
      <c r="S244">
        <f t="shared" si="962"/>
        <v>-786.80586143685309</v>
      </c>
      <c r="T244">
        <f t="shared" si="963"/>
        <v>-0.78680586143685305</v>
      </c>
    </row>
    <row r="245" spans="1:20" x14ac:dyDescent="0.25">
      <c r="A245" s="5">
        <v>44348</v>
      </c>
      <c r="B245">
        <v>0.2165</v>
      </c>
      <c r="C245">
        <v>0.2238</v>
      </c>
      <c r="D245">
        <v>0.19239999999999999</v>
      </c>
      <c r="E245">
        <v>0.20050000000000001</v>
      </c>
      <c r="F245">
        <v>15142760.26</v>
      </c>
      <c r="G245">
        <v>0</v>
      </c>
      <c r="L245" t="s">
        <v>7</v>
      </c>
      <c r="M245" t="s">
        <v>8</v>
      </c>
      <c r="N245" t="s">
        <v>7</v>
      </c>
      <c r="P245">
        <f t="shared" si="959"/>
        <v>-0.48407643312101778</v>
      </c>
      <c r="Q245">
        <f t="shared" si="960"/>
        <v>-7330253.3742674952</v>
      </c>
      <c r="R245">
        <f t="shared" si="961"/>
        <v>-82046000.67313987</v>
      </c>
      <c r="S245">
        <f t="shared" si="962"/>
        <v>-820.46000673139872</v>
      </c>
      <c r="T245">
        <f t="shared" si="963"/>
        <v>-0.82046000673139874</v>
      </c>
    </row>
    <row r="246" spans="1:20" x14ac:dyDescent="0.25">
      <c r="A246" s="5">
        <v>44347</v>
      </c>
      <c r="B246">
        <v>0.19919999999999999</v>
      </c>
      <c r="C246">
        <v>0.22500000000000001</v>
      </c>
      <c r="D246">
        <v>0.18529999999999999</v>
      </c>
      <c r="E246">
        <v>0.2165</v>
      </c>
      <c r="F246">
        <v>17068856.690000001</v>
      </c>
      <c r="G246">
        <v>0</v>
      </c>
      <c r="L246" t="s">
        <v>8</v>
      </c>
      <c r="M246" t="s">
        <v>8</v>
      </c>
      <c r="N246" t="s">
        <v>7</v>
      </c>
      <c r="P246">
        <f t="shared" si="959"/>
        <v>0.57178841309823658</v>
      </c>
      <c r="Q246">
        <f t="shared" si="960"/>
        <v>9759774.4801763203</v>
      </c>
      <c r="R246">
        <f t="shared" si="961"/>
        <v>-74715747.298872381</v>
      </c>
      <c r="S246">
        <f t="shared" si="962"/>
        <v>-747.15747298872384</v>
      </c>
      <c r="T246">
        <f t="shared" si="963"/>
        <v>-0.74715747298872381</v>
      </c>
    </row>
    <row r="247" spans="1:20" x14ac:dyDescent="0.25">
      <c r="A247" s="5">
        <v>44346</v>
      </c>
      <c r="B247">
        <v>0.18820000000000001</v>
      </c>
      <c r="C247">
        <v>0.21959999999999999</v>
      </c>
      <c r="D247">
        <v>0.17150000000000001</v>
      </c>
      <c r="E247">
        <v>0.19989999999999999</v>
      </c>
      <c r="F247">
        <v>19056025.879999999</v>
      </c>
      <c r="G247">
        <v>0</v>
      </c>
      <c r="L247" t="s">
        <v>7</v>
      </c>
      <c r="M247" t="s">
        <v>7</v>
      </c>
      <c r="N247" t="s">
        <v>7</v>
      </c>
      <c r="P247">
        <f t="shared" si="959"/>
        <v>0.18087318087318066</v>
      </c>
      <c r="Q247">
        <f t="shared" si="960"/>
        <v>3446724.0157172517</v>
      </c>
      <c r="R247">
        <f t="shared" si="961"/>
        <v>-84475521.779048696</v>
      </c>
      <c r="S247">
        <f t="shared" si="962"/>
        <v>-844.75521779048699</v>
      </c>
      <c r="T247">
        <f t="shared" si="963"/>
        <v>-0.84475521779048701</v>
      </c>
    </row>
    <row r="248" spans="1:20" x14ac:dyDescent="0.25">
      <c r="A248" s="5">
        <v>44345</v>
      </c>
      <c r="B248">
        <v>0.20749999999999999</v>
      </c>
      <c r="C248">
        <v>0.22939999999999999</v>
      </c>
      <c r="D248">
        <v>0.1739</v>
      </c>
      <c r="E248">
        <v>0.18729999999999999</v>
      </c>
      <c r="F248">
        <v>21220829.780000001</v>
      </c>
      <c r="G248">
        <v>0</v>
      </c>
      <c r="L248" t="s">
        <v>7</v>
      </c>
      <c r="M248" t="s">
        <v>7</v>
      </c>
      <c r="N248" t="s">
        <v>7</v>
      </c>
      <c r="P248">
        <f t="shared" si="959"/>
        <v>-0.51711711711711728</v>
      </c>
      <c r="Q248">
        <f t="shared" si="960"/>
        <v>-10973654.31866667</v>
      </c>
      <c r="R248">
        <f t="shared" si="961"/>
        <v>-87922245.794765949</v>
      </c>
      <c r="S248">
        <f t="shared" si="962"/>
        <v>-879.22245794765945</v>
      </c>
      <c r="T248">
        <f t="shared" si="963"/>
        <v>-0.87922245794765941</v>
      </c>
    </row>
    <row r="249" spans="1:20" x14ac:dyDescent="0.25">
      <c r="A249" s="5">
        <v>44344</v>
      </c>
      <c r="B249">
        <v>0.25990000000000002</v>
      </c>
      <c r="C249">
        <v>0.25990000000000002</v>
      </c>
      <c r="D249">
        <v>0.19189999999999999</v>
      </c>
      <c r="E249">
        <v>0.20660000000000001</v>
      </c>
      <c r="F249">
        <v>31332275.969999999</v>
      </c>
      <c r="G249">
        <v>0</v>
      </c>
      <c r="L249" t="s">
        <v>7</v>
      </c>
      <c r="M249" t="s">
        <v>7</v>
      </c>
      <c r="N249" t="s">
        <v>7</v>
      </c>
      <c r="P249">
        <f t="shared" si="959"/>
        <v>-0.56764705882352906</v>
      </c>
      <c r="Q249">
        <f t="shared" si="960"/>
        <v>-17785674.300617635</v>
      </c>
      <c r="R249">
        <f t="shared" si="961"/>
        <v>-76948591.476099283</v>
      </c>
      <c r="S249">
        <f t="shared" si="962"/>
        <v>-769.48591476099284</v>
      </c>
      <c r="T249">
        <f t="shared" si="963"/>
        <v>-0.76948591476099282</v>
      </c>
    </row>
    <row r="250" spans="1:20" x14ac:dyDescent="0.25">
      <c r="A250" s="5">
        <v>44343</v>
      </c>
      <c r="B250">
        <v>0.2576</v>
      </c>
      <c r="C250">
        <v>0.28999999999999998</v>
      </c>
      <c r="D250">
        <v>0.21679999999999999</v>
      </c>
      <c r="E250">
        <v>0.25990000000000002</v>
      </c>
      <c r="F250">
        <v>30657808.969999999</v>
      </c>
      <c r="G250">
        <v>0</v>
      </c>
      <c r="L250" t="s">
        <v>7</v>
      </c>
      <c r="M250" t="s">
        <v>7</v>
      </c>
      <c r="N250" t="s">
        <v>7</v>
      </c>
      <c r="P250">
        <f t="shared" si="959"/>
        <v>0.17759562841530149</v>
      </c>
      <c r="Q250">
        <f t="shared" si="960"/>
        <v>5444692.8498634165</v>
      </c>
      <c r="R250">
        <f t="shared" si="961"/>
        <v>-59162917.175481647</v>
      </c>
      <c r="S250">
        <f t="shared" si="962"/>
        <v>-591.62917175481653</v>
      </c>
      <c r="T250">
        <f t="shared" si="963"/>
        <v>-0.59162917175481655</v>
      </c>
    </row>
    <row r="251" spans="1:20" x14ac:dyDescent="0.25">
      <c r="A251" s="5">
        <v>44342</v>
      </c>
      <c r="B251">
        <v>0.18720000000000001</v>
      </c>
      <c r="C251">
        <v>0.29949999999999999</v>
      </c>
      <c r="D251">
        <v>0.17860000000000001</v>
      </c>
      <c r="E251">
        <v>0.25919999999999999</v>
      </c>
      <c r="F251">
        <v>54690547.590000004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0.3333333333333332</v>
      </c>
      <c r="Q251">
        <f t="shared" si="960"/>
        <v>18230182.529999994</v>
      </c>
      <c r="R251">
        <f t="shared" si="961"/>
        <v>-64607610.025345065</v>
      </c>
      <c r="S251">
        <f t="shared" si="962"/>
        <v>-646.07610025345059</v>
      </c>
      <c r="T251">
        <f t="shared" si="963"/>
        <v>-0.64607610025345064</v>
      </c>
    </row>
    <row r="252" spans="1:20" x14ac:dyDescent="0.25">
      <c r="A252" s="5">
        <v>44341</v>
      </c>
      <c r="B252">
        <v>0.17100000000000001</v>
      </c>
      <c r="C252">
        <v>0.188</v>
      </c>
      <c r="D252">
        <v>0.1545</v>
      </c>
      <c r="E252">
        <v>0.18590000000000001</v>
      </c>
      <c r="F252">
        <v>23330538.199999999</v>
      </c>
      <c r="G252">
        <v>0</v>
      </c>
      <c r="L252" t="s">
        <v>8</v>
      </c>
      <c r="M252" t="s">
        <v>8</v>
      </c>
      <c r="N252" t="s">
        <v>8</v>
      </c>
      <c r="P252">
        <f t="shared" si="959"/>
        <v>0.87462686567164238</v>
      </c>
      <c r="Q252">
        <f t="shared" si="960"/>
        <v>20405515.500298522</v>
      </c>
      <c r="R252">
        <f t="shared" si="961"/>
        <v>-82837792.555345058</v>
      </c>
      <c r="S252">
        <f t="shared" si="962"/>
        <v>-828.37792555345061</v>
      </c>
      <c r="T252">
        <f t="shared" si="963"/>
        <v>-0.82837792555345058</v>
      </c>
    </row>
    <row r="253" spans="1:20" x14ac:dyDescent="0.25">
      <c r="A253" s="5">
        <v>44340</v>
      </c>
      <c r="B253">
        <v>0.13819999999999999</v>
      </c>
      <c r="C253">
        <v>0.17100000000000001</v>
      </c>
      <c r="D253">
        <v>0.1338</v>
      </c>
      <c r="E253">
        <v>0.17100000000000001</v>
      </c>
      <c r="F253">
        <v>20362283.260000002</v>
      </c>
      <c r="G253">
        <v>0</v>
      </c>
      <c r="L253" t="s">
        <v>8</v>
      </c>
      <c r="M253" t="s">
        <v>8</v>
      </c>
      <c r="N253" t="s">
        <v>8</v>
      </c>
      <c r="P253">
        <f t="shared" si="959"/>
        <v>1</v>
      </c>
      <c r="Q253">
        <f t="shared" si="960"/>
        <v>20362283.260000002</v>
      </c>
      <c r="R253">
        <f t="shared" si="961"/>
        <v>-103243308.05564359</v>
      </c>
      <c r="S253">
        <f t="shared" si="962"/>
        <v>-1032.4330805564359</v>
      </c>
      <c r="T253">
        <f t="shared" si="963"/>
        <v>-1.0324330805564359</v>
      </c>
    </row>
    <row r="254" spans="1:20" x14ac:dyDescent="0.25">
      <c r="A254" s="5">
        <v>44339</v>
      </c>
      <c r="B254">
        <v>0.18440000000000001</v>
      </c>
      <c r="C254">
        <v>0.19220000000000001</v>
      </c>
      <c r="D254">
        <v>0.1124</v>
      </c>
      <c r="E254">
        <v>0.13739999999999999</v>
      </c>
      <c r="F254">
        <v>24706821.77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-0.37343358395989995</v>
      </c>
      <c r="Q254">
        <f t="shared" si="960"/>
        <v>-9226357.0018295795</v>
      </c>
      <c r="R254">
        <f t="shared" si="961"/>
        <v>-123605591.31564359</v>
      </c>
      <c r="S254">
        <f t="shared" si="962"/>
        <v>-1236.055913156436</v>
      </c>
      <c r="T254">
        <f t="shared" si="963"/>
        <v>-1.2360559131564359</v>
      </c>
    </row>
    <row r="255" spans="1:20" x14ac:dyDescent="0.25">
      <c r="A255" s="5">
        <v>44338</v>
      </c>
      <c r="B255">
        <v>0.1991</v>
      </c>
      <c r="C255">
        <v>0.20399999999999999</v>
      </c>
      <c r="D255">
        <v>0.1729</v>
      </c>
      <c r="E255">
        <v>0.18410000000000001</v>
      </c>
      <c r="F255">
        <v>11733859.970000001</v>
      </c>
      <c r="G255">
        <v>0</v>
      </c>
      <c r="L255" t="s">
        <v>8</v>
      </c>
      <c r="M255" t="s">
        <v>8</v>
      </c>
      <c r="N255" t="s">
        <v>7</v>
      </c>
      <c r="P255">
        <f t="shared" si="959"/>
        <v>-0.27974276527331066</v>
      </c>
      <c r="Q255">
        <f t="shared" si="960"/>
        <v>-3282462.4353376064</v>
      </c>
      <c r="R255">
        <f t="shared" si="961"/>
        <v>-114379234.31381401</v>
      </c>
      <c r="S255">
        <f t="shared" si="962"/>
        <v>-1143.79234313814</v>
      </c>
      <c r="T255">
        <f t="shared" si="963"/>
        <v>-1.14379234313814</v>
      </c>
    </row>
    <row r="256" spans="1:20" x14ac:dyDescent="0.25">
      <c r="A256" s="5">
        <v>44337</v>
      </c>
      <c r="B256">
        <v>0.2402</v>
      </c>
      <c r="C256">
        <v>0.25430000000000003</v>
      </c>
      <c r="D256">
        <v>0.16900000000000001</v>
      </c>
      <c r="E256">
        <v>0.19989999999999999</v>
      </c>
      <c r="F256">
        <v>21865478.010000002</v>
      </c>
      <c r="G256">
        <v>0</v>
      </c>
      <c r="L256" t="s">
        <v>7</v>
      </c>
      <c r="M256" t="s">
        <v>7</v>
      </c>
      <c r="N256" t="s">
        <v>7</v>
      </c>
      <c r="P256">
        <f t="shared" si="959"/>
        <v>-0.27549824150058672</v>
      </c>
      <c r="Q256">
        <f t="shared" si="960"/>
        <v>-6023900.7413247488</v>
      </c>
      <c r="R256">
        <f t="shared" si="961"/>
        <v>-111096771.87847641</v>
      </c>
      <c r="S256">
        <f t="shared" si="962"/>
        <v>-1110.9677187847642</v>
      </c>
      <c r="T256">
        <f t="shared" si="963"/>
        <v>-1.1109677187847642</v>
      </c>
    </row>
    <row r="257" spans="1:20" x14ac:dyDescent="0.25">
      <c r="A257" s="5">
        <v>44336</v>
      </c>
      <c r="B257">
        <v>0.20810000000000001</v>
      </c>
      <c r="C257">
        <v>0.27229999999999999</v>
      </c>
      <c r="D257">
        <v>0.188</v>
      </c>
      <c r="E257">
        <v>0.24030000000000001</v>
      </c>
      <c r="F257">
        <v>20885785.449999999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0.24080664294187479</v>
      </c>
      <c r="Q257">
        <f t="shared" si="960"/>
        <v>5029435.8794187531</v>
      </c>
      <c r="R257">
        <f t="shared" si="961"/>
        <v>-105072871.13715166</v>
      </c>
      <c r="S257">
        <f t="shared" si="962"/>
        <v>-1050.7287113715165</v>
      </c>
      <c r="T257">
        <f t="shared" si="963"/>
        <v>-1.0507287113715165</v>
      </c>
    </row>
    <row r="258" spans="1:20" x14ac:dyDescent="0.25">
      <c r="A258" s="5">
        <v>44335</v>
      </c>
      <c r="B258">
        <v>0.33560000000000001</v>
      </c>
      <c r="C258">
        <v>0.34100000000000003</v>
      </c>
      <c r="D258">
        <v>0.16</v>
      </c>
      <c r="E258">
        <v>0.20699999999999999</v>
      </c>
      <c r="F258">
        <v>29643871.190000001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-0.48066298342541458</v>
      </c>
      <c r="Q258">
        <f t="shared" si="960"/>
        <v>-14248711.566464096</v>
      </c>
      <c r="R258">
        <f t="shared" si="961"/>
        <v>-110102307.01657042</v>
      </c>
      <c r="S258">
        <f t="shared" si="962"/>
        <v>-1101.0230701657042</v>
      </c>
      <c r="T258">
        <f t="shared" si="963"/>
        <v>-1.1010230701657042</v>
      </c>
    </row>
    <row r="259" spans="1:20" x14ac:dyDescent="0.25">
      <c r="A259" s="5">
        <v>44334</v>
      </c>
      <c r="B259">
        <v>0.33689999999999998</v>
      </c>
      <c r="C259">
        <v>0.3735</v>
      </c>
      <c r="D259">
        <v>0.32500000000000001</v>
      </c>
      <c r="E259">
        <v>0.33439999999999998</v>
      </c>
      <c r="F259">
        <v>14079973.720000001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-0.61237113402061993</v>
      </c>
      <c r="Q259">
        <f t="shared" si="960"/>
        <v>-8622169.4738969263</v>
      </c>
      <c r="R259">
        <f t="shared" si="961"/>
        <v>-95853595.450106323</v>
      </c>
      <c r="S259">
        <f t="shared" si="962"/>
        <v>-958.5359545010632</v>
      </c>
      <c r="T259">
        <f t="shared" si="963"/>
        <v>-0.95853595450106321</v>
      </c>
    </row>
    <row r="260" spans="1:20" x14ac:dyDescent="0.25">
      <c r="A260" s="5">
        <v>44333</v>
      </c>
      <c r="B260">
        <v>0.35199999999999998</v>
      </c>
      <c r="C260">
        <v>0.37380000000000002</v>
      </c>
      <c r="D260">
        <v>0.311</v>
      </c>
      <c r="E260">
        <v>0.33739999999999998</v>
      </c>
      <c r="F260">
        <v>16844769.850000001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-0.15923566878980988</v>
      </c>
      <c r="Q260">
        <f t="shared" si="960"/>
        <v>-2682288.1926751756</v>
      </c>
      <c r="R260">
        <f t="shared" si="961"/>
        <v>-87231425.976209402</v>
      </c>
      <c r="S260">
        <f t="shared" si="962"/>
        <v>-872.31425976209403</v>
      </c>
      <c r="T260">
        <f t="shared" si="963"/>
        <v>-0.87231425976209398</v>
      </c>
    </row>
    <row r="261" spans="1:20" x14ac:dyDescent="0.25">
      <c r="A261" s="5">
        <v>44332</v>
      </c>
      <c r="B261">
        <v>0.35709999999999997</v>
      </c>
      <c r="C261">
        <v>0.40679999999999999</v>
      </c>
      <c r="D261">
        <v>0.32</v>
      </c>
      <c r="E261">
        <v>0.35199999999999998</v>
      </c>
      <c r="F261">
        <v>18230616.190000001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-0.26267281105990836</v>
      </c>
      <c r="Q261">
        <f t="shared" si="960"/>
        <v>-4788687.2019815771</v>
      </c>
      <c r="R261">
        <f t="shared" si="961"/>
        <v>-84549137.783534229</v>
      </c>
      <c r="S261">
        <f t="shared" si="962"/>
        <v>-845.49137783534229</v>
      </c>
      <c r="T261">
        <f t="shared" si="963"/>
        <v>-0.84549137783534234</v>
      </c>
    </row>
    <row r="262" spans="1:20" x14ac:dyDescent="0.25">
      <c r="A262" s="5">
        <v>44331</v>
      </c>
      <c r="B262">
        <v>0.40389999999999998</v>
      </c>
      <c r="C262">
        <v>0.4239</v>
      </c>
      <c r="D262">
        <v>0.34870000000000001</v>
      </c>
      <c r="E262">
        <v>0.35599999999999998</v>
      </c>
      <c r="F262">
        <v>15559353.890000001</v>
      </c>
      <c r="G262">
        <v>0</v>
      </c>
      <c r="L262" t="s">
        <v>7</v>
      </c>
      <c r="M262" t="s">
        <v>7</v>
      </c>
      <c r="N262" t="s">
        <v>7</v>
      </c>
      <c r="P262">
        <f t="shared" ref="P262:P325" si="964">IF(C262=D262,0,((E262-D262)-(C262-E262))/(C262-D262))</f>
        <v>-0.80585106382978788</v>
      </c>
      <c r="Q262">
        <f t="shared" ref="Q262:Q325" si="965">F262*P262</f>
        <v>-12538521.884760648</v>
      </c>
      <c r="R262">
        <f t="shared" ref="R262:R325" si="966">R263+Q262</f>
        <v>-79760450.581552655</v>
      </c>
      <c r="S262">
        <f t="shared" ref="S262:S325" si="967">R262/100000</f>
        <v>-797.60450581552652</v>
      </c>
      <c r="T262">
        <f t="shared" ref="T262:T325" si="968">S262/1000</f>
        <v>-0.79760450581552655</v>
      </c>
    </row>
    <row r="263" spans="1:20" x14ac:dyDescent="0.25">
      <c r="A263" s="5">
        <v>44330</v>
      </c>
      <c r="B263">
        <v>0.3639</v>
      </c>
      <c r="C263">
        <v>0.438</v>
      </c>
      <c r="D263">
        <v>0.36320000000000002</v>
      </c>
      <c r="E263">
        <v>0.40379999999999999</v>
      </c>
      <c r="F263">
        <v>18995095.469999999</v>
      </c>
      <c r="G263">
        <v>0</v>
      </c>
      <c r="L263" t="s">
        <v>8</v>
      </c>
      <c r="M263" t="s">
        <v>8</v>
      </c>
      <c r="N263" t="s">
        <v>7</v>
      </c>
      <c r="P263">
        <f t="shared" si="964"/>
        <v>8.5561497326202718E-2</v>
      </c>
      <c r="Q263">
        <f t="shared" si="965"/>
        <v>1625248.8102673702</v>
      </c>
      <c r="R263">
        <f t="shared" si="966"/>
        <v>-67221928.696792006</v>
      </c>
      <c r="S263">
        <f t="shared" si="967"/>
        <v>-672.21928696792008</v>
      </c>
      <c r="T263">
        <f t="shared" si="968"/>
        <v>-0.6722192869679201</v>
      </c>
    </row>
    <row r="264" spans="1:20" x14ac:dyDescent="0.25">
      <c r="A264" s="5">
        <v>44329</v>
      </c>
      <c r="B264">
        <v>0.3503</v>
      </c>
      <c r="C264">
        <v>0.40679999999999999</v>
      </c>
      <c r="D264">
        <v>0.33500000000000002</v>
      </c>
      <c r="E264">
        <v>0.3639</v>
      </c>
      <c r="F264">
        <v>21298006.539999999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-0.19498607242339858</v>
      </c>
      <c r="Q264">
        <f t="shared" si="965"/>
        <v>-4152814.6456824564</v>
      </c>
      <c r="R264">
        <f t="shared" si="966"/>
        <v>-68847177.50705938</v>
      </c>
      <c r="S264">
        <f t="shared" si="967"/>
        <v>-688.47177507059382</v>
      </c>
      <c r="T264">
        <f t="shared" si="968"/>
        <v>-0.68847177507059387</v>
      </c>
    </row>
    <row r="265" spans="1:20" x14ac:dyDescent="0.25">
      <c r="A265" s="5">
        <v>44328</v>
      </c>
      <c r="B265">
        <v>0.44650000000000001</v>
      </c>
      <c r="C265">
        <v>0.45700000000000002</v>
      </c>
      <c r="D265">
        <v>0.34510000000000002</v>
      </c>
      <c r="E265">
        <v>0.35239999999999999</v>
      </c>
      <c r="F265">
        <v>16245048.390000001</v>
      </c>
      <c r="G265">
        <v>0</v>
      </c>
      <c r="L265" t="s">
        <v>7</v>
      </c>
      <c r="M265" t="s">
        <v>7</v>
      </c>
      <c r="N265" t="s">
        <v>7</v>
      </c>
      <c r="P265">
        <f t="shared" si="964"/>
        <v>-0.86952636282395046</v>
      </c>
      <c r="Q265">
        <f t="shared" si="965"/>
        <v>-14125497.840455772</v>
      </c>
      <c r="R265">
        <f t="shared" si="966"/>
        <v>-64694362.861376926</v>
      </c>
      <c r="S265">
        <f t="shared" si="967"/>
        <v>-646.94362861376931</v>
      </c>
      <c r="T265">
        <f t="shared" si="968"/>
        <v>-0.64694362861376931</v>
      </c>
    </row>
    <row r="266" spans="1:20" x14ac:dyDescent="0.25">
      <c r="A266" s="5">
        <v>44327</v>
      </c>
      <c r="B266">
        <v>0.43759999999999999</v>
      </c>
      <c r="C266">
        <v>0.45500000000000002</v>
      </c>
      <c r="D266">
        <v>0.39560000000000001</v>
      </c>
      <c r="E266">
        <v>0.44679999999999997</v>
      </c>
      <c r="F266">
        <v>15036680.92</v>
      </c>
      <c r="G266">
        <v>0</v>
      </c>
      <c r="L266" t="s">
        <v>8</v>
      </c>
      <c r="M266" t="s">
        <v>7</v>
      </c>
      <c r="N266" t="s">
        <v>7</v>
      </c>
      <c r="P266">
        <f t="shared" si="964"/>
        <v>0.72390572390572261</v>
      </c>
      <c r="Q266">
        <f t="shared" si="965"/>
        <v>10885139.386531968</v>
      </c>
      <c r="R266">
        <f t="shared" si="966"/>
        <v>-50568865.020921156</v>
      </c>
      <c r="S266">
        <f t="shared" si="967"/>
        <v>-505.68865020921157</v>
      </c>
      <c r="T266">
        <f t="shared" si="968"/>
        <v>-0.50568865020921161</v>
      </c>
    </row>
    <row r="267" spans="1:20" x14ac:dyDescent="0.25">
      <c r="A267" s="5">
        <v>44326</v>
      </c>
      <c r="B267">
        <v>0.50249999999999995</v>
      </c>
      <c r="C267">
        <v>0.50829999999999997</v>
      </c>
      <c r="D267">
        <v>0.39129999999999998</v>
      </c>
      <c r="E267">
        <v>0.43769999999999998</v>
      </c>
      <c r="F267">
        <v>19217064.91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-0.20683760683760685</v>
      </c>
      <c r="Q267">
        <f t="shared" si="965"/>
        <v>-3974811.7164273509</v>
      </c>
      <c r="R267">
        <f t="shared" si="966"/>
        <v>-61454004.407453127</v>
      </c>
      <c r="S267">
        <f t="shared" si="967"/>
        <v>-614.54004407453124</v>
      </c>
      <c r="T267">
        <f t="shared" si="968"/>
        <v>-0.61454004407453122</v>
      </c>
    </row>
    <row r="268" spans="1:20" x14ac:dyDescent="0.25">
      <c r="A268" s="5">
        <v>44325</v>
      </c>
      <c r="B268">
        <v>0.48720000000000002</v>
      </c>
      <c r="C268">
        <v>0.51229999999999998</v>
      </c>
      <c r="D268">
        <v>0.44009999999999999</v>
      </c>
      <c r="E268">
        <v>0.503</v>
      </c>
      <c r="F268">
        <v>17672620.449999999</v>
      </c>
      <c r="G268">
        <v>0</v>
      </c>
      <c r="L268" t="s">
        <v>7</v>
      </c>
      <c r="M268" t="s">
        <v>7</v>
      </c>
      <c r="N268" t="s">
        <v>7</v>
      </c>
      <c r="P268">
        <f t="shared" si="964"/>
        <v>0.74238227146814473</v>
      </c>
      <c r="Q268">
        <f t="shared" si="965"/>
        <v>13119840.112465385</v>
      </c>
      <c r="R268">
        <f t="shared" si="966"/>
        <v>-57479192.691025779</v>
      </c>
      <c r="S268">
        <f t="shared" si="967"/>
        <v>-574.79192691025776</v>
      </c>
      <c r="T268">
        <f t="shared" si="968"/>
        <v>-0.57479192691025771</v>
      </c>
    </row>
    <row r="269" spans="1:20" x14ac:dyDescent="0.25">
      <c r="A269" s="5">
        <v>44324</v>
      </c>
      <c r="B269">
        <v>0.50370000000000004</v>
      </c>
      <c r="C269">
        <v>0.51680000000000004</v>
      </c>
      <c r="D269">
        <v>0.47510000000000002</v>
      </c>
      <c r="E269">
        <v>0.48680000000000001</v>
      </c>
      <c r="F269">
        <v>13980659.35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-0.43884892086331012</v>
      </c>
      <c r="Q269">
        <f t="shared" si="965"/>
        <v>-6135397.2687050467</v>
      </c>
      <c r="R269">
        <f t="shared" si="966"/>
        <v>-70599032.80349116</v>
      </c>
      <c r="S269">
        <f t="shared" si="967"/>
        <v>-705.99032803491161</v>
      </c>
      <c r="T269">
        <f t="shared" si="968"/>
        <v>-0.70599032803491157</v>
      </c>
    </row>
    <row r="270" spans="1:20" x14ac:dyDescent="0.25">
      <c r="A270" s="5">
        <v>44323</v>
      </c>
      <c r="B270">
        <v>0.52180000000000004</v>
      </c>
      <c r="C270">
        <v>0.53990000000000005</v>
      </c>
      <c r="D270">
        <v>0.48599999999999999</v>
      </c>
      <c r="E270">
        <v>0.50380000000000003</v>
      </c>
      <c r="F270">
        <v>22530902.789999999</v>
      </c>
      <c r="G270">
        <v>0</v>
      </c>
      <c r="L270" t="s">
        <v>7</v>
      </c>
      <c r="M270" t="s">
        <v>7</v>
      </c>
      <c r="N270" t="s">
        <v>8</v>
      </c>
      <c r="P270">
        <f t="shared" si="964"/>
        <v>-0.33951762523191026</v>
      </c>
      <c r="Q270">
        <f t="shared" si="965"/>
        <v>-7649638.6095918212</v>
      </c>
      <c r="R270">
        <f t="shared" si="966"/>
        <v>-64463635.53478612</v>
      </c>
      <c r="S270">
        <f t="shared" si="967"/>
        <v>-644.63635534786124</v>
      </c>
      <c r="T270">
        <f t="shared" si="968"/>
        <v>-0.64463635534786123</v>
      </c>
    </row>
    <row r="271" spans="1:20" x14ac:dyDescent="0.25">
      <c r="A271" s="5">
        <v>44322</v>
      </c>
      <c r="B271">
        <v>0.52710000000000001</v>
      </c>
      <c r="C271">
        <v>0.63800000000000001</v>
      </c>
      <c r="D271">
        <v>0.49230000000000002</v>
      </c>
      <c r="E271">
        <v>0.52180000000000004</v>
      </c>
      <c r="F271">
        <v>45490703.240000002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-0.595058339052848</v>
      </c>
      <c r="Q271">
        <f t="shared" si="965"/>
        <v>-27069622.312340412</v>
      </c>
      <c r="R271">
        <f t="shared" si="966"/>
        <v>-56813996.925194301</v>
      </c>
      <c r="S271">
        <f t="shared" si="967"/>
        <v>-568.13996925194306</v>
      </c>
      <c r="T271">
        <f t="shared" si="968"/>
        <v>-0.5681399692519431</v>
      </c>
    </row>
    <row r="272" spans="1:20" x14ac:dyDescent="0.25">
      <c r="A272" s="5">
        <v>44321</v>
      </c>
      <c r="B272">
        <v>0.47649999999999998</v>
      </c>
      <c r="C272">
        <v>0.54869999999999997</v>
      </c>
      <c r="D272">
        <v>0.46200000000000002</v>
      </c>
      <c r="E272">
        <v>0.52690000000000003</v>
      </c>
      <c r="F272">
        <v>20385788.050000001</v>
      </c>
      <c r="G272">
        <v>0</v>
      </c>
      <c r="L272" t="s">
        <v>8</v>
      </c>
      <c r="M272" t="s">
        <v>7</v>
      </c>
      <c r="N272" t="s">
        <v>7</v>
      </c>
      <c r="P272">
        <f t="shared" si="964"/>
        <v>0.49711649365628729</v>
      </c>
      <c r="Q272">
        <f t="shared" si="965"/>
        <v>10134111.475836243</v>
      </c>
      <c r="R272">
        <f t="shared" si="966"/>
        <v>-29744374.612853888</v>
      </c>
      <c r="S272">
        <f t="shared" si="967"/>
        <v>-297.44374612853886</v>
      </c>
      <c r="T272">
        <f t="shared" si="968"/>
        <v>-0.29744374612853886</v>
      </c>
    </row>
    <row r="273" spans="1:20" x14ac:dyDescent="0.25">
      <c r="A273" s="5">
        <v>44320</v>
      </c>
      <c r="B273">
        <v>0.58189999999999997</v>
      </c>
      <c r="C273">
        <v>0.58199999999999996</v>
      </c>
      <c r="D273">
        <v>0.47</v>
      </c>
      <c r="E273">
        <v>0.47649999999999998</v>
      </c>
      <c r="F273">
        <v>30781495.23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-0.88392857142857129</v>
      </c>
      <c r="Q273">
        <f t="shared" si="965"/>
        <v>-27208643.105089281</v>
      </c>
      <c r="R273">
        <f t="shared" si="966"/>
        <v>-39878486.088690132</v>
      </c>
      <c r="S273">
        <f t="shared" si="967"/>
        <v>-398.7848608869013</v>
      </c>
      <c r="T273">
        <f t="shared" si="968"/>
        <v>-0.39878486088690129</v>
      </c>
    </row>
    <row r="274" spans="1:20" x14ac:dyDescent="0.25">
      <c r="A274" s="5">
        <v>44319</v>
      </c>
      <c r="B274">
        <v>0.63390000000000002</v>
      </c>
      <c r="C274">
        <v>0.66779999999999995</v>
      </c>
      <c r="D274">
        <v>0.57250000000000001</v>
      </c>
      <c r="E274">
        <v>0.58189999999999997</v>
      </c>
      <c r="F274">
        <v>29756099.199999999</v>
      </c>
      <c r="G274">
        <v>0</v>
      </c>
      <c r="L274" t="s">
        <v>7</v>
      </c>
      <c r="M274" t="s">
        <v>7</v>
      </c>
      <c r="N274" t="s">
        <v>8</v>
      </c>
      <c r="P274">
        <f t="shared" si="964"/>
        <v>-0.8027282266526764</v>
      </c>
      <c r="Q274">
        <f t="shared" si="965"/>
        <v>-23886060.742917124</v>
      </c>
      <c r="R274">
        <f t="shared" si="966"/>
        <v>-12669842.983600851</v>
      </c>
      <c r="S274">
        <f t="shared" si="967"/>
        <v>-126.69842983600851</v>
      </c>
      <c r="T274">
        <f t="shared" si="968"/>
        <v>-0.12669842983600851</v>
      </c>
    </row>
    <row r="275" spans="1:20" x14ac:dyDescent="0.25">
      <c r="A275" s="5">
        <v>44318</v>
      </c>
      <c r="B275">
        <v>0.5726</v>
      </c>
      <c r="C275">
        <v>0.67769999999999997</v>
      </c>
      <c r="D275">
        <v>0.52</v>
      </c>
      <c r="E275">
        <v>0.6341</v>
      </c>
      <c r="F275">
        <v>43629677.140000001</v>
      </c>
      <c r="G275">
        <v>0</v>
      </c>
      <c r="L275" t="s">
        <v>8</v>
      </c>
      <c r="M275" t="s">
        <v>8</v>
      </c>
      <c r="N275" t="s">
        <v>8</v>
      </c>
      <c r="P275">
        <f t="shared" si="964"/>
        <v>0.44705136334812956</v>
      </c>
      <c r="Q275">
        <f t="shared" si="965"/>
        <v>19504706.647875722</v>
      </c>
      <c r="R275">
        <f t="shared" si="966"/>
        <v>11216217.759316273</v>
      </c>
      <c r="S275">
        <f t="shared" si="967"/>
        <v>112.16217759316272</v>
      </c>
      <c r="T275">
        <f t="shared" si="968"/>
        <v>0.11216217759316273</v>
      </c>
    </row>
    <row r="276" spans="1:20" x14ac:dyDescent="0.25">
      <c r="A276" s="5">
        <v>44317</v>
      </c>
      <c r="B276">
        <v>0.51590000000000003</v>
      </c>
      <c r="C276">
        <v>0.6</v>
      </c>
      <c r="D276">
        <v>0.49109999999999998</v>
      </c>
      <c r="E276">
        <v>0.57250000000000001</v>
      </c>
      <c r="F276">
        <v>29615341.670000002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0.49494949494949553</v>
      </c>
      <c r="Q276">
        <f t="shared" si="965"/>
        <v>14658098.40232325</v>
      </c>
      <c r="R276">
        <f t="shared" si="966"/>
        <v>-8288488.8885594495</v>
      </c>
      <c r="S276">
        <f t="shared" si="967"/>
        <v>-82.884888885594492</v>
      </c>
      <c r="T276">
        <f t="shared" si="968"/>
        <v>-8.288488888559449E-2</v>
      </c>
    </row>
    <row r="277" spans="1:20" x14ac:dyDescent="0.25">
      <c r="A277" s="5">
        <v>44316</v>
      </c>
      <c r="B277">
        <v>0.51570000000000005</v>
      </c>
      <c r="C277">
        <v>0.54</v>
      </c>
      <c r="D277">
        <v>0.48</v>
      </c>
      <c r="E277">
        <v>0.51590000000000003</v>
      </c>
      <c r="F277">
        <v>24918150.109999999</v>
      </c>
      <c r="G277">
        <v>0</v>
      </c>
      <c r="L277" t="s">
        <v>7</v>
      </c>
      <c r="M277" t="s">
        <v>7</v>
      </c>
      <c r="N277" t="s">
        <v>8</v>
      </c>
      <c r="P277">
        <f t="shared" si="964"/>
        <v>0.19666666666666704</v>
      </c>
      <c r="Q277">
        <f t="shared" si="965"/>
        <v>4900569.5216333428</v>
      </c>
      <c r="R277">
        <f t="shared" si="966"/>
        <v>-22946587.290882699</v>
      </c>
      <c r="S277">
        <f t="shared" si="967"/>
        <v>-229.46587290882698</v>
      </c>
      <c r="T277">
        <f t="shared" si="968"/>
        <v>-0.22946587290882697</v>
      </c>
    </row>
    <row r="278" spans="1:20" x14ac:dyDescent="0.25">
      <c r="A278" s="5">
        <v>44315</v>
      </c>
      <c r="B278">
        <v>0.5161</v>
      </c>
      <c r="C278">
        <v>0.5897</v>
      </c>
      <c r="D278">
        <v>0.47599999999999998</v>
      </c>
      <c r="E278">
        <v>0.51670000000000005</v>
      </c>
      <c r="F278">
        <v>39653693.43</v>
      </c>
      <c r="G278">
        <v>0</v>
      </c>
      <c r="L278" t="s">
        <v>8</v>
      </c>
      <c r="M278" t="s">
        <v>8</v>
      </c>
      <c r="N278" t="s">
        <v>8</v>
      </c>
      <c r="P278">
        <f t="shared" si="964"/>
        <v>-0.28408091468777374</v>
      </c>
      <c r="Q278">
        <f t="shared" si="965"/>
        <v>-11264857.500342963</v>
      </c>
      <c r="R278">
        <f t="shared" si="966"/>
        <v>-27847156.812516041</v>
      </c>
      <c r="S278">
        <f t="shared" si="967"/>
        <v>-278.47156812516039</v>
      </c>
      <c r="T278">
        <f t="shared" si="968"/>
        <v>-0.27847156812516038</v>
      </c>
    </row>
    <row r="279" spans="1:20" x14ac:dyDescent="0.25">
      <c r="A279" s="5">
        <v>44314</v>
      </c>
      <c r="B279">
        <v>0.47810000000000002</v>
      </c>
      <c r="C279">
        <v>0.55989999999999995</v>
      </c>
      <c r="D279">
        <v>0.41499999999999998</v>
      </c>
      <c r="E279">
        <v>0.51619999999999999</v>
      </c>
      <c r="F279">
        <v>36795415.079999998</v>
      </c>
      <c r="G279">
        <v>0</v>
      </c>
      <c r="L279" t="s">
        <v>8</v>
      </c>
      <c r="M279" t="s">
        <v>8</v>
      </c>
      <c r="N279" t="s">
        <v>8</v>
      </c>
      <c r="P279">
        <f t="shared" si="964"/>
        <v>0.39682539682539725</v>
      </c>
      <c r="Q279">
        <f t="shared" si="965"/>
        <v>14601355.190476205</v>
      </c>
      <c r="R279">
        <f t="shared" si="966"/>
        <v>-16582299.31217308</v>
      </c>
      <c r="S279">
        <f t="shared" si="967"/>
        <v>-165.8229931217308</v>
      </c>
      <c r="T279">
        <f t="shared" si="968"/>
        <v>-0.16582299312173079</v>
      </c>
    </row>
    <row r="280" spans="1:20" x14ac:dyDescent="0.25">
      <c r="A280" s="5">
        <v>44313</v>
      </c>
      <c r="B280">
        <v>0.41830000000000001</v>
      </c>
      <c r="C280">
        <v>0.49</v>
      </c>
      <c r="D280">
        <v>0.41170000000000001</v>
      </c>
      <c r="E280">
        <v>0.4798</v>
      </c>
      <c r="F280">
        <v>21280628.030000001</v>
      </c>
      <c r="G280">
        <v>0</v>
      </c>
      <c r="L280" t="s">
        <v>8</v>
      </c>
      <c r="M280" t="s">
        <v>8</v>
      </c>
      <c r="N280" t="s">
        <v>8</v>
      </c>
      <c r="P280">
        <f t="shared" si="964"/>
        <v>0.73946360153256729</v>
      </c>
      <c r="Q280">
        <f t="shared" si="965"/>
        <v>15736249.845938703</v>
      </c>
      <c r="R280">
        <f t="shared" si="966"/>
        <v>-31183654.502649285</v>
      </c>
      <c r="S280">
        <f t="shared" si="967"/>
        <v>-311.83654502649284</v>
      </c>
      <c r="T280">
        <f t="shared" si="968"/>
        <v>-0.31183654502649283</v>
      </c>
    </row>
    <row r="281" spans="1:20" x14ac:dyDescent="0.25">
      <c r="A281" s="5">
        <v>44312</v>
      </c>
      <c r="B281">
        <v>0.37119999999999997</v>
      </c>
      <c r="C281">
        <v>0.435</v>
      </c>
      <c r="D281">
        <v>0.371</v>
      </c>
      <c r="E281">
        <v>0.41820000000000002</v>
      </c>
      <c r="F281">
        <v>19892827.899999999</v>
      </c>
      <c r="G281">
        <v>0</v>
      </c>
      <c r="L281" t="s">
        <v>8</v>
      </c>
      <c r="M281" t="s">
        <v>8</v>
      </c>
      <c r="N281" t="s">
        <v>8</v>
      </c>
      <c r="P281">
        <f t="shared" si="964"/>
        <v>0.47500000000000059</v>
      </c>
      <c r="Q281">
        <f t="shared" si="965"/>
        <v>9449093.2525000107</v>
      </c>
      <c r="R281">
        <f t="shared" si="966"/>
        <v>-46919904.34858799</v>
      </c>
      <c r="S281">
        <f t="shared" si="967"/>
        <v>-469.19904348587988</v>
      </c>
      <c r="T281">
        <f t="shared" si="968"/>
        <v>-0.46919904348587987</v>
      </c>
    </row>
    <row r="282" spans="1:20" x14ac:dyDescent="0.25">
      <c r="A282" s="5">
        <v>44311</v>
      </c>
      <c r="B282">
        <v>0.31759999999999999</v>
      </c>
      <c r="C282">
        <v>0.41499999999999998</v>
      </c>
      <c r="D282">
        <v>0.30719999999999997</v>
      </c>
      <c r="E282">
        <v>0.37159999999999999</v>
      </c>
      <c r="F282">
        <v>31218429.030000001</v>
      </c>
      <c r="G282">
        <v>0</v>
      </c>
      <c r="L282" t="s">
        <v>8</v>
      </c>
      <c r="M282" t="s">
        <v>8</v>
      </c>
      <c r="N282" t="s">
        <v>8</v>
      </c>
      <c r="P282">
        <f t="shared" si="964"/>
        <v>0.19480519480519495</v>
      </c>
      <c r="Q282">
        <f t="shared" si="965"/>
        <v>6081512.1487013036</v>
      </c>
      <c r="R282">
        <f t="shared" si="966"/>
        <v>-56368997.601088002</v>
      </c>
      <c r="S282">
        <f t="shared" si="967"/>
        <v>-563.68997601088006</v>
      </c>
      <c r="T282">
        <f t="shared" si="968"/>
        <v>-0.56368997601088011</v>
      </c>
    </row>
    <row r="283" spans="1:20" x14ac:dyDescent="0.25">
      <c r="A283" s="5">
        <v>44310</v>
      </c>
      <c r="B283">
        <v>0.3251</v>
      </c>
      <c r="C283">
        <v>0.3296</v>
      </c>
      <c r="D283">
        <v>0.28260000000000002</v>
      </c>
      <c r="E283">
        <v>0.31909999999999999</v>
      </c>
      <c r="F283">
        <v>14998847.689999999</v>
      </c>
      <c r="G283">
        <v>0</v>
      </c>
      <c r="L283" t="s">
        <v>8</v>
      </c>
      <c r="M283" t="s">
        <v>8</v>
      </c>
      <c r="N283" t="s">
        <v>7</v>
      </c>
      <c r="P283">
        <f t="shared" si="964"/>
        <v>0.55319148936170159</v>
      </c>
      <c r="Q283">
        <f t="shared" si="965"/>
        <v>8297234.892340417</v>
      </c>
      <c r="R283">
        <f t="shared" si="966"/>
        <v>-62450509.749789305</v>
      </c>
      <c r="S283">
        <f t="shared" si="967"/>
        <v>-624.50509749789308</v>
      </c>
      <c r="T283">
        <f t="shared" si="968"/>
        <v>-0.62450509749789307</v>
      </c>
    </row>
    <row r="284" spans="1:20" x14ac:dyDescent="0.25">
      <c r="A284" s="5">
        <v>44309</v>
      </c>
      <c r="B284">
        <v>0.35010000000000002</v>
      </c>
      <c r="C284">
        <v>0.35389999999999999</v>
      </c>
      <c r="D284">
        <v>0.2797</v>
      </c>
      <c r="E284">
        <v>0.3246</v>
      </c>
      <c r="F284">
        <v>23621367.91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0.21024258760107825</v>
      </c>
      <c r="Q284">
        <f t="shared" si="965"/>
        <v>4966217.5120754736</v>
      </c>
      <c r="R284">
        <f t="shared" si="966"/>
        <v>-70747744.642129719</v>
      </c>
      <c r="S284">
        <f t="shared" si="967"/>
        <v>-707.47744642129715</v>
      </c>
      <c r="T284">
        <f t="shared" si="968"/>
        <v>-0.70747744642129717</v>
      </c>
    </row>
    <row r="285" spans="1:20" x14ac:dyDescent="0.25">
      <c r="A285" s="5">
        <v>44308</v>
      </c>
      <c r="B285">
        <v>0.3947</v>
      </c>
      <c r="C285">
        <v>0.4088</v>
      </c>
      <c r="D285">
        <v>0.33400000000000002</v>
      </c>
      <c r="E285">
        <v>0.3503</v>
      </c>
      <c r="F285">
        <v>21063947.25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-0.56417112299465277</v>
      </c>
      <c r="Q285">
        <f t="shared" si="965"/>
        <v>-11883670.774732629</v>
      </c>
      <c r="R285">
        <f t="shared" si="966"/>
        <v>-75713962.154205188</v>
      </c>
      <c r="S285">
        <f t="shared" si="967"/>
        <v>-757.13962154205183</v>
      </c>
      <c r="T285">
        <f t="shared" si="968"/>
        <v>-0.75713962154205183</v>
      </c>
    </row>
    <row r="286" spans="1:20" x14ac:dyDescent="0.25">
      <c r="A286" s="5">
        <v>44307</v>
      </c>
      <c r="B286">
        <v>0.44900000000000001</v>
      </c>
      <c r="C286">
        <v>0.4521</v>
      </c>
      <c r="D286">
        <v>0.38650000000000001</v>
      </c>
      <c r="E286">
        <v>0.39350000000000002</v>
      </c>
      <c r="F286">
        <v>14974610.08</v>
      </c>
      <c r="G286">
        <v>0</v>
      </c>
      <c r="L286" t="s">
        <v>8</v>
      </c>
      <c r="M286" t="s">
        <v>8</v>
      </c>
      <c r="N286" t="s">
        <v>7</v>
      </c>
      <c r="P286">
        <f t="shared" si="964"/>
        <v>-0.78658536585365835</v>
      </c>
      <c r="Q286">
        <f t="shared" si="965"/>
        <v>-11778809.148292679</v>
      </c>
      <c r="R286">
        <f t="shared" si="966"/>
        <v>-63830291.379472554</v>
      </c>
      <c r="S286">
        <f t="shared" si="967"/>
        <v>-638.30291379472555</v>
      </c>
      <c r="T286">
        <f t="shared" si="968"/>
        <v>-0.63830291379472559</v>
      </c>
    </row>
    <row r="287" spans="1:20" x14ac:dyDescent="0.25">
      <c r="A287" s="5">
        <v>44306</v>
      </c>
      <c r="B287">
        <v>0.44500000000000001</v>
      </c>
      <c r="C287">
        <v>0.45100000000000001</v>
      </c>
      <c r="D287">
        <v>0.35</v>
      </c>
      <c r="E287">
        <v>0.44900000000000001</v>
      </c>
      <c r="F287">
        <v>22232678.789999999</v>
      </c>
      <c r="G287">
        <v>0</v>
      </c>
      <c r="L287" t="s">
        <v>7</v>
      </c>
      <c r="M287" t="s">
        <v>7</v>
      </c>
      <c r="N287" t="s">
        <v>7</v>
      </c>
      <c r="P287">
        <f t="shared" si="964"/>
        <v>0.96039603960396036</v>
      </c>
      <c r="Q287">
        <f t="shared" si="965"/>
        <v>21352176.659702968</v>
      </c>
      <c r="R287">
        <f t="shared" si="966"/>
        <v>-52051482.231179878</v>
      </c>
      <c r="S287">
        <f t="shared" si="967"/>
        <v>-520.51482231179875</v>
      </c>
      <c r="T287">
        <f t="shared" si="968"/>
        <v>-0.5205148223117988</v>
      </c>
    </row>
    <row r="288" spans="1:20" x14ac:dyDescent="0.25">
      <c r="A288" s="5">
        <v>44305</v>
      </c>
      <c r="B288">
        <v>0.48060000000000003</v>
      </c>
      <c r="C288">
        <v>0.50270000000000004</v>
      </c>
      <c r="D288">
        <v>0.42009999999999997</v>
      </c>
      <c r="E288">
        <v>0.44469999999999998</v>
      </c>
      <c r="F288">
        <v>16729432.57</v>
      </c>
      <c r="G288">
        <v>0</v>
      </c>
      <c r="L288" t="s">
        <v>7</v>
      </c>
      <c r="M288" t="s">
        <v>7</v>
      </c>
      <c r="N288" t="s">
        <v>7</v>
      </c>
      <c r="P288">
        <f t="shared" si="964"/>
        <v>-0.40435835351089605</v>
      </c>
      <c r="Q288">
        <f t="shared" si="965"/>
        <v>-6764685.8091767579</v>
      </c>
      <c r="R288">
        <f t="shared" si="966"/>
        <v>-73403658.89088285</v>
      </c>
      <c r="S288">
        <f t="shared" si="967"/>
        <v>-734.03658890882855</v>
      </c>
      <c r="T288">
        <f t="shared" si="968"/>
        <v>-0.7340365889088285</v>
      </c>
    </row>
    <row r="289" spans="1:20" x14ac:dyDescent="0.25">
      <c r="A289" s="5">
        <v>44304</v>
      </c>
      <c r="B289">
        <v>0.56979999999999997</v>
      </c>
      <c r="C289">
        <v>0.5726</v>
      </c>
      <c r="D289">
        <v>0.43020000000000003</v>
      </c>
      <c r="E289">
        <v>0.48199999999999998</v>
      </c>
      <c r="F289">
        <v>18552513.629999999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-0.27247191011235999</v>
      </c>
      <c r="Q289">
        <f t="shared" si="965"/>
        <v>-5055038.8261516932</v>
      </c>
      <c r="R289">
        <f t="shared" si="966"/>
        <v>-66638973.081706099</v>
      </c>
      <c r="S289">
        <f t="shared" si="967"/>
        <v>-666.38973081706104</v>
      </c>
      <c r="T289">
        <f t="shared" si="968"/>
        <v>-0.66638973081706099</v>
      </c>
    </row>
    <row r="290" spans="1:20" x14ac:dyDescent="0.25">
      <c r="A290" s="5">
        <v>44303</v>
      </c>
      <c r="B290">
        <v>0.56679999999999997</v>
      </c>
      <c r="C290">
        <v>0.59889999999999999</v>
      </c>
      <c r="D290">
        <v>0.5524</v>
      </c>
      <c r="E290">
        <v>0.57069999999999999</v>
      </c>
      <c r="F290">
        <v>14578920.25</v>
      </c>
      <c r="G290">
        <v>0</v>
      </c>
      <c r="L290" t="s">
        <v>8</v>
      </c>
      <c r="M290" t="s">
        <v>7</v>
      </c>
      <c r="N290" t="s">
        <v>7</v>
      </c>
      <c r="P290">
        <f t="shared" si="964"/>
        <v>-0.2129032258064521</v>
      </c>
      <c r="Q290">
        <f t="shared" si="965"/>
        <v>-3103899.1500000069</v>
      </c>
      <c r="R290">
        <f t="shared" si="966"/>
        <v>-61583934.255554408</v>
      </c>
      <c r="S290">
        <f t="shared" si="967"/>
        <v>-615.83934255554402</v>
      </c>
      <c r="T290">
        <f t="shared" si="968"/>
        <v>-0.61583934255554407</v>
      </c>
    </row>
    <row r="291" spans="1:20" x14ac:dyDescent="0.25">
      <c r="A291" s="5">
        <v>44302</v>
      </c>
      <c r="B291">
        <v>0.62080000000000002</v>
      </c>
      <c r="C291">
        <v>0.62229999999999996</v>
      </c>
      <c r="D291">
        <v>0.55169999999999997</v>
      </c>
      <c r="E291">
        <v>0.56679999999999997</v>
      </c>
      <c r="F291">
        <v>17314755.899999999</v>
      </c>
      <c r="G291">
        <v>0</v>
      </c>
      <c r="L291" t="s">
        <v>7</v>
      </c>
      <c r="M291" t="s">
        <v>7</v>
      </c>
      <c r="N291" t="s">
        <v>7</v>
      </c>
      <c r="P291">
        <f t="shared" si="964"/>
        <v>-0.57223796033994323</v>
      </c>
      <c r="Q291">
        <f t="shared" si="965"/>
        <v>-9908160.5999999978</v>
      </c>
      <c r="R291">
        <f t="shared" si="966"/>
        <v>-58480035.105554402</v>
      </c>
      <c r="S291">
        <f t="shared" si="967"/>
        <v>-584.80035105554407</v>
      </c>
      <c r="T291">
        <f t="shared" si="968"/>
        <v>-0.58480035105554407</v>
      </c>
    </row>
    <row r="292" spans="1:20" x14ac:dyDescent="0.25">
      <c r="A292" s="5">
        <v>44301</v>
      </c>
      <c r="B292">
        <v>0.60219999999999996</v>
      </c>
      <c r="C292">
        <v>0.64219999999999999</v>
      </c>
      <c r="D292">
        <v>0.58709999999999996</v>
      </c>
      <c r="E292">
        <v>0.62080000000000002</v>
      </c>
      <c r="F292">
        <v>15267609.98</v>
      </c>
      <c r="G292">
        <v>0</v>
      </c>
      <c r="L292" t="s">
        <v>8</v>
      </c>
      <c r="M292" t="s">
        <v>7</v>
      </c>
      <c r="N292" t="s">
        <v>7</v>
      </c>
      <c r="P292">
        <f t="shared" si="964"/>
        <v>0.22323049001815026</v>
      </c>
      <c r="Q292">
        <f t="shared" si="965"/>
        <v>3408196.0572414016</v>
      </c>
      <c r="R292">
        <f t="shared" si="966"/>
        <v>-48571874.5055544</v>
      </c>
      <c r="S292">
        <f t="shared" si="967"/>
        <v>-485.71874505554399</v>
      </c>
      <c r="T292">
        <f t="shared" si="968"/>
        <v>-0.48571874505554397</v>
      </c>
    </row>
    <row r="293" spans="1:20" x14ac:dyDescent="0.25">
      <c r="A293" s="5">
        <v>44300</v>
      </c>
      <c r="B293">
        <v>0.59989999999999999</v>
      </c>
      <c r="C293">
        <v>0.6099</v>
      </c>
      <c r="D293">
        <v>0.56399999999999995</v>
      </c>
      <c r="E293">
        <v>0.60199999999999998</v>
      </c>
      <c r="F293">
        <v>17036110.370000001</v>
      </c>
      <c r="G293">
        <v>0</v>
      </c>
      <c r="L293" t="s">
        <v>7</v>
      </c>
      <c r="M293" t="s">
        <v>7</v>
      </c>
      <c r="N293" t="s">
        <v>7</v>
      </c>
      <c r="P293">
        <f t="shared" si="964"/>
        <v>0.65577342047930243</v>
      </c>
      <c r="Q293">
        <f t="shared" si="965"/>
        <v>11171828.368997816</v>
      </c>
      <c r="R293">
        <f t="shared" si="966"/>
        <v>-51980070.562795803</v>
      </c>
      <c r="S293">
        <f t="shared" si="967"/>
        <v>-519.800705627958</v>
      </c>
      <c r="T293">
        <f t="shared" si="968"/>
        <v>-0.51980070562795799</v>
      </c>
    </row>
    <row r="294" spans="1:20" x14ac:dyDescent="0.25">
      <c r="A294" s="5">
        <v>44299</v>
      </c>
      <c r="B294">
        <v>0.64559999999999995</v>
      </c>
      <c r="C294">
        <v>0.69950000000000001</v>
      </c>
      <c r="D294">
        <v>0.59019999999999995</v>
      </c>
      <c r="E294">
        <v>0.59909999999999997</v>
      </c>
      <c r="F294">
        <v>22005736.48</v>
      </c>
      <c r="G294">
        <v>0</v>
      </c>
      <c r="L294" t="s">
        <v>8</v>
      </c>
      <c r="M294" t="s">
        <v>8</v>
      </c>
      <c r="N294" t="s">
        <v>7</v>
      </c>
      <c r="P294">
        <f t="shared" si="964"/>
        <v>-0.83714547118023763</v>
      </c>
      <c r="Q294">
        <f t="shared" si="965"/>
        <v>-18422002.634217743</v>
      </c>
      <c r="R294">
        <f t="shared" si="966"/>
        <v>-63151898.931793615</v>
      </c>
      <c r="S294">
        <f t="shared" si="967"/>
        <v>-631.51898931793619</v>
      </c>
      <c r="T294">
        <f t="shared" si="968"/>
        <v>-0.63151898931793615</v>
      </c>
    </row>
    <row r="295" spans="1:20" x14ac:dyDescent="0.25">
      <c r="A295" s="5">
        <v>44298</v>
      </c>
      <c r="B295">
        <v>0.60570000000000002</v>
      </c>
      <c r="C295">
        <v>0.67</v>
      </c>
      <c r="D295">
        <v>0.57999999999999996</v>
      </c>
      <c r="E295">
        <v>0.64659999999999995</v>
      </c>
      <c r="F295">
        <v>17725158.5</v>
      </c>
      <c r="G295">
        <v>0</v>
      </c>
      <c r="L295" t="s">
        <v>7</v>
      </c>
      <c r="M295" t="s">
        <v>7</v>
      </c>
      <c r="N295" t="s">
        <v>7</v>
      </c>
      <c r="P295">
        <f t="shared" si="964"/>
        <v>0.47999999999999854</v>
      </c>
      <c r="Q295">
        <f t="shared" si="965"/>
        <v>8508076.079999974</v>
      </c>
      <c r="R295">
        <f t="shared" si="966"/>
        <v>-44729896.297575876</v>
      </c>
      <c r="S295">
        <f t="shared" si="967"/>
        <v>-447.29896297575874</v>
      </c>
      <c r="T295">
        <f t="shared" si="968"/>
        <v>-0.44729896297575872</v>
      </c>
    </row>
    <row r="296" spans="1:20" x14ac:dyDescent="0.25">
      <c r="A296" s="5">
        <v>44297</v>
      </c>
      <c r="B296">
        <v>0.63300000000000001</v>
      </c>
      <c r="C296">
        <v>0.6351</v>
      </c>
      <c r="D296">
        <v>0.6</v>
      </c>
      <c r="E296">
        <v>0.60580000000000001</v>
      </c>
      <c r="F296">
        <v>9521046.0700000003</v>
      </c>
      <c r="G296">
        <v>0</v>
      </c>
      <c r="L296" t="s">
        <v>7</v>
      </c>
      <c r="M296" t="s">
        <v>8</v>
      </c>
      <c r="N296" t="s">
        <v>7</v>
      </c>
      <c r="P296">
        <f t="shared" si="964"/>
        <v>-0.6695156695156681</v>
      </c>
      <c r="Q296">
        <f t="shared" si="965"/>
        <v>-6374489.5340455705</v>
      </c>
      <c r="R296">
        <f t="shared" si="966"/>
        <v>-53237972.377575852</v>
      </c>
      <c r="S296">
        <f t="shared" si="967"/>
        <v>-532.37972377575852</v>
      </c>
      <c r="T296">
        <f t="shared" si="968"/>
        <v>-0.53237972377575848</v>
      </c>
    </row>
    <row r="297" spans="1:20" x14ac:dyDescent="0.25">
      <c r="A297" s="5">
        <v>44296</v>
      </c>
      <c r="B297">
        <v>0.67210000000000003</v>
      </c>
      <c r="C297">
        <v>0.69</v>
      </c>
      <c r="D297">
        <v>0.61180000000000001</v>
      </c>
      <c r="E297">
        <v>0.6331</v>
      </c>
      <c r="F297">
        <v>11108000.08</v>
      </c>
      <c r="G297">
        <v>0</v>
      </c>
      <c r="L297" t="s">
        <v>7</v>
      </c>
      <c r="M297" t="s">
        <v>8</v>
      </c>
      <c r="N297" t="s">
        <v>7</v>
      </c>
      <c r="P297">
        <f t="shared" si="964"/>
        <v>-0.45524296675191811</v>
      </c>
      <c r="Q297">
        <f t="shared" si="965"/>
        <v>-5056838.911099744</v>
      </c>
      <c r="R297">
        <f t="shared" si="966"/>
        <v>-46863482.843530282</v>
      </c>
      <c r="S297">
        <f t="shared" si="967"/>
        <v>-468.63482843530284</v>
      </c>
      <c r="T297">
        <f t="shared" si="968"/>
        <v>-0.46863482843530285</v>
      </c>
    </row>
    <row r="298" spans="1:20" x14ac:dyDescent="0.25">
      <c r="A298" s="5">
        <v>44295</v>
      </c>
      <c r="B298">
        <v>0.63770000000000004</v>
      </c>
      <c r="C298">
        <v>0.7</v>
      </c>
      <c r="D298">
        <v>0.62809999999999999</v>
      </c>
      <c r="E298">
        <v>0.6714</v>
      </c>
      <c r="F298">
        <v>11800601.720000001</v>
      </c>
      <c r="G298">
        <v>0</v>
      </c>
      <c r="L298" t="s">
        <v>8</v>
      </c>
      <c r="M298" t="s">
        <v>8</v>
      </c>
      <c r="N298" t="s">
        <v>7</v>
      </c>
      <c r="P298">
        <f t="shared" si="964"/>
        <v>0.2044506258692636</v>
      </c>
      <c r="Q298">
        <f t="shared" si="965"/>
        <v>2412640.4072879087</v>
      </c>
      <c r="R298">
        <f t="shared" si="966"/>
        <v>-41806643.932430536</v>
      </c>
      <c r="S298">
        <f t="shared" si="967"/>
        <v>-418.06643932430535</v>
      </c>
      <c r="T298">
        <f t="shared" si="968"/>
        <v>-0.41806643932430537</v>
      </c>
    </row>
    <row r="299" spans="1:20" x14ac:dyDescent="0.25">
      <c r="A299" s="5">
        <v>44294</v>
      </c>
      <c r="B299">
        <v>0.58140000000000003</v>
      </c>
      <c r="C299">
        <v>0.66</v>
      </c>
      <c r="D299">
        <v>0.5746</v>
      </c>
      <c r="E299">
        <v>0.63749999999999996</v>
      </c>
      <c r="F299">
        <v>10296395.210000001</v>
      </c>
      <c r="G299">
        <v>0</v>
      </c>
      <c r="L299" t="s">
        <v>8</v>
      </c>
      <c r="M299" t="s">
        <v>8</v>
      </c>
      <c r="N299" t="s">
        <v>7</v>
      </c>
      <c r="P299">
        <f t="shared" si="964"/>
        <v>0.47306791569086493</v>
      </c>
      <c r="Q299">
        <f t="shared" si="965"/>
        <v>4870894.2211241061</v>
      </c>
      <c r="R299">
        <f t="shared" si="966"/>
        <v>-44219284.339718446</v>
      </c>
      <c r="S299">
        <f t="shared" si="967"/>
        <v>-442.19284339718445</v>
      </c>
      <c r="T299">
        <f t="shared" si="968"/>
        <v>-0.44219284339718445</v>
      </c>
    </row>
    <row r="300" spans="1:20" x14ac:dyDescent="0.25">
      <c r="A300" s="5">
        <v>44293</v>
      </c>
      <c r="B300">
        <v>0.67</v>
      </c>
      <c r="C300">
        <v>0.67010000000000003</v>
      </c>
      <c r="D300">
        <v>0.53849999999999998</v>
      </c>
      <c r="E300">
        <v>0.58140000000000003</v>
      </c>
      <c r="F300">
        <v>17109873.390000001</v>
      </c>
      <c r="G300">
        <v>0</v>
      </c>
      <c r="L300" t="s">
        <v>7</v>
      </c>
      <c r="M300" t="s">
        <v>7</v>
      </c>
      <c r="N300" t="s">
        <v>7</v>
      </c>
      <c r="P300">
        <f t="shared" si="964"/>
        <v>-0.34802431610942197</v>
      </c>
      <c r="Q300">
        <f t="shared" si="965"/>
        <v>-5954651.9852735475</v>
      </c>
      <c r="R300">
        <f t="shared" si="966"/>
        <v>-49090178.560842551</v>
      </c>
      <c r="S300">
        <f t="shared" si="967"/>
        <v>-490.90178560842548</v>
      </c>
      <c r="T300">
        <f t="shared" si="968"/>
        <v>-0.49090178560842551</v>
      </c>
    </row>
    <row r="301" spans="1:20" x14ac:dyDescent="0.25">
      <c r="A301" s="5">
        <v>44292</v>
      </c>
      <c r="B301">
        <v>0.71499999999999997</v>
      </c>
      <c r="C301">
        <v>0.745</v>
      </c>
      <c r="D301">
        <v>0.64880000000000004</v>
      </c>
      <c r="E301">
        <v>0.66910000000000003</v>
      </c>
      <c r="F301">
        <v>13087852.01</v>
      </c>
      <c r="G301">
        <v>0</v>
      </c>
      <c r="L301" t="s">
        <v>7</v>
      </c>
      <c r="M301" t="s">
        <v>8</v>
      </c>
      <c r="N301" t="s">
        <v>7</v>
      </c>
      <c r="P301">
        <f t="shared" si="964"/>
        <v>-0.57796257796257811</v>
      </c>
      <c r="Q301">
        <f t="shared" si="965"/>
        <v>-7564288.6876923097</v>
      </c>
      <c r="R301">
        <f t="shared" si="966"/>
        <v>-43135526.575569004</v>
      </c>
      <c r="S301">
        <f t="shared" si="967"/>
        <v>-431.35526575569003</v>
      </c>
      <c r="T301">
        <f t="shared" si="968"/>
        <v>-0.43135526575569005</v>
      </c>
    </row>
    <row r="302" spans="1:20" x14ac:dyDescent="0.25">
      <c r="A302" s="5">
        <v>44291</v>
      </c>
      <c r="B302">
        <v>0.71809999999999996</v>
      </c>
      <c r="C302">
        <v>0.75990000000000002</v>
      </c>
      <c r="D302">
        <v>0.66310000000000002</v>
      </c>
      <c r="E302">
        <v>0.71499999999999997</v>
      </c>
      <c r="F302">
        <v>15206076.27</v>
      </c>
      <c r="G302">
        <v>0</v>
      </c>
      <c r="L302" t="s">
        <v>8</v>
      </c>
      <c r="M302" t="s">
        <v>8</v>
      </c>
      <c r="N302" t="s">
        <v>7</v>
      </c>
      <c r="P302">
        <f t="shared" si="964"/>
        <v>7.2314049586775772E-2</v>
      </c>
      <c r="Q302">
        <f t="shared" si="965"/>
        <v>1099612.9534090743</v>
      </c>
      <c r="R302">
        <f t="shared" si="966"/>
        <v>-35571237.887876697</v>
      </c>
      <c r="S302">
        <f t="shared" si="967"/>
        <v>-355.71237887876697</v>
      </c>
      <c r="T302">
        <f t="shared" si="968"/>
        <v>-0.35571237887876694</v>
      </c>
    </row>
    <row r="303" spans="1:20" x14ac:dyDescent="0.25">
      <c r="A303" s="5">
        <v>44290</v>
      </c>
      <c r="B303">
        <v>0.6421</v>
      </c>
      <c r="C303">
        <v>0.75</v>
      </c>
      <c r="D303">
        <v>0.63</v>
      </c>
      <c r="E303">
        <v>0.7177</v>
      </c>
      <c r="F303">
        <v>14368403.630000001</v>
      </c>
      <c r="G303">
        <v>0</v>
      </c>
      <c r="L303" t="s">
        <v>7</v>
      </c>
      <c r="M303" t="s">
        <v>8</v>
      </c>
      <c r="N303" t="s">
        <v>7</v>
      </c>
      <c r="P303">
        <f t="shared" si="964"/>
        <v>0.46166666666666673</v>
      </c>
      <c r="Q303">
        <f t="shared" si="965"/>
        <v>6633413.0091833342</v>
      </c>
      <c r="R303">
        <f t="shared" si="966"/>
        <v>-36670850.841285773</v>
      </c>
      <c r="S303">
        <f t="shared" si="967"/>
        <v>-366.70850841285773</v>
      </c>
      <c r="T303">
        <f t="shared" si="968"/>
        <v>-0.36670850841285774</v>
      </c>
    </row>
    <row r="304" spans="1:20" x14ac:dyDescent="0.25">
      <c r="A304" s="5">
        <v>44289</v>
      </c>
      <c r="B304">
        <v>0.71240000000000003</v>
      </c>
      <c r="C304">
        <v>0.73280000000000001</v>
      </c>
      <c r="D304">
        <v>0.63759999999999994</v>
      </c>
      <c r="E304">
        <v>0.64200000000000002</v>
      </c>
      <c r="F304">
        <v>14619787.380000001</v>
      </c>
      <c r="G304">
        <v>0</v>
      </c>
      <c r="L304" t="s">
        <v>7</v>
      </c>
      <c r="M304" t="s">
        <v>7</v>
      </c>
      <c r="N304" t="s">
        <v>7</v>
      </c>
      <c r="P304">
        <f t="shared" si="964"/>
        <v>-0.90756302521008259</v>
      </c>
      <c r="Q304">
        <f t="shared" si="965"/>
        <v>-13268378.462520989</v>
      </c>
      <c r="R304">
        <f t="shared" si="966"/>
        <v>-43304263.850469105</v>
      </c>
      <c r="S304">
        <f t="shared" si="967"/>
        <v>-433.04263850469107</v>
      </c>
      <c r="T304">
        <f t="shared" si="968"/>
        <v>-0.43304263850469105</v>
      </c>
    </row>
    <row r="305" spans="1:20" x14ac:dyDescent="0.25">
      <c r="A305" s="5">
        <v>44288</v>
      </c>
      <c r="B305">
        <v>0.72770000000000001</v>
      </c>
      <c r="C305">
        <v>0.76390000000000002</v>
      </c>
      <c r="D305">
        <v>0.70499999999999996</v>
      </c>
      <c r="E305">
        <v>0.71250000000000002</v>
      </c>
      <c r="F305">
        <v>13100778.689999999</v>
      </c>
      <c r="G305">
        <v>0</v>
      </c>
      <c r="L305" t="s">
        <v>8</v>
      </c>
      <c r="M305" t="s">
        <v>7</v>
      </c>
      <c r="N305" t="s">
        <v>7</v>
      </c>
      <c r="P305">
        <f t="shared" si="964"/>
        <v>-0.74533106960950579</v>
      </c>
      <c r="Q305">
        <f t="shared" si="965"/>
        <v>-9764417.3937351201</v>
      </c>
      <c r="R305">
        <f t="shared" si="966"/>
        <v>-30035885.387948118</v>
      </c>
      <c r="S305">
        <f t="shared" si="967"/>
        <v>-300.35885387948116</v>
      </c>
      <c r="T305">
        <f t="shared" si="968"/>
        <v>-0.30035885387948114</v>
      </c>
    </row>
    <row r="306" spans="1:20" x14ac:dyDescent="0.25">
      <c r="A306" s="5">
        <v>44287</v>
      </c>
      <c r="B306">
        <v>0.72199999999999998</v>
      </c>
      <c r="C306">
        <v>0.7903</v>
      </c>
      <c r="D306">
        <v>0.68500000000000005</v>
      </c>
      <c r="E306">
        <v>0.72789999999999999</v>
      </c>
      <c r="F306">
        <v>14299561.74</v>
      </c>
      <c r="G306">
        <v>0</v>
      </c>
      <c r="L306" t="s">
        <v>7</v>
      </c>
      <c r="M306" t="s">
        <v>7</v>
      </c>
      <c r="N306" t="s">
        <v>7</v>
      </c>
      <c r="P306">
        <f t="shared" si="964"/>
        <v>-0.18518518518518598</v>
      </c>
      <c r="Q306">
        <f t="shared" si="965"/>
        <v>-2648066.9888889003</v>
      </c>
      <c r="R306">
        <f t="shared" si="966"/>
        <v>-20271467.994213</v>
      </c>
      <c r="S306">
        <f t="shared" si="967"/>
        <v>-202.71467994213</v>
      </c>
      <c r="T306">
        <f t="shared" si="968"/>
        <v>-0.20271467994212999</v>
      </c>
    </row>
    <row r="307" spans="1:20" x14ac:dyDescent="0.25">
      <c r="A307" s="5">
        <v>44286</v>
      </c>
      <c r="B307">
        <v>0.77929999999999999</v>
      </c>
      <c r="C307">
        <v>0.80500000000000005</v>
      </c>
      <c r="D307">
        <v>0.7</v>
      </c>
      <c r="E307">
        <v>0.72199999999999998</v>
      </c>
      <c r="F307">
        <v>12664643.539999999</v>
      </c>
      <c r="G307">
        <v>0</v>
      </c>
      <c r="L307" t="s">
        <v>7</v>
      </c>
      <c r="M307" t="s">
        <v>7</v>
      </c>
      <c r="N307" t="s">
        <v>7</v>
      </c>
      <c r="P307">
        <f t="shared" si="964"/>
        <v>-0.580952380952381</v>
      </c>
      <c r="Q307">
        <f t="shared" si="965"/>
        <v>-7357554.8184761908</v>
      </c>
      <c r="R307">
        <f t="shared" si="966"/>
        <v>-17623401.005324099</v>
      </c>
      <c r="S307">
        <f t="shared" si="967"/>
        <v>-176.23401005324098</v>
      </c>
      <c r="T307">
        <f t="shared" si="968"/>
        <v>-0.17623401005324099</v>
      </c>
    </row>
    <row r="308" spans="1:20" x14ac:dyDescent="0.25">
      <c r="A308" s="5">
        <v>44285</v>
      </c>
      <c r="B308">
        <v>0.81140000000000001</v>
      </c>
      <c r="C308">
        <v>0.82840000000000003</v>
      </c>
      <c r="D308">
        <v>0.76</v>
      </c>
      <c r="E308">
        <v>0.77890000000000004</v>
      </c>
      <c r="F308">
        <v>12927462.17</v>
      </c>
      <c r="G308">
        <v>0</v>
      </c>
      <c r="L308" t="s">
        <v>7</v>
      </c>
      <c r="M308" t="s">
        <v>8</v>
      </c>
      <c r="N308" t="s">
        <v>7</v>
      </c>
      <c r="P308">
        <f t="shared" si="964"/>
        <v>-0.44736842105263092</v>
      </c>
      <c r="Q308">
        <f t="shared" si="965"/>
        <v>-5783338.3392105177</v>
      </c>
      <c r="R308">
        <f t="shared" si="966"/>
        <v>-10265846.186847908</v>
      </c>
      <c r="S308">
        <f t="shared" si="967"/>
        <v>-102.65846186847908</v>
      </c>
      <c r="T308">
        <f t="shared" si="968"/>
        <v>-0.10265846186847907</v>
      </c>
    </row>
    <row r="309" spans="1:20" x14ac:dyDescent="0.25">
      <c r="A309" s="5">
        <v>44284</v>
      </c>
      <c r="B309">
        <v>0.83069999999999999</v>
      </c>
      <c r="C309">
        <v>0.8841</v>
      </c>
      <c r="D309">
        <v>0.8</v>
      </c>
      <c r="E309">
        <v>0.81140000000000001</v>
      </c>
      <c r="F309">
        <v>13168680.6</v>
      </c>
      <c r="G309">
        <v>0</v>
      </c>
      <c r="L309" t="s">
        <v>7</v>
      </c>
      <c r="M309" t="s">
        <v>8</v>
      </c>
      <c r="N309" t="s">
        <v>7</v>
      </c>
      <c r="P309">
        <f t="shared" si="964"/>
        <v>-0.72889417360285436</v>
      </c>
      <c r="Q309">
        <f t="shared" si="965"/>
        <v>-9598574.5633769408</v>
      </c>
      <c r="R309">
        <f t="shared" si="966"/>
        <v>-4482507.8476373907</v>
      </c>
      <c r="S309">
        <f t="shared" si="967"/>
        <v>-44.825078476373911</v>
      </c>
      <c r="T309">
        <f t="shared" si="968"/>
        <v>-4.482507847637391E-2</v>
      </c>
    </row>
    <row r="310" spans="1:20" x14ac:dyDescent="0.25">
      <c r="A310" s="5">
        <v>44283</v>
      </c>
      <c r="B310">
        <v>0.75960000000000005</v>
      </c>
      <c r="C310">
        <v>0.89400000000000002</v>
      </c>
      <c r="D310">
        <v>0.73609999999999998</v>
      </c>
      <c r="E310">
        <v>0.83</v>
      </c>
      <c r="F310">
        <v>22618946.719999999</v>
      </c>
      <c r="G310">
        <v>0</v>
      </c>
      <c r="L310" t="s">
        <v>8</v>
      </c>
      <c r="M310" t="s">
        <v>8</v>
      </c>
      <c r="N310" t="s">
        <v>7</v>
      </c>
      <c r="P310">
        <f t="shared" si="964"/>
        <v>0.18936035465484433</v>
      </c>
      <c r="Q310">
        <f t="shared" si="965"/>
        <v>4283131.7728182273</v>
      </c>
      <c r="R310">
        <f t="shared" si="966"/>
        <v>5116066.7157395501</v>
      </c>
      <c r="S310">
        <f t="shared" si="967"/>
        <v>51.160667157395501</v>
      </c>
      <c r="T310">
        <f t="shared" si="968"/>
        <v>5.1160667157395499E-2</v>
      </c>
    </row>
    <row r="311" spans="1:20" x14ac:dyDescent="0.25">
      <c r="A311" s="5">
        <v>44282</v>
      </c>
      <c r="B311">
        <v>0.74350000000000005</v>
      </c>
      <c r="C311">
        <v>0.77</v>
      </c>
      <c r="D311">
        <v>0.70220000000000005</v>
      </c>
      <c r="E311">
        <v>0.75970000000000004</v>
      </c>
      <c r="F311">
        <v>10560423.789999999</v>
      </c>
      <c r="G311">
        <v>0</v>
      </c>
      <c r="L311" t="s">
        <v>7</v>
      </c>
      <c r="M311" t="s">
        <v>8</v>
      </c>
      <c r="N311" t="s">
        <v>7</v>
      </c>
      <c r="P311">
        <f t="shared" si="964"/>
        <v>0.69616519174041358</v>
      </c>
      <c r="Q311">
        <f t="shared" si="965"/>
        <v>7351799.4526253743</v>
      </c>
      <c r="R311">
        <f t="shared" si="966"/>
        <v>832934.94292132277</v>
      </c>
      <c r="S311">
        <f t="shared" si="967"/>
        <v>8.3293494292132273</v>
      </c>
      <c r="T311">
        <f t="shared" si="968"/>
        <v>8.3293494292132272E-3</v>
      </c>
    </row>
    <row r="312" spans="1:20" x14ac:dyDescent="0.25">
      <c r="A312" s="5">
        <v>44281</v>
      </c>
      <c r="B312">
        <v>0.68230000000000002</v>
      </c>
      <c r="C312">
        <v>0.79200000000000004</v>
      </c>
      <c r="D312">
        <v>0.68100000000000005</v>
      </c>
      <c r="E312">
        <v>0.74490000000000001</v>
      </c>
      <c r="F312">
        <v>14374730.85</v>
      </c>
      <c r="G312">
        <v>0</v>
      </c>
      <c r="L312" t="s">
        <v>8</v>
      </c>
      <c r="M312" t="s">
        <v>8</v>
      </c>
      <c r="N312" t="s">
        <v>7</v>
      </c>
      <c r="P312">
        <f t="shared" si="964"/>
        <v>0.15135135135135069</v>
      </c>
      <c r="Q312">
        <f t="shared" si="965"/>
        <v>2175634.9394594501</v>
      </c>
      <c r="R312">
        <f t="shared" si="966"/>
        <v>-6518864.5097040515</v>
      </c>
      <c r="S312">
        <f t="shared" si="967"/>
        <v>-65.188645097040521</v>
      </c>
      <c r="T312">
        <f t="shared" si="968"/>
        <v>-6.5188645097040518E-2</v>
      </c>
    </row>
    <row r="313" spans="1:20" x14ac:dyDescent="0.25">
      <c r="A313" s="5">
        <v>44280</v>
      </c>
      <c r="B313">
        <v>0.71919999999999995</v>
      </c>
      <c r="C313">
        <v>0.77</v>
      </c>
      <c r="D313">
        <v>0.62519999999999998</v>
      </c>
      <c r="E313">
        <v>0.68240000000000001</v>
      </c>
      <c r="F313">
        <v>15780895.01</v>
      </c>
      <c r="G313">
        <v>0</v>
      </c>
      <c r="L313" t="s">
        <v>7</v>
      </c>
      <c r="M313" t="s">
        <v>7</v>
      </c>
      <c r="N313" t="s">
        <v>7</v>
      </c>
      <c r="P313">
        <f t="shared" si="964"/>
        <v>-0.20994475138121529</v>
      </c>
      <c r="Q313">
        <f t="shared" si="965"/>
        <v>-3313116.0794475111</v>
      </c>
      <c r="R313">
        <f t="shared" si="966"/>
        <v>-8694499.4491635021</v>
      </c>
      <c r="S313">
        <f t="shared" si="967"/>
        <v>-86.944994491635015</v>
      </c>
      <c r="T313">
        <f t="shared" si="968"/>
        <v>-8.6944994491635008E-2</v>
      </c>
    </row>
    <row r="314" spans="1:20" x14ac:dyDescent="0.25">
      <c r="A314" s="5">
        <v>44279</v>
      </c>
      <c r="B314">
        <v>0.74439999999999995</v>
      </c>
      <c r="C314">
        <v>0.89500000000000002</v>
      </c>
      <c r="D314">
        <v>0.70230000000000004</v>
      </c>
      <c r="E314">
        <v>0.71930000000000005</v>
      </c>
      <c r="F314">
        <v>25025721.530000001</v>
      </c>
      <c r="G314">
        <v>0</v>
      </c>
      <c r="L314" t="s">
        <v>8</v>
      </c>
      <c r="M314" t="s">
        <v>8</v>
      </c>
      <c r="N314" t="s">
        <v>7</v>
      </c>
      <c r="P314">
        <f t="shared" si="964"/>
        <v>-0.82355993772703662</v>
      </c>
      <c r="Q314">
        <f t="shared" si="965"/>
        <v>-20610181.664820962</v>
      </c>
      <c r="R314">
        <f t="shared" si="966"/>
        <v>-5381383.3697159905</v>
      </c>
      <c r="S314">
        <f t="shared" si="967"/>
        <v>-53.813833697159907</v>
      </c>
      <c r="T314">
        <f t="shared" si="968"/>
        <v>-5.3813833697159905E-2</v>
      </c>
    </row>
    <row r="315" spans="1:20" x14ac:dyDescent="0.25">
      <c r="A315" s="5">
        <v>44278</v>
      </c>
      <c r="B315">
        <v>0.72450000000000003</v>
      </c>
      <c r="C315">
        <v>0.80779999999999996</v>
      </c>
      <c r="D315">
        <v>0.67400000000000004</v>
      </c>
      <c r="E315">
        <v>0.74409999999999998</v>
      </c>
      <c r="F315">
        <v>16881409.300000001</v>
      </c>
      <c r="G315">
        <v>0</v>
      </c>
      <c r="L315" t="s">
        <v>7</v>
      </c>
      <c r="M315" t="s">
        <v>7</v>
      </c>
      <c r="N315" t="s">
        <v>7</v>
      </c>
      <c r="P315">
        <f t="shared" si="964"/>
        <v>4.7832585949177615E-2</v>
      </c>
      <c r="Q315">
        <f t="shared" si="965"/>
        <v>807481.46128549636</v>
      </c>
      <c r="R315">
        <f t="shared" si="966"/>
        <v>15228798.295104971</v>
      </c>
      <c r="S315">
        <f t="shared" si="967"/>
        <v>152.28798295104971</v>
      </c>
      <c r="T315">
        <f t="shared" si="968"/>
        <v>0.1522879829510497</v>
      </c>
    </row>
    <row r="316" spans="1:20" x14ac:dyDescent="0.25">
      <c r="A316" s="5">
        <v>44277</v>
      </c>
      <c r="B316">
        <v>0.77810000000000001</v>
      </c>
      <c r="C316">
        <v>0.87819999999999998</v>
      </c>
      <c r="D316">
        <v>0.72470000000000001</v>
      </c>
      <c r="E316">
        <v>0.7248</v>
      </c>
      <c r="F316">
        <v>19900887.289999999</v>
      </c>
      <c r="G316">
        <v>0</v>
      </c>
      <c r="L316" t="s">
        <v>8</v>
      </c>
      <c r="M316" t="s">
        <v>8</v>
      </c>
      <c r="N316" t="s">
        <v>7</v>
      </c>
      <c r="P316">
        <f t="shared" si="964"/>
        <v>-0.99869706840390893</v>
      </c>
      <c r="Q316">
        <f t="shared" si="965"/>
        <v>-19874957.795159612</v>
      </c>
      <c r="R316">
        <f t="shared" si="966"/>
        <v>14421316.833819475</v>
      </c>
      <c r="S316">
        <f t="shared" si="967"/>
        <v>144.21316833819475</v>
      </c>
      <c r="T316">
        <f t="shared" si="968"/>
        <v>0.14421316833819475</v>
      </c>
    </row>
    <row r="317" spans="1:20" x14ac:dyDescent="0.25">
      <c r="A317" s="5">
        <v>44276</v>
      </c>
      <c r="B317">
        <v>0.82350000000000001</v>
      </c>
      <c r="C317">
        <v>0.83520000000000005</v>
      </c>
      <c r="D317">
        <v>0.71819999999999995</v>
      </c>
      <c r="E317">
        <v>0.77769999999999995</v>
      </c>
      <c r="F317">
        <v>13186600.5</v>
      </c>
      <c r="G317">
        <v>0</v>
      </c>
      <c r="L317" t="s">
        <v>7</v>
      </c>
      <c r="M317" t="s">
        <v>7</v>
      </c>
      <c r="N317" t="s">
        <v>7</v>
      </c>
      <c r="P317">
        <f t="shared" si="964"/>
        <v>1.7094017094016145E-2</v>
      </c>
      <c r="Q317">
        <f t="shared" si="965"/>
        <v>225411.97435896186</v>
      </c>
      <c r="R317">
        <f t="shared" si="966"/>
        <v>34296274.628979087</v>
      </c>
      <c r="S317">
        <f t="shared" si="967"/>
        <v>342.96274628979086</v>
      </c>
      <c r="T317">
        <f t="shared" si="968"/>
        <v>0.34296274628979084</v>
      </c>
    </row>
    <row r="318" spans="1:20" x14ac:dyDescent="0.25">
      <c r="A318" s="5">
        <v>44275</v>
      </c>
      <c r="B318">
        <v>0.81330000000000002</v>
      </c>
      <c r="C318">
        <v>0.89</v>
      </c>
      <c r="D318">
        <v>0.80800000000000005</v>
      </c>
      <c r="E318">
        <v>0.8236</v>
      </c>
      <c r="F318">
        <v>12273626.84</v>
      </c>
      <c r="G318">
        <v>0</v>
      </c>
      <c r="L318" t="s">
        <v>8</v>
      </c>
      <c r="M318" t="s">
        <v>7</v>
      </c>
      <c r="N318" t="s">
        <v>7</v>
      </c>
      <c r="P318">
        <f t="shared" si="964"/>
        <v>-0.61951219512195232</v>
      </c>
      <c r="Q318">
        <f t="shared" si="965"/>
        <v>-7603661.5057561109</v>
      </c>
      <c r="R318">
        <f t="shared" si="966"/>
        <v>34070862.654620126</v>
      </c>
      <c r="S318">
        <f t="shared" si="967"/>
        <v>340.70862654620123</v>
      </c>
      <c r="T318">
        <f t="shared" si="968"/>
        <v>0.34070862654620121</v>
      </c>
    </row>
    <row r="319" spans="1:20" x14ac:dyDescent="0.25">
      <c r="A319" s="5">
        <v>44274</v>
      </c>
      <c r="B319">
        <v>0.85070000000000001</v>
      </c>
      <c r="C319">
        <v>0.9</v>
      </c>
      <c r="D319">
        <v>0.78169999999999995</v>
      </c>
      <c r="E319">
        <v>0.81330000000000002</v>
      </c>
      <c r="F319">
        <v>16685866.199999999</v>
      </c>
      <c r="G319">
        <v>0</v>
      </c>
      <c r="L319" t="s">
        <v>7</v>
      </c>
      <c r="M319" t="s">
        <v>7</v>
      </c>
      <c r="N319" t="s">
        <v>7</v>
      </c>
      <c r="P319">
        <f t="shared" si="964"/>
        <v>-0.46576500422654177</v>
      </c>
      <c r="Q319">
        <f t="shared" si="965"/>
        <v>-7771692.5411665104</v>
      </c>
      <c r="R319">
        <f t="shared" si="966"/>
        <v>41674524.160376236</v>
      </c>
      <c r="S319">
        <f t="shared" si="967"/>
        <v>416.74524160376234</v>
      </c>
      <c r="T319">
        <f t="shared" si="968"/>
        <v>0.41674524160376236</v>
      </c>
    </row>
    <row r="320" spans="1:20" x14ac:dyDescent="0.25">
      <c r="A320" s="5">
        <v>44273</v>
      </c>
      <c r="B320">
        <v>0.89070000000000005</v>
      </c>
      <c r="C320">
        <v>0.94</v>
      </c>
      <c r="D320">
        <v>0.83640000000000003</v>
      </c>
      <c r="E320">
        <v>0.85050000000000003</v>
      </c>
      <c r="F320">
        <v>13460224.310000001</v>
      </c>
      <c r="G320">
        <v>0</v>
      </c>
      <c r="L320" t="s">
        <v>8</v>
      </c>
      <c r="M320" t="s">
        <v>8</v>
      </c>
      <c r="N320" t="s">
        <v>7</v>
      </c>
      <c r="P320">
        <f t="shared" si="964"/>
        <v>-0.72779922779922757</v>
      </c>
      <c r="Q320">
        <f t="shared" si="965"/>
        <v>-9796340.8588223904</v>
      </c>
      <c r="R320">
        <f t="shared" si="966"/>
        <v>49446216.70154275</v>
      </c>
      <c r="S320">
        <f t="shared" si="967"/>
        <v>494.4621670154275</v>
      </c>
      <c r="T320">
        <f t="shared" si="968"/>
        <v>0.4944621670154275</v>
      </c>
    </row>
    <row r="321" spans="1:20" x14ac:dyDescent="0.25">
      <c r="A321" s="5">
        <v>44272</v>
      </c>
      <c r="B321">
        <v>1.0053000000000001</v>
      </c>
      <c r="C321">
        <v>1.0067999999999999</v>
      </c>
      <c r="D321">
        <v>0.78300000000000003</v>
      </c>
      <c r="E321">
        <v>0.89080000000000004</v>
      </c>
      <c r="F321">
        <v>25348974.620000001</v>
      </c>
      <c r="G321">
        <v>0</v>
      </c>
      <c r="L321" t="s">
        <v>7</v>
      </c>
      <c r="M321" t="s">
        <v>7</v>
      </c>
      <c r="N321" t="s">
        <v>7</v>
      </c>
      <c r="P321">
        <f t="shared" si="964"/>
        <v>-3.6639857015191589E-2</v>
      </c>
      <c r="Q321">
        <f t="shared" si="965"/>
        <v>-928782.8055585206</v>
      </c>
      <c r="R321">
        <f t="shared" si="966"/>
        <v>59242557.56036514</v>
      </c>
      <c r="S321">
        <f t="shared" si="967"/>
        <v>592.4255756036514</v>
      </c>
      <c r="T321">
        <f t="shared" si="968"/>
        <v>0.59242557560365139</v>
      </c>
    </row>
    <row r="322" spans="1:20" x14ac:dyDescent="0.25">
      <c r="A322" s="5">
        <v>44271</v>
      </c>
      <c r="B322">
        <v>1.145</v>
      </c>
      <c r="C322">
        <v>1.2</v>
      </c>
      <c r="D322">
        <v>0.86</v>
      </c>
      <c r="E322">
        <v>1.0065</v>
      </c>
      <c r="F322">
        <v>36046852.270000003</v>
      </c>
      <c r="G322">
        <v>0</v>
      </c>
      <c r="L322" t="s">
        <v>7</v>
      </c>
      <c r="M322" t="s">
        <v>7</v>
      </c>
      <c r="N322" t="s">
        <v>7</v>
      </c>
      <c r="P322">
        <f t="shared" si="964"/>
        <v>-0.13823529411764721</v>
      </c>
      <c r="Q322">
        <f t="shared" si="965"/>
        <v>-4982947.2255588295</v>
      </c>
      <c r="R322">
        <f t="shared" si="966"/>
        <v>60171340.365923658</v>
      </c>
      <c r="S322">
        <f t="shared" si="967"/>
        <v>601.71340365923663</v>
      </c>
      <c r="T322">
        <f t="shared" si="968"/>
        <v>0.60171340365923665</v>
      </c>
    </row>
    <row r="323" spans="1:20" x14ac:dyDescent="0.25">
      <c r="A323" s="5">
        <v>44270</v>
      </c>
      <c r="B323">
        <v>0.94989999999999997</v>
      </c>
      <c r="C323">
        <v>1.2475000000000001</v>
      </c>
      <c r="D323">
        <v>0.86</v>
      </c>
      <c r="E323">
        <v>1.145</v>
      </c>
      <c r="F323">
        <v>46343021.899999999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0.4709677419354838</v>
      </c>
      <c r="Q323">
        <f t="shared" si="965"/>
        <v>21826068.378709674</v>
      </c>
      <c r="R323">
        <f t="shared" si="966"/>
        <v>65154287.59148249</v>
      </c>
      <c r="S323">
        <f t="shared" si="967"/>
        <v>651.54287591482489</v>
      </c>
      <c r="T323">
        <f t="shared" si="968"/>
        <v>0.65154287591482485</v>
      </c>
    </row>
    <row r="324" spans="1:20" x14ac:dyDescent="0.25">
      <c r="A324" s="5">
        <v>44269</v>
      </c>
      <c r="B324">
        <v>0.9597</v>
      </c>
      <c r="C324">
        <v>1.05</v>
      </c>
      <c r="D324">
        <v>0.85099999999999998</v>
      </c>
      <c r="E324">
        <v>0.94989999999999997</v>
      </c>
      <c r="F324">
        <v>22353774.739999998</v>
      </c>
      <c r="G324">
        <v>0</v>
      </c>
      <c r="L324" t="s">
        <v>8</v>
      </c>
      <c r="M324" t="s">
        <v>7</v>
      </c>
      <c r="N324" t="s">
        <v>8</v>
      </c>
      <c r="P324">
        <f t="shared" si="964"/>
        <v>-6.0301507537692941E-3</v>
      </c>
      <c r="Q324">
        <f t="shared" si="965"/>
        <v>-134796.63159800001</v>
      </c>
      <c r="R324">
        <f t="shared" si="966"/>
        <v>43328219.212772816</v>
      </c>
      <c r="S324">
        <f t="shared" si="967"/>
        <v>433.28219212772814</v>
      </c>
      <c r="T324">
        <f t="shared" si="968"/>
        <v>0.43328219212772812</v>
      </c>
    </row>
    <row r="325" spans="1:20" x14ac:dyDescent="0.25">
      <c r="A325" s="5">
        <v>44268</v>
      </c>
      <c r="B325">
        <v>0.83350000000000002</v>
      </c>
      <c r="C325">
        <v>1.0282</v>
      </c>
      <c r="D325">
        <v>0.79079999999999995</v>
      </c>
      <c r="E325">
        <v>0.9597</v>
      </c>
      <c r="F325">
        <v>37872523.810000002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0.42291491154170185</v>
      </c>
      <c r="Q325">
        <f t="shared" si="965"/>
        <v>16016855.056967149</v>
      </c>
      <c r="R325">
        <f t="shared" si="966"/>
        <v>43463015.84437082</v>
      </c>
      <c r="S325">
        <f t="shared" si="967"/>
        <v>434.63015844370818</v>
      </c>
      <c r="T325">
        <f t="shared" si="968"/>
        <v>0.43463015844370817</v>
      </c>
    </row>
    <row r="326" spans="1:20" x14ac:dyDescent="0.25">
      <c r="A326" s="5">
        <v>44267</v>
      </c>
      <c r="B326">
        <v>0.81599999999999995</v>
      </c>
      <c r="C326">
        <v>0.8347</v>
      </c>
      <c r="D326">
        <v>0.71450000000000002</v>
      </c>
      <c r="E326">
        <v>0.83360000000000001</v>
      </c>
      <c r="F326">
        <v>22161863.91</v>
      </c>
      <c r="G326">
        <v>0</v>
      </c>
      <c r="L326" t="s">
        <v>7</v>
      </c>
      <c r="M326" t="s">
        <v>8</v>
      </c>
      <c r="N326" t="s">
        <v>8</v>
      </c>
      <c r="P326">
        <f t="shared" ref="P326:P389" si="969">IF(C326=D326,0,((E326-D326)-(C326-E326))/(C326-D326))</f>
        <v>0.98169717138103174</v>
      </c>
      <c r="Q326">
        <f t="shared" ref="Q326:Q389" si="970">F326*P326</f>
        <v>21756239.112978373</v>
      </c>
      <c r="R326">
        <f t="shared" ref="R326:R389" si="971">R327+Q326</f>
        <v>27446160.787403669</v>
      </c>
      <c r="S326">
        <f t="shared" ref="S326:S389" si="972">R326/100000</f>
        <v>274.4616078740367</v>
      </c>
      <c r="T326">
        <f t="shared" ref="T326:T389" si="973">S326/1000</f>
        <v>0.27446160787403673</v>
      </c>
    </row>
    <row r="327" spans="1:20" x14ac:dyDescent="0.25">
      <c r="A327" s="5">
        <v>44266</v>
      </c>
      <c r="B327">
        <v>0.66339999999999999</v>
      </c>
      <c r="C327">
        <v>0.84</v>
      </c>
      <c r="D327">
        <v>0.65400000000000003</v>
      </c>
      <c r="E327">
        <v>0.81599999999999995</v>
      </c>
      <c r="F327">
        <v>30476302.390000001</v>
      </c>
      <c r="G327">
        <v>0</v>
      </c>
      <c r="L327" t="s">
        <v>8</v>
      </c>
      <c r="M327" t="s">
        <v>8</v>
      </c>
      <c r="N327" t="s">
        <v>8</v>
      </c>
      <c r="P327">
        <f t="shared" si="969"/>
        <v>0.74193548387096742</v>
      </c>
      <c r="Q327">
        <f t="shared" si="970"/>
        <v>22611450.160322569</v>
      </c>
      <c r="R327">
        <f t="shared" si="971"/>
        <v>5689921.6744252965</v>
      </c>
      <c r="S327">
        <f t="shared" si="972"/>
        <v>56.899216744252968</v>
      </c>
      <c r="T327">
        <f t="shared" si="973"/>
        <v>5.6899216744252967E-2</v>
      </c>
    </row>
    <row r="328" spans="1:20" x14ac:dyDescent="0.25">
      <c r="A328" s="5">
        <v>44265</v>
      </c>
      <c r="B328">
        <v>0.75039999999999996</v>
      </c>
      <c r="C328">
        <v>0.75570000000000004</v>
      </c>
      <c r="D328">
        <v>0.65329999999999999</v>
      </c>
      <c r="E328">
        <v>0.66400000000000003</v>
      </c>
      <c r="F328">
        <v>17364634.949999999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-0.79101562499999922</v>
      </c>
      <c r="Q328">
        <f t="shared" si="970"/>
        <v>-13735697.567871079</v>
      </c>
      <c r="R328">
        <f t="shared" si="971"/>
        <v>-16921528.485897273</v>
      </c>
      <c r="S328">
        <f t="shared" si="972"/>
        <v>-169.21528485897272</v>
      </c>
      <c r="T328">
        <f t="shared" si="973"/>
        <v>-0.16921528485897272</v>
      </c>
    </row>
    <row r="329" spans="1:20" x14ac:dyDescent="0.25">
      <c r="A329" s="5">
        <v>44264</v>
      </c>
      <c r="B329">
        <v>0.72509999999999997</v>
      </c>
      <c r="C329">
        <v>0.77500000000000002</v>
      </c>
      <c r="D329">
        <v>0.62749999999999995</v>
      </c>
      <c r="E329">
        <v>0.75070000000000003</v>
      </c>
      <c r="F329">
        <v>28559575.43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0.6705084745762715</v>
      </c>
      <c r="Q329">
        <f t="shared" si="970"/>
        <v>19149437.356115263</v>
      </c>
      <c r="R329">
        <f t="shared" si="971"/>
        <v>-3185830.918026194</v>
      </c>
      <c r="S329">
        <f t="shared" si="972"/>
        <v>-31.858309180261941</v>
      </c>
      <c r="T329">
        <f t="shared" si="973"/>
        <v>-3.1858309180261939E-2</v>
      </c>
    </row>
    <row r="330" spans="1:20" x14ac:dyDescent="0.25">
      <c r="A330" s="5">
        <v>44263</v>
      </c>
      <c r="B330">
        <v>0.54790000000000005</v>
      </c>
      <c r="C330">
        <v>0.74</v>
      </c>
      <c r="D330">
        <v>0.5474</v>
      </c>
      <c r="E330">
        <v>0.72499999999999998</v>
      </c>
      <c r="F330">
        <v>26434675.260000002</v>
      </c>
      <c r="G330">
        <v>0</v>
      </c>
      <c r="L330" t="s">
        <v>8</v>
      </c>
      <c r="M330" t="s">
        <v>8</v>
      </c>
      <c r="N330" t="s">
        <v>8</v>
      </c>
      <c r="P330">
        <f t="shared" si="969"/>
        <v>0.84423676012461046</v>
      </c>
      <c r="Q330">
        <f t="shared" si="970"/>
        <v>22317124.596448597</v>
      </c>
      <c r="R330">
        <f t="shared" si="971"/>
        <v>-22335268.274141457</v>
      </c>
      <c r="S330">
        <f t="shared" si="972"/>
        <v>-223.35268274141458</v>
      </c>
      <c r="T330">
        <f t="shared" si="973"/>
        <v>-0.22335268274141459</v>
      </c>
    </row>
    <row r="331" spans="1:20" x14ac:dyDescent="0.25">
      <c r="A331" s="5">
        <v>44262</v>
      </c>
      <c r="B331">
        <v>0.50339999999999996</v>
      </c>
      <c r="C331">
        <v>0.57989999999999997</v>
      </c>
      <c r="D331">
        <v>0.5</v>
      </c>
      <c r="E331">
        <v>0.54790000000000005</v>
      </c>
      <c r="F331">
        <v>15009677.98</v>
      </c>
      <c r="G331">
        <v>0</v>
      </c>
      <c r="L331" t="s">
        <v>7</v>
      </c>
      <c r="M331" t="s">
        <v>8</v>
      </c>
      <c r="N331" t="s">
        <v>8</v>
      </c>
      <c r="P331">
        <f t="shared" si="969"/>
        <v>0.19899874843554621</v>
      </c>
      <c r="Q331">
        <f t="shared" si="970"/>
        <v>2986907.1324405777</v>
      </c>
      <c r="R331">
        <f t="shared" si="971"/>
        <v>-44652392.870590053</v>
      </c>
      <c r="S331">
        <f t="shared" si="972"/>
        <v>-446.52392870590052</v>
      </c>
      <c r="T331">
        <f t="shared" si="973"/>
        <v>-0.44652392870590052</v>
      </c>
    </row>
    <row r="332" spans="1:20" x14ac:dyDescent="0.25">
      <c r="A332" s="5">
        <v>44261</v>
      </c>
      <c r="B332">
        <v>0.52</v>
      </c>
      <c r="C332">
        <v>0.57530000000000003</v>
      </c>
      <c r="D332">
        <v>0.48599999999999999</v>
      </c>
      <c r="E332">
        <v>0.50109999999999999</v>
      </c>
      <c r="F332">
        <v>12730213.34</v>
      </c>
      <c r="G332">
        <v>0</v>
      </c>
      <c r="L332" t="s">
        <v>8</v>
      </c>
      <c r="M332" t="s">
        <v>8</v>
      </c>
      <c r="N332" t="s">
        <v>8</v>
      </c>
      <c r="P332">
        <f t="shared" si="969"/>
        <v>-0.66181410974244137</v>
      </c>
      <c r="Q332">
        <f t="shared" si="970"/>
        <v>-8425034.8084434513</v>
      </c>
      <c r="R332">
        <f t="shared" si="971"/>
        <v>-47639300.003030628</v>
      </c>
      <c r="S332">
        <f t="shared" si="972"/>
        <v>-476.39300003030627</v>
      </c>
      <c r="T332">
        <f t="shared" si="973"/>
        <v>-0.47639300003030627</v>
      </c>
    </row>
    <row r="333" spans="1:20" x14ac:dyDescent="0.25">
      <c r="A333" s="5">
        <v>44260</v>
      </c>
      <c r="B333">
        <v>0.59330000000000005</v>
      </c>
      <c r="C333">
        <v>0.5968</v>
      </c>
      <c r="D333">
        <v>0.47110000000000002</v>
      </c>
      <c r="E333">
        <v>0.52</v>
      </c>
      <c r="F333">
        <v>16839841.489999998</v>
      </c>
      <c r="G333">
        <v>0</v>
      </c>
      <c r="L333" t="s">
        <v>7</v>
      </c>
      <c r="M333" t="s">
        <v>7</v>
      </c>
      <c r="N333" t="s">
        <v>8</v>
      </c>
      <c r="P333">
        <f t="shared" si="969"/>
        <v>-0.22195704057279225</v>
      </c>
      <c r="Q333">
        <f t="shared" si="970"/>
        <v>-3737721.3808353199</v>
      </c>
      <c r="R333">
        <f t="shared" si="971"/>
        <v>-39214265.194587179</v>
      </c>
      <c r="S333">
        <f t="shared" si="972"/>
        <v>-392.14265194587176</v>
      </c>
      <c r="T333">
        <f t="shared" si="973"/>
        <v>-0.39214265194587178</v>
      </c>
    </row>
    <row r="334" spans="1:20" x14ac:dyDescent="0.25">
      <c r="A334" s="5">
        <v>44259</v>
      </c>
      <c r="B334">
        <v>0.50139999999999996</v>
      </c>
      <c r="C334">
        <v>0.64529999999999998</v>
      </c>
      <c r="D334">
        <v>0.48949999999999999</v>
      </c>
      <c r="E334">
        <v>0.59330000000000005</v>
      </c>
      <c r="F334">
        <v>35087841.939999998</v>
      </c>
      <c r="G334">
        <v>0</v>
      </c>
      <c r="L334" t="s">
        <v>8</v>
      </c>
      <c r="M334" t="s">
        <v>8</v>
      </c>
      <c r="N334" t="s">
        <v>8</v>
      </c>
      <c r="P334">
        <f t="shared" si="969"/>
        <v>0.33247753530166962</v>
      </c>
      <c r="Q334">
        <f t="shared" si="970"/>
        <v>11665919.207265753</v>
      </c>
      <c r="R334">
        <f t="shared" si="971"/>
        <v>-35476543.813751861</v>
      </c>
      <c r="S334">
        <f t="shared" si="972"/>
        <v>-354.76543813751863</v>
      </c>
      <c r="T334">
        <f t="shared" si="973"/>
        <v>-0.35476543813751865</v>
      </c>
    </row>
    <row r="335" spans="1:20" x14ac:dyDescent="0.25">
      <c r="A335" s="5">
        <v>44258</v>
      </c>
      <c r="B335">
        <v>0.42859999999999998</v>
      </c>
      <c r="C335">
        <v>0.54</v>
      </c>
      <c r="D335">
        <v>0.42699999999999999</v>
      </c>
      <c r="E335">
        <v>0.50209999999999999</v>
      </c>
      <c r="F335">
        <v>15447721.5</v>
      </c>
      <c r="G335">
        <v>0</v>
      </c>
      <c r="L335" t="s">
        <v>8</v>
      </c>
      <c r="M335" t="s">
        <v>8</v>
      </c>
      <c r="N335" t="s">
        <v>8</v>
      </c>
      <c r="P335">
        <f t="shared" si="969"/>
        <v>0.32920353982300832</v>
      </c>
      <c r="Q335">
        <f t="shared" si="970"/>
        <v>5085444.5999999922</v>
      </c>
      <c r="R335">
        <f t="shared" si="971"/>
        <v>-47142463.021017611</v>
      </c>
      <c r="S335">
        <f t="shared" si="972"/>
        <v>-471.42463021017613</v>
      </c>
      <c r="T335">
        <f t="shared" si="973"/>
        <v>-0.47142463021017611</v>
      </c>
    </row>
    <row r="336" spans="1:20" x14ac:dyDescent="0.25">
      <c r="A336" s="5">
        <v>44257</v>
      </c>
      <c r="B336">
        <v>0.4456</v>
      </c>
      <c r="C336">
        <v>0.495</v>
      </c>
      <c r="D336">
        <v>0.41549999999999998</v>
      </c>
      <c r="E336">
        <v>0.4284</v>
      </c>
      <c r="F336">
        <v>10039724.65</v>
      </c>
      <c r="G336">
        <v>0</v>
      </c>
      <c r="L336" t="s">
        <v>7</v>
      </c>
      <c r="M336" t="s">
        <v>7</v>
      </c>
      <c r="N336" t="s">
        <v>8</v>
      </c>
      <c r="P336">
        <f t="shared" si="969"/>
        <v>-0.67547169811320706</v>
      </c>
      <c r="Q336">
        <f t="shared" si="970"/>
        <v>-6781549.8579245238</v>
      </c>
      <c r="R336">
        <f t="shared" si="971"/>
        <v>-52227907.621017605</v>
      </c>
      <c r="S336">
        <f t="shared" si="972"/>
        <v>-522.27907621017607</v>
      </c>
      <c r="T336">
        <f t="shared" si="973"/>
        <v>-0.52227907621017611</v>
      </c>
    </row>
    <row r="337" spans="1:20" x14ac:dyDescent="0.25">
      <c r="A337" s="5">
        <v>44256</v>
      </c>
      <c r="B337">
        <v>0.4214</v>
      </c>
      <c r="C337">
        <v>0.52</v>
      </c>
      <c r="D337">
        <v>0.41899999999999998</v>
      </c>
      <c r="E337">
        <v>0.44379999999999997</v>
      </c>
      <c r="F337">
        <v>12941390.75</v>
      </c>
      <c r="G337">
        <v>0</v>
      </c>
      <c r="L337" t="s">
        <v>8</v>
      </c>
      <c r="M337" t="s">
        <v>8</v>
      </c>
      <c r="N337" t="s">
        <v>8</v>
      </c>
      <c r="P337">
        <f t="shared" si="969"/>
        <v>-0.50891089108910925</v>
      </c>
      <c r="Q337">
        <f t="shared" si="970"/>
        <v>-6586014.6985148555</v>
      </c>
      <c r="R337">
        <f t="shared" si="971"/>
        <v>-45446357.763093084</v>
      </c>
      <c r="S337">
        <f t="shared" si="972"/>
        <v>-454.46357763093084</v>
      </c>
      <c r="T337">
        <f t="shared" si="973"/>
        <v>-0.45446357763093082</v>
      </c>
    </row>
    <row r="338" spans="1:20" x14ac:dyDescent="0.25">
      <c r="A338" s="5">
        <v>44255</v>
      </c>
      <c r="B338">
        <v>0.44280000000000003</v>
      </c>
      <c r="C338">
        <v>0.44450000000000001</v>
      </c>
      <c r="D338">
        <v>0.3296</v>
      </c>
      <c r="E338">
        <v>0.42130000000000001</v>
      </c>
      <c r="F338">
        <v>12407299.060000001</v>
      </c>
      <c r="G338">
        <v>0</v>
      </c>
      <c r="L338" t="s">
        <v>7</v>
      </c>
      <c r="M338" t="s">
        <v>7</v>
      </c>
      <c r="N338" t="s">
        <v>7</v>
      </c>
      <c r="P338">
        <f t="shared" si="969"/>
        <v>0.59617058311575288</v>
      </c>
      <c r="Q338">
        <f t="shared" si="970"/>
        <v>7396866.7154917326</v>
      </c>
      <c r="R338">
        <f t="shared" si="971"/>
        <v>-38860343.064578228</v>
      </c>
      <c r="S338">
        <f t="shared" si="972"/>
        <v>-388.60343064578228</v>
      </c>
      <c r="T338">
        <f t="shared" si="973"/>
        <v>-0.38860343064578229</v>
      </c>
    </row>
    <row r="339" spans="1:20" x14ac:dyDescent="0.25">
      <c r="A339" s="5">
        <v>44254</v>
      </c>
      <c r="B339">
        <v>0.47520000000000001</v>
      </c>
      <c r="C339">
        <v>0.50490000000000002</v>
      </c>
      <c r="D339">
        <v>0.41449999999999998</v>
      </c>
      <c r="E339">
        <v>0.44590000000000002</v>
      </c>
      <c r="F339">
        <v>14594020.949999999</v>
      </c>
      <c r="G339">
        <v>0</v>
      </c>
      <c r="L339" t="s">
        <v>7</v>
      </c>
      <c r="M339" t="s">
        <v>7</v>
      </c>
      <c r="N339" t="s">
        <v>7</v>
      </c>
      <c r="P339">
        <f t="shared" si="969"/>
        <v>-0.30530973451327376</v>
      </c>
      <c r="Q339">
        <f t="shared" si="970"/>
        <v>-4455696.6617256552</v>
      </c>
      <c r="R339">
        <f t="shared" si="971"/>
        <v>-46257209.780069962</v>
      </c>
      <c r="S339">
        <f t="shared" si="972"/>
        <v>-462.57209780069962</v>
      </c>
      <c r="T339">
        <f t="shared" si="973"/>
        <v>-0.46257209780069963</v>
      </c>
    </row>
    <row r="340" spans="1:20" x14ac:dyDescent="0.25">
      <c r="A340" s="5">
        <v>44253</v>
      </c>
      <c r="B340">
        <v>0.52459999999999996</v>
      </c>
      <c r="C340">
        <v>0.91</v>
      </c>
      <c r="D340">
        <v>0.43890000000000001</v>
      </c>
      <c r="E340">
        <v>0.47499999999999998</v>
      </c>
      <c r="F340">
        <v>49367492.68</v>
      </c>
      <c r="G340">
        <v>0</v>
      </c>
      <c r="P340">
        <f t="shared" si="969"/>
        <v>-0.84674166843557641</v>
      </c>
      <c r="Q340">
        <f t="shared" si="970"/>
        <v>-41801513.118344307</v>
      </c>
      <c r="R340">
        <f t="shared" si="971"/>
        <v>-41801513.118344307</v>
      </c>
      <c r="S340">
        <f t="shared" si="972"/>
        <v>-418.01513118344309</v>
      </c>
      <c r="T340">
        <f t="shared" si="973"/>
        <v>-0.41801513118344308</v>
      </c>
    </row>
    <row r="341" spans="1:20" x14ac:dyDescent="0.25">
      <c r="A341" s="5"/>
      <c r="C341"/>
      <c r="D341"/>
      <c r="P341">
        <f t="shared" si="969"/>
        <v>0</v>
      </c>
      <c r="Q341">
        <f t="shared" si="970"/>
        <v>0</v>
      </c>
      <c r="R341">
        <f t="shared" si="971"/>
        <v>0</v>
      </c>
      <c r="S341">
        <f t="shared" si="972"/>
        <v>0</v>
      </c>
      <c r="T341">
        <f t="shared" si="973"/>
        <v>0</v>
      </c>
    </row>
    <row r="342" spans="1:20" x14ac:dyDescent="0.25">
      <c r="A342" s="5"/>
      <c r="C342"/>
      <c r="D342"/>
      <c r="P342">
        <f t="shared" si="969"/>
        <v>0</v>
      </c>
      <c r="Q342">
        <f t="shared" si="970"/>
        <v>0</v>
      </c>
      <c r="R342">
        <f t="shared" si="971"/>
        <v>0</v>
      </c>
      <c r="S342">
        <f t="shared" si="972"/>
        <v>0</v>
      </c>
      <c r="T342">
        <f t="shared" si="973"/>
        <v>0</v>
      </c>
    </row>
    <row r="343" spans="1:20" x14ac:dyDescent="0.25">
      <c r="A343" s="5"/>
      <c r="C343"/>
      <c r="D343"/>
      <c r="P343">
        <f t="shared" si="969"/>
        <v>0</v>
      </c>
      <c r="Q343">
        <f t="shared" si="970"/>
        <v>0</v>
      </c>
      <c r="R343">
        <f t="shared" si="971"/>
        <v>0</v>
      </c>
      <c r="S343">
        <f t="shared" si="972"/>
        <v>0</v>
      </c>
      <c r="T343">
        <f t="shared" si="973"/>
        <v>0</v>
      </c>
    </row>
    <row r="344" spans="1:20" x14ac:dyDescent="0.25">
      <c r="A344" s="5"/>
      <c r="C344"/>
      <c r="D344"/>
      <c r="P344">
        <f t="shared" si="969"/>
        <v>0</v>
      </c>
      <c r="Q344">
        <f t="shared" si="970"/>
        <v>0</v>
      </c>
      <c r="R344">
        <f t="shared" si="971"/>
        <v>0</v>
      </c>
      <c r="S344">
        <f t="shared" si="972"/>
        <v>0</v>
      </c>
      <c r="T344">
        <f t="shared" si="973"/>
        <v>0</v>
      </c>
    </row>
    <row r="345" spans="1:20" x14ac:dyDescent="0.25">
      <c r="A345" s="5"/>
      <c r="C345"/>
      <c r="D345"/>
      <c r="P345">
        <f t="shared" si="969"/>
        <v>0</v>
      </c>
      <c r="Q345">
        <f t="shared" si="970"/>
        <v>0</v>
      </c>
      <c r="R345">
        <f t="shared" si="971"/>
        <v>0</v>
      </c>
      <c r="S345">
        <f t="shared" si="972"/>
        <v>0</v>
      </c>
      <c r="T345">
        <f t="shared" si="973"/>
        <v>0</v>
      </c>
    </row>
    <row r="346" spans="1:20" x14ac:dyDescent="0.25">
      <c r="A346" s="5"/>
      <c r="C346"/>
      <c r="D346"/>
      <c r="P346">
        <f t="shared" si="969"/>
        <v>0</v>
      </c>
      <c r="Q346">
        <f t="shared" si="970"/>
        <v>0</v>
      </c>
      <c r="R346">
        <f t="shared" si="971"/>
        <v>0</v>
      </c>
      <c r="S346">
        <f t="shared" si="972"/>
        <v>0</v>
      </c>
      <c r="T346">
        <f t="shared" si="973"/>
        <v>0</v>
      </c>
    </row>
    <row r="347" spans="1:20" x14ac:dyDescent="0.25">
      <c r="A347" s="5"/>
      <c r="C347"/>
      <c r="D347"/>
      <c r="P347">
        <f t="shared" si="969"/>
        <v>0</v>
      </c>
      <c r="Q347">
        <f t="shared" si="970"/>
        <v>0</v>
      </c>
      <c r="R347">
        <f t="shared" si="971"/>
        <v>0</v>
      </c>
      <c r="S347">
        <f t="shared" si="972"/>
        <v>0</v>
      </c>
      <c r="T347">
        <f t="shared" si="973"/>
        <v>0</v>
      </c>
    </row>
    <row r="348" spans="1:20" x14ac:dyDescent="0.25">
      <c r="A348" s="5"/>
      <c r="C348"/>
      <c r="D348"/>
      <c r="P348">
        <f t="shared" si="969"/>
        <v>0</v>
      </c>
      <c r="Q348">
        <f t="shared" si="970"/>
        <v>0</v>
      </c>
      <c r="R348">
        <f t="shared" si="971"/>
        <v>0</v>
      </c>
      <c r="S348">
        <f t="shared" si="972"/>
        <v>0</v>
      </c>
      <c r="T348">
        <f t="shared" si="973"/>
        <v>0</v>
      </c>
    </row>
    <row r="349" spans="1:20" x14ac:dyDescent="0.25">
      <c r="A349" s="5"/>
      <c r="C349"/>
      <c r="D349"/>
      <c r="P349">
        <f t="shared" si="969"/>
        <v>0</v>
      </c>
      <c r="Q349">
        <f t="shared" si="970"/>
        <v>0</v>
      </c>
      <c r="R349">
        <f t="shared" si="971"/>
        <v>0</v>
      </c>
      <c r="S349">
        <f t="shared" si="972"/>
        <v>0</v>
      </c>
      <c r="T349">
        <f t="shared" si="973"/>
        <v>0</v>
      </c>
    </row>
    <row r="350" spans="1:20" x14ac:dyDescent="0.25">
      <c r="A350" s="5"/>
      <c r="C350"/>
      <c r="D350"/>
      <c r="P350">
        <f t="shared" si="969"/>
        <v>0</v>
      </c>
      <c r="Q350">
        <f t="shared" si="970"/>
        <v>0</v>
      </c>
      <c r="R350">
        <f t="shared" si="971"/>
        <v>0</v>
      </c>
      <c r="S350">
        <f t="shared" si="972"/>
        <v>0</v>
      </c>
      <c r="T350">
        <f t="shared" si="973"/>
        <v>0</v>
      </c>
    </row>
    <row r="351" spans="1:20" x14ac:dyDescent="0.25">
      <c r="A351" s="5"/>
      <c r="C351"/>
      <c r="D351"/>
      <c r="P351">
        <f t="shared" si="969"/>
        <v>0</v>
      </c>
      <c r="Q351">
        <f t="shared" si="970"/>
        <v>0</v>
      </c>
      <c r="R351">
        <f t="shared" si="971"/>
        <v>0</v>
      </c>
      <c r="S351">
        <f t="shared" si="972"/>
        <v>0</v>
      </c>
      <c r="T351">
        <f t="shared" si="973"/>
        <v>0</v>
      </c>
    </row>
    <row r="352" spans="1:20" x14ac:dyDescent="0.25">
      <c r="A352" s="5"/>
      <c r="C352"/>
      <c r="D352"/>
      <c r="P352">
        <f t="shared" si="969"/>
        <v>0</v>
      </c>
      <c r="Q352">
        <f t="shared" si="970"/>
        <v>0</v>
      </c>
      <c r="R352">
        <f t="shared" si="971"/>
        <v>0</v>
      </c>
      <c r="S352">
        <f t="shared" si="972"/>
        <v>0</v>
      </c>
      <c r="T352">
        <f t="shared" si="973"/>
        <v>0</v>
      </c>
    </row>
    <row r="353" spans="1:20" x14ac:dyDescent="0.25">
      <c r="A353" s="5"/>
      <c r="C353"/>
      <c r="D353"/>
      <c r="P353">
        <f t="shared" si="969"/>
        <v>0</v>
      </c>
      <c r="Q353">
        <f t="shared" si="970"/>
        <v>0</v>
      </c>
      <c r="R353">
        <f t="shared" si="971"/>
        <v>0</v>
      </c>
      <c r="S353">
        <f t="shared" si="972"/>
        <v>0</v>
      </c>
      <c r="T353">
        <f t="shared" si="973"/>
        <v>0</v>
      </c>
    </row>
    <row r="354" spans="1:20" x14ac:dyDescent="0.25">
      <c r="A354" s="5"/>
      <c r="C354"/>
      <c r="D354"/>
      <c r="P354">
        <f t="shared" si="969"/>
        <v>0</v>
      </c>
      <c r="Q354">
        <f t="shared" si="970"/>
        <v>0</v>
      </c>
      <c r="R354">
        <f t="shared" si="971"/>
        <v>0</v>
      </c>
      <c r="S354">
        <f t="shared" si="972"/>
        <v>0</v>
      </c>
      <c r="T354">
        <f t="shared" si="973"/>
        <v>0</v>
      </c>
    </row>
    <row r="355" spans="1:20" x14ac:dyDescent="0.25">
      <c r="A355" s="5"/>
      <c r="C355"/>
      <c r="D355"/>
      <c r="P355">
        <f t="shared" si="969"/>
        <v>0</v>
      </c>
      <c r="Q355">
        <f t="shared" si="970"/>
        <v>0</v>
      </c>
      <c r="R355">
        <f t="shared" si="971"/>
        <v>0</v>
      </c>
      <c r="S355">
        <f t="shared" si="972"/>
        <v>0</v>
      </c>
      <c r="T355">
        <f t="shared" si="973"/>
        <v>0</v>
      </c>
    </row>
    <row r="356" spans="1:20" x14ac:dyDescent="0.25">
      <c r="A356" s="5"/>
      <c r="C356"/>
      <c r="D356"/>
      <c r="P356">
        <f t="shared" si="969"/>
        <v>0</v>
      </c>
      <c r="Q356">
        <f t="shared" si="970"/>
        <v>0</v>
      </c>
      <c r="R356">
        <f t="shared" si="971"/>
        <v>0</v>
      </c>
      <c r="S356">
        <f t="shared" si="972"/>
        <v>0</v>
      </c>
      <c r="T356">
        <f t="shared" si="973"/>
        <v>0</v>
      </c>
    </row>
    <row r="357" spans="1:20" x14ac:dyDescent="0.25">
      <c r="A357" s="5"/>
      <c r="C357"/>
      <c r="D357"/>
      <c r="P357">
        <f t="shared" si="969"/>
        <v>0</v>
      </c>
      <c r="Q357">
        <f t="shared" si="970"/>
        <v>0</v>
      </c>
      <c r="R357">
        <f t="shared" si="971"/>
        <v>0</v>
      </c>
      <c r="S357">
        <f t="shared" si="972"/>
        <v>0</v>
      </c>
      <c r="T357">
        <f t="shared" si="973"/>
        <v>0</v>
      </c>
    </row>
    <row r="358" spans="1:20" x14ac:dyDescent="0.25">
      <c r="A358" s="5"/>
      <c r="C358"/>
      <c r="D358"/>
      <c r="P358">
        <f t="shared" si="969"/>
        <v>0</v>
      </c>
      <c r="Q358">
        <f t="shared" si="970"/>
        <v>0</v>
      </c>
      <c r="R358">
        <f t="shared" si="971"/>
        <v>0</v>
      </c>
      <c r="S358">
        <f t="shared" si="972"/>
        <v>0</v>
      </c>
      <c r="T358">
        <f t="shared" si="973"/>
        <v>0</v>
      </c>
    </row>
    <row r="359" spans="1:20" x14ac:dyDescent="0.25">
      <c r="A359" s="5"/>
      <c r="C359"/>
      <c r="D359"/>
      <c r="P359">
        <f t="shared" si="969"/>
        <v>0</v>
      </c>
      <c r="Q359">
        <f t="shared" si="970"/>
        <v>0</v>
      </c>
      <c r="R359">
        <f t="shared" si="971"/>
        <v>0</v>
      </c>
      <c r="S359">
        <f t="shared" si="972"/>
        <v>0</v>
      </c>
      <c r="T359">
        <f t="shared" si="973"/>
        <v>0</v>
      </c>
    </row>
    <row r="360" spans="1:20" x14ac:dyDescent="0.25">
      <c r="A360" s="5"/>
      <c r="C360"/>
      <c r="D360"/>
      <c r="P360">
        <f t="shared" si="969"/>
        <v>0</v>
      </c>
      <c r="Q360">
        <f t="shared" si="970"/>
        <v>0</v>
      </c>
      <c r="R360">
        <f t="shared" si="971"/>
        <v>0</v>
      </c>
      <c r="S360">
        <f t="shared" si="972"/>
        <v>0</v>
      </c>
      <c r="T360">
        <f t="shared" si="973"/>
        <v>0</v>
      </c>
    </row>
    <row r="361" spans="1:20" x14ac:dyDescent="0.25">
      <c r="A361" s="5"/>
      <c r="C361"/>
      <c r="D361"/>
      <c r="P361">
        <f t="shared" si="969"/>
        <v>0</v>
      </c>
      <c r="Q361">
        <f t="shared" si="970"/>
        <v>0</v>
      </c>
      <c r="R361">
        <f t="shared" si="971"/>
        <v>0</v>
      </c>
      <c r="S361">
        <f t="shared" si="972"/>
        <v>0</v>
      </c>
      <c r="T361">
        <f t="shared" si="973"/>
        <v>0</v>
      </c>
    </row>
    <row r="362" spans="1:20" x14ac:dyDescent="0.25">
      <c r="A362" s="5"/>
      <c r="C362"/>
      <c r="D362"/>
      <c r="P362">
        <f t="shared" si="969"/>
        <v>0</v>
      </c>
      <c r="Q362">
        <f t="shared" si="970"/>
        <v>0</v>
      </c>
      <c r="R362">
        <f t="shared" si="971"/>
        <v>0</v>
      </c>
      <c r="S362">
        <f t="shared" si="972"/>
        <v>0</v>
      </c>
      <c r="T362">
        <f t="shared" si="973"/>
        <v>0</v>
      </c>
    </row>
    <row r="363" spans="1:20" x14ac:dyDescent="0.25">
      <c r="A363" s="5"/>
      <c r="C363"/>
      <c r="D363"/>
      <c r="P363">
        <f t="shared" si="969"/>
        <v>0</v>
      </c>
      <c r="Q363">
        <f t="shared" si="970"/>
        <v>0</v>
      </c>
      <c r="R363">
        <f t="shared" si="971"/>
        <v>0</v>
      </c>
      <c r="S363">
        <f t="shared" si="972"/>
        <v>0</v>
      </c>
      <c r="T363">
        <f t="shared" si="973"/>
        <v>0</v>
      </c>
    </row>
    <row r="364" spans="1:20" x14ac:dyDescent="0.25">
      <c r="A364" s="5"/>
      <c r="C364"/>
      <c r="D364"/>
      <c r="P364">
        <f t="shared" si="969"/>
        <v>0</v>
      </c>
      <c r="Q364">
        <f t="shared" si="970"/>
        <v>0</v>
      </c>
      <c r="R364">
        <f t="shared" si="971"/>
        <v>0</v>
      </c>
      <c r="S364">
        <f t="shared" si="972"/>
        <v>0</v>
      </c>
      <c r="T364">
        <f t="shared" si="973"/>
        <v>0</v>
      </c>
    </row>
    <row r="365" spans="1:20" x14ac:dyDescent="0.25">
      <c r="A365" s="5"/>
      <c r="C365"/>
      <c r="D365"/>
      <c r="P365">
        <f t="shared" si="969"/>
        <v>0</v>
      </c>
      <c r="Q365">
        <f t="shared" si="970"/>
        <v>0</v>
      </c>
      <c r="R365">
        <f t="shared" si="971"/>
        <v>0</v>
      </c>
      <c r="S365">
        <f t="shared" si="972"/>
        <v>0</v>
      </c>
      <c r="T365">
        <f t="shared" si="973"/>
        <v>0</v>
      </c>
    </row>
    <row r="366" spans="1:20" x14ac:dyDescent="0.25">
      <c r="A366" s="5"/>
      <c r="C366"/>
      <c r="D366"/>
      <c r="P366">
        <f t="shared" si="969"/>
        <v>0</v>
      </c>
      <c r="Q366">
        <f t="shared" si="970"/>
        <v>0</v>
      </c>
      <c r="R366">
        <f t="shared" si="971"/>
        <v>0</v>
      </c>
      <c r="S366">
        <f t="shared" si="972"/>
        <v>0</v>
      </c>
      <c r="T366">
        <f t="shared" si="973"/>
        <v>0</v>
      </c>
    </row>
    <row r="367" spans="1:20" x14ac:dyDescent="0.25">
      <c r="A367" s="5"/>
      <c r="C367"/>
      <c r="D367"/>
      <c r="P367">
        <f t="shared" si="969"/>
        <v>0</v>
      </c>
      <c r="Q367">
        <f t="shared" si="970"/>
        <v>0</v>
      </c>
      <c r="R367">
        <f t="shared" si="971"/>
        <v>0</v>
      </c>
      <c r="S367">
        <f t="shared" si="972"/>
        <v>0</v>
      </c>
      <c r="T367">
        <f t="shared" si="973"/>
        <v>0</v>
      </c>
    </row>
    <row r="368" spans="1:20" x14ac:dyDescent="0.25">
      <c r="A368" s="5"/>
      <c r="C368"/>
      <c r="D368"/>
      <c r="P368">
        <f t="shared" si="969"/>
        <v>0</v>
      </c>
      <c r="Q368">
        <f t="shared" si="970"/>
        <v>0</v>
      </c>
      <c r="R368">
        <f t="shared" si="971"/>
        <v>0</v>
      </c>
      <c r="S368">
        <f t="shared" si="972"/>
        <v>0</v>
      </c>
      <c r="T368">
        <f t="shared" si="973"/>
        <v>0</v>
      </c>
    </row>
    <row r="369" spans="1:20" x14ac:dyDescent="0.25">
      <c r="A369" s="5"/>
      <c r="C369"/>
      <c r="D369"/>
      <c r="P369">
        <f t="shared" si="969"/>
        <v>0</v>
      </c>
      <c r="Q369">
        <f t="shared" si="970"/>
        <v>0</v>
      </c>
      <c r="R369">
        <f t="shared" si="971"/>
        <v>0</v>
      </c>
      <c r="S369">
        <f t="shared" si="972"/>
        <v>0</v>
      </c>
      <c r="T369">
        <f t="shared" si="973"/>
        <v>0</v>
      </c>
    </row>
    <row r="370" spans="1:20" x14ac:dyDescent="0.25">
      <c r="A370" s="5"/>
      <c r="C370"/>
      <c r="D370"/>
      <c r="P370">
        <f t="shared" si="969"/>
        <v>0</v>
      </c>
      <c r="Q370">
        <f t="shared" si="970"/>
        <v>0</v>
      </c>
      <c r="R370">
        <f t="shared" si="971"/>
        <v>0</v>
      </c>
      <c r="S370">
        <f t="shared" si="972"/>
        <v>0</v>
      </c>
      <c r="T370">
        <f t="shared" si="973"/>
        <v>0</v>
      </c>
    </row>
    <row r="371" spans="1:20" x14ac:dyDescent="0.25">
      <c r="A371" s="5"/>
      <c r="C371"/>
      <c r="D371"/>
      <c r="P371">
        <f t="shared" si="969"/>
        <v>0</v>
      </c>
      <c r="Q371">
        <f t="shared" si="970"/>
        <v>0</v>
      </c>
      <c r="R371">
        <f t="shared" si="971"/>
        <v>0</v>
      </c>
      <c r="S371">
        <f t="shared" si="972"/>
        <v>0</v>
      </c>
      <c r="T371">
        <f t="shared" si="973"/>
        <v>0</v>
      </c>
    </row>
    <row r="372" spans="1:20" x14ac:dyDescent="0.25">
      <c r="A372" s="5"/>
      <c r="C372"/>
      <c r="D372"/>
      <c r="P372">
        <f t="shared" si="969"/>
        <v>0</v>
      </c>
      <c r="Q372">
        <f t="shared" si="970"/>
        <v>0</v>
      </c>
      <c r="R372">
        <f t="shared" si="971"/>
        <v>0</v>
      </c>
      <c r="S372">
        <f t="shared" si="972"/>
        <v>0</v>
      </c>
      <c r="T372">
        <f t="shared" si="973"/>
        <v>0</v>
      </c>
    </row>
    <row r="373" spans="1:20" x14ac:dyDescent="0.25">
      <c r="A373" s="5"/>
      <c r="C373"/>
      <c r="D373"/>
      <c r="P373">
        <f t="shared" si="969"/>
        <v>0</v>
      </c>
      <c r="Q373">
        <f t="shared" si="970"/>
        <v>0</v>
      </c>
      <c r="R373">
        <f t="shared" si="971"/>
        <v>0</v>
      </c>
      <c r="S373">
        <f t="shared" si="972"/>
        <v>0</v>
      </c>
      <c r="T373">
        <f t="shared" si="973"/>
        <v>0</v>
      </c>
    </row>
    <row r="374" spans="1:20" x14ac:dyDescent="0.25">
      <c r="A374" s="5"/>
      <c r="C374"/>
      <c r="D374"/>
      <c r="P374">
        <f t="shared" si="969"/>
        <v>0</v>
      </c>
      <c r="Q374">
        <f t="shared" si="970"/>
        <v>0</v>
      </c>
      <c r="R374">
        <f t="shared" si="971"/>
        <v>0</v>
      </c>
      <c r="S374">
        <f t="shared" si="972"/>
        <v>0</v>
      </c>
      <c r="T374">
        <f t="shared" si="973"/>
        <v>0</v>
      </c>
    </row>
    <row r="375" spans="1:20" x14ac:dyDescent="0.25">
      <c r="A375" s="5"/>
      <c r="C375"/>
      <c r="D375"/>
      <c r="P375">
        <f t="shared" si="969"/>
        <v>0</v>
      </c>
      <c r="Q375">
        <f t="shared" si="970"/>
        <v>0</v>
      </c>
      <c r="R375">
        <f t="shared" si="971"/>
        <v>0</v>
      </c>
      <c r="S375">
        <f t="shared" si="972"/>
        <v>0</v>
      </c>
      <c r="T375">
        <f t="shared" si="973"/>
        <v>0</v>
      </c>
    </row>
    <row r="376" spans="1:20" x14ac:dyDescent="0.25">
      <c r="A376" s="5"/>
      <c r="C376"/>
      <c r="D376"/>
      <c r="P376">
        <f t="shared" si="969"/>
        <v>0</v>
      </c>
      <c r="Q376">
        <f t="shared" si="970"/>
        <v>0</v>
      </c>
      <c r="R376">
        <f t="shared" si="971"/>
        <v>0</v>
      </c>
      <c r="S376">
        <f t="shared" si="972"/>
        <v>0</v>
      </c>
      <c r="T376">
        <f t="shared" si="973"/>
        <v>0</v>
      </c>
    </row>
    <row r="377" spans="1:20" x14ac:dyDescent="0.25">
      <c r="A377" s="5"/>
      <c r="C377"/>
      <c r="D377"/>
      <c r="P377">
        <f t="shared" si="969"/>
        <v>0</v>
      </c>
      <c r="Q377">
        <f t="shared" si="970"/>
        <v>0</v>
      </c>
      <c r="R377">
        <f t="shared" si="971"/>
        <v>0</v>
      </c>
      <c r="S377">
        <f t="shared" si="972"/>
        <v>0</v>
      </c>
      <c r="T377">
        <f t="shared" si="973"/>
        <v>0</v>
      </c>
    </row>
    <row r="378" spans="1:20" x14ac:dyDescent="0.25">
      <c r="A378" s="5"/>
      <c r="C378"/>
      <c r="D378"/>
      <c r="P378">
        <f t="shared" si="969"/>
        <v>0</v>
      </c>
      <c r="Q378">
        <f t="shared" si="970"/>
        <v>0</v>
      </c>
      <c r="R378">
        <f t="shared" si="971"/>
        <v>0</v>
      </c>
      <c r="S378">
        <f t="shared" si="972"/>
        <v>0</v>
      </c>
      <c r="T378">
        <f t="shared" si="973"/>
        <v>0</v>
      </c>
    </row>
    <row r="379" spans="1:20" x14ac:dyDescent="0.25">
      <c r="A379" s="5"/>
      <c r="C379"/>
      <c r="D379"/>
      <c r="P379">
        <f t="shared" si="969"/>
        <v>0</v>
      </c>
      <c r="Q379">
        <f t="shared" si="970"/>
        <v>0</v>
      </c>
      <c r="R379">
        <f t="shared" si="971"/>
        <v>0</v>
      </c>
      <c r="S379">
        <f t="shared" si="972"/>
        <v>0</v>
      </c>
      <c r="T379">
        <f t="shared" si="973"/>
        <v>0</v>
      </c>
    </row>
    <row r="380" spans="1:20" x14ac:dyDescent="0.25">
      <c r="A380" s="5"/>
      <c r="C380"/>
      <c r="D380"/>
      <c r="P380">
        <f t="shared" si="969"/>
        <v>0</v>
      </c>
      <c r="Q380">
        <f t="shared" si="970"/>
        <v>0</v>
      </c>
      <c r="R380">
        <f t="shared" si="971"/>
        <v>0</v>
      </c>
      <c r="S380">
        <f t="shared" si="972"/>
        <v>0</v>
      </c>
      <c r="T380">
        <f t="shared" si="973"/>
        <v>0</v>
      </c>
    </row>
    <row r="381" spans="1:20" x14ac:dyDescent="0.25">
      <c r="A381" s="5"/>
      <c r="C381"/>
      <c r="D381"/>
      <c r="P381">
        <f t="shared" si="969"/>
        <v>0</v>
      </c>
      <c r="Q381">
        <f t="shared" si="970"/>
        <v>0</v>
      </c>
      <c r="R381">
        <f t="shared" si="971"/>
        <v>0</v>
      </c>
      <c r="S381">
        <f t="shared" si="972"/>
        <v>0</v>
      </c>
      <c r="T381">
        <f t="shared" si="973"/>
        <v>0</v>
      </c>
    </row>
    <row r="382" spans="1:20" x14ac:dyDescent="0.25">
      <c r="A382" s="5"/>
      <c r="C382"/>
      <c r="D382"/>
      <c r="P382">
        <f t="shared" si="969"/>
        <v>0</v>
      </c>
      <c r="Q382">
        <f t="shared" si="970"/>
        <v>0</v>
      </c>
      <c r="R382">
        <f t="shared" si="971"/>
        <v>0</v>
      </c>
      <c r="S382">
        <f t="shared" si="972"/>
        <v>0</v>
      </c>
      <c r="T382">
        <f t="shared" si="973"/>
        <v>0</v>
      </c>
    </row>
    <row r="383" spans="1:20" x14ac:dyDescent="0.25">
      <c r="A383" s="5"/>
      <c r="C383"/>
      <c r="D383"/>
      <c r="P383">
        <f t="shared" si="969"/>
        <v>0</v>
      </c>
      <c r="Q383">
        <f t="shared" si="970"/>
        <v>0</v>
      </c>
      <c r="R383">
        <f t="shared" si="971"/>
        <v>0</v>
      </c>
      <c r="S383">
        <f t="shared" si="972"/>
        <v>0</v>
      </c>
      <c r="T383">
        <f t="shared" si="973"/>
        <v>0</v>
      </c>
    </row>
    <row r="384" spans="1:20" x14ac:dyDescent="0.25">
      <c r="A384" s="5"/>
      <c r="C384"/>
      <c r="D384"/>
      <c r="P384">
        <f t="shared" si="969"/>
        <v>0</v>
      </c>
      <c r="Q384">
        <f t="shared" si="970"/>
        <v>0</v>
      </c>
      <c r="R384">
        <f t="shared" si="971"/>
        <v>0</v>
      </c>
      <c r="S384">
        <f t="shared" si="972"/>
        <v>0</v>
      </c>
      <c r="T384">
        <f t="shared" si="973"/>
        <v>0</v>
      </c>
    </row>
    <row r="385" spans="1:20" x14ac:dyDescent="0.25">
      <c r="A385" s="5"/>
      <c r="C385"/>
      <c r="D385"/>
      <c r="P385">
        <f t="shared" si="969"/>
        <v>0</v>
      </c>
      <c r="Q385">
        <f t="shared" si="970"/>
        <v>0</v>
      </c>
      <c r="R385">
        <f t="shared" si="971"/>
        <v>0</v>
      </c>
      <c r="S385">
        <f t="shared" si="972"/>
        <v>0</v>
      </c>
      <c r="T385">
        <f t="shared" si="973"/>
        <v>0</v>
      </c>
    </row>
    <row r="386" spans="1:20" x14ac:dyDescent="0.25">
      <c r="A386" s="5"/>
      <c r="C386"/>
      <c r="D386"/>
      <c r="P386">
        <f t="shared" si="969"/>
        <v>0</v>
      </c>
      <c r="Q386">
        <f t="shared" si="970"/>
        <v>0</v>
      </c>
      <c r="R386">
        <f t="shared" si="971"/>
        <v>0</v>
      </c>
      <c r="S386">
        <f t="shared" si="972"/>
        <v>0</v>
      </c>
      <c r="T386">
        <f t="shared" si="973"/>
        <v>0</v>
      </c>
    </row>
    <row r="387" spans="1:20" x14ac:dyDescent="0.25">
      <c r="A387" s="5"/>
      <c r="C387"/>
      <c r="D387"/>
      <c r="P387">
        <f t="shared" si="969"/>
        <v>0</v>
      </c>
      <c r="Q387">
        <f t="shared" si="970"/>
        <v>0</v>
      </c>
      <c r="R387">
        <f t="shared" si="971"/>
        <v>0</v>
      </c>
      <c r="S387">
        <f t="shared" si="972"/>
        <v>0</v>
      </c>
      <c r="T387">
        <f t="shared" si="973"/>
        <v>0</v>
      </c>
    </row>
    <row r="388" spans="1:20" x14ac:dyDescent="0.25">
      <c r="A388" s="5"/>
      <c r="C388"/>
      <c r="D388"/>
      <c r="P388">
        <f t="shared" si="969"/>
        <v>0</v>
      </c>
      <c r="Q388">
        <f t="shared" si="970"/>
        <v>0</v>
      </c>
      <c r="R388">
        <f t="shared" si="971"/>
        <v>0</v>
      </c>
      <c r="S388">
        <f t="shared" si="972"/>
        <v>0</v>
      </c>
      <c r="T388">
        <f t="shared" si="973"/>
        <v>0</v>
      </c>
    </row>
    <row r="389" spans="1:20" x14ac:dyDescent="0.25">
      <c r="A389" s="5"/>
      <c r="C389"/>
      <c r="D389"/>
      <c r="P389">
        <f t="shared" si="969"/>
        <v>0</v>
      </c>
      <c r="Q389">
        <f t="shared" si="970"/>
        <v>0</v>
      </c>
      <c r="R389">
        <f t="shared" si="971"/>
        <v>0</v>
      </c>
      <c r="S389">
        <f t="shared" si="972"/>
        <v>0</v>
      </c>
      <c r="T389">
        <f t="shared" si="973"/>
        <v>0</v>
      </c>
    </row>
    <row r="390" spans="1:20" x14ac:dyDescent="0.25">
      <c r="A390" s="5"/>
      <c r="C390"/>
      <c r="D390"/>
      <c r="P390">
        <f t="shared" ref="P390:P453" si="974">IF(C390=D390,0,((E390-D390)-(C390-E390))/(C390-D390))</f>
        <v>0</v>
      </c>
      <c r="Q390">
        <f t="shared" ref="Q390:Q453" si="975">F390*P390</f>
        <v>0</v>
      </c>
      <c r="R390">
        <f t="shared" ref="R390:R453" si="976">R391+Q390</f>
        <v>0</v>
      </c>
      <c r="S390">
        <f t="shared" ref="S390:S453" si="977">R390/100000</f>
        <v>0</v>
      </c>
      <c r="T390">
        <f t="shared" ref="T390:T453" si="978">S390/1000</f>
        <v>0</v>
      </c>
    </row>
    <row r="391" spans="1:20" x14ac:dyDescent="0.25">
      <c r="A391" s="5"/>
      <c r="C391"/>
      <c r="D391"/>
      <c r="P391">
        <f t="shared" si="974"/>
        <v>0</v>
      </c>
      <c r="Q391">
        <f t="shared" si="975"/>
        <v>0</v>
      </c>
      <c r="R391">
        <f t="shared" si="976"/>
        <v>0</v>
      </c>
      <c r="S391">
        <f t="shared" si="977"/>
        <v>0</v>
      </c>
      <c r="T391">
        <f t="shared" si="978"/>
        <v>0</v>
      </c>
    </row>
    <row r="392" spans="1:20" x14ac:dyDescent="0.25">
      <c r="A392" s="5"/>
      <c r="C392"/>
      <c r="D392"/>
      <c r="P392">
        <f t="shared" si="974"/>
        <v>0</v>
      </c>
      <c r="Q392">
        <f t="shared" si="975"/>
        <v>0</v>
      </c>
      <c r="R392">
        <f t="shared" si="976"/>
        <v>0</v>
      </c>
      <c r="S392">
        <f t="shared" si="977"/>
        <v>0</v>
      </c>
      <c r="T392">
        <f t="shared" si="978"/>
        <v>0</v>
      </c>
    </row>
    <row r="393" spans="1:20" x14ac:dyDescent="0.25">
      <c r="A393" s="5"/>
      <c r="C393"/>
      <c r="D393"/>
      <c r="P393">
        <f t="shared" si="974"/>
        <v>0</v>
      </c>
      <c r="Q393">
        <f t="shared" si="975"/>
        <v>0</v>
      </c>
      <c r="R393">
        <f t="shared" si="976"/>
        <v>0</v>
      </c>
      <c r="S393">
        <f t="shared" si="977"/>
        <v>0</v>
      </c>
      <c r="T393">
        <f t="shared" si="978"/>
        <v>0</v>
      </c>
    </row>
    <row r="394" spans="1:20" x14ac:dyDescent="0.25">
      <c r="A394" s="5"/>
      <c r="C394"/>
      <c r="D394"/>
      <c r="P394">
        <f t="shared" si="974"/>
        <v>0</v>
      </c>
      <c r="Q394">
        <f t="shared" si="975"/>
        <v>0</v>
      </c>
      <c r="R394">
        <f t="shared" si="976"/>
        <v>0</v>
      </c>
      <c r="S394">
        <f t="shared" si="977"/>
        <v>0</v>
      </c>
      <c r="T394">
        <f t="shared" si="978"/>
        <v>0</v>
      </c>
    </row>
    <row r="395" spans="1:20" x14ac:dyDescent="0.25">
      <c r="A395" s="5"/>
      <c r="C395"/>
      <c r="D395"/>
      <c r="P395">
        <f t="shared" si="974"/>
        <v>0</v>
      </c>
      <c r="Q395">
        <f t="shared" si="975"/>
        <v>0</v>
      </c>
      <c r="R395">
        <f t="shared" si="976"/>
        <v>0</v>
      </c>
      <c r="S395">
        <f t="shared" si="977"/>
        <v>0</v>
      </c>
      <c r="T395">
        <f t="shared" si="978"/>
        <v>0</v>
      </c>
    </row>
    <row r="396" spans="1:20" x14ac:dyDescent="0.25">
      <c r="A396" s="5"/>
      <c r="C396"/>
      <c r="D396"/>
      <c r="P396">
        <f t="shared" si="974"/>
        <v>0</v>
      </c>
      <c r="Q396">
        <f t="shared" si="975"/>
        <v>0</v>
      </c>
      <c r="R396">
        <f t="shared" si="976"/>
        <v>0</v>
      </c>
      <c r="S396">
        <f t="shared" si="977"/>
        <v>0</v>
      </c>
      <c r="T396">
        <f t="shared" si="978"/>
        <v>0</v>
      </c>
    </row>
    <row r="397" spans="1:20" x14ac:dyDescent="0.25">
      <c r="A397" s="5"/>
      <c r="C397"/>
      <c r="D397"/>
      <c r="P397">
        <f t="shared" si="974"/>
        <v>0</v>
      </c>
      <c r="Q397">
        <f t="shared" si="975"/>
        <v>0</v>
      </c>
      <c r="R397">
        <f t="shared" si="976"/>
        <v>0</v>
      </c>
      <c r="S397">
        <f t="shared" si="977"/>
        <v>0</v>
      </c>
      <c r="T397">
        <f t="shared" si="978"/>
        <v>0</v>
      </c>
    </row>
    <row r="398" spans="1:20" x14ac:dyDescent="0.25">
      <c r="A398" s="5"/>
      <c r="C398"/>
      <c r="D398"/>
      <c r="P398">
        <f t="shared" si="974"/>
        <v>0</v>
      </c>
      <c r="Q398">
        <f t="shared" si="975"/>
        <v>0</v>
      </c>
      <c r="R398">
        <f t="shared" si="976"/>
        <v>0</v>
      </c>
      <c r="S398">
        <f t="shared" si="977"/>
        <v>0</v>
      </c>
      <c r="T398">
        <f t="shared" si="978"/>
        <v>0</v>
      </c>
    </row>
    <row r="399" spans="1:20" x14ac:dyDescent="0.25">
      <c r="A399" s="5"/>
      <c r="C399"/>
      <c r="D399"/>
      <c r="P399">
        <f t="shared" si="974"/>
        <v>0</v>
      </c>
      <c r="Q399">
        <f t="shared" si="975"/>
        <v>0</v>
      </c>
      <c r="R399">
        <f t="shared" si="976"/>
        <v>0</v>
      </c>
      <c r="S399">
        <f t="shared" si="977"/>
        <v>0</v>
      </c>
      <c r="T399">
        <f t="shared" si="978"/>
        <v>0</v>
      </c>
    </row>
    <row r="400" spans="1:20" x14ac:dyDescent="0.25">
      <c r="A400" s="5"/>
      <c r="C400"/>
      <c r="D400"/>
      <c r="P400">
        <f t="shared" si="974"/>
        <v>0</v>
      </c>
      <c r="Q400">
        <f t="shared" si="975"/>
        <v>0</v>
      </c>
      <c r="R400">
        <f t="shared" si="976"/>
        <v>0</v>
      </c>
      <c r="S400">
        <f t="shared" si="977"/>
        <v>0</v>
      </c>
      <c r="T400">
        <f t="shared" si="978"/>
        <v>0</v>
      </c>
    </row>
    <row r="401" spans="1:20" x14ac:dyDescent="0.25">
      <c r="A401" s="5"/>
      <c r="C401"/>
      <c r="D401"/>
      <c r="P401">
        <f t="shared" si="974"/>
        <v>0</v>
      </c>
      <c r="Q401">
        <f t="shared" si="975"/>
        <v>0</v>
      </c>
      <c r="R401">
        <f t="shared" si="976"/>
        <v>0</v>
      </c>
      <c r="S401">
        <f t="shared" si="977"/>
        <v>0</v>
      </c>
      <c r="T401">
        <f t="shared" si="978"/>
        <v>0</v>
      </c>
    </row>
    <row r="402" spans="1:20" x14ac:dyDescent="0.25">
      <c r="A402" s="5"/>
      <c r="C402"/>
      <c r="D402"/>
      <c r="P402">
        <f t="shared" si="974"/>
        <v>0</v>
      </c>
      <c r="Q402">
        <f t="shared" si="975"/>
        <v>0</v>
      </c>
      <c r="R402">
        <f t="shared" si="976"/>
        <v>0</v>
      </c>
      <c r="S402">
        <f t="shared" si="977"/>
        <v>0</v>
      </c>
      <c r="T402">
        <f t="shared" si="978"/>
        <v>0</v>
      </c>
    </row>
    <row r="403" spans="1:20" x14ac:dyDescent="0.25">
      <c r="A403" s="5"/>
      <c r="C403"/>
      <c r="D403"/>
      <c r="P403">
        <f t="shared" si="974"/>
        <v>0</v>
      </c>
      <c r="Q403">
        <f t="shared" si="975"/>
        <v>0</v>
      </c>
      <c r="R403">
        <f t="shared" si="976"/>
        <v>0</v>
      </c>
      <c r="S403">
        <f t="shared" si="977"/>
        <v>0</v>
      </c>
      <c r="T403">
        <f t="shared" si="978"/>
        <v>0</v>
      </c>
    </row>
    <row r="404" spans="1:20" x14ac:dyDescent="0.25">
      <c r="A404" s="5"/>
      <c r="C404"/>
      <c r="D404"/>
      <c r="P404">
        <f t="shared" si="974"/>
        <v>0</v>
      </c>
      <c r="Q404">
        <f t="shared" si="975"/>
        <v>0</v>
      </c>
      <c r="R404">
        <f t="shared" si="976"/>
        <v>0</v>
      </c>
      <c r="S404">
        <f t="shared" si="977"/>
        <v>0</v>
      </c>
      <c r="T404">
        <f t="shared" si="978"/>
        <v>0</v>
      </c>
    </row>
    <row r="405" spans="1:20" x14ac:dyDescent="0.25">
      <c r="A405" s="5"/>
      <c r="C405"/>
      <c r="D405"/>
      <c r="P405">
        <f t="shared" si="974"/>
        <v>0</v>
      </c>
      <c r="Q405">
        <f t="shared" si="975"/>
        <v>0</v>
      </c>
      <c r="R405">
        <f t="shared" si="976"/>
        <v>0</v>
      </c>
      <c r="S405">
        <f t="shared" si="977"/>
        <v>0</v>
      </c>
      <c r="T405">
        <f t="shared" si="978"/>
        <v>0</v>
      </c>
    </row>
    <row r="406" spans="1:20" x14ac:dyDescent="0.25">
      <c r="A406" s="5"/>
      <c r="C406"/>
      <c r="D406"/>
      <c r="P406">
        <f t="shared" si="974"/>
        <v>0</v>
      </c>
      <c r="Q406">
        <f t="shared" si="975"/>
        <v>0</v>
      </c>
      <c r="R406">
        <f t="shared" si="976"/>
        <v>0</v>
      </c>
      <c r="S406">
        <f t="shared" si="977"/>
        <v>0</v>
      </c>
      <c r="T406">
        <f t="shared" si="978"/>
        <v>0</v>
      </c>
    </row>
    <row r="407" spans="1:20" x14ac:dyDescent="0.25">
      <c r="A407" s="5"/>
      <c r="C407"/>
      <c r="D407"/>
      <c r="P407">
        <f t="shared" si="974"/>
        <v>0</v>
      </c>
      <c r="Q407">
        <f t="shared" si="975"/>
        <v>0</v>
      </c>
      <c r="R407">
        <f t="shared" si="976"/>
        <v>0</v>
      </c>
      <c r="S407">
        <f t="shared" si="977"/>
        <v>0</v>
      </c>
      <c r="T407">
        <f t="shared" si="978"/>
        <v>0</v>
      </c>
    </row>
    <row r="408" spans="1:20" x14ac:dyDescent="0.25">
      <c r="A408" s="5"/>
      <c r="C408"/>
      <c r="D408"/>
      <c r="P408">
        <f t="shared" si="974"/>
        <v>0</v>
      </c>
      <c r="Q408">
        <f t="shared" si="975"/>
        <v>0</v>
      </c>
      <c r="R408">
        <f t="shared" si="976"/>
        <v>0</v>
      </c>
      <c r="S408">
        <f t="shared" si="977"/>
        <v>0</v>
      </c>
      <c r="T408">
        <f t="shared" si="978"/>
        <v>0</v>
      </c>
    </row>
    <row r="409" spans="1:20" x14ac:dyDescent="0.25">
      <c r="A409" s="5"/>
      <c r="C409"/>
      <c r="D409"/>
      <c r="P409">
        <f t="shared" si="974"/>
        <v>0</v>
      </c>
      <c r="Q409">
        <f t="shared" si="975"/>
        <v>0</v>
      </c>
      <c r="R409">
        <f t="shared" si="976"/>
        <v>0</v>
      </c>
      <c r="S409">
        <f t="shared" si="977"/>
        <v>0</v>
      </c>
      <c r="T409">
        <f t="shared" si="978"/>
        <v>0</v>
      </c>
    </row>
    <row r="410" spans="1:20" x14ac:dyDescent="0.25">
      <c r="A410" s="5"/>
      <c r="C410"/>
      <c r="D410"/>
      <c r="P410">
        <f t="shared" si="974"/>
        <v>0</v>
      </c>
      <c r="Q410">
        <f t="shared" si="975"/>
        <v>0</v>
      </c>
      <c r="R410">
        <f t="shared" si="976"/>
        <v>0</v>
      </c>
      <c r="S410">
        <f t="shared" si="977"/>
        <v>0</v>
      </c>
      <c r="T410">
        <f t="shared" si="978"/>
        <v>0</v>
      </c>
    </row>
    <row r="411" spans="1:20" x14ac:dyDescent="0.25">
      <c r="A411" s="5"/>
      <c r="C411"/>
      <c r="D411"/>
      <c r="P411">
        <f t="shared" si="974"/>
        <v>0</v>
      </c>
      <c r="Q411">
        <f t="shared" si="975"/>
        <v>0</v>
      </c>
      <c r="R411">
        <f t="shared" si="976"/>
        <v>0</v>
      </c>
      <c r="S411">
        <f t="shared" si="977"/>
        <v>0</v>
      </c>
      <c r="T411">
        <f t="shared" si="978"/>
        <v>0</v>
      </c>
    </row>
    <row r="412" spans="1:20" x14ac:dyDescent="0.25">
      <c r="A412" s="5"/>
      <c r="C412"/>
      <c r="D412"/>
      <c r="P412">
        <f t="shared" si="974"/>
        <v>0</v>
      </c>
      <c r="Q412">
        <f t="shared" si="975"/>
        <v>0</v>
      </c>
      <c r="R412">
        <f t="shared" si="976"/>
        <v>0</v>
      </c>
      <c r="S412">
        <f t="shared" si="977"/>
        <v>0</v>
      </c>
      <c r="T412">
        <f t="shared" si="978"/>
        <v>0</v>
      </c>
    </row>
    <row r="413" spans="1:20" x14ac:dyDescent="0.25">
      <c r="A413" s="5"/>
      <c r="C413"/>
      <c r="D413"/>
      <c r="P413">
        <f t="shared" si="974"/>
        <v>0</v>
      </c>
      <c r="Q413">
        <f t="shared" si="975"/>
        <v>0</v>
      </c>
      <c r="R413">
        <f t="shared" si="976"/>
        <v>0</v>
      </c>
      <c r="S413">
        <f t="shared" si="977"/>
        <v>0</v>
      </c>
      <c r="T413">
        <f t="shared" si="978"/>
        <v>0</v>
      </c>
    </row>
    <row r="414" spans="1:20" x14ac:dyDescent="0.25">
      <c r="A414" s="5"/>
      <c r="C414"/>
      <c r="D414"/>
      <c r="P414">
        <f t="shared" si="974"/>
        <v>0</v>
      </c>
      <c r="Q414">
        <f t="shared" si="975"/>
        <v>0</v>
      </c>
      <c r="R414">
        <f t="shared" si="976"/>
        <v>0</v>
      </c>
      <c r="S414">
        <f t="shared" si="977"/>
        <v>0</v>
      </c>
      <c r="T414">
        <f t="shared" si="978"/>
        <v>0</v>
      </c>
    </row>
    <row r="415" spans="1:20" x14ac:dyDescent="0.25">
      <c r="A415" s="5"/>
      <c r="C415"/>
      <c r="D415"/>
      <c r="P415">
        <f t="shared" si="974"/>
        <v>0</v>
      </c>
      <c r="Q415">
        <f t="shared" si="975"/>
        <v>0</v>
      </c>
      <c r="R415">
        <f t="shared" si="976"/>
        <v>0</v>
      </c>
      <c r="S415">
        <f t="shared" si="977"/>
        <v>0</v>
      </c>
      <c r="T415">
        <f t="shared" si="978"/>
        <v>0</v>
      </c>
    </row>
    <row r="416" spans="1:20" x14ac:dyDescent="0.25">
      <c r="A416" s="5"/>
      <c r="C416"/>
      <c r="D416"/>
      <c r="P416">
        <f t="shared" si="974"/>
        <v>0</v>
      </c>
      <c r="Q416">
        <f t="shared" si="975"/>
        <v>0</v>
      </c>
      <c r="R416">
        <f t="shared" si="976"/>
        <v>0</v>
      </c>
      <c r="S416">
        <f t="shared" si="977"/>
        <v>0</v>
      </c>
      <c r="T416">
        <f t="shared" si="978"/>
        <v>0</v>
      </c>
    </row>
    <row r="417" spans="1:20" x14ac:dyDescent="0.25">
      <c r="A417" s="5"/>
      <c r="C417"/>
      <c r="D417"/>
      <c r="P417">
        <f t="shared" si="974"/>
        <v>0</v>
      </c>
      <c r="Q417">
        <f t="shared" si="975"/>
        <v>0</v>
      </c>
      <c r="R417">
        <f t="shared" si="976"/>
        <v>0</v>
      </c>
      <c r="S417">
        <f t="shared" si="977"/>
        <v>0</v>
      </c>
      <c r="T417">
        <f t="shared" si="978"/>
        <v>0</v>
      </c>
    </row>
    <row r="418" spans="1:20" x14ac:dyDescent="0.25">
      <c r="A418" s="5"/>
      <c r="C418"/>
      <c r="D418"/>
      <c r="P418">
        <f t="shared" si="974"/>
        <v>0</v>
      </c>
      <c r="Q418">
        <f t="shared" si="975"/>
        <v>0</v>
      </c>
      <c r="R418">
        <f t="shared" si="976"/>
        <v>0</v>
      </c>
      <c r="S418">
        <f t="shared" si="977"/>
        <v>0</v>
      </c>
      <c r="T418">
        <f t="shared" si="978"/>
        <v>0</v>
      </c>
    </row>
    <row r="419" spans="1:20" x14ac:dyDescent="0.25">
      <c r="A419" s="5"/>
      <c r="C419"/>
      <c r="D419"/>
      <c r="P419">
        <f t="shared" si="974"/>
        <v>0</v>
      </c>
      <c r="Q419">
        <f t="shared" si="975"/>
        <v>0</v>
      </c>
      <c r="R419">
        <f t="shared" si="976"/>
        <v>0</v>
      </c>
      <c r="S419">
        <f t="shared" si="977"/>
        <v>0</v>
      </c>
      <c r="T419">
        <f t="shared" si="978"/>
        <v>0</v>
      </c>
    </row>
    <row r="420" spans="1:20" x14ac:dyDescent="0.25">
      <c r="A420" s="5"/>
      <c r="C420"/>
      <c r="D420"/>
      <c r="P420">
        <f t="shared" si="974"/>
        <v>0</v>
      </c>
      <c r="Q420">
        <f t="shared" si="975"/>
        <v>0</v>
      </c>
      <c r="R420">
        <f t="shared" si="976"/>
        <v>0</v>
      </c>
      <c r="S420">
        <f t="shared" si="977"/>
        <v>0</v>
      </c>
      <c r="T420">
        <f t="shared" si="978"/>
        <v>0</v>
      </c>
    </row>
    <row r="421" spans="1:20" x14ac:dyDescent="0.25">
      <c r="A421" s="5"/>
      <c r="C421"/>
      <c r="D421"/>
      <c r="P421">
        <f t="shared" si="974"/>
        <v>0</v>
      </c>
      <c r="Q421">
        <f t="shared" si="975"/>
        <v>0</v>
      </c>
      <c r="R421">
        <f t="shared" si="976"/>
        <v>0</v>
      </c>
      <c r="S421">
        <f t="shared" si="977"/>
        <v>0</v>
      </c>
      <c r="T421">
        <f t="shared" si="978"/>
        <v>0</v>
      </c>
    </row>
    <row r="422" spans="1:20" x14ac:dyDescent="0.25">
      <c r="A422" s="5"/>
      <c r="C422"/>
      <c r="D422"/>
      <c r="P422">
        <f t="shared" si="974"/>
        <v>0</v>
      </c>
      <c r="Q422">
        <f t="shared" si="975"/>
        <v>0</v>
      </c>
      <c r="R422">
        <f t="shared" si="976"/>
        <v>0</v>
      </c>
      <c r="S422">
        <f t="shared" si="977"/>
        <v>0</v>
      </c>
      <c r="T422">
        <f t="shared" si="978"/>
        <v>0</v>
      </c>
    </row>
    <row r="423" spans="1:20" x14ac:dyDescent="0.25">
      <c r="A423" s="5"/>
      <c r="C423"/>
      <c r="D423"/>
      <c r="P423">
        <f t="shared" si="974"/>
        <v>0</v>
      </c>
      <c r="Q423">
        <f t="shared" si="975"/>
        <v>0</v>
      </c>
      <c r="R423">
        <f t="shared" si="976"/>
        <v>0</v>
      </c>
      <c r="S423">
        <f t="shared" si="977"/>
        <v>0</v>
      </c>
      <c r="T423">
        <f t="shared" si="978"/>
        <v>0</v>
      </c>
    </row>
    <row r="424" spans="1:20" x14ac:dyDescent="0.25">
      <c r="A424" s="5"/>
      <c r="C424"/>
      <c r="D424"/>
      <c r="P424">
        <f t="shared" si="974"/>
        <v>0</v>
      </c>
      <c r="Q424">
        <f t="shared" si="975"/>
        <v>0</v>
      </c>
      <c r="R424">
        <f t="shared" si="976"/>
        <v>0</v>
      </c>
      <c r="S424">
        <f t="shared" si="977"/>
        <v>0</v>
      </c>
      <c r="T424">
        <f t="shared" si="978"/>
        <v>0</v>
      </c>
    </row>
    <row r="425" spans="1:20" x14ac:dyDescent="0.25">
      <c r="A425" s="5"/>
      <c r="C425"/>
      <c r="D425"/>
      <c r="P425">
        <f t="shared" si="974"/>
        <v>0</v>
      </c>
      <c r="Q425">
        <f t="shared" si="975"/>
        <v>0</v>
      </c>
      <c r="R425">
        <f t="shared" si="976"/>
        <v>0</v>
      </c>
      <c r="S425">
        <f t="shared" si="977"/>
        <v>0</v>
      </c>
      <c r="T425">
        <f t="shared" si="978"/>
        <v>0</v>
      </c>
    </row>
    <row r="426" spans="1:20" x14ac:dyDescent="0.25">
      <c r="A426" s="5"/>
      <c r="C426"/>
      <c r="D426"/>
      <c r="P426">
        <f t="shared" si="974"/>
        <v>0</v>
      </c>
      <c r="Q426">
        <f t="shared" si="975"/>
        <v>0</v>
      </c>
      <c r="R426">
        <f t="shared" si="976"/>
        <v>0</v>
      </c>
      <c r="S426">
        <f t="shared" si="977"/>
        <v>0</v>
      </c>
      <c r="T426">
        <f t="shared" si="978"/>
        <v>0</v>
      </c>
    </row>
    <row r="427" spans="1:20" x14ac:dyDescent="0.25">
      <c r="A427" s="5"/>
      <c r="C427"/>
      <c r="D427"/>
      <c r="P427">
        <f t="shared" si="974"/>
        <v>0</v>
      </c>
      <c r="Q427">
        <f t="shared" si="975"/>
        <v>0</v>
      </c>
      <c r="R427">
        <f t="shared" si="976"/>
        <v>0</v>
      </c>
      <c r="S427">
        <f t="shared" si="977"/>
        <v>0</v>
      </c>
      <c r="T427">
        <f t="shared" si="978"/>
        <v>0</v>
      </c>
    </row>
    <row r="428" spans="1:20" x14ac:dyDescent="0.25">
      <c r="A428" s="5"/>
      <c r="C428"/>
      <c r="D428"/>
      <c r="P428">
        <f t="shared" si="974"/>
        <v>0</v>
      </c>
      <c r="Q428">
        <f t="shared" si="975"/>
        <v>0</v>
      </c>
      <c r="R428">
        <f t="shared" si="976"/>
        <v>0</v>
      </c>
      <c r="S428">
        <f t="shared" si="977"/>
        <v>0</v>
      </c>
      <c r="T428">
        <f t="shared" si="978"/>
        <v>0</v>
      </c>
    </row>
    <row r="429" spans="1:20" x14ac:dyDescent="0.25">
      <c r="A429" s="5"/>
      <c r="C429"/>
      <c r="D429"/>
      <c r="P429">
        <f t="shared" si="974"/>
        <v>0</v>
      </c>
      <c r="Q429">
        <f t="shared" si="975"/>
        <v>0</v>
      </c>
      <c r="R429">
        <f t="shared" si="976"/>
        <v>0</v>
      </c>
      <c r="S429">
        <f t="shared" si="977"/>
        <v>0</v>
      </c>
      <c r="T429">
        <f t="shared" si="978"/>
        <v>0</v>
      </c>
    </row>
    <row r="430" spans="1:20" x14ac:dyDescent="0.25">
      <c r="A430" s="5"/>
      <c r="C430"/>
      <c r="D430"/>
      <c r="P430">
        <f t="shared" si="974"/>
        <v>0</v>
      </c>
      <c r="Q430">
        <f t="shared" si="975"/>
        <v>0</v>
      </c>
      <c r="R430">
        <f t="shared" si="976"/>
        <v>0</v>
      </c>
      <c r="S430">
        <f t="shared" si="977"/>
        <v>0</v>
      </c>
      <c r="T430">
        <f t="shared" si="978"/>
        <v>0</v>
      </c>
    </row>
    <row r="431" spans="1:20" x14ac:dyDescent="0.25">
      <c r="A431" s="5"/>
      <c r="C431"/>
      <c r="D431"/>
      <c r="P431">
        <f t="shared" si="974"/>
        <v>0</v>
      </c>
      <c r="Q431">
        <f t="shared" si="975"/>
        <v>0</v>
      </c>
      <c r="R431">
        <f t="shared" si="976"/>
        <v>0</v>
      </c>
      <c r="S431">
        <f t="shared" si="977"/>
        <v>0</v>
      </c>
      <c r="T431">
        <f t="shared" si="978"/>
        <v>0</v>
      </c>
    </row>
    <row r="432" spans="1:20" x14ac:dyDescent="0.25">
      <c r="A432" s="5"/>
      <c r="C432"/>
      <c r="D432"/>
      <c r="P432">
        <f t="shared" si="974"/>
        <v>0</v>
      </c>
      <c r="Q432">
        <f t="shared" si="975"/>
        <v>0</v>
      </c>
      <c r="R432">
        <f t="shared" si="976"/>
        <v>0</v>
      </c>
      <c r="S432">
        <f t="shared" si="977"/>
        <v>0</v>
      </c>
      <c r="T432">
        <f t="shared" si="978"/>
        <v>0</v>
      </c>
    </row>
    <row r="433" spans="1:20" x14ac:dyDescent="0.25">
      <c r="A433" s="5"/>
      <c r="C433"/>
      <c r="D433"/>
      <c r="P433">
        <f t="shared" si="974"/>
        <v>0</v>
      </c>
      <c r="Q433">
        <f t="shared" si="975"/>
        <v>0</v>
      </c>
      <c r="R433">
        <f t="shared" si="976"/>
        <v>0</v>
      </c>
      <c r="S433">
        <f t="shared" si="977"/>
        <v>0</v>
      </c>
      <c r="T433">
        <f t="shared" si="978"/>
        <v>0</v>
      </c>
    </row>
    <row r="434" spans="1:20" x14ac:dyDescent="0.25">
      <c r="A434" s="5"/>
      <c r="C434"/>
      <c r="D434"/>
      <c r="P434">
        <f t="shared" si="974"/>
        <v>0</v>
      </c>
      <c r="Q434">
        <f t="shared" si="975"/>
        <v>0</v>
      </c>
      <c r="R434">
        <f t="shared" si="976"/>
        <v>0</v>
      </c>
      <c r="S434">
        <f t="shared" si="977"/>
        <v>0</v>
      </c>
      <c r="T434">
        <f t="shared" si="978"/>
        <v>0</v>
      </c>
    </row>
    <row r="435" spans="1:20" x14ac:dyDescent="0.25">
      <c r="A435" s="5"/>
      <c r="C435"/>
      <c r="D435"/>
      <c r="P435">
        <f t="shared" si="974"/>
        <v>0</v>
      </c>
      <c r="Q435">
        <f t="shared" si="975"/>
        <v>0</v>
      </c>
      <c r="R435">
        <f t="shared" si="976"/>
        <v>0</v>
      </c>
      <c r="S435">
        <f t="shared" si="977"/>
        <v>0</v>
      </c>
      <c r="T435">
        <f t="shared" si="978"/>
        <v>0</v>
      </c>
    </row>
    <row r="436" spans="1:20" x14ac:dyDescent="0.25">
      <c r="A436" s="5"/>
      <c r="C436"/>
      <c r="D436"/>
      <c r="P436">
        <f t="shared" si="974"/>
        <v>0</v>
      </c>
      <c r="Q436">
        <f t="shared" si="975"/>
        <v>0</v>
      </c>
      <c r="R436">
        <f t="shared" si="976"/>
        <v>0</v>
      </c>
      <c r="S436">
        <f t="shared" si="977"/>
        <v>0</v>
      </c>
      <c r="T436">
        <f t="shared" si="978"/>
        <v>0</v>
      </c>
    </row>
    <row r="437" spans="1:20" x14ac:dyDescent="0.25">
      <c r="A437" s="5"/>
      <c r="C437"/>
      <c r="D437"/>
      <c r="P437">
        <f t="shared" si="974"/>
        <v>0</v>
      </c>
      <c r="Q437">
        <f t="shared" si="975"/>
        <v>0</v>
      </c>
      <c r="R437">
        <f t="shared" si="976"/>
        <v>0</v>
      </c>
      <c r="S437">
        <f t="shared" si="977"/>
        <v>0</v>
      </c>
      <c r="T437">
        <f t="shared" si="978"/>
        <v>0</v>
      </c>
    </row>
    <row r="438" spans="1:20" x14ac:dyDescent="0.25">
      <c r="A438" s="5"/>
      <c r="C438"/>
      <c r="D438"/>
      <c r="P438">
        <f t="shared" si="974"/>
        <v>0</v>
      </c>
      <c r="Q438">
        <f t="shared" si="975"/>
        <v>0</v>
      </c>
      <c r="R438">
        <f t="shared" si="976"/>
        <v>0</v>
      </c>
      <c r="S438">
        <f t="shared" si="977"/>
        <v>0</v>
      </c>
      <c r="T438">
        <f t="shared" si="978"/>
        <v>0</v>
      </c>
    </row>
    <row r="439" spans="1:20" x14ac:dyDescent="0.25">
      <c r="A439" s="5"/>
      <c r="C439"/>
      <c r="D439"/>
      <c r="P439">
        <f t="shared" si="974"/>
        <v>0</v>
      </c>
      <c r="Q439">
        <f t="shared" si="975"/>
        <v>0</v>
      </c>
      <c r="R439">
        <f t="shared" si="976"/>
        <v>0</v>
      </c>
      <c r="S439">
        <f t="shared" si="977"/>
        <v>0</v>
      </c>
      <c r="T439">
        <f t="shared" si="978"/>
        <v>0</v>
      </c>
    </row>
    <row r="440" spans="1:20" x14ac:dyDescent="0.25">
      <c r="A440" s="5"/>
      <c r="C440"/>
      <c r="D440"/>
      <c r="P440">
        <f t="shared" si="974"/>
        <v>0</v>
      </c>
      <c r="Q440">
        <f t="shared" si="975"/>
        <v>0</v>
      </c>
      <c r="R440">
        <f t="shared" si="976"/>
        <v>0</v>
      </c>
      <c r="S440">
        <f t="shared" si="977"/>
        <v>0</v>
      </c>
      <c r="T440">
        <f t="shared" si="978"/>
        <v>0</v>
      </c>
    </row>
    <row r="441" spans="1:20" x14ac:dyDescent="0.25">
      <c r="A441" s="5"/>
      <c r="C441"/>
      <c r="D441"/>
      <c r="P441">
        <f t="shared" si="974"/>
        <v>0</v>
      </c>
      <c r="Q441">
        <f t="shared" si="975"/>
        <v>0</v>
      </c>
      <c r="R441">
        <f t="shared" si="976"/>
        <v>0</v>
      </c>
      <c r="S441">
        <f t="shared" si="977"/>
        <v>0</v>
      </c>
      <c r="T441">
        <f t="shared" si="978"/>
        <v>0</v>
      </c>
    </row>
    <row r="442" spans="1:20" x14ac:dyDescent="0.25">
      <c r="A442" s="5"/>
      <c r="C442"/>
      <c r="D442"/>
      <c r="P442">
        <f t="shared" si="974"/>
        <v>0</v>
      </c>
      <c r="Q442">
        <f t="shared" si="975"/>
        <v>0</v>
      </c>
      <c r="R442">
        <f t="shared" si="976"/>
        <v>0</v>
      </c>
      <c r="S442">
        <f t="shared" si="977"/>
        <v>0</v>
      </c>
      <c r="T442">
        <f t="shared" si="978"/>
        <v>0</v>
      </c>
    </row>
    <row r="443" spans="1:20" x14ac:dyDescent="0.25">
      <c r="A443" s="5"/>
      <c r="C443"/>
      <c r="D443"/>
      <c r="P443">
        <f t="shared" si="974"/>
        <v>0</v>
      </c>
      <c r="Q443">
        <f t="shared" si="975"/>
        <v>0</v>
      </c>
      <c r="R443">
        <f t="shared" si="976"/>
        <v>0</v>
      </c>
      <c r="S443">
        <f t="shared" si="977"/>
        <v>0</v>
      </c>
      <c r="T443">
        <f t="shared" si="978"/>
        <v>0</v>
      </c>
    </row>
    <row r="444" spans="1:20" x14ac:dyDescent="0.25">
      <c r="A444" s="5"/>
      <c r="C444"/>
      <c r="D444"/>
      <c r="P444">
        <f t="shared" si="974"/>
        <v>0</v>
      </c>
      <c r="Q444">
        <f t="shared" si="975"/>
        <v>0</v>
      </c>
      <c r="R444">
        <f t="shared" si="976"/>
        <v>0</v>
      </c>
      <c r="S444">
        <f t="shared" si="977"/>
        <v>0</v>
      </c>
      <c r="T444">
        <f t="shared" si="978"/>
        <v>0</v>
      </c>
    </row>
    <row r="445" spans="1:20" x14ac:dyDescent="0.25">
      <c r="A445" s="5"/>
      <c r="C445"/>
      <c r="D445"/>
      <c r="P445">
        <f t="shared" si="974"/>
        <v>0</v>
      </c>
      <c r="Q445">
        <f t="shared" si="975"/>
        <v>0</v>
      </c>
      <c r="R445">
        <f t="shared" si="976"/>
        <v>0</v>
      </c>
      <c r="S445">
        <f t="shared" si="977"/>
        <v>0</v>
      </c>
      <c r="T445">
        <f t="shared" si="978"/>
        <v>0</v>
      </c>
    </row>
    <row r="446" spans="1:20" x14ac:dyDescent="0.25">
      <c r="A446" s="5"/>
      <c r="C446"/>
      <c r="D446"/>
      <c r="P446">
        <f t="shared" si="974"/>
        <v>0</v>
      </c>
      <c r="Q446">
        <f t="shared" si="975"/>
        <v>0</v>
      </c>
      <c r="R446">
        <f t="shared" si="976"/>
        <v>0</v>
      </c>
      <c r="S446">
        <f t="shared" si="977"/>
        <v>0</v>
      </c>
      <c r="T446">
        <f t="shared" si="978"/>
        <v>0</v>
      </c>
    </row>
    <row r="447" spans="1:20" x14ac:dyDescent="0.25">
      <c r="A447" s="5"/>
      <c r="C447"/>
      <c r="D447"/>
      <c r="P447">
        <f t="shared" si="974"/>
        <v>0</v>
      </c>
      <c r="Q447">
        <f t="shared" si="975"/>
        <v>0</v>
      </c>
      <c r="R447">
        <f t="shared" si="976"/>
        <v>0</v>
      </c>
      <c r="S447">
        <f t="shared" si="977"/>
        <v>0</v>
      </c>
      <c r="T447">
        <f t="shared" si="978"/>
        <v>0</v>
      </c>
    </row>
    <row r="448" spans="1:20" x14ac:dyDescent="0.25">
      <c r="A448" s="5"/>
      <c r="C448"/>
      <c r="D448"/>
      <c r="P448">
        <f t="shared" si="974"/>
        <v>0</v>
      </c>
      <c r="Q448">
        <f t="shared" si="975"/>
        <v>0</v>
      </c>
      <c r="R448">
        <f t="shared" si="976"/>
        <v>0</v>
      </c>
      <c r="S448">
        <f t="shared" si="977"/>
        <v>0</v>
      </c>
      <c r="T448">
        <f t="shared" si="978"/>
        <v>0</v>
      </c>
    </row>
    <row r="449" spans="1:20" x14ac:dyDescent="0.25">
      <c r="A449" s="5"/>
      <c r="C449"/>
      <c r="D449"/>
      <c r="P449">
        <f t="shared" si="974"/>
        <v>0</v>
      </c>
      <c r="Q449">
        <f t="shared" si="975"/>
        <v>0</v>
      </c>
      <c r="R449">
        <f t="shared" si="976"/>
        <v>0</v>
      </c>
      <c r="S449">
        <f t="shared" si="977"/>
        <v>0</v>
      </c>
      <c r="T449">
        <f t="shared" si="978"/>
        <v>0</v>
      </c>
    </row>
    <row r="450" spans="1:20" x14ac:dyDescent="0.25">
      <c r="A450" s="5"/>
      <c r="C450"/>
      <c r="D450"/>
      <c r="P450">
        <f t="shared" si="974"/>
        <v>0</v>
      </c>
      <c r="Q450">
        <f t="shared" si="975"/>
        <v>0</v>
      </c>
      <c r="R450">
        <f t="shared" si="976"/>
        <v>0</v>
      </c>
      <c r="S450">
        <f t="shared" si="977"/>
        <v>0</v>
      </c>
      <c r="T450">
        <f t="shared" si="978"/>
        <v>0</v>
      </c>
    </row>
    <row r="451" spans="1:20" x14ac:dyDescent="0.25">
      <c r="A451" s="5"/>
      <c r="C451"/>
      <c r="D451"/>
      <c r="P451">
        <f t="shared" si="974"/>
        <v>0</v>
      </c>
      <c r="Q451">
        <f t="shared" si="975"/>
        <v>0</v>
      </c>
      <c r="R451">
        <f t="shared" si="976"/>
        <v>0</v>
      </c>
      <c r="S451">
        <f t="shared" si="977"/>
        <v>0</v>
      </c>
      <c r="T451">
        <f t="shared" si="978"/>
        <v>0</v>
      </c>
    </row>
    <row r="452" spans="1:20" x14ac:dyDescent="0.25">
      <c r="A452" s="5"/>
      <c r="C452"/>
      <c r="D452"/>
      <c r="P452">
        <f t="shared" si="974"/>
        <v>0</v>
      </c>
      <c r="Q452">
        <f t="shared" si="975"/>
        <v>0</v>
      </c>
      <c r="R452">
        <f t="shared" si="976"/>
        <v>0</v>
      </c>
      <c r="S452">
        <f t="shared" si="977"/>
        <v>0</v>
      </c>
      <c r="T452">
        <f t="shared" si="978"/>
        <v>0</v>
      </c>
    </row>
    <row r="453" spans="1:20" x14ac:dyDescent="0.25">
      <c r="A453" s="5"/>
      <c r="C453"/>
      <c r="D453"/>
      <c r="P453">
        <f t="shared" si="974"/>
        <v>0</v>
      </c>
      <c r="Q453">
        <f t="shared" si="975"/>
        <v>0</v>
      </c>
      <c r="R453">
        <f t="shared" si="976"/>
        <v>0</v>
      </c>
      <c r="S453">
        <f t="shared" si="977"/>
        <v>0</v>
      </c>
      <c r="T453">
        <f t="shared" si="978"/>
        <v>0</v>
      </c>
    </row>
    <row r="454" spans="1:20" x14ac:dyDescent="0.25">
      <c r="A454" s="5"/>
      <c r="C454"/>
      <c r="D454"/>
      <c r="P454">
        <f t="shared" ref="P454:P517" si="979">IF(C454=D454,0,((E454-D454)-(C454-E454))/(C454-D454))</f>
        <v>0</v>
      </c>
      <c r="Q454">
        <f t="shared" ref="Q454:Q517" si="980">F454*P454</f>
        <v>0</v>
      </c>
      <c r="R454">
        <f t="shared" ref="R454:R517" si="981">R455+Q454</f>
        <v>0</v>
      </c>
      <c r="S454">
        <f t="shared" ref="S454:S517" si="982">R454/100000</f>
        <v>0</v>
      </c>
      <c r="T454">
        <f t="shared" ref="T454:T517" si="983">S454/1000</f>
        <v>0</v>
      </c>
    </row>
    <row r="455" spans="1:20" x14ac:dyDescent="0.25">
      <c r="A455" s="5"/>
      <c r="C455"/>
      <c r="D455"/>
      <c r="P455">
        <f t="shared" si="979"/>
        <v>0</v>
      </c>
      <c r="Q455">
        <f t="shared" si="980"/>
        <v>0</v>
      </c>
      <c r="R455">
        <f t="shared" si="981"/>
        <v>0</v>
      </c>
      <c r="S455">
        <f t="shared" si="982"/>
        <v>0</v>
      </c>
      <c r="T455">
        <f t="shared" si="983"/>
        <v>0</v>
      </c>
    </row>
    <row r="456" spans="1:20" x14ac:dyDescent="0.25">
      <c r="A456" s="5"/>
      <c r="C456"/>
      <c r="D456"/>
      <c r="P456">
        <f t="shared" si="979"/>
        <v>0</v>
      </c>
      <c r="Q456">
        <f t="shared" si="980"/>
        <v>0</v>
      </c>
      <c r="R456">
        <f t="shared" si="981"/>
        <v>0</v>
      </c>
      <c r="S456">
        <f t="shared" si="982"/>
        <v>0</v>
      </c>
      <c r="T456">
        <f t="shared" si="983"/>
        <v>0</v>
      </c>
    </row>
    <row r="457" spans="1:20" x14ac:dyDescent="0.25">
      <c r="A457" s="5"/>
      <c r="C457"/>
      <c r="D457"/>
      <c r="P457">
        <f t="shared" si="979"/>
        <v>0</v>
      </c>
      <c r="Q457">
        <f t="shared" si="980"/>
        <v>0</v>
      </c>
      <c r="R457">
        <f t="shared" si="981"/>
        <v>0</v>
      </c>
      <c r="S457">
        <f t="shared" si="982"/>
        <v>0</v>
      </c>
      <c r="T457">
        <f t="shared" si="983"/>
        <v>0</v>
      </c>
    </row>
    <row r="458" spans="1:20" x14ac:dyDescent="0.25">
      <c r="A458" s="5"/>
      <c r="C458"/>
      <c r="D458"/>
      <c r="P458">
        <f t="shared" si="979"/>
        <v>0</v>
      </c>
      <c r="Q458">
        <f t="shared" si="980"/>
        <v>0</v>
      </c>
      <c r="R458">
        <f t="shared" si="981"/>
        <v>0</v>
      </c>
      <c r="S458">
        <f t="shared" si="982"/>
        <v>0</v>
      </c>
      <c r="T458">
        <f t="shared" si="983"/>
        <v>0</v>
      </c>
    </row>
    <row r="459" spans="1:20" x14ac:dyDescent="0.25">
      <c r="A459" s="5"/>
      <c r="C459"/>
      <c r="D459"/>
      <c r="P459">
        <f t="shared" si="979"/>
        <v>0</v>
      </c>
      <c r="Q459">
        <f t="shared" si="980"/>
        <v>0</v>
      </c>
      <c r="R459">
        <f t="shared" si="981"/>
        <v>0</v>
      </c>
      <c r="S459">
        <f t="shared" si="982"/>
        <v>0</v>
      </c>
      <c r="T459">
        <f t="shared" si="983"/>
        <v>0</v>
      </c>
    </row>
    <row r="460" spans="1:20" x14ac:dyDescent="0.25">
      <c r="A460" s="5"/>
      <c r="C460"/>
      <c r="D460"/>
      <c r="P460">
        <f t="shared" si="979"/>
        <v>0</v>
      </c>
      <c r="Q460">
        <f t="shared" si="980"/>
        <v>0</v>
      </c>
      <c r="R460">
        <f t="shared" si="981"/>
        <v>0</v>
      </c>
      <c r="S460">
        <f t="shared" si="982"/>
        <v>0</v>
      </c>
      <c r="T460">
        <f t="shared" si="983"/>
        <v>0</v>
      </c>
    </row>
    <row r="461" spans="1:20" x14ac:dyDescent="0.25">
      <c r="A461" s="5"/>
      <c r="C461"/>
      <c r="D461"/>
      <c r="P461">
        <f t="shared" si="979"/>
        <v>0</v>
      </c>
      <c r="Q461">
        <f t="shared" si="980"/>
        <v>0</v>
      </c>
      <c r="R461">
        <f t="shared" si="981"/>
        <v>0</v>
      </c>
      <c r="S461">
        <f t="shared" si="982"/>
        <v>0</v>
      </c>
      <c r="T461">
        <f t="shared" si="983"/>
        <v>0</v>
      </c>
    </row>
    <row r="462" spans="1:20" x14ac:dyDescent="0.25">
      <c r="A462" s="5"/>
      <c r="C462"/>
      <c r="D462"/>
      <c r="P462">
        <f t="shared" si="979"/>
        <v>0</v>
      </c>
      <c r="Q462">
        <f t="shared" si="980"/>
        <v>0</v>
      </c>
      <c r="R462">
        <f t="shared" si="981"/>
        <v>0</v>
      </c>
      <c r="S462">
        <f t="shared" si="982"/>
        <v>0</v>
      </c>
      <c r="T462">
        <f t="shared" si="983"/>
        <v>0</v>
      </c>
    </row>
    <row r="463" spans="1:20" x14ac:dyDescent="0.25">
      <c r="A463" s="5"/>
      <c r="C463"/>
      <c r="D463"/>
      <c r="P463">
        <f t="shared" si="979"/>
        <v>0</v>
      </c>
      <c r="Q463">
        <f t="shared" si="980"/>
        <v>0</v>
      </c>
      <c r="R463">
        <f t="shared" si="981"/>
        <v>0</v>
      </c>
      <c r="S463">
        <f t="shared" si="982"/>
        <v>0</v>
      </c>
      <c r="T463">
        <f t="shared" si="983"/>
        <v>0</v>
      </c>
    </row>
    <row r="464" spans="1:20" x14ac:dyDescent="0.25">
      <c r="A464" s="5"/>
      <c r="C464"/>
      <c r="D464"/>
      <c r="P464">
        <f t="shared" si="979"/>
        <v>0</v>
      </c>
      <c r="Q464">
        <f t="shared" si="980"/>
        <v>0</v>
      </c>
      <c r="R464">
        <f t="shared" si="981"/>
        <v>0</v>
      </c>
      <c r="S464">
        <f t="shared" si="982"/>
        <v>0</v>
      </c>
      <c r="T464">
        <f t="shared" si="983"/>
        <v>0</v>
      </c>
    </row>
    <row r="465" spans="1:20" x14ac:dyDescent="0.25">
      <c r="A465" s="5"/>
      <c r="C465"/>
      <c r="D465"/>
      <c r="P465">
        <f t="shared" si="979"/>
        <v>0</v>
      </c>
      <c r="Q465">
        <f t="shared" si="980"/>
        <v>0</v>
      </c>
      <c r="R465">
        <f t="shared" si="981"/>
        <v>0</v>
      </c>
      <c r="S465">
        <f t="shared" si="982"/>
        <v>0</v>
      </c>
      <c r="T465">
        <f t="shared" si="983"/>
        <v>0</v>
      </c>
    </row>
    <row r="466" spans="1:20" x14ac:dyDescent="0.25">
      <c r="A466" s="5"/>
      <c r="C466"/>
      <c r="D466"/>
      <c r="P466">
        <f t="shared" si="979"/>
        <v>0</v>
      </c>
      <c r="Q466">
        <f t="shared" si="980"/>
        <v>0</v>
      </c>
      <c r="R466">
        <f t="shared" si="981"/>
        <v>0</v>
      </c>
      <c r="S466">
        <f t="shared" si="982"/>
        <v>0</v>
      </c>
      <c r="T466">
        <f t="shared" si="983"/>
        <v>0</v>
      </c>
    </row>
    <row r="467" spans="1:20" x14ac:dyDescent="0.25">
      <c r="A467" s="5"/>
      <c r="C467"/>
      <c r="D467"/>
      <c r="P467">
        <f t="shared" si="979"/>
        <v>0</v>
      </c>
      <c r="Q467">
        <f t="shared" si="980"/>
        <v>0</v>
      </c>
      <c r="R467">
        <f t="shared" si="981"/>
        <v>0</v>
      </c>
      <c r="S467">
        <f t="shared" si="982"/>
        <v>0</v>
      </c>
      <c r="T467">
        <f t="shared" si="983"/>
        <v>0</v>
      </c>
    </row>
    <row r="468" spans="1:20" x14ac:dyDescent="0.25">
      <c r="A468" s="5"/>
      <c r="C468"/>
      <c r="D468"/>
      <c r="P468">
        <f t="shared" si="979"/>
        <v>0</v>
      </c>
      <c r="Q468">
        <f t="shared" si="980"/>
        <v>0</v>
      </c>
      <c r="R468">
        <f t="shared" si="981"/>
        <v>0</v>
      </c>
      <c r="S468">
        <f t="shared" si="982"/>
        <v>0</v>
      </c>
      <c r="T468">
        <f t="shared" si="983"/>
        <v>0</v>
      </c>
    </row>
    <row r="469" spans="1:20" x14ac:dyDescent="0.25">
      <c r="A469" s="5"/>
      <c r="C469"/>
      <c r="D469"/>
      <c r="P469">
        <f t="shared" si="979"/>
        <v>0</v>
      </c>
      <c r="Q469">
        <f t="shared" si="980"/>
        <v>0</v>
      </c>
      <c r="R469">
        <f t="shared" si="981"/>
        <v>0</v>
      </c>
      <c r="S469">
        <f t="shared" si="982"/>
        <v>0</v>
      </c>
      <c r="T469">
        <f t="shared" si="983"/>
        <v>0</v>
      </c>
    </row>
    <row r="470" spans="1:20" x14ac:dyDescent="0.25">
      <c r="A470" s="5"/>
      <c r="C470"/>
      <c r="D470"/>
      <c r="P470">
        <f t="shared" si="979"/>
        <v>0</v>
      </c>
      <c r="Q470">
        <f t="shared" si="980"/>
        <v>0</v>
      </c>
      <c r="R470">
        <f t="shared" si="981"/>
        <v>0</v>
      </c>
      <c r="S470">
        <f t="shared" si="982"/>
        <v>0</v>
      </c>
      <c r="T470">
        <f t="shared" si="983"/>
        <v>0</v>
      </c>
    </row>
    <row r="471" spans="1:20" x14ac:dyDescent="0.25">
      <c r="A471" s="5"/>
      <c r="C471"/>
      <c r="D471"/>
      <c r="P471">
        <f t="shared" si="979"/>
        <v>0</v>
      </c>
      <c r="Q471">
        <f t="shared" si="980"/>
        <v>0</v>
      </c>
      <c r="R471">
        <f t="shared" si="981"/>
        <v>0</v>
      </c>
      <c r="S471">
        <f t="shared" si="982"/>
        <v>0</v>
      </c>
      <c r="T471">
        <f t="shared" si="983"/>
        <v>0</v>
      </c>
    </row>
    <row r="472" spans="1:20" x14ac:dyDescent="0.25">
      <c r="A472" s="5"/>
      <c r="C472"/>
      <c r="D472"/>
      <c r="P472">
        <f t="shared" si="979"/>
        <v>0</v>
      </c>
      <c r="Q472">
        <f t="shared" si="980"/>
        <v>0</v>
      </c>
      <c r="R472">
        <f t="shared" si="981"/>
        <v>0</v>
      </c>
      <c r="S472">
        <f t="shared" si="982"/>
        <v>0</v>
      </c>
      <c r="T472">
        <f t="shared" si="983"/>
        <v>0</v>
      </c>
    </row>
    <row r="473" spans="1:20" x14ac:dyDescent="0.25">
      <c r="A473" s="5"/>
      <c r="C473"/>
      <c r="D473"/>
      <c r="P473">
        <f t="shared" si="979"/>
        <v>0</v>
      </c>
      <c r="Q473">
        <f t="shared" si="980"/>
        <v>0</v>
      </c>
      <c r="R473">
        <f t="shared" si="981"/>
        <v>0</v>
      </c>
      <c r="S473">
        <f t="shared" si="982"/>
        <v>0</v>
      </c>
      <c r="T473">
        <f t="shared" si="983"/>
        <v>0</v>
      </c>
    </row>
    <row r="474" spans="1:20" x14ac:dyDescent="0.25">
      <c r="A474" s="5"/>
      <c r="C474"/>
      <c r="D474"/>
      <c r="P474">
        <f t="shared" si="979"/>
        <v>0</v>
      </c>
      <c r="Q474">
        <f t="shared" si="980"/>
        <v>0</v>
      </c>
      <c r="R474">
        <f t="shared" si="981"/>
        <v>0</v>
      </c>
      <c r="S474">
        <f t="shared" si="982"/>
        <v>0</v>
      </c>
      <c r="T474">
        <f t="shared" si="983"/>
        <v>0</v>
      </c>
    </row>
    <row r="475" spans="1:20" x14ac:dyDescent="0.25">
      <c r="A475" s="5"/>
      <c r="C475"/>
      <c r="D475"/>
      <c r="P475">
        <f t="shared" si="979"/>
        <v>0</v>
      </c>
      <c r="Q475">
        <f t="shared" si="980"/>
        <v>0</v>
      </c>
      <c r="R475">
        <f t="shared" si="981"/>
        <v>0</v>
      </c>
      <c r="S475">
        <f t="shared" si="982"/>
        <v>0</v>
      </c>
      <c r="T475">
        <f t="shared" si="983"/>
        <v>0</v>
      </c>
    </row>
    <row r="476" spans="1:20" x14ac:dyDescent="0.25">
      <c r="A476" s="5"/>
      <c r="C476"/>
      <c r="D476"/>
      <c r="P476">
        <f t="shared" si="979"/>
        <v>0</v>
      </c>
      <c r="Q476">
        <f t="shared" si="980"/>
        <v>0</v>
      </c>
      <c r="R476">
        <f t="shared" si="981"/>
        <v>0</v>
      </c>
      <c r="S476">
        <f t="shared" si="982"/>
        <v>0</v>
      </c>
      <c r="T476">
        <f t="shared" si="983"/>
        <v>0</v>
      </c>
    </row>
    <row r="477" spans="1:20" x14ac:dyDescent="0.25">
      <c r="A477" s="5"/>
      <c r="C477"/>
      <c r="D477"/>
      <c r="P477">
        <f t="shared" si="979"/>
        <v>0</v>
      </c>
      <c r="Q477">
        <f t="shared" si="980"/>
        <v>0</v>
      </c>
      <c r="R477">
        <f t="shared" si="981"/>
        <v>0</v>
      </c>
      <c r="S477">
        <f t="shared" si="982"/>
        <v>0</v>
      </c>
      <c r="T477">
        <f t="shared" si="983"/>
        <v>0</v>
      </c>
    </row>
    <row r="478" spans="1:20" x14ac:dyDescent="0.25">
      <c r="A478" s="5"/>
      <c r="C478"/>
      <c r="D478"/>
      <c r="P478">
        <f t="shared" si="979"/>
        <v>0</v>
      </c>
      <c r="Q478">
        <f t="shared" si="980"/>
        <v>0</v>
      </c>
      <c r="R478">
        <f t="shared" si="981"/>
        <v>0</v>
      </c>
      <c r="S478">
        <f t="shared" si="982"/>
        <v>0</v>
      </c>
      <c r="T478">
        <f t="shared" si="983"/>
        <v>0</v>
      </c>
    </row>
    <row r="479" spans="1:20" x14ac:dyDescent="0.25">
      <c r="A479" s="5"/>
      <c r="C479"/>
      <c r="D479"/>
      <c r="P479">
        <f t="shared" si="979"/>
        <v>0</v>
      </c>
      <c r="Q479">
        <f t="shared" si="980"/>
        <v>0</v>
      </c>
      <c r="R479">
        <f t="shared" si="981"/>
        <v>0</v>
      </c>
      <c r="S479">
        <f t="shared" si="982"/>
        <v>0</v>
      </c>
      <c r="T479">
        <f t="shared" si="983"/>
        <v>0</v>
      </c>
    </row>
    <row r="480" spans="1:20" x14ac:dyDescent="0.25">
      <c r="A480" s="5"/>
      <c r="C480"/>
      <c r="D480"/>
      <c r="P480">
        <f t="shared" si="979"/>
        <v>0</v>
      </c>
      <c r="Q480">
        <f t="shared" si="980"/>
        <v>0</v>
      </c>
      <c r="R480">
        <f t="shared" si="981"/>
        <v>0</v>
      </c>
      <c r="S480">
        <f t="shared" si="982"/>
        <v>0</v>
      </c>
      <c r="T480">
        <f t="shared" si="983"/>
        <v>0</v>
      </c>
    </row>
    <row r="481" spans="1:20" x14ac:dyDescent="0.25">
      <c r="A481" s="5"/>
      <c r="C481"/>
      <c r="D481"/>
      <c r="P481">
        <f t="shared" si="979"/>
        <v>0</v>
      </c>
      <c r="Q481">
        <f t="shared" si="980"/>
        <v>0</v>
      </c>
      <c r="R481">
        <f t="shared" si="981"/>
        <v>0</v>
      </c>
      <c r="S481">
        <f t="shared" si="982"/>
        <v>0</v>
      </c>
      <c r="T481">
        <f t="shared" si="983"/>
        <v>0</v>
      </c>
    </row>
    <row r="482" spans="1:20" x14ac:dyDescent="0.25">
      <c r="A482" s="5"/>
      <c r="C482"/>
      <c r="D482"/>
      <c r="P482">
        <f t="shared" si="979"/>
        <v>0</v>
      </c>
      <c r="Q482">
        <f t="shared" si="980"/>
        <v>0</v>
      </c>
      <c r="R482">
        <f t="shared" si="981"/>
        <v>0</v>
      </c>
      <c r="S482">
        <f t="shared" si="982"/>
        <v>0</v>
      </c>
      <c r="T482">
        <f t="shared" si="983"/>
        <v>0</v>
      </c>
    </row>
    <row r="483" spans="1:20" x14ac:dyDescent="0.25">
      <c r="A483" s="5"/>
      <c r="C483"/>
      <c r="D483"/>
      <c r="P483">
        <f t="shared" si="979"/>
        <v>0</v>
      </c>
      <c r="Q483">
        <f t="shared" si="980"/>
        <v>0</v>
      </c>
      <c r="R483">
        <f t="shared" si="981"/>
        <v>0</v>
      </c>
      <c r="S483">
        <f t="shared" si="982"/>
        <v>0</v>
      </c>
      <c r="T483">
        <f t="shared" si="983"/>
        <v>0</v>
      </c>
    </row>
    <row r="484" spans="1:20" x14ac:dyDescent="0.25">
      <c r="A484" s="5"/>
      <c r="C484"/>
      <c r="D484"/>
      <c r="P484">
        <f t="shared" si="979"/>
        <v>0</v>
      </c>
      <c r="Q484">
        <f t="shared" si="980"/>
        <v>0</v>
      </c>
      <c r="R484">
        <f t="shared" si="981"/>
        <v>0</v>
      </c>
      <c r="S484">
        <f t="shared" si="982"/>
        <v>0</v>
      </c>
      <c r="T484">
        <f t="shared" si="983"/>
        <v>0</v>
      </c>
    </row>
    <row r="485" spans="1:20" x14ac:dyDescent="0.25">
      <c r="A485" s="5"/>
      <c r="C485"/>
      <c r="D485"/>
      <c r="P485">
        <f t="shared" si="979"/>
        <v>0</v>
      </c>
      <c r="Q485">
        <f t="shared" si="980"/>
        <v>0</v>
      </c>
      <c r="R485">
        <f t="shared" si="981"/>
        <v>0</v>
      </c>
      <c r="S485">
        <f t="shared" si="982"/>
        <v>0</v>
      </c>
      <c r="T485">
        <f t="shared" si="983"/>
        <v>0</v>
      </c>
    </row>
    <row r="486" spans="1:20" x14ac:dyDescent="0.25">
      <c r="A486" s="5"/>
      <c r="C486"/>
      <c r="D486"/>
      <c r="P486">
        <f t="shared" si="979"/>
        <v>0</v>
      </c>
      <c r="Q486">
        <f t="shared" si="980"/>
        <v>0</v>
      </c>
      <c r="R486">
        <f t="shared" si="981"/>
        <v>0</v>
      </c>
      <c r="S486">
        <f t="shared" si="982"/>
        <v>0</v>
      </c>
      <c r="T486">
        <f t="shared" si="983"/>
        <v>0</v>
      </c>
    </row>
    <row r="487" spans="1:20" x14ac:dyDescent="0.25">
      <c r="A487" s="5"/>
      <c r="C487"/>
      <c r="D487"/>
      <c r="P487">
        <f t="shared" si="979"/>
        <v>0</v>
      </c>
      <c r="Q487">
        <f t="shared" si="980"/>
        <v>0</v>
      </c>
      <c r="R487">
        <f t="shared" si="981"/>
        <v>0</v>
      </c>
      <c r="S487">
        <f t="shared" si="982"/>
        <v>0</v>
      </c>
      <c r="T487">
        <f t="shared" si="983"/>
        <v>0</v>
      </c>
    </row>
    <row r="488" spans="1:20" x14ac:dyDescent="0.25">
      <c r="A488" s="5"/>
      <c r="C488"/>
      <c r="D488"/>
      <c r="P488">
        <f t="shared" si="979"/>
        <v>0</v>
      </c>
      <c r="Q488">
        <f t="shared" si="980"/>
        <v>0</v>
      </c>
      <c r="R488">
        <f t="shared" si="981"/>
        <v>0</v>
      </c>
      <c r="S488">
        <f t="shared" si="982"/>
        <v>0</v>
      </c>
      <c r="T488">
        <f t="shared" si="983"/>
        <v>0</v>
      </c>
    </row>
    <row r="489" spans="1:20" x14ac:dyDescent="0.25">
      <c r="A489" s="5"/>
      <c r="C489"/>
      <c r="D489"/>
      <c r="P489">
        <f t="shared" si="979"/>
        <v>0</v>
      </c>
      <c r="Q489">
        <f t="shared" si="980"/>
        <v>0</v>
      </c>
      <c r="R489">
        <f t="shared" si="981"/>
        <v>0</v>
      </c>
      <c r="S489">
        <f t="shared" si="982"/>
        <v>0</v>
      </c>
      <c r="T489">
        <f t="shared" si="983"/>
        <v>0</v>
      </c>
    </row>
    <row r="490" spans="1:20" x14ac:dyDescent="0.25">
      <c r="A490" s="5"/>
      <c r="C490"/>
      <c r="D490"/>
      <c r="P490">
        <f t="shared" si="979"/>
        <v>0</v>
      </c>
      <c r="Q490">
        <f t="shared" si="980"/>
        <v>0</v>
      </c>
      <c r="R490">
        <f t="shared" si="981"/>
        <v>0</v>
      </c>
      <c r="S490">
        <f t="shared" si="982"/>
        <v>0</v>
      </c>
      <c r="T490">
        <f t="shared" si="983"/>
        <v>0</v>
      </c>
    </row>
    <row r="491" spans="1:20" x14ac:dyDescent="0.25">
      <c r="A491" s="5"/>
      <c r="C491"/>
      <c r="D491"/>
      <c r="P491">
        <f t="shared" si="979"/>
        <v>0</v>
      </c>
      <c r="Q491">
        <f t="shared" si="980"/>
        <v>0</v>
      </c>
      <c r="R491">
        <f t="shared" si="981"/>
        <v>0</v>
      </c>
      <c r="S491">
        <f t="shared" si="982"/>
        <v>0</v>
      </c>
      <c r="T491">
        <f t="shared" si="983"/>
        <v>0</v>
      </c>
    </row>
    <row r="492" spans="1:20" x14ac:dyDescent="0.25">
      <c r="A492" s="5"/>
      <c r="C492"/>
      <c r="D492"/>
      <c r="P492">
        <f t="shared" si="979"/>
        <v>0</v>
      </c>
      <c r="Q492">
        <f t="shared" si="980"/>
        <v>0</v>
      </c>
      <c r="R492">
        <f t="shared" si="981"/>
        <v>0</v>
      </c>
      <c r="S492">
        <f t="shared" si="982"/>
        <v>0</v>
      </c>
      <c r="T492">
        <f t="shared" si="983"/>
        <v>0</v>
      </c>
    </row>
    <row r="493" spans="1:20" x14ac:dyDescent="0.25">
      <c r="A493" s="5"/>
      <c r="C493"/>
      <c r="D493"/>
      <c r="P493">
        <f t="shared" si="979"/>
        <v>0</v>
      </c>
      <c r="Q493">
        <f t="shared" si="980"/>
        <v>0</v>
      </c>
      <c r="R493">
        <f t="shared" si="981"/>
        <v>0</v>
      </c>
      <c r="S493">
        <f t="shared" si="982"/>
        <v>0</v>
      </c>
      <c r="T493">
        <f t="shared" si="983"/>
        <v>0</v>
      </c>
    </row>
    <row r="494" spans="1:20" x14ac:dyDescent="0.25">
      <c r="A494" s="5"/>
      <c r="C494"/>
      <c r="D494"/>
      <c r="P494">
        <f t="shared" si="979"/>
        <v>0</v>
      </c>
      <c r="Q494">
        <f t="shared" si="980"/>
        <v>0</v>
      </c>
      <c r="R494">
        <f t="shared" si="981"/>
        <v>0</v>
      </c>
      <c r="S494">
        <f t="shared" si="982"/>
        <v>0</v>
      </c>
      <c r="T494">
        <f t="shared" si="983"/>
        <v>0</v>
      </c>
    </row>
    <row r="495" spans="1:20" x14ac:dyDescent="0.25">
      <c r="A495" s="5"/>
      <c r="C495"/>
      <c r="D495"/>
      <c r="P495">
        <f t="shared" si="979"/>
        <v>0</v>
      </c>
      <c r="Q495">
        <f t="shared" si="980"/>
        <v>0</v>
      </c>
      <c r="R495">
        <f t="shared" si="981"/>
        <v>0</v>
      </c>
      <c r="S495">
        <f t="shared" si="982"/>
        <v>0</v>
      </c>
      <c r="T495">
        <f t="shared" si="983"/>
        <v>0</v>
      </c>
    </row>
    <row r="496" spans="1:20" x14ac:dyDescent="0.25">
      <c r="A496" s="5"/>
      <c r="C496"/>
      <c r="D496"/>
      <c r="P496">
        <f t="shared" si="979"/>
        <v>0</v>
      </c>
      <c r="Q496">
        <f t="shared" si="980"/>
        <v>0</v>
      </c>
      <c r="R496">
        <f t="shared" si="981"/>
        <v>0</v>
      </c>
      <c r="S496">
        <f t="shared" si="982"/>
        <v>0</v>
      </c>
      <c r="T496">
        <f t="shared" si="983"/>
        <v>0</v>
      </c>
    </row>
    <row r="497" spans="1:20" x14ac:dyDescent="0.25">
      <c r="A497" s="5"/>
      <c r="C497"/>
      <c r="D497"/>
      <c r="P497">
        <f t="shared" si="979"/>
        <v>0</v>
      </c>
      <c r="Q497">
        <f t="shared" si="980"/>
        <v>0</v>
      </c>
      <c r="R497">
        <f t="shared" si="981"/>
        <v>0</v>
      </c>
      <c r="S497">
        <f t="shared" si="982"/>
        <v>0</v>
      </c>
      <c r="T497">
        <f t="shared" si="983"/>
        <v>0</v>
      </c>
    </row>
    <row r="498" spans="1:20" x14ac:dyDescent="0.25">
      <c r="A498" s="5"/>
      <c r="C498"/>
      <c r="D498"/>
      <c r="P498">
        <f t="shared" si="979"/>
        <v>0</v>
      </c>
      <c r="Q498">
        <f t="shared" si="980"/>
        <v>0</v>
      </c>
      <c r="R498">
        <f t="shared" si="981"/>
        <v>0</v>
      </c>
      <c r="S498">
        <f t="shared" si="982"/>
        <v>0</v>
      </c>
      <c r="T498">
        <f t="shared" si="983"/>
        <v>0</v>
      </c>
    </row>
    <row r="499" spans="1:20" x14ac:dyDescent="0.25">
      <c r="A499" s="5"/>
      <c r="C499"/>
      <c r="D499"/>
      <c r="P499">
        <f t="shared" si="979"/>
        <v>0</v>
      </c>
      <c r="Q499">
        <f t="shared" si="980"/>
        <v>0</v>
      </c>
      <c r="R499">
        <f t="shared" si="981"/>
        <v>0</v>
      </c>
      <c r="S499">
        <f t="shared" si="982"/>
        <v>0</v>
      </c>
      <c r="T499">
        <f t="shared" si="983"/>
        <v>0</v>
      </c>
    </row>
    <row r="500" spans="1:20" x14ac:dyDescent="0.25">
      <c r="A500" s="5"/>
      <c r="C500"/>
      <c r="D500"/>
      <c r="P500">
        <f t="shared" si="979"/>
        <v>0</v>
      </c>
      <c r="Q500">
        <f t="shared" si="980"/>
        <v>0</v>
      </c>
      <c r="R500">
        <f t="shared" si="981"/>
        <v>0</v>
      </c>
      <c r="S500">
        <f t="shared" si="982"/>
        <v>0</v>
      </c>
      <c r="T500">
        <f t="shared" si="983"/>
        <v>0</v>
      </c>
    </row>
    <row r="501" spans="1:20" x14ac:dyDescent="0.25">
      <c r="A501" s="5"/>
      <c r="C501"/>
      <c r="D501"/>
      <c r="P501">
        <f t="shared" si="979"/>
        <v>0</v>
      </c>
      <c r="Q501">
        <f t="shared" si="980"/>
        <v>0</v>
      </c>
      <c r="R501">
        <f t="shared" si="981"/>
        <v>0</v>
      </c>
      <c r="S501">
        <f t="shared" si="982"/>
        <v>0</v>
      </c>
      <c r="T501">
        <f t="shared" si="983"/>
        <v>0</v>
      </c>
    </row>
    <row r="502" spans="1:20" x14ac:dyDescent="0.25">
      <c r="A502" s="5"/>
      <c r="C502"/>
      <c r="D502"/>
      <c r="P502">
        <f t="shared" si="979"/>
        <v>0</v>
      </c>
      <c r="Q502">
        <f t="shared" si="980"/>
        <v>0</v>
      </c>
      <c r="R502">
        <f t="shared" si="981"/>
        <v>0</v>
      </c>
      <c r="S502">
        <f t="shared" si="982"/>
        <v>0</v>
      </c>
      <c r="T502">
        <f t="shared" si="983"/>
        <v>0</v>
      </c>
    </row>
    <row r="503" spans="1:20" x14ac:dyDescent="0.25">
      <c r="A503" s="5"/>
      <c r="C503"/>
      <c r="D503"/>
      <c r="P503">
        <f t="shared" si="979"/>
        <v>0</v>
      </c>
      <c r="Q503">
        <f t="shared" si="980"/>
        <v>0</v>
      </c>
      <c r="R503">
        <f t="shared" si="981"/>
        <v>0</v>
      </c>
      <c r="S503">
        <f t="shared" si="982"/>
        <v>0</v>
      </c>
      <c r="T503">
        <f t="shared" si="983"/>
        <v>0</v>
      </c>
    </row>
    <row r="504" spans="1:20" x14ac:dyDescent="0.25">
      <c r="A504" s="5"/>
      <c r="C504"/>
      <c r="D504"/>
      <c r="P504">
        <f t="shared" si="979"/>
        <v>0</v>
      </c>
      <c r="Q504">
        <f t="shared" si="980"/>
        <v>0</v>
      </c>
      <c r="R504">
        <f t="shared" si="981"/>
        <v>0</v>
      </c>
      <c r="S504">
        <f t="shared" si="982"/>
        <v>0</v>
      </c>
      <c r="T504">
        <f t="shared" si="983"/>
        <v>0</v>
      </c>
    </row>
    <row r="505" spans="1:20" x14ac:dyDescent="0.25">
      <c r="A505" s="5"/>
      <c r="C505"/>
      <c r="D505"/>
      <c r="P505">
        <f t="shared" si="979"/>
        <v>0</v>
      </c>
      <c r="Q505">
        <f t="shared" si="980"/>
        <v>0</v>
      </c>
      <c r="R505">
        <f t="shared" si="981"/>
        <v>0</v>
      </c>
      <c r="S505">
        <f t="shared" si="982"/>
        <v>0</v>
      </c>
      <c r="T505">
        <f t="shared" si="983"/>
        <v>0</v>
      </c>
    </row>
    <row r="506" spans="1:20" x14ac:dyDescent="0.25">
      <c r="A506" s="5"/>
      <c r="C506"/>
      <c r="D506"/>
      <c r="P506">
        <f t="shared" si="979"/>
        <v>0</v>
      </c>
      <c r="Q506">
        <f t="shared" si="980"/>
        <v>0</v>
      </c>
      <c r="R506">
        <f t="shared" si="981"/>
        <v>0</v>
      </c>
      <c r="S506">
        <f t="shared" si="982"/>
        <v>0</v>
      </c>
      <c r="T506">
        <f t="shared" si="983"/>
        <v>0</v>
      </c>
    </row>
    <row r="507" spans="1:20" x14ac:dyDescent="0.25">
      <c r="A507" s="5"/>
      <c r="C507"/>
      <c r="D507"/>
      <c r="P507">
        <f t="shared" si="979"/>
        <v>0</v>
      </c>
      <c r="Q507">
        <f t="shared" si="980"/>
        <v>0</v>
      </c>
      <c r="R507">
        <f t="shared" si="981"/>
        <v>0</v>
      </c>
      <c r="S507">
        <f t="shared" si="982"/>
        <v>0</v>
      </c>
      <c r="T507">
        <f t="shared" si="983"/>
        <v>0</v>
      </c>
    </row>
    <row r="508" spans="1:20" x14ac:dyDescent="0.25">
      <c r="A508" s="5"/>
      <c r="C508"/>
      <c r="D508"/>
      <c r="P508">
        <f t="shared" si="979"/>
        <v>0</v>
      </c>
      <c r="Q508">
        <f t="shared" si="980"/>
        <v>0</v>
      </c>
      <c r="R508">
        <f t="shared" si="981"/>
        <v>0</v>
      </c>
      <c r="S508">
        <f t="shared" si="982"/>
        <v>0</v>
      </c>
      <c r="T508">
        <f t="shared" si="983"/>
        <v>0</v>
      </c>
    </row>
    <row r="509" spans="1:20" x14ac:dyDescent="0.25">
      <c r="A509" s="5"/>
      <c r="C509"/>
      <c r="D509"/>
      <c r="P509">
        <f t="shared" si="979"/>
        <v>0</v>
      </c>
      <c r="Q509">
        <f t="shared" si="980"/>
        <v>0</v>
      </c>
      <c r="R509">
        <f t="shared" si="981"/>
        <v>0</v>
      </c>
      <c r="S509">
        <f t="shared" si="982"/>
        <v>0</v>
      </c>
      <c r="T509">
        <f t="shared" si="983"/>
        <v>0</v>
      </c>
    </row>
    <row r="510" spans="1:20" x14ac:dyDescent="0.25">
      <c r="A510" s="5"/>
      <c r="C510"/>
      <c r="D510"/>
      <c r="P510">
        <f t="shared" si="979"/>
        <v>0</v>
      </c>
      <c r="Q510">
        <f t="shared" si="980"/>
        <v>0</v>
      </c>
      <c r="R510">
        <f t="shared" si="981"/>
        <v>0</v>
      </c>
      <c r="S510">
        <f t="shared" si="982"/>
        <v>0</v>
      </c>
      <c r="T510">
        <f t="shared" si="983"/>
        <v>0</v>
      </c>
    </row>
    <row r="511" spans="1:20" x14ac:dyDescent="0.25">
      <c r="A511" s="5"/>
      <c r="C511"/>
      <c r="D511"/>
      <c r="P511">
        <f t="shared" si="979"/>
        <v>0</v>
      </c>
      <c r="Q511">
        <f t="shared" si="980"/>
        <v>0</v>
      </c>
      <c r="R511">
        <f t="shared" si="981"/>
        <v>0</v>
      </c>
      <c r="S511">
        <f t="shared" si="982"/>
        <v>0</v>
      </c>
      <c r="T511">
        <f t="shared" si="983"/>
        <v>0</v>
      </c>
    </row>
    <row r="512" spans="1:20" x14ac:dyDescent="0.25">
      <c r="A512" s="5"/>
      <c r="C512"/>
      <c r="D512"/>
      <c r="P512">
        <f t="shared" si="979"/>
        <v>0</v>
      </c>
      <c r="Q512">
        <f t="shared" si="980"/>
        <v>0</v>
      </c>
      <c r="R512">
        <f t="shared" si="981"/>
        <v>0</v>
      </c>
      <c r="S512">
        <f t="shared" si="982"/>
        <v>0</v>
      </c>
      <c r="T512">
        <f t="shared" si="983"/>
        <v>0</v>
      </c>
    </row>
    <row r="513" spans="1:20" x14ac:dyDescent="0.25">
      <c r="A513" s="5"/>
      <c r="C513"/>
      <c r="D513"/>
      <c r="P513">
        <f t="shared" si="979"/>
        <v>0</v>
      </c>
      <c r="Q513">
        <f t="shared" si="980"/>
        <v>0</v>
      </c>
      <c r="R513">
        <f t="shared" si="981"/>
        <v>0</v>
      </c>
      <c r="S513">
        <f t="shared" si="982"/>
        <v>0</v>
      </c>
      <c r="T513">
        <f t="shared" si="983"/>
        <v>0</v>
      </c>
    </row>
    <row r="514" spans="1:20" x14ac:dyDescent="0.25">
      <c r="A514" s="5"/>
      <c r="C514"/>
      <c r="D514"/>
      <c r="P514">
        <f t="shared" si="979"/>
        <v>0</v>
      </c>
      <c r="Q514">
        <f t="shared" si="980"/>
        <v>0</v>
      </c>
      <c r="R514">
        <f t="shared" si="981"/>
        <v>0</v>
      </c>
      <c r="S514">
        <f t="shared" si="982"/>
        <v>0</v>
      </c>
      <c r="T514">
        <f t="shared" si="983"/>
        <v>0</v>
      </c>
    </row>
    <row r="515" spans="1:20" x14ac:dyDescent="0.25">
      <c r="A515" s="5"/>
      <c r="C515"/>
      <c r="D515"/>
      <c r="P515">
        <f t="shared" si="979"/>
        <v>0</v>
      </c>
      <c r="Q515">
        <f t="shared" si="980"/>
        <v>0</v>
      </c>
      <c r="R515">
        <f t="shared" si="981"/>
        <v>0</v>
      </c>
      <c r="S515">
        <f t="shared" si="982"/>
        <v>0</v>
      </c>
      <c r="T515">
        <f t="shared" si="983"/>
        <v>0</v>
      </c>
    </row>
    <row r="516" spans="1:20" x14ac:dyDescent="0.25">
      <c r="A516" s="5"/>
      <c r="C516"/>
      <c r="D516"/>
      <c r="P516">
        <f t="shared" si="979"/>
        <v>0</v>
      </c>
      <c r="Q516">
        <f t="shared" si="980"/>
        <v>0</v>
      </c>
      <c r="R516">
        <f t="shared" si="981"/>
        <v>0</v>
      </c>
      <c r="S516">
        <f t="shared" si="982"/>
        <v>0</v>
      </c>
      <c r="T516">
        <f t="shared" si="983"/>
        <v>0</v>
      </c>
    </row>
    <row r="517" spans="1:20" x14ac:dyDescent="0.25">
      <c r="A517" s="5"/>
      <c r="C517"/>
      <c r="D517"/>
      <c r="P517">
        <f t="shared" si="979"/>
        <v>0</v>
      </c>
      <c r="Q517">
        <f t="shared" si="980"/>
        <v>0</v>
      </c>
      <c r="R517">
        <f t="shared" si="981"/>
        <v>0</v>
      </c>
      <c r="S517">
        <f t="shared" si="982"/>
        <v>0</v>
      </c>
      <c r="T517">
        <f t="shared" si="983"/>
        <v>0</v>
      </c>
    </row>
    <row r="518" spans="1:20" x14ac:dyDescent="0.25">
      <c r="A518" s="5"/>
      <c r="C518"/>
      <c r="D518"/>
      <c r="P518">
        <f t="shared" ref="P518:P581" si="984">IF(C518=D518,0,((E518-D518)-(C518-E518))/(C518-D518))</f>
        <v>0</v>
      </c>
      <c r="Q518">
        <f t="shared" ref="Q518:Q581" si="985">F518*P518</f>
        <v>0</v>
      </c>
      <c r="R518">
        <f t="shared" ref="R518:R581" si="986">R519+Q518</f>
        <v>0</v>
      </c>
      <c r="S518">
        <f t="shared" ref="S518:S581" si="987">R518/100000</f>
        <v>0</v>
      </c>
      <c r="T518">
        <f t="shared" ref="T518:T581" si="988">S518/1000</f>
        <v>0</v>
      </c>
    </row>
    <row r="519" spans="1:20" x14ac:dyDescent="0.25">
      <c r="A519" s="5"/>
      <c r="C519"/>
      <c r="D519"/>
      <c r="P519">
        <f t="shared" si="984"/>
        <v>0</v>
      </c>
      <c r="Q519">
        <f t="shared" si="985"/>
        <v>0</v>
      </c>
      <c r="R519">
        <f t="shared" si="986"/>
        <v>0</v>
      </c>
      <c r="S519">
        <f t="shared" si="987"/>
        <v>0</v>
      </c>
      <c r="T519">
        <f t="shared" si="988"/>
        <v>0</v>
      </c>
    </row>
    <row r="520" spans="1:20" x14ac:dyDescent="0.25">
      <c r="A520" s="5"/>
      <c r="C520"/>
      <c r="D520"/>
      <c r="P520">
        <f t="shared" si="984"/>
        <v>0</v>
      </c>
      <c r="Q520">
        <f t="shared" si="985"/>
        <v>0</v>
      </c>
      <c r="R520">
        <f t="shared" si="986"/>
        <v>0</v>
      </c>
      <c r="S520">
        <f t="shared" si="987"/>
        <v>0</v>
      </c>
      <c r="T520">
        <f t="shared" si="988"/>
        <v>0</v>
      </c>
    </row>
    <row r="521" spans="1:20" x14ac:dyDescent="0.25">
      <c r="A521" s="5"/>
      <c r="C521"/>
      <c r="D521"/>
      <c r="P521">
        <f t="shared" si="984"/>
        <v>0</v>
      </c>
      <c r="Q521">
        <f t="shared" si="985"/>
        <v>0</v>
      </c>
      <c r="R521">
        <f t="shared" si="986"/>
        <v>0</v>
      </c>
      <c r="S521">
        <f t="shared" si="987"/>
        <v>0</v>
      </c>
      <c r="T521">
        <f t="shared" si="988"/>
        <v>0</v>
      </c>
    </row>
    <row r="522" spans="1:20" x14ac:dyDescent="0.25">
      <c r="A522" s="5"/>
      <c r="C522"/>
      <c r="D522"/>
      <c r="P522">
        <f t="shared" si="984"/>
        <v>0</v>
      </c>
      <c r="Q522">
        <f t="shared" si="985"/>
        <v>0</v>
      </c>
      <c r="R522">
        <f t="shared" si="986"/>
        <v>0</v>
      </c>
      <c r="S522">
        <f t="shared" si="987"/>
        <v>0</v>
      </c>
      <c r="T522">
        <f t="shared" si="988"/>
        <v>0</v>
      </c>
    </row>
    <row r="523" spans="1:20" x14ac:dyDescent="0.25">
      <c r="A523" s="5"/>
      <c r="C523"/>
      <c r="D523"/>
      <c r="P523">
        <f t="shared" si="984"/>
        <v>0</v>
      </c>
      <c r="Q523">
        <f t="shared" si="985"/>
        <v>0</v>
      </c>
      <c r="R523">
        <f t="shared" si="986"/>
        <v>0</v>
      </c>
      <c r="S523">
        <f t="shared" si="987"/>
        <v>0</v>
      </c>
      <c r="T523">
        <f t="shared" si="988"/>
        <v>0</v>
      </c>
    </row>
    <row r="524" spans="1:20" x14ac:dyDescent="0.25">
      <c r="A524" s="5"/>
      <c r="C524"/>
      <c r="D524"/>
      <c r="P524">
        <f t="shared" si="984"/>
        <v>0</v>
      </c>
      <c r="Q524">
        <f t="shared" si="985"/>
        <v>0</v>
      </c>
      <c r="R524">
        <f t="shared" si="986"/>
        <v>0</v>
      </c>
      <c r="S524">
        <f t="shared" si="987"/>
        <v>0</v>
      </c>
      <c r="T524">
        <f t="shared" si="988"/>
        <v>0</v>
      </c>
    </row>
    <row r="525" spans="1:20" x14ac:dyDescent="0.25">
      <c r="A525" s="5"/>
      <c r="C525"/>
      <c r="D525"/>
      <c r="P525">
        <f t="shared" si="984"/>
        <v>0</v>
      </c>
      <c r="Q525">
        <f t="shared" si="985"/>
        <v>0</v>
      </c>
      <c r="R525">
        <f t="shared" si="986"/>
        <v>0</v>
      </c>
      <c r="S525">
        <f t="shared" si="987"/>
        <v>0</v>
      </c>
      <c r="T525">
        <f t="shared" si="988"/>
        <v>0</v>
      </c>
    </row>
    <row r="526" spans="1:20" x14ac:dyDescent="0.25">
      <c r="A526" s="5"/>
      <c r="C526"/>
      <c r="D526"/>
      <c r="P526">
        <f t="shared" si="984"/>
        <v>0</v>
      </c>
      <c r="Q526">
        <f t="shared" si="985"/>
        <v>0</v>
      </c>
      <c r="R526">
        <f t="shared" si="986"/>
        <v>0</v>
      </c>
      <c r="S526">
        <f t="shared" si="987"/>
        <v>0</v>
      </c>
      <c r="T526">
        <f t="shared" si="988"/>
        <v>0</v>
      </c>
    </row>
    <row r="527" spans="1:20" x14ac:dyDescent="0.25">
      <c r="A527" s="5"/>
      <c r="C527"/>
      <c r="D527"/>
      <c r="P527">
        <f t="shared" si="984"/>
        <v>0</v>
      </c>
      <c r="Q527">
        <f t="shared" si="985"/>
        <v>0</v>
      </c>
      <c r="R527">
        <f t="shared" si="986"/>
        <v>0</v>
      </c>
      <c r="S527">
        <f t="shared" si="987"/>
        <v>0</v>
      </c>
      <c r="T527">
        <f t="shared" si="988"/>
        <v>0</v>
      </c>
    </row>
    <row r="528" spans="1:20" x14ac:dyDescent="0.25">
      <c r="A528" s="5"/>
      <c r="C528"/>
      <c r="D528"/>
      <c r="P528">
        <f t="shared" si="984"/>
        <v>0</v>
      </c>
      <c r="Q528">
        <f t="shared" si="985"/>
        <v>0</v>
      </c>
      <c r="R528">
        <f t="shared" si="986"/>
        <v>0</v>
      </c>
      <c r="S528">
        <f t="shared" si="987"/>
        <v>0</v>
      </c>
      <c r="T528">
        <f t="shared" si="988"/>
        <v>0</v>
      </c>
    </row>
    <row r="529" spans="1:20" x14ac:dyDescent="0.25">
      <c r="A529" s="5"/>
      <c r="C529"/>
      <c r="D529"/>
      <c r="P529">
        <f t="shared" si="984"/>
        <v>0</v>
      </c>
      <c r="Q529">
        <f t="shared" si="985"/>
        <v>0</v>
      </c>
      <c r="R529">
        <f t="shared" si="986"/>
        <v>0</v>
      </c>
      <c r="S529">
        <f t="shared" si="987"/>
        <v>0</v>
      </c>
      <c r="T529">
        <f t="shared" si="988"/>
        <v>0</v>
      </c>
    </row>
    <row r="530" spans="1:20" x14ac:dyDescent="0.25">
      <c r="A530" s="5"/>
      <c r="C530"/>
      <c r="D530"/>
      <c r="P530">
        <f t="shared" si="984"/>
        <v>0</v>
      </c>
      <c r="Q530">
        <f t="shared" si="985"/>
        <v>0</v>
      </c>
      <c r="R530">
        <f t="shared" si="986"/>
        <v>0</v>
      </c>
      <c r="S530">
        <f t="shared" si="987"/>
        <v>0</v>
      </c>
      <c r="T530">
        <f t="shared" si="988"/>
        <v>0</v>
      </c>
    </row>
    <row r="531" spans="1:20" x14ac:dyDescent="0.25">
      <c r="A531" s="5"/>
      <c r="C531"/>
      <c r="D531"/>
      <c r="P531">
        <f t="shared" si="984"/>
        <v>0</v>
      </c>
      <c r="Q531">
        <f t="shared" si="985"/>
        <v>0</v>
      </c>
      <c r="R531">
        <f t="shared" si="986"/>
        <v>0</v>
      </c>
      <c r="S531">
        <f t="shared" si="987"/>
        <v>0</v>
      </c>
      <c r="T531">
        <f t="shared" si="988"/>
        <v>0</v>
      </c>
    </row>
    <row r="532" spans="1:20" x14ac:dyDescent="0.25">
      <c r="A532" s="5"/>
      <c r="C532"/>
      <c r="D532"/>
      <c r="P532">
        <f t="shared" si="984"/>
        <v>0</v>
      </c>
      <c r="Q532">
        <f t="shared" si="985"/>
        <v>0</v>
      </c>
      <c r="R532">
        <f t="shared" si="986"/>
        <v>0</v>
      </c>
      <c r="S532">
        <f t="shared" si="987"/>
        <v>0</v>
      </c>
      <c r="T532">
        <f t="shared" si="988"/>
        <v>0</v>
      </c>
    </row>
    <row r="533" spans="1:20" x14ac:dyDescent="0.25">
      <c r="A533" s="5"/>
      <c r="C533"/>
      <c r="D533"/>
      <c r="P533">
        <f t="shared" si="984"/>
        <v>0</v>
      </c>
      <c r="Q533">
        <f t="shared" si="985"/>
        <v>0</v>
      </c>
      <c r="R533">
        <f t="shared" si="986"/>
        <v>0</v>
      </c>
      <c r="S533">
        <f t="shared" si="987"/>
        <v>0</v>
      </c>
      <c r="T533">
        <f t="shared" si="988"/>
        <v>0</v>
      </c>
    </row>
    <row r="534" spans="1:20" x14ac:dyDescent="0.25">
      <c r="A534" s="5"/>
      <c r="C534"/>
      <c r="D534"/>
      <c r="P534">
        <f t="shared" si="984"/>
        <v>0</v>
      </c>
      <c r="Q534">
        <f t="shared" si="985"/>
        <v>0</v>
      </c>
      <c r="R534">
        <f t="shared" si="986"/>
        <v>0</v>
      </c>
      <c r="S534">
        <f t="shared" si="987"/>
        <v>0</v>
      </c>
      <c r="T534">
        <f t="shared" si="988"/>
        <v>0</v>
      </c>
    </row>
    <row r="535" spans="1:20" x14ac:dyDescent="0.25">
      <c r="A535" s="5"/>
      <c r="C535"/>
      <c r="D535"/>
      <c r="P535">
        <f t="shared" si="984"/>
        <v>0</v>
      </c>
      <c r="Q535">
        <f t="shared" si="985"/>
        <v>0</v>
      </c>
      <c r="R535">
        <f t="shared" si="986"/>
        <v>0</v>
      </c>
      <c r="S535">
        <f t="shared" si="987"/>
        <v>0</v>
      </c>
      <c r="T535">
        <f t="shared" si="988"/>
        <v>0</v>
      </c>
    </row>
    <row r="536" spans="1:20" x14ac:dyDescent="0.25">
      <c r="A536" s="5"/>
      <c r="C536"/>
      <c r="D536"/>
      <c r="P536">
        <f t="shared" si="984"/>
        <v>0</v>
      </c>
      <c r="Q536">
        <f t="shared" si="985"/>
        <v>0</v>
      </c>
      <c r="R536">
        <f t="shared" si="986"/>
        <v>0</v>
      </c>
      <c r="S536">
        <f t="shared" si="987"/>
        <v>0</v>
      </c>
      <c r="T536">
        <f t="shared" si="988"/>
        <v>0</v>
      </c>
    </row>
    <row r="537" spans="1:20" x14ac:dyDescent="0.25">
      <c r="A537" s="5"/>
      <c r="C537"/>
      <c r="D537"/>
      <c r="P537">
        <f t="shared" si="984"/>
        <v>0</v>
      </c>
      <c r="Q537">
        <f t="shared" si="985"/>
        <v>0</v>
      </c>
      <c r="R537">
        <f t="shared" si="986"/>
        <v>0</v>
      </c>
      <c r="S537">
        <f t="shared" si="987"/>
        <v>0</v>
      </c>
      <c r="T537">
        <f t="shared" si="988"/>
        <v>0</v>
      </c>
    </row>
    <row r="538" spans="1:20" x14ac:dyDescent="0.25">
      <c r="A538" s="5"/>
      <c r="C538"/>
      <c r="D538"/>
      <c r="P538">
        <f t="shared" si="984"/>
        <v>0</v>
      </c>
      <c r="Q538">
        <f t="shared" si="985"/>
        <v>0</v>
      </c>
      <c r="R538">
        <f t="shared" si="986"/>
        <v>0</v>
      </c>
      <c r="S538">
        <f t="shared" si="987"/>
        <v>0</v>
      </c>
      <c r="T538">
        <f t="shared" si="988"/>
        <v>0</v>
      </c>
    </row>
    <row r="539" spans="1:20" x14ac:dyDescent="0.25">
      <c r="A539" s="5"/>
      <c r="C539"/>
      <c r="D539"/>
      <c r="P539">
        <f t="shared" si="984"/>
        <v>0</v>
      </c>
      <c r="Q539">
        <f t="shared" si="985"/>
        <v>0</v>
      </c>
      <c r="R539">
        <f t="shared" si="986"/>
        <v>0</v>
      </c>
      <c r="S539">
        <f t="shared" si="987"/>
        <v>0</v>
      </c>
      <c r="T539">
        <f t="shared" si="988"/>
        <v>0</v>
      </c>
    </row>
    <row r="540" spans="1:20" x14ac:dyDescent="0.25">
      <c r="A540" s="5"/>
      <c r="C540"/>
      <c r="D540"/>
      <c r="P540">
        <f t="shared" si="984"/>
        <v>0</v>
      </c>
      <c r="Q540">
        <f t="shared" si="985"/>
        <v>0</v>
      </c>
      <c r="R540">
        <f t="shared" si="986"/>
        <v>0</v>
      </c>
      <c r="S540">
        <f t="shared" si="987"/>
        <v>0</v>
      </c>
      <c r="T540">
        <f t="shared" si="988"/>
        <v>0</v>
      </c>
    </row>
    <row r="541" spans="1:20" x14ac:dyDescent="0.25">
      <c r="A541" s="5"/>
      <c r="C541"/>
      <c r="D541"/>
      <c r="P541">
        <f t="shared" si="984"/>
        <v>0</v>
      </c>
      <c r="Q541">
        <f t="shared" si="985"/>
        <v>0</v>
      </c>
      <c r="R541">
        <f t="shared" si="986"/>
        <v>0</v>
      </c>
      <c r="S541">
        <f t="shared" si="987"/>
        <v>0</v>
      </c>
      <c r="T541">
        <f t="shared" si="988"/>
        <v>0</v>
      </c>
    </row>
    <row r="542" spans="1:20" x14ac:dyDescent="0.25">
      <c r="A542" s="5"/>
      <c r="C542"/>
      <c r="D542"/>
      <c r="P542">
        <f t="shared" si="984"/>
        <v>0</v>
      </c>
      <c r="Q542">
        <f t="shared" si="985"/>
        <v>0</v>
      </c>
      <c r="R542">
        <f t="shared" si="986"/>
        <v>0</v>
      </c>
      <c r="S542">
        <f t="shared" si="987"/>
        <v>0</v>
      </c>
      <c r="T542">
        <f t="shared" si="988"/>
        <v>0</v>
      </c>
    </row>
    <row r="543" spans="1:20" x14ac:dyDescent="0.25">
      <c r="A543" s="5"/>
      <c r="C543"/>
      <c r="D543"/>
      <c r="P543">
        <f t="shared" si="984"/>
        <v>0</v>
      </c>
      <c r="Q543">
        <f t="shared" si="985"/>
        <v>0</v>
      </c>
      <c r="R543">
        <f t="shared" si="986"/>
        <v>0</v>
      </c>
      <c r="S543">
        <f t="shared" si="987"/>
        <v>0</v>
      </c>
      <c r="T543">
        <f t="shared" si="988"/>
        <v>0</v>
      </c>
    </row>
    <row r="544" spans="1:20" x14ac:dyDescent="0.25">
      <c r="A544" s="5"/>
      <c r="C544"/>
      <c r="D544"/>
      <c r="P544">
        <f t="shared" si="984"/>
        <v>0</v>
      </c>
      <c r="Q544">
        <f t="shared" si="985"/>
        <v>0</v>
      </c>
      <c r="R544">
        <f t="shared" si="986"/>
        <v>0</v>
      </c>
      <c r="S544">
        <f t="shared" si="987"/>
        <v>0</v>
      </c>
      <c r="T544">
        <f t="shared" si="988"/>
        <v>0</v>
      </c>
    </row>
    <row r="545" spans="1:20" x14ac:dyDescent="0.25">
      <c r="A545" s="5"/>
      <c r="C545"/>
      <c r="D545"/>
      <c r="P545">
        <f t="shared" si="984"/>
        <v>0</v>
      </c>
      <c r="Q545">
        <f t="shared" si="985"/>
        <v>0</v>
      </c>
      <c r="R545">
        <f t="shared" si="986"/>
        <v>0</v>
      </c>
      <c r="S545">
        <f t="shared" si="987"/>
        <v>0</v>
      </c>
      <c r="T545">
        <f t="shared" si="988"/>
        <v>0</v>
      </c>
    </row>
    <row r="546" spans="1:20" x14ac:dyDescent="0.25">
      <c r="A546" s="5"/>
      <c r="C546"/>
      <c r="D546"/>
      <c r="P546">
        <f t="shared" si="984"/>
        <v>0</v>
      </c>
      <c r="Q546">
        <f t="shared" si="985"/>
        <v>0</v>
      </c>
      <c r="R546">
        <f t="shared" si="986"/>
        <v>0</v>
      </c>
      <c r="S546">
        <f t="shared" si="987"/>
        <v>0</v>
      </c>
      <c r="T546">
        <f t="shared" si="988"/>
        <v>0</v>
      </c>
    </row>
    <row r="547" spans="1:20" x14ac:dyDescent="0.25">
      <c r="A547" s="5"/>
      <c r="C547"/>
      <c r="D547"/>
      <c r="P547">
        <f t="shared" si="984"/>
        <v>0</v>
      </c>
      <c r="Q547">
        <f t="shared" si="985"/>
        <v>0</v>
      </c>
      <c r="R547">
        <f t="shared" si="986"/>
        <v>0</v>
      </c>
      <c r="S547">
        <f t="shared" si="987"/>
        <v>0</v>
      </c>
      <c r="T547">
        <f t="shared" si="988"/>
        <v>0</v>
      </c>
    </row>
    <row r="548" spans="1:20" x14ac:dyDescent="0.25">
      <c r="A548" s="5"/>
      <c r="C548"/>
      <c r="D548"/>
      <c r="P548">
        <f t="shared" si="984"/>
        <v>0</v>
      </c>
      <c r="Q548">
        <f t="shared" si="985"/>
        <v>0</v>
      </c>
      <c r="R548">
        <f t="shared" si="986"/>
        <v>0</v>
      </c>
      <c r="S548">
        <f t="shared" si="987"/>
        <v>0</v>
      </c>
      <c r="T548">
        <f t="shared" si="988"/>
        <v>0</v>
      </c>
    </row>
    <row r="549" spans="1:20" x14ac:dyDescent="0.25">
      <c r="A549" s="5"/>
      <c r="P549">
        <f t="shared" si="984"/>
        <v>0</v>
      </c>
      <c r="Q549">
        <f t="shared" si="985"/>
        <v>0</v>
      </c>
      <c r="R549">
        <f t="shared" si="986"/>
        <v>0</v>
      </c>
      <c r="S549">
        <f t="shared" si="987"/>
        <v>0</v>
      </c>
      <c r="T549">
        <f t="shared" si="988"/>
        <v>0</v>
      </c>
    </row>
    <row r="550" spans="1:20" x14ac:dyDescent="0.25">
      <c r="A550" s="5"/>
      <c r="P550">
        <f t="shared" si="984"/>
        <v>0</v>
      </c>
      <c r="Q550">
        <f t="shared" si="985"/>
        <v>0</v>
      </c>
      <c r="R550">
        <f t="shared" si="986"/>
        <v>0</v>
      </c>
      <c r="S550">
        <f t="shared" si="987"/>
        <v>0</v>
      </c>
      <c r="T550">
        <f t="shared" si="988"/>
        <v>0</v>
      </c>
    </row>
    <row r="551" spans="1:20" x14ac:dyDescent="0.25">
      <c r="A551" s="5"/>
      <c r="P551">
        <f t="shared" si="984"/>
        <v>0</v>
      </c>
      <c r="Q551">
        <f t="shared" si="985"/>
        <v>0</v>
      </c>
      <c r="R551">
        <f t="shared" si="986"/>
        <v>0</v>
      </c>
      <c r="S551">
        <f t="shared" si="987"/>
        <v>0</v>
      </c>
      <c r="T551">
        <f t="shared" si="988"/>
        <v>0</v>
      </c>
    </row>
    <row r="552" spans="1:20" x14ac:dyDescent="0.25">
      <c r="A552" s="5"/>
      <c r="P552">
        <f t="shared" si="984"/>
        <v>0</v>
      </c>
      <c r="Q552">
        <f t="shared" si="985"/>
        <v>0</v>
      </c>
      <c r="R552">
        <f t="shared" si="986"/>
        <v>0</v>
      </c>
      <c r="S552">
        <f t="shared" si="987"/>
        <v>0</v>
      </c>
      <c r="T552">
        <f t="shared" si="988"/>
        <v>0</v>
      </c>
    </row>
    <row r="553" spans="1:20" x14ac:dyDescent="0.25">
      <c r="A553" s="5"/>
      <c r="P553">
        <f t="shared" si="984"/>
        <v>0</v>
      </c>
      <c r="Q553">
        <f t="shared" si="985"/>
        <v>0</v>
      </c>
      <c r="R553">
        <f t="shared" si="986"/>
        <v>0</v>
      </c>
      <c r="S553">
        <f t="shared" si="987"/>
        <v>0</v>
      </c>
      <c r="T553">
        <f t="shared" si="988"/>
        <v>0</v>
      </c>
    </row>
    <row r="554" spans="1:20" x14ac:dyDescent="0.25">
      <c r="A554" s="5"/>
      <c r="P554">
        <f t="shared" si="984"/>
        <v>0</v>
      </c>
      <c r="Q554">
        <f t="shared" si="985"/>
        <v>0</v>
      </c>
      <c r="R554">
        <f t="shared" si="986"/>
        <v>0</v>
      </c>
      <c r="S554">
        <f t="shared" si="987"/>
        <v>0</v>
      </c>
      <c r="T554">
        <f t="shared" si="988"/>
        <v>0</v>
      </c>
    </row>
    <row r="555" spans="1:20" x14ac:dyDescent="0.25">
      <c r="A555" s="5"/>
      <c r="P555">
        <f t="shared" si="984"/>
        <v>0</v>
      </c>
      <c r="Q555">
        <f t="shared" si="985"/>
        <v>0</v>
      </c>
      <c r="R555">
        <f t="shared" si="986"/>
        <v>0</v>
      </c>
      <c r="S555">
        <f t="shared" si="987"/>
        <v>0</v>
      </c>
      <c r="T555">
        <f t="shared" si="988"/>
        <v>0</v>
      </c>
    </row>
    <row r="556" spans="1:20" x14ac:dyDescent="0.25">
      <c r="A556" s="5"/>
      <c r="P556">
        <f t="shared" si="984"/>
        <v>0</v>
      </c>
      <c r="Q556">
        <f t="shared" si="985"/>
        <v>0</v>
      </c>
      <c r="R556">
        <f t="shared" si="986"/>
        <v>0</v>
      </c>
      <c r="S556">
        <f t="shared" si="987"/>
        <v>0</v>
      </c>
      <c r="T556">
        <f t="shared" si="988"/>
        <v>0</v>
      </c>
    </row>
    <row r="557" spans="1:20" x14ac:dyDescent="0.25">
      <c r="A557" s="5"/>
      <c r="P557">
        <f t="shared" si="984"/>
        <v>0</v>
      </c>
      <c r="Q557">
        <f t="shared" si="985"/>
        <v>0</v>
      </c>
      <c r="R557">
        <f t="shared" si="986"/>
        <v>0</v>
      </c>
      <c r="S557">
        <f t="shared" si="987"/>
        <v>0</v>
      </c>
      <c r="T557">
        <f t="shared" si="988"/>
        <v>0</v>
      </c>
    </row>
    <row r="558" spans="1:20" x14ac:dyDescent="0.25">
      <c r="A558" s="5"/>
      <c r="P558">
        <f t="shared" si="984"/>
        <v>0</v>
      </c>
      <c r="Q558">
        <f t="shared" si="985"/>
        <v>0</v>
      </c>
      <c r="R558">
        <f t="shared" si="986"/>
        <v>0</v>
      </c>
      <c r="S558">
        <f t="shared" si="987"/>
        <v>0</v>
      </c>
      <c r="T558">
        <f t="shared" si="988"/>
        <v>0</v>
      </c>
    </row>
    <row r="559" spans="1:20" x14ac:dyDescent="0.25">
      <c r="A559" s="5"/>
      <c r="P559">
        <f t="shared" si="984"/>
        <v>0</v>
      </c>
      <c r="Q559">
        <f t="shared" si="985"/>
        <v>0</v>
      </c>
      <c r="R559">
        <f t="shared" si="986"/>
        <v>0</v>
      </c>
      <c r="S559">
        <f t="shared" si="987"/>
        <v>0</v>
      </c>
      <c r="T559">
        <f t="shared" si="988"/>
        <v>0</v>
      </c>
    </row>
    <row r="560" spans="1:20" x14ac:dyDescent="0.25">
      <c r="A560" s="5"/>
      <c r="P560">
        <f t="shared" si="984"/>
        <v>0</v>
      </c>
      <c r="Q560">
        <f t="shared" si="985"/>
        <v>0</v>
      </c>
      <c r="R560">
        <f t="shared" si="986"/>
        <v>0</v>
      </c>
      <c r="S560">
        <f t="shared" si="987"/>
        <v>0</v>
      </c>
      <c r="T560">
        <f t="shared" si="988"/>
        <v>0</v>
      </c>
    </row>
    <row r="561" spans="1:104" x14ac:dyDescent="0.25">
      <c r="A561" s="5"/>
      <c r="P561">
        <f t="shared" si="984"/>
        <v>0</v>
      </c>
      <c r="Q561">
        <f t="shared" si="985"/>
        <v>0</v>
      </c>
      <c r="R561">
        <f t="shared" si="986"/>
        <v>0</v>
      </c>
      <c r="S561">
        <f t="shared" si="987"/>
        <v>0</v>
      </c>
      <c r="T561">
        <f t="shared" si="988"/>
        <v>0</v>
      </c>
      <c r="CZ561" t="s">
        <v>7</v>
      </c>
    </row>
    <row r="562" spans="1:104" x14ac:dyDescent="0.25">
      <c r="A562" s="5"/>
      <c r="P562">
        <f t="shared" si="984"/>
        <v>0</v>
      </c>
      <c r="Q562">
        <f t="shared" si="985"/>
        <v>0</v>
      </c>
      <c r="R562">
        <f t="shared" si="986"/>
        <v>0</v>
      </c>
      <c r="S562">
        <f t="shared" si="987"/>
        <v>0</v>
      </c>
      <c r="T562">
        <f t="shared" si="988"/>
        <v>0</v>
      </c>
      <c r="CZ562" t="s">
        <v>7</v>
      </c>
    </row>
    <row r="563" spans="1:104" x14ac:dyDescent="0.25">
      <c r="A563" s="5"/>
      <c r="P563">
        <f t="shared" si="984"/>
        <v>0</v>
      </c>
      <c r="Q563">
        <f t="shared" si="985"/>
        <v>0</v>
      </c>
      <c r="R563">
        <f t="shared" si="986"/>
        <v>0</v>
      </c>
      <c r="S563">
        <f t="shared" si="987"/>
        <v>0</v>
      </c>
      <c r="T563">
        <f t="shared" si="988"/>
        <v>0</v>
      </c>
      <c r="CZ563" t="s">
        <v>7</v>
      </c>
    </row>
    <row r="564" spans="1:104" x14ac:dyDescent="0.25">
      <c r="A564" s="5"/>
      <c r="P564">
        <f t="shared" si="984"/>
        <v>0</v>
      </c>
      <c r="Q564">
        <f t="shared" si="985"/>
        <v>0</v>
      </c>
      <c r="R564">
        <f t="shared" si="986"/>
        <v>0</v>
      </c>
      <c r="S564">
        <f t="shared" si="987"/>
        <v>0</v>
      </c>
      <c r="T564">
        <f t="shared" si="988"/>
        <v>0</v>
      </c>
    </row>
    <row r="565" spans="1:104" x14ac:dyDescent="0.25">
      <c r="A565" s="5"/>
      <c r="C565"/>
      <c r="D565"/>
      <c r="P565">
        <f t="shared" si="984"/>
        <v>0</v>
      </c>
      <c r="Q565">
        <f t="shared" si="985"/>
        <v>0</v>
      </c>
      <c r="R565">
        <f t="shared" si="986"/>
        <v>0</v>
      </c>
      <c r="S565">
        <f t="shared" si="987"/>
        <v>0</v>
      </c>
      <c r="T565">
        <f t="shared" si="988"/>
        <v>0</v>
      </c>
    </row>
    <row r="566" spans="1:104" x14ac:dyDescent="0.25">
      <c r="A566" s="5"/>
      <c r="C566"/>
      <c r="D566"/>
      <c r="P566">
        <f t="shared" si="984"/>
        <v>0</v>
      </c>
      <c r="Q566">
        <f t="shared" si="985"/>
        <v>0</v>
      </c>
      <c r="R566">
        <f t="shared" si="986"/>
        <v>0</v>
      </c>
      <c r="S566">
        <f t="shared" si="987"/>
        <v>0</v>
      </c>
      <c r="T566">
        <f t="shared" si="988"/>
        <v>0</v>
      </c>
    </row>
    <row r="567" spans="1:104" x14ac:dyDescent="0.25">
      <c r="A567" s="5"/>
      <c r="C567"/>
      <c r="D567"/>
      <c r="P567">
        <f t="shared" si="984"/>
        <v>0</v>
      </c>
      <c r="Q567">
        <f t="shared" si="985"/>
        <v>0</v>
      </c>
      <c r="R567">
        <f t="shared" si="986"/>
        <v>0</v>
      </c>
      <c r="S567">
        <f t="shared" si="987"/>
        <v>0</v>
      </c>
      <c r="T567">
        <f t="shared" si="988"/>
        <v>0</v>
      </c>
    </row>
    <row r="568" spans="1:104" x14ac:dyDescent="0.25">
      <c r="A568" s="5"/>
      <c r="C568"/>
      <c r="D568"/>
      <c r="P568">
        <f t="shared" si="984"/>
        <v>0</v>
      </c>
      <c r="Q568">
        <f t="shared" si="985"/>
        <v>0</v>
      </c>
      <c r="R568">
        <f t="shared" si="986"/>
        <v>0</v>
      </c>
      <c r="S568">
        <f t="shared" si="987"/>
        <v>0</v>
      </c>
      <c r="T568">
        <f t="shared" si="988"/>
        <v>0</v>
      </c>
    </row>
    <row r="569" spans="1:104" x14ac:dyDescent="0.25">
      <c r="A569" s="5"/>
      <c r="C569"/>
      <c r="D569"/>
      <c r="P569">
        <f t="shared" si="984"/>
        <v>0</v>
      </c>
      <c r="Q569">
        <f t="shared" si="985"/>
        <v>0</v>
      </c>
      <c r="R569">
        <f t="shared" si="986"/>
        <v>0</v>
      </c>
      <c r="S569">
        <f t="shared" si="987"/>
        <v>0</v>
      </c>
      <c r="T569">
        <f t="shared" si="988"/>
        <v>0</v>
      </c>
    </row>
    <row r="570" spans="1:104" x14ac:dyDescent="0.25">
      <c r="A570" s="5"/>
      <c r="C570"/>
      <c r="D570"/>
      <c r="P570">
        <f t="shared" si="984"/>
        <v>0</v>
      </c>
      <c r="Q570">
        <f t="shared" si="985"/>
        <v>0</v>
      </c>
      <c r="R570">
        <f t="shared" si="986"/>
        <v>0</v>
      </c>
      <c r="S570">
        <f t="shared" si="987"/>
        <v>0</v>
      </c>
      <c r="T570">
        <f t="shared" si="988"/>
        <v>0</v>
      </c>
    </row>
    <row r="571" spans="1:104" x14ac:dyDescent="0.25">
      <c r="A571" s="5"/>
      <c r="C571"/>
      <c r="D571"/>
      <c r="P571">
        <f t="shared" si="984"/>
        <v>0</v>
      </c>
      <c r="Q571">
        <f t="shared" si="985"/>
        <v>0</v>
      </c>
      <c r="R571">
        <f t="shared" si="986"/>
        <v>0</v>
      </c>
      <c r="S571">
        <f t="shared" si="987"/>
        <v>0</v>
      </c>
      <c r="T571">
        <f t="shared" si="988"/>
        <v>0</v>
      </c>
    </row>
    <row r="572" spans="1:104" x14ac:dyDescent="0.25">
      <c r="A572" s="5"/>
      <c r="C572"/>
      <c r="D572"/>
      <c r="P572">
        <f t="shared" si="984"/>
        <v>0</v>
      </c>
      <c r="Q572">
        <f t="shared" si="985"/>
        <v>0</v>
      </c>
      <c r="R572">
        <f t="shared" si="986"/>
        <v>0</v>
      </c>
      <c r="S572">
        <f t="shared" si="987"/>
        <v>0</v>
      </c>
      <c r="T572">
        <f t="shared" si="988"/>
        <v>0</v>
      </c>
    </row>
    <row r="573" spans="1:104" x14ac:dyDescent="0.25">
      <c r="A573" s="5"/>
      <c r="C573"/>
      <c r="D573"/>
      <c r="P573">
        <f t="shared" si="984"/>
        <v>0</v>
      </c>
      <c r="Q573">
        <f t="shared" si="985"/>
        <v>0</v>
      </c>
      <c r="R573">
        <f t="shared" si="986"/>
        <v>0</v>
      </c>
      <c r="S573">
        <f t="shared" si="987"/>
        <v>0</v>
      </c>
      <c r="T573">
        <f t="shared" si="988"/>
        <v>0</v>
      </c>
    </row>
    <row r="574" spans="1:104" x14ac:dyDescent="0.25">
      <c r="A574" s="5"/>
      <c r="C574"/>
      <c r="D574"/>
      <c r="P574">
        <f t="shared" si="984"/>
        <v>0</v>
      </c>
      <c r="Q574">
        <f t="shared" si="985"/>
        <v>0</v>
      </c>
      <c r="R574">
        <f t="shared" si="986"/>
        <v>0</v>
      </c>
      <c r="S574">
        <f t="shared" si="987"/>
        <v>0</v>
      </c>
      <c r="T574">
        <f t="shared" si="988"/>
        <v>0</v>
      </c>
    </row>
    <row r="575" spans="1:104" x14ac:dyDescent="0.25">
      <c r="A575" s="5"/>
      <c r="C575"/>
      <c r="D575"/>
      <c r="P575">
        <f t="shared" si="984"/>
        <v>0</v>
      </c>
      <c r="Q575">
        <f t="shared" si="985"/>
        <v>0</v>
      </c>
      <c r="R575">
        <f t="shared" si="986"/>
        <v>0</v>
      </c>
      <c r="S575">
        <f t="shared" si="987"/>
        <v>0</v>
      </c>
      <c r="T575">
        <f t="shared" si="988"/>
        <v>0</v>
      </c>
    </row>
    <row r="576" spans="1:104" x14ac:dyDescent="0.25">
      <c r="A576" s="5"/>
      <c r="C576"/>
      <c r="D576"/>
      <c r="P576">
        <f t="shared" si="984"/>
        <v>0</v>
      </c>
      <c r="Q576">
        <f t="shared" si="985"/>
        <v>0</v>
      </c>
      <c r="R576">
        <f t="shared" si="986"/>
        <v>0</v>
      </c>
      <c r="S576">
        <f t="shared" si="987"/>
        <v>0</v>
      </c>
      <c r="T576">
        <f t="shared" si="988"/>
        <v>0</v>
      </c>
    </row>
    <row r="577" spans="1:20" x14ac:dyDescent="0.25">
      <c r="A577" s="5"/>
      <c r="C577"/>
      <c r="D577"/>
      <c r="P577">
        <f t="shared" si="984"/>
        <v>0</v>
      </c>
      <c r="Q577">
        <f t="shared" si="985"/>
        <v>0</v>
      </c>
      <c r="R577">
        <f t="shared" si="986"/>
        <v>0</v>
      </c>
      <c r="S577">
        <f t="shared" si="987"/>
        <v>0</v>
      </c>
      <c r="T577">
        <f t="shared" si="988"/>
        <v>0</v>
      </c>
    </row>
    <row r="578" spans="1:20" x14ac:dyDescent="0.25">
      <c r="A578" s="5"/>
      <c r="C578"/>
      <c r="D578"/>
      <c r="P578">
        <f t="shared" si="984"/>
        <v>0</v>
      </c>
      <c r="Q578">
        <f t="shared" si="985"/>
        <v>0</v>
      </c>
      <c r="R578">
        <f t="shared" si="986"/>
        <v>0</v>
      </c>
      <c r="S578">
        <f t="shared" si="987"/>
        <v>0</v>
      </c>
      <c r="T578">
        <f t="shared" si="988"/>
        <v>0</v>
      </c>
    </row>
    <row r="579" spans="1:20" x14ac:dyDescent="0.25">
      <c r="A579" s="5"/>
      <c r="C579"/>
      <c r="D579"/>
      <c r="P579">
        <f t="shared" si="984"/>
        <v>0</v>
      </c>
      <c r="Q579">
        <f t="shared" si="985"/>
        <v>0</v>
      </c>
      <c r="R579">
        <f t="shared" si="986"/>
        <v>0</v>
      </c>
      <c r="S579">
        <f t="shared" si="987"/>
        <v>0</v>
      </c>
      <c r="T579">
        <f t="shared" si="988"/>
        <v>0</v>
      </c>
    </row>
    <row r="580" spans="1:20" x14ac:dyDescent="0.25">
      <c r="A580" s="5"/>
      <c r="C580"/>
      <c r="D580"/>
      <c r="P580">
        <f t="shared" si="984"/>
        <v>0</v>
      </c>
      <c r="Q580">
        <f t="shared" si="985"/>
        <v>0</v>
      </c>
      <c r="R580">
        <f t="shared" si="986"/>
        <v>0</v>
      </c>
      <c r="S580">
        <f t="shared" si="987"/>
        <v>0</v>
      </c>
      <c r="T580">
        <f t="shared" si="988"/>
        <v>0</v>
      </c>
    </row>
    <row r="581" spans="1:20" x14ac:dyDescent="0.25">
      <c r="A581" s="5"/>
      <c r="C581"/>
      <c r="D581"/>
      <c r="P581">
        <f t="shared" si="984"/>
        <v>0</v>
      </c>
      <c r="Q581">
        <f t="shared" si="985"/>
        <v>0</v>
      </c>
      <c r="R581">
        <f t="shared" si="986"/>
        <v>0</v>
      </c>
      <c r="S581">
        <f t="shared" si="987"/>
        <v>0</v>
      </c>
      <c r="T581">
        <f t="shared" si="988"/>
        <v>0</v>
      </c>
    </row>
    <row r="582" spans="1:20" x14ac:dyDescent="0.25">
      <c r="A582" s="5"/>
      <c r="C582"/>
      <c r="D582"/>
      <c r="P582">
        <f t="shared" ref="P582:P645" si="989">IF(C582=D582,0,((E582-D582)-(C582-E582))/(C582-D582))</f>
        <v>0</v>
      </c>
      <c r="Q582">
        <f t="shared" ref="Q582:Q645" si="990">F582*P582</f>
        <v>0</v>
      </c>
      <c r="R582">
        <f t="shared" ref="R582:R645" si="991">R583+Q582</f>
        <v>0</v>
      </c>
      <c r="S582">
        <f t="shared" ref="S582:S645" si="992">R582/100000</f>
        <v>0</v>
      </c>
      <c r="T582">
        <f t="shared" ref="T582:T645" si="993">S582/1000</f>
        <v>0</v>
      </c>
    </row>
    <row r="583" spans="1:20" x14ac:dyDescent="0.25">
      <c r="A583" s="5"/>
      <c r="C583"/>
      <c r="D583"/>
      <c r="P583">
        <f t="shared" si="989"/>
        <v>0</v>
      </c>
      <c r="Q583">
        <f t="shared" si="990"/>
        <v>0</v>
      </c>
      <c r="R583">
        <f t="shared" si="991"/>
        <v>0</v>
      </c>
      <c r="S583">
        <f t="shared" si="992"/>
        <v>0</v>
      </c>
      <c r="T583">
        <f t="shared" si="993"/>
        <v>0</v>
      </c>
    </row>
    <row r="584" spans="1:20" x14ac:dyDescent="0.25">
      <c r="A584" s="5"/>
      <c r="C584"/>
      <c r="D584"/>
      <c r="P584">
        <f t="shared" si="989"/>
        <v>0</v>
      </c>
      <c r="Q584">
        <f t="shared" si="990"/>
        <v>0</v>
      </c>
      <c r="R584">
        <f t="shared" si="991"/>
        <v>0</v>
      </c>
      <c r="S584">
        <f t="shared" si="992"/>
        <v>0</v>
      </c>
      <c r="T584">
        <f t="shared" si="993"/>
        <v>0</v>
      </c>
    </row>
    <row r="585" spans="1:20" x14ac:dyDescent="0.25">
      <c r="A585" s="5"/>
      <c r="C585"/>
      <c r="D585"/>
      <c r="P585">
        <f t="shared" si="989"/>
        <v>0</v>
      </c>
      <c r="Q585">
        <f t="shared" si="990"/>
        <v>0</v>
      </c>
      <c r="R585">
        <f t="shared" si="991"/>
        <v>0</v>
      </c>
      <c r="S585">
        <f t="shared" si="992"/>
        <v>0</v>
      </c>
      <c r="T585">
        <f t="shared" si="993"/>
        <v>0</v>
      </c>
    </row>
    <row r="586" spans="1:20" x14ac:dyDescent="0.25">
      <c r="A586" s="5"/>
      <c r="C586"/>
      <c r="D586"/>
      <c r="P586">
        <f t="shared" si="989"/>
        <v>0</v>
      </c>
      <c r="Q586">
        <f t="shared" si="990"/>
        <v>0</v>
      </c>
      <c r="R586">
        <f t="shared" si="991"/>
        <v>0</v>
      </c>
      <c r="S586">
        <f t="shared" si="992"/>
        <v>0</v>
      </c>
      <c r="T586">
        <f t="shared" si="993"/>
        <v>0</v>
      </c>
    </row>
    <row r="587" spans="1:20" x14ac:dyDescent="0.25">
      <c r="A587" s="5"/>
      <c r="C587"/>
      <c r="D587"/>
      <c r="P587">
        <f t="shared" si="989"/>
        <v>0</v>
      </c>
      <c r="Q587">
        <f t="shared" si="990"/>
        <v>0</v>
      </c>
      <c r="R587">
        <f t="shared" si="991"/>
        <v>0</v>
      </c>
      <c r="S587">
        <f t="shared" si="992"/>
        <v>0</v>
      </c>
      <c r="T587">
        <f t="shared" si="993"/>
        <v>0</v>
      </c>
    </row>
    <row r="588" spans="1:20" x14ac:dyDescent="0.25">
      <c r="A588" s="5"/>
      <c r="C588"/>
      <c r="D588"/>
      <c r="P588">
        <f t="shared" si="989"/>
        <v>0</v>
      </c>
      <c r="Q588">
        <f t="shared" si="990"/>
        <v>0</v>
      </c>
      <c r="R588">
        <f t="shared" si="991"/>
        <v>0</v>
      </c>
      <c r="S588">
        <f t="shared" si="992"/>
        <v>0</v>
      </c>
      <c r="T588">
        <f t="shared" si="993"/>
        <v>0</v>
      </c>
    </row>
    <row r="589" spans="1:20" x14ac:dyDescent="0.25">
      <c r="A589" s="5"/>
      <c r="C589"/>
      <c r="D589"/>
      <c r="P589">
        <f t="shared" si="989"/>
        <v>0</v>
      </c>
      <c r="Q589">
        <f t="shared" si="990"/>
        <v>0</v>
      </c>
      <c r="R589">
        <f t="shared" si="991"/>
        <v>0</v>
      </c>
      <c r="S589">
        <f t="shared" si="992"/>
        <v>0</v>
      </c>
      <c r="T589">
        <f t="shared" si="993"/>
        <v>0</v>
      </c>
    </row>
    <row r="590" spans="1:20" x14ac:dyDescent="0.25">
      <c r="A590" s="5"/>
      <c r="C590"/>
      <c r="D590"/>
      <c r="P590">
        <f t="shared" si="989"/>
        <v>0</v>
      </c>
      <c r="Q590">
        <f t="shared" si="990"/>
        <v>0</v>
      </c>
      <c r="R590">
        <f t="shared" si="991"/>
        <v>0</v>
      </c>
      <c r="S590">
        <f t="shared" si="992"/>
        <v>0</v>
      </c>
      <c r="T590">
        <f t="shared" si="993"/>
        <v>0</v>
      </c>
    </row>
    <row r="591" spans="1:20" x14ac:dyDescent="0.25">
      <c r="A591" s="5"/>
      <c r="C591"/>
      <c r="D591"/>
      <c r="P591">
        <f t="shared" si="989"/>
        <v>0</v>
      </c>
      <c r="Q591">
        <f t="shared" si="990"/>
        <v>0</v>
      </c>
      <c r="R591">
        <f t="shared" si="991"/>
        <v>0</v>
      </c>
      <c r="S591">
        <f t="shared" si="992"/>
        <v>0</v>
      </c>
      <c r="T591">
        <f t="shared" si="993"/>
        <v>0</v>
      </c>
    </row>
    <row r="592" spans="1:20" x14ac:dyDescent="0.25">
      <c r="A592" s="5"/>
      <c r="C592"/>
      <c r="D592"/>
      <c r="P592">
        <f t="shared" si="989"/>
        <v>0</v>
      </c>
      <c r="Q592">
        <f t="shared" si="990"/>
        <v>0</v>
      </c>
      <c r="R592">
        <f t="shared" si="991"/>
        <v>0</v>
      </c>
      <c r="S592">
        <f t="shared" si="992"/>
        <v>0</v>
      </c>
      <c r="T592">
        <f t="shared" si="993"/>
        <v>0</v>
      </c>
    </row>
    <row r="593" spans="1:20" x14ac:dyDescent="0.25">
      <c r="A593" s="5"/>
      <c r="C593"/>
      <c r="D593"/>
      <c r="P593">
        <f t="shared" si="989"/>
        <v>0</v>
      </c>
      <c r="Q593">
        <f t="shared" si="990"/>
        <v>0</v>
      </c>
      <c r="R593">
        <f t="shared" si="991"/>
        <v>0</v>
      </c>
      <c r="S593">
        <f t="shared" si="992"/>
        <v>0</v>
      </c>
      <c r="T593">
        <f t="shared" si="993"/>
        <v>0</v>
      </c>
    </row>
    <row r="594" spans="1:20" x14ac:dyDescent="0.25">
      <c r="A594" s="5"/>
      <c r="C594"/>
      <c r="D594"/>
      <c r="P594">
        <f t="shared" si="989"/>
        <v>0</v>
      </c>
      <c r="Q594">
        <f t="shared" si="990"/>
        <v>0</v>
      </c>
      <c r="R594">
        <f t="shared" si="991"/>
        <v>0</v>
      </c>
      <c r="S594">
        <f t="shared" si="992"/>
        <v>0</v>
      </c>
      <c r="T594">
        <f t="shared" si="993"/>
        <v>0</v>
      </c>
    </row>
    <row r="595" spans="1:20" x14ac:dyDescent="0.25">
      <c r="A595" s="5"/>
      <c r="C595"/>
      <c r="D595"/>
      <c r="P595">
        <f t="shared" si="989"/>
        <v>0</v>
      </c>
      <c r="Q595">
        <f t="shared" si="990"/>
        <v>0</v>
      </c>
      <c r="R595">
        <f t="shared" si="991"/>
        <v>0</v>
      </c>
      <c r="S595">
        <f t="shared" si="992"/>
        <v>0</v>
      </c>
      <c r="T595">
        <f t="shared" si="993"/>
        <v>0</v>
      </c>
    </row>
    <row r="596" spans="1:20" x14ac:dyDescent="0.25">
      <c r="A596" s="5"/>
      <c r="C596"/>
      <c r="D596"/>
      <c r="P596">
        <f t="shared" si="989"/>
        <v>0</v>
      </c>
      <c r="Q596">
        <f t="shared" si="990"/>
        <v>0</v>
      </c>
      <c r="R596">
        <f t="shared" si="991"/>
        <v>0</v>
      </c>
      <c r="S596">
        <f t="shared" si="992"/>
        <v>0</v>
      </c>
      <c r="T596">
        <f t="shared" si="993"/>
        <v>0</v>
      </c>
    </row>
    <row r="597" spans="1:20" x14ac:dyDescent="0.25">
      <c r="A597" s="5"/>
      <c r="C597"/>
      <c r="D597"/>
      <c r="P597">
        <f t="shared" si="989"/>
        <v>0</v>
      </c>
      <c r="Q597">
        <f t="shared" si="990"/>
        <v>0</v>
      </c>
      <c r="R597">
        <f t="shared" si="991"/>
        <v>0</v>
      </c>
      <c r="S597">
        <f t="shared" si="992"/>
        <v>0</v>
      </c>
      <c r="T597">
        <f t="shared" si="993"/>
        <v>0</v>
      </c>
    </row>
    <row r="598" spans="1:20" x14ac:dyDescent="0.25">
      <c r="A598" s="5"/>
      <c r="C598"/>
      <c r="D598"/>
      <c r="P598">
        <f t="shared" si="989"/>
        <v>0</v>
      </c>
      <c r="Q598">
        <f t="shared" si="990"/>
        <v>0</v>
      </c>
      <c r="R598">
        <f t="shared" si="991"/>
        <v>0</v>
      </c>
      <c r="S598">
        <f t="shared" si="992"/>
        <v>0</v>
      </c>
      <c r="T598">
        <f t="shared" si="993"/>
        <v>0</v>
      </c>
    </row>
    <row r="599" spans="1:20" x14ac:dyDescent="0.25">
      <c r="A599" s="5"/>
      <c r="C599"/>
      <c r="D599"/>
      <c r="P599">
        <f t="shared" si="989"/>
        <v>0</v>
      </c>
      <c r="Q599">
        <f t="shared" si="990"/>
        <v>0</v>
      </c>
      <c r="R599">
        <f t="shared" si="991"/>
        <v>0</v>
      </c>
      <c r="S599">
        <f t="shared" si="992"/>
        <v>0</v>
      </c>
      <c r="T599">
        <f t="shared" si="993"/>
        <v>0</v>
      </c>
    </row>
    <row r="600" spans="1:20" x14ac:dyDescent="0.25">
      <c r="A600" s="5"/>
      <c r="C600"/>
      <c r="D600"/>
      <c r="P600">
        <f t="shared" si="989"/>
        <v>0</v>
      </c>
      <c r="Q600">
        <f t="shared" si="990"/>
        <v>0</v>
      </c>
      <c r="R600">
        <f t="shared" si="991"/>
        <v>0</v>
      </c>
      <c r="S600">
        <f t="shared" si="992"/>
        <v>0</v>
      </c>
      <c r="T600">
        <f t="shared" si="993"/>
        <v>0</v>
      </c>
    </row>
    <row r="601" spans="1:20" x14ac:dyDescent="0.25">
      <c r="A601" s="5"/>
      <c r="C601"/>
      <c r="D601"/>
      <c r="P601">
        <f t="shared" si="989"/>
        <v>0</v>
      </c>
      <c r="Q601">
        <f t="shared" si="990"/>
        <v>0</v>
      </c>
      <c r="R601">
        <f t="shared" si="991"/>
        <v>0</v>
      </c>
      <c r="S601">
        <f t="shared" si="992"/>
        <v>0</v>
      </c>
      <c r="T601">
        <f t="shared" si="993"/>
        <v>0</v>
      </c>
    </row>
    <row r="602" spans="1:20" x14ac:dyDescent="0.25">
      <c r="A602" s="5"/>
      <c r="C602"/>
      <c r="D602"/>
      <c r="P602">
        <f t="shared" si="989"/>
        <v>0</v>
      </c>
      <c r="Q602">
        <f t="shared" si="990"/>
        <v>0</v>
      </c>
      <c r="R602">
        <f t="shared" si="991"/>
        <v>0</v>
      </c>
      <c r="S602">
        <f t="shared" si="992"/>
        <v>0</v>
      </c>
      <c r="T602">
        <f t="shared" si="993"/>
        <v>0</v>
      </c>
    </row>
    <row r="603" spans="1:20" x14ac:dyDescent="0.25">
      <c r="A603" s="5"/>
      <c r="C603"/>
      <c r="D603"/>
      <c r="P603">
        <f t="shared" si="989"/>
        <v>0</v>
      </c>
      <c r="Q603">
        <f t="shared" si="990"/>
        <v>0</v>
      </c>
      <c r="R603">
        <f t="shared" si="991"/>
        <v>0</v>
      </c>
      <c r="S603">
        <f t="shared" si="992"/>
        <v>0</v>
      </c>
      <c r="T603">
        <f t="shared" si="993"/>
        <v>0</v>
      </c>
    </row>
    <row r="604" spans="1:20" x14ac:dyDescent="0.25">
      <c r="A604" s="5"/>
      <c r="C604"/>
      <c r="D604"/>
      <c r="P604">
        <f t="shared" si="989"/>
        <v>0</v>
      </c>
      <c r="Q604">
        <f t="shared" si="990"/>
        <v>0</v>
      </c>
      <c r="R604">
        <f t="shared" si="991"/>
        <v>0</v>
      </c>
      <c r="S604">
        <f t="shared" si="992"/>
        <v>0</v>
      </c>
      <c r="T604">
        <f t="shared" si="993"/>
        <v>0</v>
      </c>
    </row>
    <row r="605" spans="1:20" x14ac:dyDescent="0.25">
      <c r="A605" s="5"/>
      <c r="C605"/>
      <c r="D605"/>
      <c r="P605">
        <f t="shared" si="989"/>
        <v>0</v>
      </c>
      <c r="Q605">
        <f t="shared" si="990"/>
        <v>0</v>
      </c>
      <c r="R605">
        <f t="shared" si="991"/>
        <v>0</v>
      </c>
      <c r="S605">
        <f t="shared" si="992"/>
        <v>0</v>
      </c>
      <c r="T605">
        <f t="shared" si="993"/>
        <v>0</v>
      </c>
    </row>
    <row r="606" spans="1:20" x14ac:dyDescent="0.25">
      <c r="A606" s="5"/>
      <c r="C606"/>
      <c r="D606"/>
      <c r="P606">
        <f t="shared" si="989"/>
        <v>0</v>
      </c>
      <c r="Q606">
        <f t="shared" si="990"/>
        <v>0</v>
      </c>
      <c r="R606">
        <f t="shared" si="991"/>
        <v>0</v>
      </c>
      <c r="S606">
        <f t="shared" si="992"/>
        <v>0</v>
      </c>
      <c r="T606">
        <f t="shared" si="993"/>
        <v>0</v>
      </c>
    </row>
    <row r="607" spans="1:20" x14ac:dyDescent="0.25">
      <c r="A607" s="5"/>
      <c r="C607"/>
      <c r="D607"/>
      <c r="P607">
        <f t="shared" si="989"/>
        <v>0</v>
      </c>
      <c r="Q607">
        <f t="shared" si="990"/>
        <v>0</v>
      </c>
      <c r="R607">
        <f t="shared" si="991"/>
        <v>0</v>
      </c>
      <c r="S607">
        <f t="shared" si="992"/>
        <v>0</v>
      </c>
      <c r="T607">
        <f t="shared" si="993"/>
        <v>0</v>
      </c>
    </row>
    <row r="608" spans="1:20" x14ac:dyDescent="0.25">
      <c r="A608" s="5"/>
      <c r="C608"/>
      <c r="D608"/>
      <c r="P608">
        <f t="shared" si="989"/>
        <v>0</v>
      </c>
      <c r="Q608">
        <f t="shared" si="990"/>
        <v>0</v>
      </c>
      <c r="R608">
        <f t="shared" si="991"/>
        <v>0</v>
      </c>
      <c r="S608">
        <f t="shared" si="992"/>
        <v>0</v>
      </c>
      <c r="T608">
        <f t="shared" si="993"/>
        <v>0</v>
      </c>
    </row>
    <row r="609" spans="1:20" x14ac:dyDescent="0.25">
      <c r="A609" s="5"/>
      <c r="C609"/>
      <c r="D609"/>
      <c r="P609">
        <f t="shared" si="989"/>
        <v>0</v>
      </c>
      <c r="Q609">
        <f t="shared" si="990"/>
        <v>0</v>
      </c>
      <c r="R609">
        <f t="shared" si="991"/>
        <v>0</v>
      </c>
      <c r="S609">
        <f t="shared" si="992"/>
        <v>0</v>
      </c>
      <c r="T609">
        <f t="shared" si="993"/>
        <v>0</v>
      </c>
    </row>
    <row r="610" spans="1:20" x14ac:dyDescent="0.25">
      <c r="A610" s="5"/>
      <c r="C610"/>
      <c r="D610"/>
      <c r="P610">
        <f t="shared" si="989"/>
        <v>0</v>
      </c>
      <c r="Q610">
        <f t="shared" si="990"/>
        <v>0</v>
      </c>
      <c r="R610">
        <f t="shared" si="991"/>
        <v>0</v>
      </c>
      <c r="S610">
        <f t="shared" si="992"/>
        <v>0</v>
      </c>
      <c r="T610">
        <f t="shared" si="993"/>
        <v>0</v>
      </c>
    </row>
    <row r="611" spans="1:20" x14ac:dyDescent="0.25">
      <c r="A611" s="5"/>
      <c r="C611"/>
      <c r="D611"/>
      <c r="P611">
        <f t="shared" si="989"/>
        <v>0</v>
      </c>
      <c r="Q611">
        <f t="shared" si="990"/>
        <v>0</v>
      </c>
      <c r="R611">
        <f t="shared" si="991"/>
        <v>0</v>
      </c>
      <c r="S611">
        <f t="shared" si="992"/>
        <v>0</v>
      </c>
      <c r="T611">
        <f t="shared" si="993"/>
        <v>0</v>
      </c>
    </row>
    <row r="612" spans="1:20" x14ac:dyDescent="0.25">
      <c r="A612" s="5"/>
      <c r="C612"/>
      <c r="D612"/>
      <c r="P612">
        <f t="shared" si="989"/>
        <v>0</v>
      </c>
      <c r="Q612">
        <f t="shared" si="990"/>
        <v>0</v>
      </c>
      <c r="R612">
        <f t="shared" si="991"/>
        <v>0</v>
      </c>
      <c r="S612">
        <f t="shared" si="992"/>
        <v>0</v>
      </c>
      <c r="T612">
        <f t="shared" si="993"/>
        <v>0</v>
      </c>
    </row>
    <row r="613" spans="1:20" x14ac:dyDescent="0.25">
      <c r="A613" s="5"/>
      <c r="C613"/>
      <c r="D613"/>
      <c r="P613">
        <f t="shared" si="989"/>
        <v>0</v>
      </c>
      <c r="Q613">
        <f t="shared" si="990"/>
        <v>0</v>
      </c>
      <c r="R613">
        <f t="shared" si="991"/>
        <v>0</v>
      </c>
      <c r="S613">
        <f t="shared" si="992"/>
        <v>0</v>
      </c>
      <c r="T613">
        <f t="shared" si="993"/>
        <v>0</v>
      </c>
    </row>
    <row r="614" spans="1:20" x14ac:dyDescent="0.25">
      <c r="A614" s="5"/>
      <c r="C614"/>
      <c r="D614"/>
      <c r="P614">
        <f t="shared" si="989"/>
        <v>0</v>
      </c>
      <c r="Q614">
        <f t="shared" si="990"/>
        <v>0</v>
      </c>
      <c r="R614">
        <f t="shared" si="991"/>
        <v>0</v>
      </c>
      <c r="S614">
        <f t="shared" si="992"/>
        <v>0</v>
      </c>
      <c r="T614">
        <f t="shared" si="993"/>
        <v>0</v>
      </c>
    </row>
    <row r="615" spans="1:20" x14ac:dyDescent="0.25">
      <c r="A615" s="5"/>
      <c r="C615"/>
      <c r="D615"/>
      <c r="P615">
        <f t="shared" si="989"/>
        <v>0</v>
      </c>
      <c r="Q615">
        <f t="shared" si="990"/>
        <v>0</v>
      </c>
      <c r="R615">
        <f t="shared" si="991"/>
        <v>0</v>
      </c>
      <c r="S615">
        <f t="shared" si="992"/>
        <v>0</v>
      </c>
      <c r="T615">
        <f t="shared" si="993"/>
        <v>0</v>
      </c>
    </row>
    <row r="616" spans="1:20" x14ac:dyDescent="0.25">
      <c r="A616" s="5"/>
      <c r="C616"/>
      <c r="D616"/>
      <c r="P616">
        <f t="shared" si="989"/>
        <v>0</v>
      </c>
      <c r="Q616">
        <f t="shared" si="990"/>
        <v>0</v>
      </c>
      <c r="R616">
        <f t="shared" si="991"/>
        <v>0</v>
      </c>
      <c r="S616">
        <f t="shared" si="992"/>
        <v>0</v>
      </c>
      <c r="T616">
        <f t="shared" si="993"/>
        <v>0</v>
      </c>
    </row>
    <row r="617" spans="1:20" x14ac:dyDescent="0.25">
      <c r="A617" s="5"/>
      <c r="C617"/>
      <c r="D617"/>
      <c r="P617">
        <f t="shared" si="989"/>
        <v>0</v>
      </c>
      <c r="Q617">
        <f t="shared" si="990"/>
        <v>0</v>
      </c>
      <c r="R617">
        <f t="shared" si="991"/>
        <v>0</v>
      </c>
      <c r="S617">
        <f t="shared" si="992"/>
        <v>0</v>
      </c>
      <c r="T617">
        <f t="shared" si="993"/>
        <v>0</v>
      </c>
    </row>
    <row r="618" spans="1:20" x14ac:dyDescent="0.25">
      <c r="A618" s="5"/>
      <c r="C618"/>
      <c r="D618"/>
      <c r="P618">
        <f t="shared" si="989"/>
        <v>0</v>
      </c>
      <c r="Q618">
        <f t="shared" si="990"/>
        <v>0</v>
      </c>
      <c r="R618">
        <f t="shared" si="991"/>
        <v>0</v>
      </c>
      <c r="S618">
        <f t="shared" si="992"/>
        <v>0</v>
      </c>
      <c r="T618">
        <f t="shared" si="993"/>
        <v>0</v>
      </c>
    </row>
    <row r="619" spans="1:20" x14ac:dyDescent="0.25">
      <c r="A619" s="5"/>
      <c r="C619"/>
      <c r="D619"/>
      <c r="P619">
        <f t="shared" si="989"/>
        <v>0</v>
      </c>
      <c r="Q619">
        <f t="shared" si="990"/>
        <v>0</v>
      </c>
      <c r="R619">
        <f t="shared" si="991"/>
        <v>0</v>
      </c>
      <c r="S619">
        <f t="shared" si="992"/>
        <v>0</v>
      </c>
      <c r="T619">
        <f t="shared" si="993"/>
        <v>0</v>
      </c>
    </row>
    <row r="620" spans="1:20" x14ac:dyDescent="0.25">
      <c r="A620" s="5"/>
      <c r="C620"/>
      <c r="D620"/>
      <c r="P620">
        <f t="shared" si="989"/>
        <v>0</v>
      </c>
      <c r="Q620">
        <f t="shared" si="990"/>
        <v>0</v>
      </c>
      <c r="R620">
        <f t="shared" si="991"/>
        <v>0</v>
      </c>
      <c r="S620">
        <f t="shared" si="992"/>
        <v>0</v>
      </c>
      <c r="T620">
        <f t="shared" si="993"/>
        <v>0</v>
      </c>
    </row>
    <row r="621" spans="1:20" x14ac:dyDescent="0.25">
      <c r="A621" s="5"/>
      <c r="C621"/>
      <c r="D621"/>
      <c r="P621">
        <f t="shared" si="989"/>
        <v>0</v>
      </c>
      <c r="Q621">
        <f t="shared" si="990"/>
        <v>0</v>
      </c>
      <c r="R621">
        <f t="shared" si="991"/>
        <v>0</v>
      </c>
      <c r="S621">
        <f t="shared" si="992"/>
        <v>0</v>
      </c>
      <c r="T621">
        <f t="shared" si="993"/>
        <v>0</v>
      </c>
    </row>
    <row r="622" spans="1:20" x14ac:dyDescent="0.25">
      <c r="A622" s="5"/>
      <c r="C622"/>
      <c r="D622"/>
      <c r="P622">
        <f t="shared" si="989"/>
        <v>0</v>
      </c>
      <c r="Q622">
        <f t="shared" si="990"/>
        <v>0</v>
      </c>
      <c r="R622">
        <f t="shared" si="991"/>
        <v>0</v>
      </c>
      <c r="S622">
        <f t="shared" si="992"/>
        <v>0</v>
      </c>
      <c r="T622">
        <f t="shared" si="993"/>
        <v>0</v>
      </c>
    </row>
    <row r="623" spans="1:20" x14ac:dyDescent="0.25">
      <c r="A623" s="5"/>
      <c r="C623"/>
      <c r="D623"/>
      <c r="P623">
        <f t="shared" si="989"/>
        <v>0</v>
      </c>
      <c r="Q623">
        <f t="shared" si="990"/>
        <v>0</v>
      </c>
      <c r="R623">
        <f t="shared" si="991"/>
        <v>0</v>
      </c>
      <c r="S623">
        <f t="shared" si="992"/>
        <v>0</v>
      </c>
      <c r="T623">
        <f t="shared" si="993"/>
        <v>0</v>
      </c>
    </row>
    <row r="624" spans="1:20" x14ac:dyDescent="0.25">
      <c r="A624" s="5"/>
      <c r="C624"/>
      <c r="D624"/>
      <c r="P624">
        <f t="shared" si="989"/>
        <v>0</v>
      </c>
      <c r="Q624">
        <f t="shared" si="990"/>
        <v>0</v>
      </c>
      <c r="R624">
        <f t="shared" si="991"/>
        <v>0</v>
      </c>
      <c r="S624">
        <f t="shared" si="992"/>
        <v>0</v>
      </c>
      <c r="T624">
        <f t="shared" si="993"/>
        <v>0</v>
      </c>
    </row>
    <row r="625" spans="1:20" x14ac:dyDescent="0.25">
      <c r="A625" s="5"/>
      <c r="C625"/>
      <c r="D625"/>
      <c r="P625">
        <f t="shared" si="989"/>
        <v>0</v>
      </c>
      <c r="Q625">
        <f t="shared" si="990"/>
        <v>0</v>
      </c>
      <c r="R625">
        <f t="shared" si="991"/>
        <v>0</v>
      </c>
      <c r="S625">
        <f t="shared" si="992"/>
        <v>0</v>
      </c>
      <c r="T625">
        <f t="shared" si="993"/>
        <v>0</v>
      </c>
    </row>
    <row r="626" spans="1:20" x14ac:dyDescent="0.25">
      <c r="A626" s="5"/>
      <c r="C626"/>
      <c r="D626"/>
      <c r="P626">
        <f t="shared" si="989"/>
        <v>0</v>
      </c>
      <c r="Q626">
        <f t="shared" si="990"/>
        <v>0</v>
      </c>
      <c r="R626">
        <f t="shared" si="991"/>
        <v>0</v>
      </c>
      <c r="S626">
        <f t="shared" si="992"/>
        <v>0</v>
      </c>
      <c r="T626">
        <f t="shared" si="993"/>
        <v>0</v>
      </c>
    </row>
    <row r="627" spans="1:20" x14ac:dyDescent="0.25">
      <c r="A627" s="5"/>
      <c r="C627"/>
      <c r="D627"/>
      <c r="P627">
        <f t="shared" si="989"/>
        <v>0</v>
      </c>
      <c r="Q627">
        <f t="shared" si="990"/>
        <v>0</v>
      </c>
      <c r="R627">
        <f t="shared" si="991"/>
        <v>0</v>
      </c>
      <c r="S627">
        <f t="shared" si="992"/>
        <v>0</v>
      </c>
      <c r="T627">
        <f t="shared" si="993"/>
        <v>0</v>
      </c>
    </row>
    <row r="628" spans="1:20" x14ac:dyDescent="0.25">
      <c r="A628" s="5"/>
      <c r="C628"/>
      <c r="D628"/>
      <c r="P628">
        <f t="shared" si="989"/>
        <v>0</v>
      </c>
      <c r="Q628">
        <f t="shared" si="990"/>
        <v>0</v>
      </c>
      <c r="R628">
        <f t="shared" si="991"/>
        <v>0</v>
      </c>
      <c r="S628">
        <f t="shared" si="992"/>
        <v>0</v>
      </c>
      <c r="T628">
        <f t="shared" si="993"/>
        <v>0</v>
      </c>
    </row>
    <row r="629" spans="1:20" x14ac:dyDescent="0.25">
      <c r="A629" s="5"/>
      <c r="C629"/>
      <c r="D629"/>
      <c r="P629">
        <f t="shared" si="989"/>
        <v>0</v>
      </c>
      <c r="Q629">
        <f t="shared" si="990"/>
        <v>0</v>
      </c>
      <c r="R629">
        <f t="shared" si="991"/>
        <v>0</v>
      </c>
      <c r="S629">
        <f t="shared" si="992"/>
        <v>0</v>
      </c>
      <c r="T629">
        <f t="shared" si="993"/>
        <v>0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GN697" sqref="GN697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$A$696</v>
      </c>
      <c r="D111" s="1" t="str">
        <f>ADDRESS(C121-1,D121,1,1)</f>
        <v>$GN$696</v>
      </c>
      <c r="E111"/>
    </row>
    <row r="112" spans="1:5" x14ac:dyDescent="0.25">
      <c r="A112" s="7">
        <v>12164.144957890772</v>
      </c>
      <c r="C112" s="1" t="str">
        <f>ADDRESS(C121,1,1,1)</f>
        <v>$A$697</v>
      </c>
      <c r="D112" s="1" t="str">
        <f>ADDRESS(C121,D121-1,1,1)</f>
        <v>$GM$697</v>
      </c>
      <c r="E112"/>
    </row>
    <row r="113" spans="1:5" x14ac:dyDescent="0.25">
      <c r="A113" s="7">
        <v>11925.63231165762</v>
      </c>
      <c r="C113" s="1" t="str">
        <f>ADDRESS(C121+1,1,1,1)</f>
        <v>$A$698</v>
      </c>
      <c r="D113" s="1" t="str">
        <f>ADDRESS(C121-1,D121+1,1,1)</f>
        <v>$GO$696</v>
      </c>
    </row>
    <row r="114" spans="1:5" x14ac:dyDescent="0.25">
      <c r="A114" s="7">
        <v>11691.796383978059</v>
      </c>
      <c r="C114" s="1" t="str">
        <f>ADDRESS(C121,D121,1,1)</f>
        <v>$GN$697</v>
      </c>
      <c r="D114" s="1" t="str">
        <f>ADDRESS(C121+1,D121+1,1,1)</f>
        <v>$GO$698</v>
      </c>
    </row>
    <row r="115" spans="1:5" x14ac:dyDescent="0.25">
      <c r="A115" s="7">
        <v>11462.545474488292</v>
      </c>
      <c r="C115" s="1" t="str">
        <f>ADDRESS(C121+1,D121,1,1)</f>
        <v>$GN$698</v>
      </c>
    </row>
    <row r="116" spans="1:5" x14ac:dyDescent="0.25">
      <c r="A116" s="7">
        <v>11237.789680870874</v>
      </c>
      <c r="C116" s="1">
        <f>C117-1</f>
        <v>696</v>
      </c>
    </row>
    <row r="117" spans="1:5" x14ac:dyDescent="0.25">
      <c r="A117" s="7">
        <v>11017.440863598895</v>
      </c>
      <c r="C117" s="1">
        <f>C121</f>
        <v>697</v>
      </c>
      <c r="D117" s="1">
        <f>D121</f>
        <v>196</v>
      </c>
    </row>
    <row r="118" spans="1:5" x14ac:dyDescent="0.25">
      <c r="A118" s="7">
        <v>10801.412611371465</v>
      </c>
      <c r="C118" s="1">
        <f>C117+1</f>
        <v>698</v>
      </c>
      <c r="D118" s="1">
        <f>D117+1</f>
        <v>197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697</v>
      </c>
      <c r="D121" s="19">
        <v>196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R697</v>
      </c>
      <c r="D123" s="1" t="str">
        <f>"C"&amp;D121</f>
        <v>C196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0.11323510996739378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5" x14ac:dyDescent="0.25">
      <c r="A497" s="7">
        <v>5.9431331263054545</v>
      </c>
      <c r="B497"/>
      <c r="C497"/>
      <c r="D497"/>
      <c r="E497"/>
    </row>
    <row r="498" spans="1:5" x14ac:dyDescent="0.25">
      <c r="A498" s="7">
        <v>5.8266011042210337</v>
      </c>
      <c r="B498"/>
      <c r="C498"/>
      <c r="D498"/>
      <c r="E498"/>
    </row>
    <row r="499" spans="1:5" x14ac:dyDescent="0.25">
      <c r="A499" s="7">
        <v>5.7123540237461112</v>
      </c>
      <c r="B499"/>
      <c r="C499"/>
      <c r="D499"/>
      <c r="E499"/>
    </row>
    <row r="500" spans="1:5" x14ac:dyDescent="0.25">
      <c r="A500" s="7">
        <v>5.6003470821040304</v>
      </c>
      <c r="B500"/>
      <c r="C500"/>
      <c r="D500"/>
      <c r="E500"/>
    </row>
    <row r="501" spans="1:5" x14ac:dyDescent="0.25">
      <c r="A501" s="7">
        <v>5.4905363550039512</v>
      </c>
      <c r="B501"/>
      <c r="C501"/>
      <c r="D501"/>
      <c r="E501"/>
    </row>
    <row r="502" spans="1:5" x14ac:dyDescent="0.25">
      <c r="A502" s="7">
        <v>5.3828787794156385</v>
      </c>
      <c r="B502"/>
      <c r="C502"/>
      <c r="D502"/>
      <c r="E502"/>
    </row>
    <row r="503" spans="1:5" x14ac:dyDescent="0.25">
      <c r="A503" s="7">
        <v>5.2773321366819985</v>
      </c>
      <c r="B503"/>
      <c r="C503"/>
      <c r="D503"/>
      <c r="E503"/>
    </row>
    <row r="504" spans="1:5" x14ac:dyDescent="0.25">
      <c r="A504" s="7">
        <v>5.1738550359627435</v>
      </c>
      <c r="B504"/>
      <c r="C504"/>
      <c r="D504"/>
      <c r="E504"/>
    </row>
    <row r="505" spans="1:5" x14ac:dyDescent="0.25">
      <c r="A505" s="7">
        <v>5.07240689800269</v>
      </c>
      <c r="B505"/>
      <c r="C505"/>
      <c r="D505"/>
      <c r="E505"/>
    </row>
    <row r="506" spans="1:5" x14ac:dyDescent="0.25">
      <c r="A506" s="7">
        <v>4.9729479392183231</v>
      </c>
      <c r="B506"/>
      <c r="C506"/>
      <c r="D506"/>
      <c r="E506"/>
    </row>
    <row r="507" spans="1:5" x14ac:dyDescent="0.25">
      <c r="A507" s="7">
        <v>4.8754391560963954</v>
      </c>
      <c r="B507"/>
      <c r="C507"/>
      <c r="D507"/>
      <c r="E507"/>
    </row>
    <row r="508" spans="1:5" x14ac:dyDescent="0.25">
      <c r="A508" s="7">
        <v>4.7798423098984264</v>
      </c>
      <c r="B508"/>
      <c r="C508"/>
      <c r="D508"/>
      <c r="E508"/>
    </row>
    <row r="509" spans="1:5" x14ac:dyDescent="0.25">
      <c r="A509" s="7">
        <v>4.6861199116651235</v>
      </c>
      <c r="B509"/>
      <c r="C509"/>
      <c r="D509"/>
      <c r="E509"/>
    </row>
    <row r="510" spans="1:5" x14ac:dyDescent="0.25">
      <c r="A510" s="7">
        <v>4.5942352075148269</v>
      </c>
      <c r="B510"/>
      <c r="C510"/>
      <c r="D510"/>
      <c r="E510"/>
    </row>
    <row r="511" spans="1:5" x14ac:dyDescent="0.25">
      <c r="A511" s="7">
        <v>4.5041521642302227</v>
      </c>
      <c r="B511"/>
      <c r="C511"/>
      <c r="D511"/>
      <c r="E511"/>
    </row>
    <row r="512" spans="1:5" x14ac:dyDescent="0.25">
      <c r="A512" s="7">
        <v>4.4158354551276693</v>
      </c>
      <c r="B512"/>
      <c r="C512"/>
      <c r="D512"/>
      <c r="E512"/>
    </row>
    <row r="513" spans="1:5" x14ac:dyDescent="0.25">
      <c r="A513" s="7">
        <v>4.3292504462035977</v>
      </c>
      <c r="B513"/>
      <c r="C513"/>
      <c r="D513"/>
      <c r="E513"/>
    </row>
    <row r="514" spans="1:5" x14ac:dyDescent="0.25">
      <c r="A514" s="7">
        <v>4.2443631825525463</v>
      </c>
      <c r="B514"/>
      <c r="C514"/>
      <c r="D514"/>
      <c r="E514"/>
    </row>
    <row r="515" spans="1:5" x14ac:dyDescent="0.25">
      <c r="A515" s="7">
        <v>4.1611403750515157</v>
      </c>
      <c r="B515"/>
      <c r="C515"/>
      <c r="D515"/>
      <c r="E515"/>
    </row>
    <row r="516" spans="1:5" x14ac:dyDescent="0.25">
      <c r="A516" s="7">
        <v>4.0795493873054074</v>
      </c>
      <c r="B516"/>
      <c r="C516"/>
      <c r="D516"/>
      <c r="E516"/>
    </row>
    <row r="517" spans="1:5" x14ac:dyDescent="0.25">
      <c r="A517" s="7">
        <v>3.9995582228484383</v>
      </c>
      <c r="B517"/>
      <c r="C517"/>
      <c r="D517"/>
      <c r="E517"/>
    </row>
    <row r="518" spans="1:5" x14ac:dyDescent="0.25">
      <c r="A518" s="7">
        <v>3.9211355125965079</v>
      </c>
      <c r="B518"/>
      <c r="C518"/>
      <c r="D518"/>
      <c r="E518"/>
    </row>
    <row r="519" spans="1:5" x14ac:dyDescent="0.25">
      <c r="A519" s="7">
        <v>3.844250502545596</v>
      </c>
      <c r="B519"/>
      <c r="C519"/>
      <c r="D519"/>
      <c r="E519"/>
    </row>
    <row r="520" spans="1:5" x14ac:dyDescent="0.25">
      <c r="A520" s="7">
        <v>3.7688730417113687</v>
      </c>
      <c r="B520"/>
      <c r="C520"/>
      <c r="D520"/>
      <c r="E520"/>
    </row>
    <row r="521" spans="1:5" x14ac:dyDescent="0.25">
      <c r="A521" s="7">
        <v>3.6949735703052635</v>
      </c>
      <c r="B521"/>
      <c r="C521"/>
      <c r="D521"/>
      <c r="E521"/>
    </row>
    <row r="522" spans="1:5" x14ac:dyDescent="0.25">
      <c r="A522" s="7">
        <v>3.6225231081424152</v>
      </c>
      <c r="B522"/>
      <c r="C522"/>
      <c r="D522"/>
      <c r="E522"/>
    </row>
    <row r="523" spans="1:5" x14ac:dyDescent="0.25">
      <c r="A523" s="7">
        <v>3.5514932432768775</v>
      </c>
      <c r="B523"/>
      <c r="C523"/>
      <c r="D523"/>
      <c r="E523"/>
    </row>
    <row r="524" spans="1:5" x14ac:dyDescent="0.25">
      <c r="A524" s="7">
        <v>3.4818561208596837</v>
      </c>
      <c r="B524"/>
      <c r="C524"/>
      <c r="D524"/>
      <c r="E524"/>
    </row>
    <row r="525" spans="1:5" x14ac:dyDescent="0.25">
      <c r="A525" s="7">
        <v>3.4135844322153761</v>
      </c>
      <c r="B525"/>
      <c r="C525"/>
      <c r="D525"/>
      <c r="E525"/>
    </row>
    <row r="526" spans="1:5" x14ac:dyDescent="0.25">
      <c r="A526" s="7">
        <v>3.3466514041327216</v>
      </c>
      <c r="B526"/>
      <c r="C526"/>
      <c r="D526"/>
      <c r="E526"/>
    </row>
    <row r="527" spans="1:5" x14ac:dyDescent="0.25">
      <c r="A527" s="7">
        <v>3.2810307883654133</v>
      </c>
      <c r="B527"/>
      <c r="C527"/>
      <c r="D527"/>
      <c r="E527"/>
    </row>
    <row r="528" spans="1:5" x14ac:dyDescent="0.25">
      <c r="A528" s="7">
        <v>3.2166968513386403</v>
      </c>
      <c r="B528"/>
      <c r="C528"/>
      <c r="D528"/>
      <c r="E528"/>
    </row>
    <row r="529" spans="1:5" x14ac:dyDescent="0.25">
      <c r="A529" s="7">
        <v>3.1536243640574906</v>
      </c>
      <c r="B529"/>
      <c r="C529"/>
      <c r="D529"/>
      <c r="E529"/>
    </row>
    <row r="530" spans="1:5" x14ac:dyDescent="0.25">
      <c r="A530" s="7">
        <v>3.0917885922132262</v>
      </c>
      <c r="B530"/>
      <c r="C530"/>
      <c r="D530"/>
      <c r="E530"/>
    </row>
    <row r="531" spans="1:5" x14ac:dyDescent="0.25">
      <c r="A531" s="7">
        <v>3.0311652864835552</v>
      </c>
      <c r="B531"/>
      <c r="C531"/>
      <c r="D531"/>
      <c r="E531"/>
    </row>
    <row r="532" spans="1:5" x14ac:dyDescent="0.25">
      <c r="A532" s="7">
        <v>2.9717306730230932</v>
      </c>
      <c r="B532"/>
      <c r="C532"/>
      <c r="D532"/>
      <c r="E532"/>
    </row>
    <row r="533" spans="1:5" x14ac:dyDescent="0.25">
      <c r="A533" s="7">
        <v>2.9134614441402875</v>
      </c>
      <c r="B533"/>
      <c r="C533"/>
      <c r="D533"/>
      <c r="E533"/>
    </row>
    <row r="534" spans="1:5" x14ac:dyDescent="0.25">
      <c r="A534" s="7">
        <v>2.8563347491571447</v>
      </c>
      <c r="B534"/>
      <c r="C534"/>
      <c r="D534"/>
      <c r="E534"/>
    </row>
    <row r="535" spans="1:5" x14ac:dyDescent="0.25">
      <c r="A535" s="7">
        <v>2.8003281854481812</v>
      </c>
      <c r="B535"/>
      <c r="C535"/>
      <c r="D535"/>
      <c r="E535"/>
    </row>
    <row r="536" spans="1:5" x14ac:dyDescent="0.25">
      <c r="A536" s="7">
        <v>2.7454197896550796</v>
      </c>
      <c r="B536"/>
      <c r="C536"/>
      <c r="D536"/>
      <c r="E536"/>
    </row>
    <row r="537" spans="1:5" x14ac:dyDescent="0.25">
      <c r="A537" s="7">
        <v>2.6915880290736074</v>
      </c>
      <c r="B537"/>
      <c r="C537"/>
      <c r="D537"/>
      <c r="E537"/>
    </row>
    <row r="538" spans="1:5" x14ac:dyDescent="0.25">
      <c r="A538" s="7">
        <v>2.6388117932094191</v>
      </c>
      <c r="B538"/>
      <c r="C538"/>
      <c r="D538"/>
      <c r="E538"/>
    </row>
    <row r="539" spans="1:5" x14ac:dyDescent="0.25">
      <c r="A539" s="7">
        <v>2.5870703854994304</v>
      </c>
      <c r="B539"/>
      <c r="C539"/>
      <c r="D539"/>
      <c r="E539"/>
    </row>
    <row r="540" spans="1:5" x14ac:dyDescent="0.25">
      <c r="A540" s="7">
        <v>2.53634351519552</v>
      </c>
      <c r="B540"/>
      <c r="C540"/>
      <c r="D540"/>
      <c r="E540"/>
    </row>
    <row r="541" spans="1:5" x14ac:dyDescent="0.25">
      <c r="A541" s="7">
        <v>2.4866112894073726</v>
      </c>
      <c r="B541"/>
      <c r="C541"/>
      <c r="D541"/>
      <c r="E541"/>
    </row>
    <row r="542" spans="1:5" x14ac:dyDescent="0.25">
      <c r="A542" s="7">
        <v>2.4378542053013459</v>
      </c>
      <c r="B542"/>
      <c r="C542"/>
      <c r="D542"/>
      <c r="E542"/>
    </row>
    <row r="543" spans="1:5" x14ac:dyDescent="0.25">
      <c r="A543" s="7">
        <v>2.3900531424522997</v>
      </c>
      <c r="B543"/>
      <c r="C543"/>
      <c r="D543"/>
      <c r="E543"/>
    </row>
    <row r="544" spans="1:5" x14ac:dyDescent="0.25">
      <c r="A544" s="7">
        <v>2.343189355345392</v>
      </c>
      <c r="B544"/>
      <c r="C544"/>
      <c r="D544"/>
      <c r="E544"/>
    </row>
    <row r="545" spans="1:5" x14ac:dyDescent="0.25">
      <c r="A545" s="7">
        <v>2.2972444660248938</v>
      </c>
      <c r="B545"/>
      <c r="C545"/>
      <c r="D545"/>
      <c r="E545"/>
    </row>
    <row r="546" spans="1:5" x14ac:dyDescent="0.25">
      <c r="A546" s="7">
        <v>2.252200456887151</v>
      </c>
      <c r="B546"/>
      <c r="C546"/>
      <c r="D546"/>
      <c r="E546"/>
    </row>
    <row r="547" spans="1:5" x14ac:dyDescent="0.25">
      <c r="A547" s="7">
        <v>2.208039663614854</v>
      </c>
      <c r="B547"/>
      <c r="C547"/>
      <c r="D547"/>
      <c r="E547"/>
    </row>
    <row r="548" spans="1:5" x14ac:dyDescent="0.25">
      <c r="A548" s="7">
        <v>2.1647447682498568</v>
      </c>
      <c r="B548"/>
      <c r="C548"/>
      <c r="D548"/>
      <c r="E548"/>
    </row>
    <row r="549" spans="1:5" x14ac:dyDescent="0.25">
      <c r="A549" s="7">
        <v>2.1222987924018204</v>
      </c>
      <c r="B549"/>
      <c r="C549"/>
      <c r="D549"/>
      <c r="E549"/>
    </row>
    <row r="550" spans="1:5" x14ac:dyDescent="0.25">
      <c r="A550" s="7">
        <v>2.0806850905900198</v>
      </c>
      <c r="B550"/>
      <c r="C550"/>
      <c r="D550"/>
      <c r="E550"/>
    </row>
    <row r="551" spans="1:5" x14ac:dyDescent="0.25">
      <c r="A551" s="7">
        <v>2.0398873437157055</v>
      </c>
      <c r="B551"/>
      <c r="C551"/>
      <c r="D551"/>
      <c r="E551"/>
    </row>
    <row r="552" spans="1:5" x14ac:dyDescent="0.25">
      <c r="A552" s="7">
        <v>1.9998895526624565</v>
      </c>
      <c r="B552"/>
      <c r="C552"/>
      <c r="D552"/>
      <c r="E552"/>
    </row>
    <row r="553" spans="1:5" x14ac:dyDescent="0.25">
      <c r="A553" s="7">
        <v>1.9606760320220162</v>
      </c>
      <c r="B553"/>
      <c r="C553"/>
      <c r="D553"/>
      <c r="E553"/>
    </row>
    <row r="554" spans="1:5" x14ac:dyDescent="0.25">
      <c r="A554" s="7">
        <v>1.9222314039431532</v>
      </c>
      <c r="B554"/>
      <c r="C554"/>
      <c r="D554"/>
      <c r="E554"/>
    </row>
    <row r="555" spans="1:5" x14ac:dyDescent="0.25">
      <c r="A555" s="7">
        <v>1.8845405921011305</v>
      </c>
      <c r="B555"/>
      <c r="C555"/>
      <c r="D555"/>
      <c r="E555"/>
    </row>
    <row r="556" spans="1:5" x14ac:dyDescent="0.25">
      <c r="A556" s="7">
        <v>1.8475888157854219</v>
      </c>
      <c r="B556"/>
      <c r="C556"/>
      <c r="D556"/>
      <c r="E556"/>
    </row>
    <row r="557" spans="1:5" x14ac:dyDescent="0.25">
      <c r="A557" s="7">
        <v>1.8113615841033548</v>
      </c>
      <c r="B557"/>
      <c r="C557"/>
      <c r="D557"/>
      <c r="E557"/>
    </row>
    <row r="558" spans="1:5" x14ac:dyDescent="0.25">
      <c r="A558" s="7">
        <v>1.7758446902974065</v>
      </c>
      <c r="B558"/>
      <c r="C558"/>
      <c r="D558"/>
      <c r="E558"/>
    </row>
    <row r="559" spans="1:5" x14ac:dyDescent="0.25">
      <c r="A559" s="7">
        <v>1.7410242061739281</v>
      </c>
      <c r="B559"/>
      <c r="C559"/>
      <c r="D559"/>
      <c r="E559"/>
    </row>
    <row r="560" spans="1:5" x14ac:dyDescent="0.25">
      <c r="A560" s="7">
        <v>1.7068864766411058</v>
      </c>
      <c r="B560"/>
      <c r="C560"/>
      <c r="D560"/>
      <c r="E560"/>
    </row>
    <row r="561" spans="1:17" x14ac:dyDescent="0.25">
      <c r="A561" s="7">
        <v>1.6734181143540252</v>
      </c>
      <c r="B561"/>
      <c r="C561"/>
      <c r="D561"/>
      <c r="E561"/>
    </row>
    <row r="562" spans="1:17" x14ac:dyDescent="0.25">
      <c r="A562" s="7">
        <v>1.6406059944647307</v>
      </c>
      <c r="B562"/>
      <c r="C562"/>
      <c r="D562"/>
      <c r="E562"/>
    </row>
    <row r="563" spans="1:17" x14ac:dyDescent="0.25">
      <c r="A563" s="7">
        <v>1.6084372494752261</v>
      </c>
      <c r="B563"/>
      <c r="C563"/>
      <c r="D563"/>
      <c r="E563"/>
    </row>
    <row r="564" spans="1:17" x14ac:dyDescent="0.25">
      <c r="A564" s="7">
        <v>1.5768992641913981</v>
      </c>
      <c r="B564"/>
      <c r="C564"/>
      <c r="D564"/>
      <c r="E564"/>
    </row>
    <row r="565" spans="1:17" x14ac:dyDescent="0.25">
      <c r="A565" s="7">
        <v>1.5459796707758806</v>
      </c>
      <c r="B565"/>
      <c r="C565"/>
      <c r="D565"/>
      <c r="E565"/>
    </row>
    <row r="566" spans="1:17" x14ac:dyDescent="0.25">
      <c r="A566" s="7">
        <v>1.5156663438979221</v>
      </c>
      <c r="B566"/>
      <c r="C566"/>
      <c r="D566"/>
      <c r="E566"/>
    </row>
    <row r="567" spans="1:17" x14ac:dyDescent="0.25">
      <c r="A567" s="7">
        <v>1.4859473959783549</v>
      </c>
      <c r="B567"/>
      <c r="C567"/>
      <c r="D567"/>
      <c r="E567"/>
    </row>
    <row r="568" spans="1:17" x14ac:dyDescent="0.25">
      <c r="A568" s="7">
        <v>1.4568111725277988</v>
      </c>
      <c r="B568"/>
      <c r="C568"/>
      <c r="D568"/>
      <c r="E568"/>
    </row>
    <row r="569" spans="1:17" x14ac:dyDescent="0.25">
      <c r="A569" s="7">
        <v>1.4282462475762734</v>
      </c>
      <c r="B569"/>
      <c r="C569"/>
      <c r="D569"/>
      <c r="E569"/>
    </row>
    <row r="570" spans="1:17" x14ac:dyDescent="0.25">
      <c r="A570" s="7">
        <v>1.4002414191924248</v>
      </c>
      <c r="B570"/>
      <c r="C570"/>
      <c r="D570"/>
      <c r="E570"/>
    </row>
    <row r="571" spans="1:17" x14ac:dyDescent="0.25">
      <c r="A571" s="7">
        <v>1.3727857050906125</v>
      </c>
      <c r="B571"/>
      <c r="C571"/>
      <c r="D571"/>
      <c r="E571"/>
    </row>
    <row r="572" spans="1:17" x14ac:dyDescent="0.25">
      <c r="A572" s="7">
        <v>1.3458683383241299</v>
      </c>
      <c r="B572"/>
      <c r="C572"/>
      <c r="D572"/>
      <c r="E572"/>
    </row>
    <row r="573" spans="1:17" x14ac:dyDescent="0.25">
      <c r="A573" s="7">
        <v>1.3194787630628724</v>
      </c>
      <c r="B573"/>
      <c r="C573"/>
      <c r="D573"/>
      <c r="E573"/>
    </row>
    <row r="574" spans="1:17" x14ac:dyDescent="0.25">
      <c r="A574" s="7">
        <v>1.2936066304537963</v>
      </c>
      <c r="B574"/>
      <c r="C574"/>
      <c r="D574"/>
      <c r="E574"/>
    </row>
    <row r="575" spans="1:17" x14ac:dyDescent="0.25">
      <c r="A575" s="7">
        <v>1.2682417945625455</v>
      </c>
      <c r="B575"/>
      <c r="C575"/>
      <c r="D575"/>
      <c r="E575"/>
    </row>
    <row r="576" spans="1:17" x14ac:dyDescent="0.25">
      <c r="A576" s="7">
        <v>1.2433743083946525</v>
      </c>
      <c r="B576"/>
      <c r="C576"/>
      <c r="D576"/>
      <c r="E576"/>
      <c r="Q576" s="27" t="s">
        <v>8</v>
      </c>
    </row>
    <row r="577" spans="1:20" x14ac:dyDescent="0.25">
      <c r="A577" s="7">
        <v>1.2189944199947573</v>
      </c>
      <c r="B577"/>
      <c r="C577"/>
      <c r="D577"/>
      <c r="E577"/>
      <c r="Q577" s="27" t="s">
        <v>8</v>
      </c>
      <c r="R577" s="27" t="s">
        <v>7</v>
      </c>
    </row>
    <row r="578" spans="1:20" x14ac:dyDescent="0.25">
      <c r="A578" s="7">
        <v>1.1950925686223111</v>
      </c>
      <c r="B578"/>
      <c r="C578"/>
      <c r="D578"/>
      <c r="E578"/>
      <c r="Q578" s="27" t="s">
        <v>8</v>
      </c>
      <c r="R578" s="27" t="s">
        <v>7</v>
      </c>
    </row>
    <row r="579" spans="1:20" x14ac:dyDescent="0.25">
      <c r="A579" s="7">
        <v>1.1716593810022657</v>
      </c>
      <c r="B579"/>
      <c r="C579"/>
      <c r="D579"/>
      <c r="E579"/>
      <c r="Q579" s="27" t="s">
        <v>8</v>
      </c>
      <c r="R579" s="27" t="s">
        <v>7</v>
      </c>
    </row>
    <row r="580" spans="1:20" x14ac:dyDescent="0.25">
      <c r="A580" s="7">
        <v>1.14868566764928</v>
      </c>
      <c r="B580"/>
      <c r="C580"/>
      <c r="D580"/>
      <c r="E580"/>
      <c r="Q580" s="27" t="s">
        <v>8</v>
      </c>
      <c r="R580" s="27" t="s">
        <v>7</v>
      </c>
    </row>
    <row r="581" spans="1:20" x14ac:dyDescent="0.25">
      <c r="A581" s="7">
        <v>1.1261624192640001</v>
      </c>
      <c r="B581"/>
      <c r="C581"/>
      <c r="D581"/>
      <c r="E581"/>
      <c r="Q581" s="27" t="s">
        <v>8</v>
      </c>
      <c r="R581" s="27" t="s">
        <v>7</v>
      </c>
    </row>
    <row r="582" spans="1:20" x14ac:dyDescent="0.25">
      <c r="A582" s="7">
        <v>1.1040808032</v>
      </c>
      <c r="B582"/>
      <c r="C582"/>
      <c r="D582"/>
      <c r="E582"/>
      <c r="Q582" s="27" t="s">
        <v>8</v>
      </c>
      <c r="R582" s="27" t="s">
        <v>7</v>
      </c>
    </row>
    <row r="583" spans="1:20" x14ac:dyDescent="0.25">
      <c r="A583" s="7">
        <v>1.08243216</v>
      </c>
      <c r="B583"/>
      <c r="C583"/>
      <c r="D583"/>
      <c r="E583"/>
      <c r="Q583" s="27" t="s">
        <v>8</v>
      </c>
      <c r="R583" s="27" t="s">
        <v>7</v>
      </c>
    </row>
    <row r="584" spans="1:20" x14ac:dyDescent="0.25">
      <c r="A584" s="7">
        <v>1.0612079999999999</v>
      </c>
      <c r="B584"/>
      <c r="C584"/>
      <c r="D584"/>
      <c r="E584"/>
      <c r="Q584" s="27" t="s">
        <v>8</v>
      </c>
      <c r="R584" s="27" t="s">
        <v>7</v>
      </c>
    </row>
    <row r="585" spans="1:20" x14ac:dyDescent="0.25">
      <c r="A585" s="7">
        <v>1.0404</v>
      </c>
      <c r="B585"/>
      <c r="C585"/>
      <c r="D585"/>
      <c r="E585"/>
      <c r="Q585" s="27" t="s">
        <v>8</v>
      </c>
      <c r="R585" s="27" t="s">
        <v>7</v>
      </c>
    </row>
    <row r="586" spans="1:20" x14ac:dyDescent="0.25">
      <c r="A586" s="7">
        <v>1.02</v>
      </c>
      <c r="B586"/>
      <c r="C586"/>
      <c r="D586"/>
      <c r="E586"/>
      <c r="Q586" s="27" t="s">
        <v>8</v>
      </c>
      <c r="R586" s="27" t="s">
        <v>7</v>
      </c>
    </row>
    <row r="587" spans="1:20" x14ac:dyDescent="0.25">
      <c r="A587" s="7">
        <v>1</v>
      </c>
      <c r="B587"/>
      <c r="C587"/>
      <c r="D587"/>
      <c r="E587" s="29" t="s">
        <v>8</v>
      </c>
      <c r="Q587" s="27" t="s">
        <v>8</v>
      </c>
      <c r="R587" s="27" t="s">
        <v>7</v>
      </c>
    </row>
    <row r="588" spans="1:20" x14ac:dyDescent="0.25">
      <c r="A588" s="7">
        <v>0.98039215686274506</v>
      </c>
      <c r="B588"/>
      <c r="C588"/>
      <c r="D588"/>
      <c r="E588"/>
      <c r="F588" s="27" t="s">
        <v>7</v>
      </c>
      <c r="Q588" s="27" t="s">
        <v>8</v>
      </c>
      <c r="R588" s="27" t="s">
        <v>7</v>
      </c>
    </row>
    <row r="589" spans="1:20" x14ac:dyDescent="0.25">
      <c r="A589" s="7">
        <v>0.96116878123798544</v>
      </c>
      <c r="B589"/>
      <c r="C589"/>
      <c r="D589"/>
      <c r="E589"/>
      <c r="F589" s="27" t="s">
        <v>7</v>
      </c>
      <c r="Q589" s="27" t="s">
        <v>8</v>
      </c>
      <c r="R589" s="27" t="s">
        <v>7</v>
      </c>
    </row>
    <row r="590" spans="1:20" x14ac:dyDescent="0.25">
      <c r="A590" s="7">
        <v>0.94232233454704462</v>
      </c>
      <c r="B590"/>
      <c r="C590"/>
      <c r="D590"/>
      <c r="E590"/>
      <c r="F590" s="27" t="s">
        <v>7</v>
      </c>
      <c r="Q590" s="27" t="s">
        <v>8</v>
      </c>
      <c r="R590" s="27" t="s">
        <v>7</v>
      </c>
    </row>
    <row r="591" spans="1:20" x14ac:dyDescent="0.25">
      <c r="A591" s="7">
        <v>0.92384542602651432</v>
      </c>
      <c r="B591"/>
      <c r="C591"/>
      <c r="D591"/>
      <c r="E591"/>
      <c r="F591" s="27" t="s">
        <v>7</v>
      </c>
      <c r="Q591" s="27" t="s">
        <v>8</v>
      </c>
      <c r="R591" s="27" t="s">
        <v>7</v>
      </c>
      <c r="S591" s="27" t="s">
        <v>8</v>
      </c>
    </row>
    <row r="592" spans="1:20" x14ac:dyDescent="0.25">
      <c r="A592" s="7">
        <v>0.90573080982991594</v>
      </c>
      <c r="B592"/>
      <c r="C592"/>
      <c r="D592"/>
      <c r="E592"/>
      <c r="F592" s="27" t="s">
        <v>7</v>
      </c>
      <c r="Q592" s="27" t="s">
        <v>8</v>
      </c>
      <c r="R592" s="27" t="s">
        <v>7</v>
      </c>
      <c r="S592" s="27" t="s">
        <v>8</v>
      </c>
      <c r="T592" s="27" t="s">
        <v>7</v>
      </c>
    </row>
    <row r="593" spans="1:48" x14ac:dyDescent="0.25">
      <c r="A593" s="7">
        <v>0.8879713821861922</v>
      </c>
      <c r="B593"/>
      <c r="C593"/>
      <c r="D593"/>
      <c r="E593"/>
      <c r="F593" s="27" t="s">
        <v>7</v>
      </c>
      <c r="Q593" s="27" t="s">
        <v>8</v>
      </c>
      <c r="R593" s="27" t="s">
        <v>7</v>
      </c>
      <c r="S593" s="27" t="s">
        <v>8</v>
      </c>
      <c r="T593" s="27" t="s">
        <v>7</v>
      </c>
      <c r="U593" s="27" t="s">
        <v>8</v>
      </c>
      <c r="Y593" s="27" t="s">
        <v>8</v>
      </c>
      <c r="AC593" s="27" t="s">
        <v>8</v>
      </c>
    </row>
    <row r="594" spans="1:48" x14ac:dyDescent="0.25">
      <c r="A594" s="7">
        <v>0.87056017861391399</v>
      </c>
      <c r="B594"/>
      <c r="C594"/>
      <c r="D594"/>
      <c r="E594"/>
      <c r="F594" s="27" t="s">
        <v>7</v>
      </c>
      <c r="Q594" s="27" t="s">
        <v>8</v>
      </c>
      <c r="R594" s="27" t="s">
        <v>7</v>
      </c>
      <c r="S594" s="27" t="s">
        <v>8</v>
      </c>
      <c r="T594" s="27" t="s">
        <v>7</v>
      </c>
      <c r="U594" s="27" t="s">
        <v>8</v>
      </c>
      <c r="V594" s="27" t="s">
        <v>7</v>
      </c>
      <c r="W594" s="27" t="s">
        <v>8</v>
      </c>
      <c r="Y594" s="27" t="s">
        <v>8</v>
      </c>
      <c r="Z594" s="27" t="s">
        <v>7</v>
      </c>
      <c r="AC594" s="27" t="s">
        <v>8</v>
      </c>
      <c r="AD594" s="27" t="s">
        <v>7</v>
      </c>
    </row>
    <row r="595" spans="1:48" x14ac:dyDescent="0.25">
      <c r="A595" s="7">
        <v>0.85349037119011173</v>
      </c>
      <c r="B595"/>
      <c r="C595"/>
      <c r="D595"/>
      <c r="E595"/>
      <c r="F595" s="27" t="s">
        <v>7</v>
      </c>
      <c r="Q595" s="27" t="s">
        <v>8</v>
      </c>
      <c r="R595" s="27" t="s">
        <v>7</v>
      </c>
      <c r="S595" s="27" t="s">
        <v>8</v>
      </c>
      <c r="T595" s="27" t="s">
        <v>7</v>
      </c>
      <c r="U595" s="27" t="s">
        <v>8</v>
      </c>
      <c r="V595" s="27" t="s">
        <v>7</v>
      </c>
      <c r="W595" s="27" t="s">
        <v>8</v>
      </c>
      <c r="X595" s="27" t="s">
        <v>7</v>
      </c>
      <c r="Y595" s="27" t="s">
        <v>8</v>
      </c>
      <c r="Z595" s="27" t="s">
        <v>7</v>
      </c>
      <c r="AC595" s="27" t="s">
        <v>8</v>
      </c>
      <c r="AD595" s="27" t="s">
        <v>7</v>
      </c>
    </row>
    <row r="596" spans="1:48" x14ac:dyDescent="0.25">
      <c r="A596" s="7">
        <v>0.83675526587265858</v>
      </c>
      <c r="B596"/>
      <c r="C596"/>
      <c r="D596"/>
      <c r="E596"/>
      <c r="F596" s="27" t="s">
        <v>7</v>
      </c>
      <c r="O596" s="27" t="s">
        <v>8</v>
      </c>
      <c r="Q596" s="27" t="s">
        <v>8</v>
      </c>
      <c r="R596" s="27" t="s">
        <v>7</v>
      </c>
      <c r="S596" s="27" t="s">
        <v>8</v>
      </c>
      <c r="T596" s="27" t="s">
        <v>7</v>
      </c>
      <c r="U596" s="27" t="s">
        <v>8</v>
      </c>
      <c r="V596" s="27" t="s">
        <v>7</v>
      </c>
      <c r="W596" s="27" t="s">
        <v>8</v>
      </c>
      <c r="X596" s="27" t="s">
        <v>7</v>
      </c>
      <c r="Y596" s="27" t="s">
        <v>8</v>
      </c>
      <c r="Z596" s="27" t="s">
        <v>7</v>
      </c>
      <c r="AC596" s="27" t="s">
        <v>8</v>
      </c>
      <c r="AD596" s="27" t="s">
        <v>7</v>
      </c>
    </row>
    <row r="597" spans="1:48" x14ac:dyDescent="0.25">
      <c r="A597" s="7">
        <v>0.82034829987515545</v>
      </c>
      <c r="B597"/>
      <c r="C597"/>
      <c r="D597"/>
      <c r="E597"/>
      <c r="F597" s="27" t="s">
        <v>7</v>
      </c>
      <c r="O597" s="27" t="s">
        <v>8</v>
      </c>
      <c r="P597" s="27" t="s">
        <v>7</v>
      </c>
      <c r="Q597" s="27" t="s">
        <v>8</v>
      </c>
      <c r="R597" s="27" t="s">
        <v>7</v>
      </c>
      <c r="S597" s="27" t="s">
        <v>8</v>
      </c>
      <c r="T597" s="27" t="s">
        <v>7</v>
      </c>
      <c r="U597" s="27" t="s">
        <v>8</v>
      </c>
      <c r="V597" s="27" t="s">
        <v>7</v>
      </c>
      <c r="W597" s="27" t="s">
        <v>8</v>
      </c>
      <c r="X597" s="27" t="s">
        <v>7</v>
      </c>
      <c r="Y597" s="27" t="s">
        <v>8</v>
      </c>
      <c r="Z597" s="27" t="s">
        <v>7</v>
      </c>
      <c r="AC597" s="27" t="s">
        <v>8</v>
      </c>
      <c r="AD597" s="27" t="s">
        <v>7</v>
      </c>
    </row>
    <row r="598" spans="1:48" x14ac:dyDescent="0.25">
      <c r="A598" s="7">
        <v>0.80426303909328967</v>
      </c>
      <c r="B598"/>
      <c r="C598"/>
      <c r="D598"/>
      <c r="E598"/>
      <c r="F598" s="27" t="s">
        <v>7</v>
      </c>
      <c r="O598" s="27" t="s">
        <v>8</v>
      </c>
      <c r="P598" s="27" t="s">
        <v>7</v>
      </c>
      <c r="Q598" s="27" t="s">
        <v>8</v>
      </c>
      <c r="R598" s="27" t="s">
        <v>7</v>
      </c>
      <c r="S598" s="27" t="s">
        <v>8</v>
      </c>
      <c r="T598" s="27" t="s">
        <v>7</v>
      </c>
      <c r="U598" s="27" t="s">
        <v>8</v>
      </c>
      <c r="V598" s="27" t="s">
        <v>7</v>
      </c>
      <c r="W598" s="27" t="s">
        <v>8</v>
      </c>
      <c r="X598" s="27" t="s">
        <v>7</v>
      </c>
      <c r="Y598" s="27" t="s">
        <v>8</v>
      </c>
      <c r="Z598" s="27" t="s">
        <v>7</v>
      </c>
      <c r="AC598" s="27" t="s">
        <v>8</v>
      </c>
      <c r="AD598" s="27" t="s">
        <v>7</v>
      </c>
    </row>
    <row r="599" spans="1:48" x14ac:dyDescent="0.25">
      <c r="A599" s="7">
        <v>0.78849317558165644</v>
      </c>
      <c r="B599"/>
      <c r="C599"/>
      <c r="D599"/>
      <c r="E599"/>
      <c r="F599" s="27" t="s">
        <v>7</v>
      </c>
      <c r="O599" s="27" t="s">
        <v>8</v>
      </c>
      <c r="P599" s="27" t="s">
        <v>7</v>
      </c>
      <c r="Q599" s="27" t="s">
        <v>8</v>
      </c>
      <c r="R599" s="27" t="s">
        <v>7</v>
      </c>
      <c r="T599" s="27" t="s">
        <v>7</v>
      </c>
      <c r="V599" s="27" t="s">
        <v>7</v>
      </c>
      <c r="W599" s="27" t="s">
        <v>8</v>
      </c>
      <c r="X599" s="27" t="s">
        <v>7</v>
      </c>
      <c r="Y599" s="27" t="s">
        <v>8</v>
      </c>
      <c r="Z599" s="27" t="s">
        <v>7</v>
      </c>
      <c r="AA599" s="27" t="s">
        <v>8</v>
      </c>
      <c r="AC599" s="27" t="s">
        <v>8</v>
      </c>
      <c r="AD599" s="27" t="s">
        <v>7</v>
      </c>
    </row>
    <row r="600" spans="1:48" x14ac:dyDescent="0.25">
      <c r="A600" s="7">
        <v>0.77303252508005538</v>
      </c>
      <c r="B600"/>
      <c r="C600"/>
      <c r="D600"/>
      <c r="E600"/>
      <c r="F600" s="27" t="s">
        <v>7</v>
      </c>
      <c r="M600" s="27" t="s">
        <v>8</v>
      </c>
      <c r="O600" s="27" t="s">
        <v>8</v>
      </c>
      <c r="P600" s="27" t="s">
        <v>7</v>
      </c>
      <c r="Q600" s="27" t="s">
        <v>8</v>
      </c>
      <c r="V600" s="27" t="s">
        <v>7</v>
      </c>
      <c r="W600" s="27" t="s">
        <v>8</v>
      </c>
      <c r="X600" s="27" t="s">
        <v>7</v>
      </c>
      <c r="Y600" s="27" t="s">
        <v>8</v>
      </c>
      <c r="Z600" s="27" t="s">
        <v>7</v>
      </c>
      <c r="AA600" s="27" t="s">
        <v>8</v>
      </c>
      <c r="AB600" s="27" t="s">
        <v>7</v>
      </c>
      <c r="AC600" s="27" t="s">
        <v>8</v>
      </c>
      <c r="AD600" s="27" t="s">
        <v>7</v>
      </c>
    </row>
    <row r="601" spans="1:48" x14ac:dyDescent="0.25">
      <c r="A601" s="7">
        <v>0.75787502458828959</v>
      </c>
      <c r="B601"/>
      <c r="C601"/>
      <c r="D601"/>
      <c r="E601"/>
      <c r="F601" s="27" t="s">
        <v>7</v>
      </c>
      <c r="M601" s="27" t="s">
        <v>8</v>
      </c>
      <c r="N601" s="27" t="s">
        <v>7</v>
      </c>
      <c r="O601" s="27" t="s">
        <v>8</v>
      </c>
      <c r="P601" s="27" t="s">
        <v>7</v>
      </c>
      <c r="Q601" s="27" t="s">
        <v>8</v>
      </c>
      <c r="V601" s="27" t="s">
        <v>7</v>
      </c>
      <c r="W601" s="27" t="s">
        <v>8</v>
      </c>
      <c r="X601" s="27" t="s">
        <v>7</v>
      </c>
      <c r="Y601" s="27" t="s">
        <v>8</v>
      </c>
      <c r="Z601" s="27" t="s">
        <v>7</v>
      </c>
      <c r="AA601" s="27" t="s">
        <v>8</v>
      </c>
      <c r="AB601" s="27" t="s">
        <v>7</v>
      </c>
      <c r="AC601" s="27" t="s">
        <v>8</v>
      </c>
      <c r="AD601" s="27" t="s">
        <v>7</v>
      </c>
      <c r="AE601" s="27" t="s">
        <v>8</v>
      </c>
      <c r="AG601" s="27" t="s">
        <v>8</v>
      </c>
    </row>
    <row r="602" spans="1:48" x14ac:dyDescent="0.25">
      <c r="A602" s="7">
        <v>0.74301472998851925</v>
      </c>
      <c r="B602"/>
      <c r="C602"/>
      <c r="D602"/>
      <c r="E602"/>
      <c r="F602" s="27" t="s">
        <v>7</v>
      </c>
      <c r="M602" s="27" t="s">
        <v>8</v>
      </c>
      <c r="N602" s="27" t="s">
        <v>7</v>
      </c>
      <c r="O602" s="27" t="s">
        <v>8</v>
      </c>
      <c r="P602" s="27" t="s">
        <v>7</v>
      </c>
      <c r="Q602" s="27" t="s">
        <v>8</v>
      </c>
      <c r="V602" s="27" t="s">
        <v>7</v>
      </c>
      <c r="W602" s="27" t="s">
        <v>8</v>
      </c>
      <c r="X602" s="27" t="s">
        <v>7</v>
      </c>
      <c r="Y602" s="27" t="s">
        <v>8</v>
      </c>
      <c r="Z602" s="27" t="s">
        <v>7</v>
      </c>
      <c r="AA602" s="27" t="s">
        <v>8</v>
      </c>
      <c r="AB602" s="27" t="s">
        <v>7</v>
      </c>
      <c r="AC602" s="27" t="s">
        <v>8</v>
      </c>
      <c r="AD602" s="27" t="s">
        <v>7</v>
      </c>
      <c r="AE602" s="27" t="s">
        <v>8</v>
      </c>
      <c r="AF602" s="27" t="s">
        <v>7</v>
      </c>
      <c r="AG602" s="27" t="s">
        <v>8</v>
      </c>
      <c r="AH602" s="27" t="s">
        <v>7</v>
      </c>
    </row>
    <row r="603" spans="1:48" x14ac:dyDescent="0.25">
      <c r="A603" s="7">
        <v>0.72844581371423456</v>
      </c>
      <c r="B603"/>
      <c r="C603"/>
      <c r="D603"/>
      <c r="E603"/>
      <c r="F603" s="27" t="s">
        <v>7</v>
      </c>
      <c r="M603" s="27" t="s">
        <v>8</v>
      </c>
      <c r="N603" s="27" t="s">
        <v>7</v>
      </c>
      <c r="O603" s="27" t="s">
        <v>8</v>
      </c>
      <c r="P603" s="27" t="s">
        <v>7</v>
      </c>
      <c r="V603" s="27" t="s">
        <v>7</v>
      </c>
      <c r="X603" s="27" t="s">
        <v>7</v>
      </c>
      <c r="Y603" s="27" t="s">
        <v>8</v>
      </c>
      <c r="Z603" s="27" t="s">
        <v>7</v>
      </c>
      <c r="AA603" s="27" t="s">
        <v>8</v>
      </c>
      <c r="AB603" s="27" t="s">
        <v>7</v>
      </c>
      <c r="AC603" s="27" t="s">
        <v>8</v>
      </c>
      <c r="AD603" s="27" t="s">
        <v>7</v>
      </c>
      <c r="AE603" s="27" t="s">
        <v>8</v>
      </c>
      <c r="AF603" s="27" t="s">
        <v>7</v>
      </c>
      <c r="AG603" s="27" t="s">
        <v>8</v>
      </c>
      <c r="AH603" s="27" t="s">
        <v>7</v>
      </c>
    </row>
    <row r="604" spans="1:48" x14ac:dyDescent="0.25">
      <c r="A604" s="7">
        <v>0.71416256246493581</v>
      </c>
      <c r="B604"/>
      <c r="C604"/>
      <c r="D604"/>
      <c r="E604"/>
      <c r="F604" s="27" t="s">
        <v>7</v>
      </c>
      <c r="M604" s="27" t="s">
        <v>8</v>
      </c>
      <c r="N604" s="27" t="s">
        <v>7</v>
      </c>
      <c r="O604" s="27" t="s">
        <v>8</v>
      </c>
      <c r="X604" s="27" t="s">
        <v>7</v>
      </c>
      <c r="Y604" s="27" t="s">
        <v>8</v>
      </c>
      <c r="Z604" s="27" t="s">
        <v>7</v>
      </c>
      <c r="AA604" s="27" t="s">
        <v>8</v>
      </c>
      <c r="AB604" s="27" t="s">
        <v>7</v>
      </c>
      <c r="AD604" s="27" t="s">
        <v>7</v>
      </c>
      <c r="AE604" s="27" t="s">
        <v>8</v>
      </c>
      <c r="AF604" s="27" t="s">
        <v>7</v>
      </c>
      <c r="AG604" s="27" t="s">
        <v>8</v>
      </c>
      <c r="AH604" s="27" t="s">
        <v>7</v>
      </c>
    </row>
    <row r="605" spans="1:48" x14ac:dyDescent="0.25">
      <c r="A605" s="7">
        <v>0.7001593749656233</v>
      </c>
      <c r="B605"/>
      <c r="C605"/>
      <c r="D605"/>
      <c r="E605"/>
      <c r="F605" s="27" t="s">
        <v>7</v>
      </c>
      <c r="M605" s="27" t="s">
        <v>8</v>
      </c>
      <c r="N605" s="27" t="s">
        <v>7</v>
      </c>
      <c r="O605" s="27" t="s">
        <v>8</v>
      </c>
      <c r="X605" s="27" t="s">
        <v>7</v>
      </c>
      <c r="Y605" s="27" t="s">
        <v>8</v>
      </c>
      <c r="Z605" s="27" t="s">
        <v>7</v>
      </c>
      <c r="AA605" s="27" t="s">
        <v>8</v>
      </c>
      <c r="AD605" s="27" t="s">
        <v>7</v>
      </c>
      <c r="AE605" s="27" t="s">
        <v>8</v>
      </c>
      <c r="AF605" s="27" t="s">
        <v>7</v>
      </c>
      <c r="AG605" s="27" t="s">
        <v>8</v>
      </c>
      <c r="AH605" s="27" t="s">
        <v>7</v>
      </c>
    </row>
    <row r="606" spans="1:48" x14ac:dyDescent="0.25">
      <c r="A606" s="7">
        <v>0.68643075977021883</v>
      </c>
      <c r="B606"/>
      <c r="C606"/>
      <c r="D606"/>
      <c r="E606"/>
      <c r="F606" s="27" t="s">
        <v>7</v>
      </c>
      <c r="M606" s="27" t="s">
        <v>8</v>
      </c>
      <c r="N606" s="27" t="s">
        <v>7</v>
      </c>
      <c r="O606" s="27" t="s">
        <v>8</v>
      </c>
      <c r="X606" s="27" t="s">
        <v>7</v>
      </c>
      <c r="Z606" s="27" t="s">
        <v>7</v>
      </c>
      <c r="AA606" s="27" t="s">
        <v>8</v>
      </c>
      <c r="AD606" s="27" t="s">
        <v>7</v>
      </c>
      <c r="AF606" s="27" t="s">
        <v>7</v>
      </c>
      <c r="AG606" s="27" t="s">
        <v>8</v>
      </c>
      <c r="AH606" s="27" t="s">
        <v>7</v>
      </c>
      <c r="AI606" s="27" t="s">
        <v>8</v>
      </c>
      <c r="AK606" s="27" t="s">
        <v>8</v>
      </c>
    </row>
    <row r="607" spans="1:48" x14ac:dyDescent="0.25">
      <c r="A607" s="7">
        <v>0.67297133310805768</v>
      </c>
      <c r="B607"/>
      <c r="C607"/>
      <c r="D607"/>
      <c r="E607"/>
      <c r="F607" s="27" t="s">
        <v>7</v>
      </c>
      <c r="M607" s="27" t="s">
        <v>8</v>
      </c>
      <c r="N607" s="27" t="s">
        <v>7</v>
      </c>
      <c r="O607" s="27" t="s">
        <v>8</v>
      </c>
      <c r="Z607" s="27" t="s">
        <v>7</v>
      </c>
      <c r="AA607" s="27" t="s">
        <v>8</v>
      </c>
      <c r="AF607" s="27" t="s">
        <v>7</v>
      </c>
      <c r="AG607" s="27" t="s">
        <v>8</v>
      </c>
      <c r="AH607" s="27" t="s">
        <v>7</v>
      </c>
      <c r="AI607" s="27" t="s">
        <v>8</v>
      </c>
      <c r="AJ607" s="27" t="s">
        <v>7</v>
      </c>
      <c r="AK607" s="27" t="s">
        <v>8</v>
      </c>
      <c r="AL607" s="27" t="s">
        <v>7</v>
      </c>
      <c r="AU607" s="27" t="s">
        <v>8</v>
      </c>
    </row>
    <row r="608" spans="1:48" x14ac:dyDescent="0.25">
      <c r="A608" s="7">
        <v>0.65977581677260566</v>
      </c>
      <c r="B608"/>
      <c r="C608"/>
      <c r="D608"/>
      <c r="E608"/>
      <c r="F608" s="27" t="s">
        <v>7</v>
      </c>
      <c r="M608" s="27" t="s">
        <v>8</v>
      </c>
      <c r="N608" s="27" t="s">
        <v>7</v>
      </c>
      <c r="Z608" s="27" t="s">
        <v>7</v>
      </c>
      <c r="AA608" s="27" t="s">
        <v>8</v>
      </c>
      <c r="AF608" s="27" t="s">
        <v>7</v>
      </c>
      <c r="AG608" s="27" t="s">
        <v>8</v>
      </c>
      <c r="AH608" s="27" t="s">
        <v>7</v>
      </c>
      <c r="AI608" s="27" t="s">
        <v>8</v>
      </c>
      <c r="AJ608" s="27" t="s">
        <v>7</v>
      </c>
      <c r="AK608" s="27" t="s">
        <v>8</v>
      </c>
      <c r="AL608" s="27" t="s">
        <v>7</v>
      </c>
      <c r="AU608" s="27" t="s">
        <v>8</v>
      </c>
      <c r="AV608" s="27" t="s">
        <v>7</v>
      </c>
    </row>
    <row r="609" spans="1:164" x14ac:dyDescent="0.25">
      <c r="A609" s="7">
        <v>0.64683903605157422</v>
      </c>
      <c r="B609"/>
      <c r="C609"/>
      <c r="D609"/>
      <c r="E609"/>
      <c r="F609" s="27" t="s">
        <v>7</v>
      </c>
      <c r="M609" s="27" t="s">
        <v>8</v>
      </c>
      <c r="Z609" s="27" t="s">
        <v>7</v>
      </c>
      <c r="AA609" s="27" t="s">
        <v>8</v>
      </c>
      <c r="AF609" s="27" t="s">
        <v>7</v>
      </c>
      <c r="AG609" s="27" t="s">
        <v>8</v>
      </c>
      <c r="AH609" s="27" t="s">
        <v>7</v>
      </c>
      <c r="AI609" s="27" t="s">
        <v>8</v>
      </c>
      <c r="AJ609" s="27" t="s">
        <v>7</v>
      </c>
      <c r="AK609" s="27" t="s">
        <v>8</v>
      </c>
      <c r="AL609" s="27" t="s">
        <v>7</v>
      </c>
      <c r="AU609" s="27" t="s">
        <v>8</v>
      </c>
      <c r="AV609" s="27" t="s">
        <v>7</v>
      </c>
    </row>
    <row r="610" spans="1:164" x14ac:dyDescent="0.25">
      <c r="A610" s="7">
        <v>0.63415591769762181</v>
      </c>
      <c r="B610"/>
      <c r="C610"/>
      <c r="D610"/>
      <c r="E610"/>
      <c r="F610" s="27" t="s">
        <v>7</v>
      </c>
      <c r="I610" s="27" t="s">
        <v>8</v>
      </c>
      <c r="M610" s="27" t="s">
        <v>8</v>
      </c>
      <c r="Z610" s="27" t="s">
        <v>7</v>
      </c>
      <c r="AF610" s="27" t="s">
        <v>7</v>
      </c>
      <c r="AH610" s="27" t="s">
        <v>7</v>
      </c>
      <c r="AI610" s="27" t="s">
        <v>8</v>
      </c>
      <c r="AJ610" s="27" t="s">
        <v>7</v>
      </c>
      <c r="AK610" s="27" t="s">
        <v>8</v>
      </c>
      <c r="AL610" s="27" t="s">
        <v>7</v>
      </c>
      <c r="AM610" s="27" t="s">
        <v>8</v>
      </c>
      <c r="AU610" s="27" t="s">
        <v>8</v>
      </c>
      <c r="AV610" s="27" t="s">
        <v>7</v>
      </c>
      <c r="AW610" s="27" t="s">
        <v>8</v>
      </c>
    </row>
    <row r="611" spans="1:164" x14ac:dyDescent="0.25">
      <c r="A611" s="7">
        <v>0.62172148793884496</v>
      </c>
      <c r="B611"/>
      <c r="C611"/>
      <c r="D611"/>
      <c r="E611"/>
      <c r="F611" s="27" t="s">
        <v>7</v>
      </c>
      <c r="I611" s="27" t="s">
        <v>8</v>
      </c>
      <c r="J611" s="27" t="s">
        <v>7</v>
      </c>
      <c r="M611" s="27" t="s">
        <v>8</v>
      </c>
      <c r="AH611" s="27" t="s">
        <v>7</v>
      </c>
      <c r="AI611" s="27" t="s">
        <v>8</v>
      </c>
      <c r="AJ611" s="27" t="s">
        <v>7</v>
      </c>
      <c r="AK611" s="27" t="s">
        <v>8</v>
      </c>
      <c r="AL611" s="27" t="s">
        <v>7</v>
      </c>
      <c r="AM611" s="27" t="s">
        <v>8</v>
      </c>
      <c r="AN611" s="27" t="s">
        <v>7</v>
      </c>
      <c r="AU611" s="27" t="s">
        <v>8</v>
      </c>
      <c r="AV611" s="27" t="s">
        <v>7</v>
      </c>
      <c r="AW611" s="27" t="s">
        <v>8</v>
      </c>
      <c r="AX611" s="27" t="s">
        <v>7</v>
      </c>
    </row>
    <row r="612" spans="1:164" x14ac:dyDescent="0.25">
      <c r="A612" s="7">
        <v>0.60953087052827937</v>
      </c>
      <c r="B612"/>
      <c r="C612"/>
      <c r="D612"/>
      <c r="E612"/>
      <c r="F612" s="27" t="s">
        <v>7</v>
      </c>
      <c r="I612" s="27" t="s">
        <v>8</v>
      </c>
      <c r="J612" s="27" t="s">
        <v>7</v>
      </c>
      <c r="M612" s="27" t="s">
        <v>8</v>
      </c>
      <c r="AH612" s="27" t="s">
        <v>7</v>
      </c>
      <c r="AI612" s="27" t="s">
        <v>8</v>
      </c>
      <c r="AJ612" s="27" t="s">
        <v>7</v>
      </c>
      <c r="AK612" s="27" t="s">
        <v>8</v>
      </c>
      <c r="AL612" s="27" t="s">
        <v>7</v>
      </c>
      <c r="AM612" s="27" t="s">
        <v>8</v>
      </c>
      <c r="AN612" s="27" t="s">
        <v>7</v>
      </c>
      <c r="AU612" s="27" t="s">
        <v>8</v>
      </c>
      <c r="AV612" s="27" t="s">
        <v>7</v>
      </c>
      <c r="AW612" s="27" t="s">
        <v>8</v>
      </c>
      <c r="AX612" s="27" t="s">
        <v>7</v>
      </c>
    </row>
    <row r="613" spans="1:164" x14ac:dyDescent="0.25">
      <c r="A613" s="7">
        <v>0.59757928483164646</v>
      </c>
      <c r="B613"/>
      <c r="C613"/>
      <c r="D613"/>
      <c r="E613"/>
      <c r="F613" s="27" t="s">
        <v>7</v>
      </c>
      <c r="I613" s="27" t="s">
        <v>8</v>
      </c>
      <c r="J613" s="27" t="s">
        <v>7</v>
      </c>
      <c r="M613" s="27" t="s">
        <v>8</v>
      </c>
      <c r="AH613" s="27" t="s">
        <v>7</v>
      </c>
      <c r="AI613" s="27" t="s">
        <v>8</v>
      </c>
      <c r="AJ613" s="27" t="s">
        <v>7</v>
      </c>
      <c r="AK613" s="27" t="s">
        <v>8</v>
      </c>
      <c r="AL613" s="27" t="s">
        <v>7</v>
      </c>
      <c r="AM613" s="27" t="s">
        <v>8</v>
      </c>
      <c r="AN613" s="27" t="s">
        <v>7</v>
      </c>
      <c r="AO613" s="27" t="s">
        <v>8</v>
      </c>
      <c r="AU613" s="27" t="s">
        <v>8</v>
      </c>
      <c r="AV613" s="27" t="s">
        <v>7</v>
      </c>
      <c r="AW613" s="27" t="s">
        <v>8</v>
      </c>
      <c r="AX613" s="27" t="s">
        <v>7</v>
      </c>
    </row>
    <row r="614" spans="1:164" x14ac:dyDescent="0.25">
      <c r="A614" s="7">
        <v>0.58586204395259456</v>
      </c>
      <c r="B614"/>
      <c r="C614"/>
      <c r="D614"/>
      <c r="E614"/>
      <c r="F614" s="27" t="s">
        <v>7</v>
      </c>
      <c r="I614" s="27" t="s">
        <v>8</v>
      </c>
      <c r="J614" s="27" t="s">
        <v>7</v>
      </c>
      <c r="M614" s="27" t="s">
        <v>8</v>
      </c>
      <c r="AH614" s="27" t="s">
        <v>7</v>
      </c>
      <c r="AI614" s="27" t="s">
        <v>8</v>
      </c>
      <c r="AJ614" s="27" t="s">
        <v>7</v>
      </c>
      <c r="AL614" s="27" t="s">
        <v>7</v>
      </c>
      <c r="AM614" s="27" t="s">
        <v>8</v>
      </c>
      <c r="AN614" s="27" t="s">
        <v>7</v>
      </c>
      <c r="AO614" s="27" t="s">
        <v>8</v>
      </c>
      <c r="AP614" s="27" t="s">
        <v>7</v>
      </c>
      <c r="AS614" s="27" t="s">
        <v>8</v>
      </c>
      <c r="AU614" s="27" t="s">
        <v>8</v>
      </c>
      <c r="AV614" s="27" t="s">
        <v>7</v>
      </c>
      <c r="AW614" s="27" t="s">
        <v>8</v>
      </c>
      <c r="AX614" s="27" t="s">
        <v>7</v>
      </c>
    </row>
    <row r="615" spans="1:164" x14ac:dyDescent="0.25">
      <c r="A615" s="7">
        <v>0.57437455289470052</v>
      </c>
      <c r="B615"/>
      <c r="C615"/>
      <c r="D615"/>
      <c r="E615"/>
      <c r="F615" s="27" t="s">
        <v>7</v>
      </c>
      <c r="I615" s="27" t="s">
        <v>8</v>
      </c>
      <c r="J615" s="27" t="s">
        <v>7</v>
      </c>
      <c r="K615" s="27" t="s">
        <v>8</v>
      </c>
      <c r="M615" s="27" t="s">
        <v>8</v>
      </c>
      <c r="AH615" s="27" t="s">
        <v>7</v>
      </c>
      <c r="AI615" s="27" t="s">
        <v>8</v>
      </c>
      <c r="AL615" s="27" t="s">
        <v>7</v>
      </c>
      <c r="AN615" s="27" t="s">
        <v>7</v>
      </c>
      <c r="AO615" s="27" t="s">
        <v>8</v>
      </c>
      <c r="AP615" s="27" t="s">
        <v>7</v>
      </c>
      <c r="AS615" s="27" t="s">
        <v>8</v>
      </c>
      <c r="AT615" s="27" t="s">
        <v>7</v>
      </c>
      <c r="AU615" s="27" t="s">
        <v>8</v>
      </c>
      <c r="AV615" s="27" t="s">
        <v>7</v>
      </c>
      <c r="AW615" s="27" t="s">
        <v>8</v>
      </c>
      <c r="AX615" s="27" t="s">
        <v>7</v>
      </c>
    </row>
    <row r="616" spans="1:164" x14ac:dyDescent="0.25">
      <c r="A616" s="7">
        <v>0.56311230675951029</v>
      </c>
      <c r="B616"/>
      <c r="C616"/>
      <c r="D616"/>
      <c r="E616"/>
      <c r="F616" s="27" t="s">
        <v>7</v>
      </c>
      <c r="I616" s="27" t="s">
        <v>8</v>
      </c>
      <c r="J616" s="27" t="s">
        <v>7</v>
      </c>
      <c r="K616" s="27" t="s">
        <v>8</v>
      </c>
      <c r="L616" s="27" t="s">
        <v>7</v>
      </c>
      <c r="M616" s="27" t="s">
        <v>8</v>
      </c>
      <c r="AH616" s="27" t="s">
        <v>7</v>
      </c>
      <c r="AI616" s="27" t="s">
        <v>8</v>
      </c>
      <c r="AN616" s="27" t="s">
        <v>7</v>
      </c>
      <c r="AO616" s="27" t="s">
        <v>8</v>
      </c>
      <c r="AP616" s="27" t="s">
        <v>7</v>
      </c>
      <c r="AS616" s="27" t="s">
        <v>8</v>
      </c>
      <c r="AT616" s="27" t="s">
        <v>7</v>
      </c>
      <c r="AU616" s="27" t="s">
        <v>8</v>
      </c>
      <c r="AV616" s="27" t="s">
        <v>7</v>
      </c>
      <c r="AW616" s="27" t="s">
        <v>8</v>
      </c>
      <c r="AX616" s="27" t="s">
        <v>7</v>
      </c>
    </row>
    <row r="617" spans="1:164" x14ac:dyDescent="0.25">
      <c r="A617" s="7">
        <v>0.55207088897991208</v>
      </c>
      <c r="B617"/>
      <c r="C617"/>
      <c r="D617"/>
      <c r="E617"/>
      <c r="F617" s="27" t="s">
        <v>7</v>
      </c>
      <c r="I617" s="27" t="s">
        <v>8</v>
      </c>
      <c r="J617" s="27" t="s">
        <v>7</v>
      </c>
      <c r="K617" s="27" t="s">
        <v>8</v>
      </c>
      <c r="L617" s="27" t="s">
        <v>7</v>
      </c>
      <c r="M617" s="27" t="s">
        <v>8</v>
      </c>
      <c r="AH617" s="27" t="s">
        <v>7</v>
      </c>
      <c r="AI617" s="27" t="s">
        <v>8</v>
      </c>
      <c r="AN617" s="27" t="s">
        <v>7</v>
      </c>
      <c r="AP617" s="27" t="s">
        <v>7</v>
      </c>
      <c r="AS617" s="27" t="s">
        <v>8</v>
      </c>
      <c r="AT617" s="27" t="s">
        <v>7</v>
      </c>
      <c r="AU617" s="27" t="s">
        <v>8</v>
      </c>
      <c r="AV617" s="27" t="s">
        <v>7</v>
      </c>
      <c r="AW617" s="27" t="s">
        <v>8</v>
      </c>
      <c r="AX617" s="27" t="s">
        <v>7</v>
      </c>
    </row>
    <row r="618" spans="1:164" x14ac:dyDescent="0.25">
      <c r="A618" s="7">
        <v>0.54124596958814908</v>
      </c>
      <c r="B618"/>
      <c r="C618"/>
      <c r="D618"/>
      <c r="E618"/>
      <c r="F618" s="27" t="s">
        <v>7</v>
      </c>
      <c r="I618" s="27" t="s">
        <v>8</v>
      </c>
      <c r="J618" s="27" t="s">
        <v>7</v>
      </c>
      <c r="K618" s="27" t="s">
        <v>8</v>
      </c>
      <c r="L618" s="27" t="s">
        <v>7</v>
      </c>
      <c r="M618" s="27" t="s">
        <v>8</v>
      </c>
      <c r="AH618" s="27" t="s">
        <v>7</v>
      </c>
      <c r="AP618" s="27" t="s">
        <v>7</v>
      </c>
      <c r="AS618" s="27" t="s">
        <v>8</v>
      </c>
      <c r="AT618" s="27" t="s">
        <v>7</v>
      </c>
      <c r="AU618" s="27" t="s">
        <v>8</v>
      </c>
      <c r="AV618" s="27" t="s">
        <v>7</v>
      </c>
      <c r="AW618" s="27" t="s">
        <v>8</v>
      </c>
      <c r="AX618" s="27" t="s">
        <v>7</v>
      </c>
      <c r="CQ618" s="27" t="s">
        <v>8</v>
      </c>
      <c r="FE618" s="27" t="s">
        <v>8</v>
      </c>
    </row>
    <row r="619" spans="1:164" x14ac:dyDescent="0.25">
      <c r="A619" s="7">
        <v>0.53063330351779314</v>
      </c>
      <c r="B619"/>
      <c r="C619"/>
      <c r="D619"/>
      <c r="E619"/>
      <c r="F619" s="27" t="s">
        <v>7</v>
      </c>
      <c r="I619" s="27" t="s">
        <v>8</v>
      </c>
      <c r="J619" s="27" t="s">
        <v>7</v>
      </c>
      <c r="K619" s="27" t="s">
        <v>8</v>
      </c>
      <c r="L619" s="27" t="s">
        <v>7</v>
      </c>
      <c r="M619" s="27" t="s">
        <v>8</v>
      </c>
      <c r="AP619" s="27" t="s">
        <v>7</v>
      </c>
      <c r="AS619" s="27" t="s">
        <v>8</v>
      </c>
      <c r="AT619" s="27" t="s">
        <v>7</v>
      </c>
      <c r="AU619" s="27" t="s">
        <v>8</v>
      </c>
      <c r="AV619" s="27" t="s">
        <v>7</v>
      </c>
      <c r="AW619" s="27" t="s">
        <v>8</v>
      </c>
      <c r="AX619" s="27" t="s">
        <v>7</v>
      </c>
      <c r="CQ619" s="27" t="s">
        <v>8</v>
      </c>
      <c r="CR619" s="27" t="s">
        <v>7</v>
      </c>
      <c r="FE619" s="27" t="s">
        <v>8</v>
      </c>
      <c r="FF619" s="27" t="s">
        <v>7</v>
      </c>
    </row>
    <row r="620" spans="1:164" x14ac:dyDescent="0.25">
      <c r="A620" s="7">
        <v>0.52022872893901284</v>
      </c>
      <c r="B620"/>
      <c r="C620"/>
      <c r="D620"/>
      <c r="E620"/>
      <c r="F620" s="27" t="s">
        <v>7</v>
      </c>
      <c r="I620" s="27" t="s">
        <v>8</v>
      </c>
      <c r="J620" s="27" t="s">
        <v>7</v>
      </c>
      <c r="K620" s="27" t="s">
        <v>8</v>
      </c>
      <c r="L620" s="27" t="s">
        <v>7</v>
      </c>
      <c r="M620" s="27" t="s">
        <v>8</v>
      </c>
      <c r="AP620" s="27" t="s">
        <v>7</v>
      </c>
      <c r="AS620" s="27" t="s">
        <v>8</v>
      </c>
      <c r="AT620" s="27" t="s">
        <v>7</v>
      </c>
      <c r="AU620" s="27" t="s">
        <v>8</v>
      </c>
      <c r="AV620" s="27" t="s">
        <v>7</v>
      </c>
      <c r="AW620" s="27" t="s">
        <v>8</v>
      </c>
      <c r="AX620" s="27" t="s">
        <v>7</v>
      </c>
      <c r="CQ620" s="27" t="s">
        <v>8</v>
      </c>
      <c r="CR620" s="27" t="s">
        <v>7</v>
      </c>
      <c r="FE620" s="27" t="s">
        <v>8</v>
      </c>
      <c r="FF620" s="27" t="s">
        <v>7</v>
      </c>
    </row>
    <row r="621" spans="1:164" x14ac:dyDescent="0.25">
      <c r="A621" s="7">
        <v>0.51002816562648323</v>
      </c>
      <c r="B621"/>
      <c r="C621"/>
      <c r="D621"/>
      <c r="E621"/>
      <c r="F621" s="27" t="s">
        <v>7</v>
      </c>
      <c r="G621" s="27" t="s">
        <v>8</v>
      </c>
      <c r="I621" s="27" t="s">
        <v>8</v>
      </c>
      <c r="J621" s="27" t="s">
        <v>7</v>
      </c>
      <c r="K621" s="27" t="s">
        <v>8</v>
      </c>
      <c r="L621" s="27" t="s">
        <v>7</v>
      </c>
      <c r="M621" s="27" t="s">
        <v>8</v>
      </c>
      <c r="AP621" s="27" t="s">
        <v>7</v>
      </c>
      <c r="AS621" s="27" t="s">
        <v>8</v>
      </c>
      <c r="AT621" s="27" t="s">
        <v>7</v>
      </c>
      <c r="AU621" s="27" t="s">
        <v>8</v>
      </c>
      <c r="AV621" s="27" t="s">
        <v>7</v>
      </c>
      <c r="AW621" s="27" t="s">
        <v>8</v>
      </c>
      <c r="AX621" s="27" t="s">
        <v>7</v>
      </c>
      <c r="CQ621" s="27" t="s">
        <v>8</v>
      </c>
      <c r="CR621" s="27" t="s">
        <v>7</v>
      </c>
      <c r="FE621" s="27" t="s">
        <v>8</v>
      </c>
      <c r="FF621" s="27" t="s">
        <v>7</v>
      </c>
    </row>
    <row r="622" spans="1:164" x14ac:dyDescent="0.25">
      <c r="A622" s="7">
        <v>0.50002761335929735</v>
      </c>
      <c r="B622"/>
      <c r="C622"/>
      <c r="D622"/>
      <c r="E622"/>
      <c r="F622" s="27" t="s">
        <v>7</v>
      </c>
      <c r="G622" s="27" t="s">
        <v>8</v>
      </c>
      <c r="H622" s="27" t="s">
        <v>7</v>
      </c>
      <c r="I622" s="27" t="s">
        <v>8</v>
      </c>
      <c r="J622" s="27" t="s">
        <v>7</v>
      </c>
      <c r="K622" s="27" t="s">
        <v>8</v>
      </c>
      <c r="L622" s="27" t="s">
        <v>7</v>
      </c>
      <c r="AP622" s="27" t="s">
        <v>7</v>
      </c>
      <c r="AS622" s="27" t="s">
        <v>8</v>
      </c>
      <c r="AT622" s="27" t="s">
        <v>7</v>
      </c>
      <c r="AU622" s="27" t="s">
        <v>8</v>
      </c>
      <c r="AV622" s="27" t="s">
        <v>7</v>
      </c>
      <c r="AW622" s="27" t="s">
        <v>8</v>
      </c>
      <c r="AX622" s="27" t="s">
        <v>7</v>
      </c>
      <c r="CQ622" s="27" t="s">
        <v>8</v>
      </c>
      <c r="CR622" s="27" t="s">
        <v>7</v>
      </c>
      <c r="FE622" s="27" t="s">
        <v>8</v>
      </c>
      <c r="FF622" s="27" t="s">
        <v>7</v>
      </c>
    </row>
    <row r="623" spans="1:164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H623" s="27" t="s">
        <v>7</v>
      </c>
      <c r="I623" s="27" t="s">
        <v>8</v>
      </c>
      <c r="J623" s="27" t="s">
        <v>7</v>
      </c>
      <c r="K623" s="27" t="s">
        <v>8</v>
      </c>
      <c r="AP623" s="27" t="s">
        <v>7</v>
      </c>
      <c r="AS623" s="27" t="s">
        <v>8</v>
      </c>
      <c r="AT623" s="27" t="s">
        <v>7</v>
      </c>
      <c r="AU623" s="27" t="s">
        <v>8</v>
      </c>
      <c r="AV623" s="27" t="s">
        <v>7</v>
      </c>
      <c r="AW623" s="27" t="s">
        <v>8</v>
      </c>
      <c r="AX623" s="27" t="s">
        <v>7</v>
      </c>
      <c r="CQ623" s="27" t="s">
        <v>8</v>
      </c>
      <c r="CR623" s="27" t="s">
        <v>7</v>
      </c>
      <c r="FE623" s="27" t="s">
        <v>8</v>
      </c>
      <c r="FF623" s="27" t="s">
        <v>7</v>
      </c>
      <c r="FG623" s="27" t="s">
        <v>8</v>
      </c>
    </row>
    <row r="624" spans="1:164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H624" s="27" t="s">
        <v>7</v>
      </c>
      <c r="I624" s="27" t="s">
        <v>8</v>
      </c>
      <c r="J624" s="27" t="s">
        <v>7</v>
      </c>
      <c r="K624" s="27" t="s">
        <v>8</v>
      </c>
      <c r="AP624" s="27" t="s">
        <v>7</v>
      </c>
      <c r="AS624" s="27" t="s">
        <v>8</v>
      </c>
      <c r="AT624" s="27" t="s">
        <v>7</v>
      </c>
      <c r="AV624" s="27" t="s">
        <v>7</v>
      </c>
      <c r="AW624" s="27" t="s">
        <v>8</v>
      </c>
      <c r="AX624" s="27" t="s">
        <v>7</v>
      </c>
      <c r="CQ624" s="27" t="s">
        <v>8</v>
      </c>
      <c r="CR624" s="27" t="s">
        <v>7</v>
      </c>
      <c r="FE624" s="27" t="s">
        <v>8</v>
      </c>
      <c r="FF624" s="27" t="s">
        <v>7</v>
      </c>
      <c r="FG624" s="27" t="s">
        <v>8</v>
      </c>
      <c r="FH624" s="27" t="s">
        <v>7</v>
      </c>
    </row>
    <row r="625" spans="1:164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H625" s="27" t="s">
        <v>7</v>
      </c>
      <c r="I625" s="27" t="s">
        <v>8</v>
      </c>
      <c r="J625" s="27" t="s">
        <v>7</v>
      </c>
      <c r="AP625" s="27" t="s">
        <v>7</v>
      </c>
      <c r="AS625" s="27" t="s">
        <v>8</v>
      </c>
      <c r="AV625" s="27" t="s">
        <v>7</v>
      </c>
      <c r="AX625" s="27" t="s">
        <v>7</v>
      </c>
      <c r="CQ625" s="27" t="s">
        <v>8</v>
      </c>
      <c r="CR625" s="27" t="s">
        <v>7</v>
      </c>
      <c r="FE625" s="27" t="s">
        <v>8</v>
      </c>
      <c r="FF625" s="27" t="s">
        <v>7</v>
      </c>
      <c r="FG625" s="27" t="s">
        <v>8</v>
      </c>
      <c r="FH625" s="27" t="s">
        <v>7</v>
      </c>
    </row>
    <row r="626" spans="1:164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H626" s="27" t="s">
        <v>7</v>
      </c>
      <c r="I626" s="27" t="s">
        <v>8</v>
      </c>
      <c r="AP626" s="27" t="s">
        <v>7</v>
      </c>
      <c r="AS626" s="27" t="s">
        <v>8</v>
      </c>
      <c r="AX626" s="27" t="s">
        <v>7</v>
      </c>
      <c r="CQ626" s="27" t="s">
        <v>8</v>
      </c>
      <c r="CR626" s="27" t="s">
        <v>7</v>
      </c>
      <c r="FE626" s="27" t="s">
        <v>8</v>
      </c>
      <c r="FF626" s="27" t="s">
        <v>7</v>
      </c>
      <c r="FG626" s="27" t="s">
        <v>8</v>
      </c>
      <c r="FH626" s="27" t="s">
        <v>7</v>
      </c>
    </row>
    <row r="627" spans="1:164" x14ac:dyDescent="0.25">
      <c r="A627" s="7">
        <v>0.45289041518523643</v>
      </c>
      <c r="B627"/>
      <c r="C627"/>
      <c r="D627"/>
      <c r="E627"/>
      <c r="F627" s="27" t="s">
        <v>7</v>
      </c>
      <c r="G627" s="27" t="s">
        <v>8</v>
      </c>
      <c r="H627" s="27" t="s">
        <v>7</v>
      </c>
      <c r="I627" s="27" t="s">
        <v>8</v>
      </c>
      <c r="AP627" s="27" t="s">
        <v>7</v>
      </c>
      <c r="AS627" s="27" t="s">
        <v>8</v>
      </c>
      <c r="AX627" s="27" t="s">
        <v>7</v>
      </c>
      <c r="AY627" s="27" t="s">
        <v>8</v>
      </c>
      <c r="CQ627" s="27" t="s">
        <v>8</v>
      </c>
      <c r="CR627" s="27" t="s">
        <v>7</v>
      </c>
      <c r="EW627" s="27" t="s">
        <v>8</v>
      </c>
      <c r="FE627" s="27" t="s">
        <v>8</v>
      </c>
      <c r="FF627" s="27" t="s">
        <v>7</v>
      </c>
      <c r="FG627" s="27" t="s">
        <v>8</v>
      </c>
      <c r="FH627" s="27" t="s">
        <v>7</v>
      </c>
    </row>
    <row r="628" spans="1:164" x14ac:dyDescent="0.25">
      <c r="A628" s="7">
        <v>0.44401021096591808</v>
      </c>
      <c r="B628"/>
      <c r="C628"/>
      <c r="D628"/>
      <c r="E628"/>
      <c r="F628" s="27" t="s">
        <v>7</v>
      </c>
      <c r="G628" s="27" t="s">
        <v>8</v>
      </c>
      <c r="H628" s="27" t="s">
        <v>7</v>
      </c>
      <c r="I628" s="27" t="s">
        <v>8</v>
      </c>
      <c r="AP628" s="27" t="s">
        <v>7</v>
      </c>
      <c r="AQ628" s="27" t="s">
        <v>8</v>
      </c>
      <c r="AS628" s="27" t="s">
        <v>8</v>
      </c>
      <c r="AX628" s="27" t="s">
        <v>7</v>
      </c>
      <c r="AY628" s="27" t="s">
        <v>8</v>
      </c>
      <c r="AZ628" s="27" t="s">
        <v>7</v>
      </c>
      <c r="CQ628" s="27" t="s">
        <v>8</v>
      </c>
      <c r="CR628" s="27" t="s">
        <v>7</v>
      </c>
      <c r="EW628" s="27" t="s">
        <v>8</v>
      </c>
      <c r="EX628" s="27" t="s">
        <v>7</v>
      </c>
      <c r="FE628" s="27" t="s">
        <v>8</v>
      </c>
      <c r="FF628" s="27" t="s">
        <v>7</v>
      </c>
      <c r="FG628" s="27" t="s">
        <v>8</v>
      </c>
      <c r="FH628" s="27" t="s">
        <v>7</v>
      </c>
    </row>
    <row r="629" spans="1:164" x14ac:dyDescent="0.25">
      <c r="A629" s="7">
        <v>0.4353041283979589</v>
      </c>
      <c r="B629"/>
      <c r="C629"/>
      <c r="D629"/>
      <c r="E629"/>
      <c r="F629" s="27" t="s">
        <v>7</v>
      </c>
      <c r="G629" s="27" t="s">
        <v>8</v>
      </c>
      <c r="H629" s="27" t="s">
        <v>7</v>
      </c>
      <c r="I629" s="27" t="s">
        <v>8</v>
      </c>
      <c r="AP629" s="27" t="s">
        <v>7</v>
      </c>
      <c r="AQ629" s="27" t="s">
        <v>8</v>
      </c>
      <c r="AR629" s="27" t="s">
        <v>7</v>
      </c>
      <c r="AS629" s="27" t="s">
        <v>8</v>
      </c>
      <c r="AX629" s="27" t="s">
        <v>7</v>
      </c>
      <c r="AY629" s="27" t="s">
        <v>8</v>
      </c>
      <c r="AZ629" s="27" t="s">
        <v>7</v>
      </c>
      <c r="BA629" s="27" t="s">
        <v>8</v>
      </c>
      <c r="CQ629" s="27" t="s">
        <v>8</v>
      </c>
      <c r="CR629" s="27" t="s">
        <v>7</v>
      </c>
      <c r="EW629" s="27" t="s">
        <v>8</v>
      </c>
      <c r="EX629" s="27" t="s">
        <v>7</v>
      </c>
      <c r="FA629" s="27" t="s">
        <v>8</v>
      </c>
      <c r="FE629" s="27" t="s">
        <v>8</v>
      </c>
      <c r="FF629" s="27" t="s">
        <v>7</v>
      </c>
      <c r="FG629" s="27" t="s">
        <v>8</v>
      </c>
      <c r="FH629" s="27" t="s">
        <v>7</v>
      </c>
    </row>
    <row r="630" spans="1:164" x14ac:dyDescent="0.25">
      <c r="A630" s="7">
        <v>0.4267687533313323</v>
      </c>
      <c r="B630"/>
      <c r="C630"/>
      <c r="D630"/>
      <c r="E630"/>
      <c r="F630" s="27" t="s">
        <v>7</v>
      </c>
      <c r="G630" s="27" t="s">
        <v>8</v>
      </c>
      <c r="H630" s="27" t="s">
        <v>7</v>
      </c>
      <c r="I630" s="27" t="s">
        <v>8</v>
      </c>
      <c r="AP630" s="27" t="s">
        <v>7</v>
      </c>
      <c r="AQ630" s="27" t="s">
        <v>8</v>
      </c>
      <c r="AR630" s="27" t="s">
        <v>7</v>
      </c>
      <c r="AS630" s="27" t="s">
        <v>8</v>
      </c>
      <c r="AX630" s="27" t="s">
        <v>7</v>
      </c>
      <c r="AY630" s="27" t="s">
        <v>8</v>
      </c>
      <c r="AZ630" s="27" t="s">
        <v>7</v>
      </c>
      <c r="BA630" s="27" t="s">
        <v>8</v>
      </c>
      <c r="BB630" s="27" t="s">
        <v>7</v>
      </c>
      <c r="CQ630" s="27" t="s">
        <v>8</v>
      </c>
      <c r="CR630" s="27" t="s">
        <v>7</v>
      </c>
      <c r="EW630" s="27" t="s">
        <v>8</v>
      </c>
      <c r="EX630" s="27" t="s">
        <v>7</v>
      </c>
      <c r="FA630" s="27" t="s">
        <v>8</v>
      </c>
      <c r="FB630" s="27" t="s">
        <v>7</v>
      </c>
      <c r="FE630" s="27" t="s">
        <v>8</v>
      </c>
      <c r="FF630" s="27" t="s">
        <v>7</v>
      </c>
      <c r="FG630" s="27" t="s">
        <v>8</v>
      </c>
      <c r="FH630" s="27" t="s">
        <v>7</v>
      </c>
    </row>
    <row r="631" spans="1:164" x14ac:dyDescent="0.25">
      <c r="A631" s="7">
        <v>0.41840073856012971</v>
      </c>
      <c r="B631"/>
      <c r="C631"/>
      <c r="D631"/>
      <c r="E631"/>
      <c r="F631" s="27" t="s">
        <v>7</v>
      </c>
      <c r="G631" s="27" t="s">
        <v>8</v>
      </c>
      <c r="H631" s="27" t="s">
        <v>7</v>
      </c>
      <c r="AP631" s="27" t="s">
        <v>7</v>
      </c>
      <c r="AQ631" s="27" t="s">
        <v>8</v>
      </c>
      <c r="AR631" s="27" t="s">
        <v>7</v>
      </c>
      <c r="AS631" s="27" t="s">
        <v>8</v>
      </c>
      <c r="AX631" s="27" t="s">
        <v>7</v>
      </c>
      <c r="AY631" s="27" t="s">
        <v>8</v>
      </c>
      <c r="AZ631" s="27" t="s">
        <v>7</v>
      </c>
      <c r="BA631" s="27" t="s">
        <v>8</v>
      </c>
      <c r="BB631" s="27" t="s">
        <v>7</v>
      </c>
      <c r="CQ631" s="27" t="s">
        <v>8</v>
      </c>
      <c r="CR631" s="27" t="s">
        <v>7</v>
      </c>
      <c r="DK631" s="27" t="s">
        <v>8</v>
      </c>
      <c r="EW631" s="27" t="s">
        <v>8</v>
      </c>
      <c r="EX631" s="27" t="s">
        <v>7</v>
      </c>
      <c r="FA631" s="27" t="s">
        <v>8</v>
      </c>
      <c r="FB631" s="27" t="s">
        <v>7</v>
      </c>
      <c r="FE631" s="27" t="s">
        <v>8</v>
      </c>
      <c r="FF631" s="27" t="s">
        <v>7</v>
      </c>
      <c r="FG631" s="27" t="s">
        <v>8</v>
      </c>
      <c r="FH631" s="27" t="s">
        <v>7</v>
      </c>
    </row>
    <row r="632" spans="1:164" x14ac:dyDescent="0.25">
      <c r="A632" s="7">
        <v>0.41019680250993112</v>
      </c>
      <c r="B632"/>
      <c r="C632"/>
      <c r="D632"/>
      <c r="E632"/>
      <c r="F632" s="27" t="s">
        <v>7</v>
      </c>
      <c r="G632" s="27" t="s">
        <v>8</v>
      </c>
      <c r="AP632" s="27" t="s">
        <v>7</v>
      </c>
      <c r="AQ632" s="27" t="s">
        <v>8</v>
      </c>
      <c r="AR632" s="27" t="s">
        <v>7</v>
      </c>
      <c r="AS632" s="27" t="s">
        <v>8</v>
      </c>
      <c r="AX632" s="27" t="s">
        <v>7</v>
      </c>
      <c r="AY632" s="27" t="s">
        <v>8</v>
      </c>
      <c r="AZ632" s="27" t="s">
        <v>7</v>
      </c>
      <c r="BA632" s="27" t="s">
        <v>8</v>
      </c>
      <c r="BB632" s="27" t="s">
        <v>7</v>
      </c>
      <c r="CQ632" s="27" t="s">
        <v>8</v>
      </c>
      <c r="CR632" s="27" t="s">
        <v>7</v>
      </c>
      <c r="DK632" s="27" t="s">
        <v>8</v>
      </c>
      <c r="DL632" s="27" t="s">
        <v>7</v>
      </c>
      <c r="EW632" s="27" t="s">
        <v>8</v>
      </c>
      <c r="EX632" s="27" t="s">
        <v>7</v>
      </c>
      <c r="FA632" s="27" t="s">
        <v>8</v>
      </c>
      <c r="FB632" s="27" t="s">
        <v>7</v>
      </c>
      <c r="FE632" s="27" t="s">
        <v>8</v>
      </c>
      <c r="FF632" s="27" t="s">
        <v>7</v>
      </c>
      <c r="FG632" s="27" t="s">
        <v>8</v>
      </c>
      <c r="FH632" s="27" t="s">
        <v>7</v>
      </c>
    </row>
    <row r="633" spans="1:164" x14ac:dyDescent="0.25">
      <c r="A633" s="7">
        <v>0.40215372795091286</v>
      </c>
      <c r="B633"/>
      <c r="C633"/>
      <c r="D633"/>
      <c r="E633"/>
      <c r="F633" s="27" t="s">
        <v>7</v>
      </c>
      <c r="G633" s="27" t="s">
        <v>8</v>
      </c>
      <c r="AP633" s="27" t="s">
        <v>7</v>
      </c>
      <c r="AQ633" s="27" t="s">
        <v>8</v>
      </c>
      <c r="AR633" s="27" t="s">
        <v>7</v>
      </c>
      <c r="AS633" s="27" t="s">
        <v>8</v>
      </c>
      <c r="AX633" s="27" t="s">
        <v>7</v>
      </c>
      <c r="AY633" s="27" t="s">
        <v>8</v>
      </c>
      <c r="AZ633" s="27" t="s">
        <v>7</v>
      </c>
      <c r="BA633" s="27" t="s">
        <v>8</v>
      </c>
      <c r="BB633" s="27" t="s">
        <v>7</v>
      </c>
      <c r="CQ633" s="27" t="s">
        <v>8</v>
      </c>
      <c r="CR633" s="27" t="s">
        <v>7</v>
      </c>
      <c r="DK633" s="27" t="s">
        <v>8</v>
      </c>
      <c r="DL633" s="27" t="s">
        <v>7</v>
      </c>
      <c r="EW633" s="27" t="s">
        <v>8</v>
      </c>
      <c r="EX633" s="27" t="s">
        <v>7</v>
      </c>
      <c r="FA633" s="27" t="s">
        <v>8</v>
      </c>
      <c r="FB633" s="27" t="s">
        <v>7</v>
      </c>
      <c r="FE633" s="27" t="s">
        <v>8</v>
      </c>
      <c r="FF633" s="27" t="s">
        <v>7</v>
      </c>
      <c r="FG633" s="27" t="s">
        <v>8</v>
      </c>
      <c r="FH633" s="27" t="s">
        <v>7</v>
      </c>
    </row>
    <row r="634" spans="1:164" x14ac:dyDescent="0.25">
      <c r="A634" s="7">
        <v>0.39426836073618904</v>
      </c>
      <c r="B634"/>
      <c r="C634"/>
      <c r="D634"/>
      <c r="E634"/>
      <c r="F634" s="27" t="s">
        <v>7</v>
      </c>
      <c r="G634" s="27" t="s">
        <v>8</v>
      </c>
      <c r="AP634" s="27" t="s">
        <v>7</v>
      </c>
      <c r="AQ634" s="27" t="s">
        <v>8</v>
      </c>
      <c r="AR634" s="27" t="s">
        <v>7</v>
      </c>
      <c r="AS634" s="27" t="s">
        <v>8</v>
      </c>
      <c r="AX634" s="27" t="s">
        <v>7</v>
      </c>
      <c r="AZ634" s="27" t="s">
        <v>7</v>
      </c>
      <c r="BA634" s="27" t="s">
        <v>8</v>
      </c>
      <c r="BB634" s="27" t="s">
        <v>7</v>
      </c>
      <c r="CQ634" s="27" t="s">
        <v>8</v>
      </c>
      <c r="CR634" s="27" t="s">
        <v>7</v>
      </c>
      <c r="DC634" s="27" t="s">
        <v>8</v>
      </c>
      <c r="DK634" s="27" t="s">
        <v>8</v>
      </c>
      <c r="DL634" s="27" t="s">
        <v>7</v>
      </c>
      <c r="EW634" s="27" t="s">
        <v>8</v>
      </c>
      <c r="EX634" s="27" t="s">
        <v>7</v>
      </c>
      <c r="EY634" s="27" t="s">
        <v>8</v>
      </c>
      <c r="FA634" s="27" t="s">
        <v>8</v>
      </c>
      <c r="FB634" s="27" t="s">
        <v>7</v>
      </c>
      <c r="FE634" s="27" t="s">
        <v>8</v>
      </c>
      <c r="FF634" s="27" t="s">
        <v>7</v>
      </c>
      <c r="FG634" s="27" t="s">
        <v>8</v>
      </c>
      <c r="FH634" s="27" t="s">
        <v>7</v>
      </c>
    </row>
    <row r="635" spans="1:164" x14ac:dyDescent="0.25">
      <c r="A635" s="7">
        <v>0.38653760856489122</v>
      </c>
      <c r="B635"/>
      <c r="C635"/>
      <c r="D635"/>
      <c r="E635"/>
      <c r="F635" s="27" t="s">
        <v>7</v>
      </c>
      <c r="G635" s="27" t="s">
        <v>8</v>
      </c>
      <c r="AP635" s="27" t="s">
        <v>7</v>
      </c>
      <c r="AQ635" s="27" t="s">
        <v>8</v>
      </c>
      <c r="AR635" s="27" t="s">
        <v>7</v>
      </c>
      <c r="AS635" s="27" t="s">
        <v>8</v>
      </c>
      <c r="AZ635" s="27" t="s">
        <v>7</v>
      </c>
      <c r="BA635" s="27" t="s">
        <v>8</v>
      </c>
      <c r="BB635" s="27" t="s">
        <v>7</v>
      </c>
      <c r="CQ635" s="27" t="s">
        <v>8</v>
      </c>
      <c r="CR635" s="27" t="s">
        <v>7</v>
      </c>
      <c r="DC635" s="27" t="s">
        <v>8</v>
      </c>
      <c r="DD635" s="27" t="s">
        <v>7</v>
      </c>
      <c r="DK635" s="27" t="s">
        <v>8</v>
      </c>
      <c r="DL635" s="27" t="s">
        <v>7</v>
      </c>
      <c r="EU635" s="27" t="s">
        <v>8</v>
      </c>
      <c r="EW635" s="27" t="s">
        <v>8</v>
      </c>
      <c r="EX635" s="27" t="s">
        <v>7</v>
      </c>
      <c r="EY635" s="27" t="s">
        <v>8</v>
      </c>
      <c r="EZ635" s="27" t="s">
        <v>7</v>
      </c>
      <c r="FA635" s="27" t="s">
        <v>8</v>
      </c>
      <c r="FB635" s="27" t="s">
        <v>7</v>
      </c>
      <c r="FC635" s="27" t="s">
        <v>8</v>
      </c>
      <c r="FE635" s="27" t="s">
        <v>8</v>
      </c>
      <c r="FF635" s="27" t="s">
        <v>7</v>
      </c>
      <c r="FH635" s="27" t="s">
        <v>7</v>
      </c>
    </row>
    <row r="636" spans="1:164" x14ac:dyDescent="0.25">
      <c r="A636" s="7">
        <v>0.37895843976950117</v>
      </c>
      <c r="B636"/>
      <c r="C636"/>
      <c r="D636"/>
      <c r="E636"/>
      <c r="F636" s="27" t="s">
        <v>7</v>
      </c>
      <c r="G636" s="27" t="s">
        <v>8</v>
      </c>
      <c r="AP636" s="27" t="s">
        <v>7</v>
      </c>
      <c r="AQ636" s="27" t="s">
        <v>8</v>
      </c>
      <c r="AR636" s="27" t="s">
        <v>7</v>
      </c>
      <c r="AS636" s="27" t="s">
        <v>8</v>
      </c>
      <c r="AZ636" s="27" t="s">
        <v>7</v>
      </c>
      <c r="BA636" s="27" t="s">
        <v>8</v>
      </c>
      <c r="BB636" s="27" t="s">
        <v>7</v>
      </c>
      <c r="CQ636" s="27" t="s">
        <v>8</v>
      </c>
      <c r="CR636" s="27" t="s">
        <v>7</v>
      </c>
      <c r="DC636" s="27" t="s">
        <v>8</v>
      </c>
      <c r="DD636" s="27" t="s">
        <v>7</v>
      </c>
      <c r="DK636" s="27" t="s">
        <v>8</v>
      </c>
      <c r="DL636" s="27" t="s">
        <v>7</v>
      </c>
      <c r="EU636" s="27" t="s">
        <v>8</v>
      </c>
      <c r="EV636" s="27" t="s">
        <v>7</v>
      </c>
      <c r="EW636" s="27" t="s">
        <v>8</v>
      </c>
      <c r="EX636" s="27" t="s">
        <v>7</v>
      </c>
      <c r="EY636" s="27" t="s">
        <v>8</v>
      </c>
      <c r="EZ636" s="27" t="s">
        <v>7</v>
      </c>
      <c r="FA636" s="27" t="s">
        <v>8</v>
      </c>
      <c r="FB636" s="27" t="s">
        <v>7</v>
      </c>
      <c r="FC636" s="27" t="s">
        <v>8</v>
      </c>
      <c r="FD636" s="27" t="s">
        <v>7</v>
      </c>
      <c r="FE636" s="27" t="s">
        <v>8</v>
      </c>
      <c r="FH636" s="27" t="s">
        <v>7</v>
      </c>
    </row>
    <row r="637" spans="1:164" x14ac:dyDescent="0.25">
      <c r="A637" s="7">
        <v>0.37152788212696197</v>
      </c>
      <c r="B637"/>
      <c r="C637"/>
      <c r="D637"/>
      <c r="E637"/>
      <c r="F637" s="27" t="s">
        <v>7</v>
      </c>
      <c r="G637" s="27" t="s">
        <v>8</v>
      </c>
      <c r="AP637" s="27" t="s">
        <v>7</v>
      </c>
      <c r="AQ637" s="27" t="s">
        <v>8</v>
      </c>
      <c r="AR637" s="27" t="s">
        <v>7</v>
      </c>
      <c r="AS637" s="27" t="s">
        <v>8</v>
      </c>
      <c r="AZ637" s="27" t="s">
        <v>7</v>
      </c>
      <c r="BA637" s="27" t="s">
        <v>8</v>
      </c>
      <c r="BB637" s="27" t="s">
        <v>7</v>
      </c>
      <c r="BC637" s="27" t="s">
        <v>8</v>
      </c>
      <c r="CQ637" s="27" t="s">
        <v>8</v>
      </c>
      <c r="CR637" s="27" t="s">
        <v>7</v>
      </c>
      <c r="DC637" s="27" t="s">
        <v>8</v>
      </c>
      <c r="DD637" s="27" t="s">
        <v>7</v>
      </c>
      <c r="DG637" s="27" t="s">
        <v>8</v>
      </c>
      <c r="DK637" s="27" t="s">
        <v>8</v>
      </c>
      <c r="DL637" s="27" t="s">
        <v>7</v>
      </c>
      <c r="EU637" s="27" t="s">
        <v>8</v>
      </c>
      <c r="EV637" s="27" t="s">
        <v>7</v>
      </c>
      <c r="EW637" s="27" t="s">
        <v>8</v>
      </c>
      <c r="EX637" s="27" t="s">
        <v>7</v>
      </c>
      <c r="EY637" s="27" t="s">
        <v>8</v>
      </c>
      <c r="EZ637" s="27" t="s">
        <v>7</v>
      </c>
      <c r="FA637" s="27" t="s">
        <v>8</v>
      </c>
      <c r="FB637" s="27" t="s">
        <v>7</v>
      </c>
      <c r="FC637" s="27" t="s">
        <v>8</v>
      </c>
      <c r="FD637" s="27" t="s">
        <v>7</v>
      </c>
      <c r="FE637" s="27" t="s">
        <v>8</v>
      </c>
      <c r="FH637" s="27" t="s">
        <v>7</v>
      </c>
    </row>
    <row r="638" spans="1:164" x14ac:dyDescent="0.25">
      <c r="A638" s="7">
        <v>0.36424302169310002</v>
      </c>
      <c r="B638"/>
      <c r="C638"/>
      <c r="D638"/>
      <c r="E638"/>
      <c r="F638" s="27" t="s">
        <v>7</v>
      </c>
      <c r="G638" s="27" t="s">
        <v>8</v>
      </c>
      <c r="AP638" s="27" t="s">
        <v>7</v>
      </c>
      <c r="AQ638" s="27" t="s">
        <v>8</v>
      </c>
      <c r="AR638" s="27" t="s">
        <v>7</v>
      </c>
      <c r="AS638" s="27" t="s">
        <v>8</v>
      </c>
      <c r="AZ638" s="27" t="s">
        <v>7</v>
      </c>
      <c r="BA638" s="27" t="s">
        <v>8</v>
      </c>
      <c r="BB638" s="27" t="s">
        <v>7</v>
      </c>
      <c r="BC638" s="27" t="s">
        <v>8</v>
      </c>
      <c r="BD638" s="27" t="s">
        <v>7</v>
      </c>
      <c r="CQ638" s="27" t="s">
        <v>8</v>
      </c>
      <c r="CR638" s="27" t="s">
        <v>7</v>
      </c>
      <c r="DC638" s="27" t="s">
        <v>8</v>
      </c>
      <c r="DD638" s="27" t="s">
        <v>7</v>
      </c>
      <c r="DG638" s="27" t="s">
        <v>8</v>
      </c>
      <c r="DH638" s="27" t="s">
        <v>7</v>
      </c>
      <c r="DK638" s="27" t="s">
        <v>8</v>
      </c>
      <c r="DL638" s="27" t="s">
        <v>7</v>
      </c>
      <c r="EU638" s="27" t="s">
        <v>8</v>
      </c>
      <c r="EV638" s="27" t="s">
        <v>7</v>
      </c>
      <c r="EW638" s="27" t="s">
        <v>8</v>
      </c>
      <c r="EX638" s="27" t="s">
        <v>7</v>
      </c>
      <c r="EY638" s="27" t="s">
        <v>8</v>
      </c>
      <c r="EZ638" s="27" t="s">
        <v>7</v>
      </c>
      <c r="FA638" s="27" t="s">
        <v>8</v>
      </c>
      <c r="FB638" s="27" t="s">
        <v>7</v>
      </c>
      <c r="FC638" s="27" t="s">
        <v>8</v>
      </c>
      <c r="FD638" s="27" t="s">
        <v>7</v>
      </c>
      <c r="FE638" s="27" t="s">
        <v>8</v>
      </c>
      <c r="FH638" s="27" t="s">
        <v>7</v>
      </c>
    </row>
    <row r="639" spans="1:164" x14ac:dyDescent="0.25">
      <c r="A639" s="7">
        <v>0.35710100165990194</v>
      </c>
      <c r="B639"/>
      <c r="C639"/>
      <c r="D639"/>
      <c r="E639"/>
      <c r="F639" s="27" t="s">
        <v>7</v>
      </c>
      <c r="G639" s="27" t="s">
        <v>8</v>
      </c>
      <c r="AP639" s="27" t="s">
        <v>7</v>
      </c>
      <c r="AQ639" s="27" t="s">
        <v>8</v>
      </c>
      <c r="AR639" s="27" t="s">
        <v>7</v>
      </c>
      <c r="AS639" s="27" t="s">
        <v>8</v>
      </c>
      <c r="AZ639" s="27" t="s">
        <v>7</v>
      </c>
      <c r="BA639" s="27" t="s">
        <v>8</v>
      </c>
      <c r="BB639" s="27" t="s">
        <v>7</v>
      </c>
      <c r="BC639" s="27" t="s">
        <v>8</v>
      </c>
      <c r="BD639" s="27" t="s">
        <v>7</v>
      </c>
      <c r="CQ639" s="27" t="s">
        <v>8</v>
      </c>
      <c r="CR639" s="27" t="s">
        <v>7</v>
      </c>
      <c r="DC639" s="27" t="s">
        <v>8</v>
      </c>
      <c r="DD639" s="27" t="s">
        <v>7</v>
      </c>
      <c r="DE639" s="27" t="s">
        <v>8</v>
      </c>
      <c r="DG639" s="27" t="s">
        <v>8</v>
      </c>
      <c r="DH639" s="27" t="s">
        <v>7</v>
      </c>
      <c r="DK639" s="27" t="s">
        <v>8</v>
      </c>
      <c r="DL639" s="27" t="s">
        <v>7</v>
      </c>
      <c r="EU639" s="27" t="s">
        <v>8</v>
      </c>
      <c r="EV639" s="27" t="s">
        <v>7</v>
      </c>
      <c r="EW639" s="27" t="s">
        <v>8</v>
      </c>
      <c r="EX639" s="27" t="s">
        <v>7</v>
      </c>
      <c r="EY639" s="27" t="s">
        <v>8</v>
      </c>
      <c r="EZ639" s="27" t="s">
        <v>7</v>
      </c>
      <c r="FA639" s="27" t="s">
        <v>8</v>
      </c>
      <c r="FB639" s="27" t="s">
        <v>7</v>
      </c>
      <c r="FC639" s="27" t="s">
        <v>8</v>
      </c>
      <c r="FD639" s="27" t="s">
        <v>7</v>
      </c>
      <c r="FH639" s="27" t="s">
        <v>7</v>
      </c>
    </row>
    <row r="640" spans="1:164" x14ac:dyDescent="0.25">
      <c r="A640" s="7">
        <v>0.35009902123519804</v>
      </c>
      <c r="B640"/>
      <c r="C640"/>
      <c r="D640"/>
      <c r="E640"/>
      <c r="F640" s="27" t="s">
        <v>7</v>
      </c>
      <c r="G640" s="27" t="s">
        <v>8</v>
      </c>
      <c r="AP640" s="27" t="s">
        <v>7</v>
      </c>
      <c r="AR640" s="27" t="s">
        <v>7</v>
      </c>
      <c r="AS640" s="27" t="s">
        <v>8</v>
      </c>
      <c r="AZ640" s="27" t="s">
        <v>7</v>
      </c>
      <c r="BA640" s="27" t="s">
        <v>8</v>
      </c>
      <c r="BB640" s="27" t="s">
        <v>7</v>
      </c>
      <c r="BC640" s="27" t="s">
        <v>8</v>
      </c>
      <c r="BD640" s="27" t="s">
        <v>7</v>
      </c>
      <c r="CQ640" s="27" t="s">
        <v>8</v>
      </c>
      <c r="CR640" s="27" t="s">
        <v>7</v>
      </c>
      <c r="DC640" s="27" t="s">
        <v>8</v>
      </c>
      <c r="DD640" s="27" t="s">
        <v>7</v>
      </c>
      <c r="DE640" s="27" t="s">
        <v>8</v>
      </c>
      <c r="DF640" s="27" t="s">
        <v>7</v>
      </c>
      <c r="DG640" s="27" t="s">
        <v>8</v>
      </c>
      <c r="DH640" s="27" t="s">
        <v>7</v>
      </c>
      <c r="DK640" s="27" t="s">
        <v>8</v>
      </c>
      <c r="DL640" s="27" t="s">
        <v>7</v>
      </c>
      <c r="EU640" s="27" t="s">
        <v>8</v>
      </c>
      <c r="EV640" s="27" t="s">
        <v>7</v>
      </c>
      <c r="EW640" s="27" t="s">
        <v>8</v>
      </c>
      <c r="EX640" s="27" t="s">
        <v>7</v>
      </c>
      <c r="EY640" s="27" t="s">
        <v>8</v>
      </c>
      <c r="EZ640" s="27" t="s">
        <v>7</v>
      </c>
      <c r="FA640" s="27" t="s">
        <v>8</v>
      </c>
      <c r="FB640" s="27" t="s">
        <v>7</v>
      </c>
      <c r="FC640" s="27" t="s">
        <v>8</v>
      </c>
      <c r="FH640" s="27" t="s">
        <v>7</v>
      </c>
    </row>
    <row r="641" spans="1:170" x14ac:dyDescent="0.25">
      <c r="A641" s="7">
        <v>0.34323433454431179</v>
      </c>
      <c r="B641"/>
      <c r="C641"/>
      <c r="D641"/>
      <c r="E641"/>
      <c r="F641" s="27" t="s">
        <v>7</v>
      </c>
      <c r="G641" s="27" t="s">
        <v>8</v>
      </c>
      <c r="AR641" s="27" t="s">
        <v>7</v>
      </c>
      <c r="AS641" s="27" t="s">
        <v>8</v>
      </c>
      <c r="AZ641" s="27" t="s">
        <v>7</v>
      </c>
      <c r="BA641" s="27" t="s">
        <v>8</v>
      </c>
      <c r="BB641" s="27" t="s">
        <v>7</v>
      </c>
      <c r="BC641" s="27" t="s">
        <v>8</v>
      </c>
      <c r="BD641" s="27" t="s">
        <v>7</v>
      </c>
      <c r="CQ641" s="27" t="s">
        <v>8</v>
      </c>
      <c r="CR641" s="27" t="s">
        <v>7</v>
      </c>
      <c r="CY641" s="27" t="s">
        <v>8</v>
      </c>
      <c r="DC641" s="27" t="s">
        <v>8</v>
      </c>
      <c r="DD641" s="27" t="s">
        <v>7</v>
      </c>
      <c r="DE641" s="27" t="s">
        <v>8</v>
      </c>
      <c r="DF641" s="27" t="s">
        <v>7</v>
      </c>
      <c r="DG641" s="27" t="s">
        <v>8</v>
      </c>
      <c r="DH641" s="27" t="s">
        <v>7</v>
      </c>
      <c r="DK641" s="27" t="s">
        <v>8</v>
      </c>
      <c r="DL641" s="27" t="s">
        <v>7</v>
      </c>
      <c r="EU641" s="27" t="s">
        <v>8</v>
      </c>
      <c r="EV641" s="27" t="s">
        <v>7</v>
      </c>
      <c r="EW641" s="27" t="s">
        <v>8</v>
      </c>
      <c r="EX641" s="27" t="s">
        <v>7</v>
      </c>
      <c r="EY641" s="27" t="s">
        <v>8</v>
      </c>
      <c r="EZ641" s="27" t="s">
        <v>7</v>
      </c>
      <c r="FA641" s="27" t="s">
        <v>8</v>
      </c>
      <c r="FB641" s="27" t="s">
        <v>7</v>
      </c>
      <c r="FH641" s="27" t="s">
        <v>7</v>
      </c>
    </row>
    <row r="642" spans="1:170" x14ac:dyDescent="0.25">
      <c r="A642" s="7">
        <v>0.33650424955324681</v>
      </c>
      <c r="B642"/>
      <c r="C642"/>
      <c r="D642"/>
      <c r="E642"/>
      <c r="F642" s="27" t="s">
        <v>7</v>
      </c>
      <c r="G642" s="27" t="s">
        <v>8</v>
      </c>
      <c r="AR642" s="27" t="s">
        <v>7</v>
      </c>
      <c r="AS642" s="27" t="s">
        <v>8</v>
      </c>
      <c r="AZ642" s="27" t="s">
        <v>7</v>
      </c>
      <c r="BB642" s="27" t="s">
        <v>7</v>
      </c>
      <c r="BC642" s="27" t="s">
        <v>8</v>
      </c>
      <c r="BD642" s="27" t="s">
        <v>7</v>
      </c>
      <c r="CQ642" s="27" t="s">
        <v>8</v>
      </c>
      <c r="CR642" s="27" t="s">
        <v>7</v>
      </c>
      <c r="CY642" s="27" t="s">
        <v>8</v>
      </c>
      <c r="CZ642" s="27" t="s">
        <v>7</v>
      </c>
      <c r="DC642" s="27" t="s">
        <v>8</v>
      </c>
      <c r="DD642" s="27" t="s">
        <v>7</v>
      </c>
      <c r="DE642" s="27" t="s">
        <v>8</v>
      </c>
      <c r="DF642" s="27" t="s">
        <v>7</v>
      </c>
      <c r="DG642" s="27" t="s">
        <v>8</v>
      </c>
      <c r="DH642" s="27" t="s">
        <v>7</v>
      </c>
      <c r="DI642" s="27" t="s">
        <v>8</v>
      </c>
      <c r="DK642" s="27" t="s">
        <v>8</v>
      </c>
      <c r="DL642" s="27" t="s">
        <v>7</v>
      </c>
      <c r="EU642" s="27" t="s">
        <v>8</v>
      </c>
      <c r="EV642" s="27" t="s">
        <v>7</v>
      </c>
      <c r="EW642" s="27" t="s">
        <v>8</v>
      </c>
      <c r="EX642" s="27" t="s">
        <v>7</v>
      </c>
      <c r="EY642" s="27" t="s">
        <v>8</v>
      </c>
      <c r="EZ642" s="27" t="s">
        <v>7</v>
      </c>
      <c r="FA642" s="27" t="s">
        <v>8</v>
      </c>
      <c r="FH642" s="27" t="s">
        <v>7</v>
      </c>
    </row>
    <row r="643" spans="1:170" x14ac:dyDescent="0.25">
      <c r="A643" s="7">
        <v>0.3299061270129871</v>
      </c>
      <c r="B643"/>
      <c r="C643"/>
      <c r="D643"/>
      <c r="E643"/>
      <c r="F643" s="27" t="s">
        <v>7</v>
      </c>
      <c r="AR643" s="27" t="s">
        <v>7</v>
      </c>
      <c r="AS643" s="27" t="s">
        <v>8</v>
      </c>
      <c r="BB643" s="27" t="s">
        <v>7</v>
      </c>
      <c r="BC643" s="27" t="s">
        <v>8</v>
      </c>
      <c r="BD643" s="27" t="s">
        <v>7</v>
      </c>
      <c r="CQ643" s="27" t="s">
        <v>8</v>
      </c>
      <c r="CR643" s="27" t="s">
        <v>7</v>
      </c>
      <c r="CS643" s="27" t="s">
        <v>8</v>
      </c>
      <c r="CY643" s="27" t="s">
        <v>8</v>
      </c>
      <c r="CZ643" s="27" t="s">
        <v>7</v>
      </c>
      <c r="DC643" s="27" t="s">
        <v>8</v>
      </c>
      <c r="DD643" s="27" t="s">
        <v>7</v>
      </c>
      <c r="DE643" s="27" t="s">
        <v>8</v>
      </c>
      <c r="DF643" s="27" t="s">
        <v>7</v>
      </c>
      <c r="DG643" s="27" t="s">
        <v>8</v>
      </c>
      <c r="DH643" s="27" t="s">
        <v>7</v>
      </c>
      <c r="DI643" s="27" t="s">
        <v>8</v>
      </c>
      <c r="DJ643" s="27" t="s">
        <v>7</v>
      </c>
      <c r="DK643" s="27" t="s">
        <v>8</v>
      </c>
      <c r="DL643" s="27" t="s">
        <v>7</v>
      </c>
      <c r="EU643" s="27" t="s">
        <v>8</v>
      </c>
      <c r="EV643" s="27" t="s">
        <v>7</v>
      </c>
      <c r="EW643" s="27" t="s">
        <v>8</v>
      </c>
      <c r="EX643" s="27" t="s">
        <v>7</v>
      </c>
      <c r="EY643" s="27" t="s">
        <v>8</v>
      </c>
      <c r="EZ643" s="27" t="s">
        <v>7</v>
      </c>
      <c r="FA643" s="27" t="s">
        <v>8</v>
      </c>
      <c r="FH643" s="27" t="s">
        <v>7</v>
      </c>
    </row>
    <row r="644" spans="1:170" x14ac:dyDescent="0.25">
      <c r="A644" s="7">
        <v>0.32343737942449713</v>
      </c>
      <c r="B644"/>
      <c r="C644"/>
      <c r="D644"/>
      <c r="E644"/>
      <c r="AR644" s="27" t="s">
        <v>7</v>
      </c>
      <c r="AS644" s="27" t="s">
        <v>8</v>
      </c>
      <c r="BB644" s="27" t="s">
        <v>7</v>
      </c>
      <c r="BC644" s="27" t="s">
        <v>8</v>
      </c>
      <c r="BD644" s="27" t="s">
        <v>7</v>
      </c>
      <c r="CQ644" s="27" t="s">
        <v>8</v>
      </c>
      <c r="CR644" s="27" t="s">
        <v>7</v>
      </c>
      <c r="CS644" s="27" t="s">
        <v>8</v>
      </c>
      <c r="CT644" s="27" t="s">
        <v>7</v>
      </c>
      <c r="CY644" s="27" t="s">
        <v>8</v>
      </c>
      <c r="CZ644" s="27" t="s">
        <v>7</v>
      </c>
      <c r="DC644" s="27" t="s">
        <v>8</v>
      </c>
      <c r="DD644" s="27" t="s">
        <v>7</v>
      </c>
      <c r="DE644" s="27" t="s">
        <v>8</v>
      </c>
      <c r="DF644" s="27" t="s">
        <v>7</v>
      </c>
      <c r="DG644" s="27" t="s">
        <v>8</v>
      </c>
      <c r="DH644" s="27" t="s">
        <v>7</v>
      </c>
      <c r="DI644" s="27" t="s">
        <v>8</v>
      </c>
      <c r="DJ644" s="27" t="s">
        <v>7</v>
      </c>
      <c r="DK644" s="27" t="s">
        <v>8</v>
      </c>
      <c r="DL644" s="27" t="s">
        <v>7</v>
      </c>
      <c r="EU644" s="27" t="s">
        <v>8</v>
      </c>
      <c r="EV644" s="27" t="s">
        <v>7</v>
      </c>
      <c r="EW644" s="27" t="s">
        <v>8</v>
      </c>
      <c r="EX644" s="27" t="s">
        <v>7</v>
      </c>
      <c r="EY644" s="27" t="s">
        <v>8</v>
      </c>
      <c r="EZ644" s="27" t="s">
        <v>7</v>
      </c>
      <c r="FA644" s="27" t="s">
        <v>8</v>
      </c>
      <c r="FH644" s="27" t="s">
        <v>7</v>
      </c>
    </row>
    <row r="645" spans="1:170" x14ac:dyDescent="0.25">
      <c r="A645" s="7">
        <v>0.31709547002401678</v>
      </c>
      <c r="B645"/>
      <c r="C645"/>
      <c r="D645"/>
      <c r="E645"/>
      <c r="AR645" s="27" t="s">
        <v>7</v>
      </c>
      <c r="AS645" s="27" t="s">
        <v>8</v>
      </c>
      <c r="BB645" s="27" t="s">
        <v>7</v>
      </c>
      <c r="BD645" s="27" t="s">
        <v>7</v>
      </c>
      <c r="CQ645" s="27" t="s">
        <v>8</v>
      </c>
      <c r="CR645" s="27" t="s">
        <v>7</v>
      </c>
      <c r="CS645" s="27" t="s">
        <v>8</v>
      </c>
      <c r="CT645" s="27" t="s">
        <v>7</v>
      </c>
      <c r="CW645" s="27" t="s">
        <v>8</v>
      </c>
      <c r="CY645" s="27" t="s">
        <v>8</v>
      </c>
      <c r="CZ645" s="27" t="s">
        <v>7</v>
      </c>
      <c r="DA645" s="27" t="s">
        <v>8</v>
      </c>
      <c r="DC645" s="27" t="s">
        <v>8</v>
      </c>
      <c r="DD645" s="27" t="s">
        <v>7</v>
      </c>
      <c r="DE645" s="27" t="s">
        <v>8</v>
      </c>
      <c r="DF645" s="27" t="s">
        <v>7</v>
      </c>
      <c r="DG645" s="27" t="s">
        <v>8</v>
      </c>
      <c r="DH645" s="27" t="s">
        <v>7</v>
      </c>
      <c r="DI645" s="27" t="s">
        <v>8</v>
      </c>
      <c r="DJ645" s="27" t="s">
        <v>7</v>
      </c>
      <c r="DK645" s="27" t="s">
        <v>8</v>
      </c>
      <c r="DL645" s="27" t="s">
        <v>7</v>
      </c>
      <c r="EU645" s="27" t="s">
        <v>8</v>
      </c>
      <c r="EV645" s="27" t="s">
        <v>7</v>
      </c>
      <c r="EW645" s="27" t="s">
        <v>8</v>
      </c>
      <c r="EX645" s="27" t="s">
        <v>7</v>
      </c>
      <c r="EY645" s="27" t="s">
        <v>8</v>
      </c>
      <c r="EZ645" s="27" t="s">
        <v>7</v>
      </c>
      <c r="FA645" s="27" t="s">
        <v>8</v>
      </c>
      <c r="FH645" s="27" t="s">
        <v>7</v>
      </c>
    </row>
    <row r="646" spans="1:170" x14ac:dyDescent="0.25">
      <c r="A646" s="7">
        <v>0.31087791178825175</v>
      </c>
      <c r="B646"/>
      <c r="C646"/>
      <c r="D646"/>
      <c r="E646"/>
      <c r="AR646" s="27" t="s">
        <v>7</v>
      </c>
      <c r="AS646" s="27" t="s">
        <v>8</v>
      </c>
      <c r="BD646" s="27" t="s">
        <v>7</v>
      </c>
      <c r="CQ646" s="27" t="s">
        <v>8</v>
      </c>
      <c r="CR646" s="27" t="s">
        <v>7</v>
      </c>
      <c r="CS646" s="27" t="s">
        <v>8</v>
      </c>
      <c r="CT646" s="27" t="s">
        <v>7</v>
      </c>
      <c r="CW646" s="27" t="s">
        <v>8</v>
      </c>
      <c r="CX646" s="27" t="s">
        <v>7</v>
      </c>
      <c r="CY646" s="27" t="s">
        <v>8</v>
      </c>
      <c r="CZ646" s="27" t="s">
        <v>7</v>
      </c>
      <c r="DA646" s="27" t="s">
        <v>8</v>
      </c>
      <c r="DB646" s="27" t="s">
        <v>7</v>
      </c>
      <c r="DC646" s="27" t="s">
        <v>8</v>
      </c>
      <c r="DD646" s="27" t="s">
        <v>7</v>
      </c>
      <c r="DE646" s="27" t="s">
        <v>8</v>
      </c>
      <c r="DF646" s="27" t="s">
        <v>7</v>
      </c>
      <c r="DG646" s="27" t="s">
        <v>8</v>
      </c>
      <c r="DH646" s="27" t="s">
        <v>7</v>
      </c>
      <c r="DI646" s="27" t="s">
        <v>8</v>
      </c>
      <c r="DJ646" s="27" t="s">
        <v>7</v>
      </c>
      <c r="DL646" s="27" t="s">
        <v>7</v>
      </c>
      <c r="EQ646" s="27" t="s">
        <v>8</v>
      </c>
      <c r="ES646" s="27" t="s">
        <v>8</v>
      </c>
      <c r="EU646" s="27" t="s">
        <v>8</v>
      </c>
      <c r="EV646" s="27" t="s">
        <v>7</v>
      </c>
      <c r="EW646" s="27" t="s">
        <v>8</v>
      </c>
      <c r="EX646" s="27" t="s">
        <v>7</v>
      </c>
      <c r="EY646" s="27" t="s">
        <v>8</v>
      </c>
      <c r="EZ646" s="27" t="s">
        <v>7</v>
      </c>
      <c r="FH646" s="27" t="s">
        <v>7</v>
      </c>
    </row>
    <row r="647" spans="1:170" x14ac:dyDescent="0.25">
      <c r="A647" s="7">
        <v>0.30478226645907036</v>
      </c>
      <c r="B647"/>
      <c r="C647"/>
      <c r="D647"/>
      <c r="E647"/>
      <c r="AR647" s="27" t="s">
        <v>7</v>
      </c>
      <c r="AS647" s="27" t="s">
        <v>8</v>
      </c>
      <c r="BD647" s="27" t="s">
        <v>7</v>
      </c>
      <c r="CQ647" s="27" t="s">
        <v>8</v>
      </c>
      <c r="CR647" s="27" t="s">
        <v>7</v>
      </c>
      <c r="CS647" s="27" t="s">
        <v>8</v>
      </c>
      <c r="CT647" s="27" t="s">
        <v>7</v>
      </c>
      <c r="CU647" s="27" t="s">
        <v>8</v>
      </c>
      <c r="CW647" s="27" t="s">
        <v>8</v>
      </c>
      <c r="CX647" s="27" t="s">
        <v>7</v>
      </c>
      <c r="CY647" s="27" t="s">
        <v>8</v>
      </c>
      <c r="CZ647" s="27" t="s">
        <v>7</v>
      </c>
      <c r="DA647" s="27" t="s">
        <v>8</v>
      </c>
      <c r="DB647" s="27" t="s">
        <v>7</v>
      </c>
      <c r="DC647" s="27" t="s">
        <v>8</v>
      </c>
      <c r="DD647" s="27" t="s">
        <v>7</v>
      </c>
      <c r="DE647" s="27" t="s">
        <v>8</v>
      </c>
      <c r="DF647" s="27" t="s">
        <v>7</v>
      </c>
      <c r="DG647" s="27" t="s">
        <v>8</v>
      </c>
      <c r="DH647" s="27" t="s">
        <v>7</v>
      </c>
      <c r="DL647" s="27" t="s">
        <v>7</v>
      </c>
      <c r="EO647" s="27" t="s">
        <v>8</v>
      </c>
      <c r="EQ647" s="27" t="s">
        <v>8</v>
      </c>
      <c r="ER647" s="27" t="s">
        <v>7</v>
      </c>
      <c r="ES647" s="27" t="s">
        <v>8</v>
      </c>
      <c r="ET647" s="27" t="s">
        <v>7</v>
      </c>
      <c r="EU647" s="27" t="s">
        <v>8</v>
      </c>
      <c r="EV647" s="27" t="s">
        <v>7</v>
      </c>
      <c r="EW647" s="27" t="s">
        <v>8</v>
      </c>
      <c r="EX647" s="27" t="s">
        <v>7</v>
      </c>
      <c r="FH647" s="27" t="s">
        <v>7</v>
      </c>
    </row>
    <row r="648" spans="1:170" x14ac:dyDescent="0.25">
      <c r="A648" s="7">
        <v>0.29880614358732388</v>
      </c>
      <c r="B648"/>
      <c r="C648"/>
      <c r="D648"/>
      <c r="E648"/>
      <c r="AR648" s="27" t="s">
        <v>7</v>
      </c>
      <c r="AS648" s="27" t="s">
        <v>8</v>
      </c>
      <c r="BD648" s="27" t="s">
        <v>7</v>
      </c>
      <c r="BI648" s="27" t="s">
        <v>8</v>
      </c>
      <c r="CI648" s="27" t="s">
        <v>8</v>
      </c>
      <c r="CQ648" s="27" t="s">
        <v>8</v>
      </c>
      <c r="CR648" s="27" t="s">
        <v>7</v>
      </c>
      <c r="CS648" s="27" t="s">
        <v>8</v>
      </c>
      <c r="CT648" s="27" t="s">
        <v>7</v>
      </c>
      <c r="CU648" s="27" t="s">
        <v>8</v>
      </c>
      <c r="CV648" s="27" t="s">
        <v>7</v>
      </c>
      <c r="CW648" s="27" t="s">
        <v>8</v>
      </c>
      <c r="CX648" s="27" t="s">
        <v>7</v>
      </c>
      <c r="CY648" s="27" t="s">
        <v>8</v>
      </c>
      <c r="CZ648" s="27" t="s">
        <v>7</v>
      </c>
      <c r="DA648" s="27" t="s">
        <v>8</v>
      </c>
      <c r="DB648" s="27" t="s">
        <v>7</v>
      </c>
      <c r="DC648" s="27" t="s">
        <v>8</v>
      </c>
      <c r="DD648" s="27" t="s">
        <v>7</v>
      </c>
      <c r="DE648" s="27" t="s">
        <v>8</v>
      </c>
      <c r="DF648" s="27" t="s">
        <v>7</v>
      </c>
      <c r="DG648" s="27" t="s">
        <v>8</v>
      </c>
      <c r="DL648" s="27" t="s">
        <v>7</v>
      </c>
      <c r="EO648" s="27" t="s">
        <v>8</v>
      </c>
      <c r="EP648" s="27" t="s">
        <v>7</v>
      </c>
      <c r="EQ648" s="27" t="s">
        <v>8</v>
      </c>
      <c r="ER648" s="27" t="s">
        <v>7</v>
      </c>
      <c r="ES648" s="27" t="s">
        <v>8</v>
      </c>
      <c r="ET648" s="27" t="s">
        <v>7</v>
      </c>
      <c r="EU648" s="27" t="s">
        <v>8</v>
      </c>
      <c r="EV648" s="27" t="s">
        <v>7</v>
      </c>
      <c r="EW648" s="27" t="s">
        <v>8</v>
      </c>
      <c r="FH648" s="27" t="s">
        <v>7</v>
      </c>
      <c r="FI648" s="27" t="s">
        <v>8</v>
      </c>
    </row>
    <row r="649" spans="1:170" x14ac:dyDescent="0.25">
      <c r="A649" s="7">
        <v>0.2929471995954156</v>
      </c>
      <c r="B649"/>
      <c r="C649"/>
      <c r="D649"/>
      <c r="E649"/>
      <c r="AR649" s="27" t="s">
        <v>7</v>
      </c>
      <c r="AS649" s="27" t="s">
        <v>8</v>
      </c>
      <c r="BD649" s="27" t="s">
        <v>7</v>
      </c>
      <c r="BI649" s="27" t="s">
        <v>8</v>
      </c>
      <c r="BJ649" s="27" t="s">
        <v>7</v>
      </c>
      <c r="CI649" s="27" t="s">
        <v>8</v>
      </c>
      <c r="CJ649" s="27" t="s">
        <v>7</v>
      </c>
      <c r="CQ649" s="27" t="s">
        <v>8</v>
      </c>
      <c r="CR649" s="27" t="s">
        <v>7</v>
      </c>
      <c r="CS649" s="27" t="s">
        <v>8</v>
      </c>
      <c r="CT649" s="27" t="s">
        <v>7</v>
      </c>
      <c r="CU649" s="27" t="s">
        <v>8</v>
      </c>
      <c r="CV649" s="27" t="s">
        <v>7</v>
      </c>
      <c r="CW649" s="27" t="s">
        <v>8</v>
      </c>
      <c r="CX649" s="27" t="s">
        <v>7</v>
      </c>
      <c r="CY649" s="27" t="s">
        <v>8</v>
      </c>
      <c r="CZ649" s="27" t="s">
        <v>7</v>
      </c>
      <c r="DA649" s="27" t="s">
        <v>8</v>
      </c>
      <c r="DB649" s="27" t="s">
        <v>7</v>
      </c>
      <c r="DD649" s="27" t="s">
        <v>7</v>
      </c>
      <c r="DE649" s="27" t="s">
        <v>8</v>
      </c>
      <c r="DF649" s="27" t="s">
        <v>7</v>
      </c>
      <c r="DG649" s="27" t="s">
        <v>8</v>
      </c>
      <c r="DL649" s="27" t="s">
        <v>7</v>
      </c>
      <c r="EO649" s="27" t="s">
        <v>8</v>
      </c>
      <c r="EP649" s="27" t="s">
        <v>7</v>
      </c>
      <c r="EQ649" s="27" t="s">
        <v>8</v>
      </c>
      <c r="ER649" s="27" t="s">
        <v>7</v>
      </c>
      <c r="ES649" s="27" t="s">
        <v>8</v>
      </c>
      <c r="ET649" s="27" t="s">
        <v>7</v>
      </c>
      <c r="EU649" s="27" t="s">
        <v>8</v>
      </c>
      <c r="EV649" s="27" t="s">
        <v>7</v>
      </c>
      <c r="FH649" s="27" t="s">
        <v>7</v>
      </c>
      <c r="FI649" s="27" t="s">
        <v>8</v>
      </c>
      <c r="FJ649" s="27" t="s">
        <v>7</v>
      </c>
    </row>
    <row r="650" spans="1:170" x14ac:dyDescent="0.25">
      <c r="A650" s="7">
        <v>0.28720313685825055</v>
      </c>
      <c r="B650"/>
      <c r="C650"/>
      <c r="D650"/>
      <c r="E650"/>
      <c r="AR650" s="27" t="s">
        <v>7</v>
      </c>
      <c r="AS650" s="27" t="s">
        <v>8</v>
      </c>
      <c r="BD650" s="27" t="s">
        <v>7</v>
      </c>
      <c r="BI650" s="27" t="s">
        <v>8</v>
      </c>
      <c r="BJ650" s="27" t="s">
        <v>7</v>
      </c>
      <c r="CI650" s="27" t="s">
        <v>8</v>
      </c>
      <c r="CJ650" s="27" t="s">
        <v>7</v>
      </c>
      <c r="CQ650" s="27" t="s">
        <v>8</v>
      </c>
      <c r="CR650" s="27" t="s">
        <v>7</v>
      </c>
      <c r="CS650" s="27" t="s">
        <v>8</v>
      </c>
      <c r="CT650" s="27" t="s">
        <v>7</v>
      </c>
      <c r="CV650" s="27" t="s">
        <v>7</v>
      </c>
      <c r="CW650" s="27" t="s">
        <v>8</v>
      </c>
      <c r="CX650" s="27" t="s">
        <v>7</v>
      </c>
      <c r="CY650" s="27" t="s">
        <v>8</v>
      </c>
      <c r="CZ650" s="27" t="s">
        <v>7</v>
      </c>
      <c r="DA650" s="27" t="s">
        <v>8</v>
      </c>
      <c r="DD650" s="27" t="s">
        <v>7</v>
      </c>
      <c r="DF650" s="27" t="s">
        <v>7</v>
      </c>
      <c r="DG650" s="27" t="s">
        <v>8</v>
      </c>
      <c r="DL650" s="27" t="s">
        <v>7</v>
      </c>
      <c r="EO650" s="27" t="s">
        <v>8</v>
      </c>
      <c r="EP650" s="27" t="s">
        <v>7</v>
      </c>
      <c r="EQ650" s="27" t="s">
        <v>8</v>
      </c>
      <c r="ER650" s="27" t="s">
        <v>7</v>
      </c>
      <c r="ES650" s="27" t="s">
        <v>8</v>
      </c>
      <c r="ET650" s="27" t="s">
        <v>7</v>
      </c>
      <c r="EU650" s="27" t="s">
        <v>8</v>
      </c>
      <c r="FH650" s="27" t="s">
        <v>7</v>
      </c>
      <c r="FI650" s="27" t="s">
        <v>8</v>
      </c>
      <c r="FJ650" s="27" t="s">
        <v>7</v>
      </c>
    </row>
    <row r="651" spans="1:170" x14ac:dyDescent="0.25">
      <c r="A651" s="7">
        <v>0.28157170280220645</v>
      </c>
      <c r="B651"/>
      <c r="C651"/>
      <c r="D651"/>
      <c r="E651"/>
      <c r="AR651" s="27" t="s">
        <v>7</v>
      </c>
      <c r="BD651" s="27" t="s">
        <v>7</v>
      </c>
      <c r="BI651" s="27" t="s">
        <v>8</v>
      </c>
      <c r="BJ651" s="27" t="s">
        <v>7</v>
      </c>
      <c r="CI651" s="27" t="s">
        <v>8</v>
      </c>
      <c r="CJ651" s="27" t="s">
        <v>7</v>
      </c>
      <c r="CQ651" s="27" t="s">
        <v>8</v>
      </c>
      <c r="CR651" s="27" t="s">
        <v>7</v>
      </c>
      <c r="CV651" s="27" t="s">
        <v>7</v>
      </c>
      <c r="CW651" s="27" t="s">
        <v>8</v>
      </c>
      <c r="CX651" s="27" t="s">
        <v>7</v>
      </c>
      <c r="CY651" s="27" t="s">
        <v>8</v>
      </c>
      <c r="CZ651" s="27" t="s">
        <v>7</v>
      </c>
      <c r="DA651" s="27" t="s">
        <v>8</v>
      </c>
      <c r="DF651" s="27" t="s">
        <v>7</v>
      </c>
      <c r="DL651" s="27" t="s">
        <v>7</v>
      </c>
      <c r="EO651" s="27" t="s">
        <v>8</v>
      </c>
      <c r="EP651" s="27" t="s">
        <v>7</v>
      </c>
      <c r="EQ651" s="27" t="s">
        <v>8</v>
      </c>
      <c r="ER651" s="27" t="s">
        <v>7</v>
      </c>
      <c r="ES651" s="27" t="s">
        <v>8</v>
      </c>
      <c r="ET651" s="27" t="s">
        <v>7</v>
      </c>
      <c r="EU651" s="27" t="s">
        <v>8</v>
      </c>
      <c r="FH651" s="27" t="s">
        <v>7</v>
      </c>
      <c r="FI651" s="27" t="s">
        <v>8</v>
      </c>
      <c r="FJ651" s="27" t="s">
        <v>7</v>
      </c>
    </row>
    <row r="652" spans="1:170" x14ac:dyDescent="0.25">
      <c r="A652" s="7">
        <v>0.27605068902177105</v>
      </c>
      <c r="B652"/>
      <c r="C652"/>
      <c r="D652"/>
      <c r="E652"/>
      <c r="BD652" s="27" t="s">
        <v>7</v>
      </c>
      <c r="BI652" s="27" t="s">
        <v>8</v>
      </c>
      <c r="BJ652" s="27" t="s">
        <v>7</v>
      </c>
      <c r="CI652" s="27" t="s">
        <v>8</v>
      </c>
      <c r="CJ652" s="27" t="s">
        <v>7</v>
      </c>
      <c r="CQ652" s="27" t="s">
        <v>8</v>
      </c>
      <c r="CV652" s="27" t="s">
        <v>7</v>
      </c>
      <c r="CW652" s="27" t="s">
        <v>8</v>
      </c>
      <c r="CX652" s="27" t="s">
        <v>7</v>
      </c>
      <c r="CZ652" s="27" t="s">
        <v>7</v>
      </c>
      <c r="DA652" s="27" t="s">
        <v>8</v>
      </c>
      <c r="DL652" s="27" t="s">
        <v>7</v>
      </c>
      <c r="DM652" s="27" t="s">
        <v>8</v>
      </c>
      <c r="DS652" s="27" t="s">
        <v>8</v>
      </c>
      <c r="EO652" s="27" t="s">
        <v>8</v>
      </c>
      <c r="EP652" s="27" t="s">
        <v>7</v>
      </c>
      <c r="EQ652" s="27" t="s">
        <v>8</v>
      </c>
      <c r="ER652" s="27" t="s">
        <v>7</v>
      </c>
      <c r="ES652" s="27" t="s">
        <v>8</v>
      </c>
      <c r="ET652" s="27" t="s">
        <v>7</v>
      </c>
      <c r="EU652" s="27" t="s">
        <v>8</v>
      </c>
      <c r="FH652" s="27" t="s">
        <v>7</v>
      </c>
      <c r="FI652" s="27" t="s">
        <v>8</v>
      </c>
      <c r="FJ652" s="27" t="s">
        <v>7</v>
      </c>
      <c r="FK652" s="27" t="s">
        <v>8</v>
      </c>
    </row>
    <row r="653" spans="1:170" x14ac:dyDescent="0.25">
      <c r="A653" s="7">
        <v>0.27063793041350104</v>
      </c>
      <c r="B653"/>
      <c r="C653"/>
      <c r="D653"/>
      <c r="E653"/>
      <c r="BD653" s="27" t="s">
        <v>7</v>
      </c>
      <c r="BE653" s="27" t="s">
        <v>8</v>
      </c>
      <c r="BI653" s="27" t="s">
        <v>8</v>
      </c>
      <c r="BJ653" s="27" t="s">
        <v>7</v>
      </c>
      <c r="CI653" s="27" t="s">
        <v>8</v>
      </c>
      <c r="CJ653" s="27" t="s">
        <v>7</v>
      </c>
      <c r="CQ653" s="27" t="s">
        <v>8</v>
      </c>
      <c r="CV653" s="27" t="s">
        <v>7</v>
      </c>
      <c r="CW653" s="27" t="s">
        <v>8</v>
      </c>
      <c r="CZ653" s="27" t="s">
        <v>7</v>
      </c>
      <c r="DA653" s="27" t="s">
        <v>8</v>
      </c>
      <c r="DL653" s="27" t="s">
        <v>7</v>
      </c>
      <c r="DM653" s="27" t="s">
        <v>8</v>
      </c>
      <c r="DN653" s="27" t="s">
        <v>7</v>
      </c>
      <c r="DO653" s="27" t="s">
        <v>8</v>
      </c>
      <c r="DS653" s="27" t="s">
        <v>8</v>
      </c>
      <c r="DT653" s="27" t="s">
        <v>7</v>
      </c>
      <c r="EO653" s="27" t="s">
        <v>8</v>
      </c>
      <c r="EP653" s="27" t="s">
        <v>7</v>
      </c>
      <c r="EQ653" s="27" t="s">
        <v>8</v>
      </c>
      <c r="ER653" s="27" t="s">
        <v>7</v>
      </c>
      <c r="ES653" s="27" t="s">
        <v>8</v>
      </c>
      <c r="ET653" s="27" t="s">
        <v>7</v>
      </c>
      <c r="EU653" s="27" t="s">
        <v>8</v>
      </c>
      <c r="FH653" s="27" t="s">
        <v>7</v>
      </c>
      <c r="FI653" s="27" t="s">
        <v>8</v>
      </c>
      <c r="FJ653" s="27" t="s">
        <v>7</v>
      </c>
      <c r="FK653" s="27" t="s">
        <v>8</v>
      </c>
      <c r="FL653" s="27" t="s">
        <v>7</v>
      </c>
    </row>
    <row r="654" spans="1:170" x14ac:dyDescent="0.25">
      <c r="A654" s="7">
        <v>0.26533130432696184</v>
      </c>
      <c r="B654"/>
      <c r="C654"/>
      <c r="D654"/>
      <c r="E654"/>
      <c r="BD654" s="27" t="s">
        <v>7</v>
      </c>
      <c r="BE654" s="27" t="s">
        <v>8</v>
      </c>
      <c r="BF654" s="27" t="s">
        <v>7</v>
      </c>
      <c r="BI654" s="27" t="s">
        <v>8</v>
      </c>
      <c r="BJ654" s="27" t="s">
        <v>7</v>
      </c>
      <c r="CE654" s="27" t="s">
        <v>8</v>
      </c>
      <c r="CI654" s="27" t="s">
        <v>8</v>
      </c>
      <c r="CJ654" s="27" t="s">
        <v>7</v>
      </c>
      <c r="CQ654" s="27" t="s">
        <v>8</v>
      </c>
      <c r="CV654" s="27" t="s">
        <v>7</v>
      </c>
      <c r="CZ654" s="27" t="s">
        <v>7</v>
      </c>
      <c r="DA654" s="27" t="s">
        <v>8</v>
      </c>
      <c r="DL654" s="27" t="s">
        <v>7</v>
      </c>
      <c r="DM654" s="27" t="s">
        <v>8</v>
      </c>
      <c r="DN654" s="27" t="s">
        <v>7</v>
      </c>
      <c r="DO654" s="27" t="s">
        <v>8</v>
      </c>
      <c r="DP654" s="27" t="s">
        <v>7</v>
      </c>
      <c r="DS654" s="27" t="s">
        <v>8</v>
      </c>
      <c r="DT654" s="27" t="s">
        <v>7</v>
      </c>
      <c r="EO654" s="27" t="s">
        <v>8</v>
      </c>
      <c r="EP654" s="27" t="s">
        <v>7</v>
      </c>
      <c r="EQ654" s="27" t="s">
        <v>8</v>
      </c>
      <c r="ER654" s="27" t="s">
        <v>7</v>
      </c>
      <c r="ES654" s="27" t="s">
        <v>8</v>
      </c>
      <c r="ET654" s="27" t="s">
        <v>7</v>
      </c>
      <c r="EU654" s="27" t="s">
        <v>8</v>
      </c>
      <c r="FH654" s="27" t="s">
        <v>7</v>
      </c>
      <c r="FI654" s="27" t="s">
        <v>8</v>
      </c>
      <c r="FJ654" s="27" t="s">
        <v>7</v>
      </c>
      <c r="FK654" s="27" t="s">
        <v>8</v>
      </c>
      <c r="FL654" s="27" t="s">
        <v>7</v>
      </c>
    </row>
    <row r="655" spans="1:170" x14ac:dyDescent="0.25">
      <c r="A655" s="7">
        <v>0.26012872973231554</v>
      </c>
      <c r="B655"/>
      <c r="C655"/>
      <c r="D655"/>
      <c r="E655"/>
      <c r="BD655" s="27" t="s">
        <v>7</v>
      </c>
      <c r="BE655" s="27" t="s">
        <v>8</v>
      </c>
      <c r="BF655" s="27" t="s">
        <v>7</v>
      </c>
      <c r="BI655" s="27" t="s">
        <v>8</v>
      </c>
      <c r="BJ655" s="27" t="s">
        <v>7</v>
      </c>
      <c r="CE655" s="27" t="s">
        <v>8</v>
      </c>
      <c r="CF655" s="27" t="s">
        <v>7</v>
      </c>
      <c r="CI655" s="27" t="s">
        <v>8</v>
      </c>
      <c r="CJ655" s="27" t="s">
        <v>7</v>
      </c>
      <c r="CQ655" s="27" t="s">
        <v>8</v>
      </c>
      <c r="CZ655" s="27" t="s">
        <v>7</v>
      </c>
      <c r="DA655" s="27" t="s">
        <v>8</v>
      </c>
      <c r="DL655" s="27" t="s">
        <v>7</v>
      </c>
      <c r="DM655" s="27" t="s">
        <v>8</v>
      </c>
      <c r="DN655" s="27" t="s">
        <v>7</v>
      </c>
      <c r="DO655" s="27" t="s">
        <v>8</v>
      </c>
      <c r="DP655" s="27" t="s">
        <v>7</v>
      </c>
      <c r="DQ655" s="27" t="s">
        <v>8</v>
      </c>
      <c r="DS655" s="27" t="s">
        <v>8</v>
      </c>
      <c r="DT655" s="27" t="s">
        <v>7</v>
      </c>
      <c r="EO655" s="27" t="s">
        <v>8</v>
      </c>
      <c r="EP655" s="27" t="s">
        <v>7</v>
      </c>
      <c r="EQ655" s="27" t="s">
        <v>8</v>
      </c>
      <c r="ER655" s="27" t="s">
        <v>7</v>
      </c>
      <c r="ES655" s="27" t="s">
        <v>8</v>
      </c>
      <c r="ET655" s="27" t="s">
        <v>7</v>
      </c>
      <c r="EU655" s="27" t="s">
        <v>8</v>
      </c>
      <c r="FH655" s="27" t="s">
        <v>7</v>
      </c>
      <c r="FI655" s="27" t="s">
        <v>8</v>
      </c>
      <c r="FJ655" s="27" t="s">
        <v>7</v>
      </c>
      <c r="FK655" s="27" t="s">
        <v>8</v>
      </c>
      <c r="FL655" s="27" t="s">
        <v>7</v>
      </c>
      <c r="FM655" s="27" t="s">
        <v>8</v>
      </c>
    </row>
    <row r="656" spans="1:170" x14ac:dyDescent="0.25">
      <c r="A656" s="7">
        <v>0.25502816640423093</v>
      </c>
      <c r="B656"/>
      <c r="C656"/>
      <c r="D656"/>
      <c r="E656"/>
      <c r="BD656" s="27" t="s">
        <v>7</v>
      </c>
      <c r="BE656" s="27" t="s">
        <v>8</v>
      </c>
      <c r="BF656" s="27" t="s">
        <v>7</v>
      </c>
      <c r="BI656" s="27" t="s">
        <v>8</v>
      </c>
      <c r="BJ656" s="27" t="s">
        <v>7</v>
      </c>
      <c r="CE656" s="27" t="s">
        <v>8</v>
      </c>
      <c r="CF656" s="27" t="s">
        <v>7</v>
      </c>
      <c r="CI656" s="27" t="s">
        <v>8</v>
      </c>
      <c r="CJ656" s="27" t="s">
        <v>7</v>
      </c>
      <c r="CK656" s="27" t="s">
        <v>8</v>
      </c>
      <c r="CQ656" s="27" t="s">
        <v>8</v>
      </c>
      <c r="CZ656" s="27" t="s">
        <v>7</v>
      </c>
      <c r="DA656" s="27" t="s">
        <v>8</v>
      </c>
      <c r="DL656" s="27" t="s">
        <v>7</v>
      </c>
      <c r="DM656" s="27" t="s">
        <v>8</v>
      </c>
      <c r="DN656" s="27" t="s">
        <v>7</v>
      </c>
      <c r="DO656" s="27" t="s">
        <v>8</v>
      </c>
      <c r="DP656" s="27" t="s">
        <v>7</v>
      </c>
      <c r="DQ656" s="27" t="s">
        <v>8</v>
      </c>
      <c r="DR656" s="27" t="s">
        <v>7</v>
      </c>
      <c r="DS656" s="27" t="s">
        <v>8</v>
      </c>
      <c r="DT656" s="27" t="s">
        <v>7</v>
      </c>
      <c r="EO656" s="27" t="s">
        <v>8</v>
      </c>
      <c r="EP656" s="27" t="s">
        <v>7</v>
      </c>
      <c r="EQ656" s="27" t="s">
        <v>8</v>
      </c>
      <c r="ER656" s="27" t="s">
        <v>7</v>
      </c>
      <c r="ES656" s="27" t="s">
        <v>8</v>
      </c>
      <c r="ET656" s="27" t="s">
        <v>7</v>
      </c>
      <c r="FH656" s="27" t="s">
        <v>7</v>
      </c>
      <c r="FI656" s="27" t="s">
        <v>8</v>
      </c>
      <c r="FJ656" s="27" t="s">
        <v>7</v>
      </c>
      <c r="FK656" s="27" t="s">
        <v>8</v>
      </c>
      <c r="FL656" s="27" t="s">
        <v>7</v>
      </c>
      <c r="FM656" s="27" t="s">
        <v>8</v>
      </c>
      <c r="FN656" s="27" t="s">
        <v>7</v>
      </c>
    </row>
    <row r="657" spans="1:190" x14ac:dyDescent="0.25">
      <c r="A657" s="7">
        <v>0.25002761412179503</v>
      </c>
      <c r="B657"/>
      <c r="C657"/>
      <c r="D657"/>
      <c r="E657"/>
      <c r="BD657" s="27" t="s">
        <v>7</v>
      </c>
      <c r="BE657" s="27" t="s">
        <v>8</v>
      </c>
      <c r="BF657" s="27" t="s">
        <v>7</v>
      </c>
      <c r="BI657" s="27" t="s">
        <v>8</v>
      </c>
      <c r="BJ657" s="27" t="s">
        <v>7</v>
      </c>
      <c r="CE657" s="27" t="s">
        <v>8</v>
      </c>
      <c r="CF657" s="27" t="s">
        <v>7</v>
      </c>
      <c r="CI657" s="27" t="s">
        <v>8</v>
      </c>
      <c r="CJ657" s="27" t="s">
        <v>7</v>
      </c>
      <c r="CK657" s="27" t="s">
        <v>8</v>
      </c>
      <c r="CL657" s="27" t="s">
        <v>7</v>
      </c>
      <c r="CQ657" s="27" t="s">
        <v>8</v>
      </c>
      <c r="CZ657" s="27" t="s">
        <v>7</v>
      </c>
      <c r="DL657" s="27" t="s">
        <v>7</v>
      </c>
      <c r="DM657" s="27" t="s">
        <v>8</v>
      </c>
      <c r="DN657" s="27" t="s">
        <v>7</v>
      </c>
      <c r="DO657" s="27" t="s">
        <v>8</v>
      </c>
      <c r="DP657" s="27" t="s">
        <v>7</v>
      </c>
      <c r="DQ657" s="27" t="s">
        <v>8</v>
      </c>
      <c r="DR657" s="27" t="s">
        <v>7</v>
      </c>
      <c r="DS657" s="27" t="s">
        <v>8</v>
      </c>
      <c r="DT657" s="27" t="s">
        <v>7</v>
      </c>
      <c r="EO657" s="27" t="s">
        <v>8</v>
      </c>
      <c r="EP657" s="27" t="s">
        <v>7</v>
      </c>
      <c r="EQ657" s="27" t="s">
        <v>8</v>
      </c>
      <c r="ER657" s="27" t="s">
        <v>7</v>
      </c>
      <c r="ES657" s="27" t="s">
        <v>8</v>
      </c>
      <c r="FH657" s="27" t="s">
        <v>7</v>
      </c>
      <c r="FI657" s="27" t="s">
        <v>8</v>
      </c>
      <c r="FJ657" s="27" t="s">
        <v>7</v>
      </c>
      <c r="FK657" s="27" t="s">
        <v>8</v>
      </c>
      <c r="FL657" s="27" t="s">
        <v>7</v>
      </c>
      <c r="FM657" s="27" t="s">
        <v>8</v>
      </c>
      <c r="FN657" s="27" t="s">
        <v>7</v>
      </c>
      <c r="FU657" s="27" t="s">
        <v>8</v>
      </c>
    </row>
    <row r="658" spans="1:190" x14ac:dyDescent="0.25">
      <c r="A658" s="7">
        <v>0.24512511188411276</v>
      </c>
      <c r="B658"/>
      <c r="C658"/>
      <c r="D658"/>
      <c r="E658"/>
      <c r="BD658" s="27" t="s">
        <v>7</v>
      </c>
      <c r="BE658" s="27" t="s">
        <v>8</v>
      </c>
      <c r="BF658" s="27" t="s">
        <v>7</v>
      </c>
      <c r="BI658" s="27" t="s">
        <v>8</v>
      </c>
      <c r="BJ658" s="27" t="s">
        <v>7</v>
      </c>
      <c r="CE658" s="27" t="s">
        <v>8</v>
      </c>
      <c r="CF658" s="27" t="s">
        <v>7</v>
      </c>
      <c r="CI658" s="27" t="s">
        <v>8</v>
      </c>
      <c r="CJ658" s="27" t="s">
        <v>7</v>
      </c>
      <c r="CK658" s="27" t="s">
        <v>8</v>
      </c>
      <c r="CL658" s="27" t="s">
        <v>7</v>
      </c>
      <c r="CQ658" s="27" t="s">
        <v>8</v>
      </c>
      <c r="DL658" s="27" t="s">
        <v>7</v>
      </c>
      <c r="DM658" s="27" t="s">
        <v>8</v>
      </c>
      <c r="DN658" s="27" t="s">
        <v>7</v>
      </c>
      <c r="DO658" s="27" t="s">
        <v>8</v>
      </c>
      <c r="DP658" s="27" t="s">
        <v>7</v>
      </c>
      <c r="DQ658" s="27" t="s">
        <v>8</v>
      </c>
      <c r="DR658" s="27" t="s">
        <v>7</v>
      </c>
      <c r="DS658" s="27" t="s">
        <v>8</v>
      </c>
      <c r="DT658" s="27" t="s">
        <v>7</v>
      </c>
      <c r="EC658" s="27" t="s">
        <v>8</v>
      </c>
      <c r="EO658" s="27" t="s">
        <v>8</v>
      </c>
      <c r="EP658" s="27" t="s">
        <v>7</v>
      </c>
      <c r="EQ658" s="27" t="s">
        <v>8</v>
      </c>
      <c r="ER658" s="27" t="s">
        <v>7</v>
      </c>
      <c r="FH658" s="27" t="s">
        <v>7</v>
      </c>
      <c r="FI658" s="27" t="s">
        <v>8</v>
      </c>
      <c r="FJ658" s="27" t="s">
        <v>7</v>
      </c>
      <c r="FK658" s="27" t="s">
        <v>8</v>
      </c>
      <c r="FL658" s="27" t="s">
        <v>7</v>
      </c>
      <c r="FM658" s="27" t="s">
        <v>8</v>
      </c>
      <c r="FN658" s="27" t="s">
        <v>7</v>
      </c>
      <c r="FU658" s="27" t="s">
        <v>8</v>
      </c>
      <c r="FV658" s="27" t="s">
        <v>7</v>
      </c>
    </row>
    <row r="659" spans="1:190" x14ac:dyDescent="0.25">
      <c r="A659" s="7">
        <v>0.24031873714128701</v>
      </c>
      <c r="B659"/>
      <c r="C659"/>
      <c r="D659"/>
      <c r="E659"/>
      <c r="BD659" s="27" t="s">
        <v>7</v>
      </c>
      <c r="BE659" s="27" t="s">
        <v>8</v>
      </c>
      <c r="BF659" s="27" t="s">
        <v>7</v>
      </c>
      <c r="BI659" s="27" t="s">
        <v>8</v>
      </c>
      <c r="BJ659" s="27" t="s">
        <v>7</v>
      </c>
      <c r="CE659" s="27" t="s">
        <v>8</v>
      </c>
      <c r="CF659" s="27" t="s">
        <v>7</v>
      </c>
      <c r="CI659" s="27" t="s">
        <v>8</v>
      </c>
      <c r="CJ659" s="27" t="s">
        <v>7</v>
      </c>
      <c r="CK659" s="27" t="s">
        <v>8</v>
      </c>
      <c r="CL659" s="27" t="s">
        <v>7</v>
      </c>
      <c r="CM659" s="27" t="s">
        <v>8</v>
      </c>
      <c r="CQ659" s="27" t="s">
        <v>8</v>
      </c>
      <c r="DL659" s="27" t="s">
        <v>7</v>
      </c>
      <c r="DM659" s="27" t="s">
        <v>8</v>
      </c>
      <c r="DN659" s="27" t="s">
        <v>7</v>
      </c>
      <c r="DO659" s="27" t="s">
        <v>8</v>
      </c>
      <c r="DP659" s="27" t="s">
        <v>7</v>
      </c>
      <c r="DQ659" s="27" t="s">
        <v>8</v>
      </c>
      <c r="DR659" s="27" t="s">
        <v>7</v>
      </c>
      <c r="DS659" s="27" t="s">
        <v>8</v>
      </c>
      <c r="DT659" s="27" t="s">
        <v>7</v>
      </c>
      <c r="EC659" s="27" t="s">
        <v>8</v>
      </c>
      <c r="ED659" s="27" t="s">
        <v>7</v>
      </c>
      <c r="EO659" s="27" t="s">
        <v>8</v>
      </c>
      <c r="EP659" s="27" t="s">
        <v>7</v>
      </c>
      <c r="EQ659" s="27" t="s">
        <v>8</v>
      </c>
      <c r="FH659" s="27" t="s">
        <v>7</v>
      </c>
      <c r="FI659" s="27" t="s">
        <v>8</v>
      </c>
      <c r="FJ659" s="27" t="s">
        <v>7</v>
      </c>
      <c r="FK659" s="27" t="s">
        <v>8</v>
      </c>
      <c r="FL659" s="27" t="s">
        <v>7</v>
      </c>
      <c r="FM659" s="27" t="s">
        <v>8</v>
      </c>
      <c r="FN659" s="27" t="s">
        <v>7</v>
      </c>
      <c r="FS659" s="27" t="s">
        <v>8</v>
      </c>
      <c r="FU659" s="27" t="s">
        <v>8</v>
      </c>
      <c r="FV659" s="27" t="s">
        <v>7</v>
      </c>
    </row>
    <row r="660" spans="1:190" x14ac:dyDescent="0.25">
      <c r="A660" s="7">
        <v>0.23560660504047748</v>
      </c>
      <c r="B660"/>
      <c r="C660"/>
      <c r="D660"/>
      <c r="E660"/>
      <c r="BD660" s="27" t="s">
        <v>7</v>
      </c>
      <c r="BE660" s="27" t="s">
        <v>8</v>
      </c>
      <c r="BF660" s="27" t="s">
        <v>7</v>
      </c>
      <c r="BI660" s="27" t="s">
        <v>8</v>
      </c>
      <c r="BJ660" s="27" t="s">
        <v>7</v>
      </c>
      <c r="BO660" s="27" t="s">
        <v>8</v>
      </c>
      <c r="CE660" s="27" t="s">
        <v>8</v>
      </c>
      <c r="CF660" s="27" t="s">
        <v>7</v>
      </c>
      <c r="CI660" s="27" t="s">
        <v>8</v>
      </c>
      <c r="CJ660" s="27" t="s">
        <v>7</v>
      </c>
      <c r="CK660" s="27" t="s">
        <v>8</v>
      </c>
      <c r="CL660" s="27" t="s">
        <v>7</v>
      </c>
      <c r="CM660" s="27" t="s">
        <v>8</v>
      </c>
      <c r="CN660" s="27" t="s">
        <v>7</v>
      </c>
      <c r="CQ660" s="27" t="s">
        <v>8</v>
      </c>
      <c r="DL660" s="27" t="s">
        <v>7</v>
      </c>
      <c r="DM660" s="27" t="s">
        <v>8</v>
      </c>
      <c r="DN660" s="27" t="s">
        <v>7</v>
      </c>
      <c r="DO660" s="27" t="s">
        <v>8</v>
      </c>
      <c r="DP660" s="27" t="s">
        <v>7</v>
      </c>
      <c r="DQ660" s="27" t="s">
        <v>8</v>
      </c>
      <c r="DR660" s="27" t="s">
        <v>7</v>
      </c>
      <c r="DS660" s="27" t="s">
        <v>8</v>
      </c>
      <c r="DT660" s="27" t="s">
        <v>7</v>
      </c>
      <c r="EC660" s="27" t="s">
        <v>8</v>
      </c>
      <c r="ED660" s="27" t="s">
        <v>7</v>
      </c>
      <c r="EI660" s="27" t="s">
        <v>8</v>
      </c>
      <c r="EO660" s="27" t="s">
        <v>8</v>
      </c>
      <c r="EP660" s="27" t="s">
        <v>7</v>
      </c>
      <c r="EQ660" s="27" t="s">
        <v>8</v>
      </c>
      <c r="FH660" s="27" t="s">
        <v>7</v>
      </c>
      <c r="FI660" s="27" t="s">
        <v>8</v>
      </c>
      <c r="FJ660" s="27" t="s">
        <v>7</v>
      </c>
      <c r="FK660" s="27" t="s">
        <v>8</v>
      </c>
      <c r="FL660" s="27" t="s">
        <v>7</v>
      </c>
      <c r="FM660" s="27" t="s">
        <v>8</v>
      </c>
      <c r="FN660" s="27" t="s">
        <v>7</v>
      </c>
      <c r="FS660" s="27" t="s">
        <v>8</v>
      </c>
      <c r="FT660" s="27" t="s">
        <v>7</v>
      </c>
      <c r="FU660" s="27" t="s">
        <v>8</v>
      </c>
      <c r="FV660" s="27" t="s">
        <v>7</v>
      </c>
    </row>
    <row r="661" spans="1:190" x14ac:dyDescent="0.25">
      <c r="A661" s="7">
        <v>0.23098686768674265</v>
      </c>
      <c r="B661"/>
      <c r="C661"/>
      <c r="D661"/>
      <c r="E661"/>
      <c r="BD661" s="27" t="s">
        <v>7</v>
      </c>
      <c r="BE661" s="27" t="s">
        <v>8</v>
      </c>
      <c r="BF661" s="27" t="s">
        <v>7</v>
      </c>
      <c r="BI661" s="27" t="s">
        <v>8</v>
      </c>
      <c r="BJ661" s="27" t="s">
        <v>7</v>
      </c>
      <c r="BO661" s="27" t="s">
        <v>8</v>
      </c>
      <c r="BP661" s="27" t="s">
        <v>7</v>
      </c>
      <c r="CE661" s="27" t="s">
        <v>8</v>
      </c>
      <c r="CF661" s="27" t="s">
        <v>7</v>
      </c>
      <c r="CI661" s="27" t="s">
        <v>8</v>
      </c>
      <c r="CJ661" s="27" t="s">
        <v>7</v>
      </c>
      <c r="CK661" s="27" t="s">
        <v>8</v>
      </c>
      <c r="CL661" s="27" t="s">
        <v>7</v>
      </c>
      <c r="CM661" s="27" t="s">
        <v>8</v>
      </c>
      <c r="CN661" s="27" t="s">
        <v>7</v>
      </c>
      <c r="CQ661" s="27" t="s">
        <v>8</v>
      </c>
      <c r="DL661" s="27" t="s">
        <v>7</v>
      </c>
      <c r="DM661" s="27" t="s">
        <v>8</v>
      </c>
      <c r="DN661" s="27" t="s">
        <v>7</v>
      </c>
      <c r="DP661" s="27" t="s">
        <v>7</v>
      </c>
      <c r="DR661" s="27" t="s">
        <v>7</v>
      </c>
      <c r="DT661" s="27" t="s">
        <v>7</v>
      </c>
      <c r="DU661" s="27" t="s">
        <v>8</v>
      </c>
      <c r="EC661" s="27" t="s">
        <v>8</v>
      </c>
      <c r="ED661" s="27" t="s">
        <v>7</v>
      </c>
      <c r="EI661" s="27" t="s">
        <v>8</v>
      </c>
      <c r="EJ661" s="27" t="s">
        <v>7</v>
      </c>
      <c r="EO661" s="27" t="s">
        <v>8</v>
      </c>
      <c r="EP661" s="27" t="s">
        <v>7</v>
      </c>
      <c r="EQ661" s="27" t="s">
        <v>8</v>
      </c>
      <c r="FH661" s="27" t="s">
        <v>7</v>
      </c>
      <c r="FI661" s="27" t="s">
        <v>8</v>
      </c>
      <c r="FJ661" s="27" t="s">
        <v>7</v>
      </c>
      <c r="FK661" s="27" t="s">
        <v>8</v>
      </c>
      <c r="FL661" s="27" t="s">
        <v>7</v>
      </c>
      <c r="FM661" s="27" t="s">
        <v>8</v>
      </c>
      <c r="FN661" s="27" t="s">
        <v>7</v>
      </c>
      <c r="FS661" s="27" t="s">
        <v>8</v>
      </c>
      <c r="FT661" s="27" t="s">
        <v>7</v>
      </c>
      <c r="FU661" s="27" t="s">
        <v>8</v>
      </c>
      <c r="FV661" s="27" t="s">
        <v>7</v>
      </c>
    </row>
    <row r="662" spans="1:190" x14ac:dyDescent="0.25">
      <c r="A662" s="7">
        <v>0.22645771341837515</v>
      </c>
      <c r="B662"/>
      <c r="C662"/>
      <c r="D662"/>
      <c r="E662"/>
      <c r="BD662" s="27" t="s">
        <v>7</v>
      </c>
      <c r="BE662" s="27" t="s">
        <v>8</v>
      </c>
      <c r="BF662" s="27" t="s">
        <v>7</v>
      </c>
      <c r="BI662" s="27" t="s">
        <v>8</v>
      </c>
      <c r="BJ662" s="27" t="s">
        <v>7</v>
      </c>
      <c r="BM662" s="27" t="s">
        <v>8</v>
      </c>
      <c r="BO662" s="27" t="s">
        <v>8</v>
      </c>
      <c r="BP662" s="27" t="s">
        <v>7</v>
      </c>
      <c r="CE662" s="27" t="s">
        <v>8</v>
      </c>
      <c r="CF662" s="27" t="s">
        <v>7</v>
      </c>
      <c r="CI662" s="27" t="s">
        <v>8</v>
      </c>
      <c r="CJ662" s="27" t="s">
        <v>7</v>
      </c>
      <c r="CK662" s="27" t="s">
        <v>8</v>
      </c>
      <c r="CL662" s="27" t="s">
        <v>7</v>
      </c>
      <c r="CM662" s="27" t="s">
        <v>8</v>
      </c>
      <c r="CN662" s="27" t="s">
        <v>7</v>
      </c>
      <c r="CO662" s="27" t="s">
        <v>8</v>
      </c>
      <c r="CQ662" s="27" t="s">
        <v>8</v>
      </c>
      <c r="DL662" s="27" t="s">
        <v>7</v>
      </c>
      <c r="DT662" s="27" t="s">
        <v>7</v>
      </c>
      <c r="DU662" s="27" t="s">
        <v>8</v>
      </c>
      <c r="DV662" s="27" t="s">
        <v>7</v>
      </c>
      <c r="EC662" s="27" t="s">
        <v>8</v>
      </c>
      <c r="ED662" s="27" t="s">
        <v>7</v>
      </c>
      <c r="EG662" s="27" t="s">
        <v>8</v>
      </c>
      <c r="EI662" s="27" t="s">
        <v>8</v>
      </c>
      <c r="EJ662" s="27" t="s">
        <v>7</v>
      </c>
      <c r="EO662" s="27" t="s">
        <v>8</v>
      </c>
      <c r="EP662" s="27" t="s">
        <v>7</v>
      </c>
      <c r="EQ662" s="27" t="s">
        <v>8</v>
      </c>
      <c r="FH662" s="27" t="s">
        <v>7</v>
      </c>
      <c r="FI662" s="27" t="s">
        <v>8</v>
      </c>
      <c r="FJ662" s="27" t="s">
        <v>7</v>
      </c>
      <c r="FK662" s="27" t="s">
        <v>8</v>
      </c>
      <c r="FL662" s="27" t="s">
        <v>7</v>
      </c>
      <c r="FM662" s="27" t="s">
        <v>8</v>
      </c>
      <c r="FN662" s="27" t="s">
        <v>7</v>
      </c>
      <c r="FO662" s="27" t="s">
        <v>8</v>
      </c>
      <c r="FQ662" s="27" t="s">
        <v>8</v>
      </c>
      <c r="FS662" s="27" t="s">
        <v>8</v>
      </c>
      <c r="FT662" s="27" t="s">
        <v>7</v>
      </c>
      <c r="FU662" s="27" t="s">
        <v>8</v>
      </c>
      <c r="FV662" s="27" t="s">
        <v>7</v>
      </c>
    </row>
    <row r="663" spans="1:190" x14ac:dyDescent="0.25">
      <c r="A663" s="7">
        <v>0.22201736609644623</v>
      </c>
      <c r="B663"/>
      <c r="C663"/>
      <c r="D663"/>
      <c r="E663"/>
      <c r="BD663" s="27" t="s">
        <v>7</v>
      </c>
      <c r="BE663" s="27" t="s">
        <v>8</v>
      </c>
      <c r="BF663" s="27" t="s">
        <v>7</v>
      </c>
      <c r="BI663" s="27" t="s">
        <v>8</v>
      </c>
      <c r="BJ663" s="27" t="s">
        <v>7</v>
      </c>
      <c r="BK663" s="27" t="s">
        <v>8</v>
      </c>
      <c r="BM663" s="27" t="s">
        <v>8</v>
      </c>
      <c r="BN663" s="27" t="s">
        <v>7</v>
      </c>
      <c r="BO663" s="27" t="s">
        <v>8</v>
      </c>
      <c r="BP663" s="27" t="s">
        <v>7</v>
      </c>
      <c r="CC663" s="27" t="s">
        <v>8</v>
      </c>
      <c r="CE663" s="27" t="s">
        <v>8</v>
      </c>
      <c r="CF663" s="27" t="s">
        <v>7</v>
      </c>
      <c r="CI663" s="27" t="s">
        <v>8</v>
      </c>
      <c r="CJ663" s="27" t="s">
        <v>7</v>
      </c>
      <c r="CK663" s="27" t="s">
        <v>8</v>
      </c>
      <c r="CL663" s="27" t="s">
        <v>7</v>
      </c>
      <c r="CM663" s="27" t="s">
        <v>8</v>
      </c>
      <c r="CN663" s="27" t="s">
        <v>7</v>
      </c>
      <c r="CO663" s="27" t="s">
        <v>8</v>
      </c>
      <c r="CP663" s="27" t="s">
        <v>7</v>
      </c>
      <c r="CQ663" s="27" t="s">
        <v>8</v>
      </c>
      <c r="DT663" s="27" t="s">
        <v>7</v>
      </c>
      <c r="DU663" s="27" t="s">
        <v>8</v>
      </c>
      <c r="DV663" s="27" t="s">
        <v>7</v>
      </c>
      <c r="EC663" s="27" t="s">
        <v>8</v>
      </c>
      <c r="ED663" s="27" t="s">
        <v>7</v>
      </c>
      <c r="EG663" s="27" t="s">
        <v>8</v>
      </c>
      <c r="EH663" s="27" t="s">
        <v>7</v>
      </c>
      <c r="EI663" s="27" t="s">
        <v>8</v>
      </c>
      <c r="EJ663" s="27" t="s">
        <v>7</v>
      </c>
      <c r="EO663" s="27" t="s">
        <v>8</v>
      </c>
      <c r="EP663" s="27" t="s">
        <v>7</v>
      </c>
      <c r="FH663" s="27" t="s">
        <v>7</v>
      </c>
      <c r="FI663" s="27" t="s">
        <v>8</v>
      </c>
      <c r="FJ663" s="27" t="s">
        <v>7</v>
      </c>
      <c r="FK663" s="27" t="s">
        <v>8</v>
      </c>
      <c r="FL663" s="27" t="s">
        <v>7</v>
      </c>
      <c r="FN663" s="27" t="s">
        <v>7</v>
      </c>
      <c r="FO663" s="27" t="s">
        <v>8</v>
      </c>
      <c r="FP663" s="27" t="s">
        <v>7</v>
      </c>
      <c r="FQ663" s="27" t="s">
        <v>8</v>
      </c>
      <c r="FR663" s="27" t="s">
        <v>7</v>
      </c>
      <c r="FS663" s="27" t="s">
        <v>8</v>
      </c>
      <c r="FT663" s="27" t="s">
        <v>7</v>
      </c>
      <c r="FV663" s="27" t="s">
        <v>7</v>
      </c>
    </row>
    <row r="664" spans="1:190" x14ac:dyDescent="0.25">
      <c r="A664" s="7">
        <v>0.21766408440828061</v>
      </c>
      <c r="B664"/>
      <c r="C664"/>
      <c r="D664"/>
      <c r="E664"/>
      <c r="BD664" s="27" t="s">
        <v>7</v>
      </c>
      <c r="BE664" s="27" t="s">
        <v>8</v>
      </c>
      <c r="BF664" s="27" t="s">
        <v>7</v>
      </c>
      <c r="BI664" s="27" t="s">
        <v>8</v>
      </c>
      <c r="BJ664" s="27" t="s">
        <v>7</v>
      </c>
      <c r="BK664" s="27" t="s">
        <v>8</v>
      </c>
      <c r="BL664" s="27" t="s">
        <v>7</v>
      </c>
      <c r="BM664" s="27" t="s">
        <v>8</v>
      </c>
      <c r="BN664" s="27" t="s">
        <v>7</v>
      </c>
      <c r="BO664" s="27" t="s">
        <v>8</v>
      </c>
      <c r="BP664" s="27" t="s">
        <v>7</v>
      </c>
      <c r="CC664" s="27" t="s">
        <v>8</v>
      </c>
      <c r="CD664" s="27" t="s">
        <v>7</v>
      </c>
      <c r="CE664" s="27" t="s">
        <v>8</v>
      </c>
      <c r="CF664" s="27" t="s">
        <v>7</v>
      </c>
      <c r="CI664" s="27" t="s">
        <v>8</v>
      </c>
      <c r="CJ664" s="27" t="s">
        <v>7</v>
      </c>
      <c r="CK664" s="27" t="s">
        <v>8</v>
      </c>
      <c r="CL664" s="27" t="s">
        <v>7</v>
      </c>
      <c r="CM664" s="27" t="s">
        <v>8</v>
      </c>
      <c r="CN664" s="27" t="s">
        <v>7</v>
      </c>
      <c r="CO664" s="27" t="s">
        <v>8</v>
      </c>
      <c r="CP664" s="27" t="s">
        <v>7</v>
      </c>
      <c r="CQ664" s="27" t="s">
        <v>8</v>
      </c>
      <c r="DT664" s="27" t="s">
        <v>7</v>
      </c>
      <c r="DU664" s="27" t="s">
        <v>8</v>
      </c>
      <c r="DV664" s="27" t="s">
        <v>7</v>
      </c>
      <c r="EA664" s="27" t="s">
        <v>8</v>
      </c>
      <c r="EC664" s="27" t="s">
        <v>8</v>
      </c>
      <c r="ED664" s="27" t="s">
        <v>7</v>
      </c>
      <c r="EE664" s="27" t="s">
        <v>8</v>
      </c>
      <c r="EG664" s="27" t="s">
        <v>8</v>
      </c>
      <c r="EH664" s="27" t="s">
        <v>7</v>
      </c>
      <c r="EI664" s="27" t="s">
        <v>8</v>
      </c>
      <c r="EJ664" s="27" t="s">
        <v>7</v>
      </c>
      <c r="EK664" s="27" t="s">
        <v>8</v>
      </c>
      <c r="EO664" s="27" t="s">
        <v>8</v>
      </c>
      <c r="FH664" s="27" t="s">
        <v>7</v>
      </c>
      <c r="FJ664" s="27" t="s">
        <v>7</v>
      </c>
      <c r="FN664" s="27" t="s">
        <v>7</v>
      </c>
      <c r="FO664" s="27" t="s">
        <v>8</v>
      </c>
      <c r="FP664" s="27" t="s">
        <v>7</v>
      </c>
      <c r="FQ664" s="27" t="s">
        <v>8</v>
      </c>
      <c r="FR664" s="27" t="s">
        <v>7</v>
      </c>
      <c r="FS664" s="27" t="s">
        <v>8</v>
      </c>
      <c r="FV664" s="27" t="s">
        <v>7</v>
      </c>
    </row>
    <row r="665" spans="1:190" x14ac:dyDescent="0.25">
      <c r="A665" s="7">
        <v>0.21339616118458882</v>
      </c>
      <c r="B665"/>
      <c r="C665"/>
      <c r="D665"/>
      <c r="E665"/>
      <c r="BD665" s="27" t="s">
        <v>7</v>
      </c>
      <c r="BE665" s="27" t="s">
        <v>8</v>
      </c>
      <c r="BF665" s="27" t="s">
        <v>7</v>
      </c>
      <c r="BI665" s="27" t="s">
        <v>8</v>
      </c>
      <c r="BJ665" s="27" t="s">
        <v>7</v>
      </c>
      <c r="BK665" s="27" t="s">
        <v>8</v>
      </c>
      <c r="BL665" s="27" t="s">
        <v>7</v>
      </c>
      <c r="BM665" s="27" t="s">
        <v>8</v>
      </c>
      <c r="BN665" s="27" t="s">
        <v>7</v>
      </c>
      <c r="BO665" s="27" t="s">
        <v>8</v>
      </c>
      <c r="BP665" s="27" t="s">
        <v>7</v>
      </c>
      <c r="CC665" s="27" t="s">
        <v>8</v>
      </c>
      <c r="CD665" s="27" t="s">
        <v>7</v>
      </c>
      <c r="CE665" s="27" t="s">
        <v>8</v>
      </c>
      <c r="CF665" s="27" t="s">
        <v>7</v>
      </c>
      <c r="CI665" s="27" t="s">
        <v>8</v>
      </c>
      <c r="CJ665" s="27" t="s">
        <v>7</v>
      </c>
      <c r="CK665" s="27" t="s">
        <v>8</v>
      </c>
      <c r="CL665" s="27" t="s">
        <v>7</v>
      </c>
      <c r="CN665" s="27" t="s">
        <v>7</v>
      </c>
      <c r="CO665" s="27" t="s">
        <v>8</v>
      </c>
      <c r="CP665" s="27" t="s">
        <v>7</v>
      </c>
      <c r="CQ665" s="27" t="s">
        <v>8</v>
      </c>
      <c r="DT665" s="27" t="s">
        <v>7</v>
      </c>
      <c r="DU665" s="27" t="s">
        <v>8</v>
      </c>
      <c r="DV665" s="27" t="s">
        <v>7</v>
      </c>
      <c r="EA665" s="27" t="s">
        <v>8</v>
      </c>
      <c r="EB665" s="27" t="s">
        <v>7</v>
      </c>
      <c r="EC665" s="27" t="s">
        <v>8</v>
      </c>
      <c r="ED665" s="27" t="s">
        <v>7</v>
      </c>
      <c r="EE665" s="27" t="s">
        <v>8</v>
      </c>
      <c r="EF665" s="27" t="s">
        <v>7</v>
      </c>
      <c r="EG665" s="27" t="s">
        <v>8</v>
      </c>
      <c r="EH665" s="27" t="s">
        <v>7</v>
      </c>
      <c r="EI665" s="27" t="s">
        <v>8</v>
      </c>
      <c r="EJ665" s="27" t="s">
        <v>7</v>
      </c>
      <c r="EK665" s="27" t="s">
        <v>8</v>
      </c>
      <c r="EL665" s="27" t="s">
        <v>7</v>
      </c>
      <c r="EO665" s="27" t="s">
        <v>8</v>
      </c>
      <c r="FN665" s="27" t="s">
        <v>7</v>
      </c>
      <c r="FO665" s="27" t="s">
        <v>8</v>
      </c>
      <c r="FP665" s="27" t="s">
        <v>7</v>
      </c>
      <c r="FQ665" s="27" t="s">
        <v>8</v>
      </c>
      <c r="FR665" s="27" t="s">
        <v>7</v>
      </c>
      <c r="FS665" s="27" t="s">
        <v>8</v>
      </c>
      <c r="FV665" s="27" t="s">
        <v>7</v>
      </c>
      <c r="FW665" s="27" t="s">
        <v>8</v>
      </c>
      <c r="FY665" s="27" t="s">
        <v>8</v>
      </c>
    </row>
    <row r="666" spans="1:190" x14ac:dyDescent="0.25">
      <c r="A666" s="7">
        <v>0.20921192272998904</v>
      </c>
      <c r="B666"/>
      <c r="C666"/>
      <c r="D666"/>
      <c r="E666"/>
      <c r="BD666" s="27" t="s">
        <v>7</v>
      </c>
      <c r="BE666" s="27" t="s">
        <v>8</v>
      </c>
      <c r="BF666" s="27" t="s">
        <v>7</v>
      </c>
      <c r="BI666" s="27" t="s">
        <v>8</v>
      </c>
      <c r="BJ666" s="27" t="s">
        <v>7</v>
      </c>
      <c r="BK666" s="27" t="s">
        <v>8</v>
      </c>
      <c r="BL666" s="27" t="s">
        <v>7</v>
      </c>
      <c r="BM666" s="27" t="s">
        <v>8</v>
      </c>
      <c r="BN666" s="27" t="s">
        <v>7</v>
      </c>
      <c r="BO666" s="27" t="s">
        <v>8</v>
      </c>
      <c r="BP666" s="27" t="s">
        <v>7</v>
      </c>
      <c r="CC666" s="27" t="s">
        <v>8</v>
      </c>
      <c r="CD666" s="27" t="s">
        <v>7</v>
      </c>
      <c r="CE666" s="27" t="s">
        <v>8</v>
      </c>
      <c r="CF666" s="27" t="s">
        <v>7</v>
      </c>
      <c r="CI666" s="27" t="s">
        <v>8</v>
      </c>
      <c r="CJ666" s="27" t="s">
        <v>7</v>
      </c>
      <c r="CK666" s="27" t="s">
        <v>8</v>
      </c>
      <c r="CN666" s="27" t="s">
        <v>7</v>
      </c>
      <c r="CO666" s="27" t="s">
        <v>8</v>
      </c>
      <c r="CP666" s="27" t="s">
        <v>7</v>
      </c>
      <c r="CQ666" s="27" t="s">
        <v>8</v>
      </c>
      <c r="DT666" s="27" t="s">
        <v>7</v>
      </c>
      <c r="DU666" s="27" t="s">
        <v>8</v>
      </c>
      <c r="DV666" s="27" t="s">
        <v>7</v>
      </c>
      <c r="EA666" s="27" t="s">
        <v>8</v>
      </c>
      <c r="EB666" s="27" t="s">
        <v>7</v>
      </c>
      <c r="EC666" s="27" t="s">
        <v>8</v>
      </c>
      <c r="ED666" s="27" t="s">
        <v>7</v>
      </c>
      <c r="EE666" s="27" t="s">
        <v>8</v>
      </c>
      <c r="EF666" s="27" t="s">
        <v>7</v>
      </c>
      <c r="EG666" s="27" t="s">
        <v>8</v>
      </c>
      <c r="EH666" s="27" t="s">
        <v>7</v>
      </c>
      <c r="EI666" s="27" t="s">
        <v>8</v>
      </c>
      <c r="EJ666" s="27" t="s">
        <v>7</v>
      </c>
      <c r="EK666" s="27" t="s">
        <v>8</v>
      </c>
      <c r="EL666" s="27" t="s">
        <v>7</v>
      </c>
      <c r="EO666" s="27" t="s">
        <v>8</v>
      </c>
      <c r="FN666" s="27" t="s">
        <v>7</v>
      </c>
      <c r="FO666" s="27" t="s">
        <v>8</v>
      </c>
      <c r="FP666" s="27" t="s">
        <v>7</v>
      </c>
      <c r="FQ666" s="27" t="s">
        <v>8</v>
      </c>
      <c r="FR666" s="27" t="s">
        <v>7</v>
      </c>
      <c r="FS666" s="27" t="s">
        <v>8</v>
      </c>
      <c r="FV666" s="27" t="s">
        <v>7</v>
      </c>
      <c r="FW666" s="27" t="s">
        <v>8</v>
      </c>
      <c r="FX666" s="27" t="s">
        <v>7</v>
      </c>
      <c r="FY666" s="27" t="s">
        <v>8</v>
      </c>
      <c r="FZ666" s="27" t="s">
        <v>7</v>
      </c>
    </row>
    <row r="667" spans="1:190" x14ac:dyDescent="0.25">
      <c r="A667" s="7">
        <v>0.20510972816665593</v>
      </c>
      <c r="B667"/>
      <c r="C667"/>
      <c r="D667"/>
      <c r="E667"/>
      <c r="BD667" s="27" t="s">
        <v>7</v>
      </c>
      <c r="BE667" s="27" t="s">
        <v>8</v>
      </c>
      <c r="BF667" s="27" t="s">
        <v>7</v>
      </c>
      <c r="BI667" s="27" t="s">
        <v>8</v>
      </c>
      <c r="BJ667" s="27" t="s">
        <v>7</v>
      </c>
      <c r="BK667" s="27" t="s">
        <v>8</v>
      </c>
      <c r="BL667" s="27" t="s">
        <v>7</v>
      </c>
      <c r="BM667" s="27" t="s">
        <v>8</v>
      </c>
      <c r="BN667" s="27" t="s">
        <v>7</v>
      </c>
      <c r="BO667" s="27" t="s">
        <v>8</v>
      </c>
      <c r="BP667" s="27" t="s">
        <v>7</v>
      </c>
      <c r="CC667" s="27" t="s">
        <v>8</v>
      </c>
      <c r="CD667" s="27" t="s">
        <v>7</v>
      </c>
      <c r="CE667" s="27" t="s">
        <v>8</v>
      </c>
      <c r="CF667" s="27" t="s">
        <v>7</v>
      </c>
      <c r="CI667" s="27" t="s">
        <v>8</v>
      </c>
      <c r="CJ667" s="27" t="s">
        <v>7</v>
      </c>
      <c r="CK667" s="27" t="s">
        <v>8</v>
      </c>
      <c r="CN667" s="27" t="s">
        <v>7</v>
      </c>
      <c r="CO667" s="27" t="s">
        <v>8</v>
      </c>
      <c r="CP667" s="27" t="s">
        <v>7</v>
      </c>
      <c r="CQ667" s="27" t="s">
        <v>8</v>
      </c>
      <c r="DT667" s="27" t="s">
        <v>7</v>
      </c>
      <c r="DU667" s="27" t="s">
        <v>8</v>
      </c>
      <c r="DV667" s="27" t="s">
        <v>7</v>
      </c>
      <c r="EA667" s="27" t="s">
        <v>8</v>
      </c>
      <c r="EB667" s="27" t="s">
        <v>7</v>
      </c>
      <c r="EC667" s="27" t="s">
        <v>8</v>
      </c>
      <c r="ED667" s="27" t="s">
        <v>7</v>
      </c>
      <c r="EE667" s="27" t="s">
        <v>8</v>
      </c>
      <c r="EF667" s="27" t="s">
        <v>7</v>
      </c>
      <c r="EG667" s="27" t="s">
        <v>8</v>
      </c>
      <c r="EH667" s="27" t="s">
        <v>7</v>
      </c>
      <c r="EI667" s="27" t="s">
        <v>8</v>
      </c>
      <c r="EJ667" s="27" t="s">
        <v>7</v>
      </c>
      <c r="EK667" s="27" t="s">
        <v>8</v>
      </c>
      <c r="EL667" s="27" t="s">
        <v>7</v>
      </c>
      <c r="EM667" s="27" t="s">
        <v>8</v>
      </c>
      <c r="EO667" s="27" t="s">
        <v>8</v>
      </c>
      <c r="FN667" s="27" t="s">
        <v>7</v>
      </c>
      <c r="FP667" s="27" t="s">
        <v>7</v>
      </c>
      <c r="FQ667" s="27" t="s">
        <v>8</v>
      </c>
      <c r="FR667" s="27" t="s">
        <v>7</v>
      </c>
      <c r="FS667" s="27" t="s">
        <v>8</v>
      </c>
      <c r="FV667" s="27" t="s">
        <v>7</v>
      </c>
      <c r="FW667" s="27" t="s">
        <v>8</v>
      </c>
      <c r="FX667" s="27" t="s">
        <v>7</v>
      </c>
      <c r="FY667" s="27" t="s">
        <v>8</v>
      </c>
      <c r="FZ667" s="27" t="s">
        <v>7</v>
      </c>
      <c r="GG667" s="27" t="s">
        <v>8</v>
      </c>
    </row>
    <row r="668" spans="1:190" x14ac:dyDescent="0.25">
      <c r="A668" s="7">
        <v>0.20108796879083912</v>
      </c>
      <c r="B668"/>
      <c r="C668"/>
      <c r="D668"/>
      <c r="E668"/>
      <c r="BD668" s="27" t="s">
        <v>7</v>
      </c>
      <c r="BE668" s="27" t="s">
        <v>8</v>
      </c>
      <c r="BF668" s="27" t="s">
        <v>7</v>
      </c>
      <c r="BG668" s="27" t="s">
        <v>8</v>
      </c>
      <c r="BI668" s="27" t="s">
        <v>8</v>
      </c>
      <c r="BJ668" s="27" t="s">
        <v>7</v>
      </c>
      <c r="BK668" s="27" t="s">
        <v>8</v>
      </c>
      <c r="BL668" s="27" t="s">
        <v>7</v>
      </c>
      <c r="BM668" s="27" t="s">
        <v>8</v>
      </c>
      <c r="BN668" s="27" t="s">
        <v>7</v>
      </c>
      <c r="BO668" s="27" t="s">
        <v>8</v>
      </c>
      <c r="BP668" s="27" t="s">
        <v>7</v>
      </c>
      <c r="CC668" s="27" t="s">
        <v>8</v>
      </c>
      <c r="CD668" s="27" t="s">
        <v>7</v>
      </c>
      <c r="CE668" s="27" t="s">
        <v>8</v>
      </c>
      <c r="CF668" s="27" t="s">
        <v>7</v>
      </c>
      <c r="CI668" s="27" t="s">
        <v>8</v>
      </c>
      <c r="CJ668" s="27" t="s">
        <v>7</v>
      </c>
      <c r="CK668" s="27" t="s">
        <v>8</v>
      </c>
      <c r="CN668" s="27" t="s">
        <v>7</v>
      </c>
      <c r="CP668" s="27" t="s">
        <v>7</v>
      </c>
      <c r="CQ668" s="27" t="s">
        <v>8</v>
      </c>
      <c r="DT668" s="27" t="s">
        <v>7</v>
      </c>
      <c r="DU668" s="27" t="s">
        <v>8</v>
      </c>
      <c r="DV668" s="27" t="s">
        <v>7</v>
      </c>
      <c r="EA668" s="27" t="s">
        <v>8</v>
      </c>
      <c r="EB668" s="27" t="s">
        <v>7</v>
      </c>
      <c r="EC668" s="27" t="s">
        <v>8</v>
      </c>
      <c r="ED668" s="27" t="s">
        <v>7</v>
      </c>
      <c r="EF668" s="27" t="s">
        <v>7</v>
      </c>
      <c r="EG668" s="27" t="s">
        <v>8</v>
      </c>
      <c r="EH668" s="27" t="s">
        <v>7</v>
      </c>
      <c r="EI668" s="27" t="s">
        <v>8</v>
      </c>
      <c r="EJ668" s="27" t="s">
        <v>7</v>
      </c>
      <c r="EK668" s="27" t="s">
        <v>8</v>
      </c>
      <c r="EL668" s="27" t="s">
        <v>7</v>
      </c>
      <c r="EM668" s="27" t="s">
        <v>8</v>
      </c>
      <c r="EN668" s="27" t="s">
        <v>7</v>
      </c>
      <c r="EO668" s="27" t="s">
        <v>8</v>
      </c>
      <c r="FP668" s="27" t="s">
        <v>7</v>
      </c>
      <c r="FR668" s="27" t="s">
        <v>7</v>
      </c>
      <c r="FS668" s="27" t="s">
        <v>8</v>
      </c>
      <c r="FV668" s="27" t="s">
        <v>7</v>
      </c>
      <c r="FW668" s="27" t="s">
        <v>8</v>
      </c>
      <c r="FX668" s="27" t="s">
        <v>7</v>
      </c>
      <c r="FZ668" s="27" t="s">
        <v>7</v>
      </c>
      <c r="GG668" s="27" t="s">
        <v>8</v>
      </c>
      <c r="GH668" s="27" t="s">
        <v>7</v>
      </c>
    </row>
    <row r="669" spans="1:190" x14ac:dyDescent="0.25">
      <c r="A669" s="7">
        <v>0.19714506744199917</v>
      </c>
      <c r="B669"/>
      <c r="C669"/>
      <c r="D669"/>
      <c r="E669"/>
      <c r="BD669" s="27" t="s">
        <v>7</v>
      </c>
      <c r="BE669" s="27" t="s">
        <v>8</v>
      </c>
      <c r="BF669" s="27" t="s">
        <v>7</v>
      </c>
      <c r="BG669" s="27" t="s">
        <v>8</v>
      </c>
      <c r="BH669" s="27" t="s">
        <v>7</v>
      </c>
      <c r="BI669" s="27" t="s">
        <v>8</v>
      </c>
      <c r="BJ669" s="27" t="s">
        <v>7</v>
      </c>
      <c r="BK669" s="27" t="s">
        <v>8</v>
      </c>
      <c r="BL669" s="27" t="s">
        <v>7</v>
      </c>
      <c r="BM669" s="27" t="s">
        <v>8</v>
      </c>
      <c r="BN669" s="27" t="s">
        <v>7</v>
      </c>
      <c r="BO669" s="27" t="s">
        <v>8</v>
      </c>
      <c r="BP669" s="27" t="s">
        <v>7</v>
      </c>
      <c r="CC669" s="27" t="s">
        <v>8</v>
      </c>
      <c r="CD669" s="27" t="s">
        <v>7</v>
      </c>
      <c r="CE669" s="27" t="s">
        <v>8</v>
      </c>
      <c r="CF669" s="27" t="s">
        <v>7</v>
      </c>
      <c r="CI669" s="27" t="s">
        <v>8</v>
      </c>
      <c r="CJ669" s="27" t="s">
        <v>7</v>
      </c>
      <c r="CK669" s="27" t="s">
        <v>8</v>
      </c>
      <c r="CP669" s="27" t="s">
        <v>7</v>
      </c>
      <c r="DT669" s="27" t="s">
        <v>7</v>
      </c>
      <c r="DU669" s="27" t="s">
        <v>8</v>
      </c>
      <c r="DV669" s="27" t="s">
        <v>7</v>
      </c>
      <c r="EA669" s="27" t="s">
        <v>8</v>
      </c>
      <c r="EB669" s="27" t="s">
        <v>7</v>
      </c>
      <c r="EF669" s="27" t="s">
        <v>7</v>
      </c>
      <c r="EG669" s="27" t="s">
        <v>8</v>
      </c>
      <c r="EH669" s="27" t="s">
        <v>7</v>
      </c>
      <c r="EI669" s="27" t="s">
        <v>8</v>
      </c>
      <c r="EJ669" s="27" t="s">
        <v>7</v>
      </c>
      <c r="EL669" s="27" t="s">
        <v>7</v>
      </c>
      <c r="EM669" s="27" t="s">
        <v>8</v>
      </c>
      <c r="EN669" s="27" t="s">
        <v>7</v>
      </c>
      <c r="EO669" s="27" t="s">
        <v>8</v>
      </c>
      <c r="FR669" s="27" t="s">
        <v>7</v>
      </c>
      <c r="FS669" s="27" t="s">
        <v>8</v>
      </c>
      <c r="FV669" s="27" t="s">
        <v>7</v>
      </c>
      <c r="FW669" s="27" t="s">
        <v>8</v>
      </c>
      <c r="FZ669" s="27" t="s">
        <v>7</v>
      </c>
      <c r="GG669" s="27" t="s">
        <v>8</v>
      </c>
      <c r="GH669" s="27" t="s">
        <v>7</v>
      </c>
    </row>
    <row r="670" spans="1:190" x14ac:dyDescent="0.25">
      <c r="A670" s="7">
        <v>0.19327947788431293</v>
      </c>
      <c r="B670"/>
      <c r="C670"/>
      <c r="D670"/>
      <c r="E670"/>
      <c r="BD670" s="27" t="s">
        <v>7</v>
      </c>
      <c r="BE670" s="27" t="s">
        <v>8</v>
      </c>
      <c r="BF670" s="27" t="s">
        <v>7</v>
      </c>
      <c r="BG670" s="27" t="s">
        <v>8</v>
      </c>
      <c r="BH670" s="27" t="s">
        <v>7</v>
      </c>
      <c r="BI670" s="27" t="s">
        <v>8</v>
      </c>
      <c r="BJ670" s="27" t="s">
        <v>7</v>
      </c>
      <c r="BK670" s="27" t="s">
        <v>8</v>
      </c>
      <c r="BL670" s="27" t="s">
        <v>7</v>
      </c>
      <c r="BN670" s="27" t="s">
        <v>7</v>
      </c>
      <c r="BO670" s="27" t="s">
        <v>8</v>
      </c>
      <c r="BP670" s="27" t="s">
        <v>7</v>
      </c>
      <c r="CC670" s="27" t="s">
        <v>8</v>
      </c>
      <c r="CD670" s="27" t="s">
        <v>7</v>
      </c>
      <c r="CE670" s="27" t="s">
        <v>8</v>
      </c>
      <c r="CF670" s="27" t="s">
        <v>7</v>
      </c>
      <c r="CI670" s="27" t="s">
        <v>8</v>
      </c>
      <c r="CJ670" s="27" t="s">
        <v>7</v>
      </c>
      <c r="DT670" s="27" t="s">
        <v>7</v>
      </c>
      <c r="DU670" s="27" t="s">
        <v>8</v>
      </c>
      <c r="DV670" s="27" t="s">
        <v>7</v>
      </c>
      <c r="DW670" s="27" t="s">
        <v>8</v>
      </c>
      <c r="DY670" s="27" t="s">
        <v>8</v>
      </c>
      <c r="EA670" s="27" t="s">
        <v>8</v>
      </c>
      <c r="EF670" s="27" t="s">
        <v>7</v>
      </c>
      <c r="EG670" s="27" t="s">
        <v>8</v>
      </c>
      <c r="EH670" s="27" t="s">
        <v>7</v>
      </c>
      <c r="EI670" s="27" t="s">
        <v>8</v>
      </c>
      <c r="EL670" s="27" t="s">
        <v>7</v>
      </c>
      <c r="EN670" s="27" t="s">
        <v>7</v>
      </c>
      <c r="EO670" s="27" t="s">
        <v>8</v>
      </c>
      <c r="FR670" s="27" t="s">
        <v>7</v>
      </c>
      <c r="FS670" s="27" t="s">
        <v>8</v>
      </c>
      <c r="FV670" s="27" t="s">
        <v>7</v>
      </c>
      <c r="FZ670" s="27" t="s">
        <v>7</v>
      </c>
      <c r="GA670" s="27" t="s">
        <v>8</v>
      </c>
      <c r="GG670" s="27" t="s">
        <v>8</v>
      </c>
      <c r="GH670" s="27" t="s">
        <v>7</v>
      </c>
    </row>
    <row r="671" spans="1:190" x14ac:dyDescent="0.25">
      <c r="A671" s="7">
        <v>0.18948968420030682</v>
      </c>
      <c r="B671"/>
      <c r="C671"/>
      <c r="D671"/>
      <c r="E671"/>
      <c r="BD671" s="27" t="s">
        <v>7</v>
      </c>
      <c r="BE671" s="27" t="s">
        <v>8</v>
      </c>
      <c r="BF671" s="27" t="s">
        <v>7</v>
      </c>
      <c r="BG671" s="27" t="s">
        <v>8</v>
      </c>
      <c r="BH671" s="27" t="s">
        <v>7</v>
      </c>
      <c r="BI671" s="27" t="s">
        <v>8</v>
      </c>
      <c r="BJ671" s="27" t="s">
        <v>7</v>
      </c>
      <c r="BK671" s="27" t="s">
        <v>8</v>
      </c>
      <c r="BN671" s="27" t="s">
        <v>7</v>
      </c>
      <c r="BO671" s="27" t="s">
        <v>8</v>
      </c>
      <c r="BP671" s="27" t="s">
        <v>7</v>
      </c>
      <c r="BQ671" s="27" t="s">
        <v>8</v>
      </c>
      <c r="CC671" s="27" t="s">
        <v>8</v>
      </c>
      <c r="CD671" s="27" t="s">
        <v>7</v>
      </c>
      <c r="CE671" s="27" t="s">
        <v>8</v>
      </c>
      <c r="CF671" s="27" t="s">
        <v>7</v>
      </c>
      <c r="CI671" s="27" t="s">
        <v>8</v>
      </c>
      <c r="DT671" s="27" t="s">
        <v>7</v>
      </c>
      <c r="DU671" s="27" t="s">
        <v>8</v>
      </c>
      <c r="DV671" s="27" t="s">
        <v>7</v>
      </c>
      <c r="DW671" s="27" t="s">
        <v>8</v>
      </c>
      <c r="DX671" s="27" t="s">
        <v>7</v>
      </c>
      <c r="DY671" s="27" t="s">
        <v>8</v>
      </c>
      <c r="DZ671" s="27" t="s">
        <v>7</v>
      </c>
      <c r="EA671" s="27" t="s">
        <v>8</v>
      </c>
      <c r="EF671" s="27" t="s">
        <v>7</v>
      </c>
      <c r="EG671" s="27" t="s">
        <v>8</v>
      </c>
      <c r="EH671" s="27" t="s">
        <v>7</v>
      </c>
      <c r="EI671" s="27" t="s">
        <v>8</v>
      </c>
      <c r="EN671" s="27" t="s">
        <v>7</v>
      </c>
      <c r="EO671" s="27" t="s">
        <v>8</v>
      </c>
      <c r="FR671" s="27" t="s">
        <v>7</v>
      </c>
      <c r="FZ671" s="27" t="s">
        <v>7</v>
      </c>
      <c r="GA671" s="27" t="s">
        <v>8</v>
      </c>
      <c r="GB671" s="27" t="s">
        <v>7</v>
      </c>
      <c r="GG671" s="27" t="s">
        <v>8</v>
      </c>
      <c r="GH671" s="27" t="s">
        <v>7</v>
      </c>
    </row>
    <row r="672" spans="1:190" x14ac:dyDescent="0.25">
      <c r="A672" s="7">
        <v>0.18577420019637925</v>
      </c>
      <c r="B672"/>
      <c r="C672"/>
      <c r="D672"/>
      <c r="E672"/>
      <c r="BD672" s="27" t="s">
        <v>7</v>
      </c>
      <c r="BE672" s="27" t="s">
        <v>8</v>
      </c>
      <c r="BF672" s="27" t="s">
        <v>7</v>
      </c>
      <c r="BG672" s="27" t="s">
        <v>8</v>
      </c>
      <c r="BH672" s="27" t="s">
        <v>7</v>
      </c>
      <c r="BI672" s="27" t="s">
        <v>8</v>
      </c>
      <c r="BJ672" s="27" t="s">
        <v>7</v>
      </c>
      <c r="BK672" s="27" t="s">
        <v>8</v>
      </c>
      <c r="BN672" s="27" t="s">
        <v>7</v>
      </c>
      <c r="BO672" s="27" t="s">
        <v>8</v>
      </c>
      <c r="BP672" s="27" t="s">
        <v>7</v>
      </c>
      <c r="BQ672" s="27" t="s">
        <v>8</v>
      </c>
      <c r="BR672" s="27" t="s">
        <v>7</v>
      </c>
      <c r="CC672" s="27" t="s">
        <v>8</v>
      </c>
      <c r="CD672" s="27" t="s">
        <v>7</v>
      </c>
      <c r="CE672" s="27" t="s">
        <v>8</v>
      </c>
      <c r="CF672" s="27" t="s">
        <v>7</v>
      </c>
      <c r="CI672" s="27" t="s">
        <v>8</v>
      </c>
      <c r="DT672" s="27" t="s">
        <v>7</v>
      </c>
      <c r="DU672" s="27" t="s">
        <v>8</v>
      </c>
      <c r="DV672" s="27" t="s">
        <v>7</v>
      </c>
      <c r="DW672" s="27" t="s">
        <v>8</v>
      </c>
      <c r="DX672" s="27" t="s">
        <v>7</v>
      </c>
      <c r="DY672" s="27" t="s">
        <v>8</v>
      </c>
      <c r="DZ672" s="27" t="s">
        <v>7</v>
      </c>
      <c r="EA672" s="27" t="s">
        <v>8</v>
      </c>
      <c r="EF672" s="27" t="s">
        <v>7</v>
      </c>
      <c r="EG672" s="27" t="s">
        <v>8</v>
      </c>
      <c r="EH672" s="27" t="s">
        <v>7</v>
      </c>
      <c r="EN672" s="27" t="s">
        <v>7</v>
      </c>
      <c r="EO672" s="27" t="s">
        <v>8</v>
      </c>
      <c r="FZ672" s="27" t="s">
        <v>7</v>
      </c>
      <c r="GA672" s="27" t="s">
        <v>8</v>
      </c>
      <c r="GB672" s="27" t="s">
        <v>7</v>
      </c>
      <c r="GG672" s="27" t="s">
        <v>8</v>
      </c>
      <c r="GH672" s="27" t="s">
        <v>7</v>
      </c>
    </row>
    <row r="673" spans="1:192" x14ac:dyDescent="0.25">
      <c r="A673" s="7">
        <v>0.18213156881997963</v>
      </c>
      <c r="B673"/>
      <c r="C673"/>
      <c r="D673"/>
      <c r="E673"/>
      <c r="BD673" s="27" t="s">
        <v>7</v>
      </c>
      <c r="BE673" s="27" t="s">
        <v>8</v>
      </c>
      <c r="BF673" s="27" t="s">
        <v>7</v>
      </c>
      <c r="BG673" s="27" t="s">
        <v>8</v>
      </c>
      <c r="BH673" s="27" t="s">
        <v>7</v>
      </c>
      <c r="BI673" s="27" t="s">
        <v>8</v>
      </c>
      <c r="BJ673" s="27" t="s">
        <v>7</v>
      </c>
      <c r="BK673" s="27" t="s">
        <v>8</v>
      </c>
      <c r="BN673" s="27" t="s">
        <v>7</v>
      </c>
      <c r="BO673" s="27" t="s">
        <v>8</v>
      </c>
      <c r="BP673" s="27" t="s">
        <v>7</v>
      </c>
      <c r="BQ673" s="27" t="s">
        <v>8</v>
      </c>
      <c r="BR673" s="27" t="s">
        <v>7</v>
      </c>
      <c r="CC673" s="27" t="s">
        <v>8</v>
      </c>
      <c r="CD673" s="27" t="s">
        <v>7</v>
      </c>
      <c r="CE673" s="27" t="s">
        <v>8</v>
      </c>
      <c r="CF673" s="27" t="s">
        <v>7</v>
      </c>
      <c r="CI673" s="27" t="s">
        <v>8</v>
      </c>
      <c r="DT673" s="27" t="s">
        <v>7</v>
      </c>
      <c r="DU673" s="27" t="s">
        <v>8</v>
      </c>
      <c r="DV673" s="27" t="s">
        <v>7</v>
      </c>
      <c r="DW673" s="27" t="s">
        <v>8</v>
      </c>
      <c r="DX673" s="27" t="s">
        <v>7</v>
      </c>
      <c r="DY673" s="27" t="s">
        <v>8</v>
      </c>
      <c r="DZ673" s="27" t="s">
        <v>7</v>
      </c>
      <c r="EA673" s="27" t="s">
        <v>8</v>
      </c>
      <c r="EF673" s="27" t="s">
        <v>7</v>
      </c>
      <c r="EG673" s="27" t="s">
        <v>8</v>
      </c>
      <c r="EN673" s="27" t="s">
        <v>7</v>
      </c>
      <c r="EO673" s="27" t="s">
        <v>8</v>
      </c>
      <c r="FZ673" s="27" t="s">
        <v>7</v>
      </c>
      <c r="GB673" s="27" t="s">
        <v>7</v>
      </c>
      <c r="GG673" s="27" t="s">
        <v>8</v>
      </c>
      <c r="GH673" s="27" t="s">
        <v>7</v>
      </c>
    </row>
    <row r="674" spans="1:192" x14ac:dyDescent="0.25">
      <c r="A674" s="7">
        <v>0.17856036158821534</v>
      </c>
      <c r="B674"/>
      <c r="C674"/>
      <c r="D674"/>
      <c r="E674"/>
      <c r="BD674" s="27" t="s">
        <v>7</v>
      </c>
      <c r="BE674" s="27" t="s">
        <v>8</v>
      </c>
      <c r="BF674" s="27" t="s">
        <v>7</v>
      </c>
      <c r="BG674" s="27" t="s">
        <v>8</v>
      </c>
      <c r="BH674" s="27" t="s">
        <v>7</v>
      </c>
      <c r="BI674" s="27" t="s">
        <v>8</v>
      </c>
      <c r="BJ674" s="27" t="s">
        <v>7</v>
      </c>
      <c r="BK674" s="27" t="s">
        <v>8</v>
      </c>
      <c r="BN674" s="27" t="s">
        <v>7</v>
      </c>
      <c r="BO674" s="27" t="s">
        <v>8</v>
      </c>
      <c r="BP674" s="27" t="s">
        <v>7</v>
      </c>
      <c r="BQ674" s="27" t="s">
        <v>8</v>
      </c>
      <c r="BR674" s="27" t="s">
        <v>7</v>
      </c>
      <c r="BS674" s="27" t="s">
        <v>8</v>
      </c>
      <c r="CC674" s="27" t="s">
        <v>8</v>
      </c>
      <c r="CD674" s="27" t="s">
        <v>7</v>
      </c>
      <c r="CE674" s="27" t="s">
        <v>8</v>
      </c>
      <c r="CF674" s="27" t="s">
        <v>7</v>
      </c>
      <c r="CG674" s="27" t="s">
        <v>8</v>
      </c>
      <c r="CI674" s="27" t="s">
        <v>8</v>
      </c>
      <c r="DT674" s="27" t="s">
        <v>7</v>
      </c>
      <c r="DU674" s="27" t="s">
        <v>8</v>
      </c>
      <c r="DV674" s="27" t="s">
        <v>7</v>
      </c>
      <c r="DX674" s="27" t="s">
        <v>7</v>
      </c>
      <c r="DY674" s="27" t="s">
        <v>8</v>
      </c>
      <c r="DZ674" s="27" t="s">
        <v>7</v>
      </c>
      <c r="EA674" s="27" t="s">
        <v>8</v>
      </c>
      <c r="EF674" s="27" t="s">
        <v>7</v>
      </c>
      <c r="EN674" s="27" t="s">
        <v>7</v>
      </c>
      <c r="EO674" s="27" t="s">
        <v>8</v>
      </c>
      <c r="GB674" s="27" t="s">
        <v>7</v>
      </c>
      <c r="GG674" s="27" t="s">
        <v>8</v>
      </c>
      <c r="GH674" s="27" t="s">
        <v>7</v>
      </c>
      <c r="GI674" s="27" t="s">
        <v>8</v>
      </c>
    </row>
    <row r="675" spans="1:192" x14ac:dyDescent="0.25">
      <c r="A675" s="7">
        <v>0.17505917802766208</v>
      </c>
      <c r="B675"/>
      <c r="C675"/>
      <c r="D675"/>
      <c r="E675"/>
      <c r="BD675" s="27" t="s">
        <v>7</v>
      </c>
      <c r="BE675" s="27" t="s">
        <v>8</v>
      </c>
      <c r="BF675" s="27" t="s">
        <v>7</v>
      </c>
      <c r="BG675" s="27" t="s">
        <v>8</v>
      </c>
      <c r="BH675" s="27" t="s">
        <v>7</v>
      </c>
      <c r="BI675" s="27" t="s">
        <v>8</v>
      </c>
      <c r="BJ675" s="27" t="s">
        <v>7</v>
      </c>
      <c r="BK675" s="27" t="s">
        <v>8</v>
      </c>
      <c r="BN675" s="27" t="s">
        <v>7</v>
      </c>
      <c r="BO675" s="27" t="s">
        <v>8</v>
      </c>
      <c r="BP675" s="27" t="s">
        <v>7</v>
      </c>
      <c r="BQ675" s="27" t="s">
        <v>8</v>
      </c>
      <c r="BR675" s="27" t="s">
        <v>7</v>
      </c>
      <c r="BS675" s="27" t="s">
        <v>8</v>
      </c>
      <c r="BT675" s="27" t="s">
        <v>7</v>
      </c>
      <c r="CC675" s="27" t="s">
        <v>8</v>
      </c>
      <c r="CD675" s="27" t="s">
        <v>7</v>
      </c>
      <c r="CE675" s="27" t="s">
        <v>8</v>
      </c>
      <c r="CF675" s="27" t="s">
        <v>7</v>
      </c>
      <c r="CG675" s="27" t="s">
        <v>8</v>
      </c>
      <c r="CH675" s="27" t="s">
        <v>7</v>
      </c>
      <c r="CI675" s="27" t="s">
        <v>8</v>
      </c>
      <c r="DT675" s="27" t="s">
        <v>7</v>
      </c>
      <c r="DU675" s="27" t="s">
        <v>8</v>
      </c>
      <c r="DX675" s="27" t="s">
        <v>7</v>
      </c>
      <c r="DY675" s="27" t="s">
        <v>8</v>
      </c>
      <c r="DZ675" s="27" t="s">
        <v>7</v>
      </c>
      <c r="EA675" s="27" t="s">
        <v>8</v>
      </c>
      <c r="EN675" s="27" t="s">
        <v>7</v>
      </c>
      <c r="EO675" s="27" t="s">
        <v>8</v>
      </c>
      <c r="GB675" s="27" t="s">
        <v>7</v>
      </c>
      <c r="GG675" s="27" t="s">
        <v>8</v>
      </c>
      <c r="GH675" s="27" t="s">
        <v>7</v>
      </c>
      <c r="GI675" s="27" t="s">
        <v>8</v>
      </c>
      <c r="GJ675" s="27" t="s">
        <v>7</v>
      </c>
    </row>
    <row r="676" spans="1:192" x14ac:dyDescent="0.25">
      <c r="A676" s="7">
        <v>0.17162664512515888</v>
      </c>
      <c r="B676"/>
      <c r="C676"/>
      <c r="D676"/>
      <c r="E676"/>
      <c r="BD676" s="27" t="s">
        <v>7</v>
      </c>
      <c r="BE676" s="27" t="s">
        <v>8</v>
      </c>
      <c r="BF676" s="27" t="s">
        <v>7</v>
      </c>
      <c r="BH676" s="27" t="s">
        <v>7</v>
      </c>
      <c r="BI676" s="27" t="s">
        <v>8</v>
      </c>
      <c r="BJ676" s="27" t="s">
        <v>7</v>
      </c>
      <c r="BN676" s="27" t="s">
        <v>7</v>
      </c>
      <c r="BP676" s="27" t="s">
        <v>7</v>
      </c>
      <c r="BQ676" s="27" t="s">
        <v>8</v>
      </c>
      <c r="BR676" s="27" t="s">
        <v>7</v>
      </c>
      <c r="BS676" s="27" t="s">
        <v>8</v>
      </c>
      <c r="BT676" s="27" t="s">
        <v>7</v>
      </c>
      <c r="CC676" s="27" t="s">
        <v>8</v>
      </c>
      <c r="CD676" s="27" t="s">
        <v>7</v>
      </c>
      <c r="CE676" s="27" t="s">
        <v>8</v>
      </c>
      <c r="CF676" s="27" t="s">
        <v>7</v>
      </c>
      <c r="CG676" s="27" t="s">
        <v>8</v>
      </c>
      <c r="CH676" s="27" t="s">
        <v>7</v>
      </c>
      <c r="CI676" s="27" t="s">
        <v>8</v>
      </c>
      <c r="DT676" s="27" t="s">
        <v>7</v>
      </c>
      <c r="DU676" s="27" t="s">
        <v>8</v>
      </c>
      <c r="DX676" s="27" t="s">
        <v>7</v>
      </c>
      <c r="DY676" s="27" t="s">
        <v>8</v>
      </c>
      <c r="DZ676" s="27" t="s">
        <v>7</v>
      </c>
      <c r="EA676" s="27" t="s">
        <v>8</v>
      </c>
      <c r="EN676" s="27" t="s">
        <v>7</v>
      </c>
      <c r="GB676" s="27" t="s">
        <v>7</v>
      </c>
      <c r="GE676" s="27" t="s">
        <v>8</v>
      </c>
      <c r="GG676" s="27" t="s">
        <v>8</v>
      </c>
      <c r="GH676" s="27" t="s">
        <v>7</v>
      </c>
      <c r="GI676" s="27" t="s">
        <v>8</v>
      </c>
      <c r="GJ676" s="27" t="s">
        <v>7</v>
      </c>
    </row>
    <row r="677" spans="1:192" x14ac:dyDescent="0.25">
      <c r="A677" s="7">
        <v>0.16826141678937145</v>
      </c>
      <c r="B677"/>
      <c r="C677"/>
      <c r="D677"/>
      <c r="E677"/>
      <c r="BD677" s="27" t="s">
        <v>7</v>
      </c>
      <c r="BE677" s="27" t="s">
        <v>8</v>
      </c>
      <c r="BH677" s="27" t="s">
        <v>7</v>
      </c>
      <c r="BI677" s="27" t="s">
        <v>8</v>
      </c>
      <c r="BP677" s="27" t="s">
        <v>7</v>
      </c>
      <c r="BQ677" s="27" t="s">
        <v>8</v>
      </c>
      <c r="BR677" s="27" t="s">
        <v>7</v>
      </c>
      <c r="BS677" s="27" t="s">
        <v>8</v>
      </c>
      <c r="BT677" s="27" t="s">
        <v>7</v>
      </c>
      <c r="CA677" s="27" t="s">
        <v>8</v>
      </c>
      <c r="CC677" s="27" t="s">
        <v>8</v>
      </c>
      <c r="CD677" s="27" t="s">
        <v>7</v>
      </c>
      <c r="CF677" s="27" t="s">
        <v>7</v>
      </c>
      <c r="CG677" s="27" t="s">
        <v>8</v>
      </c>
      <c r="CH677" s="27" t="s">
        <v>7</v>
      </c>
      <c r="CI677" s="27" t="s">
        <v>8</v>
      </c>
      <c r="DT677" s="27" t="s">
        <v>7</v>
      </c>
      <c r="DX677" s="27" t="s">
        <v>7</v>
      </c>
      <c r="DZ677" s="27" t="s">
        <v>7</v>
      </c>
      <c r="EA677" s="27" t="s">
        <v>8</v>
      </c>
      <c r="GB677" s="27" t="s">
        <v>7</v>
      </c>
      <c r="GC677" s="27" t="s">
        <v>8</v>
      </c>
      <c r="GE677" s="27" t="s">
        <v>8</v>
      </c>
      <c r="GF677" s="27" t="s">
        <v>7</v>
      </c>
      <c r="GG677" s="27" t="s">
        <v>8</v>
      </c>
      <c r="GH677" s="27" t="s">
        <v>7</v>
      </c>
      <c r="GI677" s="27" t="s">
        <v>8</v>
      </c>
      <c r="GJ677" s="27" t="s">
        <v>7</v>
      </c>
    </row>
    <row r="678" spans="1:192" x14ac:dyDescent="0.25">
      <c r="A678" s="7">
        <v>0.16496217332291319</v>
      </c>
      <c r="B678"/>
      <c r="C678"/>
      <c r="D678"/>
      <c r="E678"/>
      <c r="BD678" s="27" t="s">
        <v>7</v>
      </c>
      <c r="BE678" s="27" t="s">
        <v>8</v>
      </c>
      <c r="BH678" s="27" t="s">
        <v>7</v>
      </c>
      <c r="BI678" s="27" t="s">
        <v>8</v>
      </c>
      <c r="BP678" s="27" t="s">
        <v>7</v>
      </c>
      <c r="BQ678" s="27" t="s">
        <v>8</v>
      </c>
      <c r="BR678" s="27" t="s">
        <v>7</v>
      </c>
      <c r="BS678" s="27" t="s">
        <v>8</v>
      </c>
      <c r="BT678" s="27" t="s">
        <v>7</v>
      </c>
      <c r="CA678" s="27" t="s">
        <v>8</v>
      </c>
      <c r="CB678" s="27" t="s">
        <v>7</v>
      </c>
      <c r="CC678" s="27" t="s">
        <v>8</v>
      </c>
      <c r="CF678" s="27" t="s">
        <v>7</v>
      </c>
      <c r="CG678" s="27" t="s">
        <v>8</v>
      </c>
      <c r="CH678" s="27" t="s">
        <v>7</v>
      </c>
      <c r="CI678" s="27" t="s">
        <v>8</v>
      </c>
      <c r="DZ678" s="27" t="s">
        <v>7</v>
      </c>
      <c r="GB678" s="27" t="s">
        <v>7</v>
      </c>
      <c r="GC678" s="27" t="s">
        <v>8</v>
      </c>
      <c r="GD678" s="27" t="s">
        <v>7</v>
      </c>
      <c r="GE678" s="27" t="s">
        <v>8</v>
      </c>
      <c r="GF678" s="27" t="s">
        <v>7</v>
      </c>
      <c r="GG678" s="27" t="s">
        <v>8</v>
      </c>
      <c r="GH678" s="27" t="s">
        <v>7</v>
      </c>
      <c r="GI678" s="27" t="s">
        <v>8</v>
      </c>
      <c r="GJ678" s="27" t="s">
        <v>7</v>
      </c>
    </row>
    <row r="679" spans="1:192" x14ac:dyDescent="0.25">
      <c r="A679" s="7">
        <v>0.16172762090481685</v>
      </c>
      <c r="B679"/>
      <c r="C679"/>
      <c r="D679"/>
      <c r="E679"/>
      <c r="BD679" s="27" t="s">
        <v>7</v>
      </c>
      <c r="BH679" s="27" t="s">
        <v>7</v>
      </c>
      <c r="BI679" s="27" t="s">
        <v>8</v>
      </c>
      <c r="BP679" s="27" t="s">
        <v>7</v>
      </c>
      <c r="BQ679" s="27" t="s">
        <v>8</v>
      </c>
      <c r="BR679" s="27" t="s">
        <v>7</v>
      </c>
      <c r="BS679" s="27" t="s">
        <v>8</v>
      </c>
      <c r="BT679" s="27" t="s">
        <v>7</v>
      </c>
      <c r="CA679" s="27" t="s">
        <v>8</v>
      </c>
      <c r="CB679" s="27" t="s">
        <v>7</v>
      </c>
      <c r="CC679" s="27" t="s">
        <v>8</v>
      </c>
      <c r="CF679" s="27" t="s">
        <v>7</v>
      </c>
      <c r="CG679" s="27" t="s">
        <v>8</v>
      </c>
      <c r="CH679" s="27" t="s">
        <v>7</v>
      </c>
      <c r="CI679" s="27" t="s">
        <v>8</v>
      </c>
      <c r="GB679" s="27" t="s">
        <v>7</v>
      </c>
      <c r="GC679" s="27" t="s">
        <v>8</v>
      </c>
      <c r="GD679" s="27" t="s">
        <v>7</v>
      </c>
      <c r="GE679" s="27" t="s">
        <v>8</v>
      </c>
      <c r="GF679" s="27" t="s">
        <v>7</v>
      </c>
      <c r="GG679" s="27" t="s">
        <v>8</v>
      </c>
      <c r="GH679" s="27" t="s">
        <v>7</v>
      </c>
      <c r="GI679" s="27" t="s">
        <v>8</v>
      </c>
      <c r="GJ679" s="27" t="s">
        <v>7</v>
      </c>
    </row>
    <row r="680" spans="1:192" x14ac:dyDescent="0.25">
      <c r="A680" s="7">
        <v>0.15855649108315376</v>
      </c>
      <c r="B680"/>
      <c r="C680"/>
      <c r="D680"/>
      <c r="E680"/>
      <c r="BH680" s="27" t="s">
        <v>7</v>
      </c>
      <c r="BI680" s="27" t="s">
        <v>8</v>
      </c>
      <c r="BP680" s="27" t="s">
        <v>7</v>
      </c>
      <c r="BR680" s="27" t="s">
        <v>7</v>
      </c>
      <c r="BS680" s="27" t="s">
        <v>8</v>
      </c>
      <c r="BT680" s="27" t="s">
        <v>7</v>
      </c>
      <c r="CA680" s="27" t="s">
        <v>8</v>
      </c>
      <c r="CB680" s="27" t="s">
        <v>7</v>
      </c>
      <c r="CC680" s="27" t="s">
        <v>8</v>
      </c>
      <c r="CF680" s="27" t="s">
        <v>7</v>
      </c>
      <c r="CG680" s="27" t="s">
        <v>8</v>
      </c>
      <c r="CH680" s="27" t="s">
        <v>7</v>
      </c>
      <c r="CI680" s="27" t="s">
        <v>8</v>
      </c>
      <c r="GB680" s="27" t="s">
        <v>7</v>
      </c>
      <c r="GC680" s="27" t="s">
        <v>8</v>
      </c>
      <c r="GD680" s="27" t="s">
        <v>7</v>
      </c>
      <c r="GE680" s="27" t="s">
        <v>8</v>
      </c>
      <c r="GF680" s="27" t="s">
        <v>7</v>
      </c>
      <c r="GG680" s="27" t="s">
        <v>8</v>
      </c>
      <c r="GH680" s="27" t="s">
        <v>7</v>
      </c>
      <c r="GJ680" s="27" t="s">
        <v>7</v>
      </c>
    </row>
    <row r="681" spans="1:192" x14ac:dyDescent="0.25">
      <c r="A681" s="7">
        <v>0.15544754027760171</v>
      </c>
      <c r="B681"/>
      <c r="C681"/>
      <c r="D681"/>
      <c r="E681"/>
      <c r="BH681" s="27" t="s">
        <v>7</v>
      </c>
      <c r="BI681" s="27" t="s">
        <v>8</v>
      </c>
      <c r="BR681" s="27" t="s">
        <v>7</v>
      </c>
      <c r="BS681" s="27" t="s">
        <v>8</v>
      </c>
      <c r="BT681" s="27" t="s">
        <v>7</v>
      </c>
      <c r="CA681" s="27" t="s">
        <v>8</v>
      </c>
      <c r="CB681" s="27" t="s">
        <v>7</v>
      </c>
      <c r="CC681" s="27" t="s">
        <v>8</v>
      </c>
      <c r="CF681" s="27" t="s">
        <v>7</v>
      </c>
      <c r="CG681" s="27" t="s">
        <v>8</v>
      </c>
      <c r="CH681" s="27" t="s">
        <v>7</v>
      </c>
      <c r="CI681" s="27" t="s">
        <v>8</v>
      </c>
      <c r="GB681" s="27" t="s">
        <v>7</v>
      </c>
      <c r="GD681" s="27" t="s">
        <v>7</v>
      </c>
      <c r="GE681" s="27" t="s">
        <v>8</v>
      </c>
      <c r="GF681" s="27" t="s">
        <v>7</v>
      </c>
      <c r="GJ681" s="27" t="s">
        <v>7</v>
      </c>
    </row>
    <row r="682" spans="1:192" x14ac:dyDescent="0.25">
      <c r="A682" s="7">
        <v>0.15239954929176638</v>
      </c>
      <c r="B682"/>
      <c r="C682"/>
      <c r="D682"/>
      <c r="E682"/>
      <c r="BH682" s="27" t="s">
        <v>7</v>
      </c>
      <c r="BI682" s="27" t="s">
        <v>8</v>
      </c>
      <c r="BR682" s="27" t="s">
        <v>7</v>
      </c>
      <c r="BS682" s="27" t="s">
        <v>8</v>
      </c>
      <c r="BT682" s="27" t="s">
        <v>7</v>
      </c>
      <c r="CA682" s="27" t="s">
        <v>8</v>
      </c>
      <c r="CB682" s="27" t="s">
        <v>7</v>
      </c>
      <c r="CC682" s="27" t="s">
        <v>8</v>
      </c>
      <c r="CF682" s="27" t="s">
        <v>7</v>
      </c>
      <c r="CG682" s="27" t="s">
        <v>8</v>
      </c>
      <c r="CH682" s="27" t="s">
        <v>7</v>
      </c>
      <c r="CI682" s="27" t="s">
        <v>8</v>
      </c>
      <c r="GD682" s="27" t="s">
        <v>7</v>
      </c>
      <c r="GE682" s="27" t="s">
        <v>8</v>
      </c>
      <c r="GJ682" s="27" t="s">
        <v>7</v>
      </c>
    </row>
    <row r="683" spans="1:192" x14ac:dyDescent="0.25">
      <c r="A683" s="7">
        <v>0.14941132283506509</v>
      </c>
      <c r="B683"/>
      <c r="C683"/>
      <c r="D683"/>
      <c r="E683"/>
      <c r="BH683" s="27" t="s">
        <v>7</v>
      </c>
      <c r="BI683" s="27" t="s">
        <v>8</v>
      </c>
      <c r="BR683" s="27" t="s">
        <v>7</v>
      </c>
      <c r="BT683" s="27" t="s">
        <v>7</v>
      </c>
      <c r="CA683" s="27" t="s">
        <v>8</v>
      </c>
      <c r="CB683" s="27" t="s">
        <v>7</v>
      </c>
      <c r="CC683" s="27" t="s">
        <v>8</v>
      </c>
      <c r="CF683" s="27" t="s">
        <v>7</v>
      </c>
      <c r="CG683" s="27" t="s">
        <v>8</v>
      </c>
      <c r="CH683" s="27" t="s">
        <v>7</v>
      </c>
      <c r="CI683" s="27" t="s">
        <v>8</v>
      </c>
      <c r="GD683" s="27" t="s">
        <v>7</v>
      </c>
      <c r="GE683" s="27" t="s">
        <v>8</v>
      </c>
      <c r="GJ683" s="27" t="s">
        <v>7</v>
      </c>
    </row>
    <row r="684" spans="1:192" x14ac:dyDescent="0.25">
      <c r="A684" s="7">
        <v>0.14648168905398537</v>
      </c>
      <c r="B684"/>
      <c r="C684"/>
      <c r="D684"/>
      <c r="E684"/>
      <c r="BH684" s="27" t="s">
        <v>7</v>
      </c>
      <c r="BI684" s="27" t="s">
        <v>8</v>
      </c>
      <c r="BT684" s="27" t="s">
        <v>7</v>
      </c>
      <c r="CA684" s="27" t="s">
        <v>8</v>
      </c>
      <c r="CB684" s="27" t="s">
        <v>7</v>
      </c>
      <c r="CC684" s="27" t="s">
        <v>8</v>
      </c>
      <c r="CF684" s="27" t="s">
        <v>7</v>
      </c>
      <c r="CG684" s="27" t="s">
        <v>8</v>
      </c>
      <c r="CH684" s="27" t="s">
        <v>7</v>
      </c>
      <c r="CI684" s="27" t="s">
        <v>8</v>
      </c>
      <c r="GD684" s="27" t="s">
        <v>7</v>
      </c>
      <c r="GE684" s="27" t="s">
        <v>8</v>
      </c>
      <c r="GJ684" s="27" t="s">
        <v>7</v>
      </c>
    </row>
    <row r="685" spans="1:192" x14ac:dyDescent="0.25">
      <c r="A685" s="7">
        <v>0.14360949907253467</v>
      </c>
      <c r="B685"/>
      <c r="C685"/>
      <c r="D685"/>
      <c r="E685"/>
      <c r="BH685" s="27" t="s">
        <v>7</v>
      </c>
      <c r="BI685" s="27" t="s">
        <v>8</v>
      </c>
      <c r="BT685" s="27" t="s">
        <v>7</v>
      </c>
      <c r="CA685" s="27" t="s">
        <v>8</v>
      </c>
      <c r="CB685" s="27" t="s">
        <v>7</v>
      </c>
      <c r="CC685" s="27" t="s">
        <v>8</v>
      </c>
      <c r="CF685" s="27" t="s">
        <v>7</v>
      </c>
      <c r="CH685" s="27" t="s">
        <v>7</v>
      </c>
      <c r="CI685" s="27" t="s">
        <v>8</v>
      </c>
      <c r="GD685" s="27" t="s">
        <v>7</v>
      </c>
      <c r="GJ685" s="27" t="s">
        <v>7</v>
      </c>
    </row>
    <row r="686" spans="1:192" x14ac:dyDescent="0.25">
      <c r="A686" s="7">
        <v>0.14079362654170066</v>
      </c>
      <c r="B686"/>
      <c r="C686"/>
      <c r="D686"/>
      <c r="E686"/>
      <c r="BH686" s="27" t="s">
        <v>7</v>
      </c>
      <c r="BI686" s="27" t="s">
        <v>8</v>
      </c>
      <c r="BT686" s="27" t="s">
        <v>7</v>
      </c>
      <c r="CA686" s="27" t="s">
        <v>8</v>
      </c>
      <c r="CB686" s="27" t="s">
        <v>7</v>
      </c>
      <c r="CC686" s="27" t="s">
        <v>8</v>
      </c>
      <c r="CH686" s="27" t="s">
        <v>7</v>
      </c>
      <c r="CI686" s="27" t="s">
        <v>8</v>
      </c>
      <c r="GJ686" s="27" t="s">
        <v>7</v>
      </c>
    </row>
    <row r="687" spans="1:192" x14ac:dyDescent="0.25">
      <c r="A687" s="7">
        <v>0.13803296719774574</v>
      </c>
      <c r="B687"/>
      <c r="C687"/>
      <c r="D687"/>
      <c r="E687"/>
      <c r="BH687" s="27" t="s">
        <v>7</v>
      </c>
      <c r="BI687" s="27" t="s">
        <v>8</v>
      </c>
      <c r="BT687" s="27" t="s">
        <v>7</v>
      </c>
      <c r="CA687" s="27" t="s">
        <v>8</v>
      </c>
      <c r="CB687" s="27" t="s">
        <v>7</v>
      </c>
      <c r="CC687" s="27" t="s">
        <v>8</v>
      </c>
      <c r="CH687" s="27" t="s">
        <v>7</v>
      </c>
      <c r="CI687" s="27" t="s">
        <v>8</v>
      </c>
      <c r="GJ687" s="27" t="s">
        <v>7</v>
      </c>
    </row>
    <row r="688" spans="1:192" x14ac:dyDescent="0.25">
      <c r="A688" s="7">
        <v>0.1353264384291625</v>
      </c>
      <c r="B688"/>
      <c r="C688"/>
      <c r="D688"/>
      <c r="E688"/>
      <c r="BH688" s="27" t="s">
        <v>7</v>
      </c>
      <c r="BI688" s="27" t="s">
        <v>8</v>
      </c>
      <c r="BT688" s="27" t="s">
        <v>7</v>
      </c>
      <c r="CA688" s="27" t="s">
        <v>8</v>
      </c>
      <c r="CB688" s="27" t="s">
        <v>7</v>
      </c>
      <c r="CC688" s="27" t="s">
        <v>8</v>
      </c>
      <c r="CH688" s="27" t="s">
        <v>7</v>
      </c>
      <c r="CI688" s="27" t="s">
        <v>8</v>
      </c>
      <c r="GJ688" s="27" t="s">
        <v>7</v>
      </c>
    </row>
    <row r="689" spans="1:196" x14ac:dyDescent="0.25">
      <c r="A689" s="7">
        <v>0.13267297885212009</v>
      </c>
      <c r="B689"/>
      <c r="C689"/>
      <c r="D689"/>
      <c r="E689"/>
      <c r="BH689" s="27" t="s">
        <v>7</v>
      </c>
      <c r="BI689" s="27" t="s">
        <v>8</v>
      </c>
      <c r="BT689" s="27" t="s">
        <v>7</v>
      </c>
      <c r="CA689" s="27" t="s">
        <v>8</v>
      </c>
      <c r="CB689" s="27" t="s">
        <v>7</v>
      </c>
      <c r="CC689" s="27" t="s">
        <v>8</v>
      </c>
      <c r="CH689" s="27" t="s">
        <v>7</v>
      </c>
      <c r="CI689" s="27" t="s">
        <v>8</v>
      </c>
      <c r="GJ689" s="27" t="s">
        <v>7</v>
      </c>
      <c r="GM689" s="27" t="s">
        <v>8</v>
      </c>
    </row>
    <row r="690" spans="1:196" x14ac:dyDescent="0.25">
      <c r="A690" s="7">
        <v>0.13007154789423539</v>
      </c>
      <c r="B690"/>
      <c r="C690"/>
      <c r="D690"/>
      <c r="E690"/>
      <c r="BH690" s="27" t="s">
        <v>7</v>
      </c>
      <c r="BI690" s="27" t="s">
        <v>8</v>
      </c>
      <c r="BT690" s="27" t="s">
        <v>7</v>
      </c>
      <c r="CA690" s="27" t="s">
        <v>8</v>
      </c>
      <c r="CB690" s="27" t="s">
        <v>7</v>
      </c>
      <c r="CC690" s="27" t="s">
        <v>8</v>
      </c>
      <c r="CH690" s="27" t="s">
        <v>7</v>
      </c>
      <c r="CI690" s="27" t="s">
        <v>8</v>
      </c>
      <c r="GJ690" s="27" t="s">
        <v>7</v>
      </c>
      <c r="GM690" s="27" t="s">
        <v>8</v>
      </c>
      <c r="GN690" s="27" t="s">
        <v>7</v>
      </c>
    </row>
    <row r="691" spans="1:196" x14ac:dyDescent="0.25">
      <c r="A691" s="7">
        <v>0.12752112538650529</v>
      </c>
      <c r="B691"/>
      <c r="C691"/>
      <c r="D691"/>
      <c r="E691"/>
      <c r="BH691" s="27" t="s">
        <v>7</v>
      </c>
      <c r="BI691" s="27" t="s">
        <v>8</v>
      </c>
      <c r="BT691" s="27" t="s">
        <v>7</v>
      </c>
      <c r="CA691" s="27" t="s">
        <v>8</v>
      </c>
      <c r="CB691" s="27" t="s">
        <v>7</v>
      </c>
      <c r="CC691" s="27" t="s">
        <v>8</v>
      </c>
      <c r="CH691" s="27" t="s">
        <v>7</v>
      </c>
      <c r="CI691" s="27" t="s">
        <v>8</v>
      </c>
      <c r="GJ691" s="27" t="s">
        <v>7</v>
      </c>
      <c r="GM691" s="27" t="s">
        <v>8</v>
      </c>
      <c r="GN691" s="27" t="s">
        <v>7</v>
      </c>
    </row>
    <row r="692" spans="1:196" x14ac:dyDescent="0.25">
      <c r="A692" s="7">
        <v>0.12502071116324048</v>
      </c>
      <c r="B692"/>
      <c r="C692"/>
      <c r="D692"/>
      <c r="E692"/>
      <c r="BH692" s="27" t="s">
        <v>7</v>
      </c>
      <c r="BI692" s="27" t="s">
        <v>8</v>
      </c>
      <c r="BT692" s="27" t="s">
        <v>7</v>
      </c>
      <c r="CA692" s="27" t="s">
        <v>8</v>
      </c>
      <c r="CB692" s="27" t="s">
        <v>7</v>
      </c>
      <c r="CC692" s="27" t="s">
        <v>8</v>
      </c>
      <c r="CH692" s="18" t="s">
        <v>7</v>
      </c>
      <c r="CI692" s="27" t="s">
        <v>8</v>
      </c>
      <c r="GJ692" s="27" t="s">
        <v>7</v>
      </c>
      <c r="GM692" s="27" t="s">
        <v>8</v>
      </c>
      <c r="GN692" s="27" t="s">
        <v>7</v>
      </c>
    </row>
    <row r="693" spans="1:196" x14ac:dyDescent="0.25">
      <c r="A693" s="7">
        <v>0.1225693246698436</v>
      </c>
      <c r="B693"/>
      <c r="C693"/>
      <c r="D693"/>
      <c r="E693"/>
      <c r="BH693" s="27" t="s">
        <v>7</v>
      </c>
      <c r="BI693" s="27" t="s">
        <v>8</v>
      </c>
      <c r="BT693" s="27" t="s">
        <v>7</v>
      </c>
      <c r="CA693" s="27" t="s">
        <v>8</v>
      </c>
      <c r="CB693" s="27" t="s">
        <v>7</v>
      </c>
      <c r="CH693" s="27" t="s">
        <v>7</v>
      </c>
      <c r="CI693" s="27" t="s">
        <v>8</v>
      </c>
      <c r="GJ693" s="27" t="s">
        <v>7</v>
      </c>
      <c r="GK693" s="27" t="s">
        <v>8</v>
      </c>
      <c r="GM693" s="27" t="s">
        <v>8</v>
      </c>
      <c r="GN693" s="27" t="s">
        <v>7</v>
      </c>
    </row>
    <row r="694" spans="1:196" x14ac:dyDescent="0.25">
      <c r="A694" s="7">
        <v>0.12016600457827803</v>
      </c>
      <c r="B694"/>
      <c r="C694"/>
      <c r="D694"/>
      <c r="E694"/>
      <c r="BH694" s="27" t="s">
        <v>7</v>
      </c>
      <c r="BI694" s="27" t="s">
        <v>8</v>
      </c>
      <c r="BT694" s="27" t="s">
        <v>7</v>
      </c>
      <c r="CA694" s="27" t="s">
        <v>8</v>
      </c>
      <c r="CH694" s="27" t="s">
        <v>7</v>
      </c>
      <c r="CI694" s="27" t="s">
        <v>8</v>
      </c>
      <c r="GJ694" s="27" t="s">
        <v>7</v>
      </c>
      <c r="GK694" s="27" t="s">
        <v>8</v>
      </c>
      <c r="GL694" s="27" t="s">
        <v>7</v>
      </c>
      <c r="GM694" s="27" t="s">
        <v>8</v>
      </c>
      <c r="GN694" s="27" t="s">
        <v>7</v>
      </c>
    </row>
    <row r="695" spans="1:196" x14ac:dyDescent="0.25">
      <c r="A695" s="7">
        <v>0.1178098084100765</v>
      </c>
      <c r="B695"/>
      <c r="C695"/>
      <c r="D695"/>
      <c r="E695"/>
      <c r="BH695" s="27" t="s">
        <v>7</v>
      </c>
      <c r="BI695" s="27" t="s">
        <v>8</v>
      </c>
      <c r="BT695" s="27" t="s">
        <v>7</v>
      </c>
      <c r="CA695" s="27" t="s">
        <v>8</v>
      </c>
      <c r="CH695" s="27" t="s">
        <v>7</v>
      </c>
      <c r="CI695" s="27" t="s">
        <v>8</v>
      </c>
      <c r="GJ695" s="27" t="s">
        <v>7</v>
      </c>
      <c r="GK695" s="27" t="s">
        <v>8</v>
      </c>
      <c r="GL695" s="27" t="s">
        <v>7</v>
      </c>
      <c r="GM695" s="27" t="s">
        <v>8</v>
      </c>
      <c r="GN695" s="27" t="s">
        <v>7</v>
      </c>
    </row>
    <row r="696" spans="1:196" x14ac:dyDescent="0.25">
      <c r="A696" s="7">
        <v>0.11549981216674166</v>
      </c>
      <c r="B696"/>
      <c r="C696"/>
      <c r="D696"/>
      <c r="E696"/>
      <c r="BH696" s="27" t="s">
        <v>7</v>
      </c>
      <c r="BI696" s="27" t="s">
        <v>8</v>
      </c>
      <c r="BT696" s="27" t="s">
        <v>7</v>
      </c>
      <c r="CA696" s="27" t="s">
        <v>8</v>
      </c>
      <c r="CH696" s="27" t="s">
        <v>7</v>
      </c>
      <c r="CI696" s="27" t="s">
        <v>8</v>
      </c>
      <c r="GJ696" s="27" t="s">
        <v>7</v>
      </c>
      <c r="GK696" s="27" t="s">
        <v>8</v>
      </c>
      <c r="GL696" s="27" t="s">
        <v>7</v>
      </c>
      <c r="GM696" s="27" t="s">
        <v>8</v>
      </c>
      <c r="GN696" s="27" t="s">
        <v>7</v>
      </c>
    </row>
    <row r="697" spans="1:196" x14ac:dyDescent="0.25">
      <c r="A697" s="7">
        <v>0.11323510996739378</v>
      </c>
      <c r="B697"/>
      <c r="C697"/>
      <c r="D697"/>
      <c r="E697"/>
      <c r="BH697" s="27" t="s">
        <v>7</v>
      </c>
      <c r="BT697" s="27" t="s">
        <v>7</v>
      </c>
      <c r="CA697" s="27" t="s">
        <v>8</v>
      </c>
      <c r="CH697" s="27" t="s">
        <v>7</v>
      </c>
      <c r="CI697" s="27" t="s">
        <v>8</v>
      </c>
      <c r="GJ697" s="27" t="s">
        <v>7</v>
      </c>
      <c r="GK697" s="27" t="s">
        <v>8</v>
      </c>
      <c r="GL697" s="27" t="s">
        <v>7</v>
      </c>
      <c r="GM697" s="27" t="s">
        <v>8</v>
      </c>
      <c r="GN697" s="27" t="s">
        <v>7</v>
      </c>
    </row>
    <row r="698" spans="1:196" x14ac:dyDescent="0.25">
      <c r="A698" s="7">
        <v>0.11101481369352331</v>
      </c>
      <c r="B698"/>
      <c r="C698"/>
      <c r="D698"/>
      <c r="E698"/>
      <c r="BT698" s="27" t="s">
        <v>7</v>
      </c>
      <c r="CA698" s="27" t="s">
        <v>8</v>
      </c>
      <c r="CH698" s="27" t="s">
        <v>7</v>
      </c>
      <c r="CI698" s="27" t="s">
        <v>8</v>
      </c>
      <c r="GJ698" s="27" t="s">
        <v>7</v>
      </c>
      <c r="GK698" s="27" t="s">
        <v>8</v>
      </c>
      <c r="GL698" s="27" t="s">
        <v>7</v>
      </c>
      <c r="GM698" s="27" t="s">
        <v>8</v>
      </c>
    </row>
    <row r="699" spans="1:196" x14ac:dyDescent="0.25">
      <c r="A699" s="7">
        <v>0.10883805264070913</v>
      </c>
      <c r="B699"/>
      <c r="C699"/>
      <c r="D699"/>
      <c r="E699"/>
      <c r="BT699" s="27" t="s">
        <v>7</v>
      </c>
      <c r="BW699" s="27" t="s">
        <v>8</v>
      </c>
      <c r="CA699" s="27" t="s">
        <v>8</v>
      </c>
      <c r="CH699" s="27" t="s">
        <v>7</v>
      </c>
      <c r="GJ699" s="27" t="s">
        <v>7</v>
      </c>
      <c r="GK699" s="27" t="s">
        <v>8</v>
      </c>
      <c r="GL699" s="27" t="s">
        <v>7</v>
      </c>
      <c r="GM699" s="27" t="s">
        <v>8</v>
      </c>
    </row>
    <row r="700" spans="1:196" x14ac:dyDescent="0.25">
      <c r="A700" s="7">
        <v>0.10670397317716582</v>
      </c>
      <c r="B700"/>
      <c r="C700"/>
      <c r="D700"/>
      <c r="E700"/>
      <c r="BT700" s="27" t="s">
        <v>7</v>
      </c>
      <c r="BU700" s="27" t="s">
        <v>8</v>
      </c>
      <c r="BW700" s="27" t="s">
        <v>8</v>
      </c>
      <c r="BX700" s="27" t="s">
        <v>7</v>
      </c>
      <c r="CA700" s="27" t="s">
        <v>8</v>
      </c>
      <c r="GJ700" s="27" t="s">
        <v>7</v>
      </c>
      <c r="GL700" s="27" t="s">
        <v>7</v>
      </c>
      <c r="GM700" s="27" t="s">
        <v>8</v>
      </c>
    </row>
    <row r="701" spans="1:196" x14ac:dyDescent="0.25">
      <c r="A701" s="7">
        <v>0.1046117384089861</v>
      </c>
      <c r="B701"/>
      <c r="C701"/>
      <c r="D701"/>
      <c r="E701"/>
      <c r="BT701" s="27" t="s">
        <v>7</v>
      </c>
      <c r="BU701" s="27" t="s">
        <v>8</v>
      </c>
      <c r="BV701" s="27" t="s">
        <v>7</v>
      </c>
      <c r="BW701" s="27" t="s">
        <v>8</v>
      </c>
      <c r="BX701" s="27" t="s">
        <v>7</v>
      </c>
      <c r="CA701" s="27" t="s">
        <v>8</v>
      </c>
      <c r="GL701" s="27" t="s">
        <v>7</v>
      </c>
      <c r="GM701" s="27" t="s">
        <v>8</v>
      </c>
    </row>
    <row r="702" spans="1:196" x14ac:dyDescent="0.25">
      <c r="A702" s="7">
        <v>0.10256052785194716</v>
      </c>
      <c r="B702"/>
      <c r="C702"/>
      <c r="D702"/>
      <c r="E702"/>
      <c r="BT702" s="27" t="s">
        <v>7</v>
      </c>
      <c r="BU702" s="27" t="s">
        <v>8</v>
      </c>
      <c r="BV702" s="27" t="s">
        <v>7</v>
      </c>
      <c r="BW702" s="27" t="s">
        <v>8</v>
      </c>
      <c r="BX702" s="27" t="s">
        <v>7</v>
      </c>
      <c r="CA702" s="27" t="s">
        <v>8</v>
      </c>
      <c r="GL702" s="27" t="s">
        <v>7</v>
      </c>
      <c r="GM702" s="27" t="s">
        <v>8</v>
      </c>
    </row>
    <row r="703" spans="1:196" x14ac:dyDescent="0.25">
      <c r="A703" s="7">
        <v>0.10054953710975212</v>
      </c>
      <c r="B703"/>
      <c r="C703"/>
      <c r="D703"/>
      <c r="E703"/>
      <c r="BT703" s="27" t="s">
        <v>7</v>
      </c>
      <c r="BU703" s="27" t="s">
        <v>8</v>
      </c>
      <c r="BV703" s="27" t="s">
        <v>7</v>
      </c>
      <c r="BW703" s="27" t="s">
        <v>8</v>
      </c>
      <c r="BX703" s="27" t="s">
        <v>7</v>
      </c>
      <c r="BY703" s="27" t="s">
        <v>8</v>
      </c>
      <c r="CA703" s="27" t="s">
        <v>8</v>
      </c>
      <c r="GL703" s="27" t="s">
        <v>7</v>
      </c>
      <c r="GM703" s="27" t="s">
        <v>8</v>
      </c>
    </row>
    <row r="704" spans="1:196" x14ac:dyDescent="0.25">
      <c r="A704" s="7">
        <v>9.8577977558580512E-2</v>
      </c>
      <c r="B704"/>
      <c r="C704"/>
      <c r="D704"/>
      <c r="E704"/>
      <c r="BT704" s="27" t="s">
        <v>7</v>
      </c>
      <c r="BU704" s="27" t="s">
        <v>8</v>
      </c>
      <c r="BV704" s="27" t="s">
        <v>7</v>
      </c>
      <c r="BW704" s="27" t="s">
        <v>8</v>
      </c>
      <c r="BX704" s="27" t="s">
        <v>7</v>
      </c>
      <c r="BY704" s="27" t="s">
        <v>8</v>
      </c>
      <c r="BZ704" s="27" t="s">
        <v>7</v>
      </c>
      <c r="CA704" s="27" t="s">
        <v>8</v>
      </c>
      <c r="GL704" s="27" t="s">
        <v>7</v>
      </c>
      <c r="GM704" s="27" t="s">
        <v>8</v>
      </c>
    </row>
    <row r="705" spans="1:194" x14ac:dyDescent="0.25">
      <c r="A705" s="7">
        <v>9.6645076037824032E-2</v>
      </c>
      <c r="B705"/>
      <c r="C705"/>
      <c r="D705"/>
      <c r="E705"/>
      <c r="BT705" s="27" t="s">
        <v>7</v>
      </c>
      <c r="BU705" s="27" t="s">
        <v>8</v>
      </c>
      <c r="BV705" s="27" t="s">
        <v>7</v>
      </c>
      <c r="BW705" s="27" t="s">
        <v>8</v>
      </c>
      <c r="BX705" s="27" t="s">
        <v>7</v>
      </c>
      <c r="BY705" s="27" t="s">
        <v>8</v>
      </c>
      <c r="BZ705" s="27" t="s">
        <v>7</v>
      </c>
      <c r="CA705" s="27" t="s">
        <v>8</v>
      </c>
      <c r="GL705" s="27" t="s">
        <v>7</v>
      </c>
    </row>
    <row r="706" spans="1:194" x14ac:dyDescent="0.25">
      <c r="A706" s="7">
        <v>9.4750074546886304E-2</v>
      </c>
      <c r="B706"/>
      <c r="C706"/>
      <c r="D706"/>
      <c r="E706"/>
      <c r="BT706" s="27" t="s">
        <v>7</v>
      </c>
      <c r="BU706" s="27" t="s">
        <v>8</v>
      </c>
      <c r="BV706" s="27" t="s">
        <v>7</v>
      </c>
      <c r="BW706" s="27" t="s">
        <v>8</v>
      </c>
      <c r="BX706" s="27" t="s">
        <v>7</v>
      </c>
      <c r="BY706" s="27" t="s">
        <v>8</v>
      </c>
      <c r="BZ706" s="27" t="s">
        <v>7</v>
      </c>
      <c r="CA706" s="27" t="s">
        <v>8</v>
      </c>
    </row>
    <row r="707" spans="1:194" x14ac:dyDescent="0.25">
      <c r="A707" s="7">
        <v>9.2892229947927743E-2</v>
      </c>
      <c r="B707"/>
      <c r="C707"/>
      <c r="D707"/>
      <c r="E707"/>
      <c r="BT707" s="27" t="s">
        <v>7</v>
      </c>
      <c r="BU707" s="27" t="s">
        <v>8</v>
      </c>
      <c r="BV707" s="27" t="s">
        <v>7</v>
      </c>
      <c r="BW707" s="27" t="s">
        <v>8</v>
      </c>
      <c r="BX707" s="27" t="s">
        <v>7</v>
      </c>
      <c r="BY707" s="27" t="s">
        <v>8</v>
      </c>
      <c r="BZ707" s="27" t="s">
        <v>7</v>
      </c>
      <c r="CA707" s="27" t="s">
        <v>8</v>
      </c>
    </row>
    <row r="708" spans="1:194" x14ac:dyDescent="0.25">
      <c r="A708" s="7">
        <v>9.1070813674438963E-2</v>
      </c>
      <c r="B708"/>
      <c r="C708"/>
      <c r="D708"/>
      <c r="E708"/>
      <c r="BT708" s="27" t="s">
        <v>7</v>
      </c>
      <c r="BU708" s="27" t="s">
        <v>8</v>
      </c>
      <c r="BV708" s="27" t="s">
        <v>7</v>
      </c>
      <c r="BW708" s="27" t="s">
        <v>8</v>
      </c>
      <c r="BX708" s="27" t="s">
        <v>7</v>
      </c>
      <c r="BY708" s="27" t="s">
        <v>8</v>
      </c>
      <c r="BZ708" s="27" t="s">
        <v>7</v>
      </c>
      <c r="CA708" s="27" t="s">
        <v>8</v>
      </c>
    </row>
    <row r="709" spans="1:194" x14ac:dyDescent="0.25">
      <c r="A709" s="7">
        <v>8.9285111445528392E-2</v>
      </c>
      <c r="B709"/>
      <c r="C709"/>
      <c r="D709"/>
      <c r="E709"/>
      <c r="BT709" s="27" t="s">
        <v>7</v>
      </c>
      <c r="BU709" s="27" t="s">
        <v>8</v>
      </c>
      <c r="BV709" s="27" t="s">
        <v>7</v>
      </c>
      <c r="BW709" s="27" t="s">
        <v>8</v>
      </c>
      <c r="BX709" s="27" t="s">
        <v>7</v>
      </c>
      <c r="BZ709" s="27" t="s">
        <v>7</v>
      </c>
      <c r="CA709" s="27" t="s">
        <v>8</v>
      </c>
    </row>
    <row r="710" spans="1:194" x14ac:dyDescent="0.25">
      <c r="A710" s="7">
        <v>8.7534422985812155E-2</v>
      </c>
      <c r="B710"/>
      <c r="C710"/>
      <c r="D710"/>
      <c r="E710"/>
      <c r="BT710" s="27" t="s">
        <v>7</v>
      </c>
      <c r="BU710" s="27" t="s">
        <v>8</v>
      </c>
      <c r="BV710" s="27" t="s">
        <v>7</v>
      </c>
      <c r="BW710" s="27" t="s">
        <v>8</v>
      </c>
      <c r="BZ710" s="27" t="s">
        <v>7</v>
      </c>
      <c r="CA710" s="27" t="s">
        <v>8</v>
      </c>
    </row>
    <row r="711" spans="1:194" x14ac:dyDescent="0.25">
      <c r="A711" s="7">
        <v>8.5818061750796232E-2</v>
      </c>
      <c r="B711"/>
      <c r="C711"/>
      <c r="D711"/>
      <c r="E711"/>
      <c r="BT711" s="27" t="s">
        <v>7</v>
      </c>
      <c r="BU711" s="27" t="s">
        <v>8</v>
      </c>
      <c r="BV711" s="27" t="s">
        <v>7</v>
      </c>
      <c r="BW711" s="27" t="s">
        <v>8</v>
      </c>
      <c r="BZ711" s="27" t="s">
        <v>7</v>
      </c>
    </row>
    <row r="712" spans="1:194" x14ac:dyDescent="0.25">
      <c r="A712" s="7">
        <v>8.4135354657643366E-2</v>
      </c>
      <c r="B712"/>
      <c r="C712"/>
      <c r="D712"/>
      <c r="E712"/>
      <c r="BT712" s="27" t="s">
        <v>7</v>
      </c>
      <c r="BU712" s="27" t="s">
        <v>8</v>
      </c>
      <c r="BV712" s="27" t="s">
        <v>7</v>
      </c>
      <c r="BW712" s="27" t="s">
        <v>8</v>
      </c>
    </row>
    <row r="713" spans="1:194" x14ac:dyDescent="0.25">
      <c r="A713" s="7">
        <v>8.248564182121898E-2</v>
      </c>
      <c r="B713"/>
      <c r="C713"/>
      <c r="D713"/>
      <c r="E713"/>
      <c r="BT713" s="27" t="s">
        <v>7</v>
      </c>
      <c r="BU713" s="27" t="s">
        <v>8</v>
      </c>
      <c r="BV713" s="27" t="s">
        <v>7</v>
      </c>
      <c r="BW713" s="27" t="s">
        <v>8</v>
      </c>
    </row>
    <row r="714" spans="1:194" x14ac:dyDescent="0.25">
      <c r="A714" s="7">
        <v>8.0868276295312735E-2</v>
      </c>
      <c r="B714"/>
      <c r="C714"/>
      <c r="D714"/>
      <c r="E714"/>
      <c r="BT714" s="27" t="s">
        <v>7</v>
      </c>
      <c r="BU714" s="27" t="s">
        <v>8</v>
      </c>
      <c r="BV714" s="27" t="s">
        <v>7</v>
      </c>
      <c r="BW714" s="27" t="s">
        <v>8</v>
      </c>
    </row>
    <row r="715" spans="1:194" x14ac:dyDescent="0.25">
      <c r="A715" s="7">
        <v>7.9282623818934056E-2</v>
      </c>
      <c r="B715"/>
      <c r="C715"/>
      <c r="D715"/>
      <c r="E715"/>
      <c r="BT715" s="27" t="s">
        <v>7</v>
      </c>
      <c r="BU715" s="27" t="s">
        <v>8</v>
      </c>
      <c r="BV715" s="27" t="s">
        <v>7</v>
      </c>
      <c r="BW715" s="27" t="s">
        <v>8</v>
      </c>
    </row>
    <row r="716" spans="1:194" x14ac:dyDescent="0.25">
      <c r="A716" s="7">
        <v>7.7728062567582412E-2</v>
      </c>
      <c r="B716"/>
      <c r="C716"/>
      <c r="D716"/>
      <c r="E716"/>
      <c r="BT716" s="27" t="s">
        <v>7</v>
      </c>
      <c r="BU716" s="27" t="s">
        <v>8</v>
      </c>
      <c r="BV716" s="27" t="s">
        <v>7</v>
      </c>
      <c r="BW716" s="27" t="s">
        <v>8</v>
      </c>
    </row>
    <row r="717" spans="1:194" x14ac:dyDescent="0.25">
      <c r="A717" s="7">
        <v>7.6203982909394521E-2</v>
      </c>
      <c r="B717"/>
      <c r="C717"/>
      <c r="D717"/>
      <c r="E717"/>
      <c r="BT717" s="27" t="s">
        <v>7</v>
      </c>
      <c r="BU717" s="27" t="s">
        <v>8</v>
      </c>
      <c r="BV717" s="27" t="s">
        <v>7</v>
      </c>
    </row>
    <row r="718" spans="1:194" x14ac:dyDescent="0.25">
      <c r="A718" s="7">
        <v>7.4709787166073058E-2</v>
      </c>
      <c r="B718"/>
      <c r="C718"/>
      <c r="D718"/>
      <c r="E718"/>
      <c r="BT718" s="27" t="s">
        <v>7</v>
      </c>
    </row>
    <row r="719" spans="1:194" x14ac:dyDescent="0.25">
      <c r="A719" s="7">
        <v>7.3244889378503E-2</v>
      </c>
      <c r="B719"/>
      <c r="C719"/>
      <c r="D719"/>
      <c r="E719"/>
    </row>
    <row r="720" spans="1:194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741" operator="equal">
      <formula>$U$1</formula>
    </cfRule>
    <cfRule type="cellIs" dxfId="89" priority="742" operator="equal">
      <formula>$S$1</formula>
    </cfRule>
  </conditionalFormatting>
  <conditionalFormatting sqref="D27">
    <cfRule type="cellIs" dxfId="88" priority="739" operator="equal">
      <formula>$S$1</formula>
    </cfRule>
    <cfRule type="cellIs" dxfId="87" priority="740" operator="equal">
      <formula>$U$1</formula>
    </cfRule>
  </conditionalFormatting>
  <conditionalFormatting sqref="C164">
    <cfRule type="cellIs" dxfId="86" priority="737" operator="equal">
      <formula>$U$1</formula>
    </cfRule>
    <cfRule type="cellIs" dxfId="85" priority="738" operator="equal">
      <formula>$S$1</formula>
    </cfRule>
  </conditionalFormatting>
  <conditionalFormatting sqref="D164">
    <cfRule type="cellIs" dxfId="84" priority="735" operator="equal">
      <formula>$S$1</formula>
    </cfRule>
    <cfRule type="cellIs" dxfId="83" priority="736" operator="equal">
      <formula>$U$1</formula>
    </cfRule>
  </conditionalFormatting>
  <conditionalFormatting sqref="C55">
    <cfRule type="cellIs" dxfId="82" priority="733" operator="equal">
      <formula>$U$1</formula>
    </cfRule>
    <cfRule type="cellIs" dxfId="81" priority="734" operator="equal">
      <formula>$S$1</formula>
    </cfRule>
  </conditionalFormatting>
  <conditionalFormatting sqref="D55">
    <cfRule type="cellIs" dxfId="80" priority="731" operator="equal">
      <formula>$S$1</formula>
    </cfRule>
    <cfRule type="cellIs" dxfId="79" priority="732" operator="equal">
      <formula>$U$1</formula>
    </cfRule>
  </conditionalFormatting>
  <conditionalFormatting sqref="C89">
    <cfRule type="cellIs" dxfId="78" priority="729" operator="equal">
      <formula>$U$1</formula>
    </cfRule>
    <cfRule type="cellIs" dxfId="77" priority="730" operator="equal">
      <formula>$S$1</formula>
    </cfRule>
  </conditionalFormatting>
  <conditionalFormatting sqref="D89">
    <cfRule type="cellIs" dxfId="76" priority="727" operator="equal">
      <formula>$S$1</formula>
    </cfRule>
    <cfRule type="cellIs" dxfId="75" priority="728" operator="equal">
      <formula>$U$1</formula>
    </cfRule>
  </conditionalFormatting>
  <conditionalFormatting sqref="C136">
    <cfRule type="cellIs" dxfId="74" priority="725" operator="equal">
      <formula>$U$1</formula>
    </cfRule>
    <cfRule type="cellIs" dxfId="73" priority="726" operator="equal">
      <formula>$S$1</formula>
    </cfRule>
  </conditionalFormatting>
  <conditionalFormatting sqref="D136">
    <cfRule type="cellIs" dxfId="72" priority="723" operator="equal">
      <formula>$S$1</formula>
    </cfRule>
    <cfRule type="cellIs" dxfId="71" priority="724" operator="equal">
      <formula>$U$1</formula>
    </cfRule>
  </conditionalFormatting>
  <conditionalFormatting sqref="C1">
    <cfRule type="cellIs" dxfId="70" priority="722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DT285" sqref="DT285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$A$284</v>
      </c>
      <c r="D111" s="1" t="str">
        <f>ADDRESS(C121-1,D121,1,1)</f>
        <v>$DT$284</v>
      </c>
      <c r="E111"/>
    </row>
    <row r="112" spans="1:5" x14ac:dyDescent="0.25">
      <c r="A112" s="30">
        <v>515.50191262726139</v>
      </c>
      <c r="C112" s="1" t="str">
        <f>ADDRESS(C121,1,1,1)</f>
        <v>$A$285</v>
      </c>
      <c r="D112" s="1" t="str">
        <f>ADDRESS(C121,D121-1,1,1)</f>
        <v>$DS$285</v>
      </c>
      <c r="E112"/>
    </row>
    <row r="113" spans="1:5" x14ac:dyDescent="0.25">
      <c r="A113" s="30">
        <v>490.95420250215363</v>
      </c>
      <c r="C113" s="1" t="str">
        <f>ADDRESS(C121+1,1,1,1)</f>
        <v>$A$286</v>
      </c>
      <c r="D113" s="1" t="str">
        <f>ADDRESS(C121-1,D121+1,1,1)</f>
        <v>$DU$284</v>
      </c>
    </row>
    <row r="114" spans="1:5" x14ac:dyDescent="0.25">
      <c r="A114" s="30">
        <v>467.57543095443202</v>
      </c>
      <c r="C114" s="1" t="str">
        <f>ADDRESS(C121,D121,1,1)</f>
        <v>$DT$285</v>
      </c>
      <c r="D114" s="1" t="str">
        <f>ADDRESS(C121+1,D121+1,1,1)</f>
        <v>$DU$286</v>
      </c>
    </row>
    <row r="115" spans="1:5" x14ac:dyDescent="0.25">
      <c r="A115" s="30">
        <v>445.30993424231622</v>
      </c>
      <c r="C115" s="1" t="str">
        <f>ADDRESS(C121+1,D121,1,1)</f>
        <v>$DT$286</v>
      </c>
    </row>
    <row r="116" spans="1:5" x14ac:dyDescent="0.25">
      <c r="A116" s="30">
        <v>424.10469927839637</v>
      </c>
      <c r="C116" s="1">
        <f>C117-1</f>
        <v>284</v>
      </c>
    </row>
    <row r="117" spans="1:5" x14ac:dyDescent="0.25">
      <c r="A117" s="30">
        <v>403.9092374079965</v>
      </c>
      <c r="C117" s="1">
        <f>C121</f>
        <v>285</v>
      </c>
      <c r="D117" s="1">
        <f>D121</f>
        <v>124</v>
      </c>
    </row>
    <row r="118" spans="1:5" x14ac:dyDescent="0.25">
      <c r="A118" s="30">
        <v>384.6754641980919</v>
      </c>
      <c r="C118" s="1">
        <f>C117+1</f>
        <v>286</v>
      </c>
      <c r="D118" s="1">
        <f>D117+1</f>
        <v>125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285</v>
      </c>
      <c r="D121" s="19">
        <v>124</v>
      </c>
      <c r="E121" s="19"/>
    </row>
    <row r="122" spans="1:5" x14ac:dyDescent="0.25">
      <c r="A122" s="30">
        <v>316.47345638748612</v>
      </c>
      <c r="C122" s="1" t="str">
        <f>INDEX(1:1048576,C117,D117)</f>
        <v>O</v>
      </c>
    </row>
    <row r="123" spans="1:5" x14ac:dyDescent="0.25">
      <c r="A123" s="30">
        <v>301.40329179760585</v>
      </c>
      <c r="C123" s="1" t="str">
        <f>"R"&amp;C121</f>
        <v>R285</v>
      </c>
      <c r="D123" s="1" t="str">
        <f>"C"&amp;D121</f>
        <v>C124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0.11129650891613138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O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>O</v>
      </c>
      <c r="D136" s="1" t="str">
        <f>IF(C133=$U$1,IF(C130&gt;(C127*1.05),$U$1,IF(D130&lt;(C127*0.863837598531476),$S$1,"")),"")</f>
        <v/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5" x14ac:dyDescent="0.25">
      <c r="A193" s="30">
        <v>9.9059710923258422</v>
      </c>
      <c r="E193"/>
    </row>
    <row r="194" spans="1:5" x14ac:dyDescent="0.25">
      <c r="A194" s="30">
        <v>9.4342581831674686</v>
      </c>
      <c r="E194"/>
    </row>
    <row r="195" spans="1:5" x14ac:dyDescent="0.25">
      <c r="A195" s="30">
        <v>8.9850077934928265</v>
      </c>
      <c r="E195"/>
    </row>
    <row r="196" spans="1:5" x14ac:dyDescent="0.25">
      <c r="A196" s="30">
        <v>8.5571502795169767</v>
      </c>
      <c r="E196"/>
    </row>
    <row r="197" spans="1:5" x14ac:dyDescent="0.25">
      <c r="A197" s="30">
        <v>8.1496669328733109</v>
      </c>
      <c r="E197"/>
    </row>
    <row r="198" spans="1:5" x14ac:dyDescent="0.25">
      <c r="A198" s="30">
        <v>7.7615875551174378</v>
      </c>
      <c r="E198"/>
    </row>
    <row r="199" spans="1:5" x14ac:dyDescent="0.25">
      <c r="A199" s="30">
        <v>7.3919881477308929</v>
      </c>
      <c r="E199"/>
    </row>
    <row r="200" spans="1:5" x14ac:dyDescent="0.25">
      <c r="A200" s="30">
        <v>7.0399887121246598</v>
      </c>
      <c r="E200"/>
    </row>
    <row r="201" spans="1:5" x14ac:dyDescent="0.25">
      <c r="A201" s="30">
        <v>6.7047511544044376</v>
      </c>
      <c r="E201"/>
    </row>
    <row r="202" spans="1:5" x14ac:dyDescent="0.25">
      <c r="A202" s="30">
        <v>6.3854772899089882</v>
      </c>
      <c r="E202"/>
    </row>
    <row r="203" spans="1:5" x14ac:dyDescent="0.25">
      <c r="A203" s="30">
        <v>6.0814069427704647</v>
      </c>
      <c r="C203" s="7"/>
      <c r="D203"/>
      <c r="E203"/>
    </row>
    <row r="204" spans="1:5" x14ac:dyDescent="0.25">
      <c r="A204" s="30">
        <v>5.7918161359718709</v>
      </c>
      <c r="E204"/>
    </row>
    <row r="205" spans="1:5" x14ac:dyDescent="0.25">
      <c r="A205" s="30">
        <v>5.5160153675922574</v>
      </c>
      <c r="E205"/>
    </row>
    <row r="206" spans="1:5" x14ac:dyDescent="0.25">
      <c r="A206" s="30">
        <v>5.2533479691354827</v>
      </c>
      <c r="C206"/>
      <c r="D206"/>
      <c r="E206"/>
    </row>
    <row r="207" spans="1:5" x14ac:dyDescent="0.25">
      <c r="A207" s="30">
        <v>5.0031885420337927</v>
      </c>
      <c r="E207"/>
    </row>
    <row r="208" spans="1:5" x14ac:dyDescent="0.25">
      <c r="A208" s="30">
        <v>4.7649414686036122</v>
      </c>
      <c r="E208"/>
    </row>
    <row r="209" spans="1:5" x14ac:dyDescent="0.25">
      <c r="A209" s="30">
        <v>4.5380394939082018</v>
      </c>
      <c r="E209"/>
    </row>
    <row r="210" spans="1:5" x14ac:dyDescent="0.25">
      <c r="A210" s="30">
        <v>4.3219423751506678</v>
      </c>
      <c r="C210"/>
      <c r="E210"/>
    </row>
    <row r="211" spans="1:5" x14ac:dyDescent="0.25">
      <c r="A211" s="30">
        <v>4.1161355953815884</v>
      </c>
      <c r="E211"/>
    </row>
    <row r="212" spans="1:5" x14ac:dyDescent="0.25">
      <c r="A212" s="30">
        <v>3.9201291384586554</v>
      </c>
      <c r="E212"/>
    </row>
    <row r="213" spans="1:5" x14ac:dyDescent="0.25">
      <c r="A213" s="30">
        <v>3.7334563223415764</v>
      </c>
      <c r="E213"/>
    </row>
    <row r="214" spans="1:5" x14ac:dyDescent="0.25">
      <c r="A214" s="30">
        <v>3.5556726879443583</v>
      </c>
      <c r="E214"/>
    </row>
    <row r="215" spans="1:5" x14ac:dyDescent="0.25">
      <c r="A215" s="30">
        <v>3.3863549408993889</v>
      </c>
      <c r="E215"/>
    </row>
    <row r="216" spans="1:5" x14ac:dyDescent="0.25">
      <c r="A216" s="30">
        <v>3.2250999437137038</v>
      </c>
      <c r="E216"/>
    </row>
    <row r="217" spans="1:5" x14ac:dyDescent="0.25">
      <c r="A217" s="30">
        <v>3.0715237559178128</v>
      </c>
      <c r="E217"/>
    </row>
    <row r="218" spans="1:5" x14ac:dyDescent="0.25">
      <c r="A218" s="30">
        <v>2.9252607199217264</v>
      </c>
      <c r="E218"/>
    </row>
    <row r="219" spans="1:5" x14ac:dyDescent="0.25">
      <c r="A219" s="30">
        <v>2.7859625904016441</v>
      </c>
      <c r="E219"/>
    </row>
    <row r="220" spans="1:5" x14ac:dyDescent="0.25">
      <c r="A220" s="30">
        <v>2.6532977051444226</v>
      </c>
      <c r="E220"/>
    </row>
    <row r="221" spans="1:5" x14ac:dyDescent="0.25">
      <c r="A221" s="30">
        <v>2.5269501953756404</v>
      </c>
      <c r="E221"/>
    </row>
    <row r="222" spans="1:5" x14ac:dyDescent="0.25">
      <c r="A222" s="30">
        <v>2.4066192336910861</v>
      </c>
      <c r="E222"/>
    </row>
    <row r="223" spans="1:5" x14ac:dyDescent="0.25">
      <c r="A223" s="30">
        <v>2.2920183178010345</v>
      </c>
      <c r="E223"/>
    </row>
    <row r="224" spans="1:5" x14ac:dyDescent="0.25">
      <c r="A224" s="30">
        <v>2.1828745883819374</v>
      </c>
      <c r="E224"/>
    </row>
    <row r="225" spans="1:14" x14ac:dyDescent="0.25">
      <c r="A225" s="30">
        <v>2.0789281794113688</v>
      </c>
      <c r="E225"/>
    </row>
    <row r="226" spans="1:14" x14ac:dyDescent="0.25">
      <c r="A226" s="30">
        <v>1.9799315994393987</v>
      </c>
      <c r="E226"/>
    </row>
    <row r="227" spans="1:14" x14ac:dyDescent="0.25">
      <c r="A227" s="30">
        <v>1.8856491423232367</v>
      </c>
      <c r="E227"/>
    </row>
    <row r="228" spans="1:14" x14ac:dyDescent="0.25">
      <c r="A228" s="30">
        <v>1.7958563260221301</v>
      </c>
      <c r="C228" s="7"/>
      <c r="D228"/>
      <c r="E228"/>
    </row>
    <row r="229" spans="1:14" x14ac:dyDescent="0.25">
      <c r="A229" s="30">
        <v>1.7103393581163142</v>
      </c>
      <c r="E229"/>
    </row>
    <row r="230" spans="1:14" x14ac:dyDescent="0.25">
      <c r="A230" s="30">
        <v>1.628894626777442</v>
      </c>
      <c r="E230"/>
    </row>
    <row r="231" spans="1:14" x14ac:dyDescent="0.25">
      <c r="A231" s="30">
        <v>1.5513282159785162</v>
      </c>
      <c r="C231"/>
      <c r="D231"/>
      <c r="E231"/>
    </row>
    <row r="232" spans="1:14" x14ac:dyDescent="0.25">
      <c r="A232" s="30">
        <v>1.477455443789063</v>
      </c>
      <c r="E232"/>
    </row>
    <row r="233" spans="1:14" x14ac:dyDescent="0.25">
      <c r="A233" s="30">
        <v>1.4071004226562505</v>
      </c>
      <c r="E233"/>
    </row>
    <row r="234" spans="1:14" x14ac:dyDescent="0.25">
      <c r="A234" s="30">
        <v>1.3400956406250004</v>
      </c>
      <c r="E234"/>
    </row>
    <row r="235" spans="1:14" x14ac:dyDescent="0.25">
      <c r="A235" s="30">
        <v>1.2762815625000004</v>
      </c>
      <c r="C235"/>
      <c r="E235"/>
    </row>
    <row r="236" spans="1:14" x14ac:dyDescent="0.25">
      <c r="A236" s="30">
        <v>1.2155062500000002</v>
      </c>
      <c r="E236"/>
      <c r="M236" s="27" t="s">
        <v>8</v>
      </c>
    </row>
    <row r="237" spans="1:14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M237" s="27" t="s">
        <v>8</v>
      </c>
      <c r="N237" s="27" t="s">
        <v>7</v>
      </c>
    </row>
    <row r="238" spans="1:14" x14ac:dyDescent="0.25">
      <c r="A238" s="30">
        <v>1.1025</v>
      </c>
      <c r="E238"/>
      <c r="M238" s="27" t="s">
        <v>8</v>
      </c>
      <c r="N238" s="27" t="s">
        <v>7</v>
      </c>
    </row>
    <row r="239" spans="1:14" x14ac:dyDescent="0.25">
      <c r="A239" s="30">
        <v>1.05</v>
      </c>
      <c r="E239"/>
      <c r="M239" s="27" t="s">
        <v>8</v>
      </c>
      <c r="N239" s="27" t="s">
        <v>7</v>
      </c>
    </row>
    <row r="240" spans="1:14" x14ac:dyDescent="0.25">
      <c r="A240" s="30">
        <v>1</v>
      </c>
      <c r="E240" s="29" t="s">
        <v>8</v>
      </c>
      <c r="K240" s="27" t="s">
        <v>8</v>
      </c>
      <c r="M240" s="27" t="s">
        <v>8</v>
      </c>
      <c r="N240" s="27" t="s">
        <v>7</v>
      </c>
    </row>
    <row r="241" spans="1:114" x14ac:dyDescent="0.25">
      <c r="A241" s="30">
        <v>0.952380952380952</v>
      </c>
      <c r="B241"/>
      <c r="C241"/>
      <c r="D241"/>
      <c r="E241"/>
      <c r="F241" s="27" t="s">
        <v>7</v>
      </c>
      <c r="K241" s="27" t="s">
        <v>8</v>
      </c>
      <c r="L241" s="27" t="s">
        <v>7</v>
      </c>
      <c r="M241" s="27" t="s">
        <v>8</v>
      </c>
      <c r="N241" s="27" t="s">
        <v>7</v>
      </c>
    </row>
    <row r="242" spans="1:114" x14ac:dyDescent="0.25">
      <c r="A242" s="30">
        <v>0.90702947845804915</v>
      </c>
      <c r="B242"/>
      <c r="C242"/>
      <c r="D242"/>
      <c r="E242"/>
      <c r="F242" s="27" t="s">
        <v>7</v>
      </c>
      <c r="K242" s="27" t="s">
        <v>8</v>
      </c>
      <c r="L242" s="27" t="s">
        <v>7</v>
      </c>
      <c r="M242" s="27" t="s">
        <v>8</v>
      </c>
      <c r="N242" s="27" t="s">
        <v>7</v>
      </c>
      <c r="O242" s="27" t="s">
        <v>8</v>
      </c>
    </row>
    <row r="243" spans="1:114" x14ac:dyDescent="0.25">
      <c r="A243" s="30">
        <v>0.86383759853147501</v>
      </c>
      <c r="B243"/>
      <c r="C243"/>
      <c r="D243"/>
      <c r="E243"/>
      <c r="F243" s="27" t="s">
        <v>7</v>
      </c>
      <c r="K243" s="27" t="s">
        <v>8</v>
      </c>
      <c r="L243" s="27" t="s">
        <v>7</v>
      </c>
      <c r="N243" s="27" t="s">
        <v>7</v>
      </c>
      <c r="O243" s="27" t="s">
        <v>8</v>
      </c>
      <c r="P243" s="27" t="s">
        <v>7</v>
      </c>
      <c r="Q243" s="27" t="s">
        <v>8</v>
      </c>
      <c r="S243" s="27" t="s">
        <v>8</v>
      </c>
      <c r="U243" s="27" t="s">
        <v>8</v>
      </c>
    </row>
    <row r="244" spans="1:114" x14ac:dyDescent="0.25">
      <c r="A244" s="30">
        <v>0.82270247479188063</v>
      </c>
      <c r="B244"/>
      <c r="C244"/>
      <c r="D244"/>
      <c r="E244"/>
      <c r="F244" s="27" t="s">
        <v>7</v>
      </c>
      <c r="K244" s="27" t="s">
        <v>8</v>
      </c>
      <c r="N244" s="27" t="s">
        <v>7</v>
      </c>
      <c r="O244" s="27" t="s">
        <v>8</v>
      </c>
      <c r="P244" s="27" t="s">
        <v>7</v>
      </c>
      <c r="Q244" s="27" t="s">
        <v>8</v>
      </c>
      <c r="R244" s="27" t="s">
        <v>7</v>
      </c>
      <c r="S244" s="27" t="s">
        <v>8</v>
      </c>
      <c r="T244" s="27" t="s">
        <v>7</v>
      </c>
      <c r="U244" s="27" t="s">
        <v>8</v>
      </c>
      <c r="V244" s="27" t="s">
        <v>7</v>
      </c>
    </row>
    <row r="245" spans="1:114" x14ac:dyDescent="0.25">
      <c r="A245" s="30">
        <v>0.78352616646845741</v>
      </c>
      <c r="B245"/>
      <c r="C245"/>
      <c r="D245"/>
      <c r="E245"/>
      <c r="F245" s="27" t="s">
        <v>7</v>
      </c>
      <c r="K245" s="27" t="s">
        <v>8</v>
      </c>
      <c r="N245" s="27" t="s">
        <v>7</v>
      </c>
      <c r="P245" s="27" t="s">
        <v>7</v>
      </c>
      <c r="Q245" s="27" t="s">
        <v>8</v>
      </c>
      <c r="R245" s="27" t="s">
        <v>7</v>
      </c>
      <c r="S245" s="27" t="s">
        <v>8</v>
      </c>
      <c r="T245" s="27" t="s">
        <v>7</v>
      </c>
      <c r="U245" s="27" t="s">
        <v>8</v>
      </c>
      <c r="V245" s="27" t="s">
        <v>7</v>
      </c>
    </row>
    <row r="246" spans="1:114" x14ac:dyDescent="0.25">
      <c r="A246" s="30">
        <v>0.74621539663662584</v>
      </c>
      <c r="B246"/>
      <c r="C246"/>
      <c r="D246"/>
      <c r="E246"/>
      <c r="F246" s="27" t="s">
        <v>7</v>
      </c>
      <c r="K246" s="27" t="s">
        <v>8</v>
      </c>
      <c r="P246" s="27" t="s">
        <v>7</v>
      </c>
      <c r="R246" s="27" t="s">
        <v>7</v>
      </c>
      <c r="S246" s="27" t="s">
        <v>8</v>
      </c>
      <c r="T246" s="27" t="s">
        <v>7</v>
      </c>
      <c r="U246" s="27" t="s">
        <v>8</v>
      </c>
      <c r="V246" s="27" t="s">
        <v>7</v>
      </c>
      <c r="W246" s="27" t="s">
        <v>8</v>
      </c>
    </row>
    <row r="247" spans="1:114" x14ac:dyDescent="0.25">
      <c r="A247" s="30">
        <v>0.71068133013011958</v>
      </c>
      <c r="B247"/>
      <c r="C247"/>
      <c r="D247"/>
      <c r="E247"/>
      <c r="F247" s="27" t="s">
        <v>7</v>
      </c>
      <c r="K247" s="27" t="s">
        <v>8</v>
      </c>
      <c r="R247" s="27" t="s">
        <v>7</v>
      </c>
      <c r="S247" s="27" t="s">
        <v>8</v>
      </c>
      <c r="T247" s="27" t="s">
        <v>7</v>
      </c>
      <c r="U247" s="27" t="s">
        <v>8</v>
      </c>
      <c r="V247" s="27" t="s">
        <v>7</v>
      </c>
      <c r="W247" s="27" t="s">
        <v>8</v>
      </c>
      <c r="X247" s="27" t="s">
        <v>7</v>
      </c>
    </row>
    <row r="248" spans="1:114" x14ac:dyDescent="0.25">
      <c r="A248" s="30">
        <v>0.676839362028685</v>
      </c>
      <c r="B248"/>
      <c r="C248"/>
      <c r="D248"/>
      <c r="E248"/>
      <c r="F248" s="27" t="s">
        <v>7</v>
      </c>
      <c r="K248" s="27" t="s">
        <v>8</v>
      </c>
      <c r="R248" s="27" t="s">
        <v>7</v>
      </c>
      <c r="T248" s="27" t="s">
        <v>7</v>
      </c>
      <c r="U248" s="27" t="s">
        <v>8</v>
      </c>
      <c r="V248" s="27" t="s">
        <v>7</v>
      </c>
      <c r="W248" s="27" t="s">
        <v>8</v>
      </c>
      <c r="X248" s="27" t="s">
        <v>7</v>
      </c>
      <c r="Y248" s="27" t="s">
        <v>8</v>
      </c>
      <c r="AA248" s="27" t="s">
        <v>8</v>
      </c>
      <c r="AG248" s="27" t="s">
        <v>8</v>
      </c>
    </row>
    <row r="249" spans="1:114" x14ac:dyDescent="0.25">
      <c r="A249" s="30">
        <v>0.64460891621779492</v>
      </c>
      <c r="B249"/>
      <c r="C249"/>
      <c r="D249"/>
      <c r="E249"/>
      <c r="F249" s="27" t="s">
        <v>7</v>
      </c>
      <c r="I249" s="27" t="s">
        <v>8</v>
      </c>
      <c r="K249" s="27" t="s">
        <v>8</v>
      </c>
      <c r="T249" s="27" t="s">
        <v>7</v>
      </c>
      <c r="V249" s="27" t="s">
        <v>7</v>
      </c>
      <c r="X249" s="27" t="s">
        <v>7</v>
      </c>
      <c r="Y249" s="27" t="s">
        <v>8</v>
      </c>
      <c r="Z249" s="27" t="s">
        <v>7</v>
      </c>
      <c r="AA249" s="27" t="s">
        <v>8</v>
      </c>
      <c r="AB249" s="27" t="s">
        <v>7</v>
      </c>
      <c r="AG249" s="27" t="s">
        <v>8</v>
      </c>
      <c r="AH249" s="27" t="s">
        <v>7</v>
      </c>
    </row>
    <row r="250" spans="1:114" x14ac:dyDescent="0.25">
      <c r="A250" s="30">
        <v>0.61391325354075688</v>
      </c>
      <c r="B250"/>
      <c r="C250"/>
      <c r="D250"/>
      <c r="E250"/>
      <c r="F250" s="27" t="s">
        <v>7</v>
      </c>
      <c r="I250" s="27" t="s">
        <v>8</v>
      </c>
      <c r="J250" s="27" t="s">
        <v>7</v>
      </c>
      <c r="K250" s="27" t="s">
        <v>8</v>
      </c>
      <c r="X250" s="27" t="s">
        <v>7</v>
      </c>
      <c r="Y250" s="27" t="s">
        <v>8</v>
      </c>
      <c r="Z250" s="27" t="s">
        <v>7</v>
      </c>
      <c r="AA250" s="27" t="s">
        <v>8</v>
      </c>
      <c r="AB250" s="27" t="s">
        <v>7</v>
      </c>
      <c r="AG250" s="27" t="s">
        <v>8</v>
      </c>
      <c r="AH250" s="27" t="s">
        <v>7</v>
      </c>
      <c r="AI250" s="27" t="s">
        <v>8</v>
      </c>
    </row>
    <row r="251" spans="1:114" x14ac:dyDescent="0.25">
      <c r="A251" s="30">
        <v>0.58467928908643485</v>
      </c>
      <c r="B251"/>
      <c r="C251"/>
      <c r="D251"/>
      <c r="E251"/>
      <c r="F251" s="27" t="s">
        <v>7</v>
      </c>
      <c r="I251" s="27" t="s">
        <v>8</v>
      </c>
      <c r="J251" s="27" t="s">
        <v>7</v>
      </c>
      <c r="K251" s="27" t="s">
        <v>8</v>
      </c>
      <c r="X251" s="27" t="s">
        <v>7</v>
      </c>
      <c r="Y251" s="27" t="s">
        <v>8</v>
      </c>
      <c r="Z251" s="27" t="s">
        <v>7</v>
      </c>
      <c r="AB251" s="27" t="s">
        <v>7</v>
      </c>
      <c r="AE251" s="27" t="s">
        <v>8</v>
      </c>
      <c r="AG251" s="27" t="s">
        <v>8</v>
      </c>
      <c r="AH251" s="27" t="s">
        <v>7</v>
      </c>
      <c r="AI251" s="27" t="s">
        <v>8</v>
      </c>
      <c r="AJ251" s="27" t="s">
        <v>7</v>
      </c>
    </row>
    <row r="252" spans="1:114" x14ac:dyDescent="0.25">
      <c r="A252" s="30">
        <v>0.55683741817755672</v>
      </c>
      <c r="B252"/>
      <c r="C252"/>
      <c r="D252"/>
      <c r="E252"/>
      <c r="F252" s="27" t="s">
        <v>7</v>
      </c>
      <c r="I252" s="27" t="s">
        <v>8</v>
      </c>
      <c r="J252" s="27" t="s">
        <v>7</v>
      </c>
      <c r="K252" s="27" t="s">
        <v>8</v>
      </c>
      <c r="X252" s="27" t="s">
        <v>7</v>
      </c>
      <c r="AB252" s="27" t="s">
        <v>7</v>
      </c>
      <c r="AE252" s="27" t="s">
        <v>8</v>
      </c>
      <c r="AF252" s="27" t="s">
        <v>7</v>
      </c>
      <c r="AG252" s="27" t="s">
        <v>8</v>
      </c>
      <c r="AH252" s="27" t="s">
        <v>7</v>
      </c>
      <c r="AI252" s="27" t="s">
        <v>8</v>
      </c>
      <c r="AJ252" s="27" t="s">
        <v>7</v>
      </c>
    </row>
    <row r="253" spans="1:114" x14ac:dyDescent="0.25">
      <c r="A253" s="30">
        <v>0.53032135064529184</v>
      </c>
      <c r="B253"/>
      <c r="C253"/>
      <c r="D253"/>
      <c r="E253"/>
      <c r="F253" s="27" t="s">
        <v>7</v>
      </c>
      <c r="I253" s="27" t="s">
        <v>8</v>
      </c>
      <c r="J253" s="27" t="s">
        <v>7</v>
      </c>
      <c r="K253" s="27" t="s">
        <v>8</v>
      </c>
      <c r="AB253" s="27" t="s">
        <v>7</v>
      </c>
      <c r="AE253" s="27" t="s">
        <v>8</v>
      </c>
      <c r="AF253" s="27" t="s">
        <v>7</v>
      </c>
      <c r="AG253" s="27" t="s">
        <v>8</v>
      </c>
      <c r="AH253" s="27" t="s">
        <v>7</v>
      </c>
      <c r="AI253" s="27" t="s">
        <v>8</v>
      </c>
      <c r="AJ253" s="27" t="s">
        <v>7</v>
      </c>
      <c r="BQ253" s="27" t="s">
        <v>8</v>
      </c>
      <c r="DG253" s="27" t="s">
        <v>8</v>
      </c>
    </row>
    <row r="254" spans="1:114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I254" s="27" t="s">
        <v>8</v>
      </c>
      <c r="J254" s="27" t="s">
        <v>7</v>
      </c>
      <c r="K254" s="27" t="s">
        <v>8</v>
      </c>
      <c r="AB254" s="27" t="s">
        <v>7</v>
      </c>
      <c r="AE254" s="27" t="s">
        <v>8</v>
      </c>
      <c r="AF254" s="27" t="s">
        <v>7</v>
      </c>
      <c r="AG254" s="27" t="s">
        <v>8</v>
      </c>
      <c r="AH254" s="27" t="s">
        <v>7</v>
      </c>
      <c r="AI254" s="27" t="s">
        <v>8</v>
      </c>
      <c r="AJ254" s="27" t="s">
        <v>7</v>
      </c>
      <c r="BQ254" s="27" t="s">
        <v>8</v>
      </c>
      <c r="BR254" s="27" t="s">
        <v>7</v>
      </c>
      <c r="DG254" s="27" t="s">
        <v>8</v>
      </c>
      <c r="DH254" s="27" t="s">
        <v>7</v>
      </c>
    </row>
    <row r="255" spans="1:114" x14ac:dyDescent="0.25">
      <c r="A255" s="30">
        <v>0.48101709809096732</v>
      </c>
      <c r="E255"/>
      <c r="F255" s="27" t="s">
        <v>7</v>
      </c>
      <c r="G255" s="27" t="s">
        <v>8</v>
      </c>
      <c r="H255" s="27" t="s">
        <v>7</v>
      </c>
      <c r="I255" s="27" t="s">
        <v>8</v>
      </c>
      <c r="J255" s="27" t="s">
        <v>7</v>
      </c>
      <c r="AB255" s="27" t="s">
        <v>7</v>
      </c>
      <c r="AE255" s="27" t="s">
        <v>8</v>
      </c>
      <c r="AF255" s="27" t="s">
        <v>7</v>
      </c>
      <c r="AH255" s="27" t="s">
        <v>7</v>
      </c>
      <c r="AJ255" s="27" t="s">
        <v>7</v>
      </c>
      <c r="BQ255" s="27" t="s">
        <v>8</v>
      </c>
      <c r="BR255" s="27" t="s">
        <v>7</v>
      </c>
      <c r="DG255" s="27" t="s">
        <v>8</v>
      </c>
      <c r="DH255" s="27" t="s">
        <v>7</v>
      </c>
      <c r="DI255" s="27" t="s">
        <v>8</v>
      </c>
    </row>
    <row r="256" spans="1:114" x14ac:dyDescent="0.25">
      <c r="A256" s="30">
        <v>0.45811152199139726</v>
      </c>
      <c r="E256"/>
      <c r="F256" s="27" t="s">
        <v>7</v>
      </c>
      <c r="G256" s="27" t="s">
        <v>8</v>
      </c>
      <c r="H256" s="27" t="s">
        <v>7</v>
      </c>
      <c r="I256" s="27" t="s">
        <v>8</v>
      </c>
      <c r="AB256" s="27" t="s">
        <v>7</v>
      </c>
      <c r="AE256" s="27" t="s">
        <v>8</v>
      </c>
      <c r="AJ256" s="27" t="s">
        <v>7</v>
      </c>
      <c r="BQ256" s="27" t="s">
        <v>8</v>
      </c>
      <c r="BR256" s="27" t="s">
        <v>7</v>
      </c>
      <c r="DA256" s="27" t="s">
        <v>8</v>
      </c>
      <c r="DG256" s="27" t="s">
        <v>8</v>
      </c>
      <c r="DH256" s="27" t="s">
        <v>7</v>
      </c>
      <c r="DI256" s="27" t="s">
        <v>8</v>
      </c>
      <c r="DJ256" s="27" t="s">
        <v>7</v>
      </c>
    </row>
    <row r="257" spans="1:120" x14ac:dyDescent="0.25">
      <c r="A257" s="30">
        <v>0.43629668761085438</v>
      </c>
      <c r="B257"/>
      <c r="C257"/>
      <c r="D257"/>
      <c r="E257"/>
      <c r="F257" s="27" t="s">
        <v>7</v>
      </c>
      <c r="G257" s="27" t="s">
        <v>8</v>
      </c>
      <c r="H257" s="27" t="s">
        <v>7</v>
      </c>
      <c r="I257" s="27" t="s">
        <v>8</v>
      </c>
      <c r="AB257" s="27" t="s">
        <v>7</v>
      </c>
      <c r="AC257" s="27" t="s">
        <v>8</v>
      </c>
      <c r="AE257" s="27" t="s">
        <v>8</v>
      </c>
      <c r="AJ257" s="27" t="s">
        <v>7</v>
      </c>
      <c r="AK257" s="27" t="s">
        <v>8</v>
      </c>
      <c r="BQ257" s="27" t="s">
        <v>8</v>
      </c>
      <c r="BR257" s="27" t="s">
        <v>7</v>
      </c>
      <c r="DA257" s="27" t="s">
        <v>8</v>
      </c>
      <c r="DB257" s="27" t="s">
        <v>7</v>
      </c>
      <c r="DE257" s="27" t="s">
        <v>8</v>
      </c>
      <c r="DG257" s="27" t="s">
        <v>8</v>
      </c>
      <c r="DH257" s="27" t="s">
        <v>7</v>
      </c>
      <c r="DI257" s="27" t="s">
        <v>8</v>
      </c>
      <c r="DJ257" s="27" t="s">
        <v>7</v>
      </c>
    </row>
    <row r="258" spans="1:120" x14ac:dyDescent="0.25">
      <c r="A258" s="30">
        <v>0.41552065486748019</v>
      </c>
      <c r="B258"/>
      <c r="C258"/>
      <c r="D258"/>
      <c r="E258"/>
      <c r="F258" s="27" t="s">
        <v>7</v>
      </c>
      <c r="G258" s="27" t="s">
        <v>8</v>
      </c>
      <c r="H258" s="27" t="s">
        <v>7</v>
      </c>
      <c r="AB258" s="27" t="s">
        <v>7</v>
      </c>
      <c r="AC258" s="27" t="s">
        <v>8</v>
      </c>
      <c r="AD258" s="27" t="s">
        <v>7</v>
      </c>
      <c r="AE258" s="27" t="s">
        <v>8</v>
      </c>
      <c r="AJ258" s="27" t="s">
        <v>7</v>
      </c>
      <c r="AK258" s="27" t="s">
        <v>8</v>
      </c>
      <c r="AL258" s="27" t="s">
        <v>7</v>
      </c>
      <c r="BQ258" s="27" t="s">
        <v>8</v>
      </c>
      <c r="BR258" s="27" t="s">
        <v>7</v>
      </c>
      <c r="CC258" s="27" t="s">
        <v>8</v>
      </c>
      <c r="DA258" s="27" t="s">
        <v>8</v>
      </c>
      <c r="DB258" s="27" t="s">
        <v>7</v>
      </c>
      <c r="DE258" s="27" t="s">
        <v>8</v>
      </c>
      <c r="DF258" s="27" t="s">
        <v>7</v>
      </c>
      <c r="DG258" s="27" t="s">
        <v>8</v>
      </c>
      <c r="DH258" s="27" t="s">
        <v>7</v>
      </c>
      <c r="DI258" s="27" t="s">
        <v>8</v>
      </c>
      <c r="DJ258" s="27" t="s">
        <v>7</v>
      </c>
    </row>
    <row r="259" spans="1:120" x14ac:dyDescent="0.25">
      <c r="A259" s="30">
        <v>0.39573395701664765</v>
      </c>
      <c r="B259"/>
      <c r="C259"/>
      <c r="D259"/>
      <c r="E259"/>
      <c r="F259" s="27" t="s">
        <v>7</v>
      </c>
      <c r="G259" s="27" t="s">
        <v>8</v>
      </c>
      <c r="AB259" s="27" t="s">
        <v>7</v>
      </c>
      <c r="AC259" s="27" t="s">
        <v>8</v>
      </c>
      <c r="AD259" s="27" t="s">
        <v>7</v>
      </c>
      <c r="AE259" s="27" t="s">
        <v>8</v>
      </c>
      <c r="AJ259" s="27" t="s">
        <v>7</v>
      </c>
      <c r="AK259" s="27" t="s">
        <v>8</v>
      </c>
      <c r="AL259" s="27" t="s">
        <v>7</v>
      </c>
      <c r="BQ259" s="27" t="s">
        <v>8</v>
      </c>
      <c r="BR259" s="27" t="s">
        <v>7</v>
      </c>
      <c r="CC259" s="27" t="s">
        <v>8</v>
      </c>
      <c r="CD259" s="27" t="s">
        <v>7</v>
      </c>
      <c r="DA259" s="27" t="s">
        <v>8</v>
      </c>
      <c r="DB259" s="27" t="s">
        <v>7</v>
      </c>
      <c r="DC259" s="27" t="s">
        <v>8</v>
      </c>
      <c r="DE259" s="27" t="s">
        <v>8</v>
      </c>
      <c r="DF259" s="27" t="s">
        <v>7</v>
      </c>
      <c r="DG259" s="27" t="s">
        <v>8</v>
      </c>
      <c r="DH259" s="27" t="s">
        <v>7</v>
      </c>
      <c r="DJ259" s="27" t="s">
        <v>7</v>
      </c>
    </row>
    <row r="260" spans="1:120" x14ac:dyDescent="0.25">
      <c r="A260" s="30">
        <v>0.37688948287299762</v>
      </c>
      <c r="B260"/>
      <c r="C260"/>
      <c r="D260"/>
      <c r="E260"/>
      <c r="F260" s="27" t="s">
        <v>7</v>
      </c>
      <c r="G260" s="27" t="s">
        <v>8</v>
      </c>
      <c r="AB260" s="27" t="s">
        <v>7</v>
      </c>
      <c r="AC260" s="27" t="s">
        <v>8</v>
      </c>
      <c r="AD260" s="27" t="s">
        <v>7</v>
      </c>
      <c r="AE260" s="27" t="s">
        <v>8</v>
      </c>
      <c r="AJ260" s="27" t="s">
        <v>7</v>
      </c>
      <c r="AK260" s="27" t="s">
        <v>8</v>
      </c>
      <c r="AL260" s="27" t="s">
        <v>7</v>
      </c>
      <c r="BQ260" s="27" t="s">
        <v>8</v>
      </c>
      <c r="BR260" s="27" t="s">
        <v>7</v>
      </c>
      <c r="BW260" s="27" t="s">
        <v>8</v>
      </c>
      <c r="CC260" s="27" t="s">
        <v>8</v>
      </c>
      <c r="CD260" s="27" t="s">
        <v>7</v>
      </c>
      <c r="CY260" s="27" t="s">
        <v>8</v>
      </c>
      <c r="DA260" s="27" t="s">
        <v>8</v>
      </c>
      <c r="DB260" s="27" t="s">
        <v>7</v>
      </c>
      <c r="DC260" s="27" t="s">
        <v>8</v>
      </c>
      <c r="DD260" s="27" t="s">
        <v>7</v>
      </c>
      <c r="DE260" s="27" t="s">
        <v>8</v>
      </c>
      <c r="DF260" s="27" t="s">
        <v>7</v>
      </c>
      <c r="DG260" s="27" t="s">
        <v>8</v>
      </c>
      <c r="DJ260" s="27" t="s">
        <v>7</v>
      </c>
    </row>
    <row r="261" spans="1:120" x14ac:dyDescent="0.25">
      <c r="A261" s="30">
        <v>0.35894236464094997</v>
      </c>
      <c r="B261"/>
      <c r="C261"/>
      <c r="D261"/>
      <c r="E261"/>
      <c r="F261" s="27" t="s">
        <v>7</v>
      </c>
      <c r="G261" s="27" t="s">
        <v>8</v>
      </c>
      <c r="AB261" s="27" t="s">
        <v>7</v>
      </c>
      <c r="AD261" s="27" t="s">
        <v>7</v>
      </c>
      <c r="AE261" s="27" t="s">
        <v>8</v>
      </c>
      <c r="AJ261" s="27" t="s">
        <v>7</v>
      </c>
      <c r="AK261" s="27" t="s">
        <v>8</v>
      </c>
      <c r="AL261" s="27" t="s">
        <v>7</v>
      </c>
      <c r="BQ261" s="27" t="s">
        <v>8</v>
      </c>
      <c r="BR261" s="27" t="s">
        <v>7</v>
      </c>
      <c r="BW261" s="27" t="s">
        <v>8</v>
      </c>
      <c r="BX261" s="27" t="s">
        <v>7</v>
      </c>
      <c r="CA261" s="27" t="s">
        <v>8</v>
      </c>
      <c r="CC261" s="27" t="s">
        <v>8</v>
      </c>
      <c r="CD261" s="27" t="s">
        <v>7</v>
      </c>
      <c r="CY261" s="27" t="s">
        <v>8</v>
      </c>
      <c r="CZ261" s="27" t="s">
        <v>7</v>
      </c>
      <c r="DA261" s="27" t="s">
        <v>8</v>
      </c>
      <c r="DB261" s="27" t="s">
        <v>7</v>
      </c>
      <c r="DC261" s="27" t="s">
        <v>8</v>
      </c>
      <c r="DD261" s="27" t="s">
        <v>7</v>
      </c>
      <c r="DE261" s="27" t="s">
        <v>8</v>
      </c>
      <c r="DF261" s="27" t="s">
        <v>7</v>
      </c>
      <c r="DG261" s="27" t="s">
        <v>8</v>
      </c>
      <c r="DJ261" s="27" t="s">
        <v>7</v>
      </c>
    </row>
    <row r="262" spans="1:120" x14ac:dyDescent="0.25">
      <c r="A262" s="30">
        <v>0.34184987108661891</v>
      </c>
      <c r="B262"/>
      <c r="C262"/>
      <c r="D262"/>
      <c r="E262"/>
      <c r="F262" s="27" t="s">
        <v>7</v>
      </c>
      <c r="AD262" s="27" t="s">
        <v>7</v>
      </c>
      <c r="AE262" s="27" t="s">
        <v>8</v>
      </c>
      <c r="AJ262" s="27" t="s">
        <v>7</v>
      </c>
      <c r="AL262" s="27" t="s">
        <v>7</v>
      </c>
      <c r="BQ262" s="27" t="s">
        <v>8</v>
      </c>
      <c r="BR262" s="27" t="s">
        <v>7</v>
      </c>
      <c r="BU262" s="27" t="s">
        <v>8</v>
      </c>
      <c r="BW262" s="27" t="s">
        <v>8</v>
      </c>
      <c r="BX262" s="27" t="s">
        <v>7</v>
      </c>
      <c r="BY262" s="27" t="s">
        <v>8</v>
      </c>
      <c r="CA262" s="27" t="s">
        <v>8</v>
      </c>
      <c r="CB262" s="27" t="s">
        <v>7</v>
      </c>
      <c r="CC262" s="27" t="s">
        <v>8</v>
      </c>
      <c r="CD262" s="27" t="s">
        <v>7</v>
      </c>
      <c r="CY262" s="27" t="s">
        <v>8</v>
      </c>
      <c r="CZ262" s="27" t="s">
        <v>7</v>
      </c>
      <c r="DA262" s="27" t="s">
        <v>8</v>
      </c>
      <c r="DB262" s="27" t="s">
        <v>7</v>
      </c>
      <c r="DC262" s="27" t="s">
        <v>8</v>
      </c>
      <c r="DD262" s="27" t="s">
        <v>7</v>
      </c>
      <c r="DE262" s="27" t="s">
        <v>8</v>
      </c>
      <c r="DF262" s="27" t="s">
        <v>7</v>
      </c>
      <c r="DJ262" s="27" t="s">
        <v>7</v>
      </c>
    </row>
    <row r="263" spans="1:120" x14ac:dyDescent="0.25">
      <c r="A263" s="30">
        <v>0.32557130579677979</v>
      </c>
      <c r="B263"/>
      <c r="C263"/>
      <c r="D263"/>
      <c r="E263"/>
      <c r="AD263" s="27" t="s">
        <v>7</v>
      </c>
      <c r="AE263" s="27" t="s">
        <v>8</v>
      </c>
      <c r="AL263" s="27" t="s">
        <v>7</v>
      </c>
      <c r="BQ263" s="27" t="s">
        <v>8</v>
      </c>
      <c r="BR263" s="27" t="s">
        <v>7</v>
      </c>
      <c r="BS263" s="27" t="s">
        <v>8</v>
      </c>
      <c r="BU263" s="27" t="s">
        <v>8</v>
      </c>
      <c r="BV263" s="27" t="s">
        <v>7</v>
      </c>
      <c r="BW263" s="27" t="s">
        <v>8</v>
      </c>
      <c r="BX263" s="27" t="s">
        <v>7</v>
      </c>
      <c r="BY263" s="27" t="s">
        <v>8</v>
      </c>
      <c r="BZ263" s="27" t="s">
        <v>7</v>
      </c>
      <c r="CA263" s="27" t="s">
        <v>8</v>
      </c>
      <c r="CB263" s="27" t="s">
        <v>7</v>
      </c>
      <c r="CC263" s="27" t="s">
        <v>8</v>
      </c>
      <c r="CD263" s="27" t="s">
        <v>7</v>
      </c>
      <c r="CY263" s="27" t="s">
        <v>8</v>
      </c>
      <c r="CZ263" s="27" t="s">
        <v>7</v>
      </c>
      <c r="DA263" s="27" t="s">
        <v>8</v>
      </c>
      <c r="DB263" s="27" t="s">
        <v>7</v>
      </c>
      <c r="DC263" s="27" t="s">
        <v>8</v>
      </c>
      <c r="DD263" s="27" t="s">
        <v>7</v>
      </c>
      <c r="DE263" s="27" t="s">
        <v>8</v>
      </c>
      <c r="DJ263" s="27" t="s">
        <v>7</v>
      </c>
    </row>
    <row r="264" spans="1:120" x14ac:dyDescent="0.25">
      <c r="A264" s="30">
        <v>0.3100679102826473</v>
      </c>
      <c r="B264"/>
      <c r="C264"/>
      <c r="D264"/>
      <c r="E264"/>
      <c r="AD264" s="27" t="s">
        <v>7</v>
      </c>
      <c r="AE264" s="27" t="s">
        <v>8</v>
      </c>
      <c r="AL264" s="27" t="s">
        <v>7</v>
      </c>
      <c r="BQ264" s="27" t="s">
        <v>8</v>
      </c>
      <c r="BR264" s="27" t="s">
        <v>7</v>
      </c>
      <c r="BS264" s="27" t="s">
        <v>8</v>
      </c>
      <c r="BT264" s="27" t="s">
        <v>7</v>
      </c>
      <c r="BU264" s="27" t="s">
        <v>8</v>
      </c>
      <c r="BV264" s="27" t="s">
        <v>7</v>
      </c>
      <c r="BW264" s="27" t="s">
        <v>8</v>
      </c>
      <c r="BX264" s="27" t="s">
        <v>7</v>
      </c>
      <c r="BY264" s="27" t="s">
        <v>8</v>
      </c>
      <c r="BZ264" s="27" t="s">
        <v>7</v>
      </c>
      <c r="CA264" s="27" t="s">
        <v>8</v>
      </c>
      <c r="CB264" s="27" t="s">
        <v>7</v>
      </c>
      <c r="CD264" s="27" t="s">
        <v>7</v>
      </c>
      <c r="CU264" s="27" t="s">
        <v>8</v>
      </c>
      <c r="CW264" s="27" t="s">
        <v>8</v>
      </c>
      <c r="CY264" s="27" t="s">
        <v>8</v>
      </c>
      <c r="CZ264" s="27" t="s">
        <v>7</v>
      </c>
      <c r="DA264" s="27" t="s">
        <v>8</v>
      </c>
      <c r="DB264" s="27" t="s">
        <v>7</v>
      </c>
      <c r="DD264" s="27" t="s">
        <v>7</v>
      </c>
      <c r="DJ264" s="27" t="s">
        <v>7</v>
      </c>
    </row>
    <row r="265" spans="1:120" x14ac:dyDescent="0.25">
      <c r="A265" s="30">
        <v>0.2953027716977592</v>
      </c>
      <c r="B265"/>
      <c r="C265"/>
      <c r="D265"/>
      <c r="E265"/>
      <c r="AD265" s="27" t="s">
        <v>7</v>
      </c>
      <c r="AE265" s="27" t="s">
        <v>8</v>
      </c>
      <c r="AL265" s="27" t="s">
        <v>7</v>
      </c>
      <c r="AQ265" s="27" t="s">
        <v>8</v>
      </c>
      <c r="BM265" s="27" t="s">
        <v>8</v>
      </c>
      <c r="BQ265" s="27" t="s">
        <v>8</v>
      </c>
      <c r="BR265" s="27" t="s">
        <v>7</v>
      </c>
      <c r="BS265" s="27" t="s">
        <v>8</v>
      </c>
      <c r="BT265" s="27" t="s">
        <v>7</v>
      </c>
      <c r="BU265" s="27" t="s">
        <v>8</v>
      </c>
      <c r="BV265" s="27" t="s">
        <v>7</v>
      </c>
      <c r="BW265" s="27" t="s">
        <v>8</v>
      </c>
      <c r="BX265" s="27" t="s">
        <v>7</v>
      </c>
      <c r="BZ265" s="27" t="s">
        <v>7</v>
      </c>
      <c r="CA265" s="27" t="s">
        <v>8</v>
      </c>
      <c r="CD265" s="27" t="s">
        <v>7</v>
      </c>
      <c r="CS265" s="27" t="s">
        <v>8</v>
      </c>
      <c r="CU265" s="27" t="s">
        <v>8</v>
      </c>
      <c r="CV265" s="27" t="s">
        <v>7</v>
      </c>
      <c r="CW265" s="27" t="s">
        <v>8</v>
      </c>
      <c r="CX265" s="27" t="s">
        <v>7</v>
      </c>
      <c r="CY265" s="27" t="s">
        <v>8</v>
      </c>
      <c r="CZ265" s="27" t="s">
        <v>7</v>
      </c>
      <c r="DJ265" s="27" t="s">
        <v>7</v>
      </c>
      <c r="DK265" s="27" t="s">
        <v>8</v>
      </c>
    </row>
    <row r="266" spans="1:120" x14ac:dyDescent="0.25">
      <c r="A266" s="30">
        <v>0.28124073495024676</v>
      </c>
      <c r="B266"/>
      <c r="C266"/>
      <c r="D266"/>
      <c r="E266"/>
      <c r="AD266" s="27" t="s">
        <v>7</v>
      </c>
      <c r="AL266" s="27" t="s">
        <v>7</v>
      </c>
      <c r="AQ266" s="27" t="s">
        <v>8</v>
      </c>
      <c r="AR266" s="27" t="s">
        <v>7</v>
      </c>
      <c r="BM266" s="27" t="s">
        <v>8</v>
      </c>
      <c r="BN266" s="27" t="s">
        <v>7</v>
      </c>
      <c r="BQ266" s="27" t="s">
        <v>8</v>
      </c>
      <c r="BR266" s="27" t="s">
        <v>7</v>
      </c>
      <c r="BT266" s="27" t="s">
        <v>7</v>
      </c>
      <c r="BU266" s="27" t="s">
        <v>8</v>
      </c>
      <c r="BV266" s="27" t="s">
        <v>7</v>
      </c>
      <c r="BW266" s="27" t="s">
        <v>8</v>
      </c>
      <c r="BZ266" s="27" t="s">
        <v>7</v>
      </c>
      <c r="CD266" s="27" t="s">
        <v>7</v>
      </c>
      <c r="CS266" s="27" t="s">
        <v>8</v>
      </c>
      <c r="CT266" s="27" t="s">
        <v>7</v>
      </c>
      <c r="CU266" s="27" t="s">
        <v>8</v>
      </c>
      <c r="CV266" s="27" t="s">
        <v>7</v>
      </c>
      <c r="CW266" s="27" t="s">
        <v>8</v>
      </c>
      <c r="CX266" s="27" t="s">
        <v>7</v>
      </c>
      <c r="CY266" s="27" t="s">
        <v>8</v>
      </c>
      <c r="DJ266" s="27" t="s">
        <v>7</v>
      </c>
      <c r="DK266" s="27" t="s">
        <v>8</v>
      </c>
      <c r="DL266" s="27" t="s">
        <v>7</v>
      </c>
    </row>
    <row r="267" spans="1:120" x14ac:dyDescent="0.25">
      <c r="A267" s="30">
        <v>0.26784831900023492</v>
      </c>
      <c r="B267"/>
      <c r="C267"/>
      <c r="D267"/>
      <c r="E267"/>
      <c r="AL267" s="27" t="s">
        <v>7</v>
      </c>
      <c r="AM267" s="27" t="s">
        <v>8</v>
      </c>
      <c r="AQ267" s="27" t="s">
        <v>8</v>
      </c>
      <c r="AR267" s="27" t="s">
        <v>7</v>
      </c>
      <c r="BM267" s="27" t="s">
        <v>8</v>
      </c>
      <c r="BN267" s="27" t="s">
        <v>7</v>
      </c>
      <c r="BQ267" s="27" t="s">
        <v>8</v>
      </c>
      <c r="BT267" s="27" t="s">
        <v>7</v>
      </c>
      <c r="BV267" s="27" t="s">
        <v>7</v>
      </c>
      <c r="BW267" s="27" t="s">
        <v>8</v>
      </c>
      <c r="CD267" s="27" t="s">
        <v>7</v>
      </c>
      <c r="CE267" s="27" t="s">
        <v>8</v>
      </c>
      <c r="CG267" s="27" t="s">
        <v>8</v>
      </c>
      <c r="CI267" s="27" t="s">
        <v>8</v>
      </c>
      <c r="CS267" s="27" t="s">
        <v>8</v>
      </c>
      <c r="CT267" s="27" t="s">
        <v>7</v>
      </c>
      <c r="CU267" s="27" t="s">
        <v>8</v>
      </c>
      <c r="CV267" s="27" t="s">
        <v>7</v>
      </c>
      <c r="CW267" s="27" t="s">
        <v>8</v>
      </c>
      <c r="CX267" s="27" t="s">
        <v>7</v>
      </c>
      <c r="CY267" s="27" t="s">
        <v>8</v>
      </c>
      <c r="DJ267" s="27" t="s">
        <v>7</v>
      </c>
      <c r="DK267" s="27" t="s">
        <v>8</v>
      </c>
      <c r="DL267" s="27" t="s">
        <v>7</v>
      </c>
      <c r="DM267" s="27" t="s">
        <v>8</v>
      </c>
    </row>
    <row r="268" spans="1:120" x14ac:dyDescent="0.25">
      <c r="A268" s="30">
        <v>0.25509363714308075</v>
      </c>
      <c r="B268"/>
      <c r="C268"/>
      <c r="D268"/>
      <c r="E268"/>
      <c r="AL268" s="27" t="s">
        <v>7</v>
      </c>
      <c r="AM268" s="27" t="s">
        <v>8</v>
      </c>
      <c r="AN268" s="27" t="s">
        <v>7</v>
      </c>
      <c r="AQ268" s="27" t="s">
        <v>8</v>
      </c>
      <c r="AR268" s="27" t="s">
        <v>7</v>
      </c>
      <c r="BI268" s="27" t="s">
        <v>8</v>
      </c>
      <c r="BM268" s="27" t="s">
        <v>8</v>
      </c>
      <c r="BN268" s="27" t="s">
        <v>7</v>
      </c>
      <c r="BO268" s="27" t="s">
        <v>8</v>
      </c>
      <c r="BQ268" s="27" t="s">
        <v>8</v>
      </c>
      <c r="BV268" s="27" t="s">
        <v>7</v>
      </c>
      <c r="CD268" s="27" t="s">
        <v>7</v>
      </c>
      <c r="CE268" s="27" t="s">
        <v>8</v>
      </c>
      <c r="CF268" s="27" t="s">
        <v>7</v>
      </c>
      <c r="CG268" s="27" t="s">
        <v>8</v>
      </c>
      <c r="CH268" s="27" t="s">
        <v>7</v>
      </c>
      <c r="CI268" s="27" t="s">
        <v>8</v>
      </c>
      <c r="CJ268" s="27" t="s">
        <v>7</v>
      </c>
      <c r="CS268" s="27" t="s">
        <v>8</v>
      </c>
      <c r="CT268" s="27" t="s">
        <v>7</v>
      </c>
      <c r="CU268" s="27" t="s">
        <v>8</v>
      </c>
      <c r="CV268" s="27" t="s">
        <v>7</v>
      </c>
      <c r="CW268" s="27" t="s">
        <v>8</v>
      </c>
      <c r="CX268" s="27" t="s">
        <v>7</v>
      </c>
      <c r="DJ268" s="27" t="s">
        <v>7</v>
      </c>
      <c r="DK268" s="27" t="s">
        <v>8</v>
      </c>
      <c r="DL268" s="27" t="s">
        <v>7</v>
      </c>
      <c r="DM268" s="27" t="s">
        <v>8</v>
      </c>
      <c r="DN268" s="27" t="s">
        <v>7</v>
      </c>
    </row>
    <row r="269" spans="1:120" x14ac:dyDescent="0.25">
      <c r="A269" s="30">
        <v>0.24294632108864825</v>
      </c>
      <c r="B269"/>
      <c r="C269"/>
      <c r="D269"/>
      <c r="E269"/>
      <c r="AL269" s="27" t="s">
        <v>7</v>
      </c>
      <c r="AM269" s="27" t="s">
        <v>8</v>
      </c>
      <c r="AN269" s="27" t="s">
        <v>7</v>
      </c>
      <c r="AQ269" s="27" t="s">
        <v>8</v>
      </c>
      <c r="AR269" s="27" t="s">
        <v>7</v>
      </c>
      <c r="BI269" s="27" t="s">
        <v>8</v>
      </c>
      <c r="BJ269" s="27" t="s">
        <v>7</v>
      </c>
      <c r="BM269" s="27" t="s">
        <v>8</v>
      </c>
      <c r="BN269" s="27" t="s">
        <v>7</v>
      </c>
      <c r="BO269" s="27" t="s">
        <v>8</v>
      </c>
      <c r="BP269" s="27" t="s">
        <v>7</v>
      </c>
      <c r="BQ269" s="27" t="s">
        <v>8</v>
      </c>
      <c r="CD269" s="27" t="s">
        <v>7</v>
      </c>
      <c r="CE269" s="27" t="s">
        <v>8</v>
      </c>
      <c r="CF269" s="27" t="s">
        <v>7</v>
      </c>
      <c r="CG269" s="27" t="s">
        <v>8</v>
      </c>
      <c r="CH269" s="27" t="s">
        <v>7</v>
      </c>
      <c r="CI269" s="27" t="s">
        <v>8</v>
      </c>
      <c r="CJ269" s="27" t="s">
        <v>7</v>
      </c>
      <c r="CM269" s="27" t="s">
        <v>8</v>
      </c>
      <c r="CS269" s="27" t="s">
        <v>8</v>
      </c>
      <c r="CT269" s="27" t="s">
        <v>7</v>
      </c>
      <c r="CU269" s="27" t="s">
        <v>8</v>
      </c>
      <c r="CV269" s="27" t="s">
        <v>7</v>
      </c>
      <c r="DJ269" s="27" t="s">
        <v>7</v>
      </c>
      <c r="DK269" s="27" t="s">
        <v>8</v>
      </c>
      <c r="DL269" s="27" t="s">
        <v>7</v>
      </c>
      <c r="DM269" s="27" t="s">
        <v>8</v>
      </c>
      <c r="DN269" s="27" t="s">
        <v>7</v>
      </c>
      <c r="DO269" s="27" t="s">
        <v>8</v>
      </c>
    </row>
    <row r="270" spans="1:120" x14ac:dyDescent="0.25">
      <c r="A270" s="30">
        <v>0.23137744865585538</v>
      </c>
      <c r="B270"/>
      <c r="C270"/>
      <c r="D270"/>
      <c r="E270"/>
      <c r="AL270" s="27" t="s">
        <v>7</v>
      </c>
      <c r="AM270" s="27" t="s">
        <v>8</v>
      </c>
      <c r="AN270" s="27" t="s">
        <v>7</v>
      </c>
      <c r="AQ270" s="27" t="s">
        <v>8</v>
      </c>
      <c r="AR270" s="27" t="s">
        <v>7</v>
      </c>
      <c r="AU270" s="27" t="s">
        <v>8</v>
      </c>
      <c r="BI270" s="27" t="s">
        <v>8</v>
      </c>
      <c r="BJ270" s="27" t="s">
        <v>7</v>
      </c>
      <c r="BM270" s="27" t="s">
        <v>8</v>
      </c>
      <c r="BN270" s="27" t="s">
        <v>7</v>
      </c>
      <c r="BO270" s="27" t="s">
        <v>8</v>
      </c>
      <c r="BP270" s="27" t="s">
        <v>7</v>
      </c>
      <c r="BQ270" s="27" t="s">
        <v>8</v>
      </c>
      <c r="CD270" s="27" t="s">
        <v>7</v>
      </c>
      <c r="CF270" s="27" t="s">
        <v>7</v>
      </c>
      <c r="CH270" s="27" t="s">
        <v>7</v>
      </c>
      <c r="CJ270" s="27" t="s">
        <v>7</v>
      </c>
      <c r="CK270" s="27" t="s">
        <v>8</v>
      </c>
      <c r="CM270" s="27" t="s">
        <v>8</v>
      </c>
      <c r="CN270" s="27" t="s">
        <v>7</v>
      </c>
      <c r="CQ270" s="27" t="s">
        <v>8</v>
      </c>
      <c r="CS270" s="27" t="s">
        <v>8</v>
      </c>
      <c r="CT270" s="27" t="s">
        <v>7</v>
      </c>
      <c r="CU270" s="27" t="s">
        <v>8</v>
      </c>
      <c r="DJ270" s="27" t="s">
        <v>7</v>
      </c>
      <c r="DK270" s="27" t="s">
        <v>8</v>
      </c>
      <c r="DL270" s="27" t="s">
        <v>7</v>
      </c>
      <c r="DM270" s="27" t="s">
        <v>8</v>
      </c>
      <c r="DN270" s="27" t="s">
        <v>7</v>
      </c>
      <c r="DO270" s="27" t="s">
        <v>8</v>
      </c>
      <c r="DP270" s="27" t="s">
        <v>7</v>
      </c>
    </row>
    <row r="271" spans="1:120" x14ac:dyDescent="0.25">
      <c r="A271" s="30">
        <v>0.22035947491033836</v>
      </c>
      <c r="B271"/>
      <c r="C271"/>
      <c r="D271"/>
      <c r="E271"/>
      <c r="AL271" s="27" t="s">
        <v>7</v>
      </c>
      <c r="AM271" s="27" t="s">
        <v>8</v>
      </c>
      <c r="AN271" s="27" t="s">
        <v>7</v>
      </c>
      <c r="AQ271" s="27" t="s">
        <v>8</v>
      </c>
      <c r="AR271" s="27" t="s">
        <v>7</v>
      </c>
      <c r="AS271" s="27" t="s">
        <v>8</v>
      </c>
      <c r="AU271" s="27" t="s">
        <v>8</v>
      </c>
      <c r="AV271" s="27" t="s">
        <v>7</v>
      </c>
      <c r="BG271" s="27" t="s">
        <v>8</v>
      </c>
      <c r="BI271" s="27" t="s">
        <v>8</v>
      </c>
      <c r="BJ271" s="27" t="s">
        <v>7</v>
      </c>
      <c r="BM271" s="27" t="s">
        <v>8</v>
      </c>
      <c r="BN271" s="27" t="s">
        <v>7</v>
      </c>
      <c r="BO271" s="27" t="s">
        <v>8</v>
      </c>
      <c r="BP271" s="27" t="s">
        <v>7</v>
      </c>
      <c r="BQ271" s="27" t="s">
        <v>8</v>
      </c>
      <c r="CJ271" s="27" t="s">
        <v>7</v>
      </c>
      <c r="CK271" s="27" t="s">
        <v>8</v>
      </c>
      <c r="CL271" s="27" t="s">
        <v>7</v>
      </c>
      <c r="CM271" s="27" t="s">
        <v>8</v>
      </c>
      <c r="CN271" s="27" t="s">
        <v>7</v>
      </c>
      <c r="CO271" s="27" t="s">
        <v>8</v>
      </c>
      <c r="CQ271" s="27" t="s">
        <v>8</v>
      </c>
      <c r="CR271" s="27" t="s">
        <v>7</v>
      </c>
      <c r="CS271" s="27" t="s">
        <v>8</v>
      </c>
      <c r="CT271" s="27" t="s">
        <v>7</v>
      </c>
      <c r="DJ271" s="27" t="s">
        <v>7</v>
      </c>
      <c r="DL271" s="27" t="s">
        <v>7</v>
      </c>
      <c r="DN271" s="27" t="s">
        <v>7</v>
      </c>
      <c r="DO271" s="27" t="s">
        <v>8</v>
      </c>
      <c r="DP271" s="27" t="s">
        <v>7</v>
      </c>
    </row>
    <row r="272" spans="1:120" x14ac:dyDescent="0.25">
      <c r="A272" s="30">
        <v>0.20986616658127455</v>
      </c>
      <c r="B272"/>
      <c r="C272"/>
      <c r="D272"/>
      <c r="E272"/>
      <c r="AL272" s="27" t="s">
        <v>7</v>
      </c>
      <c r="AM272" s="27" t="s">
        <v>8</v>
      </c>
      <c r="AN272" s="27" t="s">
        <v>7</v>
      </c>
      <c r="AQ272" s="27" t="s">
        <v>8</v>
      </c>
      <c r="AR272" s="27" t="s">
        <v>7</v>
      </c>
      <c r="AS272" s="27" t="s">
        <v>8</v>
      </c>
      <c r="AT272" s="27" t="s">
        <v>7</v>
      </c>
      <c r="AU272" s="27" t="s">
        <v>8</v>
      </c>
      <c r="AV272" s="27" t="s">
        <v>7</v>
      </c>
      <c r="BG272" s="27" t="s">
        <v>8</v>
      </c>
      <c r="BH272" s="27" t="s">
        <v>7</v>
      </c>
      <c r="BI272" s="27" t="s">
        <v>8</v>
      </c>
      <c r="BJ272" s="27" t="s">
        <v>7</v>
      </c>
      <c r="BM272" s="27" t="s">
        <v>8</v>
      </c>
      <c r="BN272" s="27" t="s">
        <v>7</v>
      </c>
      <c r="BO272" s="27" t="s">
        <v>8</v>
      </c>
      <c r="BP272" s="27" t="s">
        <v>7</v>
      </c>
      <c r="BQ272" s="27" t="s">
        <v>8</v>
      </c>
      <c r="CJ272" s="27" t="s">
        <v>7</v>
      </c>
      <c r="CK272" s="27" t="s">
        <v>8</v>
      </c>
      <c r="CL272" s="27" t="s">
        <v>7</v>
      </c>
      <c r="CM272" s="27" t="s">
        <v>8</v>
      </c>
      <c r="CN272" s="27" t="s">
        <v>7</v>
      </c>
      <c r="CO272" s="27" t="s">
        <v>8</v>
      </c>
      <c r="CP272" s="27" t="s">
        <v>7</v>
      </c>
      <c r="CQ272" s="27" t="s">
        <v>8</v>
      </c>
      <c r="CR272" s="27" t="s">
        <v>7</v>
      </c>
      <c r="CS272" s="27" t="s">
        <v>8</v>
      </c>
      <c r="DN272" s="27" t="s">
        <v>7</v>
      </c>
      <c r="DO272" s="27" t="s">
        <v>8</v>
      </c>
      <c r="DP272" s="27" t="s">
        <v>7</v>
      </c>
    </row>
    <row r="273" spans="1:124" x14ac:dyDescent="0.25">
      <c r="A273" s="30">
        <v>0.19987253960121379</v>
      </c>
      <c r="B273"/>
      <c r="C273"/>
      <c r="D273"/>
      <c r="E273"/>
      <c r="AL273" s="27" t="s">
        <v>7</v>
      </c>
      <c r="AM273" s="27" t="s">
        <v>8</v>
      </c>
      <c r="AN273" s="27" t="s">
        <v>7</v>
      </c>
      <c r="AO273" s="27" t="s">
        <v>8</v>
      </c>
      <c r="AQ273" s="27" t="s">
        <v>8</v>
      </c>
      <c r="AR273" s="27" t="s">
        <v>7</v>
      </c>
      <c r="AS273" s="27" t="s">
        <v>8</v>
      </c>
      <c r="AT273" s="27" t="s">
        <v>7</v>
      </c>
      <c r="AU273" s="27" t="s">
        <v>8</v>
      </c>
      <c r="AV273" s="27" t="s">
        <v>7</v>
      </c>
      <c r="BG273" s="27" t="s">
        <v>8</v>
      </c>
      <c r="BH273" s="27" t="s">
        <v>7</v>
      </c>
      <c r="BI273" s="27" t="s">
        <v>8</v>
      </c>
      <c r="BJ273" s="27" t="s">
        <v>7</v>
      </c>
      <c r="BM273" s="27" t="s">
        <v>8</v>
      </c>
      <c r="BN273" s="27" t="s">
        <v>7</v>
      </c>
      <c r="BP273" s="27" t="s">
        <v>7</v>
      </c>
      <c r="CJ273" s="27" t="s">
        <v>7</v>
      </c>
      <c r="CK273" s="27" t="s">
        <v>8</v>
      </c>
      <c r="CL273" s="27" t="s">
        <v>7</v>
      </c>
      <c r="CM273" s="27" t="s">
        <v>8</v>
      </c>
      <c r="CN273" s="27" t="s">
        <v>7</v>
      </c>
      <c r="CO273" s="27" t="s">
        <v>8</v>
      </c>
      <c r="CP273" s="27" t="s">
        <v>7</v>
      </c>
      <c r="CQ273" s="27" t="s">
        <v>8</v>
      </c>
      <c r="CR273" s="27" t="s">
        <v>7</v>
      </c>
      <c r="CS273" s="27" t="s">
        <v>8</v>
      </c>
      <c r="DN273" s="27" t="s">
        <v>7</v>
      </c>
      <c r="DO273" s="27" t="s">
        <v>8</v>
      </c>
      <c r="DP273" s="27" t="s">
        <v>7</v>
      </c>
      <c r="DQ273" s="27" t="s">
        <v>8</v>
      </c>
    </row>
    <row r="274" spans="1:124" x14ac:dyDescent="0.25">
      <c r="A274" s="30">
        <v>0.19035479962020352</v>
      </c>
      <c r="B274"/>
      <c r="C274"/>
      <c r="D274"/>
      <c r="E274"/>
      <c r="AL274" s="27" t="s">
        <v>7</v>
      </c>
      <c r="AM274" s="27" t="s">
        <v>8</v>
      </c>
      <c r="AN274" s="27" t="s">
        <v>7</v>
      </c>
      <c r="AO274" s="27" t="s">
        <v>8</v>
      </c>
      <c r="AP274" s="27" t="s">
        <v>7</v>
      </c>
      <c r="AQ274" s="27" t="s">
        <v>8</v>
      </c>
      <c r="AR274" s="27" t="s">
        <v>7</v>
      </c>
      <c r="AS274" s="27" t="s">
        <v>8</v>
      </c>
      <c r="AT274" s="27" t="s">
        <v>7</v>
      </c>
      <c r="AU274" s="27" t="s">
        <v>8</v>
      </c>
      <c r="AV274" s="27" t="s">
        <v>7</v>
      </c>
      <c r="AW274" s="27" t="s">
        <v>8</v>
      </c>
      <c r="BG274" s="27" t="s">
        <v>8</v>
      </c>
      <c r="BH274" s="27" t="s">
        <v>7</v>
      </c>
      <c r="BI274" s="27" t="s">
        <v>8</v>
      </c>
      <c r="BJ274" s="27" t="s">
        <v>7</v>
      </c>
      <c r="BM274" s="27" t="s">
        <v>8</v>
      </c>
      <c r="CJ274" s="27" t="s">
        <v>7</v>
      </c>
      <c r="CK274" s="27" t="s">
        <v>8</v>
      </c>
      <c r="CL274" s="27" t="s">
        <v>7</v>
      </c>
      <c r="CM274" s="27" t="s">
        <v>8</v>
      </c>
      <c r="CN274" s="27" t="s">
        <v>7</v>
      </c>
      <c r="CO274" s="27" t="s">
        <v>8</v>
      </c>
      <c r="CP274" s="27" t="s">
        <v>7</v>
      </c>
      <c r="CR274" s="27" t="s">
        <v>7</v>
      </c>
      <c r="CS274" s="27" t="s">
        <v>8</v>
      </c>
      <c r="DN274" s="27" t="s">
        <v>7</v>
      </c>
      <c r="DP274" s="27" t="s">
        <v>7</v>
      </c>
      <c r="DQ274" s="27" t="s">
        <v>8</v>
      </c>
      <c r="DR274" s="27" t="s">
        <v>7</v>
      </c>
    </row>
    <row r="275" spans="1:124" x14ac:dyDescent="0.25">
      <c r="A275" s="30">
        <v>0.18129028535257471</v>
      </c>
      <c r="B275"/>
      <c r="C275"/>
      <c r="D275"/>
      <c r="E275"/>
      <c r="AL275" s="27" t="s">
        <v>7</v>
      </c>
      <c r="AM275" s="27" t="s">
        <v>8</v>
      </c>
      <c r="AN275" s="27" t="s">
        <v>7</v>
      </c>
      <c r="AO275" s="27" t="s">
        <v>8</v>
      </c>
      <c r="AP275" s="27" t="s">
        <v>7</v>
      </c>
      <c r="AQ275" s="27" t="s">
        <v>8</v>
      </c>
      <c r="AR275" s="27" t="s">
        <v>7</v>
      </c>
      <c r="AS275" s="27" t="s">
        <v>8</v>
      </c>
      <c r="AT275" s="27" t="s">
        <v>7</v>
      </c>
      <c r="AU275" s="27" t="s">
        <v>8</v>
      </c>
      <c r="AV275" s="27" t="s">
        <v>7</v>
      </c>
      <c r="AW275" s="27" t="s">
        <v>8</v>
      </c>
      <c r="AX275" s="27" t="s">
        <v>7</v>
      </c>
      <c r="BG275" s="27" t="s">
        <v>8</v>
      </c>
      <c r="BH275" s="27" t="s">
        <v>7</v>
      </c>
      <c r="BI275" s="27" t="s">
        <v>8</v>
      </c>
      <c r="BJ275" s="27" t="s">
        <v>7</v>
      </c>
      <c r="BK275" s="27" t="s">
        <v>8</v>
      </c>
      <c r="BM275" s="27" t="s">
        <v>8</v>
      </c>
      <c r="CJ275" s="27" t="s">
        <v>7</v>
      </c>
      <c r="CK275" s="27" t="s">
        <v>8</v>
      </c>
      <c r="CL275" s="27" t="s">
        <v>7</v>
      </c>
      <c r="CM275" s="27" t="s">
        <v>8</v>
      </c>
      <c r="CN275" s="27" t="s">
        <v>7</v>
      </c>
      <c r="CR275" s="27" t="s">
        <v>7</v>
      </c>
      <c r="CS275" s="27" t="s">
        <v>8</v>
      </c>
      <c r="DP275" s="27" t="s">
        <v>7</v>
      </c>
      <c r="DQ275" s="27" t="s">
        <v>8</v>
      </c>
      <c r="DR275" s="27" t="s">
        <v>7</v>
      </c>
    </row>
    <row r="276" spans="1:124" x14ac:dyDescent="0.25">
      <c r="A276" s="30">
        <v>0.17265741462149967</v>
      </c>
      <c r="B276"/>
      <c r="C276"/>
      <c r="D276"/>
      <c r="E276"/>
      <c r="AL276" s="27" t="s">
        <v>7</v>
      </c>
      <c r="AM276" s="27" t="s">
        <v>8</v>
      </c>
      <c r="AN276" s="27" t="s">
        <v>7</v>
      </c>
      <c r="AP276" s="27" t="s">
        <v>7</v>
      </c>
      <c r="AQ276" s="27" t="s">
        <v>8</v>
      </c>
      <c r="AR276" s="27" t="s">
        <v>7</v>
      </c>
      <c r="AT276" s="27" t="s">
        <v>7</v>
      </c>
      <c r="AV276" s="27" t="s">
        <v>7</v>
      </c>
      <c r="AW276" s="27" t="s">
        <v>8</v>
      </c>
      <c r="AX276" s="27" t="s">
        <v>7</v>
      </c>
      <c r="BG276" s="27" t="s">
        <v>8</v>
      </c>
      <c r="BH276" s="27" t="s">
        <v>7</v>
      </c>
      <c r="BJ276" s="27" t="s">
        <v>7</v>
      </c>
      <c r="BK276" s="27" t="s">
        <v>8</v>
      </c>
      <c r="BL276" s="27" t="s">
        <v>7</v>
      </c>
      <c r="BM276" s="27" t="s">
        <v>8</v>
      </c>
      <c r="CJ276" s="27" t="s">
        <v>7</v>
      </c>
      <c r="CL276" s="27" t="s">
        <v>7</v>
      </c>
      <c r="CR276" s="27" t="s">
        <v>7</v>
      </c>
      <c r="DP276" s="27" t="s">
        <v>7</v>
      </c>
      <c r="DQ276" s="27" t="s">
        <v>8</v>
      </c>
      <c r="DR276" s="27" t="s">
        <v>7</v>
      </c>
    </row>
    <row r="277" spans="1:124" x14ac:dyDescent="0.25">
      <c r="A277" s="30">
        <v>0.16443563297285677</v>
      </c>
      <c r="B277"/>
      <c r="C277"/>
      <c r="D277"/>
      <c r="E277"/>
      <c r="AL277" s="27" t="s">
        <v>7</v>
      </c>
      <c r="AP277" s="27" t="s">
        <v>7</v>
      </c>
      <c r="AQ277" s="27" t="s">
        <v>8</v>
      </c>
      <c r="AV277" s="27" t="s">
        <v>7</v>
      </c>
      <c r="AX277" s="27" t="s">
        <v>7</v>
      </c>
      <c r="BE277" s="27" t="s">
        <v>8</v>
      </c>
      <c r="BG277" s="27" t="s">
        <v>8</v>
      </c>
      <c r="BJ277" s="27" t="s">
        <v>7</v>
      </c>
      <c r="BK277" s="27" t="s">
        <v>8</v>
      </c>
      <c r="BL277" s="27" t="s">
        <v>7</v>
      </c>
      <c r="BM277" s="27" t="s">
        <v>8</v>
      </c>
      <c r="DP277" s="27" t="s">
        <v>7</v>
      </c>
      <c r="DQ277" s="27" t="s">
        <v>8</v>
      </c>
      <c r="DR277" s="27" t="s">
        <v>7</v>
      </c>
    </row>
    <row r="278" spans="1:124" x14ac:dyDescent="0.25">
      <c r="A278" s="30">
        <v>0.15660536473605399</v>
      </c>
      <c r="B278"/>
      <c r="C278"/>
      <c r="D278"/>
      <c r="E278"/>
      <c r="AP278" s="27" t="s">
        <v>7</v>
      </c>
      <c r="AQ278" s="27" t="s">
        <v>8</v>
      </c>
      <c r="AX278" s="27" t="s">
        <v>7</v>
      </c>
      <c r="BE278" s="27" t="s">
        <v>8</v>
      </c>
      <c r="BF278" s="27" t="s">
        <v>7</v>
      </c>
      <c r="BG278" s="27" t="s">
        <v>8</v>
      </c>
      <c r="BJ278" s="27" t="s">
        <v>7</v>
      </c>
      <c r="BK278" s="27" t="s">
        <v>8</v>
      </c>
      <c r="BL278" s="27" t="s">
        <v>7</v>
      </c>
      <c r="BM278" s="27" t="s">
        <v>8</v>
      </c>
      <c r="DP278" s="27" t="s">
        <v>7</v>
      </c>
      <c r="DQ278" s="27" t="s">
        <v>8</v>
      </c>
      <c r="DR278" s="27" t="s">
        <v>7</v>
      </c>
    </row>
    <row r="279" spans="1:124" x14ac:dyDescent="0.25">
      <c r="A279" s="30">
        <v>0.14914796641528946</v>
      </c>
      <c r="B279"/>
      <c r="C279"/>
      <c r="D279"/>
      <c r="E279"/>
      <c r="AP279" s="27" t="s">
        <v>7</v>
      </c>
      <c r="AQ279" s="27" t="s">
        <v>8</v>
      </c>
      <c r="AX279" s="27" t="s">
        <v>7</v>
      </c>
      <c r="BE279" s="27" t="s">
        <v>8</v>
      </c>
      <c r="BF279" s="27" t="s">
        <v>7</v>
      </c>
      <c r="BG279" s="27" t="s">
        <v>8</v>
      </c>
      <c r="BJ279" s="27" t="s">
        <v>7</v>
      </c>
      <c r="BL279" s="27" t="s">
        <v>7</v>
      </c>
      <c r="BM279" s="27" t="s">
        <v>8</v>
      </c>
      <c r="DP279" s="27" t="s">
        <v>7</v>
      </c>
      <c r="DQ279" s="27" t="s">
        <v>8</v>
      </c>
      <c r="DR279" s="27" t="s">
        <v>7</v>
      </c>
    </row>
    <row r="280" spans="1:124" x14ac:dyDescent="0.25">
      <c r="A280" s="30">
        <v>0.14204568230027562</v>
      </c>
      <c r="B280"/>
      <c r="C280"/>
      <c r="D280"/>
      <c r="E280"/>
      <c r="AP280" s="27" t="s">
        <v>7</v>
      </c>
      <c r="AQ280" s="27" t="s">
        <v>8</v>
      </c>
      <c r="AX280" s="27" t="s">
        <v>7</v>
      </c>
      <c r="BE280" s="27" t="s">
        <v>8</v>
      </c>
      <c r="BF280" s="27" t="s">
        <v>7</v>
      </c>
      <c r="BG280" s="27" t="s">
        <v>8</v>
      </c>
      <c r="BL280" s="27" t="s">
        <v>7</v>
      </c>
      <c r="BM280" s="27" t="s">
        <v>8</v>
      </c>
      <c r="DP280" s="27" t="s">
        <v>7</v>
      </c>
      <c r="DR280" s="27" t="s">
        <v>7</v>
      </c>
    </row>
    <row r="281" spans="1:124" x14ac:dyDescent="0.25">
      <c r="A281" s="30">
        <v>0.13528160219073862</v>
      </c>
      <c r="B281"/>
      <c r="C281"/>
      <c r="D281"/>
      <c r="E281"/>
      <c r="AP281" s="27" t="s">
        <v>7</v>
      </c>
      <c r="AQ281" s="27" t="s">
        <v>8</v>
      </c>
      <c r="AX281" s="27" t="s">
        <v>7</v>
      </c>
      <c r="BE281" s="27" t="s">
        <v>8</v>
      </c>
      <c r="BF281" s="27" t="s">
        <v>7</v>
      </c>
      <c r="BG281" s="27" t="s">
        <v>8</v>
      </c>
      <c r="BL281" s="27" t="s">
        <v>7</v>
      </c>
      <c r="BM281" s="27" t="s">
        <v>8</v>
      </c>
      <c r="DR281" s="27" t="s">
        <v>7</v>
      </c>
    </row>
    <row r="282" spans="1:124" x14ac:dyDescent="0.25">
      <c r="A282" s="30">
        <v>0.12883962113403674</v>
      </c>
      <c r="B282"/>
      <c r="C282"/>
      <c r="D282"/>
      <c r="E282"/>
      <c r="AP282" s="27" t="s">
        <v>7</v>
      </c>
      <c r="AQ282" s="27" t="s">
        <v>8</v>
      </c>
      <c r="AX282" s="27" t="s">
        <v>7</v>
      </c>
      <c r="BE282" s="27" t="s">
        <v>8</v>
      </c>
      <c r="BF282" s="27" t="s">
        <v>7</v>
      </c>
      <c r="BG282" s="27" t="s">
        <v>8</v>
      </c>
      <c r="BL282" s="18" t="s">
        <v>7</v>
      </c>
      <c r="BM282" s="27" t="s">
        <v>8</v>
      </c>
      <c r="DR282" s="27" t="s">
        <v>7</v>
      </c>
      <c r="DS282" s="27" t="s">
        <v>8</v>
      </c>
    </row>
    <row r="283" spans="1:124" x14ac:dyDescent="0.25">
      <c r="A283" s="30">
        <v>0.12270440108003494</v>
      </c>
      <c r="B283"/>
      <c r="C283"/>
      <c r="D283"/>
      <c r="E283"/>
      <c r="AP283" s="27" t="s">
        <v>7</v>
      </c>
      <c r="AQ283" s="27" t="s">
        <v>8</v>
      </c>
      <c r="AX283" s="27" t="s">
        <v>7</v>
      </c>
      <c r="BC283" s="27" t="s">
        <v>8</v>
      </c>
      <c r="BE283" s="27" t="s">
        <v>8</v>
      </c>
      <c r="BF283" s="27" t="s">
        <v>7</v>
      </c>
      <c r="BL283" s="27" t="s">
        <v>7</v>
      </c>
      <c r="BM283" s="27" t="s">
        <v>8</v>
      </c>
      <c r="DR283" s="27" t="s">
        <v>7</v>
      </c>
      <c r="DS283" s="27" t="s">
        <v>8</v>
      </c>
      <c r="DT283" s="27" t="s">
        <v>7</v>
      </c>
    </row>
    <row r="284" spans="1:124" x14ac:dyDescent="0.25">
      <c r="A284" s="30">
        <v>0.11686133436193799</v>
      </c>
      <c r="B284"/>
      <c r="C284"/>
      <c r="D284"/>
      <c r="E284"/>
      <c r="AP284" s="27" t="s">
        <v>7</v>
      </c>
      <c r="AX284" s="27" t="s">
        <v>7</v>
      </c>
      <c r="BC284" s="27" t="s">
        <v>8</v>
      </c>
      <c r="BD284" s="27" t="s">
        <v>7</v>
      </c>
      <c r="BE284" s="27" t="s">
        <v>8</v>
      </c>
      <c r="BL284" s="27" t="s">
        <v>7</v>
      </c>
      <c r="BM284" s="27" t="s">
        <v>8</v>
      </c>
      <c r="DR284" s="27" t="s">
        <v>7</v>
      </c>
      <c r="DS284" s="27" t="s">
        <v>8</v>
      </c>
      <c r="DT284" s="27" t="s">
        <v>7</v>
      </c>
    </row>
    <row r="285" spans="1:124" x14ac:dyDescent="0.25">
      <c r="A285" s="30">
        <v>0.11129650891613138</v>
      </c>
      <c r="B285"/>
      <c r="C285"/>
      <c r="D285"/>
      <c r="E285"/>
      <c r="AX285" s="27" t="s">
        <v>7</v>
      </c>
      <c r="BC285" s="27" t="s">
        <v>8</v>
      </c>
      <c r="BD285" s="27" t="s">
        <v>7</v>
      </c>
      <c r="BE285" s="27" t="s">
        <v>8</v>
      </c>
      <c r="BL285" s="27" t="s">
        <v>7</v>
      </c>
      <c r="DR285" s="27" t="s">
        <v>7</v>
      </c>
      <c r="DS285" s="27" t="s">
        <v>8</v>
      </c>
      <c r="DT285" s="27" t="s">
        <v>7</v>
      </c>
    </row>
    <row r="286" spans="1:124" x14ac:dyDescent="0.25">
      <c r="A286" s="30">
        <v>0.10599667515822032</v>
      </c>
      <c r="B286"/>
      <c r="C286"/>
      <c r="D286"/>
      <c r="E286"/>
      <c r="AX286" s="27" t="s">
        <v>7</v>
      </c>
      <c r="AY286" s="27" t="s">
        <v>8</v>
      </c>
      <c r="BA286" s="27" t="s">
        <v>8</v>
      </c>
      <c r="BC286" s="27" t="s">
        <v>8</v>
      </c>
      <c r="BD286" s="27" t="s">
        <v>7</v>
      </c>
      <c r="DR286" s="27" t="s">
        <v>7</v>
      </c>
      <c r="DS286" s="27" t="s">
        <v>8</v>
      </c>
    </row>
    <row r="287" spans="1:124" x14ac:dyDescent="0.25">
      <c r="A287" s="30">
        <v>0.10094921443640027</v>
      </c>
      <c r="B287"/>
      <c r="C287"/>
      <c r="D287"/>
      <c r="E287"/>
      <c r="AX287" s="27" t="s">
        <v>7</v>
      </c>
      <c r="AY287" s="27" t="s">
        <v>8</v>
      </c>
      <c r="AZ287" s="27" t="s">
        <v>7</v>
      </c>
      <c r="BA287" s="27" t="s">
        <v>8</v>
      </c>
      <c r="BB287" s="27" t="s">
        <v>7</v>
      </c>
      <c r="BC287" s="27" t="s">
        <v>8</v>
      </c>
      <c r="DR287" s="27" t="s">
        <v>7</v>
      </c>
      <c r="DS287" s="27" t="s">
        <v>8</v>
      </c>
    </row>
    <row r="288" spans="1:124" x14ac:dyDescent="0.25">
      <c r="A288" s="30">
        <v>9.6142108987047836E-2</v>
      </c>
      <c r="B288"/>
      <c r="C288"/>
      <c r="D288"/>
      <c r="E288"/>
      <c r="AX288" s="27" t="s">
        <v>7</v>
      </c>
      <c r="AY288" s="27" t="s">
        <v>8</v>
      </c>
      <c r="AZ288" s="27" t="s">
        <v>7</v>
      </c>
      <c r="BA288" s="27" t="s">
        <v>8</v>
      </c>
      <c r="BB288" s="27" t="s">
        <v>7</v>
      </c>
      <c r="BC288" s="27" t="s">
        <v>8</v>
      </c>
      <c r="DR288" s="27" t="s">
        <v>7</v>
      </c>
    </row>
    <row r="289" spans="1:55" x14ac:dyDescent="0.25">
      <c r="A289" s="30">
        <v>9.1563913320997906E-2</v>
      </c>
      <c r="B289"/>
      <c r="C289"/>
      <c r="D289"/>
      <c r="E289"/>
      <c r="AX289" s="27" t="s">
        <v>7</v>
      </c>
      <c r="AY289" s="27" t="s">
        <v>8</v>
      </c>
      <c r="AZ289" s="27" t="s">
        <v>7</v>
      </c>
      <c r="BA289" s="27" t="s">
        <v>8</v>
      </c>
      <c r="BB289" s="27" t="s">
        <v>7</v>
      </c>
      <c r="BC289" s="27" t="s">
        <v>8</v>
      </c>
    </row>
    <row r="290" spans="1:55" x14ac:dyDescent="0.25">
      <c r="A290" s="30">
        <v>8.7203726972378923E-2</v>
      </c>
      <c r="B290"/>
      <c r="C290"/>
      <c r="D290"/>
      <c r="E290"/>
      <c r="AX290" s="27" t="s">
        <v>7</v>
      </c>
      <c r="AY290" s="27" t="s">
        <v>8</v>
      </c>
      <c r="AZ290" s="27" t="s">
        <v>7</v>
      </c>
      <c r="BA290" s="27" t="s">
        <v>8</v>
      </c>
      <c r="BB290" s="27" t="s">
        <v>7</v>
      </c>
    </row>
    <row r="291" spans="1:55" x14ac:dyDescent="0.25">
      <c r="A291" s="30">
        <v>8.3051168545122747E-2</v>
      </c>
      <c r="B291"/>
      <c r="C291"/>
      <c r="D291"/>
      <c r="E291"/>
      <c r="AX291" s="27" t="s">
        <v>7</v>
      </c>
      <c r="AY291" s="27" t="s">
        <v>8</v>
      </c>
      <c r="AZ291" s="27" t="s">
        <v>7</v>
      </c>
      <c r="BA291" s="27" t="s">
        <v>8</v>
      </c>
    </row>
    <row r="292" spans="1:55" x14ac:dyDescent="0.25">
      <c r="A292" s="30">
        <v>7.9096350995354961E-2</v>
      </c>
      <c r="B292"/>
      <c r="C292"/>
      <c r="D292"/>
      <c r="E292"/>
      <c r="AX292" s="27" t="s">
        <v>7</v>
      </c>
      <c r="AY292" s="27" t="s">
        <v>8</v>
      </c>
      <c r="AZ292" s="27" t="s">
        <v>7</v>
      </c>
      <c r="BA292" s="27" t="s">
        <v>8</v>
      </c>
    </row>
    <row r="293" spans="1:55" x14ac:dyDescent="0.25">
      <c r="A293" s="30">
        <v>7.5329858090814217E-2</v>
      </c>
      <c r="B293"/>
      <c r="C293"/>
      <c r="D293"/>
      <c r="E293"/>
      <c r="AX293" s="27" t="s">
        <v>7</v>
      </c>
      <c r="AZ293" s="27" t="s">
        <v>7</v>
      </c>
    </row>
    <row r="294" spans="1:55" x14ac:dyDescent="0.25">
      <c r="A294" s="30">
        <v>7.1742721991251604E-2</v>
      </c>
      <c r="B294"/>
      <c r="C294"/>
      <c r="D294"/>
      <c r="E294"/>
    </row>
    <row r="295" spans="1:55" x14ac:dyDescent="0.25">
      <c r="A295" s="30">
        <v>6.8326401896430078E-2</v>
      </c>
      <c r="B295"/>
      <c r="C295"/>
      <c r="D295"/>
      <c r="E295"/>
    </row>
    <row r="296" spans="1:55" x14ac:dyDescent="0.25">
      <c r="A296" s="30">
        <v>6.5072763710885759E-2</v>
      </c>
      <c r="B296"/>
      <c r="C296"/>
      <c r="D296"/>
      <c r="E296"/>
    </row>
    <row r="297" spans="1:55" x14ac:dyDescent="0.25">
      <c r="A297" s="30">
        <v>6.197406067703403E-2</v>
      </c>
      <c r="B297"/>
      <c r="C297"/>
      <c r="D297"/>
      <c r="E297"/>
    </row>
    <row r="298" spans="1:55" x14ac:dyDescent="0.25">
      <c r="A298" s="30">
        <v>5.9022914930508576E-2</v>
      </c>
      <c r="B298"/>
      <c r="C298"/>
      <c r="D298"/>
      <c r="E298"/>
    </row>
    <row r="299" spans="1:55" x14ac:dyDescent="0.25">
      <c r="A299" s="30">
        <v>5.6212299933817669E-2</v>
      </c>
      <c r="B299"/>
      <c r="C299"/>
      <c r="D299"/>
      <c r="E299"/>
    </row>
    <row r="300" spans="1:55" x14ac:dyDescent="0.25">
      <c r="A300" s="30">
        <v>5.3535523746492994E-2</v>
      </c>
      <c r="B300"/>
      <c r="C300"/>
      <c r="D300"/>
      <c r="E300"/>
    </row>
    <row r="301" spans="1:55" x14ac:dyDescent="0.25">
      <c r="A301" s="30">
        <v>5.0986213091898068E-2</v>
      </c>
      <c r="B301"/>
      <c r="C301"/>
      <c r="D301"/>
      <c r="E301"/>
    </row>
    <row r="302" spans="1:55" x14ac:dyDescent="0.25">
      <c r="A302" s="30">
        <v>4.8558298182760043E-2</v>
      </c>
      <c r="B302"/>
      <c r="C302"/>
      <c r="D302"/>
      <c r="E302"/>
    </row>
    <row r="303" spans="1:55" x14ac:dyDescent="0.25">
      <c r="A303" s="30">
        <v>4.6245998269295263E-2</v>
      </c>
      <c r="B303"/>
      <c r="C303"/>
      <c r="D303"/>
      <c r="E303"/>
    </row>
    <row r="304" spans="1:5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756" operator="equal">
      <formula>$U$1</formula>
    </cfRule>
    <cfRule type="cellIs" dxfId="67" priority="757" operator="equal">
      <formula>$S$1</formula>
    </cfRule>
  </conditionalFormatting>
  <conditionalFormatting sqref="D136">
    <cfRule type="cellIs" dxfId="66" priority="754" operator="equal">
      <formula>$S$1</formula>
    </cfRule>
    <cfRule type="cellIs" dxfId="65" priority="755" operator="equal">
      <formula>$U$1</formula>
    </cfRule>
  </conditionalFormatting>
  <conditionalFormatting sqref="C162">
    <cfRule type="cellIs" dxfId="64" priority="752" operator="equal">
      <formula>$U$1</formula>
    </cfRule>
    <cfRule type="cellIs" dxfId="63" priority="753" operator="equal">
      <formula>$S$1</formula>
    </cfRule>
  </conditionalFormatting>
  <conditionalFormatting sqref="D162">
    <cfRule type="cellIs" dxfId="62" priority="750" operator="equal">
      <formula>$S$1</formula>
    </cfRule>
    <cfRule type="cellIs" dxfId="61" priority="751" operator="equal">
      <formula>$U$1</formula>
    </cfRule>
  </conditionalFormatting>
  <conditionalFormatting sqref="C187">
    <cfRule type="cellIs" dxfId="60" priority="748" operator="equal">
      <formula>$U$1</formula>
    </cfRule>
    <cfRule type="cellIs" dxfId="59" priority="749" operator="equal">
      <formula>$S$1</formula>
    </cfRule>
  </conditionalFormatting>
  <conditionalFormatting sqref="D187">
    <cfRule type="cellIs" dxfId="58" priority="746" operator="equal">
      <formula>$S$1</formula>
    </cfRule>
    <cfRule type="cellIs" dxfId="57" priority="747" operator="equal">
      <formula>$U$1</formula>
    </cfRule>
  </conditionalFormatting>
  <conditionalFormatting sqref="C212">
    <cfRule type="cellIs" dxfId="56" priority="744" operator="equal">
      <formula>$U$1</formula>
    </cfRule>
    <cfRule type="cellIs" dxfId="55" priority="745" operator="equal">
      <formula>$S$1</formula>
    </cfRule>
  </conditionalFormatting>
  <conditionalFormatting sqref="D212">
    <cfRule type="cellIs" dxfId="54" priority="742" operator="equal">
      <formula>$S$1</formula>
    </cfRule>
    <cfRule type="cellIs" dxfId="53" priority="743" operator="equal">
      <formula>$U$1</formula>
    </cfRule>
  </conditionalFormatting>
  <conditionalFormatting sqref="C237">
    <cfRule type="cellIs" dxfId="52" priority="740" operator="equal">
      <formula>$U$1</formula>
    </cfRule>
    <cfRule type="cellIs" dxfId="51" priority="741" operator="equal">
      <formula>$S$1</formula>
    </cfRule>
  </conditionalFormatting>
  <conditionalFormatting sqref="D237">
    <cfRule type="cellIs" dxfId="50" priority="738" operator="equal">
      <formula>$S$1</formula>
    </cfRule>
    <cfRule type="cellIs" dxfId="49" priority="739" operator="equal">
      <formula>$U$1</formula>
    </cfRule>
  </conditionalFormatting>
  <conditionalFormatting sqref="C106">
    <cfRule type="cellIs" dxfId="48" priority="736" operator="equal">
      <formula>$U$1</formula>
    </cfRule>
    <cfRule type="cellIs" dxfId="47" priority="737" operator="equal">
      <formula>$S$1</formula>
    </cfRule>
  </conditionalFormatting>
  <conditionalFormatting sqref="D106">
    <cfRule type="cellIs" dxfId="46" priority="734" operator="equal">
      <formula>$S$1</formula>
    </cfRule>
    <cfRule type="cellIs" dxfId="45" priority="735" operator="equal">
      <formula>$U$1</formula>
    </cfRule>
  </conditionalFormatting>
  <conditionalFormatting sqref="C81">
    <cfRule type="cellIs" dxfId="44" priority="732" operator="equal">
      <formula>$U$1</formula>
    </cfRule>
    <cfRule type="cellIs" dxfId="43" priority="733" operator="equal">
      <formula>$S$1</formula>
    </cfRule>
  </conditionalFormatting>
  <conditionalFormatting sqref="D81">
    <cfRule type="cellIs" dxfId="42" priority="730" operator="equal">
      <formula>$S$1</formula>
    </cfRule>
    <cfRule type="cellIs" dxfId="41" priority="731" operator="equal">
      <formula>$U$1</formula>
    </cfRule>
  </conditionalFormatting>
  <conditionalFormatting sqref="C56">
    <cfRule type="cellIs" dxfId="40" priority="728" operator="equal">
      <formula>$U$1</formula>
    </cfRule>
    <cfRule type="cellIs" dxfId="39" priority="729" operator="equal">
      <formula>$S$1</formula>
    </cfRule>
  </conditionalFormatting>
  <conditionalFormatting sqref="D56">
    <cfRule type="cellIs" dxfId="38" priority="726" operator="equal">
      <formula>$S$1</formula>
    </cfRule>
    <cfRule type="cellIs" dxfId="37" priority="727" operator="equal">
      <formula>$U$1</formula>
    </cfRule>
  </conditionalFormatting>
  <conditionalFormatting sqref="C31">
    <cfRule type="cellIs" dxfId="36" priority="724" operator="equal">
      <formula>$U$1</formula>
    </cfRule>
    <cfRule type="cellIs" dxfId="35" priority="725" operator="equal">
      <formula>$S$1</formula>
    </cfRule>
  </conditionalFormatting>
  <conditionalFormatting sqref="D31">
    <cfRule type="cellIs" dxfId="34" priority="722" operator="equal">
      <formula>$S$1</formula>
    </cfRule>
    <cfRule type="cellIs" dxfId="33" priority="723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AN145" sqref="AN145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" x14ac:dyDescent="0.25">
      <c r="A97" s="30">
        <v>9.849732675807628</v>
      </c>
      <c r="E97"/>
    </row>
    <row r="98" spans="1:5" x14ac:dyDescent="0.25">
      <c r="A98" s="30">
        <v>8.9543024325523888</v>
      </c>
      <c r="C98" s="1" t="s">
        <v>13</v>
      </c>
      <c r="E98"/>
    </row>
    <row r="99" spans="1:5" x14ac:dyDescent="0.25">
      <c r="A99" s="30">
        <v>8.140274938683989</v>
      </c>
      <c r="C99" s="1">
        <f>C88</f>
        <v>0</v>
      </c>
      <c r="E99"/>
    </row>
    <row r="100" spans="1:5" x14ac:dyDescent="0.25">
      <c r="A100" s="30">
        <v>7.4002499442581717</v>
      </c>
      <c r="C100"/>
      <c r="D100"/>
      <c r="E100"/>
    </row>
    <row r="101" spans="1:5" x14ac:dyDescent="0.25">
      <c r="A101" s="30">
        <v>6.72749994932561</v>
      </c>
      <c r="C101" s="1" t="s">
        <v>14</v>
      </c>
      <c r="E101"/>
    </row>
    <row r="102" spans="1:5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" x14ac:dyDescent="0.25">
      <c r="A103" s="30">
        <v>5.5599173134922388</v>
      </c>
      <c r="E103"/>
    </row>
    <row r="104" spans="1:5" x14ac:dyDescent="0.25">
      <c r="A104" s="30">
        <v>5.0544702849929442</v>
      </c>
      <c r="E104"/>
    </row>
    <row r="105" spans="1:5" x14ac:dyDescent="0.25">
      <c r="A105" s="30">
        <v>4.594972986357222</v>
      </c>
      <c r="E105"/>
    </row>
    <row r="106" spans="1:5" x14ac:dyDescent="0.25">
      <c r="A106" s="30">
        <v>4.1772481694156562</v>
      </c>
      <c r="E106"/>
    </row>
    <row r="107" spans="1:5" x14ac:dyDescent="0.25">
      <c r="A107" s="30">
        <v>3.7974983358324148</v>
      </c>
      <c r="E107"/>
    </row>
    <row r="108" spans="1:5" x14ac:dyDescent="0.25">
      <c r="A108" s="30">
        <v>3.4522712143931042</v>
      </c>
      <c r="E108"/>
    </row>
    <row r="109" spans="1:5" x14ac:dyDescent="0.25">
      <c r="A109" s="30">
        <v>3.1384283767210035</v>
      </c>
      <c r="E109"/>
    </row>
    <row r="110" spans="1:5" x14ac:dyDescent="0.25">
      <c r="A110" s="30">
        <v>2.8531167061100029</v>
      </c>
      <c r="E110"/>
    </row>
    <row r="111" spans="1:5" x14ac:dyDescent="0.25">
      <c r="A111" s="30">
        <v>2.5937424601000023</v>
      </c>
      <c r="C111" s="1" t="str">
        <f>ADDRESS(C121-1,1,1,1)</f>
        <v>$A$144</v>
      </c>
      <c r="D111" s="1" t="str">
        <f>ADDRESS(C121-1,D121,1,1)</f>
        <v>$AN$144</v>
      </c>
      <c r="E111"/>
    </row>
    <row r="112" spans="1:5" x14ac:dyDescent="0.25">
      <c r="A112" s="30">
        <v>2.3579476910000019</v>
      </c>
      <c r="C112" s="1" t="str">
        <f>ADDRESS(C121,1,1,1)</f>
        <v>$A$145</v>
      </c>
      <c r="D112" s="1" t="str">
        <f>ADDRESS(C121,D121-1,1,1)</f>
        <v>$AM$145</v>
      </c>
      <c r="E112"/>
    </row>
    <row r="113" spans="1:35" x14ac:dyDescent="0.25">
      <c r="A113" s="30">
        <v>2.1435888100000016</v>
      </c>
      <c r="C113" s="1" t="str">
        <f>ADDRESS(C121+1,1,1,1)</f>
        <v>$A$146</v>
      </c>
      <c r="D113" s="1" t="str">
        <f>ADDRESS(C121-1,D121+1,1,1)</f>
        <v>$AO$144</v>
      </c>
    </row>
    <row r="114" spans="1:35" x14ac:dyDescent="0.25">
      <c r="A114" s="30">
        <v>1.9487171000000014</v>
      </c>
      <c r="C114" s="1" t="str">
        <f>ADDRESS(C121,D121,1,1)</f>
        <v>$AN$145</v>
      </c>
      <c r="D114" s="1" t="str">
        <f>ADDRESS(C121+1,D121+1,1,1)</f>
        <v>$AO$146</v>
      </c>
    </row>
    <row r="115" spans="1:35" x14ac:dyDescent="0.25">
      <c r="A115" s="30">
        <v>1.7715610000000011</v>
      </c>
      <c r="C115" s="1" t="str">
        <f>ADDRESS(C121+1,D121,1,1)</f>
        <v>$AN$146</v>
      </c>
    </row>
    <row r="116" spans="1:35" x14ac:dyDescent="0.25">
      <c r="A116" s="30">
        <v>1.6105100000000008</v>
      </c>
      <c r="C116" s="1">
        <f>C117-1</f>
        <v>144</v>
      </c>
    </row>
    <row r="117" spans="1:35" x14ac:dyDescent="0.25">
      <c r="A117" s="30">
        <v>1.4641000000000006</v>
      </c>
      <c r="C117" s="1">
        <f>C121</f>
        <v>145</v>
      </c>
      <c r="D117" s="1">
        <f>D121</f>
        <v>40</v>
      </c>
    </row>
    <row r="118" spans="1:35" x14ac:dyDescent="0.25">
      <c r="A118" s="30">
        <v>1.3310000000000004</v>
      </c>
      <c r="C118" s="1">
        <f>C117+1</f>
        <v>146</v>
      </c>
      <c r="D118" s="1">
        <f>D117+1</f>
        <v>41</v>
      </c>
    </row>
    <row r="119" spans="1:35" x14ac:dyDescent="0.25">
      <c r="A119" s="30">
        <v>1.2100000000000002</v>
      </c>
      <c r="G119" s="27" t="s">
        <v>8</v>
      </c>
    </row>
    <row r="120" spans="1:35" x14ac:dyDescent="0.25">
      <c r="A120" s="30">
        <v>1.1000000000000001</v>
      </c>
      <c r="C120" s="1" t="s">
        <v>9</v>
      </c>
      <c r="G120" s="27" t="s">
        <v>8</v>
      </c>
      <c r="H120" s="27" t="s">
        <v>7</v>
      </c>
    </row>
    <row r="121" spans="1:35" x14ac:dyDescent="0.25">
      <c r="A121" s="30">
        <v>1</v>
      </c>
      <c r="C121" s="18">
        <v>145</v>
      </c>
      <c r="D121" s="19">
        <v>40</v>
      </c>
      <c r="E121" s="18" t="s">
        <v>8</v>
      </c>
      <c r="G121" s="27" t="s">
        <v>8</v>
      </c>
      <c r="H121" s="27" t="s">
        <v>7</v>
      </c>
    </row>
    <row r="122" spans="1:35" x14ac:dyDescent="0.25">
      <c r="A122" s="30">
        <v>0.90909090909090895</v>
      </c>
      <c r="C122" s="1" t="str">
        <f>INDEX(1:1048576,C117,D117)</f>
        <v>O</v>
      </c>
      <c r="F122" s="27" t="s">
        <v>7</v>
      </c>
      <c r="G122" s="27" t="s">
        <v>8</v>
      </c>
      <c r="H122" s="27" t="s">
        <v>7</v>
      </c>
    </row>
    <row r="123" spans="1:35" x14ac:dyDescent="0.25">
      <c r="A123" s="30">
        <v>0.82644628099173523</v>
      </c>
      <c r="C123" s="1" t="str">
        <f>"R"&amp;C121</f>
        <v>R145</v>
      </c>
      <c r="D123" s="1" t="str">
        <f>"C"&amp;D121</f>
        <v>C40</v>
      </c>
      <c r="F123" s="27" t="s">
        <v>7</v>
      </c>
      <c r="G123" s="27" t="s">
        <v>8</v>
      </c>
      <c r="H123" s="27" t="s">
        <v>7</v>
      </c>
    </row>
    <row r="124" spans="1:35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H124" s="27" t="s">
        <v>7</v>
      </c>
    </row>
    <row r="125" spans="1:35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</row>
    <row r="126" spans="1:35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I126" s="27" t="s">
        <v>8</v>
      </c>
      <c r="K126" s="27" t="s">
        <v>8</v>
      </c>
    </row>
    <row r="127" spans="1:35" x14ac:dyDescent="0.25">
      <c r="A127" s="30">
        <v>0.56447393005377677</v>
      </c>
      <c r="C127" s="30">
        <v>0.10152559799477026</v>
      </c>
      <c r="D127"/>
      <c r="F127" s="27" t="s">
        <v>7</v>
      </c>
      <c r="G127" s="27" t="s">
        <v>8</v>
      </c>
      <c r="H127" s="27" t="s">
        <v>7</v>
      </c>
      <c r="I127" s="27" t="s">
        <v>8</v>
      </c>
      <c r="J127" s="27" t="s">
        <v>7</v>
      </c>
      <c r="K127" s="27" t="s">
        <v>8</v>
      </c>
      <c r="L127" s="27" t="s">
        <v>7</v>
      </c>
    </row>
    <row r="128" spans="1:35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I128" s="27" t="s">
        <v>8</v>
      </c>
      <c r="J128" s="27" t="s">
        <v>7</v>
      </c>
      <c r="K128" s="27" t="s">
        <v>8</v>
      </c>
      <c r="L128" s="27" t="s">
        <v>7</v>
      </c>
      <c r="Y128" s="27" t="s">
        <v>8</v>
      </c>
      <c r="AI128" s="27" t="s">
        <v>8</v>
      </c>
    </row>
    <row r="129" spans="1:40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I129" s="27" t="s">
        <v>8</v>
      </c>
      <c r="J129" s="27" t="s">
        <v>7</v>
      </c>
      <c r="L129" s="27" t="s">
        <v>7</v>
      </c>
      <c r="Y129" s="27" t="s">
        <v>8</v>
      </c>
      <c r="Z129" s="27" t="s">
        <v>7</v>
      </c>
      <c r="AI129" s="27" t="s">
        <v>8</v>
      </c>
      <c r="AJ129" s="27" t="s">
        <v>7</v>
      </c>
    </row>
    <row r="130" spans="1:40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H130" s="27" t="s">
        <v>7</v>
      </c>
      <c r="I130" s="27" t="s">
        <v>8</v>
      </c>
      <c r="L130" s="27" t="s">
        <v>7</v>
      </c>
      <c r="Y130" s="27" t="s">
        <v>8</v>
      </c>
      <c r="Z130" s="27" t="s">
        <v>7</v>
      </c>
      <c r="AG130" s="27" t="s">
        <v>8</v>
      </c>
      <c r="AI130" s="27" t="s">
        <v>8</v>
      </c>
      <c r="AJ130" s="27" t="s">
        <v>7</v>
      </c>
    </row>
    <row r="131" spans="1:40" x14ac:dyDescent="0.25">
      <c r="A131" s="30">
        <v>0.38554328942953109</v>
      </c>
      <c r="E131"/>
      <c r="F131" s="27" t="s">
        <v>7</v>
      </c>
      <c r="G131" s="27" t="s">
        <v>8</v>
      </c>
      <c r="H131" s="27" t="s">
        <v>7</v>
      </c>
      <c r="I131" s="27" t="s">
        <v>8</v>
      </c>
      <c r="L131" s="27" t="s">
        <v>7</v>
      </c>
      <c r="Y131" s="27" t="s">
        <v>8</v>
      </c>
      <c r="Z131" s="27" t="s">
        <v>7</v>
      </c>
      <c r="AA131" s="27" t="s">
        <v>8</v>
      </c>
      <c r="AC131" s="27" t="s">
        <v>8</v>
      </c>
      <c r="AG131" s="27" t="s">
        <v>8</v>
      </c>
      <c r="AH131" s="27" t="s">
        <v>7</v>
      </c>
      <c r="AI131" s="27" t="s">
        <v>8</v>
      </c>
      <c r="AJ131" s="27" t="s">
        <v>7</v>
      </c>
    </row>
    <row r="132" spans="1:40" x14ac:dyDescent="0.25">
      <c r="A132" s="30">
        <v>0.35049389948139187</v>
      </c>
      <c r="C132" s="1" t="s">
        <v>13</v>
      </c>
      <c r="E132"/>
      <c r="F132" s="27" t="s">
        <v>7</v>
      </c>
      <c r="H132" s="27" t="s">
        <v>7</v>
      </c>
      <c r="I132" s="27" t="s">
        <v>8</v>
      </c>
      <c r="L132" s="27" t="s">
        <v>7</v>
      </c>
      <c r="Y132" s="27" t="s">
        <v>8</v>
      </c>
      <c r="Z132" s="27" t="s">
        <v>7</v>
      </c>
      <c r="AA132" s="27" t="s">
        <v>8</v>
      </c>
      <c r="AB132" s="27" t="s">
        <v>7</v>
      </c>
      <c r="AC132" s="27" t="s">
        <v>8</v>
      </c>
      <c r="AD132" s="27" t="s">
        <v>7</v>
      </c>
      <c r="AG132" s="27" t="s">
        <v>8</v>
      </c>
      <c r="AH132" s="27" t="s">
        <v>7</v>
      </c>
      <c r="AI132" s="27" t="s">
        <v>8</v>
      </c>
      <c r="AJ132" s="27" t="s">
        <v>7</v>
      </c>
    </row>
    <row r="133" spans="1:40" x14ac:dyDescent="0.25">
      <c r="A133" s="30">
        <v>0.31863081771035617</v>
      </c>
      <c r="C133" s="1" t="str">
        <f>C122</f>
        <v>O</v>
      </c>
      <c r="E133"/>
      <c r="H133" s="27" t="s">
        <v>7</v>
      </c>
      <c r="I133" s="27" t="s">
        <v>8</v>
      </c>
      <c r="L133" s="27" t="s">
        <v>7</v>
      </c>
      <c r="Y133" s="27" t="s">
        <v>8</v>
      </c>
      <c r="Z133" s="27" t="s">
        <v>7</v>
      </c>
      <c r="AA133" s="27" t="s">
        <v>8</v>
      </c>
      <c r="AB133" s="27" t="s">
        <v>7</v>
      </c>
      <c r="AC133" s="27" t="s">
        <v>8</v>
      </c>
      <c r="AD133" s="27" t="s">
        <v>7</v>
      </c>
      <c r="AG133" s="27" t="s">
        <v>8</v>
      </c>
      <c r="AH133" s="27" t="s">
        <v>7</v>
      </c>
      <c r="AJ133" s="27" t="s">
        <v>7</v>
      </c>
    </row>
    <row r="134" spans="1:40" x14ac:dyDescent="0.25">
      <c r="A134" s="30">
        <v>0.28966437973668741</v>
      </c>
      <c r="C134"/>
      <c r="D134"/>
      <c r="E134"/>
      <c r="H134" s="27" t="s">
        <v>7</v>
      </c>
      <c r="L134" s="27" t="s">
        <v>7</v>
      </c>
      <c r="O134" s="27" t="s">
        <v>8</v>
      </c>
      <c r="W134" s="27" t="s">
        <v>8</v>
      </c>
      <c r="Y134" s="27" t="s">
        <v>8</v>
      </c>
      <c r="Z134" s="27" t="s">
        <v>7</v>
      </c>
      <c r="AA134" s="27" t="s">
        <v>8</v>
      </c>
      <c r="AB134" s="27" t="s">
        <v>7</v>
      </c>
      <c r="AD134" s="27" t="s">
        <v>7</v>
      </c>
      <c r="AG134" s="27" t="s">
        <v>8</v>
      </c>
      <c r="AJ134" s="27" t="s">
        <v>7</v>
      </c>
      <c r="AK134" s="27" t="s">
        <v>8</v>
      </c>
    </row>
    <row r="135" spans="1:40" x14ac:dyDescent="0.25">
      <c r="A135" s="30">
        <v>0.2633312543060794</v>
      </c>
      <c r="C135" s="1" t="s">
        <v>14</v>
      </c>
      <c r="E135"/>
      <c r="L135" s="27" t="s">
        <v>7</v>
      </c>
      <c r="M135" s="27" t="s">
        <v>8</v>
      </c>
      <c r="O135" s="27" t="s">
        <v>8</v>
      </c>
      <c r="P135" s="27" t="s">
        <v>7</v>
      </c>
      <c r="U135" s="27" t="s">
        <v>8</v>
      </c>
      <c r="W135" s="27" t="s">
        <v>8</v>
      </c>
      <c r="X135" s="27" t="s">
        <v>7</v>
      </c>
      <c r="Y135" s="27" t="s">
        <v>8</v>
      </c>
      <c r="Z135" s="27" t="s">
        <v>7</v>
      </c>
      <c r="AD135" s="27" t="s">
        <v>7</v>
      </c>
      <c r="AG135" s="27" t="s">
        <v>8</v>
      </c>
      <c r="AJ135" s="27" t="s">
        <v>7</v>
      </c>
      <c r="AK135" s="27" t="s">
        <v>8</v>
      </c>
      <c r="AL135" s="27" t="s">
        <v>7</v>
      </c>
    </row>
    <row r="136" spans="1:40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  <c r="L136" s="27" t="s">
        <v>7</v>
      </c>
      <c r="M136" s="27" t="s">
        <v>8</v>
      </c>
      <c r="N136" s="27" t="s">
        <v>7</v>
      </c>
      <c r="O136" s="27" t="s">
        <v>8</v>
      </c>
      <c r="P136" s="27" t="s">
        <v>7</v>
      </c>
      <c r="U136" s="27" t="s">
        <v>8</v>
      </c>
      <c r="V136" s="27" t="s">
        <v>7</v>
      </c>
      <c r="W136" s="27" t="s">
        <v>8</v>
      </c>
      <c r="X136" s="27" t="s">
        <v>7</v>
      </c>
      <c r="Y136" s="27" t="s">
        <v>8</v>
      </c>
      <c r="AD136" s="27" t="s">
        <v>7</v>
      </c>
      <c r="AE136" s="27" t="s">
        <v>8</v>
      </c>
      <c r="AG136" s="27" t="s">
        <v>8</v>
      </c>
      <c r="AJ136" s="27" t="s">
        <v>7</v>
      </c>
      <c r="AK136" s="27" t="s">
        <v>8</v>
      </c>
      <c r="AL136" s="27" t="s">
        <v>7</v>
      </c>
    </row>
    <row r="137" spans="1:40" x14ac:dyDescent="0.25">
      <c r="A137" s="30">
        <v>0.2176291357901482</v>
      </c>
      <c r="E137"/>
      <c r="L137" s="27" t="s">
        <v>7</v>
      </c>
      <c r="M137" s="27" t="s">
        <v>8</v>
      </c>
      <c r="N137" s="27" t="s">
        <v>7</v>
      </c>
      <c r="O137" s="27" t="s">
        <v>8</v>
      </c>
      <c r="P137" s="27" t="s">
        <v>7</v>
      </c>
      <c r="U137" s="27" t="s">
        <v>8</v>
      </c>
      <c r="V137" s="27" t="s">
        <v>7</v>
      </c>
      <c r="W137" s="27" t="s">
        <v>8</v>
      </c>
      <c r="X137" s="27" t="s">
        <v>7</v>
      </c>
      <c r="Y137" s="27" t="s">
        <v>8</v>
      </c>
      <c r="AD137" s="27" t="s">
        <v>7</v>
      </c>
      <c r="AE137" s="27" t="s">
        <v>8</v>
      </c>
      <c r="AF137" s="27" t="s">
        <v>7</v>
      </c>
      <c r="AG137" s="27" t="s">
        <v>8</v>
      </c>
      <c r="AJ137" s="27" t="s">
        <v>7</v>
      </c>
      <c r="AL137" s="27" t="s">
        <v>7</v>
      </c>
    </row>
    <row r="138" spans="1:40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  <c r="L138" s="27" t="s">
        <v>7</v>
      </c>
      <c r="M138" s="27" t="s">
        <v>8</v>
      </c>
      <c r="N138" s="27" t="s">
        <v>7</v>
      </c>
      <c r="O138" s="27" t="s">
        <v>8</v>
      </c>
      <c r="P138" s="27" t="s">
        <v>7</v>
      </c>
      <c r="U138" s="27" t="s">
        <v>8</v>
      </c>
      <c r="V138" s="27" t="s">
        <v>7</v>
      </c>
      <c r="W138" s="27" t="s">
        <v>8</v>
      </c>
      <c r="X138" s="27" t="s">
        <v>7</v>
      </c>
      <c r="AD138" s="27" t="s">
        <v>7</v>
      </c>
      <c r="AE138" s="27" t="s">
        <v>8</v>
      </c>
      <c r="AF138" s="27" t="s">
        <v>7</v>
      </c>
      <c r="AG138" s="27" t="s">
        <v>8</v>
      </c>
      <c r="AL138" s="27" t="s">
        <v>7</v>
      </c>
      <c r="AM138" s="27" t="s">
        <v>8</v>
      </c>
    </row>
    <row r="139" spans="1:40" x14ac:dyDescent="0.25">
      <c r="A139" s="30">
        <v>0.17985878990921333</v>
      </c>
      <c r="E139"/>
      <c r="L139" s="27" t="s">
        <v>7</v>
      </c>
      <c r="M139" s="27" t="s">
        <v>8</v>
      </c>
      <c r="N139" s="27" t="s">
        <v>7</v>
      </c>
      <c r="O139" s="27" t="s">
        <v>8</v>
      </c>
      <c r="P139" s="27" t="s">
        <v>7</v>
      </c>
      <c r="U139" s="27" t="s">
        <v>8</v>
      </c>
      <c r="V139" s="27" t="s">
        <v>7</v>
      </c>
      <c r="W139" s="27" t="s">
        <v>8</v>
      </c>
      <c r="AD139" s="27" t="s">
        <v>7</v>
      </c>
      <c r="AF139" s="27" t="s">
        <v>7</v>
      </c>
      <c r="AL139" s="27" t="s">
        <v>7</v>
      </c>
      <c r="AM139" s="27" t="s">
        <v>8</v>
      </c>
      <c r="AN139" s="27" t="s">
        <v>7</v>
      </c>
    </row>
    <row r="140" spans="1:40" x14ac:dyDescent="0.25">
      <c r="A140" s="30">
        <v>0.16350799082655756</v>
      </c>
      <c r="C140" s="1">
        <v>0</v>
      </c>
      <c r="E140"/>
      <c r="L140" s="27" t="s">
        <v>7</v>
      </c>
      <c r="N140" s="27" t="s">
        <v>7</v>
      </c>
      <c r="O140" s="27" t="s">
        <v>8</v>
      </c>
      <c r="P140" s="27" t="s">
        <v>7</v>
      </c>
      <c r="S140" s="27" t="s">
        <v>8</v>
      </c>
      <c r="U140" s="27" t="s">
        <v>8</v>
      </c>
      <c r="V140" s="27" t="s">
        <v>7</v>
      </c>
      <c r="W140" s="27" t="s">
        <v>8</v>
      </c>
      <c r="AL140" s="27" t="s">
        <v>7</v>
      </c>
      <c r="AM140" s="27" t="s">
        <v>8</v>
      </c>
      <c r="AN140" s="27" t="s">
        <v>7</v>
      </c>
    </row>
    <row r="141" spans="1:40" x14ac:dyDescent="0.25">
      <c r="A141" s="30">
        <v>0.14864362802414322</v>
      </c>
      <c r="C141" s="1">
        <v>1</v>
      </c>
      <c r="E141"/>
      <c r="N141" s="27" t="s">
        <v>7</v>
      </c>
      <c r="O141" s="27" t="s">
        <v>8</v>
      </c>
      <c r="P141" s="27" t="s">
        <v>7</v>
      </c>
      <c r="S141" s="27" t="s">
        <v>8</v>
      </c>
      <c r="T141" s="27" t="s">
        <v>7</v>
      </c>
      <c r="U141" s="27" t="s">
        <v>8</v>
      </c>
      <c r="V141" s="27" t="s">
        <v>7</v>
      </c>
      <c r="W141" s="27" t="s">
        <v>8</v>
      </c>
      <c r="AL141" s="27" t="s">
        <v>7</v>
      </c>
      <c r="AN141" s="27" t="s">
        <v>7</v>
      </c>
    </row>
    <row r="142" spans="1:40" x14ac:dyDescent="0.25">
      <c r="A142" s="30">
        <v>0.13513057093103928</v>
      </c>
      <c r="C142" s="1">
        <v>2</v>
      </c>
      <c r="E142"/>
      <c r="N142" s="27" t="s">
        <v>7</v>
      </c>
      <c r="O142" s="27" t="s">
        <v>8</v>
      </c>
      <c r="P142" s="27" t="s">
        <v>7</v>
      </c>
      <c r="S142" s="27" t="s">
        <v>8</v>
      </c>
      <c r="T142" s="27" t="s">
        <v>7</v>
      </c>
      <c r="U142" s="27" t="s">
        <v>8</v>
      </c>
      <c r="V142" s="18" t="s">
        <v>7</v>
      </c>
      <c r="W142" s="27" t="s">
        <v>8</v>
      </c>
      <c r="AN142" s="27" t="s">
        <v>7</v>
      </c>
    </row>
    <row r="143" spans="1:40" x14ac:dyDescent="0.25">
      <c r="A143" s="30">
        <v>0.12284597357367205</v>
      </c>
      <c r="C143" s="1">
        <v>3</v>
      </c>
      <c r="E143"/>
      <c r="N143" s="27" t="s">
        <v>7</v>
      </c>
      <c r="P143" s="27" t="s">
        <v>7</v>
      </c>
      <c r="S143" s="27" t="s">
        <v>8</v>
      </c>
      <c r="T143" s="27" t="s">
        <v>7</v>
      </c>
      <c r="V143" s="27" t="s">
        <v>7</v>
      </c>
      <c r="W143" s="27" t="s">
        <v>8</v>
      </c>
      <c r="AN143" s="27" t="s">
        <v>7</v>
      </c>
    </row>
    <row r="144" spans="1:40" x14ac:dyDescent="0.25">
      <c r="A144" s="30">
        <v>0.11167815779424731</v>
      </c>
      <c r="C144" s="1">
        <v>4</v>
      </c>
      <c r="E144"/>
      <c r="P144" s="27" t="s">
        <v>7</v>
      </c>
      <c r="S144" s="27" t="s">
        <v>8</v>
      </c>
      <c r="V144" s="27" t="s">
        <v>7</v>
      </c>
      <c r="AN144" s="27" t="s">
        <v>7</v>
      </c>
    </row>
    <row r="145" spans="1:40" x14ac:dyDescent="0.25">
      <c r="A145" s="30">
        <v>0.10152559799477026</v>
      </c>
      <c r="B145"/>
      <c r="C145"/>
      <c r="D145"/>
      <c r="E145"/>
      <c r="P145" s="27" t="s">
        <v>7</v>
      </c>
      <c r="Q145" s="27" t="s">
        <v>8</v>
      </c>
      <c r="S145" s="27" t="s">
        <v>8</v>
      </c>
      <c r="AN145" s="27" t="s">
        <v>7</v>
      </c>
    </row>
    <row r="146" spans="1:40" x14ac:dyDescent="0.25">
      <c r="A146" s="30">
        <v>9.2295998177063854E-2</v>
      </c>
      <c r="B146"/>
      <c r="C146"/>
      <c r="D146"/>
      <c r="E146"/>
      <c r="P146" s="27" t="s">
        <v>7</v>
      </c>
      <c r="Q146" s="27" t="s">
        <v>8</v>
      </c>
      <c r="R146" s="27" t="s">
        <v>7</v>
      </c>
      <c r="S146" s="27" t="s">
        <v>8</v>
      </c>
    </row>
    <row r="147" spans="1:40" x14ac:dyDescent="0.25">
      <c r="A147" s="30">
        <v>8.3905452888239848E-2</v>
      </c>
      <c r="B147"/>
      <c r="C147"/>
      <c r="D147"/>
      <c r="E147"/>
      <c r="P147" s="27" t="s">
        <v>7</v>
      </c>
      <c r="Q147" s="27" t="s">
        <v>8</v>
      </c>
      <c r="R147" s="27" t="s">
        <v>7</v>
      </c>
      <c r="S147" s="27" t="s">
        <v>8</v>
      </c>
    </row>
    <row r="148" spans="1:40" x14ac:dyDescent="0.25">
      <c r="A148" s="30">
        <v>7.6277684443854396E-2</v>
      </c>
      <c r="B148"/>
      <c r="C148"/>
      <c r="D148"/>
      <c r="E148"/>
      <c r="P148" s="27" t="s">
        <v>7</v>
      </c>
      <c r="R148" s="27" t="s">
        <v>7</v>
      </c>
    </row>
    <row r="149" spans="1:40" x14ac:dyDescent="0.25">
      <c r="A149" s="30">
        <v>6.9343349494413078E-2</v>
      </c>
      <c r="B149"/>
      <c r="C149"/>
      <c r="D149"/>
      <c r="E149"/>
    </row>
    <row r="150" spans="1:40" x14ac:dyDescent="0.25">
      <c r="A150" s="30">
        <v>6.3039408631284613E-2</v>
      </c>
      <c r="B150"/>
      <c r="C150"/>
      <c r="D150"/>
      <c r="E150"/>
    </row>
    <row r="151" spans="1:40" x14ac:dyDescent="0.25">
      <c r="A151" s="30">
        <v>5.7308553301167818E-2</v>
      </c>
      <c r="B151"/>
      <c r="C151"/>
      <c r="D151"/>
      <c r="E151"/>
    </row>
    <row r="152" spans="1:40" x14ac:dyDescent="0.25">
      <c r="A152" s="30">
        <v>5.2098684819243464E-2</v>
      </c>
      <c r="B152"/>
      <c r="C152"/>
      <c r="D152"/>
      <c r="E152"/>
    </row>
    <row r="153" spans="1:40" x14ac:dyDescent="0.25">
      <c r="A153" s="30">
        <v>4.7362440744766775E-2</v>
      </c>
      <c r="B153"/>
      <c r="C153"/>
      <c r="D153"/>
      <c r="E153"/>
    </row>
    <row r="154" spans="1:40" x14ac:dyDescent="0.25">
      <c r="A154" s="30">
        <v>4.3056764313424332E-2</v>
      </c>
      <c r="B154"/>
      <c r="C154"/>
      <c r="D154"/>
      <c r="E154"/>
    </row>
    <row r="155" spans="1:40" x14ac:dyDescent="0.25">
      <c r="A155" s="30">
        <v>3.9142513012203929E-2</v>
      </c>
      <c r="B155"/>
      <c r="C155"/>
      <c r="D155"/>
      <c r="E155"/>
    </row>
    <row r="156" spans="1:40" x14ac:dyDescent="0.25">
      <c r="A156" s="30">
        <v>3.55841027383672E-2</v>
      </c>
      <c r="B156"/>
      <c r="C156"/>
      <c r="D156"/>
      <c r="E156"/>
    </row>
    <row r="157" spans="1:40" x14ac:dyDescent="0.25">
      <c r="A157" s="30">
        <v>3.2349184307606541E-2</v>
      </c>
      <c r="B157"/>
      <c r="C157"/>
      <c r="D157"/>
      <c r="E157"/>
    </row>
    <row r="158" spans="1:40" x14ac:dyDescent="0.25">
      <c r="A158" s="30">
        <v>2.9408349370551395E-2</v>
      </c>
      <c r="B158"/>
      <c r="C158"/>
      <c r="D158"/>
      <c r="E158"/>
    </row>
    <row r="159" spans="1:40" x14ac:dyDescent="0.25">
      <c r="A159" s="30">
        <v>2.6734863064137627E-2</v>
      </c>
      <c r="B159"/>
      <c r="C159"/>
      <c r="D159"/>
      <c r="E159"/>
    </row>
    <row r="160" spans="1:40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740" operator="equal">
      <formula>$U$1</formula>
    </cfRule>
    <cfRule type="cellIs" dxfId="30" priority="741" operator="equal">
      <formula>$S$1</formula>
    </cfRule>
  </conditionalFormatting>
  <conditionalFormatting sqref="D136">
    <cfRule type="cellIs" dxfId="29" priority="738" operator="equal">
      <formula>$S$1</formula>
    </cfRule>
    <cfRule type="cellIs" dxfId="28" priority="739" operator="equal">
      <formula>$U$1</formula>
    </cfRule>
  </conditionalFormatting>
  <conditionalFormatting sqref="C102">
    <cfRule type="cellIs" dxfId="27" priority="736" operator="equal">
      <formula>$U$1</formula>
    </cfRule>
    <cfRule type="cellIs" dxfId="26" priority="737" operator="equal">
      <formula>$S$1</formula>
    </cfRule>
  </conditionalFormatting>
  <conditionalFormatting sqref="D102">
    <cfRule type="cellIs" dxfId="25" priority="734" operator="equal">
      <formula>$S$1</formula>
    </cfRule>
    <cfRule type="cellIs" dxfId="24" priority="735" operator="equal">
      <formula>$U$1</formula>
    </cfRule>
  </conditionalFormatting>
  <conditionalFormatting sqref="C77">
    <cfRule type="cellIs" dxfId="23" priority="732" operator="equal">
      <formula>$U$1</formula>
    </cfRule>
    <cfRule type="cellIs" dxfId="22" priority="733" operator="equal">
      <formula>$S$1</formula>
    </cfRule>
  </conditionalFormatting>
  <conditionalFormatting sqref="D77">
    <cfRule type="cellIs" dxfId="21" priority="730" operator="equal">
      <formula>$S$1</formula>
    </cfRule>
    <cfRule type="cellIs" dxfId="20" priority="731" operator="equal">
      <formula>$U$1</formula>
    </cfRule>
  </conditionalFormatting>
  <conditionalFormatting sqref="C52">
    <cfRule type="cellIs" dxfId="19" priority="728" operator="equal">
      <formula>$U$1</formula>
    </cfRule>
    <cfRule type="cellIs" dxfId="18" priority="729" operator="equal">
      <formula>$S$1</formula>
    </cfRule>
  </conditionalFormatting>
  <conditionalFormatting sqref="D52">
    <cfRule type="cellIs" dxfId="17" priority="726" operator="equal">
      <formula>$S$1</formula>
    </cfRule>
    <cfRule type="cellIs" dxfId="16" priority="727" operator="equal">
      <formula>$U$1</formula>
    </cfRule>
  </conditionalFormatting>
  <conditionalFormatting sqref="C26">
    <cfRule type="cellIs" dxfId="15" priority="724" operator="equal">
      <formula>$U$1</formula>
    </cfRule>
    <cfRule type="cellIs" dxfId="14" priority="725" operator="equal">
      <formula>$S$1</formula>
    </cfRule>
  </conditionalFormatting>
  <conditionalFormatting sqref="D26">
    <cfRule type="cellIs" dxfId="13" priority="722" operator="equal">
      <formula>$S$1</formula>
    </cfRule>
    <cfRule type="cellIs" dxfId="12" priority="723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2022-01-28T01:22:28Z</dcterms:modified>
</cp:coreProperties>
</file>